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87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18304-2024</t>
        </is>
      </c>
      <c r="B2" t="inlineStr">
        <is>
          <t>avverkningsanmälan</t>
        </is>
      </c>
      <c r="C2" t="inlineStr">
        <is>
          <t>Föryngringsavverkning</t>
        </is>
      </c>
      <c r="D2" s="1" t="n">
        <v>45422</v>
      </c>
      <c r="E2" s="1" t="n">
        <v>46307</v>
      </c>
      <c r="F2" t="inlineStr">
        <is>
          <t>VÄRMLANDS LÄN</t>
        </is>
      </c>
      <c r="G2" t="inlineStr">
        <is>
          <t>TORSBY</t>
        </is>
      </c>
      <c r="I2" t="n">
        <v>41.5</v>
      </c>
      <c r="J2" t="n">
        <v>5</v>
      </c>
      <c r="K2" t="n">
        <v>13</v>
      </c>
      <c r="L2" t="n">
        <v>27</v>
      </c>
      <c r="M2" t="n">
        <v>5</v>
      </c>
      <c r="N2" t="n">
        <v>1</v>
      </c>
      <c r="O2" t="n">
        <v>0</v>
      </c>
      <c r="P2" t="n">
        <v>0</v>
      </c>
      <c r="Q2" t="n">
        <v>33</v>
      </c>
      <c r="R2" t="n">
        <v>6</v>
      </c>
      <c r="S2" t="n">
        <v>47</v>
      </c>
      <c r="T2" t="n">
        <v>151</v>
      </c>
      <c r="U2" t="n">
        <v>108</v>
      </c>
      <c r="V2" s="2" t="inlineStr">
        <is>
          <t>Skrovellavsknapp
Fläckporing
Garnlav
Gräddporing
Skrovlig taggsvamp
Spadskinn
Blanksvart spiklav
Blå taggsvamp
Dropptaggsvamp
Dvärgbägarlav
Gammelgransskål
Kolflarnlav
Kortskaftad ärgspik
Lunglav
Motaggsvamp
Mörk kolflarnlav
Nordtagging
Reliktbock
Skarp dropptaggsvamp
Skrovellav
Skrovlig flatbagge
Skuggblåslav
Svartvit taggsvamp
Tallticka
Talltita
Tretåig hackspett
Vaxspindling
Veckticka
Vedskivlav
Vedtrappmossa
Violettgrå tagellav
Vitgrynig nållav
Vitplätt
Barkticka
Bronshjon
Bårdlav
Dvärgtufs
Grovticka
Grönpyrola
Korallblylav
Korallrot
Nästlav
Plattlummer
Skinnlav
Stuplav
Vanlig flatbagge
Spillkråka</t>
        </is>
      </c>
      <c r="W2">
        <f>HYPERLINK("https://klasma.github.io/Logging_1737/artfynd/A 18304-2024 artfynd.xlsx", "A 18304-2024")</f>
        <v/>
      </c>
      <c r="X2">
        <f>HYPERLINK("https://klasma.github.io/Logging_1737/kartor/A 18304-2024 karta.png", "A 18304-2024")</f>
        <v/>
      </c>
      <c r="Y2">
        <f>HYPERLINK("https://klasma.github.io/Logging_1737/kartor_geotiff/A 18304-2024 georefererad karta.tif", "A 18304-2024")</f>
        <v/>
      </c>
      <c r="AA2">
        <f>HYPERLINK("https://klasma.github.io/Logging_1737/klagomål/A 18304-2024 FSC-klagomål.docx", "A 18304-2024")</f>
        <v/>
      </c>
      <c r="AB2">
        <f>HYPERLINK("https://klasma.github.io/Logging_1737/klagomålsmail/A 18304-2024 FSC-klagomål mail.docx", "A 18304-2024")</f>
        <v/>
      </c>
      <c r="AC2">
        <f>HYPERLINK("https://klasma.github.io/Logging_1737/tillsyn/A 18304-2024 tillsynsbegäran.docx", "A 18304-2024")</f>
        <v/>
      </c>
      <c r="AD2">
        <f>HYPERLINK("https://klasma.github.io/Logging_1737/tillsynsmail/A 18304-2024 tillsynsbegäran mail.docx", "A 18304-2024")</f>
        <v/>
      </c>
      <c r="AE2">
        <f>HYPERLINK("https://klasma.github.io/Logging_1737/fåglar/A 18304-2024 prioriterade fågelarter.docx", "A 18304-2024")</f>
        <v/>
      </c>
    </row>
    <row r="3" ht="15" customHeight="1">
      <c r="A3" t="inlineStr">
        <is>
          <t>S 2558-2021</t>
        </is>
      </c>
      <c r="B3" t="inlineStr">
        <is>
          <t>samrådsanmälan</t>
        </is>
      </c>
      <c r="C3" t="n">
        <v/>
      </c>
      <c r="D3" s="1" t="n">
        <v>44357</v>
      </c>
      <c r="E3" s="1" t="n">
        <v>46307</v>
      </c>
      <c r="F3" t="inlineStr">
        <is>
          <t>VÄRMLANDS LÄN</t>
        </is>
      </c>
      <c r="G3" t="inlineStr">
        <is>
          <t>SUNNE</t>
        </is>
      </c>
      <c r="H3" t="inlineStr">
        <is>
          <t>Kommuner</t>
        </is>
      </c>
      <c r="I3" t="n">
        <v>144.4</v>
      </c>
      <c r="J3" t="n">
        <v>11</v>
      </c>
      <c r="K3" t="n">
        <v>21</v>
      </c>
      <c r="L3" t="n">
        <v>10</v>
      </c>
      <c r="M3" t="n">
        <v>4</v>
      </c>
      <c r="N3" t="n">
        <v>0</v>
      </c>
      <c r="O3" t="n">
        <v>0</v>
      </c>
      <c r="P3" t="n">
        <v>0</v>
      </c>
      <c r="Q3" t="n">
        <v>14</v>
      </c>
      <c r="R3" t="n">
        <v>4</v>
      </c>
      <c r="S3" t="n">
        <v>42</v>
      </c>
      <c r="T3" t="n">
        <v>103</v>
      </c>
      <c r="U3" t="n">
        <v>4</v>
      </c>
      <c r="V3" s="2" t="inlineStr">
        <is>
          <t>Aspgelélav
Blackticka
Gränsticka
Igelkott
Desmeknopp
Fjällig taggsvamp s.str.
Grynig filtlav
Gullpudra
Järnsparv
Rödvingetrast
Stjärntagging
Tretåig hackspett
Vedtrappmossa
Vårärt
Blek stjärnmossa
Bronshjon
Bågpraktmossa
Bårdlav
Dvärghäxört
Grön sköldmossa
Jättesvampmal
Källmossa
Mörk husmossa
Skinnlav
Skogshakmossa
Springkorn
Stekelbock
Strutbräken
Stubbspretmossa
Stuplav
Svart trolldruva
Tibast
Trådticka
Underviol
Vedticka
Blåsippa
Spillkråka
Gröngöling
Grönsiska
Kråka
Kopparödla
Lopplummer (aggregat)</t>
        </is>
      </c>
      <c r="W3">
        <f>HYPERLINK("https://klasma.github.io/Logging_1766/artfynd/S 2558-2021 artfynd.xlsx", "S 2558-2021")</f>
        <v/>
      </c>
      <c r="X3">
        <f>HYPERLINK("https://klasma.github.io/Logging_1766/kartor/S 2558-2021 karta.png", "S 2558-2021")</f>
        <v/>
      </c>
      <c r="Y3">
        <f>HYPERLINK("https://klasma.github.io/Logging_1766/kartor_geotiff/S 2558-2021 georefererad karta.tif", "S 2558-2021")</f>
        <v/>
      </c>
      <c r="AA3">
        <f>HYPERLINK("https://klasma.github.io/Logging_1766/klagomål/S 2558-2021 FSC-klagomål.docx", "S 2558-2021")</f>
        <v/>
      </c>
      <c r="AB3">
        <f>HYPERLINK("https://klasma.github.io/Logging_1766/klagomålsmail/S 2558-2021 FSC-klagomål mail.docx", "S 2558-2021")</f>
        <v/>
      </c>
      <c r="AC3">
        <f>HYPERLINK("https://klasma.github.io/Logging_1766/tillsyn/S 2558-2021 tillsynsbegäran.docx", "S 2558-2021")</f>
        <v/>
      </c>
      <c r="AD3">
        <f>HYPERLINK("https://klasma.github.io/Logging_1766/tillsynsmail/S 2558-2021 tillsynsbegäran mail.docx", "S 2558-2021")</f>
        <v/>
      </c>
      <c r="AE3">
        <f>HYPERLINK("https://klasma.github.io/Logging_1766/fåglar/S 2558-2021 prioriterade fågelarter.docx", "S 2558-2021")</f>
        <v/>
      </c>
    </row>
    <row r="4" ht="15" customHeight="1">
      <c r="A4" t="inlineStr">
        <is>
          <t>A 54017-2023</t>
        </is>
      </c>
      <c r="B4" t="inlineStr">
        <is>
          <t>avverkningsanmälan</t>
        </is>
      </c>
      <c r="C4" t="inlineStr">
        <is>
          <t>Föryngringsavverkning</t>
        </is>
      </c>
      <c r="D4" s="1" t="n">
        <v>45231</v>
      </c>
      <c r="E4" s="1" t="n">
        <v>46307</v>
      </c>
      <c r="F4" t="inlineStr">
        <is>
          <t>VÄRMLANDS LÄN</t>
        </is>
      </c>
      <c r="G4" t="inlineStr">
        <is>
          <t>ÅRJÄNG</t>
        </is>
      </c>
      <c r="I4" t="n">
        <v>18.2</v>
      </c>
      <c r="J4" t="n">
        <v>5</v>
      </c>
      <c r="K4" t="n">
        <v>16</v>
      </c>
      <c r="L4" t="n">
        <v>13</v>
      </c>
      <c r="M4" t="n">
        <v>2</v>
      </c>
      <c r="N4" t="n">
        <v>0</v>
      </c>
      <c r="O4" t="n">
        <v>0</v>
      </c>
      <c r="P4" t="n">
        <v>0</v>
      </c>
      <c r="Q4" t="n">
        <v>15</v>
      </c>
      <c r="R4" t="n">
        <v>2</v>
      </c>
      <c r="S4" t="n">
        <v>33</v>
      </c>
      <c r="T4" t="n">
        <v>78</v>
      </c>
      <c r="U4" t="n">
        <v>78</v>
      </c>
      <c r="V4" s="2" t="inlineStr">
        <is>
          <t>Garnlav
Knärot
Blanksvart spiklav
Brunpudrad nållav
Dropptaggsvamp
Kattfotslav
Kortskaftad ärgspik
Lunglav
Motaggsvamp
Skuggblåslav
Talltita
Tretåig hackspett
Vedskivlav
Vedtrappmossa
Vit vedfingersvamp
Barkkornlav
Björksplintborre
Bronshjon
Bårdlav
Flagellkvastmossa
Grov fjädermossa
Gulnål
Havstulpanlav
Korallblylav
Mörk husmossa
Nästlav
Platt fjädermossa
Rostfläck
Stor revmossa
Vedticka
Västlig hakmossa
Spillkråka
Tjäder</t>
        </is>
      </c>
      <c r="W4">
        <f>HYPERLINK("https://klasma.github.io/Logging_1765/artfynd/A 54017-2023 artfynd.xlsx", "A 54017-2023")</f>
        <v/>
      </c>
      <c r="X4">
        <f>HYPERLINK("https://klasma.github.io/Logging_1765/kartor/A 54017-2023 karta.png", "A 54017-2023")</f>
        <v/>
      </c>
      <c r="Y4">
        <f>HYPERLINK("https://klasma.github.io/Logging_1765/kartor_geotiff/A 54017-2023 georefererad karta.tif", "A 54017-2023")</f>
        <v/>
      </c>
      <c r="Z4">
        <f>HYPERLINK("https://klasma.github.io/Logging_1765/knärot/A 54017-2023 karta knärot.png", "A 54017-2023")</f>
        <v/>
      </c>
      <c r="AA4">
        <f>HYPERLINK("https://klasma.github.io/Logging_1765/klagomål/A 54017-2023 FSC-klagomål.docx", "A 54017-2023")</f>
        <v/>
      </c>
      <c r="AB4">
        <f>HYPERLINK("https://klasma.github.io/Logging_1765/klagomålsmail/A 54017-2023 FSC-klagomål mail.docx", "A 54017-2023")</f>
        <v/>
      </c>
      <c r="AC4">
        <f>HYPERLINK("https://klasma.github.io/Logging_1765/tillsyn/A 54017-2023 tillsynsbegäran.docx", "A 54017-2023")</f>
        <v/>
      </c>
      <c r="AD4">
        <f>HYPERLINK("https://klasma.github.io/Logging_1765/tillsynsmail/A 54017-2023 tillsynsbegäran mail.docx", "A 54017-2023")</f>
        <v/>
      </c>
      <c r="AE4">
        <f>HYPERLINK("https://klasma.github.io/Logging_1765/fåglar/A 54017-2023 prioriterade fågelarter.docx", "A 54017-2023")</f>
        <v/>
      </c>
    </row>
    <row r="5" ht="15" customHeight="1">
      <c r="A5" t="inlineStr">
        <is>
          <t>A 54692-2024</t>
        </is>
      </c>
      <c r="B5" t="inlineStr">
        <is>
          <t>avverkningsanmälan</t>
        </is>
      </c>
      <c r="C5" t="inlineStr">
        <is>
          <t>Föryngringsavverkning</t>
        </is>
      </c>
      <c r="D5" s="1" t="n">
        <v>45618</v>
      </c>
      <c r="E5" s="1" t="n">
        <v>46307</v>
      </c>
      <c r="F5" t="inlineStr">
        <is>
          <t>VÄRMLANDS LÄN</t>
        </is>
      </c>
      <c r="G5" t="inlineStr">
        <is>
          <t>FORSHAGA</t>
        </is>
      </c>
      <c r="I5" t="n">
        <v>1.2</v>
      </c>
      <c r="J5" t="n">
        <v>29</v>
      </c>
      <c r="K5" t="n">
        <v>0</v>
      </c>
      <c r="L5" t="n">
        <v>11</v>
      </c>
      <c r="M5" t="n">
        <v>5</v>
      </c>
      <c r="N5" t="n">
        <v>1</v>
      </c>
      <c r="O5" t="n">
        <v>0</v>
      </c>
      <c r="P5" t="n">
        <v>0</v>
      </c>
      <c r="Q5" t="n">
        <v>17</v>
      </c>
      <c r="R5" t="n">
        <v>6</v>
      </c>
      <c r="S5" t="n">
        <v>30</v>
      </c>
      <c r="T5" t="n">
        <v>33</v>
      </c>
      <c r="U5" t="n">
        <v>0</v>
      </c>
      <c r="V5" s="2" t="inlineStr">
        <is>
          <t>Storspov
Brushane
Gråtrut
Stare
Tofsvipa
Tornseglare
Bläsand
Drillsnäppa
Enkelbeckasin
Gulsparv
Järnsparv
Kricka
Rörsångare
Skrattmås
Svartsnäppa
Sädesärla
Älg
Fiskgjuse
Grönsiska
Havsörn
Kråka
Kungsfågel
Skogsduva
Sävsparv
Sångsvan
Trana
Åkergroda
Kopparödla
Skogsödla
Vanlig padda</t>
        </is>
      </c>
      <c r="W5">
        <f>HYPERLINK("https://klasma.github.io/Logging_1763/artfynd/A 54692-2024 artfynd.xlsx", "A 54692-2024")</f>
        <v/>
      </c>
      <c r="X5">
        <f>HYPERLINK("https://klasma.github.io/Logging_1763/kartor/A 54692-2024 karta.png", "A 54692-2024")</f>
        <v/>
      </c>
      <c r="Y5">
        <f>HYPERLINK("https://klasma.github.io/Logging_1763/kartor_geotiff/A 54692-2024 georefererad karta.tif", "A 54692-2024")</f>
        <v/>
      </c>
      <c r="AA5">
        <f>HYPERLINK("https://klasma.github.io/Logging_1763/klagomål/A 54692-2024 FSC-klagomål.docx", "A 54692-2024")</f>
        <v/>
      </c>
      <c r="AB5">
        <f>HYPERLINK("https://klasma.github.io/Logging_1763/klagomålsmail/A 54692-2024 FSC-klagomål mail.docx", "A 54692-2024")</f>
        <v/>
      </c>
      <c r="AC5">
        <f>HYPERLINK("https://klasma.github.io/Logging_1763/tillsyn/A 54692-2024 tillsynsbegäran.docx", "A 54692-2024")</f>
        <v/>
      </c>
      <c r="AD5">
        <f>HYPERLINK("https://klasma.github.io/Logging_1763/tillsynsmail/A 54692-2024 tillsynsbegäran mail.docx", "A 54692-2024")</f>
        <v/>
      </c>
      <c r="AE5">
        <f>HYPERLINK("https://klasma.github.io/Logging_1763/fåglar/A 54692-2024 prioriterade fågelarter.docx", "A 54692-2024")</f>
        <v/>
      </c>
    </row>
    <row r="6" ht="15" customHeight="1">
      <c r="A6" t="inlineStr">
        <is>
          <t>A 61021-2024</t>
        </is>
      </c>
      <c r="B6" t="inlineStr">
        <is>
          <t>avverkningsanmälan</t>
        </is>
      </c>
      <c r="C6" t="inlineStr">
        <is>
          <t>Föryngringsavverkning</t>
        </is>
      </c>
      <c r="D6" s="1" t="n">
        <v>45645</v>
      </c>
      <c r="E6" s="1" t="n">
        <v>46307</v>
      </c>
      <c r="F6" t="inlineStr">
        <is>
          <t>VÄRMLANDS LÄN</t>
        </is>
      </c>
      <c r="G6" t="inlineStr">
        <is>
          <t>TORSBY</t>
        </is>
      </c>
      <c r="I6" t="n">
        <v>15.1</v>
      </c>
      <c r="J6" t="n">
        <v>5</v>
      </c>
      <c r="K6" t="n">
        <v>4</v>
      </c>
      <c r="L6" t="n">
        <v>18</v>
      </c>
      <c r="M6" t="n">
        <v>4</v>
      </c>
      <c r="N6" t="n">
        <v>0</v>
      </c>
      <c r="O6" t="n">
        <v>0</v>
      </c>
      <c r="P6" t="n">
        <v>0</v>
      </c>
      <c r="Q6" t="n">
        <v>22</v>
      </c>
      <c r="R6" t="n">
        <v>4</v>
      </c>
      <c r="S6" t="n">
        <v>28</v>
      </c>
      <c r="T6" t="n">
        <v>144</v>
      </c>
      <c r="U6" t="n">
        <v>108</v>
      </c>
      <c r="V6" s="2" t="inlineStr">
        <is>
          <t>Garnlav
Gränsticka
Knärot
Raggbock
Dropptaggsvamp
Dvärgbägarlav
Gammelgransskål
Kattfotslav
Kolflarnlav
Kortskaftad ärgspik
Lunglav
Mörk kolflarnlav
Rynkskinn
Skarp dropptaggsvamp
Skuggblåslav
Talltita
Tretåig hackspett
Ullticka
Vedflamlav
Vedskivlav
Vedtrappmossa
Violettgrå tagellav
Jättesvampmal
Korallblylav
Nästlav
Vedticka
Fläcknycklar
Revlummer</t>
        </is>
      </c>
      <c r="W6">
        <f>HYPERLINK("https://klasma.github.io/Logging_1737/artfynd/A 61021-2024 artfynd.xlsx", "A 61021-2024")</f>
        <v/>
      </c>
      <c r="X6">
        <f>HYPERLINK("https://klasma.github.io/Logging_1737/kartor/A 61021-2024 karta.png", "A 61021-2024")</f>
        <v/>
      </c>
      <c r="Y6">
        <f>HYPERLINK("https://klasma.github.io/Logging_1737/kartor_geotiff/A 61021-2024 georefererad karta.tif", "A 61021-2024")</f>
        <v/>
      </c>
      <c r="Z6">
        <f>HYPERLINK("https://klasma.github.io/Logging_1737/knärot/A 61021-2024 karta knärot.png", "A 61021-2024")</f>
        <v/>
      </c>
      <c r="AA6">
        <f>HYPERLINK("https://klasma.github.io/Logging_1737/klagomål/A 61021-2024 FSC-klagomål.docx", "A 61021-2024")</f>
        <v/>
      </c>
      <c r="AB6">
        <f>HYPERLINK("https://klasma.github.io/Logging_1737/klagomålsmail/A 61021-2024 FSC-klagomål mail.docx", "A 61021-2024")</f>
        <v/>
      </c>
      <c r="AC6">
        <f>HYPERLINK("https://klasma.github.io/Logging_1737/tillsyn/A 61021-2024 tillsynsbegäran.docx", "A 61021-2024")</f>
        <v/>
      </c>
      <c r="AD6">
        <f>HYPERLINK("https://klasma.github.io/Logging_1737/tillsynsmail/A 61021-2024 tillsynsbegäran mail.docx", "A 61021-2024")</f>
        <v/>
      </c>
      <c r="AE6">
        <f>HYPERLINK("https://klasma.github.io/Logging_1737/fåglar/A 61021-2024 prioriterade fågelarter.docx", "A 61021-2024")</f>
        <v/>
      </c>
    </row>
    <row r="7" ht="15" customHeight="1">
      <c r="A7" t="inlineStr">
        <is>
          <t>A 12434-2026</t>
        </is>
      </c>
      <c r="B7" t="inlineStr">
        <is>
          <t>avverkningsanmälan</t>
        </is>
      </c>
      <c r="C7" t="inlineStr">
        <is>
          <t>Föryngringsavverkning</t>
        </is>
      </c>
      <c r="D7" s="1" t="n">
        <v>46090</v>
      </c>
      <c r="E7" s="1" t="n">
        <v>46307</v>
      </c>
      <c r="F7" t="inlineStr">
        <is>
          <t>VÄRMLANDS LÄN</t>
        </is>
      </c>
      <c r="G7" t="inlineStr">
        <is>
          <t>TORSBY</t>
        </is>
      </c>
      <c r="I7" t="n">
        <v>15.4</v>
      </c>
      <c r="J7" t="n">
        <v>3</v>
      </c>
      <c r="K7" t="n">
        <v>5</v>
      </c>
      <c r="L7" t="n">
        <v>14</v>
      </c>
      <c r="M7" t="n">
        <v>2</v>
      </c>
      <c r="N7" t="n">
        <v>0</v>
      </c>
      <c r="O7" t="n">
        <v>0</v>
      </c>
      <c r="P7" t="n">
        <v>0</v>
      </c>
      <c r="Q7" t="n">
        <v>16</v>
      </c>
      <c r="R7" t="n">
        <v>2</v>
      </c>
      <c r="S7" t="n">
        <v>23</v>
      </c>
      <c r="T7" t="n">
        <v>112</v>
      </c>
      <c r="U7" t="n">
        <v>107</v>
      </c>
      <c r="V7" s="2" t="inlineStr">
        <is>
          <t>Garnlav
Mörk kådsvartspik
Blanksvart spiklav
Blågrå svartspik
Brunpudrad nållav
Dvärgbägarlav
Kolflarnlav
Kortskaftad ärgspik
Lunglav
Mörk kolflarnlav
Skuggblåslav
Tretåig hackspett
Vedflamlav
Vedskivlav
Violettgrå tagellav
Vitgrynig nållav
Gulnål
Korallblylav
Nästlav
Skinnlav
Vedticka
Tjäder
Revlummer</t>
        </is>
      </c>
      <c r="W7">
        <f>HYPERLINK("https://klasma.github.io/Logging_1737/artfynd/A 12434-2026 artfynd.xlsx", "A 12434-2026")</f>
        <v/>
      </c>
      <c r="X7">
        <f>HYPERLINK("https://klasma.github.io/Logging_1737/kartor/A 12434-2026 karta.png", "A 12434-2026")</f>
        <v/>
      </c>
      <c r="Y7">
        <f>HYPERLINK("https://klasma.github.io/Logging_1737/kartor_geotiff/A 12434-2026 georefererad karta.tif", "A 12434-2026")</f>
        <v/>
      </c>
      <c r="AA7">
        <f>HYPERLINK("https://klasma.github.io/Logging_1737/klagomål/A 12434-2026 FSC-klagomål.docx", "A 12434-2026")</f>
        <v/>
      </c>
      <c r="AB7">
        <f>HYPERLINK("https://klasma.github.io/Logging_1737/klagomålsmail/A 12434-2026 FSC-klagomål mail.docx", "A 12434-2026")</f>
        <v/>
      </c>
      <c r="AC7">
        <f>HYPERLINK("https://klasma.github.io/Logging_1737/tillsyn/A 12434-2026 tillsynsbegäran.docx", "A 12434-2026")</f>
        <v/>
      </c>
      <c r="AD7">
        <f>HYPERLINK("https://klasma.github.io/Logging_1737/tillsynsmail/A 12434-2026 tillsynsbegäran mail.docx", "A 12434-2026")</f>
        <v/>
      </c>
      <c r="AE7">
        <f>HYPERLINK("https://klasma.github.io/Logging_1737/fåglar/A 12434-2026 prioriterade fågelarter.docx", "A 12434-2026")</f>
        <v/>
      </c>
    </row>
    <row r="8" ht="15" customHeight="1">
      <c r="A8" t="inlineStr">
        <is>
          <t>S 2893-2022</t>
        </is>
      </c>
      <c r="B8" t="inlineStr">
        <is>
          <t>samrådsanmälan</t>
        </is>
      </c>
      <c r="C8" t="inlineStr">
        <is>
          <t>Askåterföring</t>
        </is>
      </c>
      <c r="D8" s="1" t="n">
        <v>44708</v>
      </c>
      <c r="E8" s="1" t="n">
        <v>46307</v>
      </c>
      <c r="F8" t="inlineStr">
        <is>
          <t>VÄRMLANDS LÄN</t>
        </is>
      </c>
      <c r="G8" t="inlineStr">
        <is>
          <t>KARLSTAD</t>
        </is>
      </c>
      <c r="H8" t="inlineStr">
        <is>
          <t>Kommuner</t>
        </is>
      </c>
      <c r="I8" t="n">
        <v>108.5</v>
      </c>
      <c r="J8" t="n">
        <v>15</v>
      </c>
      <c r="K8" t="n">
        <v>6</v>
      </c>
      <c r="L8" t="n">
        <v>4</v>
      </c>
      <c r="M8" t="n">
        <v>4</v>
      </c>
      <c r="N8" t="n">
        <v>0</v>
      </c>
      <c r="O8" t="n">
        <v>0</v>
      </c>
      <c r="P8" t="n">
        <v>0</v>
      </c>
      <c r="Q8" t="n">
        <v>8</v>
      </c>
      <c r="R8" t="n">
        <v>4</v>
      </c>
      <c r="S8" t="n">
        <v>23</v>
      </c>
      <c r="T8" t="n">
        <v>37</v>
      </c>
      <c r="U8" t="n">
        <v>30</v>
      </c>
      <c r="V8" s="2" t="inlineStr">
        <is>
          <t>Grönfink
Igelkott
Knärot
Silverblåvinge
Duvhök
Gulsparv
Talltita
Tretåig hackspett
Björksplintborre
Blåmossa
Bronshjon
Dolkstekelsglasvinge
Thomsons trägnagare
Vågbandad barkbock
Spillkråka
Gröngöling
Grönsiska
Kråka
Kungsfågel
Kopparödla
Vanlig groda
Vanlig snok
Fläcknycklar</t>
        </is>
      </c>
      <c r="W8">
        <f>HYPERLINK("https://klasma.github.io/Logging_1780/artfynd/S 2893-2022 artfynd.xlsx", "S 2893-2022")</f>
        <v/>
      </c>
      <c r="X8">
        <f>HYPERLINK("https://klasma.github.io/Logging_1780/kartor/S 2893-2022 karta.png", "S 2893-2022")</f>
        <v/>
      </c>
      <c r="Y8">
        <f>HYPERLINK("https://klasma.github.io/Logging_1780/kartor_geotiff/S 2893-2022 georefererad karta.tif", "S 2893-2022")</f>
        <v/>
      </c>
      <c r="Z8">
        <f>HYPERLINK("https://klasma.github.io/Logging_1780/knärot/S 2893-2022 karta knärot.png", "S 2893-2022")</f>
        <v/>
      </c>
      <c r="AA8">
        <f>HYPERLINK("https://klasma.github.io/Logging_1780/klagomål/S 2893-2022 FSC-klagomål.docx", "S 2893-2022")</f>
        <v/>
      </c>
      <c r="AB8">
        <f>HYPERLINK("https://klasma.github.io/Logging_1780/klagomålsmail/S 2893-2022 FSC-klagomål mail.docx", "S 2893-2022")</f>
        <v/>
      </c>
      <c r="AC8">
        <f>HYPERLINK("https://klasma.github.io/Logging_1780/tillsyn/S 2893-2022 tillsynsbegäran.docx", "S 2893-2022")</f>
        <v/>
      </c>
      <c r="AD8">
        <f>HYPERLINK("https://klasma.github.io/Logging_1780/tillsynsmail/S 2893-2022 tillsynsbegäran mail.docx", "S 2893-2022")</f>
        <v/>
      </c>
      <c r="AE8">
        <f>HYPERLINK("https://klasma.github.io/Logging_1780/fåglar/S 2893-2022 prioriterade fågelarter.docx", "S 2893-2022")</f>
        <v/>
      </c>
    </row>
    <row r="9" ht="15" customHeight="1">
      <c r="A9" t="inlineStr">
        <is>
          <t>A 18118-2026</t>
        </is>
      </c>
      <c r="B9" t="inlineStr">
        <is>
          <t>avverkningsanmälan</t>
        </is>
      </c>
      <c r="C9" t="inlineStr">
        <is>
          <t>Föryngringsavverkning</t>
        </is>
      </c>
      <c r="D9" s="1" t="n">
        <v>46125</v>
      </c>
      <c r="E9" s="1" t="n">
        <v>46307</v>
      </c>
      <c r="F9" t="inlineStr">
        <is>
          <t>VÄRMLANDS LÄN</t>
        </is>
      </c>
      <c r="G9" t="inlineStr">
        <is>
          <t>TORSBY</t>
        </is>
      </c>
      <c r="I9" t="n">
        <v>7.4</v>
      </c>
      <c r="J9" t="n">
        <v>2</v>
      </c>
      <c r="K9" t="n">
        <v>5</v>
      </c>
      <c r="L9" t="n">
        <v>15</v>
      </c>
      <c r="M9" t="n">
        <v>1</v>
      </c>
      <c r="N9" t="n">
        <v>0</v>
      </c>
      <c r="O9" t="n">
        <v>0</v>
      </c>
      <c r="P9" t="n">
        <v>0</v>
      </c>
      <c r="Q9" t="n">
        <v>16</v>
      </c>
      <c r="R9" t="n">
        <v>1</v>
      </c>
      <c r="S9" t="n">
        <v>22</v>
      </c>
      <c r="T9" t="n">
        <v>147</v>
      </c>
      <c r="U9" t="n">
        <v>140</v>
      </c>
      <c r="V9" s="2" t="inlineStr">
        <is>
          <t>Garnlav
Blanksvart spiklav
Blå taggsvamp
Brunpudrad nållav
Dropptaggsvamp
Dvärgbägarlav
Gammelgransskål
Kolflarnlav
Kortskaftad ärgspik
Mörk kolflarnlav
Nordtagging
Skrovellav
Skuggblåslav
Tretåig hackspett
Vedskivlav
Violettgrå tagellav
Barkticka
Bollvitmossa
Korallblylav
Nästlav
Skinnlav
Tjäder</t>
        </is>
      </c>
      <c r="W9">
        <f>HYPERLINK("https://klasma.github.io/Logging_1737/artfynd/A 18118-2026 artfynd.xlsx", "A 18118-2026")</f>
        <v/>
      </c>
      <c r="X9">
        <f>HYPERLINK("https://klasma.github.io/Logging_1737/kartor/A 18118-2026 karta.png", "A 18118-2026")</f>
        <v/>
      </c>
      <c r="Y9">
        <f>HYPERLINK("https://klasma.github.io/Logging_1737/kartor_geotiff/A 18118-2026 georefererad karta.tif", "A 18118-2026")</f>
        <v/>
      </c>
      <c r="AA9">
        <f>HYPERLINK("https://klasma.github.io/Logging_1737/klagomål/A 18118-2026 FSC-klagomål.docx", "A 18118-2026")</f>
        <v/>
      </c>
      <c r="AB9">
        <f>HYPERLINK("https://klasma.github.io/Logging_1737/klagomålsmail/A 18118-2026 FSC-klagomål mail.docx", "A 18118-2026")</f>
        <v/>
      </c>
      <c r="AC9">
        <f>HYPERLINK("https://klasma.github.io/Logging_1737/tillsyn/A 18118-2026 tillsynsbegäran.docx", "A 18118-2026")</f>
        <v/>
      </c>
      <c r="AD9">
        <f>HYPERLINK("https://klasma.github.io/Logging_1737/tillsynsmail/A 18118-2026 tillsynsbegäran mail.docx", "A 18118-2026")</f>
        <v/>
      </c>
      <c r="AE9">
        <f>HYPERLINK("https://klasma.github.io/Logging_1737/fåglar/A 18118-2026 prioriterade fågelarter.docx", "A 18118-2026")</f>
        <v/>
      </c>
    </row>
    <row r="10" ht="15" customHeight="1">
      <c r="A10" t="inlineStr">
        <is>
          <t>A 35706-2023</t>
        </is>
      </c>
      <c r="B10" t="inlineStr">
        <is>
          <t>avverkningsanmälan</t>
        </is>
      </c>
      <c r="C10" t="inlineStr">
        <is>
          <t>Föryngringsavverkning</t>
        </is>
      </c>
      <c r="D10" s="1" t="n">
        <v>45147</v>
      </c>
      <c r="E10" s="1" t="n">
        <v>46307</v>
      </c>
      <c r="F10" t="inlineStr">
        <is>
          <t>VÄRMLANDS LÄN</t>
        </is>
      </c>
      <c r="G10" t="inlineStr">
        <is>
          <t>TORSBY</t>
        </is>
      </c>
      <c r="I10" t="n">
        <v>22.5</v>
      </c>
      <c r="J10" t="n">
        <v>2</v>
      </c>
      <c r="K10" t="n">
        <v>5</v>
      </c>
      <c r="L10" t="n">
        <v>15</v>
      </c>
      <c r="M10" t="n">
        <v>1</v>
      </c>
      <c r="N10" t="n">
        <v>0</v>
      </c>
      <c r="O10" t="n">
        <v>0</v>
      </c>
      <c r="P10" t="n">
        <v>0</v>
      </c>
      <c r="Q10" t="n">
        <v>16</v>
      </c>
      <c r="R10" t="n">
        <v>1</v>
      </c>
      <c r="S10" t="n">
        <v>22</v>
      </c>
      <c r="T10" t="n">
        <v>80</v>
      </c>
      <c r="U10" t="n">
        <v>80</v>
      </c>
      <c r="V10" s="2" t="inlineStr">
        <is>
          <t>Garnlav
Brunpudrad nållav
Doftskinn
Dropptaggsvamp
Gammelgransskål
Kolflarnlav
Kortskaftad ärgspik
Lunglav
Mörk kolflarnlav
Skuggblåslav
Stjärntagging
Tretåig hackspett
Ullticka
Vedskivlav
Vedtrappmossa
Violettgrå tagellav
Bronshjon
Bårdlav
Gulnål
Korallblylav
Vedticka
Fläcknycklar</t>
        </is>
      </c>
      <c r="W10">
        <f>HYPERLINK("https://klasma.github.io/Logging_1737/artfynd/A 35706-2023 artfynd.xlsx", "A 35706-2023")</f>
        <v/>
      </c>
      <c r="X10">
        <f>HYPERLINK("https://klasma.github.io/Logging_1737/kartor/A 35706-2023 karta.png", "A 35706-2023")</f>
        <v/>
      </c>
      <c r="Y10">
        <f>HYPERLINK("https://klasma.github.io/Logging_1737/kartor_geotiff/A 35706-2023 georefererad karta.tif", "A 35706-2023")</f>
        <v/>
      </c>
      <c r="AA10">
        <f>HYPERLINK("https://klasma.github.io/Logging_1737/klagomål/A 35706-2023 FSC-klagomål.docx", "A 35706-2023")</f>
        <v/>
      </c>
      <c r="AB10">
        <f>HYPERLINK("https://klasma.github.io/Logging_1737/klagomålsmail/A 35706-2023 FSC-klagomål mail.docx", "A 35706-2023")</f>
        <v/>
      </c>
      <c r="AC10">
        <f>HYPERLINK("https://klasma.github.io/Logging_1737/tillsyn/A 35706-2023 tillsynsbegäran.docx", "A 35706-2023")</f>
        <v/>
      </c>
      <c r="AD10">
        <f>HYPERLINK("https://klasma.github.io/Logging_1737/tillsynsmail/A 35706-2023 tillsynsbegäran mail.docx", "A 35706-2023")</f>
        <v/>
      </c>
      <c r="AE10">
        <f>HYPERLINK("https://klasma.github.io/Logging_1737/fåglar/A 35706-2023 prioriterade fågelarter.docx", "A 35706-2023")</f>
        <v/>
      </c>
    </row>
    <row r="11" ht="15" customHeight="1">
      <c r="A11" t="inlineStr">
        <is>
          <t>A 34924-2026</t>
        </is>
      </c>
      <c r="B11" t="inlineStr">
        <is>
          <t>avverkningsanmälan</t>
        </is>
      </c>
      <c r="C11" t="inlineStr">
        <is>
          <t>Föryngringsavverkning</t>
        </is>
      </c>
      <c r="D11" s="1" t="n">
        <v>46259</v>
      </c>
      <c r="E11" s="1" t="n">
        <v>46307</v>
      </c>
      <c r="F11" t="inlineStr">
        <is>
          <t>VÄRMLANDS LÄN</t>
        </is>
      </c>
      <c r="G11" t="inlineStr">
        <is>
          <t>TORSBY</t>
        </is>
      </c>
      <c r="I11" t="n">
        <v>42</v>
      </c>
      <c r="J11" t="n">
        <v>9</v>
      </c>
      <c r="K11" t="n">
        <v>3</v>
      </c>
      <c r="L11" t="n">
        <v>8</v>
      </c>
      <c r="M11" t="n">
        <v>2</v>
      </c>
      <c r="N11" t="n">
        <v>0</v>
      </c>
      <c r="O11" t="n">
        <v>0</v>
      </c>
      <c r="P11" t="n">
        <v>0</v>
      </c>
      <c r="Q11" t="n">
        <v>10</v>
      </c>
      <c r="R11" t="n">
        <v>2</v>
      </c>
      <c r="S11" t="n">
        <v>21</v>
      </c>
      <c r="T11" t="n">
        <v>90</v>
      </c>
      <c r="U11" t="n">
        <v>90</v>
      </c>
      <c r="V11" s="2" t="inlineStr">
        <is>
          <t>Garnlav
Liten hornflikmossa
Dropptaggsvamp
Fjällig taggsvamp s.str.
Kolflarnlav
Mörk kolflarnlav
Talltita
Tretåig hackspett
Ullticka
Älg
Mindre märgborre
Nästlav
Rödgul trumpetsvamp
Bergfink
Spillkråka
Timmerticka
Tjäder
Tofsmes
Orre
Fläcknycklar
Revlummer</t>
        </is>
      </c>
      <c r="W11">
        <f>HYPERLINK("https://klasma.github.io/Logging_1737/artfynd/A 34924-2026 artfynd.xlsx", "A 34924-2026")</f>
        <v/>
      </c>
      <c r="X11">
        <f>HYPERLINK("https://klasma.github.io/Logging_1737/kartor/A 34924-2026 karta.png", "A 34924-2026")</f>
        <v/>
      </c>
      <c r="Y11">
        <f>HYPERLINK("https://klasma.github.io/Logging_1737/kartor_geotiff/A 34924-2026 georefererad karta.tif", "A 34924-2026")</f>
        <v/>
      </c>
      <c r="AA11">
        <f>HYPERLINK("https://klasma.github.io/Logging_1737/klagomål/A 34924-2026 FSC-klagomål.docx", "A 34924-2026")</f>
        <v/>
      </c>
      <c r="AB11">
        <f>HYPERLINK("https://klasma.github.io/Logging_1737/klagomålsmail/A 34924-2026 FSC-klagomål mail.docx", "A 34924-2026")</f>
        <v/>
      </c>
      <c r="AC11">
        <f>HYPERLINK("https://klasma.github.io/Logging_1737/tillsyn/A 34924-2026 tillsynsbegäran.docx", "A 34924-2026")</f>
        <v/>
      </c>
      <c r="AD11">
        <f>HYPERLINK("https://klasma.github.io/Logging_1737/tillsynsmail/A 34924-2026 tillsynsbegäran mail.docx", "A 34924-2026")</f>
        <v/>
      </c>
      <c r="AE11">
        <f>HYPERLINK("https://klasma.github.io/Logging_1737/fåglar/A 34924-2026 prioriterade fågelarter.docx", "A 34924-2026")</f>
        <v/>
      </c>
    </row>
    <row r="12" ht="15" customHeight="1">
      <c r="A12" t="inlineStr">
        <is>
          <t>S 862-2020</t>
        </is>
      </c>
      <c r="B12" t="inlineStr">
        <is>
          <t>samrådsanmälan</t>
        </is>
      </c>
      <c r="C12" t="inlineStr">
        <is>
          <t>Åtgärd i nyckelbiotop</t>
        </is>
      </c>
      <c r="D12" s="1" t="n">
        <v>43936</v>
      </c>
      <c r="E12" s="1" t="n">
        <v>46307</v>
      </c>
      <c r="F12" t="inlineStr">
        <is>
          <t>VÄRMLANDS LÄN</t>
        </is>
      </c>
      <c r="G12" t="inlineStr">
        <is>
          <t>FILIPSTAD</t>
        </is>
      </c>
      <c r="I12" t="n">
        <v>14.1</v>
      </c>
      <c r="J12" t="n">
        <v>4</v>
      </c>
      <c r="K12" t="n">
        <v>10</v>
      </c>
      <c r="L12" t="n">
        <v>8</v>
      </c>
      <c r="M12" t="n">
        <v>2</v>
      </c>
      <c r="N12" t="n">
        <v>0</v>
      </c>
      <c r="O12" t="n">
        <v>0</v>
      </c>
      <c r="P12" t="n">
        <v>0</v>
      </c>
      <c r="Q12" t="n">
        <v>10</v>
      </c>
      <c r="R12" t="n">
        <v>2</v>
      </c>
      <c r="S12" t="n">
        <v>21</v>
      </c>
      <c r="T12" t="n">
        <v>104</v>
      </c>
      <c r="U12" t="n">
        <v>84</v>
      </c>
      <c r="V12" s="2" t="inlineStr">
        <is>
          <t>Garnlav
Knärot
Brunklöver
Brunpudrad nållav
Dropptaggsvamp
Skuggblåslav
Stjärntagging
Talltita
Ullticka
Vedtrappmossa
Bårdlav
Dvärgtufs
Korallblylav
Korallrot
Platt fjädermossa
Skinnlav
Stuplav
Thomsons trägnagare
Trådticka
Vedticka
Brudsporre</t>
        </is>
      </c>
      <c r="W12">
        <f>HYPERLINK("https://klasma.github.io/Logging_1782/artfynd/S 862-2020 artfynd.xlsx", "S 862-2020")</f>
        <v/>
      </c>
      <c r="X12">
        <f>HYPERLINK("https://klasma.github.io/Logging_1782/kartor/S 862-2020 karta.png", "S 862-2020")</f>
        <v/>
      </c>
      <c r="Y12">
        <f>HYPERLINK("https://klasma.github.io/Logging_1782/kartor_geotiff/S 862-2020 georefererad karta.tif", "S 862-2020")</f>
        <v/>
      </c>
      <c r="Z12">
        <f>HYPERLINK("https://klasma.github.io/Logging_1782/knärot/S 862-2020 karta knärot.png", "S 862-2020")</f>
        <v/>
      </c>
      <c r="AA12">
        <f>HYPERLINK("https://klasma.github.io/Logging_1782/klagomål/S 862-2020 FSC-klagomål.docx", "S 862-2020")</f>
        <v/>
      </c>
      <c r="AB12">
        <f>HYPERLINK("https://klasma.github.io/Logging_1782/klagomålsmail/S 862-2020 FSC-klagomål mail.docx", "S 862-2020")</f>
        <v/>
      </c>
      <c r="AC12">
        <f>HYPERLINK("https://klasma.github.io/Logging_1782/tillsyn/S 862-2020 tillsynsbegäran.docx", "S 862-2020")</f>
        <v/>
      </c>
      <c r="AD12">
        <f>HYPERLINK("https://klasma.github.io/Logging_1782/tillsynsmail/S 862-2020 tillsynsbegäran mail.docx", "S 862-2020")</f>
        <v/>
      </c>
      <c r="AE12">
        <f>HYPERLINK("https://klasma.github.io/Logging_1782/fåglar/S 862-2020 prioriterade fågelarter.docx", "S 862-2020")</f>
        <v/>
      </c>
    </row>
    <row r="13" ht="15" customHeight="1">
      <c r="A13" t="inlineStr">
        <is>
          <t>A 28033-2024</t>
        </is>
      </c>
      <c r="B13" t="inlineStr">
        <is>
          <t>avverkningsanmälan</t>
        </is>
      </c>
      <c r="C13" t="inlineStr">
        <is>
          <t>Föryngringsavverkning</t>
        </is>
      </c>
      <c r="D13" s="1" t="n">
        <v>45476</v>
      </c>
      <c r="E13" s="1" t="n">
        <v>46307</v>
      </c>
      <c r="F13" t="inlineStr">
        <is>
          <t>VÄRMLANDS LÄN</t>
        </is>
      </c>
      <c r="G13" t="inlineStr">
        <is>
          <t>TORSBY</t>
        </is>
      </c>
      <c r="I13" t="n">
        <v>17.7</v>
      </c>
      <c r="J13" t="n">
        <v>1</v>
      </c>
      <c r="K13" t="n">
        <v>4</v>
      </c>
      <c r="L13" t="n">
        <v>13</v>
      </c>
      <c r="M13" t="n">
        <v>2</v>
      </c>
      <c r="N13" t="n">
        <v>0</v>
      </c>
      <c r="O13" t="n">
        <v>0</v>
      </c>
      <c r="P13" t="n">
        <v>0</v>
      </c>
      <c r="Q13" t="n">
        <v>15</v>
      </c>
      <c r="R13" t="n">
        <v>2</v>
      </c>
      <c r="S13" t="n">
        <v>19</v>
      </c>
      <c r="T13" t="n">
        <v>87</v>
      </c>
      <c r="U13" t="n">
        <v>66</v>
      </c>
      <c r="V13" s="2" t="inlineStr">
        <is>
          <t>Garnlav
Norsk näverlav
Brunpudrad nållav
Doftskinn
Gammelgransskål
Kortskaftad ärgspik
Lunglav
Mörk kolflarnlav
Skrovellav
Skuggblåslav
Tretåig hackspett
Ullticka
Vedskivlav
Vedtrappmossa
Violettgrå tagellav
Gulnål
Korallblylav
Stuplav
Vedticka</t>
        </is>
      </c>
      <c r="W13">
        <f>HYPERLINK("https://klasma.github.io/Logging_1737/artfynd/A 28033-2024 artfynd.xlsx", "A 28033-2024")</f>
        <v/>
      </c>
      <c r="X13">
        <f>HYPERLINK("https://klasma.github.io/Logging_1737/kartor/A 28033-2024 karta.png", "A 28033-2024")</f>
        <v/>
      </c>
      <c r="Y13">
        <f>HYPERLINK("https://klasma.github.io/Logging_1737/kartor_geotiff/A 28033-2024 georefererad karta.tif", "A 28033-2024")</f>
        <v/>
      </c>
      <c r="AA13">
        <f>HYPERLINK("https://klasma.github.io/Logging_1737/klagomål/A 28033-2024 FSC-klagomål.docx", "A 28033-2024")</f>
        <v/>
      </c>
      <c r="AB13">
        <f>HYPERLINK("https://klasma.github.io/Logging_1737/klagomålsmail/A 28033-2024 FSC-klagomål mail.docx", "A 28033-2024")</f>
        <v/>
      </c>
      <c r="AC13">
        <f>HYPERLINK("https://klasma.github.io/Logging_1737/tillsyn/A 28033-2024 tillsynsbegäran.docx", "A 28033-2024")</f>
        <v/>
      </c>
      <c r="AD13">
        <f>HYPERLINK("https://klasma.github.io/Logging_1737/tillsynsmail/A 28033-2024 tillsynsbegäran mail.docx", "A 28033-2024")</f>
        <v/>
      </c>
      <c r="AE13">
        <f>HYPERLINK("https://klasma.github.io/Logging_1737/fåglar/A 28033-2024 prioriterade fågelarter.docx", "A 28033-2024")</f>
        <v/>
      </c>
    </row>
    <row r="14" ht="15" customHeight="1">
      <c r="A14" t="inlineStr">
        <is>
          <t>S 450-2026</t>
        </is>
      </c>
      <c r="B14" t="inlineStr">
        <is>
          <t>samrådsanmälan</t>
        </is>
      </c>
      <c r="C14" t="inlineStr">
        <is>
          <t>Annan skogsbruksåtgärd</t>
        </is>
      </c>
      <c r="D14" s="1" t="n">
        <v>46072</v>
      </c>
      <c r="E14" s="1" t="n">
        <v>46307</v>
      </c>
      <c r="F14" t="inlineStr">
        <is>
          <t>VÄRMLANDS LÄN</t>
        </is>
      </c>
      <c r="G14" t="inlineStr">
        <is>
          <t>TORSBY</t>
        </is>
      </c>
      <c r="I14" t="n">
        <v>100.1</v>
      </c>
      <c r="J14" t="n">
        <v>14</v>
      </c>
      <c r="K14" t="n">
        <v>3</v>
      </c>
      <c r="L14" t="n">
        <v>5</v>
      </c>
      <c r="M14" t="n">
        <v>1</v>
      </c>
      <c r="N14" t="n">
        <v>0</v>
      </c>
      <c r="O14" t="n">
        <v>0</v>
      </c>
      <c r="P14" t="n">
        <v>0</v>
      </c>
      <c r="Q14" t="n">
        <v>6</v>
      </c>
      <c r="R14" t="n">
        <v>1</v>
      </c>
      <c r="S14" t="n">
        <v>19</v>
      </c>
      <c r="T14" t="n">
        <v>71</v>
      </c>
      <c r="U14" t="n">
        <v>43</v>
      </c>
      <c r="V14" s="2" t="inlineStr">
        <is>
          <t>Garnlav
Brunlångöra
Nordfladdermus
Talltita
Tretåig hackspett
Violettgrå tagellav
Björksplintborre
Spindelblomster
Svavelriska
Mattlummer
Ormbär
Grönsiska
Kungsfågel
Orre
Vattenfladdermus
Mindre vattensalamander
Vanlig groda
Fläcknycklar
Revlummer</t>
        </is>
      </c>
      <c r="W14">
        <f>HYPERLINK("https://klasma.github.io/Logging_1737/artfynd/S 450-2026 artfynd.xlsx", "S 450-2026")</f>
        <v/>
      </c>
      <c r="X14">
        <f>HYPERLINK("https://klasma.github.io/Logging_1737/kartor/S 450-2026 karta.png", "S 450-2026")</f>
        <v/>
      </c>
      <c r="Y14">
        <f>HYPERLINK("https://klasma.github.io/Logging_1737/kartor_geotiff/S 450-2026 georefererad karta.tif", "S 450-2026")</f>
        <v/>
      </c>
      <c r="AA14">
        <f>HYPERLINK("https://klasma.github.io/Logging_1737/klagomål/S 450-2026 FSC-klagomål.docx", "S 450-2026")</f>
        <v/>
      </c>
      <c r="AB14">
        <f>HYPERLINK("https://klasma.github.io/Logging_1737/klagomålsmail/S 450-2026 FSC-klagomål mail.docx", "S 450-2026")</f>
        <v/>
      </c>
      <c r="AC14">
        <f>HYPERLINK("https://klasma.github.io/Logging_1737/tillsyn/S 450-2026 tillsynsbegäran.docx", "S 450-2026")</f>
        <v/>
      </c>
      <c r="AD14">
        <f>HYPERLINK("https://klasma.github.io/Logging_1737/tillsynsmail/S 450-2026 tillsynsbegäran mail.docx", "S 450-2026")</f>
        <v/>
      </c>
      <c r="AE14">
        <f>HYPERLINK("https://klasma.github.io/Logging_1737/fåglar/S 450-2026 prioriterade fågelarter.docx", "S 450-2026")</f>
        <v/>
      </c>
    </row>
    <row r="15" ht="15" customHeight="1">
      <c r="A15" t="inlineStr">
        <is>
          <t>A 14594-2022</t>
        </is>
      </c>
      <c r="B15" t="inlineStr">
        <is>
          <t>avverkningsanmälan</t>
        </is>
      </c>
      <c r="C15" t="inlineStr">
        <is>
          <t>Föryngringsavverkning</t>
        </is>
      </c>
      <c r="D15" s="1" t="n">
        <v>44655</v>
      </c>
      <c r="E15" s="1" t="n">
        <v>46307</v>
      </c>
      <c r="F15" t="inlineStr">
        <is>
          <t>VÄRMLANDS LÄN</t>
        </is>
      </c>
      <c r="G15" t="inlineStr">
        <is>
          <t>KARLSTAD</t>
        </is>
      </c>
      <c r="H15" t="inlineStr">
        <is>
          <t>Kommuner</t>
        </is>
      </c>
      <c r="I15" t="n">
        <v>11.2</v>
      </c>
      <c r="J15" t="n">
        <v>15</v>
      </c>
      <c r="K15" t="n">
        <v>1</v>
      </c>
      <c r="L15" t="n">
        <v>7</v>
      </c>
      <c r="M15" t="n">
        <v>1</v>
      </c>
      <c r="N15" t="n">
        <v>0</v>
      </c>
      <c r="O15" t="n">
        <v>0</v>
      </c>
      <c r="P15" t="n">
        <v>0</v>
      </c>
      <c r="Q15" t="n">
        <v>8</v>
      </c>
      <c r="R15" t="n">
        <v>1</v>
      </c>
      <c r="S15" t="n">
        <v>17</v>
      </c>
      <c r="T15" t="n">
        <v>19</v>
      </c>
      <c r="U15" t="n">
        <v>18</v>
      </c>
      <c r="V15" s="2" t="inlineStr">
        <is>
          <t>Igelkott
Enkelbeckasin
Grönsångare
Gulsparv
Mindre hackspett
Nordfladdermus
Rödvingetrast
Rördrom
Jättesvampmal
Spillkråka
Dvärgpipistrell
Havsörn
Kungsfågel
Sävsparv
Törnskata
Vattenfladdermus
Ärtsångare</t>
        </is>
      </c>
      <c r="W15">
        <f>HYPERLINK("https://klasma.github.io/Logging_1780/artfynd/A 14594-2022 artfynd.xlsx", "A 14594-2022")</f>
        <v/>
      </c>
      <c r="X15">
        <f>HYPERLINK("https://klasma.github.io/Logging_1780/kartor/A 14594-2022 karta.png", "A 14594-2022")</f>
        <v/>
      </c>
      <c r="Y15">
        <f>HYPERLINK("https://klasma.github.io/Logging_1780/kartor_geotiff/A 14594-2022 georefererad karta.tif", "A 14594-2022")</f>
        <v/>
      </c>
      <c r="AA15">
        <f>HYPERLINK("https://klasma.github.io/Logging_1780/klagomål/A 14594-2022 FSC-klagomål.docx", "A 14594-2022")</f>
        <v/>
      </c>
      <c r="AB15">
        <f>HYPERLINK("https://klasma.github.io/Logging_1780/klagomålsmail/A 14594-2022 FSC-klagomål mail.docx", "A 14594-2022")</f>
        <v/>
      </c>
      <c r="AC15">
        <f>HYPERLINK("https://klasma.github.io/Logging_1780/tillsyn/A 14594-2022 tillsynsbegäran.docx", "A 14594-2022")</f>
        <v/>
      </c>
      <c r="AD15">
        <f>HYPERLINK("https://klasma.github.io/Logging_1780/tillsynsmail/A 14594-2022 tillsynsbegäran mail.docx", "A 14594-2022")</f>
        <v/>
      </c>
      <c r="AE15">
        <f>HYPERLINK("https://klasma.github.io/Logging_1780/fåglar/A 14594-2022 prioriterade fågelarter.docx", "A 14594-2022")</f>
        <v/>
      </c>
    </row>
    <row r="16" ht="15" customHeight="1">
      <c r="A16" t="inlineStr">
        <is>
          <t>A 6315-2025</t>
        </is>
      </c>
      <c r="B16" t="inlineStr">
        <is>
          <t>avverkningsanmälan</t>
        </is>
      </c>
      <c r="C16" t="inlineStr">
        <is>
          <t>Föryngringsavverkning</t>
        </is>
      </c>
      <c r="D16" s="1" t="n">
        <v>45698</v>
      </c>
      <c r="E16" s="1" t="n">
        <v>46307</v>
      </c>
      <c r="F16" t="inlineStr">
        <is>
          <t>VÄRMLANDS LÄN</t>
        </is>
      </c>
      <c r="G16" t="inlineStr">
        <is>
          <t>TORSBY</t>
        </is>
      </c>
      <c r="I16" t="n">
        <v>8.1</v>
      </c>
      <c r="J16" t="n">
        <v>0</v>
      </c>
      <c r="K16" t="n">
        <v>3</v>
      </c>
      <c r="L16" t="n">
        <v>12</v>
      </c>
      <c r="M16" t="n">
        <v>2</v>
      </c>
      <c r="N16" t="n">
        <v>0</v>
      </c>
      <c r="O16" t="n">
        <v>0</v>
      </c>
      <c r="P16" t="n">
        <v>0</v>
      </c>
      <c r="Q16" t="n">
        <v>14</v>
      </c>
      <c r="R16" t="n">
        <v>2</v>
      </c>
      <c r="S16" t="n">
        <v>17</v>
      </c>
      <c r="T16" t="n">
        <v>134</v>
      </c>
      <c r="U16" t="n">
        <v>45</v>
      </c>
      <c r="V16" s="2" t="inlineStr">
        <is>
          <t>Garnlav
Norsk näverlav
Brunpudrad nållav
Doftskinn
Dropptaggsvamp
Dvärgbägarlav
Gammelgransskål
Kolflarnlav
Kortskaftad ärgspik
Motaggsvamp
Mörk kolflarnlav
Skuggblåslav
Vedskivlav
Vedtrappmossa
Bronshjon
Flagellkvastmossa
Gulnål</t>
        </is>
      </c>
      <c r="W16">
        <f>HYPERLINK("https://klasma.github.io/Logging_1737/artfynd/A 6315-2025 artfynd.xlsx", "A 6315-2025")</f>
        <v/>
      </c>
      <c r="X16">
        <f>HYPERLINK("https://klasma.github.io/Logging_1737/kartor/A 6315-2025 karta.png", "A 6315-2025")</f>
        <v/>
      </c>
      <c r="Y16">
        <f>HYPERLINK("https://klasma.github.io/Logging_1737/kartor_geotiff/A 6315-2025 georefererad karta.tif", "A 6315-2025")</f>
        <v/>
      </c>
      <c r="AA16">
        <f>HYPERLINK("https://klasma.github.io/Logging_1737/klagomål/A 6315-2025 FSC-klagomål.docx", "A 6315-2025")</f>
        <v/>
      </c>
      <c r="AB16">
        <f>HYPERLINK("https://klasma.github.io/Logging_1737/klagomålsmail/A 6315-2025 FSC-klagomål mail.docx", "A 6315-2025")</f>
        <v/>
      </c>
      <c r="AC16">
        <f>HYPERLINK("https://klasma.github.io/Logging_1737/tillsyn/A 6315-2025 tillsynsbegäran.docx", "A 6315-2025")</f>
        <v/>
      </c>
      <c r="AD16">
        <f>HYPERLINK("https://klasma.github.io/Logging_1737/tillsynsmail/A 6315-2025 tillsynsbegäran mail.docx", "A 6315-2025")</f>
        <v/>
      </c>
    </row>
    <row r="17" ht="15" customHeight="1">
      <c r="A17" t="inlineStr">
        <is>
          <t>A 42165-2023</t>
        </is>
      </c>
      <c r="B17" t="inlineStr">
        <is>
          <t>avverkningsanmälan</t>
        </is>
      </c>
      <c r="C17" t="inlineStr">
        <is>
          <t>Föryngringsavverkning</t>
        </is>
      </c>
      <c r="D17" s="1" t="n">
        <v>45178</v>
      </c>
      <c r="E17" s="1" t="n">
        <v>46307</v>
      </c>
      <c r="F17" t="inlineStr">
        <is>
          <t>VÄRMLANDS LÄN</t>
        </is>
      </c>
      <c r="G17" t="inlineStr">
        <is>
          <t>EDA</t>
        </is>
      </c>
      <c r="I17" t="n">
        <v>15.6</v>
      </c>
      <c r="J17" t="n">
        <v>2</v>
      </c>
      <c r="K17" t="n">
        <v>11</v>
      </c>
      <c r="L17" t="n">
        <v>3</v>
      </c>
      <c r="M17" t="n">
        <v>1</v>
      </c>
      <c r="N17" t="n">
        <v>0</v>
      </c>
      <c r="O17" t="n">
        <v>0</v>
      </c>
      <c r="P17" t="n">
        <v>0</v>
      </c>
      <c r="Q17" t="n">
        <v>4</v>
      </c>
      <c r="R17" t="n">
        <v>1</v>
      </c>
      <c r="S17" t="n">
        <v>16</v>
      </c>
      <c r="T17" t="n">
        <v>26</v>
      </c>
      <c r="U17" t="n">
        <v>26</v>
      </c>
      <c r="V17" s="2" t="inlineStr">
        <is>
          <t>Garnlav
Kattfotslav
Tretåig hackspett
Vedtrappmossa
Aspvedgnagare
Blek stjärnmossa
Blåsfliksmossa
Klippfrullania
Korallblylav
Mörk husmossa
Skogshakmossa
Stor revmossa
Thomsons trägnagare
Vedticka
Vågbandad barkbock
Blåsippa</t>
        </is>
      </c>
      <c r="W17">
        <f>HYPERLINK("https://klasma.github.io/Logging_1730/artfynd/A 42165-2023 artfynd.xlsx", "A 42165-2023")</f>
        <v/>
      </c>
      <c r="X17">
        <f>HYPERLINK("https://klasma.github.io/Logging_1730/kartor/A 42165-2023 karta.png", "A 42165-2023")</f>
        <v/>
      </c>
      <c r="Y17">
        <f>HYPERLINK("https://klasma.github.io/Logging_1730/kartor_geotiff/A 42165-2023 georefererad karta.tif", "A 42165-2023")</f>
        <v/>
      </c>
      <c r="AA17">
        <f>HYPERLINK("https://klasma.github.io/Logging_1730/klagomål/A 42165-2023 FSC-klagomål.docx", "A 42165-2023")</f>
        <v/>
      </c>
      <c r="AB17">
        <f>HYPERLINK("https://klasma.github.io/Logging_1730/klagomålsmail/A 42165-2023 FSC-klagomål mail.docx", "A 42165-2023")</f>
        <v/>
      </c>
      <c r="AC17">
        <f>HYPERLINK("https://klasma.github.io/Logging_1730/tillsyn/A 42165-2023 tillsynsbegäran.docx", "A 42165-2023")</f>
        <v/>
      </c>
      <c r="AD17">
        <f>HYPERLINK("https://klasma.github.io/Logging_1730/tillsynsmail/A 42165-2023 tillsynsbegäran mail.docx", "A 42165-2023")</f>
        <v/>
      </c>
      <c r="AE17">
        <f>HYPERLINK("https://klasma.github.io/Logging_1730/fåglar/A 42165-2023 prioriterade fågelarter.docx", "A 42165-2023")</f>
        <v/>
      </c>
    </row>
    <row r="18" ht="15" customHeight="1">
      <c r="A18" t="inlineStr">
        <is>
          <t>A 20818-2025</t>
        </is>
      </c>
      <c r="B18" t="inlineStr">
        <is>
          <t>avverkningsanmälan</t>
        </is>
      </c>
      <c r="C18" t="inlineStr">
        <is>
          <t>Föryngringsavverkning</t>
        </is>
      </c>
      <c r="D18" s="1" t="n">
        <v>45776</v>
      </c>
      <c r="E18" s="1" t="n">
        <v>46307</v>
      </c>
      <c r="F18" t="inlineStr">
        <is>
          <t>VÄRMLANDS LÄN</t>
        </is>
      </c>
      <c r="G18" t="inlineStr">
        <is>
          <t>TORSBY</t>
        </is>
      </c>
      <c r="I18" t="n">
        <v>13.9</v>
      </c>
      <c r="J18" t="n">
        <v>2</v>
      </c>
      <c r="K18" t="n">
        <v>5</v>
      </c>
      <c r="L18" t="n">
        <v>9</v>
      </c>
      <c r="M18" t="n">
        <v>2</v>
      </c>
      <c r="N18" t="n">
        <v>0</v>
      </c>
      <c r="O18" t="n">
        <v>0</v>
      </c>
      <c r="P18" t="n">
        <v>0</v>
      </c>
      <c r="Q18" t="n">
        <v>11</v>
      </c>
      <c r="R18" t="n">
        <v>2</v>
      </c>
      <c r="S18" t="n">
        <v>16</v>
      </c>
      <c r="T18" t="n">
        <v>42</v>
      </c>
      <c r="U18" t="n">
        <v>17</v>
      </c>
      <c r="V18" s="2" t="inlineStr">
        <is>
          <t>Garnlav
Knärot
Dvärgbägarlav
Kortskaftad ärgspik
Lunglav
Oljetagging
Skrovellav
Stiftgelélav
Tretåig hackspett
Vedskivlav
Vedtrappmossa
Barkticka
Bårdlav
Korallblylav
Stuplav
Traslav</t>
        </is>
      </c>
      <c r="W18">
        <f>HYPERLINK("https://klasma.github.io/Logging_1737/artfynd/A 20818-2025 artfynd.xlsx", "A 20818-2025")</f>
        <v/>
      </c>
      <c r="X18">
        <f>HYPERLINK("https://klasma.github.io/Logging_1737/kartor/A 20818-2025 karta.png", "A 20818-2025")</f>
        <v/>
      </c>
      <c r="Y18">
        <f>HYPERLINK("https://klasma.github.io/Logging_1737/kartor_geotiff/A 20818-2025 georefererad karta.tif", "A 20818-2025")</f>
        <v/>
      </c>
      <c r="Z18">
        <f>HYPERLINK("https://klasma.github.io/Logging_1737/knärot/A 20818-2025 karta knärot.png", "A 20818-2025")</f>
        <v/>
      </c>
      <c r="AA18">
        <f>HYPERLINK("https://klasma.github.io/Logging_1737/klagomål/A 20818-2025 FSC-klagomål.docx", "A 20818-2025")</f>
        <v/>
      </c>
      <c r="AB18">
        <f>HYPERLINK("https://klasma.github.io/Logging_1737/klagomålsmail/A 20818-2025 FSC-klagomål mail.docx", "A 20818-2025")</f>
        <v/>
      </c>
      <c r="AC18">
        <f>HYPERLINK("https://klasma.github.io/Logging_1737/tillsyn/A 20818-2025 tillsynsbegäran.docx", "A 20818-2025")</f>
        <v/>
      </c>
      <c r="AD18">
        <f>HYPERLINK("https://klasma.github.io/Logging_1737/tillsynsmail/A 20818-2025 tillsynsbegäran mail.docx", "A 20818-2025")</f>
        <v/>
      </c>
      <c r="AE18">
        <f>HYPERLINK("https://klasma.github.io/Logging_1737/fåglar/A 20818-2025 prioriterade fågelarter.docx", "A 20818-2025")</f>
        <v/>
      </c>
    </row>
    <row r="19" ht="15" customHeight="1">
      <c r="A19" t="inlineStr">
        <is>
          <t>S 667-2023</t>
        </is>
      </c>
      <c r="B19" t="inlineStr">
        <is>
          <t>samrådsanmälan</t>
        </is>
      </c>
      <c r="C19" t="inlineStr">
        <is>
          <t>Askåterföring</t>
        </is>
      </c>
      <c r="D19" s="1" t="n">
        <v>44978</v>
      </c>
      <c r="E19" s="1" t="n">
        <v>46307</v>
      </c>
      <c r="F19" t="inlineStr">
        <is>
          <t>VÄRMLANDS LÄN</t>
        </is>
      </c>
      <c r="G19" t="inlineStr">
        <is>
          <t>GRUMS</t>
        </is>
      </c>
      <c r="H19" t="inlineStr">
        <is>
          <t>Bergvik skog väst AB</t>
        </is>
      </c>
      <c r="I19" t="n">
        <v>287.7</v>
      </c>
      <c r="J19" t="n">
        <v>10</v>
      </c>
      <c r="K19" t="n">
        <v>2</v>
      </c>
      <c r="L19" t="n">
        <v>6</v>
      </c>
      <c r="M19" t="n">
        <v>1</v>
      </c>
      <c r="N19" t="n">
        <v>0</v>
      </c>
      <c r="O19" t="n">
        <v>0</v>
      </c>
      <c r="P19" t="n">
        <v>0</v>
      </c>
      <c r="Q19" t="n">
        <v>7</v>
      </c>
      <c r="R19" t="n">
        <v>1</v>
      </c>
      <c r="S19" t="n">
        <v>16</v>
      </c>
      <c r="T19" t="n">
        <v>22</v>
      </c>
      <c r="U19" t="n">
        <v>20</v>
      </c>
      <c r="V19" s="2" t="inlineStr">
        <is>
          <t>Garnlav
Gulsparv
Kungsörn
Motaggsvamp
Talltita
Vedskivlav
Vedtrappmossa
Flagellkvastmossa
Strutbräken
Mattlummer
Spillkråka
Tjäder
Röd glada
Trana
Fläcknycklar
Revlummer</t>
        </is>
      </c>
      <c r="W19">
        <f>HYPERLINK("https://klasma.github.io/Logging_1764/artfynd/S 667-2023 artfynd.xlsx", "S 667-2023")</f>
        <v/>
      </c>
      <c r="X19">
        <f>HYPERLINK("https://klasma.github.io/Logging_1764/kartor/S 667-2023 karta.png", "S 667-2023")</f>
        <v/>
      </c>
      <c r="Y19">
        <f>HYPERLINK("https://klasma.github.io/Logging_1764/kartor_geotiff/S 667-2023 georefererad karta.tif", "S 667-2023")</f>
        <v/>
      </c>
      <c r="AA19">
        <f>HYPERLINK("https://klasma.github.io/Logging_1764/klagomål/S 667-2023 FSC-klagomål.docx", "S 667-2023")</f>
        <v/>
      </c>
      <c r="AB19">
        <f>HYPERLINK("https://klasma.github.io/Logging_1764/klagomålsmail/S 667-2023 FSC-klagomål mail.docx", "S 667-2023")</f>
        <v/>
      </c>
      <c r="AC19">
        <f>HYPERLINK("https://klasma.github.io/Logging_1764/tillsyn/S 667-2023 tillsynsbegäran.docx", "S 667-2023")</f>
        <v/>
      </c>
      <c r="AD19">
        <f>HYPERLINK("https://klasma.github.io/Logging_1764/tillsynsmail/S 667-2023 tillsynsbegäran mail.docx", "S 667-2023")</f>
        <v/>
      </c>
      <c r="AE19">
        <f>HYPERLINK("https://klasma.github.io/Logging_1764/fåglar/S 667-2023 prioriterade fågelarter.docx", "S 667-2023")</f>
        <v/>
      </c>
    </row>
    <row r="20" ht="15" customHeight="1">
      <c r="A20" t="inlineStr">
        <is>
          <t>A 18308-2024</t>
        </is>
      </c>
      <c r="B20" t="inlineStr">
        <is>
          <t>avverkningsanmälan</t>
        </is>
      </c>
      <c r="C20" t="inlineStr">
        <is>
          <t>Föryngringsavverkning</t>
        </is>
      </c>
      <c r="D20" s="1" t="n">
        <v>45422</v>
      </c>
      <c r="E20" s="1" t="n">
        <v>46307</v>
      </c>
      <c r="F20" t="inlineStr">
        <is>
          <t>VÄRMLANDS LÄN</t>
        </is>
      </c>
      <c r="G20" t="inlineStr">
        <is>
          <t>TORSBY</t>
        </is>
      </c>
      <c r="I20" t="n">
        <v>1.8</v>
      </c>
      <c r="J20" t="n">
        <v>0</v>
      </c>
      <c r="K20" t="n">
        <v>5</v>
      </c>
      <c r="L20" t="n">
        <v>7</v>
      </c>
      <c r="M20" t="n">
        <v>2</v>
      </c>
      <c r="N20" t="n">
        <v>0</v>
      </c>
      <c r="O20" t="n">
        <v>0</v>
      </c>
      <c r="P20" t="n">
        <v>0</v>
      </c>
      <c r="Q20" t="n">
        <v>9</v>
      </c>
      <c r="R20" t="n">
        <v>2</v>
      </c>
      <c r="S20" t="n">
        <v>14</v>
      </c>
      <c r="T20" t="n">
        <v>14</v>
      </c>
      <c r="U20" t="n">
        <v>0</v>
      </c>
      <c r="V20" s="2" t="inlineStr">
        <is>
          <t>Gränsticka
Norsk näverlav
Kattfotslav
Kortskaftad ärgspik
Lunglav
Skuggblåslav
Ullticka
Vedtrappmossa
Violettgrå tagellav
Bårdlav
Korallblylav
Skinnlav
Stuplav
Vedticka</t>
        </is>
      </c>
      <c r="W20">
        <f>HYPERLINK("https://klasma.github.io/Logging_1737/artfynd/A 18308-2024 artfynd.xlsx", "A 18308-2024")</f>
        <v/>
      </c>
      <c r="X20">
        <f>HYPERLINK("https://klasma.github.io/Logging_1737/kartor/A 18308-2024 karta.png", "A 18308-2024")</f>
        <v/>
      </c>
      <c r="Y20">
        <f>HYPERLINK("https://klasma.github.io/Logging_1737/kartor_geotiff/A 18308-2024 georefererad karta.tif", "A 18308-2024")</f>
        <v/>
      </c>
      <c r="AA20">
        <f>HYPERLINK("https://klasma.github.io/Logging_1737/klagomål/A 18308-2024 FSC-klagomål.docx", "A 18308-2024")</f>
        <v/>
      </c>
      <c r="AB20">
        <f>HYPERLINK("https://klasma.github.io/Logging_1737/klagomålsmail/A 18308-2024 FSC-klagomål mail.docx", "A 18308-2024")</f>
        <v/>
      </c>
      <c r="AC20">
        <f>HYPERLINK("https://klasma.github.io/Logging_1737/tillsyn/A 18308-2024 tillsynsbegäran.docx", "A 18308-2024")</f>
        <v/>
      </c>
      <c r="AD20">
        <f>HYPERLINK("https://klasma.github.io/Logging_1737/tillsynsmail/A 18308-2024 tillsynsbegäran mail.docx", "A 18308-2024")</f>
        <v/>
      </c>
    </row>
    <row r="21" ht="15" customHeight="1">
      <c r="A21" t="inlineStr">
        <is>
          <t>A 27001-2025</t>
        </is>
      </c>
      <c r="B21" t="inlineStr">
        <is>
          <t>avverkningsanmälan</t>
        </is>
      </c>
      <c r="C21" t="inlineStr">
        <is>
          <t>Föryngringsavverkning</t>
        </is>
      </c>
      <c r="D21" s="1" t="n">
        <v>45811</v>
      </c>
      <c r="E21" s="1" t="n">
        <v>46307</v>
      </c>
      <c r="F21" t="inlineStr">
        <is>
          <t>VÄRMLANDS LÄN</t>
        </is>
      </c>
      <c r="G21" t="inlineStr">
        <is>
          <t>ÅRJÄNG</t>
        </is>
      </c>
      <c r="I21" t="n">
        <v>3</v>
      </c>
      <c r="J21" t="n">
        <v>3</v>
      </c>
      <c r="K21" t="n">
        <v>1</v>
      </c>
      <c r="L21" t="n">
        <v>7</v>
      </c>
      <c r="M21" t="n">
        <v>3</v>
      </c>
      <c r="N21" t="n">
        <v>0</v>
      </c>
      <c r="O21" t="n">
        <v>0</v>
      </c>
      <c r="P21" t="n">
        <v>0</v>
      </c>
      <c r="Q21" t="n">
        <v>10</v>
      </c>
      <c r="R21" t="n">
        <v>3</v>
      </c>
      <c r="S21" t="n">
        <v>14</v>
      </c>
      <c r="T21" t="n">
        <v>16</v>
      </c>
      <c r="U21" t="n">
        <v>2</v>
      </c>
      <c r="V21" s="2" t="inlineStr">
        <is>
          <t>Mindre bastardsvärmare
Slåttergubbe
Ängsblåvinge
Jungfrulin
Lunglav
Slåtterfibbla
Sotnätfjäril
Svinrot
Vitfläckig guldvinge
Ängsmetallvinge
Dvärgtufs
Brudsporre
Fläcknycklar
Grönvit nattviol</t>
        </is>
      </c>
      <c r="W21">
        <f>HYPERLINK("https://klasma.github.io/Logging_1765/artfynd/A 27001-2025 artfynd.xlsx", "A 27001-2025")</f>
        <v/>
      </c>
      <c r="X21">
        <f>HYPERLINK("https://klasma.github.io/Logging_1765/kartor/A 27001-2025 karta.png", "A 27001-2025")</f>
        <v/>
      </c>
      <c r="Y21">
        <f>HYPERLINK("https://klasma.github.io/Logging_1765/kartor_geotiff/A 27001-2025 georefererad karta.tif", "A 27001-2025")</f>
        <v/>
      </c>
      <c r="AA21">
        <f>HYPERLINK("https://klasma.github.io/Logging_1765/klagomål/A 27001-2025 FSC-klagomål.docx", "A 27001-2025")</f>
        <v/>
      </c>
      <c r="AB21">
        <f>HYPERLINK("https://klasma.github.io/Logging_1765/klagomålsmail/A 27001-2025 FSC-klagomål mail.docx", "A 27001-2025")</f>
        <v/>
      </c>
      <c r="AC21">
        <f>HYPERLINK("https://klasma.github.io/Logging_1765/tillsyn/A 27001-2025 tillsynsbegäran.docx", "A 27001-2025")</f>
        <v/>
      </c>
      <c r="AD21">
        <f>HYPERLINK("https://klasma.github.io/Logging_1765/tillsynsmail/A 27001-2025 tillsynsbegäran mail.docx", "A 27001-2025")</f>
        <v/>
      </c>
    </row>
    <row r="22" ht="15" customHeight="1">
      <c r="A22" t="inlineStr">
        <is>
          <t>A 44460-2023</t>
        </is>
      </c>
      <c r="B22" t="inlineStr">
        <is>
          <t>avverkningsanmälan</t>
        </is>
      </c>
      <c r="C22" t="inlineStr">
        <is>
          <t>Föryngringsavverkning</t>
        </is>
      </c>
      <c r="D22" s="1" t="n">
        <v>45189</v>
      </c>
      <c r="E22" s="1" t="n">
        <v>46307</v>
      </c>
      <c r="F22" t="inlineStr">
        <is>
          <t>VÄRMLANDS LÄN</t>
        </is>
      </c>
      <c r="G22" t="inlineStr">
        <is>
          <t>TORSBY</t>
        </is>
      </c>
      <c r="I22" t="n">
        <v>9.199999999999999</v>
      </c>
      <c r="J22" t="n">
        <v>3</v>
      </c>
      <c r="K22" t="n">
        <v>2</v>
      </c>
      <c r="L22" t="n">
        <v>10</v>
      </c>
      <c r="M22" t="n">
        <v>1</v>
      </c>
      <c r="N22" t="n">
        <v>0</v>
      </c>
      <c r="O22" t="n">
        <v>0</v>
      </c>
      <c r="P22" t="n">
        <v>0</v>
      </c>
      <c r="Q22" t="n">
        <v>11</v>
      </c>
      <c r="R22" t="n">
        <v>1</v>
      </c>
      <c r="S22" t="n">
        <v>14</v>
      </c>
      <c r="T22" t="n">
        <v>29</v>
      </c>
      <c r="U22" t="n">
        <v>29</v>
      </c>
      <c r="V22" s="2" t="inlineStr">
        <is>
          <t>Skrovlig taggsvamp
Björktrast
Blanksvart spiklav
Dropptaggsvamp
Motaggsvamp
Mörk kolflarnlav
Skarp dropptaggsvamp
Talltita
Vedflamlav
Vedskivlav
Vitplätt
Mindre märgborre
Nästlav
Orre</t>
        </is>
      </c>
      <c r="W22">
        <f>HYPERLINK("https://klasma.github.io/Logging_1737/artfynd/A 44460-2023 artfynd.xlsx", "A 44460-2023")</f>
        <v/>
      </c>
      <c r="X22">
        <f>HYPERLINK("https://klasma.github.io/Logging_1737/kartor/A 44460-2023 karta.png", "A 44460-2023")</f>
        <v/>
      </c>
      <c r="Y22">
        <f>HYPERLINK("https://klasma.github.io/Logging_1737/kartor_geotiff/A 44460-2023 georefererad karta.tif", "A 44460-2023")</f>
        <v/>
      </c>
      <c r="AA22">
        <f>HYPERLINK("https://klasma.github.io/Logging_1737/klagomål/A 44460-2023 FSC-klagomål.docx", "A 44460-2023")</f>
        <v/>
      </c>
      <c r="AB22">
        <f>HYPERLINK("https://klasma.github.io/Logging_1737/klagomålsmail/A 44460-2023 FSC-klagomål mail.docx", "A 44460-2023")</f>
        <v/>
      </c>
      <c r="AC22">
        <f>HYPERLINK("https://klasma.github.io/Logging_1737/tillsyn/A 44460-2023 tillsynsbegäran.docx", "A 44460-2023")</f>
        <v/>
      </c>
      <c r="AD22">
        <f>HYPERLINK("https://klasma.github.io/Logging_1737/tillsynsmail/A 44460-2023 tillsynsbegäran mail.docx", "A 44460-2023")</f>
        <v/>
      </c>
      <c r="AE22">
        <f>HYPERLINK("https://klasma.github.io/Logging_1737/fåglar/A 44460-2023 prioriterade fågelarter.docx", "A 44460-2023")</f>
        <v/>
      </c>
    </row>
    <row r="23" ht="15" customHeight="1">
      <c r="A23" t="inlineStr">
        <is>
          <t>A 30108-2026</t>
        </is>
      </c>
      <c r="B23" t="inlineStr">
        <is>
          <t>avverkningsanmälan</t>
        </is>
      </c>
      <c r="C23" t="inlineStr">
        <is>
          <t>Föryngringsavverkning</t>
        </is>
      </c>
      <c r="D23" s="1" t="n">
        <v>46206</v>
      </c>
      <c r="E23" s="1" t="n">
        <v>46307</v>
      </c>
      <c r="F23" t="inlineStr">
        <is>
          <t>VÄRMLANDS LÄN</t>
        </is>
      </c>
      <c r="G23" t="inlineStr">
        <is>
          <t>TORSBY</t>
        </is>
      </c>
      <c r="I23" t="n">
        <v>9.300000000000001</v>
      </c>
      <c r="J23" t="n">
        <v>1</v>
      </c>
      <c r="K23" t="n">
        <v>2</v>
      </c>
      <c r="L23" t="n">
        <v>11</v>
      </c>
      <c r="M23" t="n">
        <v>1</v>
      </c>
      <c r="N23" t="n">
        <v>0</v>
      </c>
      <c r="O23" t="n">
        <v>0</v>
      </c>
      <c r="P23" t="n">
        <v>0</v>
      </c>
      <c r="Q23" t="n">
        <v>12</v>
      </c>
      <c r="R23" t="n">
        <v>1</v>
      </c>
      <c r="S23" t="n">
        <v>14</v>
      </c>
      <c r="T23" t="n">
        <v>60</v>
      </c>
      <c r="U23" t="n">
        <v>59</v>
      </c>
      <c r="V23" s="2" t="inlineStr">
        <is>
          <t>Garnlav
Dropptaggsvamp
Dvärgbägarlav
Kolflarnlav
Kortskaftad ärgspik
Lunglav
Mörk kolflarnlav
Tretåig hackspett
Vedflamlav
Vedskivlav
Vedtrappmossa
Violettgrå tagellav
Luddlav
Nästlav</t>
        </is>
      </c>
      <c r="W23">
        <f>HYPERLINK("https://klasma.github.io/Logging_1737/artfynd/A 30108-2026 artfynd.xlsx", "A 30108-2026")</f>
        <v/>
      </c>
      <c r="X23">
        <f>HYPERLINK("https://klasma.github.io/Logging_1737/kartor/A 30108-2026 karta.png", "A 30108-2026")</f>
        <v/>
      </c>
      <c r="Y23">
        <f>HYPERLINK("https://klasma.github.io/Logging_1737/kartor_geotiff/A 30108-2026 georefererad karta.tif", "A 30108-2026")</f>
        <v/>
      </c>
      <c r="AA23">
        <f>HYPERLINK("https://klasma.github.io/Logging_1737/klagomål/A 30108-2026 FSC-klagomål.docx", "A 30108-2026")</f>
        <v/>
      </c>
      <c r="AB23">
        <f>HYPERLINK("https://klasma.github.io/Logging_1737/klagomålsmail/A 30108-2026 FSC-klagomål mail.docx", "A 30108-2026")</f>
        <v/>
      </c>
      <c r="AC23">
        <f>HYPERLINK("https://klasma.github.io/Logging_1737/tillsyn/A 30108-2026 tillsynsbegäran.docx", "A 30108-2026")</f>
        <v/>
      </c>
      <c r="AD23">
        <f>HYPERLINK("https://klasma.github.io/Logging_1737/tillsynsmail/A 30108-2026 tillsynsbegäran mail.docx", "A 30108-2026")</f>
        <v/>
      </c>
      <c r="AE23">
        <f>HYPERLINK("https://klasma.github.io/Logging_1737/fåglar/A 30108-2026 prioriterade fågelarter.docx", "A 30108-2026")</f>
        <v/>
      </c>
    </row>
    <row r="24" ht="15" customHeight="1">
      <c r="A24" t="inlineStr">
        <is>
          <t>S 485-2024</t>
        </is>
      </c>
      <c r="B24" t="inlineStr">
        <is>
          <t>samrådsanmälan</t>
        </is>
      </c>
      <c r="C24" t="inlineStr">
        <is>
          <t>Askåterföring</t>
        </is>
      </c>
      <c r="D24" s="1" t="n">
        <v>45343</v>
      </c>
      <c r="E24" s="1" t="n">
        <v>46307</v>
      </c>
      <c r="F24" t="inlineStr">
        <is>
          <t>VÄRMLANDS LÄN</t>
        </is>
      </c>
      <c r="G24" t="inlineStr">
        <is>
          <t>GRUMS</t>
        </is>
      </c>
      <c r="H24" t="inlineStr">
        <is>
          <t>Bergvik skog väst AB</t>
        </is>
      </c>
      <c r="I24" t="n">
        <v>137.9</v>
      </c>
      <c r="J24" t="n">
        <v>7</v>
      </c>
      <c r="K24" t="n">
        <v>1</v>
      </c>
      <c r="L24" t="n">
        <v>9</v>
      </c>
      <c r="M24" t="n">
        <v>0</v>
      </c>
      <c r="N24" t="n">
        <v>0</v>
      </c>
      <c r="O24" t="n">
        <v>0</v>
      </c>
      <c r="P24" t="n">
        <v>0</v>
      </c>
      <c r="Q24" t="n">
        <v>9</v>
      </c>
      <c r="R24" t="n">
        <v>0</v>
      </c>
      <c r="S24" t="n">
        <v>14</v>
      </c>
      <c r="T24" t="n">
        <v>46</v>
      </c>
      <c r="U24" t="n">
        <v>37</v>
      </c>
      <c r="V24" s="2" t="inlineStr">
        <is>
          <t>Brunlångöra
Dropptaggsvamp
Dvärgbägarlav
Gulsparv
Kattfotslav
Motaggsvamp
Nordfladdermus
Svartvit taggsvamp
Vedskivlav
Flagellkvastmossa
Tjäder
Dvärgpipistrell
Orre
Större brunfladdermus</t>
        </is>
      </c>
      <c r="W24">
        <f>HYPERLINK("https://klasma.github.io/Logging_1764/artfynd/S 485-2024 artfynd.xlsx", "S 485-2024")</f>
        <v/>
      </c>
      <c r="X24">
        <f>HYPERLINK("https://klasma.github.io/Logging_1764/kartor/S 485-2024 karta.png", "S 485-2024")</f>
        <v/>
      </c>
      <c r="Y24">
        <f>HYPERLINK("https://klasma.github.io/Logging_1764/kartor_geotiff/S 485-2024 georefererad karta.tif", "S 485-2024")</f>
        <v/>
      </c>
      <c r="AA24">
        <f>HYPERLINK("https://klasma.github.io/Logging_1764/klagomål/S 485-2024 FSC-klagomål.docx", "S 485-2024")</f>
        <v/>
      </c>
      <c r="AB24">
        <f>HYPERLINK("https://klasma.github.io/Logging_1764/klagomålsmail/S 485-2024 FSC-klagomål mail.docx", "S 485-2024")</f>
        <v/>
      </c>
      <c r="AC24">
        <f>HYPERLINK("https://klasma.github.io/Logging_1764/tillsyn/S 485-2024 tillsynsbegäran.docx", "S 485-2024")</f>
        <v/>
      </c>
      <c r="AD24">
        <f>HYPERLINK("https://klasma.github.io/Logging_1764/tillsynsmail/S 485-2024 tillsynsbegäran mail.docx", "S 485-2024")</f>
        <v/>
      </c>
      <c r="AE24">
        <f>HYPERLINK("https://klasma.github.io/Logging_1764/fåglar/S 485-2024 prioriterade fågelarter.docx", "S 485-2024")</f>
        <v/>
      </c>
    </row>
    <row r="25" ht="15" customHeight="1">
      <c r="A25" t="inlineStr">
        <is>
          <t>A 53132-2023</t>
        </is>
      </c>
      <c r="B25" t="inlineStr">
        <is>
          <t>avverkningsanmälan</t>
        </is>
      </c>
      <c r="C25" t="inlineStr">
        <is>
          <t>Föryngringsavverkning</t>
        </is>
      </c>
      <c r="D25" s="1" t="n">
        <v>45229</v>
      </c>
      <c r="E25" s="1" t="n">
        <v>46307</v>
      </c>
      <c r="F25" t="inlineStr">
        <is>
          <t>VÄRMLANDS LÄN</t>
        </is>
      </c>
      <c r="G25" t="inlineStr">
        <is>
          <t>KRISTINEHAMN</t>
        </is>
      </c>
      <c r="I25" t="n">
        <v>4.9</v>
      </c>
      <c r="J25" t="n">
        <v>5</v>
      </c>
      <c r="K25" t="n">
        <v>7</v>
      </c>
      <c r="L25" t="n">
        <v>3</v>
      </c>
      <c r="M25" t="n">
        <v>0</v>
      </c>
      <c r="N25" t="n">
        <v>1</v>
      </c>
      <c r="O25" t="n">
        <v>0</v>
      </c>
      <c r="P25" t="n">
        <v>0</v>
      </c>
      <c r="Q25" t="n">
        <v>4</v>
      </c>
      <c r="R25" t="n">
        <v>1</v>
      </c>
      <c r="S25" t="n">
        <v>13</v>
      </c>
      <c r="T25" t="n">
        <v>49</v>
      </c>
      <c r="U25" t="n">
        <v>27</v>
      </c>
      <c r="V25" s="2" t="inlineStr">
        <is>
          <t>Bombmurkla
Talltita
Ullticka
Vedtrappmossa
Brandticka
Bronshjon
Bårdlav
Grön sköldmossa
Grönpyrola
Kamjordstjärna
Vågbandad barkbock
Blåsippa
Järpe</t>
        </is>
      </c>
      <c r="W25">
        <f>HYPERLINK("https://klasma.github.io/Logging_1781/artfynd/A 53132-2023 artfynd.xlsx", "A 53132-2023")</f>
        <v/>
      </c>
      <c r="X25">
        <f>HYPERLINK("https://klasma.github.io/Logging_1781/kartor/A 53132-2023 karta.png", "A 53132-2023")</f>
        <v/>
      </c>
      <c r="Y25">
        <f>HYPERLINK("https://klasma.github.io/Logging_1781/kartor_geotiff/A 53132-2023 georefererad karta.tif", "A 53132-2023")</f>
        <v/>
      </c>
      <c r="Z25">
        <f>HYPERLINK("https://klasma.github.io/Logging_1781/knärot/A 53132-2023 karta knärot.png", "A 53132-2023")</f>
        <v/>
      </c>
      <c r="AA25">
        <f>HYPERLINK("https://klasma.github.io/Logging_1781/klagomål/A 53132-2023 FSC-klagomål.docx", "A 53132-2023")</f>
        <v/>
      </c>
      <c r="AB25">
        <f>HYPERLINK("https://klasma.github.io/Logging_1781/klagomålsmail/A 53132-2023 FSC-klagomål mail.docx", "A 53132-2023")</f>
        <v/>
      </c>
      <c r="AC25">
        <f>HYPERLINK("https://klasma.github.io/Logging_1781/tillsyn/A 53132-2023 tillsynsbegäran.docx", "A 53132-2023")</f>
        <v/>
      </c>
      <c r="AD25">
        <f>HYPERLINK("https://klasma.github.io/Logging_1781/tillsynsmail/A 53132-2023 tillsynsbegäran mail.docx", "A 53132-2023")</f>
        <v/>
      </c>
      <c r="AE25">
        <f>HYPERLINK("https://klasma.github.io/Logging_1781/fåglar/A 53132-2023 prioriterade fågelarter.docx", "A 53132-2023")</f>
        <v/>
      </c>
    </row>
    <row r="26" ht="15" customHeight="1">
      <c r="A26" t="inlineStr">
        <is>
          <t>A 33211-2024</t>
        </is>
      </c>
      <c r="B26" t="inlineStr">
        <is>
          <t>avverkningsanmälan</t>
        </is>
      </c>
      <c r="C26" t="inlineStr">
        <is>
          <t>Föryngringsavverkning</t>
        </is>
      </c>
      <c r="D26" s="1" t="n">
        <v>45518</v>
      </c>
      <c r="E26" s="1" t="n">
        <v>46307</v>
      </c>
      <c r="F26" t="inlineStr">
        <is>
          <t>VÄRMLANDS LÄN</t>
        </is>
      </c>
      <c r="G26" t="inlineStr">
        <is>
          <t>TORSBY</t>
        </is>
      </c>
      <c r="I26" t="n">
        <v>6.1</v>
      </c>
      <c r="J26" t="n">
        <v>1</v>
      </c>
      <c r="K26" t="n">
        <v>3</v>
      </c>
      <c r="L26" t="n">
        <v>8</v>
      </c>
      <c r="M26" t="n">
        <v>2</v>
      </c>
      <c r="N26" t="n">
        <v>0</v>
      </c>
      <c r="O26" t="n">
        <v>0</v>
      </c>
      <c r="P26" t="n">
        <v>0</v>
      </c>
      <c r="Q26" t="n">
        <v>10</v>
      </c>
      <c r="R26" t="n">
        <v>2</v>
      </c>
      <c r="S26" t="n">
        <v>13</v>
      </c>
      <c r="T26" t="n">
        <v>82</v>
      </c>
      <c r="U26" t="n">
        <v>46</v>
      </c>
      <c r="V26" s="2" t="inlineStr">
        <is>
          <t>Garnlav
Hållav
Brunpudrad nållav
Kattfotslav
Lunglav
Motaggsvamp
Orange taggsvamp
Skarp dropptaggsvamp
Skrovellav
Talltita
Flagellkvastmossa
Korallblylav
Stuplav</t>
        </is>
      </c>
      <c r="W26">
        <f>HYPERLINK("https://klasma.github.io/Logging_1737/artfynd/A 33211-2024 artfynd.xlsx", "A 33211-2024")</f>
        <v/>
      </c>
      <c r="X26">
        <f>HYPERLINK("https://klasma.github.io/Logging_1737/kartor/A 33211-2024 karta.png", "A 33211-2024")</f>
        <v/>
      </c>
      <c r="Y26">
        <f>HYPERLINK("https://klasma.github.io/Logging_1737/kartor_geotiff/A 33211-2024 georefererad karta.tif", "A 33211-2024")</f>
        <v/>
      </c>
      <c r="AA26">
        <f>HYPERLINK("https://klasma.github.io/Logging_1737/klagomål/A 33211-2024 FSC-klagomål.docx", "A 33211-2024")</f>
        <v/>
      </c>
      <c r="AB26">
        <f>HYPERLINK("https://klasma.github.io/Logging_1737/klagomålsmail/A 33211-2024 FSC-klagomål mail.docx", "A 33211-2024")</f>
        <v/>
      </c>
      <c r="AC26">
        <f>HYPERLINK("https://klasma.github.io/Logging_1737/tillsyn/A 33211-2024 tillsynsbegäran.docx", "A 33211-2024")</f>
        <v/>
      </c>
      <c r="AD26">
        <f>HYPERLINK("https://klasma.github.io/Logging_1737/tillsynsmail/A 33211-2024 tillsynsbegäran mail.docx", "A 33211-2024")</f>
        <v/>
      </c>
      <c r="AE26">
        <f>HYPERLINK("https://klasma.github.io/Logging_1737/fåglar/A 33211-2024 prioriterade fågelarter.docx", "A 33211-2024")</f>
        <v/>
      </c>
    </row>
    <row r="27" ht="15" customHeight="1">
      <c r="A27" t="inlineStr">
        <is>
          <t>A 46165-2024</t>
        </is>
      </c>
      <c r="B27" t="inlineStr">
        <is>
          <t>avverkningsanmälan</t>
        </is>
      </c>
      <c r="C27" t="inlineStr">
        <is>
          <t>Föryngringsavverkning</t>
        </is>
      </c>
      <c r="D27" s="1" t="n">
        <v>45581</v>
      </c>
      <c r="E27" s="1" t="n">
        <v>46307</v>
      </c>
      <c r="F27" t="inlineStr">
        <is>
          <t>VÄRMLANDS LÄN</t>
        </is>
      </c>
      <c r="G27" t="inlineStr">
        <is>
          <t>SÄFFLE</t>
        </is>
      </c>
      <c r="I27" t="n">
        <v>15.2</v>
      </c>
      <c r="J27" t="n">
        <v>1</v>
      </c>
      <c r="K27" t="n">
        <v>6</v>
      </c>
      <c r="L27" t="n">
        <v>6</v>
      </c>
      <c r="M27" t="n">
        <v>1</v>
      </c>
      <c r="N27" t="n">
        <v>0</v>
      </c>
      <c r="O27" t="n">
        <v>0</v>
      </c>
      <c r="P27" t="n">
        <v>0</v>
      </c>
      <c r="Q27" t="n">
        <v>7</v>
      </c>
      <c r="R27" t="n">
        <v>1</v>
      </c>
      <c r="S27" t="n">
        <v>13</v>
      </c>
      <c r="T27" t="n">
        <v>18</v>
      </c>
      <c r="U27" t="n">
        <v>1</v>
      </c>
      <c r="V27" s="2" t="inlineStr">
        <is>
          <t>Garnlav
Dropptaggsvamp
Kattfotslav
Ullticka
Vedskivlav
Vedtrappmossa
Violettgrå tagellav
Bronshjon
Grön sköldmossa
Gulnål
Rostfläck
Vedticka
Västlig hakmossa</t>
        </is>
      </c>
      <c r="W27">
        <f>HYPERLINK("https://klasma.github.io/Logging_1785/artfynd/A 46165-2024 artfynd.xlsx", "A 46165-2024")</f>
        <v/>
      </c>
      <c r="X27">
        <f>HYPERLINK("https://klasma.github.io/Logging_1785/kartor/A 46165-2024 karta.png", "A 46165-2024")</f>
        <v/>
      </c>
      <c r="Y27">
        <f>HYPERLINK("https://klasma.github.io/Logging_1785/kartor_geotiff/A 46165-2024 georefererad karta.tif", "A 46165-2024")</f>
        <v/>
      </c>
      <c r="AA27">
        <f>HYPERLINK("https://klasma.github.io/Logging_1785/klagomål/A 46165-2024 FSC-klagomål.docx", "A 46165-2024")</f>
        <v/>
      </c>
      <c r="AB27">
        <f>HYPERLINK("https://klasma.github.io/Logging_1785/klagomålsmail/A 46165-2024 FSC-klagomål mail.docx", "A 46165-2024")</f>
        <v/>
      </c>
      <c r="AC27">
        <f>HYPERLINK("https://klasma.github.io/Logging_1785/tillsyn/A 46165-2024 tillsynsbegäran.docx", "A 46165-2024")</f>
        <v/>
      </c>
      <c r="AD27">
        <f>HYPERLINK("https://klasma.github.io/Logging_1785/tillsynsmail/A 46165-2024 tillsynsbegäran mail.docx", "A 46165-2024")</f>
        <v/>
      </c>
    </row>
    <row r="28" ht="15" customHeight="1">
      <c r="A28" t="inlineStr">
        <is>
          <t>A 31895-2025</t>
        </is>
      </c>
      <c r="B28" t="inlineStr">
        <is>
          <t>avverkningsanmälan</t>
        </is>
      </c>
      <c r="C28" t="inlineStr">
        <is>
          <t>Föryngringsavverkning</t>
        </is>
      </c>
      <c r="D28" s="1" t="n">
        <v>45834</v>
      </c>
      <c r="E28" s="1" t="n">
        <v>46307</v>
      </c>
      <c r="F28" t="inlineStr">
        <is>
          <t>VÄRMLANDS LÄN</t>
        </is>
      </c>
      <c r="G28" t="inlineStr">
        <is>
          <t>TORSBY</t>
        </is>
      </c>
      <c r="I28" t="n">
        <v>17.3</v>
      </c>
      <c r="J28" t="n">
        <v>4</v>
      </c>
      <c r="K28" t="n">
        <v>4</v>
      </c>
      <c r="L28" t="n">
        <v>5</v>
      </c>
      <c r="M28" t="n">
        <v>2</v>
      </c>
      <c r="N28" t="n">
        <v>0</v>
      </c>
      <c r="O28" t="n">
        <v>0</v>
      </c>
      <c r="P28" t="n">
        <v>0</v>
      </c>
      <c r="Q28" t="n">
        <v>7</v>
      </c>
      <c r="R28" t="n">
        <v>2</v>
      </c>
      <c r="S28" t="n">
        <v>13</v>
      </c>
      <c r="T28" t="n">
        <v>30</v>
      </c>
      <c r="U28" t="n">
        <v>0</v>
      </c>
      <c r="V28" s="2" t="inlineStr">
        <is>
          <t>Garnlav
Norsk näverlav
Kolflarnlav
Skuggblåslav
Tretåig hackspett
Ullticka
Violettgrå tagellav
Bronshjon
Korallblylav
Spindelblomster
Vedticka
Spillkråka
Fläcknycklar</t>
        </is>
      </c>
      <c r="W28">
        <f>HYPERLINK("https://klasma.github.io/Logging_1737/artfynd/A 31895-2025 artfynd.xlsx", "A 31895-2025")</f>
        <v/>
      </c>
      <c r="X28">
        <f>HYPERLINK("https://klasma.github.io/Logging_1737/kartor/A 31895-2025 karta.png", "A 31895-2025")</f>
        <v/>
      </c>
      <c r="Y28">
        <f>HYPERLINK("https://klasma.github.io/Logging_1737/kartor_geotiff/A 31895-2025 georefererad karta.tif", "A 31895-2025")</f>
        <v/>
      </c>
      <c r="AA28">
        <f>HYPERLINK("https://klasma.github.io/Logging_1737/klagomål/A 31895-2025 FSC-klagomål.docx", "A 31895-2025")</f>
        <v/>
      </c>
      <c r="AB28">
        <f>HYPERLINK("https://klasma.github.io/Logging_1737/klagomålsmail/A 31895-2025 FSC-klagomål mail.docx", "A 31895-2025")</f>
        <v/>
      </c>
      <c r="AC28">
        <f>HYPERLINK("https://klasma.github.io/Logging_1737/tillsyn/A 31895-2025 tillsynsbegäran.docx", "A 31895-2025")</f>
        <v/>
      </c>
      <c r="AD28">
        <f>HYPERLINK("https://klasma.github.io/Logging_1737/tillsynsmail/A 31895-2025 tillsynsbegäran mail.docx", "A 31895-2025")</f>
        <v/>
      </c>
      <c r="AE28">
        <f>HYPERLINK("https://klasma.github.io/Logging_1737/fåglar/A 31895-2025 prioriterade fågelarter.docx", "A 31895-2025")</f>
        <v/>
      </c>
    </row>
    <row r="29" ht="15" customHeight="1">
      <c r="A29" t="inlineStr">
        <is>
          <t>S 1549-2026</t>
        </is>
      </c>
      <c r="B29" t="inlineStr">
        <is>
          <t>samrådsanmälan</t>
        </is>
      </c>
      <c r="C29" t="inlineStr">
        <is>
          <t>Annan skogsbruksåtgärd</t>
        </is>
      </c>
      <c r="D29" s="1" t="n">
        <v>46167</v>
      </c>
      <c r="E29" s="1" t="n">
        <v>46307</v>
      </c>
      <c r="F29" t="inlineStr">
        <is>
          <t>VÄRMLANDS LÄN</t>
        </is>
      </c>
      <c r="G29" t="inlineStr">
        <is>
          <t>HAMMARÖ</t>
        </is>
      </c>
      <c r="I29" t="n">
        <v>0.8</v>
      </c>
      <c r="J29" t="n">
        <v>11</v>
      </c>
      <c r="K29" t="n">
        <v>2</v>
      </c>
      <c r="L29" t="n">
        <v>3</v>
      </c>
      <c r="M29" t="n">
        <v>0</v>
      </c>
      <c r="N29" t="n">
        <v>0</v>
      </c>
      <c r="O29" t="n">
        <v>0</v>
      </c>
      <c r="P29" t="n">
        <v>0</v>
      </c>
      <c r="Q29" t="n">
        <v>3</v>
      </c>
      <c r="R29" t="n">
        <v>0</v>
      </c>
      <c r="S29" t="n">
        <v>13</v>
      </c>
      <c r="T29" t="n">
        <v>18</v>
      </c>
      <c r="U29" t="n">
        <v>0</v>
      </c>
      <c r="V29" s="2" t="inlineStr">
        <is>
          <t>Brunlångöra
Gulsparv
Nordfladdermus
Stubbspretmossa
Thomsons trägnagare
Spillkråka
Dvärgpipistrell
Gröngöling
Havsörn
Kungsfågel
Vattenfladdermus
Åkergroda
Vanlig padda</t>
        </is>
      </c>
      <c r="W29">
        <f>HYPERLINK("https://klasma.github.io/Logging_1761/artfynd/S 1549-2026 artfynd.xlsx", "S 1549-2026")</f>
        <v/>
      </c>
      <c r="X29">
        <f>HYPERLINK("https://klasma.github.io/Logging_1761/kartor/S 1549-2026 karta.png", "S 1549-2026")</f>
        <v/>
      </c>
      <c r="Y29">
        <f>HYPERLINK("https://klasma.github.io/Logging_1761/kartor_geotiff/S 1549-2026 georefererad karta.tif", "S 1549-2026")</f>
        <v/>
      </c>
      <c r="AA29">
        <f>HYPERLINK("https://klasma.github.io/Logging_1761/klagomål/S 1549-2026 FSC-klagomål.docx", "S 1549-2026")</f>
        <v/>
      </c>
      <c r="AB29">
        <f>HYPERLINK("https://klasma.github.io/Logging_1761/klagomålsmail/S 1549-2026 FSC-klagomål mail.docx", "S 1549-2026")</f>
        <v/>
      </c>
      <c r="AC29">
        <f>HYPERLINK("https://klasma.github.io/Logging_1761/tillsyn/S 1549-2026 tillsynsbegäran.docx", "S 1549-2026")</f>
        <v/>
      </c>
      <c r="AD29">
        <f>HYPERLINK("https://klasma.github.io/Logging_1761/tillsynsmail/S 1549-2026 tillsynsbegäran mail.docx", "S 1549-2026")</f>
        <v/>
      </c>
      <c r="AE29">
        <f>HYPERLINK("https://klasma.github.io/Logging_1761/fåglar/S 1549-2026 prioriterade fågelarter.docx", "S 1549-2026")</f>
        <v/>
      </c>
    </row>
    <row r="30" ht="15" customHeight="1">
      <c r="A30" t="inlineStr">
        <is>
          <t>A 13841-2022</t>
        </is>
      </c>
      <c r="B30" t="inlineStr">
        <is>
          <t>avverkningsanmälan</t>
        </is>
      </c>
      <c r="C30" t="inlineStr">
        <is>
          <t>Föryngringsavverkning</t>
        </is>
      </c>
      <c r="D30" s="1" t="n">
        <v>44649</v>
      </c>
      <c r="E30" s="1" t="n">
        <v>46307</v>
      </c>
      <c r="F30" t="inlineStr">
        <is>
          <t>VÄRMLANDS LÄN</t>
        </is>
      </c>
      <c r="G30" t="inlineStr">
        <is>
          <t>ÅRJÄNG</t>
        </is>
      </c>
      <c r="I30" t="n">
        <v>18.2</v>
      </c>
      <c r="J30" t="n">
        <v>1</v>
      </c>
      <c r="K30" t="n">
        <v>6</v>
      </c>
      <c r="L30" t="n">
        <v>4</v>
      </c>
      <c r="M30" t="n">
        <v>1</v>
      </c>
      <c r="N30" t="n">
        <v>1</v>
      </c>
      <c r="O30" t="n">
        <v>0</v>
      </c>
      <c r="P30" t="n">
        <v>0</v>
      </c>
      <c r="Q30" t="n">
        <v>6</v>
      </c>
      <c r="R30" t="n">
        <v>2</v>
      </c>
      <c r="S30" t="n">
        <v>12</v>
      </c>
      <c r="T30" t="n">
        <v>15</v>
      </c>
      <c r="U30" t="n">
        <v>14</v>
      </c>
      <c r="V30" s="2" t="inlineStr">
        <is>
          <t>Grynlav
Garnlav
Brunpudrad nållav
Kattfotslav
Tretåig hackspett
Vedtrappmossa
Blek stjärnmossa
Bronshjon
Bårdlav
Korallblylav
Terpentinmossa
Vedticka</t>
        </is>
      </c>
      <c r="W30">
        <f>HYPERLINK("https://klasma.github.io/Logging_1765/artfynd/A 13841-2022 artfynd.xlsx", "A 13841-2022")</f>
        <v/>
      </c>
      <c r="X30">
        <f>HYPERLINK("https://klasma.github.io/Logging_1765/kartor/A 13841-2022 karta.png", "A 13841-2022")</f>
        <v/>
      </c>
      <c r="Y30">
        <f>HYPERLINK("https://klasma.github.io/Logging_1765/kartor_geotiff/A 13841-2022 georefererad karta.tif", "A 13841-2022")</f>
        <v/>
      </c>
      <c r="AA30">
        <f>HYPERLINK("https://klasma.github.io/Logging_1765/klagomål/A 13841-2022 FSC-klagomål.docx", "A 13841-2022")</f>
        <v/>
      </c>
      <c r="AB30">
        <f>HYPERLINK("https://klasma.github.io/Logging_1765/klagomålsmail/A 13841-2022 FSC-klagomål mail.docx", "A 13841-2022")</f>
        <v/>
      </c>
      <c r="AC30">
        <f>HYPERLINK("https://klasma.github.io/Logging_1765/tillsyn/A 13841-2022 tillsynsbegäran.docx", "A 13841-2022")</f>
        <v/>
      </c>
      <c r="AD30">
        <f>HYPERLINK("https://klasma.github.io/Logging_1765/tillsynsmail/A 13841-2022 tillsynsbegäran mail.docx", "A 13841-2022")</f>
        <v/>
      </c>
      <c r="AE30">
        <f>HYPERLINK("https://klasma.github.io/Logging_1765/fåglar/A 13841-2022 prioriterade fågelarter.docx", "A 13841-2022")</f>
        <v/>
      </c>
    </row>
    <row r="31" ht="15" customHeight="1">
      <c r="A31" t="inlineStr">
        <is>
          <t>A 39627-2023</t>
        </is>
      </c>
      <c r="B31" t="inlineStr">
        <is>
          <t>avverkningsanmälan</t>
        </is>
      </c>
      <c r="C31" t="inlineStr">
        <is>
          <t>Föryngringsavverkning</t>
        </is>
      </c>
      <c r="D31" s="1" t="n">
        <v>45167</v>
      </c>
      <c r="E31" s="1" t="n">
        <v>46307</v>
      </c>
      <c r="F31" t="inlineStr">
        <is>
          <t>VÄRMLANDS LÄN</t>
        </is>
      </c>
      <c r="G31" t="inlineStr">
        <is>
          <t>HAGFORS</t>
        </is>
      </c>
      <c r="I31" t="n">
        <v>20.2</v>
      </c>
      <c r="J31" t="n">
        <v>0</v>
      </c>
      <c r="K31" t="n">
        <v>3</v>
      </c>
      <c r="L31" t="n">
        <v>9</v>
      </c>
      <c r="M31" t="n">
        <v>0</v>
      </c>
      <c r="N31" t="n">
        <v>0</v>
      </c>
      <c r="O31" t="n">
        <v>0</v>
      </c>
      <c r="P31" t="n">
        <v>0</v>
      </c>
      <c r="Q31" t="n">
        <v>9</v>
      </c>
      <c r="R31" t="n">
        <v>0</v>
      </c>
      <c r="S31" t="n">
        <v>12</v>
      </c>
      <c r="T31" t="n">
        <v>18</v>
      </c>
      <c r="U31" t="n">
        <v>11</v>
      </c>
      <c r="V31" s="2" t="inlineStr">
        <is>
          <t>Dropptaggsvamp
Dvärgbägarlav
Kolflarnlav
Kortskaftad ärgspik
Lunglav
Skuggblåslav
Smal trollknäppare
Vedskivlav
Vedtrappmossa
Bårdlav
Korallblylav
Vedticka</t>
        </is>
      </c>
      <c r="W31">
        <f>HYPERLINK("https://klasma.github.io/Logging_1783/artfynd/A 39627-2023 artfynd.xlsx", "A 39627-2023")</f>
        <v/>
      </c>
      <c r="X31">
        <f>HYPERLINK("https://klasma.github.io/Logging_1783/kartor/A 39627-2023 karta.png", "A 39627-2023")</f>
        <v/>
      </c>
      <c r="Y31">
        <f>HYPERLINK("https://klasma.github.io/Logging_1783/kartor_geotiff/A 39627-2023 georefererad karta.tif", "A 39627-2023")</f>
        <v/>
      </c>
      <c r="AA31">
        <f>HYPERLINK("https://klasma.github.io/Logging_1783/klagomål/A 39627-2023 FSC-klagomål.docx", "A 39627-2023")</f>
        <v/>
      </c>
      <c r="AB31">
        <f>HYPERLINK("https://klasma.github.io/Logging_1783/klagomålsmail/A 39627-2023 FSC-klagomål mail.docx", "A 39627-2023")</f>
        <v/>
      </c>
      <c r="AC31">
        <f>HYPERLINK("https://klasma.github.io/Logging_1783/tillsyn/A 39627-2023 tillsynsbegäran.docx", "A 39627-2023")</f>
        <v/>
      </c>
      <c r="AD31">
        <f>HYPERLINK("https://klasma.github.io/Logging_1783/tillsynsmail/A 39627-2023 tillsynsbegäran mail.docx", "A 39627-2023")</f>
        <v/>
      </c>
    </row>
    <row r="32" ht="15" customHeight="1">
      <c r="A32" t="inlineStr">
        <is>
          <t>A 22621-2025</t>
        </is>
      </c>
      <c r="B32" t="inlineStr">
        <is>
          <t>avverkningsanmälan</t>
        </is>
      </c>
      <c r="C32" t="inlineStr">
        <is>
          <t>Föryngringsavverkning</t>
        </is>
      </c>
      <c r="D32" s="1" t="n">
        <v>45789</v>
      </c>
      <c r="E32" s="1" t="n">
        <v>46307</v>
      </c>
      <c r="F32" t="inlineStr">
        <is>
          <t>VÄRMLANDS LÄN</t>
        </is>
      </c>
      <c r="G32" t="inlineStr">
        <is>
          <t>TORSBY</t>
        </is>
      </c>
      <c r="I32" t="n">
        <v>17.1</v>
      </c>
      <c r="J32" t="n">
        <v>0</v>
      </c>
      <c r="K32" t="n">
        <v>1</v>
      </c>
      <c r="L32" t="n">
        <v>10</v>
      </c>
      <c r="M32" t="n">
        <v>1</v>
      </c>
      <c r="N32" t="n">
        <v>0</v>
      </c>
      <c r="O32" t="n">
        <v>0</v>
      </c>
      <c r="P32" t="n">
        <v>0</v>
      </c>
      <c r="Q32" t="n">
        <v>11</v>
      </c>
      <c r="R32" t="n">
        <v>1</v>
      </c>
      <c r="S32" t="n">
        <v>12</v>
      </c>
      <c r="T32" t="n">
        <v>85</v>
      </c>
      <c r="U32" t="n">
        <v>82</v>
      </c>
      <c r="V32" s="2" t="inlineStr">
        <is>
          <t>Garnlav
Dropptaggsvamp
Dvärgbägarlav
Gammelgransskål
Kolflarnlav
Mörk kolflarnlav
Vaddporing
Vedflamlav
Vedskivlav
Vedtrappmossa
Violettgrå tagellav
Nästlav</t>
        </is>
      </c>
      <c r="W32">
        <f>HYPERLINK("https://klasma.github.io/Logging_1737/artfynd/A 22621-2025 artfynd.xlsx", "A 22621-2025")</f>
        <v/>
      </c>
      <c r="X32">
        <f>HYPERLINK("https://klasma.github.io/Logging_1737/kartor/A 22621-2025 karta.png", "A 22621-2025")</f>
        <v/>
      </c>
      <c r="Y32">
        <f>HYPERLINK("https://klasma.github.io/Logging_1737/kartor_geotiff/A 22621-2025 georefererad karta.tif", "A 22621-2025")</f>
        <v/>
      </c>
      <c r="AA32">
        <f>HYPERLINK("https://klasma.github.io/Logging_1737/klagomål/A 22621-2025 FSC-klagomål.docx", "A 22621-2025")</f>
        <v/>
      </c>
      <c r="AB32">
        <f>HYPERLINK("https://klasma.github.io/Logging_1737/klagomålsmail/A 22621-2025 FSC-klagomål mail.docx", "A 22621-2025")</f>
        <v/>
      </c>
      <c r="AC32">
        <f>HYPERLINK("https://klasma.github.io/Logging_1737/tillsyn/A 22621-2025 tillsynsbegäran.docx", "A 22621-2025")</f>
        <v/>
      </c>
      <c r="AD32">
        <f>HYPERLINK("https://klasma.github.io/Logging_1737/tillsynsmail/A 22621-2025 tillsynsbegäran mail.docx", "A 22621-2025")</f>
        <v/>
      </c>
    </row>
    <row r="33" ht="15" customHeight="1">
      <c r="A33" t="inlineStr">
        <is>
          <t>A 12370-2022</t>
        </is>
      </c>
      <c r="B33" t="inlineStr">
        <is>
          <t>avverkningsanmälan</t>
        </is>
      </c>
      <c r="C33" t="inlineStr">
        <is>
          <t>Föryngringsavverkning</t>
        </is>
      </c>
      <c r="D33" s="1" t="n">
        <v>44637</v>
      </c>
      <c r="E33" s="1" t="n">
        <v>46307</v>
      </c>
      <c r="F33" t="inlineStr">
        <is>
          <t>VÄRMLANDS LÄN</t>
        </is>
      </c>
      <c r="G33" t="inlineStr">
        <is>
          <t>TORSBY</t>
        </is>
      </c>
      <c r="I33" t="n">
        <v>4.7</v>
      </c>
      <c r="J33" t="n">
        <v>0</v>
      </c>
      <c r="K33" t="n">
        <v>2</v>
      </c>
      <c r="L33" t="n">
        <v>8</v>
      </c>
      <c r="M33" t="n">
        <v>2</v>
      </c>
      <c r="N33" t="n">
        <v>0</v>
      </c>
      <c r="O33" t="n">
        <v>0</v>
      </c>
      <c r="P33" t="n">
        <v>0</v>
      </c>
      <c r="Q33" t="n">
        <v>10</v>
      </c>
      <c r="R33" t="n">
        <v>2</v>
      </c>
      <c r="S33" t="n">
        <v>12</v>
      </c>
      <c r="T33" t="n">
        <v>43</v>
      </c>
      <c r="U33" t="n">
        <v>38</v>
      </c>
      <c r="V33" s="2" t="inlineStr">
        <is>
          <t>Garnlav
Norsk näverlav
Brunpudrad nållav
Doftskinn
Dropptaggsvamp
Gammelgransskål
Orange taggsvamp
Vedskivlav
Violettgrå tagellav
Vitgrynig nållav
Bronshjon
Vedticka</t>
        </is>
      </c>
      <c r="W33">
        <f>HYPERLINK("https://klasma.github.io/Logging_1737/artfynd/A 12370-2022 artfynd.xlsx", "A 12370-2022")</f>
        <v/>
      </c>
      <c r="X33">
        <f>HYPERLINK("https://klasma.github.io/Logging_1737/kartor/A 12370-2022 karta.png", "A 12370-2022")</f>
        <v/>
      </c>
      <c r="Y33">
        <f>HYPERLINK("https://klasma.github.io/Logging_1737/kartor_geotiff/A 12370-2022 georefererad karta.tif", "A 12370-2022")</f>
        <v/>
      </c>
      <c r="AA33">
        <f>HYPERLINK("https://klasma.github.io/Logging_1737/klagomål/A 12370-2022 FSC-klagomål.docx", "A 12370-2022")</f>
        <v/>
      </c>
      <c r="AB33">
        <f>HYPERLINK("https://klasma.github.io/Logging_1737/klagomålsmail/A 12370-2022 FSC-klagomål mail.docx", "A 12370-2022")</f>
        <v/>
      </c>
      <c r="AC33">
        <f>HYPERLINK("https://klasma.github.io/Logging_1737/tillsyn/A 12370-2022 tillsynsbegäran.docx", "A 12370-2022")</f>
        <v/>
      </c>
      <c r="AD33">
        <f>HYPERLINK("https://klasma.github.io/Logging_1737/tillsynsmail/A 12370-2022 tillsynsbegäran mail.docx", "A 12370-2022")</f>
        <v/>
      </c>
    </row>
    <row r="34" ht="15" customHeight="1">
      <c r="A34" t="inlineStr">
        <is>
          <t>A 41379-2022</t>
        </is>
      </c>
      <c r="B34" t="inlineStr">
        <is>
          <t>avverkningsanmälan</t>
        </is>
      </c>
      <c r="C34" t="inlineStr">
        <is>
          <t>Föryngringsavverkning</t>
        </is>
      </c>
      <c r="D34" s="1" t="n">
        <v>44824</v>
      </c>
      <c r="E34" s="1" t="n">
        <v>46307</v>
      </c>
      <c r="F34" t="inlineStr">
        <is>
          <t>VÄRMLANDS LÄN</t>
        </is>
      </c>
      <c r="G34" t="inlineStr">
        <is>
          <t>ÅRJÄNG</t>
        </is>
      </c>
      <c r="I34" t="n">
        <v>3.3</v>
      </c>
      <c r="J34" t="n">
        <v>1</v>
      </c>
      <c r="K34" t="n">
        <v>4</v>
      </c>
      <c r="L34" t="n">
        <v>7</v>
      </c>
      <c r="M34" t="n">
        <v>1</v>
      </c>
      <c r="N34" t="n">
        <v>0</v>
      </c>
      <c r="O34" t="n">
        <v>0</v>
      </c>
      <c r="P34" t="n">
        <v>0</v>
      </c>
      <c r="Q34" t="n">
        <v>8</v>
      </c>
      <c r="R34" t="n">
        <v>1</v>
      </c>
      <c r="S34" t="n">
        <v>12</v>
      </c>
      <c r="T34" t="n">
        <v>18</v>
      </c>
      <c r="U34" t="n">
        <v>18</v>
      </c>
      <c r="V34" s="2" t="inlineStr">
        <is>
          <t>Garnlav
Kattfotslav
Kortskaftad ärgspik
Mörk kolflarnlav
Tretåig hackspett
Ullticka
Vedskivlav
Vedtrappmossa
Barkticka
Bårdlav
Vedticka
Vågbandad barkbock</t>
        </is>
      </c>
      <c r="W34">
        <f>HYPERLINK("https://klasma.github.io/Logging_1765/artfynd/A 41379-2022 artfynd.xlsx", "A 41379-2022")</f>
        <v/>
      </c>
      <c r="X34">
        <f>HYPERLINK("https://klasma.github.io/Logging_1765/kartor/A 41379-2022 karta.png", "A 41379-2022")</f>
        <v/>
      </c>
      <c r="Y34">
        <f>HYPERLINK("https://klasma.github.io/Logging_1765/kartor_geotiff/A 41379-2022 georefererad karta.tif", "A 41379-2022")</f>
        <v/>
      </c>
      <c r="AA34">
        <f>HYPERLINK("https://klasma.github.io/Logging_1765/klagomål/A 41379-2022 FSC-klagomål.docx", "A 41379-2022")</f>
        <v/>
      </c>
      <c r="AB34">
        <f>HYPERLINK("https://klasma.github.io/Logging_1765/klagomålsmail/A 41379-2022 FSC-klagomål mail.docx", "A 41379-2022")</f>
        <v/>
      </c>
      <c r="AC34">
        <f>HYPERLINK("https://klasma.github.io/Logging_1765/tillsyn/A 41379-2022 tillsynsbegäran.docx", "A 41379-2022")</f>
        <v/>
      </c>
      <c r="AD34">
        <f>HYPERLINK("https://klasma.github.io/Logging_1765/tillsynsmail/A 41379-2022 tillsynsbegäran mail.docx", "A 41379-2022")</f>
        <v/>
      </c>
      <c r="AE34">
        <f>HYPERLINK("https://klasma.github.io/Logging_1765/fåglar/A 41379-2022 prioriterade fågelarter.docx", "A 41379-2022")</f>
        <v/>
      </c>
    </row>
    <row r="35" ht="15" customHeight="1">
      <c r="A35" t="inlineStr">
        <is>
          <t>A 60716-2021</t>
        </is>
      </c>
      <c r="B35" t="inlineStr">
        <is>
          <t>avverkningsanmälan</t>
        </is>
      </c>
      <c r="C35" t="inlineStr">
        <is>
          <t>Föryngringsavverkning</t>
        </is>
      </c>
      <c r="D35" s="1" t="n">
        <v>44496</v>
      </c>
      <c r="E35" s="1" t="n">
        <v>46307</v>
      </c>
      <c r="F35" t="inlineStr">
        <is>
          <t>VÄRMLANDS LÄN</t>
        </is>
      </c>
      <c r="G35" t="inlineStr">
        <is>
          <t>TORSBY</t>
        </is>
      </c>
      <c r="I35" t="n">
        <v>7.2</v>
      </c>
      <c r="J35" t="n">
        <v>0</v>
      </c>
      <c r="K35" t="n">
        <v>4</v>
      </c>
      <c r="L35" t="n">
        <v>7</v>
      </c>
      <c r="M35" t="n">
        <v>1</v>
      </c>
      <c r="N35" t="n">
        <v>0</v>
      </c>
      <c r="O35" t="n">
        <v>0</v>
      </c>
      <c r="P35" t="n">
        <v>0</v>
      </c>
      <c r="Q35" t="n">
        <v>8</v>
      </c>
      <c r="R35" t="n">
        <v>1</v>
      </c>
      <c r="S35" t="n">
        <v>12</v>
      </c>
      <c r="T35" t="n">
        <v>35</v>
      </c>
      <c r="U35" t="n">
        <v>35</v>
      </c>
      <c r="V35" s="2" t="inlineStr">
        <is>
          <t>Garnlav
Doftskinn
Dvärgbägarlav
Gammelgransskål
Kattfotslav
Lunglav
Skrovellav
Skuggblåslav
Korallblylav
Stuplav
Vedticka
Vågbandad barkbock</t>
        </is>
      </c>
      <c r="W35">
        <f>HYPERLINK("https://klasma.github.io/Logging_1737/artfynd/A 60716-2021 artfynd.xlsx", "A 60716-2021")</f>
        <v/>
      </c>
      <c r="X35">
        <f>HYPERLINK("https://klasma.github.io/Logging_1737/kartor/A 60716-2021 karta.png", "A 60716-2021")</f>
        <v/>
      </c>
      <c r="Y35">
        <f>HYPERLINK("https://klasma.github.io/Logging_1737/kartor_geotiff/A 60716-2021 georefererad karta.tif", "A 60716-2021")</f>
        <v/>
      </c>
      <c r="AA35">
        <f>HYPERLINK("https://klasma.github.io/Logging_1737/klagomål/A 60716-2021 FSC-klagomål.docx", "A 60716-2021")</f>
        <v/>
      </c>
      <c r="AB35">
        <f>HYPERLINK("https://klasma.github.io/Logging_1737/klagomålsmail/A 60716-2021 FSC-klagomål mail.docx", "A 60716-2021")</f>
        <v/>
      </c>
      <c r="AC35">
        <f>HYPERLINK("https://klasma.github.io/Logging_1737/tillsyn/A 60716-2021 tillsynsbegäran.docx", "A 60716-2021")</f>
        <v/>
      </c>
      <c r="AD35">
        <f>HYPERLINK("https://klasma.github.io/Logging_1737/tillsynsmail/A 60716-2021 tillsynsbegäran mail.docx", "A 60716-2021")</f>
        <v/>
      </c>
    </row>
    <row r="36" ht="15" customHeight="1">
      <c r="A36" t="inlineStr">
        <is>
          <t>A 57613-2023</t>
        </is>
      </c>
      <c r="B36" t="inlineStr">
        <is>
          <t>avverkningsanmälan</t>
        </is>
      </c>
      <c r="C36" t="inlineStr">
        <is>
          <t>Föryngringsavverkning</t>
        </is>
      </c>
      <c r="D36" s="1" t="n">
        <v>45246</v>
      </c>
      <c r="E36" s="1" t="n">
        <v>46307</v>
      </c>
      <c r="F36" t="inlineStr">
        <is>
          <t>VÄRMLANDS LÄN</t>
        </is>
      </c>
      <c r="G36" t="inlineStr">
        <is>
          <t>HAGFORS</t>
        </is>
      </c>
      <c r="H36" t="inlineStr">
        <is>
          <t>Kyrkan</t>
        </is>
      </c>
      <c r="I36" t="n">
        <v>29.5</v>
      </c>
      <c r="J36" t="n">
        <v>0</v>
      </c>
      <c r="K36" t="n">
        <v>2</v>
      </c>
      <c r="L36" t="n">
        <v>9</v>
      </c>
      <c r="M36" t="n">
        <v>1</v>
      </c>
      <c r="N36" t="n">
        <v>0</v>
      </c>
      <c r="O36" t="n">
        <v>0</v>
      </c>
      <c r="P36" t="n">
        <v>0</v>
      </c>
      <c r="Q36" t="n">
        <v>10</v>
      </c>
      <c r="R36" t="n">
        <v>1</v>
      </c>
      <c r="S36" t="n">
        <v>12</v>
      </c>
      <c r="T36" t="n">
        <v>26</v>
      </c>
      <c r="U36" t="n">
        <v>1</v>
      </c>
      <c r="V36" s="2" t="inlineStr">
        <is>
          <t>Garnlav
Brunpudrad nållav
Dropptaggsvamp
Kolflarnlav
Lunglav
Mörk kolflarnlav
Skrovellav
Skuggblåslav
Vedskivlav
Vedtrappmossa
Bollvitmossa
Skinnlav</t>
        </is>
      </c>
      <c r="W36">
        <f>HYPERLINK("https://klasma.github.io/Logging_1783/artfynd/A 57613-2023 artfynd.xlsx", "A 57613-2023")</f>
        <v/>
      </c>
      <c r="X36">
        <f>HYPERLINK("https://klasma.github.io/Logging_1783/kartor/A 57613-2023 karta.png", "A 57613-2023")</f>
        <v/>
      </c>
      <c r="Y36">
        <f>HYPERLINK("https://klasma.github.io/Logging_1783/kartor_geotiff/A 57613-2023 georefererad karta.tif", "A 57613-2023")</f>
        <v/>
      </c>
      <c r="AA36">
        <f>HYPERLINK("https://klasma.github.io/Logging_1783/klagomål/A 57613-2023 FSC-klagomål.docx", "A 57613-2023")</f>
        <v/>
      </c>
      <c r="AB36">
        <f>HYPERLINK("https://klasma.github.io/Logging_1783/klagomålsmail/A 57613-2023 FSC-klagomål mail.docx", "A 57613-2023")</f>
        <v/>
      </c>
      <c r="AC36">
        <f>HYPERLINK("https://klasma.github.io/Logging_1783/tillsyn/A 57613-2023 tillsynsbegäran.docx", "A 57613-2023")</f>
        <v/>
      </c>
      <c r="AD36">
        <f>HYPERLINK("https://klasma.github.io/Logging_1783/tillsynsmail/A 57613-2023 tillsynsbegäran mail.docx", "A 57613-2023")</f>
        <v/>
      </c>
    </row>
    <row r="37" ht="15" customHeight="1">
      <c r="A37" t="inlineStr">
        <is>
          <t>A 44562-2023</t>
        </is>
      </c>
      <c r="B37" t="inlineStr">
        <is>
          <t>avverkningsanmälan</t>
        </is>
      </c>
      <c r="C37" t="inlineStr">
        <is>
          <t>Föryngringsavverkning</t>
        </is>
      </c>
      <c r="D37" s="1" t="n">
        <v>45189</v>
      </c>
      <c r="E37" s="1" t="n">
        <v>46307</v>
      </c>
      <c r="F37" t="inlineStr">
        <is>
          <t>VÄRMLANDS LÄN</t>
        </is>
      </c>
      <c r="G37" t="inlineStr">
        <is>
          <t>TORSBY</t>
        </is>
      </c>
      <c r="I37" t="n">
        <v>2</v>
      </c>
      <c r="J37" t="n">
        <v>2</v>
      </c>
      <c r="K37" t="n">
        <v>1</v>
      </c>
      <c r="L37" t="n">
        <v>7</v>
      </c>
      <c r="M37" t="n">
        <v>3</v>
      </c>
      <c r="N37" t="n">
        <v>0</v>
      </c>
      <c r="O37" t="n">
        <v>0</v>
      </c>
      <c r="P37" t="n">
        <v>0</v>
      </c>
      <c r="Q37" t="n">
        <v>10</v>
      </c>
      <c r="R37" t="n">
        <v>3</v>
      </c>
      <c r="S37" t="n">
        <v>12</v>
      </c>
      <c r="T37" t="n">
        <v>32</v>
      </c>
      <c r="U37" t="n">
        <v>30</v>
      </c>
      <c r="V37" s="2" t="inlineStr">
        <is>
          <t>Fläckporing
Garnlav
Knärot
Dvärgbägarlav
Kattfotslav
Kolflarnlav
Mörk kolflarnlav
Ullticka
Vedskivlav
Violettgrå tagellav
Rostfläck
Tjäder</t>
        </is>
      </c>
      <c r="W37">
        <f>HYPERLINK("https://klasma.github.io/Logging_1737/artfynd/A 44562-2023 artfynd.xlsx", "A 44562-2023")</f>
        <v/>
      </c>
      <c r="X37">
        <f>HYPERLINK("https://klasma.github.io/Logging_1737/kartor/A 44562-2023 karta.png", "A 44562-2023")</f>
        <v/>
      </c>
      <c r="Y37">
        <f>HYPERLINK("https://klasma.github.io/Logging_1737/kartor_geotiff/A 44562-2023 georefererad karta.tif", "A 44562-2023")</f>
        <v/>
      </c>
      <c r="Z37">
        <f>HYPERLINK("https://klasma.github.io/Logging_1737/knärot/A 44562-2023 karta knärot.png", "A 44562-2023")</f>
        <v/>
      </c>
      <c r="AA37">
        <f>HYPERLINK("https://klasma.github.io/Logging_1737/klagomål/A 44562-2023 FSC-klagomål.docx", "A 44562-2023")</f>
        <v/>
      </c>
      <c r="AB37">
        <f>HYPERLINK("https://klasma.github.io/Logging_1737/klagomålsmail/A 44562-2023 FSC-klagomål mail.docx", "A 44562-2023")</f>
        <v/>
      </c>
      <c r="AC37">
        <f>HYPERLINK("https://klasma.github.io/Logging_1737/tillsyn/A 44562-2023 tillsynsbegäran.docx", "A 44562-2023")</f>
        <v/>
      </c>
      <c r="AD37">
        <f>HYPERLINK("https://klasma.github.io/Logging_1737/tillsynsmail/A 44562-2023 tillsynsbegäran mail.docx", "A 44562-2023")</f>
        <v/>
      </c>
      <c r="AE37">
        <f>HYPERLINK("https://klasma.github.io/Logging_1737/fåglar/A 44562-2023 prioriterade fågelarter.docx", "A 44562-2023")</f>
        <v/>
      </c>
    </row>
    <row r="38" ht="15" customHeight="1">
      <c r="A38" t="inlineStr">
        <is>
          <t>A 63921-2023</t>
        </is>
      </c>
      <c r="B38" t="inlineStr">
        <is>
          <t>avverkningsanmälan</t>
        </is>
      </c>
      <c r="C38" t="inlineStr">
        <is>
          <t>Föryngringsavverkning</t>
        </is>
      </c>
      <c r="D38" s="1" t="n">
        <v>45278</v>
      </c>
      <c r="E38" s="1" t="n">
        <v>46307</v>
      </c>
      <c r="F38" t="inlineStr">
        <is>
          <t>VÄRMLANDS LÄN</t>
        </is>
      </c>
      <c r="G38" t="inlineStr">
        <is>
          <t>ÅRJÄNG</t>
        </is>
      </c>
      <c r="I38" t="n">
        <v>6.2</v>
      </c>
      <c r="J38" t="n">
        <v>3</v>
      </c>
      <c r="K38" t="n">
        <v>3</v>
      </c>
      <c r="L38" t="n">
        <v>6</v>
      </c>
      <c r="M38" t="n">
        <v>2</v>
      </c>
      <c r="N38" t="n">
        <v>0</v>
      </c>
      <c r="O38" t="n">
        <v>0</v>
      </c>
      <c r="P38" t="n">
        <v>0</v>
      </c>
      <c r="Q38" t="n">
        <v>8</v>
      </c>
      <c r="R38" t="n">
        <v>2</v>
      </c>
      <c r="S38" t="n">
        <v>12</v>
      </c>
      <c r="T38" t="n">
        <v>27</v>
      </c>
      <c r="U38" t="n">
        <v>24</v>
      </c>
      <c r="V38" s="2" t="inlineStr">
        <is>
          <t>Garnlav
Knärot
Brunpudrad nållav
Kattfotslav
Kortskaftad ärgspik
Tallticka
Talltita
Vedtrappmossa
Skinnlav
Trådticka
Vedticka
Spillkråka</t>
        </is>
      </c>
      <c r="W38">
        <f>HYPERLINK("https://klasma.github.io/Logging_1765/artfynd/A 63921-2023 artfynd.xlsx", "A 63921-2023")</f>
        <v/>
      </c>
      <c r="X38">
        <f>HYPERLINK("https://klasma.github.io/Logging_1765/kartor/A 63921-2023 karta.png", "A 63921-2023")</f>
        <v/>
      </c>
      <c r="Y38">
        <f>HYPERLINK("https://klasma.github.io/Logging_1765/kartor_geotiff/A 63921-2023 georefererad karta.tif", "A 63921-2023")</f>
        <v/>
      </c>
      <c r="Z38">
        <f>HYPERLINK("https://klasma.github.io/Logging_1765/knärot/A 63921-2023 karta knärot.png", "A 63921-2023")</f>
        <v/>
      </c>
      <c r="AA38">
        <f>HYPERLINK("https://klasma.github.io/Logging_1765/klagomål/A 63921-2023 FSC-klagomål.docx", "A 63921-2023")</f>
        <v/>
      </c>
      <c r="AB38">
        <f>HYPERLINK("https://klasma.github.io/Logging_1765/klagomålsmail/A 63921-2023 FSC-klagomål mail.docx", "A 63921-2023")</f>
        <v/>
      </c>
      <c r="AC38">
        <f>HYPERLINK("https://klasma.github.io/Logging_1765/tillsyn/A 63921-2023 tillsynsbegäran.docx", "A 63921-2023")</f>
        <v/>
      </c>
      <c r="AD38">
        <f>HYPERLINK("https://klasma.github.io/Logging_1765/tillsynsmail/A 63921-2023 tillsynsbegäran mail.docx", "A 63921-2023")</f>
        <v/>
      </c>
      <c r="AE38">
        <f>HYPERLINK("https://klasma.github.io/Logging_1765/fåglar/A 63921-2023 prioriterade fågelarter.docx", "A 63921-2023")</f>
        <v/>
      </c>
    </row>
    <row r="39" ht="15" customHeight="1">
      <c r="A39" t="inlineStr">
        <is>
          <t>A 21224-2024</t>
        </is>
      </c>
      <c r="B39" t="inlineStr">
        <is>
          <t>avverkningsanmälan</t>
        </is>
      </c>
      <c r="C39" t="inlineStr">
        <is>
          <t>Föryngringsavverkning</t>
        </is>
      </c>
      <c r="D39" s="1" t="n">
        <v>45440</v>
      </c>
      <c r="E39" s="1" t="n">
        <v>46307</v>
      </c>
      <c r="F39" t="inlineStr">
        <is>
          <t>VÄRMLANDS LÄN</t>
        </is>
      </c>
      <c r="G39" t="inlineStr">
        <is>
          <t>ARVIKA</t>
        </is>
      </c>
      <c r="H39" t="inlineStr">
        <is>
          <t>Bergvik skog väst AB</t>
        </is>
      </c>
      <c r="I39" t="n">
        <v>2.4</v>
      </c>
      <c r="J39" t="n">
        <v>5</v>
      </c>
      <c r="K39" t="n">
        <v>3</v>
      </c>
      <c r="L39" t="n">
        <v>4</v>
      </c>
      <c r="M39" t="n">
        <v>2</v>
      </c>
      <c r="N39" t="n">
        <v>0</v>
      </c>
      <c r="O39" t="n">
        <v>0</v>
      </c>
      <c r="P39" t="n">
        <v>0</v>
      </c>
      <c r="Q39" t="n">
        <v>6</v>
      </c>
      <c r="R39" t="n">
        <v>2</v>
      </c>
      <c r="S39" t="n">
        <v>12</v>
      </c>
      <c r="T39" t="n">
        <v>20</v>
      </c>
      <c r="U39" t="n">
        <v>20</v>
      </c>
      <c r="V39" s="2" t="inlineStr">
        <is>
          <t>Garnlav
Knärot
Apelsinticka
Kortskaftad ärgspik
Tretåig hackspett
Vedtrappmossa
Bårdlav
Stor revmossa
Vedticka
Järpe
Spillkråka
Tjäder</t>
        </is>
      </c>
      <c r="W39">
        <f>HYPERLINK("https://klasma.github.io/Logging_1784/artfynd/A 21224-2024 artfynd.xlsx", "A 21224-2024")</f>
        <v/>
      </c>
      <c r="X39">
        <f>HYPERLINK("https://klasma.github.io/Logging_1784/kartor/A 21224-2024 karta.png", "A 21224-2024")</f>
        <v/>
      </c>
      <c r="Y39">
        <f>HYPERLINK("https://klasma.github.io/Logging_1784/kartor_geotiff/A 21224-2024 georefererad karta.tif", "A 21224-2024")</f>
        <v/>
      </c>
      <c r="Z39">
        <f>HYPERLINK("https://klasma.github.io/Logging_1784/knärot/A 21224-2024 karta knärot.png", "A 21224-2024")</f>
        <v/>
      </c>
      <c r="AA39">
        <f>HYPERLINK("https://klasma.github.io/Logging_1784/klagomål/A 21224-2024 FSC-klagomål.docx", "A 21224-2024")</f>
        <v/>
      </c>
      <c r="AB39">
        <f>HYPERLINK("https://klasma.github.io/Logging_1784/klagomålsmail/A 21224-2024 FSC-klagomål mail.docx", "A 21224-2024")</f>
        <v/>
      </c>
      <c r="AC39">
        <f>HYPERLINK("https://klasma.github.io/Logging_1784/tillsyn/A 21224-2024 tillsynsbegäran.docx", "A 21224-2024")</f>
        <v/>
      </c>
      <c r="AD39">
        <f>HYPERLINK("https://klasma.github.io/Logging_1784/tillsynsmail/A 21224-2024 tillsynsbegäran mail.docx", "A 21224-2024")</f>
        <v/>
      </c>
      <c r="AE39">
        <f>HYPERLINK("https://klasma.github.io/Logging_1784/fåglar/A 21224-2024 prioriterade fågelarter.docx", "A 21224-2024")</f>
        <v/>
      </c>
    </row>
    <row r="40" ht="15" customHeight="1">
      <c r="A40" t="inlineStr">
        <is>
          <t>A 34096-2026</t>
        </is>
      </c>
      <c r="B40" t="inlineStr">
        <is>
          <t>avverkningsanmälan</t>
        </is>
      </c>
      <c r="C40" t="inlineStr">
        <is>
          <t>Föryngringsavverkning</t>
        </is>
      </c>
      <c r="D40" s="1" t="n">
        <v>46252</v>
      </c>
      <c r="E40" s="1" t="n">
        <v>46307</v>
      </c>
      <c r="F40" t="inlineStr">
        <is>
          <t>VÄRMLANDS LÄN</t>
        </is>
      </c>
      <c r="G40" t="inlineStr">
        <is>
          <t>HAGFORS</t>
        </is>
      </c>
      <c r="H40" t="inlineStr">
        <is>
          <t>Bergvik skog väst AB</t>
        </is>
      </c>
      <c r="I40" t="n">
        <v>24.7</v>
      </c>
      <c r="J40" t="n">
        <v>3</v>
      </c>
      <c r="K40" t="n">
        <v>1</v>
      </c>
      <c r="L40" t="n">
        <v>7</v>
      </c>
      <c r="M40" t="n">
        <v>1</v>
      </c>
      <c r="N40" t="n">
        <v>0</v>
      </c>
      <c r="O40" t="n">
        <v>0</v>
      </c>
      <c r="P40" t="n">
        <v>0</v>
      </c>
      <c r="Q40" t="n">
        <v>8</v>
      </c>
      <c r="R40" t="n">
        <v>1</v>
      </c>
      <c r="S40" t="n">
        <v>12</v>
      </c>
      <c r="T40" t="n">
        <v>44</v>
      </c>
      <c r="U40" t="n">
        <v>30</v>
      </c>
      <c r="V40" s="2" t="inlineStr">
        <is>
          <t>Garnlav
Dvärgbägarlav
Kolflarnlav
Mörk kolflarnlav
Stjärntagging
Vedskivlav
Vedtrappmossa
Violettgrå tagellav
Vågbandad barkbock
Spillkråka
Tofsmes
Fläcknycklar</t>
        </is>
      </c>
      <c r="W40">
        <f>HYPERLINK("https://klasma.github.io/Logging_1783/artfynd/A 34096-2026 artfynd.xlsx", "A 34096-2026")</f>
        <v/>
      </c>
      <c r="X40">
        <f>HYPERLINK("https://klasma.github.io/Logging_1783/kartor/A 34096-2026 karta.png", "A 34096-2026")</f>
        <v/>
      </c>
      <c r="Y40">
        <f>HYPERLINK("https://klasma.github.io/Logging_1783/kartor_geotiff/A 34096-2026 georefererad karta.tif", "A 34096-2026")</f>
        <v/>
      </c>
      <c r="AA40">
        <f>HYPERLINK("https://klasma.github.io/Logging_1783/klagomål/A 34096-2026 FSC-klagomål.docx", "A 34096-2026")</f>
        <v/>
      </c>
      <c r="AB40">
        <f>HYPERLINK("https://klasma.github.io/Logging_1783/klagomålsmail/A 34096-2026 FSC-klagomål mail.docx", "A 34096-2026")</f>
        <v/>
      </c>
      <c r="AC40">
        <f>HYPERLINK("https://klasma.github.io/Logging_1783/tillsyn/A 34096-2026 tillsynsbegäran.docx", "A 34096-2026")</f>
        <v/>
      </c>
      <c r="AD40">
        <f>HYPERLINK("https://klasma.github.io/Logging_1783/tillsynsmail/A 34096-2026 tillsynsbegäran mail.docx", "A 34096-2026")</f>
        <v/>
      </c>
      <c r="AE40">
        <f>HYPERLINK("https://klasma.github.io/Logging_1783/fåglar/A 34096-2026 prioriterade fågelarter.docx", "A 34096-2026")</f>
        <v/>
      </c>
    </row>
    <row r="41" ht="15" customHeight="1">
      <c r="A41" t="inlineStr">
        <is>
          <t>A 31203-2022</t>
        </is>
      </c>
      <c r="B41" t="inlineStr">
        <is>
          <t>avverkningsanmälan</t>
        </is>
      </c>
      <c r="C41" t="inlineStr">
        <is>
          <t>Föryngringsavverkning</t>
        </is>
      </c>
      <c r="D41" s="1" t="n">
        <v>44770</v>
      </c>
      <c r="E41" s="1" t="n">
        <v>46307</v>
      </c>
      <c r="F41" t="inlineStr">
        <is>
          <t>VÄRMLANDS LÄN</t>
        </is>
      </c>
      <c r="G41" t="inlineStr">
        <is>
          <t>TORSBY</t>
        </is>
      </c>
      <c r="I41" t="n">
        <v>33.5</v>
      </c>
      <c r="J41" t="n">
        <v>0</v>
      </c>
      <c r="K41" t="n">
        <v>2</v>
      </c>
      <c r="L41" t="n">
        <v>8</v>
      </c>
      <c r="M41" t="n">
        <v>1</v>
      </c>
      <c r="N41" t="n">
        <v>0</v>
      </c>
      <c r="O41" t="n">
        <v>0</v>
      </c>
      <c r="P41" t="n">
        <v>0</v>
      </c>
      <c r="Q41" t="n">
        <v>9</v>
      </c>
      <c r="R41" t="n">
        <v>1</v>
      </c>
      <c r="S41" t="n">
        <v>11</v>
      </c>
      <c r="T41" t="n">
        <v>46</v>
      </c>
      <c r="U41" t="n">
        <v>46</v>
      </c>
      <c r="V41" s="2" t="inlineStr">
        <is>
          <t>Garnlav
Gammelgransskål
Kolflarnlav
Lunglav
Mörk kolflarnlav
Skrovellav
Skuggblåslav
Tallticka
Vedskivlav
Bårdlav
Skinnlav</t>
        </is>
      </c>
      <c r="W41">
        <f>HYPERLINK("https://klasma.github.io/Logging_1737/artfynd/A 31203-2022 artfynd.xlsx", "A 31203-2022")</f>
        <v/>
      </c>
      <c r="X41">
        <f>HYPERLINK("https://klasma.github.io/Logging_1737/kartor/A 31203-2022 karta.png", "A 31203-2022")</f>
        <v/>
      </c>
      <c r="Y41">
        <f>HYPERLINK("https://klasma.github.io/Logging_1737/kartor_geotiff/A 31203-2022 georefererad karta.tif", "A 31203-2022")</f>
        <v/>
      </c>
      <c r="AA41">
        <f>HYPERLINK("https://klasma.github.io/Logging_1737/klagomål/A 31203-2022 FSC-klagomål.docx", "A 31203-2022")</f>
        <v/>
      </c>
      <c r="AB41">
        <f>HYPERLINK("https://klasma.github.io/Logging_1737/klagomålsmail/A 31203-2022 FSC-klagomål mail.docx", "A 31203-2022")</f>
        <v/>
      </c>
      <c r="AC41">
        <f>HYPERLINK("https://klasma.github.io/Logging_1737/tillsyn/A 31203-2022 tillsynsbegäran.docx", "A 31203-2022")</f>
        <v/>
      </c>
      <c r="AD41">
        <f>HYPERLINK("https://klasma.github.io/Logging_1737/tillsynsmail/A 31203-2022 tillsynsbegäran mail.docx", "A 31203-2022")</f>
        <v/>
      </c>
    </row>
    <row r="42" ht="15" customHeight="1">
      <c r="A42" t="inlineStr">
        <is>
          <t>A 34188-2024</t>
        </is>
      </c>
      <c r="B42" t="inlineStr">
        <is>
          <t>avverkningsanmälan</t>
        </is>
      </c>
      <c r="C42" t="inlineStr">
        <is>
          <t>Föryngringsavverkning</t>
        </is>
      </c>
      <c r="D42" s="1" t="n">
        <v>45524</v>
      </c>
      <c r="E42" s="1" t="n">
        <v>46307</v>
      </c>
      <c r="F42" t="inlineStr">
        <is>
          <t>VÄRMLANDS LÄN</t>
        </is>
      </c>
      <c r="G42" t="inlineStr">
        <is>
          <t>ARVIKA</t>
        </is>
      </c>
      <c r="I42" t="n">
        <v>7.5</v>
      </c>
      <c r="J42" t="n">
        <v>5</v>
      </c>
      <c r="K42" t="n">
        <v>4</v>
      </c>
      <c r="L42" t="n">
        <v>5</v>
      </c>
      <c r="M42" t="n">
        <v>0</v>
      </c>
      <c r="N42" t="n">
        <v>0</v>
      </c>
      <c r="O42" t="n">
        <v>0</v>
      </c>
      <c r="P42" t="n">
        <v>0</v>
      </c>
      <c r="Q42" t="n">
        <v>5</v>
      </c>
      <c r="R42" t="n">
        <v>0</v>
      </c>
      <c r="S42" t="n">
        <v>11</v>
      </c>
      <c r="T42" t="n">
        <v>21</v>
      </c>
      <c r="U42" t="n">
        <v>21</v>
      </c>
      <c r="V42" s="2" t="inlineStr">
        <is>
          <t>Kattfotslav
Rynkskinn
Talltita
Tretåig hackspett
Violettgrå tagellav
Grön sköldmossa
Stenporella
Stor revmossa
Stubbspretmossa
Spillkråka
Kungsfågel</t>
        </is>
      </c>
      <c r="W42">
        <f>HYPERLINK("https://klasma.github.io/Logging_1784/artfynd/A 34188-2024 artfynd.xlsx", "A 34188-2024")</f>
        <v/>
      </c>
      <c r="X42">
        <f>HYPERLINK("https://klasma.github.io/Logging_1784/kartor/A 34188-2024 karta.png", "A 34188-2024")</f>
        <v/>
      </c>
      <c r="Y42">
        <f>HYPERLINK("https://klasma.github.io/Logging_1784/kartor_geotiff/A 34188-2024 georefererad karta.tif", "A 34188-2024")</f>
        <v/>
      </c>
      <c r="AA42">
        <f>HYPERLINK("https://klasma.github.io/Logging_1784/klagomål/A 34188-2024 FSC-klagomål.docx", "A 34188-2024")</f>
        <v/>
      </c>
      <c r="AB42">
        <f>HYPERLINK("https://klasma.github.io/Logging_1784/klagomålsmail/A 34188-2024 FSC-klagomål mail.docx", "A 34188-2024")</f>
        <v/>
      </c>
      <c r="AC42">
        <f>HYPERLINK("https://klasma.github.io/Logging_1784/tillsyn/A 34188-2024 tillsynsbegäran.docx", "A 34188-2024")</f>
        <v/>
      </c>
      <c r="AD42">
        <f>HYPERLINK("https://klasma.github.io/Logging_1784/tillsynsmail/A 34188-2024 tillsynsbegäran mail.docx", "A 34188-2024")</f>
        <v/>
      </c>
      <c r="AE42">
        <f>HYPERLINK("https://klasma.github.io/Logging_1784/fåglar/A 34188-2024 prioriterade fågelarter.docx", "A 34188-2024")</f>
        <v/>
      </c>
    </row>
    <row r="43" ht="15" customHeight="1">
      <c r="A43" t="inlineStr">
        <is>
          <t>A 39323-2024</t>
        </is>
      </c>
      <c r="B43" t="inlineStr">
        <is>
          <t>avverkningsanmälan</t>
        </is>
      </c>
      <c r="C43" t="inlineStr">
        <is>
          <t>Föryngringsavverkning</t>
        </is>
      </c>
      <c r="D43" s="1" t="n">
        <v>45551</v>
      </c>
      <c r="E43" s="1" t="n">
        <v>46307</v>
      </c>
      <c r="F43" t="inlineStr">
        <is>
          <t>VÄRMLANDS LÄN</t>
        </is>
      </c>
      <c r="G43" t="inlineStr">
        <is>
          <t>FILIPSTAD</t>
        </is>
      </c>
      <c r="H43" t="inlineStr">
        <is>
          <t>Bergvik skog väst AB</t>
        </is>
      </c>
      <c r="I43" t="n">
        <v>20.2</v>
      </c>
      <c r="J43" t="n">
        <v>4</v>
      </c>
      <c r="K43" t="n">
        <v>3</v>
      </c>
      <c r="L43" t="n">
        <v>4</v>
      </c>
      <c r="M43" t="n">
        <v>2</v>
      </c>
      <c r="N43" t="n">
        <v>0</v>
      </c>
      <c r="O43" t="n">
        <v>0</v>
      </c>
      <c r="P43" t="n">
        <v>0</v>
      </c>
      <c r="Q43" t="n">
        <v>6</v>
      </c>
      <c r="R43" t="n">
        <v>2</v>
      </c>
      <c r="S43" t="n">
        <v>11</v>
      </c>
      <c r="T43" t="n">
        <v>163</v>
      </c>
      <c r="U43" t="n">
        <v>0</v>
      </c>
      <c r="V43" s="2" t="inlineStr">
        <is>
          <t>Gränsticka
Knärot
Dropptaggsvamp
Tallticka
Ullticka
Vedtrappmossa
Grön sköldmossa
Rostfläck
Vedticka
Spillkråka
Tjäder</t>
        </is>
      </c>
      <c r="W43">
        <f>HYPERLINK("https://klasma.github.io/Logging_1782/artfynd/A 39323-2024 artfynd.xlsx", "A 39323-2024")</f>
        <v/>
      </c>
      <c r="X43">
        <f>HYPERLINK("https://klasma.github.io/Logging_1782/kartor/A 39323-2024 karta.png", "A 39323-2024")</f>
        <v/>
      </c>
      <c r="Y43">
        <f>HYPERLINK("https://klasma.github.io/Logging_1782/kartor_geotiff/A 39323-2024 georefererad karta.tif", "A 39323-2024")</f>
        <v/>
      </c>
      <c r="Z43">
        <f>HYPERLINK("https://klasma.github.io/Logging_1782/knärot/A 39323-2024 karta knärot.png", "A 39323-2024")</f>
        <v/>
      </c>
      <c r="AA43">
        <f>HYPERLINK("https://klasma.github.io/Logging_1782/klagomål/A 39323-2024 FSC-klagomål.docx", "A 39323-2024")</f>
        <v/>
      </c>
      <c r="AB43">
        <f>HYPERLINK("https://klasma.github.io/Logging_1782/klagomålsmail/A 39323-2024 FSC-klagomål mail.docx", "A 39323-2024")</f>
        <v/>
      </c>
      <c r="AC43">
        <f>HYPERLINK("https://klasma.github.io/Logging_1782/tillsyn/A 39323-2024 tillsynsbegäran.docx", "A 39323-2024")</f>
        <v/>
      </c>
      <c r="AD43">
        <f>HYPERLINK("https://klasma.github.io/Logging_1782/tillsynsmail/A 39323-2024 tillsynsbegäran mail.docx", "A 39323-2024")</f>
        <v/>
      </c>
      <c r="AE43">
        <f>HYPERLINK("https://klasma.github.io/Logging_1782/fåglar/A 39323-2024 prioriterade fågelarter.docx", "A 39323-2024")</f>
        <v/>
      </c>
    </row>
    <row r="44" ht="15" customHeight="1">
      <c r="A44" t="inlineStr">
        <is>
          <t>A 54844-2024</t>
        </is>
      </c>
      <c r="B44" t="inlineStr">
        <is>
          <t>avverkningsanmälan</t>
        </is>
      </c>
      <c r="C44" t="inlineStr">
        <is>
          <t>Föryngringsavverkning</t>
        </is>
      </c>
      <c r="D44" s="1" t="n">
        <v>45618</v>
      </c>
      <c r="E44" s="1" t="n">
        <v>46307</v>
      </c>
      <c r="F44" t="inlineStr">
        <is>
          <t>VÄRMLANDS LÄN</t>
        </is>
      </c>
      <c r="G44" t="inlineStr">
        <is>
          <t>HAGFORS</t>
        </is>
      </c>
      <c r="H44" t="inlineStr">
        <is>
          <t>Bergvik skog väst AB</t>
        </is>
      </c>
      <c r="I44" t="n">
        <v>12.8</v>
      </c>
      <c r="J44" t="n">
        <v>2</v>
      </c>
      <c r="K44" t="n">
        <v>3</v>
      </c>
      <c r="L44" t="n">
        <v>4</v>
      </c>
      <c r="M44" t="n">
        <v>3</v>
      </c>
      <c r="N44" t="n">
        <v>0</v>
      </c>
      <c r="O44" t="n">
        <v>0</v>
      </c>
      <c r="P44" t="n">
        <v>0</v>
      </c>
      <c r="Q44" t="n">
        <v>7</v>
      </c>
      <c r="R44" t="n">
        <v>3</v>
      </c>
      <c r="S44" t="n">
        <v>11</v>
      </c>
      <c r="T44" t="n">
        <v>21</v>
      </c>
      <c r="U44" t="n">
        <v>20</v>
      </c>
      <c r="V44" s="2" t="inlineStr">
        <is>
          <t>Garnlav
Gränsticka
Knärot
Gammelgransskål
Rosenticka
Ullticka
Vedtrappmossa
Björksplintborre
Vedticka
Vågbandad barkbock
Spillkråka</t>
        </is>
      </c>
      <c r="W44">
        <f>HYPERLINK("https://klasma.github.io/Logging_1783/artfynd/A 54844-2024 artfynd.xlsx", "A 54844-2024")</f>
        <v/>
      </c>
      <c r="X44">
        <f>HYPERLINK("https://klasma.github.io/Logging_1783/kartor/A 54844-2024 karta.png", "A 54844-2024")</f>
        <v/>
      </c>
      <c r="Y44">
        <f>HYPERLINK("https://klasma.github.io/Logging_1783/kartor_geotiff/A 54844-2024 georefererad karta.tif", "A 54844-2024")</f>
        <v/>
      </c>
      <c r="Z44">
        <f>HYPERLINK("https://klasma.github.io/Logging_1783/knärot/A 54844-2024 karta knärot.png", "A 54844-2024")</f>
        <v/>
      </c>
      <c r="AA44">
        <f>HYPERLINK("https://klasma.github.io/Logging_1783/klagomål/A 54844-2024 FSC-klagomål.docx", "A 54844-2024")</f>
        <v/>
      </c>
      <c r="AB44">
        <f>HYPERLINK("https://klasma.github.io/Logging_1783/klagomålsmail/A 54844-2024 FSC-klagomål mail.docx", "A 54844-2024")</f>
        <v/>
      </c>
      <c r="AC44">
        <f>HYPERLINK("https://klasma.github.io/Logging_1783/tillsyn/A 54844-2024 tillsynsbegäran.docx", "A 54844-2024")</f>
        <v/>
      </c>
      <c r="AD44">
        <f>HYPERLINK("https://klasma.github.io/Logging_1783/tillsynsmail/A 54844-2024 tillsynsbegäran mail.docx", "A 54844-2024")</f>
        <v/>
      </c>
      <c r="AE44">
        <f>HYPERLINK("https://klasma.github.io/Logging_1783/fåglar/A 54844-2024 prioriterade fågelarter.docx", "A 54844-2024")</f>
        <v/>
      </c>
    </row>
    <row r="45" ht="15" customHeight="1">
      <c r="A45" t="inlineStr">
        <is>
          <t>A 53130-2023</t>
        </is>
      </c>
      <c r="B45" t="inlineStr">
        <is>
          <t>avverkningsanmälan</t>
        </is>
      </c>
      <c r="C45" t="inlineStr">
        <is>
          <t>Föryngringsavverkning</t>
        </is>
      </c>
      <c r="D45" s="1" t="n">
        <v>45229</v>
      </c>
      <c r="E45" s="1" t="n">
        <v>46307</v>
      </c>
      <c r="F45" t="inlineStr">
        <is>
          <t>VÄRMLANDS LÄN</t>
        </is>
      </c>
      <c r="G45" t="inlineStr">
        <is>
          <t>KRISTINEHAMN</t>
        </is>
      </c>
      <c r="I45" t="n">
        <v>6.5</v>
      </c>
      <c r="J45" t="n">
        <v>4</v>
      </c>
      <c r="K45" t="n">
        <v>3</v>
      </c>
      <c r="L45" t="n">
        <v>4</v>
      </c>
      <c r="M45" t="n">
        <v>1</v>
      </c>
      <c r="N45" t="n">
        <v>1</v>
      </c>
      <c r="O45" t="n">
        <v>0</v>
      </c>
      <c r="P45" t="n">
        <v>0</v>
      </c>
      <c r="Q45" t="n">
        <v>6</v>
      </c>
      <c r="R45" t="n">
        <v>2</v>
      </c>
      <c r="S45" t="n">
        <v>11</v>
      </c>
      <c r="T45" t="n">
        <v>100</v>
      </c>
      <c r="U45" t="n">
        <v>61</v>
      </c>
      <c r="V45" s="2" t="inlineStr">
        <is>
          <t>Bombmurkla
Garnlav
Brunpudrad nållav
Dofttaggsvamp
Fyrflikig jordstjärna
Talltita
Brandticka
Grönpyrola
Kamjordstjärna
Blåsippa
Kungsfågel</t>
        </is>
      </c>
      <c r="W45">
        <f>HYPERLINK("https://klasma.github.io/Logging_1781/artfynd/A 53130-2023 artfynd.xlsx", "A 53130-2023")</f>
        <v/>
      </c>
      <c r="X45">
        <f>HYPERLINK("https://klasma.github.io/Logging_1781/kartor/A 53130-2023 karta.png", "A 53130-2023")</f>
        <v/>
      </c>
      <c r="Y45">
        <f>HYPERLINK("https://klasma.github.io/Logging_1781/kartor_geotiff/A 53130-2023 georefererad karta.tif", "A 53130-2023")</f>
        <v/>
      </c>
      <c r="AA45">
        <f>HYPERLINK("https://klasma.github.io/Logging_1781/klagomål/A 53130-2023 FSC-klagomål.docx", "A 53130-2023")</f>
        <v/>
      </c>
      <c r="AB45">
        <f>HYPERLINK("https://klasma.github.io/Logging_1781/klagomålsmail/A 53130-2023 FSC-klagomål mail.docx", "A 53130-2023")</f>
        <v/>
      </c>
      <c r="AC45">
        <f>HYPERLINK("https://klasma.github.io/Logging_1781/tillsyn/A 53130-2023 tillsynsbegäran.docx", "A 53130-2023")</f>
        <v/>
      </c>
      <c r="AD45">
        <f>HYPERLINK("https://klasma.github.io/Logging_1781/tillsynsmail/A 53130-2023 tillsynsbegäran mail.docx", "A 53130-2023")</f>
        <v/>
      </c>
      <c r="AE45">
        <f>HYPERLINK("https://klasma.github.io/Logging_1781/fåglar/A 53130-2023 prioriterade fågelarter.docx", "A 53130-2023")</f>
        <v/>
      </c>
    </row>
    <row r="46" ht="15" customHeight="1">
      <c r="A46" t="inlineStr">
        <is>
          <t>A 42488-2022</t>
        </is>
      </c>
      <c r="B46" t="inlineStr">
        <is>
          <t>avverkningsanmälan</t>
        </is>
      </c>
      <c r="C46" t="inlineStr">
        <is>
          <t>Föryngringsavverkning</t>
        </is>
      </c>
      <c r="D46" s="1" t="n">
        <v>44831</v>
      </c>
      <c r="E46" s="1" t="n">
        <v>46307</v>
      </c>
      <c r="F46" t="inlineStr">
        <is>
          <t>VÄRMLANDS LÄN</t>
        </is>
      </c>
      <c r="G46" t="inlineStr">
        <is>
          <t>TORSBY</t>
        </is>
      </c>
      <c r="H46" t="inlineStr">
        <is>
          <t>Kommuner</t>
        </is>
      </c>
      <c r="I46" t="n">
        <v>2.7</v>
      </c>
      <c r="J46" t="n">
        <v>2</v>
      </c>
      <c r="K46" t="n">
        <v>5</v>
      </c>
      <c r="L46" t="n">
        <v>4</v>
      </c>
      <c r="M46" t="n">
        <v>2</v>
      </c>
      <c r="N46" t="n">
        <v>0</v>
      </c>
      <c r="O46" t="n">
        <v>0</v>
      </c>
      <c r="P46" t="n">
        <v>0</v>
      </c>
      <c r="Q46" t="n">
        <v>6</v>
      </c>
      <c r="R46" t="n">
        <v>2</v>
      </c>
      <c r="S46" t="n">
        <v>11</v>
      </c>
      <c r="T46" t="n">
        <v>26</v>
      </c>
      <c r="U46" t="n">
        <v>26</v>
      </c>
      <c r="V46" s="2" t="inlineStr">
        <is>
          <t>Garnlav
Knärot
Lunglav
Rynkskinn
Skuggblåslav
Ullticka
Bronshjon
Bårdlav
Grön sköldmossa
Korallblylav
Vedticka</t>
        </is>
      </c>
      <c r="W46">
        <f>HYPERLINK("https://klasma.github.io/Logging_1737/artfynd/A 42488-2022 artfynd.xlsx", "A 42488-2022")</f>
        <v/>
      </c>
      <c r="X46">
        <f>HYPERLINK("https://klasma.github.io/Logging_1737/kartor/A 42488-2022 karta.png", "A 42488-2022")</f>
        <v/>
      </c>
      <c r="Y46">
        <f>HYPERLINK("https://klasma.github.io/Logging_1737/kartor_geotiff/A 42488-2022 georefererad karta.tif", "A 42488-2022")</f>
        <v/>
      </c>
      <c r="Z46">
        <f>HYPERLINK("https://klasma.github.io/Logging_1737/knärot/A 42488-2022 karta knärot.png", "A 42488-2022")</f>
        <v/>
      </c>
      <c r="AA46">
        <f>HYPERLINK("https://klasma.github.io/Logging_1737/klagomål/A 42488-2022 FSC-klagomål.docx", "A 42488-2022")</f>
        <v/>
      </c>
      <c r="AB46">
        <f>HYPERLINK("https://klasma.github.io/Logging_1737/klagomålsmail/A 42488-2022 FSC-klagomål mail.docx", "A 42488-2022")</f>
        <v/>
      </c>
      <c r="AC46">
        <f>HYPERLINK("https://klasma.github.io/Logging_1737/tillsyn/A 42488-2022 tillsynsbegäran.docx", "A 42488-2022")</f>
        <v/>
      </c>
      <c r="AD46">
        <f>HYPERLINK("https://klasma.github.io/Logging_1737/tillsynsmail/A 42488-2022 tillsynsbegäran mail.docx", "A 42488-2022")</f>
        <v/>
      </c>
    </row>
    <row r="47" ht="15" customHeight="1">
      <c r="A47" t="inlineStr">
        <is>
          <t>A 22006-2026</t>
        </is>
      </c>
      <c r="B47" t="inlineStr">
        <is>
          <t>avverkningsanmälan</t>
        </is>
      </c>
      <c r="C47" t="inlineStr">
        <is>
          <t>Föryngringsavverkning</t>
        </is>
      </c>
      <c r="D47" s="1" t="n">
        <v>46153</v>
      </c>
      <c r="E47" s="1" t="n">
        <v>46307</v>
      </c>
      <c r="F47" t="inlineStr">
        <is>
          <t>VÄRMLANDS LÄN</t>
        </is>
      </c>
      <c r="G47" t="inlineStr">
        <is>
          <t>TORSBY</t>
        </is>
      </c>
      <c r="I47" t="n">
        <v>5.3</v>
      </c>
      <c r="J47" t="n">
        <v>0</v>
      </c>
      <c r="K47" t="n">
        <v>4</v>
      </c>
      <c r="L47" t="n">
        <v>5</v>
      </c>
      <c r="M47" t="n">
        <v>2</v>
      </c>
      <c r="N47" t="n">
        <v>0</v>
      </c>
      <c r="O47" t="n">
        <v>0</v>
      </c>
      <c r="P47" t="n">
        <v>0</v>
      </c>
      <c r="Q47" t="n">
        <v>7</v>
      </c>
      <c r="R47" t="n">
        <v>2</v>
      </c>
      <c r="S47" t="n">
        <v>11</v>
      </c>
      <c r="T47" t="n">
        <v>12</v>
      </c>
      <c r="U47" t="n">
        <v>0</v>
      </c>
      <c r="V47" s="2" t="inlineStr">
        <is>
          <t>Garnlav
Gräddporing
Lunglav
Mörk kolflarnlav
Vedskivlav
Vedtrappmossa
Violettgrå tagellav
Bårdlav
Gytterlav
Korallblylav
Stuplav</t>
        </is>
      </c>
      <c r="W47">
        <f>HYPERLINK("https://klasma.github.io/Logging_1737/artfynd/A 22006-2026 artfynd.xlsx", "A 22006-2026")</f>
        <v/>
      </c>
      <c r="X47">
        <f>HYPERLINK("https://klasma.github.io/Logging_1737/kartor/A 22006-2026 karta.png", "A 22006-2026")</f>
        <v/>
      </c>
      <c r="Y47">
        <f>HYPERLINK("https://klasma.github.io/Logging_1737/kartor_geotiff/A 22006-2026 georefererad karta.tif", "A 22006-2026")</f>
        <v/>
      </c>
      <c r="AA47">
        <f>HYPERLINK("https://klasma.github.io/Logging_1737/klagomål/A 22006-2026 FSC-klagomål.docx", "A 22006-2026")</f>
        <v/>
      </c>
      <c r="AB47">
        <f>HYPERLINK("https://klasma.github.io/Logging_1737/klagomålsmail/A 22006-2026 FSC-klagomål mail.docx", "A 22006-2026")</f>
        <v/>
      </c>
      <c r="AC47">
        <f>HYPERLINK("https://klasma.github.io/Logging_1737/tillsyn/A 22006-2026 tillsynsbegäran.docx", "A 22006-2026")</f>
        <v/>
      </c>
      <c r="AD47">
        <f>HYPERLINK("https://klasma.github.io/Logging_1737/tillsynsmail/A 22006-2026 tillsynsbegäran mail.docx", "A 22006-2026")</f>
        <v/>
      </c>
    </row>
    <row r="48" ht="15" customHeight="1">
      <c r="A48" t="inlineStr">
        <is>
          <t>A 23086-2024</t>
        </is>
      </c>
      <c r="B48" t="inlineStr">
        <is>
          <t>avverkningsanmälan</t>
        </is>
      </c>
      <c r="C48" t="inlineStr">
        <is>
          <t>Föryngringsavverkning</t>
        </is>
      </c>
      <c r="D48" s="1" t="n">
        <v>45450</v>
      </c>
      <c r="E48" s="1" t="n">
        <v>46307</v>
      </c>
      <c r="F48" t="inlineStr">
        <is>
          <t>VÄRMLANDS LÄN</t>
        </is>
      </c>
      <c r="G48" t="inlineStr">
        <is>
          <t>ARVIKA</t>
        </is>
      </c>
      <c r="H48" t="inlineStr">
        <is>
          <t>Bergvik skog väst AB</t>
        </is>
      </c>
      <c r="I48" t="n">
        <v>1.5</v>
      </c>
      <c r="J48" t="n">
        <v>4</v>
      </c>
      <c r="K48" t="n">
        <v>5</v>
      </c>
      <c r="L48" t="n">
        <v>2</v>
      </c>
      <c r="M48" t="n">
        <v>1</v>
      </c>
      <c r="N48" t="n">
        <v>0</v>
      </c>
      <c r="O48" t="n">
        <v>0</v>
      </c>
      <c r="P48" t="n">
        <v>0</v>
      </c>
      <c r="Q48" t="n">
        <v>3</v>
      </c>
      <c r="R48" t="n">
        <v>1</v>
      </c>
      <c r="S48" t="n">
        <v>11</v>
      </c>
      <c r="T48" t="n">
        <v>21</v>
      </c>
      <c r="U48" t="n">
        <v>20</v>
      </c>
      <c r="V48" s="2" t="inlineStr">
        <is>
          <t>Knärot
Ullticka
Vedtrappmossa
Bågpraktmossa
Bårdlav
Flagellkvastmossa
Korallblylav
Skinnlav
Spillkråka
Tjäder
Revlummer</t>
        </is>
      </c>
      <c r="W48">
        <f>HYPERLINK("https://klasma.github.io/Logging_1784/artfynd/A 23086-2024 artfynd.xlsx", "A 23086-2024")</f>
        <v/>
      </c>
      <c r="X48">
        <f>HYPERLINK("https://klasma.github.io/Logging_1784/kartor/A 23086-2024 karta.png", "A 23086-2024")</f>
        <v/>
      </c>
      <c r="Y48">
        <f>HYPERLINK("https://klasma.github.io/Logging_1784/kartor_geotiff/A 23086-2024 georefererad karta.tif", "A 23086-2024")</f>
        <v/>
      </c>
      <c r="Z48">
        <f>HYPERLINK("https://klasma.github.io/Logging_1784/knärot/A 23086-2024 karta knärot.png", "A 23086-2024")</f>
        <v/>
      </c>
      <c r="AA48">
        <f>HYPERLINK("https://klasma.github.io/Logging_1784/klagomål/A 23086-2024 FSC-klagomål.docx", "A 23086-2024")</f>
        <v/>
      </c>
      <c r="AB48">
        <f>HYPERLINK("https://klasma.github.io/Logging_1784/klagomålsmail/A 23086-2024 FSC-klagomål mail.docx", "A 23086-2024")</f>
        <v/>
      </c>
      <c r="AC48">
        <f>HYPERLINK("https://klasma.github.io/Logging_1784/tillsyn/A 23086-2024 tillsynsbegäran.docx", "A 23086-2024")</f>
        <v/>
      </c>
      <c r="AD48">
        <f>HYPERLINK("https://klasma.github.io/Logging_1784/tillsynsmail/A 23086-2024 tillsynsbegäran mail.docx", "A 23086-2024")</f>
        <v/>
      </c>
      <c r="AE48">
        <f>HYPERLINK("https://klasma.github.io/Logging_1784/fåglar/A 23086-2024 prioriterade fågelarter.docx", "A 23086-2024")</f>
        <v/>
      </c>
    </row>
    <row r="49" ht="15" customHeight="1">
      <c r="A49" t="inlineStr">
        <is>
          <t>S 3036-2022</t>
        </is>
      </c>
      <c r="B49" t="inlineStr">
        <is>
          <t>samrådsanmälan</t>
        </is>
      </c>
      <c r="C49" t="inlineStr">
        <is>
          <t>Askåterföring</t>
        </is>
      </c>
      <c r="D49" s="1" t="n">
        <v>44715</v>
      </c>
      <c r="E49" s="1" t="n">
        <v>46307</v>
      </c>
      <c r="F49" t="inlineStr">
        <is>
          <t>VÄRMLANDS LÄN</t>
        </is>
      </c>
      <c r="G49" t="inlineStr">
        <is>
          <t>KARLSTAD</t>
        </is>
      </c>
      <c r="H49" t="inlineStr">
        <is>
          <t>Kommuner</t>
        </is>
      </c>
      <c r="I49" t="n">
        <v>41.3</v>
      </c>
      <c r="J49" t="n">
        <v>10</v>
      </c>
      <c r="K49" t="n">
        <v>1</v>
      </c>
      <c r="L49" t="n">
        <v>3</v>
      </c>
      <c r="M49" t="n">
        <v>0</v>
      </c>
      <c r="N49" t="n">
        <v>0</v>
      </c>
      <c r="O49" t="n">
        <v>0</v>
      </c>
      <c r="P49" t="n">
        <v>0</v>
      </c>
      <c r="Q49" t="n">
        <v>3</v>
      </c>
      <c r="R49" t="n">
        <v>0</v>
      </c>
      <c r="S49" t="n">
        <v>11</v>
      </c>
      <c r="T49" t="n">
        <v>12</v>
      </c>
      <c r="U49" t="n">
        <v>8</v>
      </c>
      <c r="V49" s="2" t="inlineStr">
        <is>
          <t>Björktrast
Duvhök
Gulsparv
Scharlakansvårskål agg.
Spillkråka
Tjäder
Kråka
Kungsfågel
Huggorm
Vanlig snok
Äkta lopplummer</t>
        </is>
      </c>
      <c r="W49">
        <f>HYPERLINK("https://klasma.github.io/Logging_1780/artfynd/S 3036-2022 artfynd.xlsx", "S 3036-2022")</f>
        <v/>
      </c>
      <c r="X49">
        <f>HYPERLINK("https://klasma.github.io/Logging_1780/kartor/S 3036-2022 karta.png", "S 3036-2022")</f>
        <v/>
      </c>
      <c r="Y49">
        <f>HYPERLINK("https://klasma.github.io/Logging_1780/kartor_geotiff/S 3036-2022 georefererad karta.tif", "S 3036-2022")</f>
        <v/>
      </c>
      <c r="AA49">
        <f>HYPERLINK("https://klasma.github.io/Logging_1780/klagomål/S 3036-2022 FSC-klagomål.docx", "S 3036-2022")</f>
        <v/>
      </c>
      <c r="AB49">
        <f>HYPERLINK("https://klasma.github.io/Logging_1780/klagomålsmail/S 3036-2022 FSC-klagomål mail.docx", "S 3036-2022")</f>
        <v/>
      </c>
      <c r="AC49">
        <f>HYPERLINK("https://klasma.github.io/Logging_1780/tillsyn/S 3036-2022 tillsynsbegäran.docx", "S 3036-2022")</f>
        <v/>
      </c>
      <c r="AD49">
        <f>HYPERLINK("https://klasma.github.io/Logging_1780/tillsynsmail/S 3036-2022 tillsynsbegäran mail.docx", "S 3036-2022")</f>
        <v/>
      </c>
      <c r="AE49">
        <f>HYPERLINK("https://klasma.github.io/Logging_1780/fåglar/S 3036-2022 prioriterade fågelarter.docx", "S 3036-2022")</f>
        <v/>
      </c>
    </row>
    <row r="50" ht="15" customHeight="1">
      <c r="A50" t="inlineStr">
        <is>
          <t>S 535-2025</t>
        </is>
      </c>
      <c r="B50" t="inlineStr">
        <is>
          <t>samrådsanmälan</t>
        </is>
      </c>
      <c r="C50" t="inlineStr">
        <is>
          <t>Annan skogsbruksåtgärd</t>
        </is>
      </c>
      <c r="D50" s="1" t="n">
        <v>45707</v>
      </c>
      <c r="E50" s="1" t="n">
        <v>46307</v>
      </c>
      <c r="F50" t="inlineStr">
        <is>
          <t>VÄRMLANDS LÄN</t>
        </is>
      </c>
      <c r="G50" t="inlineStr">
        <is>
          <t>TORSBY</t>
        </is>
      </c>
      <c r="H50" t="inlineStr">
        <is>
          <t>Bergvik skog väst AB</t>
        </is>
      </c>
      <c r="I50" t="n">
        <v>33.1</v>
      </c>
      <c r="J50" t="n">
        <v>1</v>
      </c>
      <c r="K50" t="n">
        <v>1</v>
      </c>
      <c r="L50" t="n">
        <v>8</v>
      </c>
      <c r="M50" t="n">
        <v>1</v>
      </c>
      <c r="N50" t="n">
        <v>0</v>
      </c>
      <c r="O50" t="n">
        <v>0</v>
      </c>
      <c r="P50" t="n">
        <v>0</v>
      </c>
      <c r="Q50" t="n">
        <v>9</v>
      </c>
      <c r="R50" t="n">
        <v>1</v>
      </c>
      <c r="S50" t="n">
        <v>11</v>
      </c>
      <c r="T50" t="n">
        <v>48</v>
      </c>
      <c r="U50" t="n">
        <v>13</v>
      </c>
      <c r="V50" s="2" t="inlineStr">
        <is>
          <t>Garnlav
Doftskinn
Dropptaggsvamp
Dvärgbägarlav
Kolflarnlav
Skuggblåslav
Tallticka
Ullticka
Vedskivlav
Korallblylav
Spillkråka</t>
        </is>
      </c>
      <c r="W50">
        <f>HYPERLINK("https://klasma.github.io/Logging_1737/artfynd/S 535-2025 artfynd.xlsx", "S 535-2025")</f>
        <v/>
      </c>
      <c r="X50">
        <f>HYPERLINK("https://klasma.github.io/Logging_1737/kartor/S 535-2025 karta.png", "S 535-2025")</f>
        <v/>
      </c>
      <c r="Y50">
        <f>HYPERLINK("https://klasma.github.io/Logging_1737/kartor_geotiff/S 535-2025 georefererad karta.tif", "S 535-2025")</f>
        <v/>
      </c>
      <c r="AA50">
        <f>HYPERLINK("https://klasma.github.io/Logging_1737/klagomål/S 535-2025 FSC-klagomål.docx", "S 535-2025")</f>
        <v/>
      </c>
      <c r="AB50">
        <f>HYPERLINK("https://klasma.github.io/Logging_1737/klagomålsmail/S 535-2025 FSC-klagomål mail.docx", "S 535-2025")</f>
        <v/>
      </c>
      <c r="AC50">
        <f>HYPERLINK("https://klasma.github.io/Logging_1737/tillsyn/S 535-2025 tillsynsbegäran.docx", "S 535-2025")</f>
        <v/>
      </c>
      <c r="AD50">
        <f>HYPERLINK("https://klasma.github.io/Logging_1737/tillsynsmail/S 535-2025 tillsynsbegäran mail.docx", "S 535-2025")</f>
        <v/>
      </c>
      <c r="AE50">
        <f>HYPERLINK("https://klasma.github.io/Logging_1737/fåglar/S 535-2025 prioriterade fågelarter.docx", "S 535-2025")</f>
        <v/>
      </c>
    </row>
    <row r="51" ht="15" customHeight="1">
      <c r="A51" t="inlineStr">
        <is>
          <t>A 22230-2022</t>
        </is>
      </c>
      <c r="B51" t="inlineStr">
        <is>
          <t>avverkningsanmälan</t>
        </is>
      </c>
      <c r="C51" t="inlineStr">
        <is>
          <t>Föryngringsavverkning</t>
        </is>
      </c>
      <c r="D51" s="1" t="n">
        <v>44712</v>
      </c>
      <c r="E51" s="1" t="n">
        <v>46307</v>
      </c>
      <c r="F51" t="inlineStr">
        <is>
          <t>VÄRMLANDS LÄN</t>
        </is>
      </c>
      <c r="G51" t="inlineStr">
        <is>
          <t>TORSBY</t>
        </is>
      </c>
      <c r="I51" t="n">
        <v>2.1</v>
      </c>
      <c r="J51" t="n">
        <v>2</v>
      </c>
      <c r="K51" t="n">
        <v>2</v>
      </c>
      <c r="L51" t="n">
        <v>5</v>
      </c>
      <c r="M51" t="n">
        <v>2</v>
      </c>
      <c r="N51" t="n">
        <v>0</v>
      </c>
      <c r="O51" t="n">
        <v>0</v>
      </c>
      <c r="P51" t="n">
        <v>0</v>
      </c>
      <c r="Q51" t="n">
        <v>7</v>
      </c>
      <c r="R51" t="n">
        <v>2</v>
      </c>
      <c r="S51" t="n">
        <v>10</v>
      </c>
      <c r="T51" t="n">
        <v>42</v>
      </c>
      <c r="U51" t="n">
        <v>29</v>
      </c>
      <c r="V51" s="2" t="inlineStr">
        <is>
          <t>Garnlav
Knärot
Dvärgbägarlav
Gammelgransskål
Lunglav
Skuggblåslav
Tallticka
Korallblylav
Stuplav
Tjäder</t>
        </is>
      </c>
      <c r="W51">
        <f>HYPERLINK("https://klasma.github.io/Logging_1737/artfynd/A 22230-2022 artfynd.xlsx", "A 22230-2022")</f>
        <v/>
      </c>
      <c r="X51">
        <f>HYPERLINK("https://klasma.github.io/Logging_1737/kartor/A 22230-2022 karta.png", "A 22230-2022")</f>
        <v/>
      </c>
      <c r="Y51">
        <f>HYPERLINK("https://klasma.github.io/Logging_1737/kartor_geotiff/A 22230-2022 georefererad karta.tif", "A 22230-2022")</f>
        <v/>
      </c>
      <c r="Z51">
        <f>HYPERLINK("https://klasma.github.io/Logging_1737/knärot/A 22230-2022 karta knärot.png", "A 22230-2022")</f>
        <v/>
      </c>
      <c r="AA51">
        <f>HYPERLINK("https://klasma.github.io/Logging_1737/klagomål/A 22230-2022 FSC-klagomål.docx", "A 22230-2022")</f>
        <v/>
      </c>
      <c r="AB51">
        <f>HYPERLINK("https://klasma.github.io/Logging_1737/klagomålsmail/A 22230-2022 FSC-klagomål mail.docx", "A 22230-2022")</f>
        <v/>
      </c>
      <c r="AC51">
        <f>HYPERLINK("https://klasma.github.io/Logging_1737/tillsyn/A 22230-2022 tillsynsbegäran.docx", "A 22230-2022")</f>
        <v/>
      </c>
      <c r="AD51">
        <f>HYPERLINK("https://klasma.github.io/Logging_1737/tillsynsmail/A 22230-2022 tillsynsbegäran mail.docx", "A 22230-2022")</f>
        <v/>
      </c>
      <c r="AE51">
        <f>HYPERLINK("https://klasma.github.io/Logging_1737/fåglar/A 22230-2022 prioriterade fågelarter.docx", "A 22230-2022")</f>
        <v/>
      </c>
    </row>
    <row r="52" ht="15" customHeight="1">
      <c r="A52" t="inlineStr">
        <is>
          <t>A 44253-2025</t>
        </is>
      </c>
      <c r="B52" t="inlineStr">
        <is>
          <t>avverkningsanmälan</t>
        </is>
      </c>
      <c r="C52" t="inlineStr">
        <is>
          <t>Föryngringsavverkning</t>
        </is>
      </c>
      <c r="D52" s="1" t="n">
        <v>45915</v>
      </c>
      <c r="E52" s="1" t="n">
        <v>46307</v>
      </c>
      <c r="F52" t="inlineStr">
        <is>
          <t>VÄRMLANDS LÄN</t>
        </is>
      </c>
      <c r="G52" t="inlineStr">
        <is>
          <t>SÄFFLE</t>
        </is>
      </c>
      <c r="H52" t="inlineStr">
        <is>
          <t>Kyrkan</t>
        </is>
      </c>
      <c r="I52" t="n">
        <v>2.3</v>
      </c>
      <c r="J52" t="n">
        <v>8</v>
      </c>
      <c r="K52" t="n">
        <v>0</v>
      </c>
      <c r="L52" t="n">
        <v>3</v>
      </c>
      <c r="M52" t="n">
        <v>0</v>
      </c>
      <c r="N52" t="n">
        <v>0</v>
      </c>
      <c r="O52" t="n">
        <v>0</v>
      </c>
      <c r="P52" t="n">
        <v>0</v>
      </c>
      <c r="Q52" t="n">
        <v>3</v>
      </c>
      <c r="R52" t="n">
        <v>0</v>
      </c>
      <c r="S52" t="n">
        <v>10</v>
      </c>
      <c r="T52" t="n">
        <v>10</v>
      </c>
      <c r="U52" t="n">
        <v>3</v>
      </c>
      <c r="V52" s="2" t="inlineStr">
        <is>
          <t>Luddfingersvamp
Mindre hackspett
Svinrot
Mattlummer
Kungsfågel
Huggorm
Vanlig groda
Vanlig snok
Fläcknycklar
Nattviol</t>
        </is>
      </c>
      <c r="W52">
        <f>HYPERLINK("https://klasma.github.io/Logging_1785/artfynd/A 44253-2025 artfynd.xlsx", "A 44253-2025")</f>
        <v/>
      </c>
      <c r="X52">
        <f>HYPERLINK("https://klasma.github.io/Logging_1785/kartor/A 44253-2025 karta.png", "A 44253-2025")</f>
        <v/>
      </c>
      <c r="Y52">
        <f>HYPERLINK("https://klasma.github.io/Logging_1785/kartor_geotiff/A 44253-2025 georefererad karta.tif", "A 44253-2025")</f>
        <v/>
      </c>
      <c r="AA52">
        <f>HYPERLINK("https://klasma.github.io/Logging_1785/klagomål/A 44253-2025 FSC-klagomål.docx", "A 44253-2025")</f>
        <v/>
      </c>
      <c r="AB52">
        <f>HYPERLINK("https://klasma.github.io/Logging_1785/klagomålsmail/A 44253-2025 FSC-klagomål mail.docx", "A 44253-2025")</f>
        <v/>
      </c>
      <c r="AC52">
        <f>HYPERLINK("https://klasma.github.io/Logging_1785/tillsyn/A 44253-2025 tillsynsbegäran.docx", "A 44253-2025")</f>
        <v/>
      </c>
      <c r="AD52">
        <f>HYPERLINK("https://klasma.github.io/Logging_1785/tillsynsmail/A 44253-2025 tillsynsbegäran mail.docx", "A 44253-2025")</f>
        <v/>
      </c>
      <c r="AE52">
        <f>HYPERLINK("https://klasma.github.io/Logging_1785/fåglar/A 44253-2025 prioriterade fågelarter.docx", "A 44253-2025")</f>
        <v/>
      </c>
    </row>
    <row r="53" ht="15" customHeight="1">
      <c r="A53" t="inlineStr">
        <is>
          <t>A 11330-2025</t>
        </is>
      </c>
      <c r="B53" t="inlineStr">
        <is>
          <t>avverkningsanmälan</t>
        </is>
      </c>
      <c r="C53" t="inlineStr">
        <is>
          <t>Föryngringsavverkning</t>
        </is>
      </c>
      <c r="D53" s="1" t="n">
        <v>45726</v>
      </c>
      <c r="E53" s="1" t="n">
        <v>46307</v>
      </c>
      <c r="F53" t="inlineStr">
        <is>
          <t>VÄRMLANDS LÄN</t>
        </is>
      </c>
      <c r="G53" t="inlineStr">
        <is>
          <t>EDA</t>
        </is>
      </c>
      <c r="I53" t="n">
        <v>1.1</v>
      </c>
      <c r="J53" t="n">
        <v>10</v>
      </c>
      <c r="K53" t="n">
        <v>0</v>
      </c>
      <c r="L53" t="n">
        <v>5</v>
      </c>
      <c r="M53" t="n">
        <v>0</v>
      </c>
      <c r="N53" t="n">
        <v>0</v>
      </c>
      <c r="O53" t="n">
        <v>0</v>
      </c>
      <c r="P53" t="n">
        <v>0</v>
      </c>
      <c r="Q53" t="n">
        <v>5</v>
      </c>
      <c r="R53" t="n">
        <v>0</v>
      </c>
      <c r="S53" t="n">
        <v>10</v>
      </c>
      <c r="T53" t="n">
        <v>10</v>
      </c>
      <c r="U53" t="n">
        <v>10</v>
      </c>
      <c r="V53" s="2" t="inlineStr">
        <is>
          <t>Drillsnäppa
Entita
Gulsparv
Järnsparv
Ladusvala
Bergfink
Spillkråka
Buskskvätta
Röd glada
Trana</t>
        </is>
      </c>
      <c r="W53">
        <f>HYPERLINK("https://klasma.github.io/Logging_1730/artfynd/A 11330-2025 artfynd.xlsx", "A 11330-2025")</f>
        <v/>
      </c>
      <c r="X53">
        <f>HYPERLINK("https://klasma.github.io/Logging_1730/kartor/A 11330-2025 karta.png", "A 11330-2025")</f>
        <v/>
      </c>
      <c r="Y53">
        <f>HYPERLINK("https://klasma.github.io/Logging_1730/kartor_geotiff/A 11330-2025 georefererad karta.tif", "A 11330-2025")</f>
        <v/>
      </c>
      <c r="AA53">
        <f>HYPERLINK("https://klasma.github.io/Logging_1730/klagomål/A 11330-2025 FSC-klagomål.docx", "A 11330-2025")</f>
        <v/>
      </c>
      <c r="AB53">
        <f>HYPERLINK("https://klasma.github.io/Logging_1730/klagomålsmail/A 11330-2025 FSC-klagomål mail.docx", "A 11330-2025")</f>
        <v/>
      </c>
      <c r="AC53">
        <f>HYPERLINK("https://klasma.github.io/Logging_1730/tillsyn/A 11330-2025 tillsynsbegäran.docx", "A 11330-2025")</f>
        <v/>
      </c>
      <c r="AD53">
        <f>HYPERLINK("https://klasma.github.io/Logging_1730/tillsynsmail/A 11330-2025 tillsynsbegäran mail.docx", "A 11330-2025")</f>
        <v/>
      </c>
      <c r="AE53">
        <f>HYPERLINK("https://klasma.github.io/Logging_1730/fåglar/A 11330-2025 prioriterade fågelarter.docx", "A 11330-2025")</f>
        <v/>
      </c>
    </row>
    <row r="54" ht="15" customHeight="1">
      <c r="A54" t="inlineStr">
        <is>
          <t>A 3513-2022</t>
        </is>
      </c>
      <c r="B54" t="inlineStr">
        <is>
          <t>avverkningsanmälan</t>
        </is>
      </c>
      <c r="C54" t="inlineStr">
        <is>
          <t>Föryngringsavverkning</t>
        </is>
      </c>
      <c r="D54" s="1" t="n">
        <v>44585</v>
      </c>
      <c r="E54" s="1" t="n">
        <v>46307</v>
      </c>
      <c r="F54" t="inlineStr">
        <is>
          <t>VÄRMLANDS LÄN</t>
        </is>
      </c>
      <c r="G54" t="inlineStr">
        <is>
          <t>ÅRJÄNG</t>
        </is>
      </c>
      <c r="I54" t="n">
        <v>8</v>
      </c>
      <c r="J54" t="n">
        <v>3</v>
      </c>
      <c r="K54" t="n">
        <v>2</v>
      </c>
      <c r="L54" t="n">
        <v>4</v>
      </c>
      <c r="M54" t="n">
        <v>4</v>
      </c>
      <c r="N54" t="n">
        <v>0</v>
      </c>
      <c r="O54" t="n">
        <v>0</v>
      </c>
      <c r="P54" t="n">
        <v>0</v>
      </c>
      <c r="Q54" t="n">
        <v>8</v>
      </c>
      <c r="R54" t="n">
        <v>4</v>
      </c>
      <c r="S54" t="n">
        <v>10</v>
      </c>
      <c r="T54" t="n">
        <v>24</v>
      </c>
      <c r="U54" t="n">
        <v>6</v>
      </c>
      <c r="V54" s="2" t="inlineStr">
        <is>
          <t>Garnlav
Gräddticka
Gränsticka
Knärot
Drillsnäppa
Kattfotslav
Tallticka
Tretåig hackspett
Bronshjon
Vedticka</t>
        </is>
      </c>
      <c r="W54">
        <f>HYPERLINK("https://klasma.github.io/Logging_1765/artfynd/A 3513-2022 artfynd.xlsx", "A 3513-2022")</f>
        <v/>
      </c>
      <c r="X54">
        <f>HYPERLINK("https://klasma.github.io/Logging_1765/kartor/A 3513-2022 karta.png", "A 3513-2022")</f>
        <v/>
      </c>
      <c r="Y54">
        <f>HYPERLINK("https://klasma.github.io/Logging_1765/kartor_geotiff/A 3513-2022 georefererad karta.tif", "A 3513-2022")</f>
        <v/>
      </c>
      <c r="Z54">
        <f>HYPERLINK("https://klasma.github.io/Logging_1765/knärot/A 3513-2022 karta knärot.png", "A 3513-2022")</f>
        <v/>
      </c>
      <c r="AA54">
        <f>HYPERLINK("https://klasma.github.io/Logging_1765/klagomål/A 3513-2022 FSC-klagomål.docx", "A 3513-2022")</f>
        <v/>
      </c>
      <c r="AB54">
        <f>HYPERLINK("https://klasma.github.io/Logging_1765/klagomålsmail/A 3513-2022 FSC-klagomål mail.docx", "A 3513-2022")</f>
        <v/>
      </c>
      <c r="AC54">
        <f>HYPERLINK("https://klasma.github.io/Logging_1765/tillsyn/A 3513-2022 tillsynsbegäran.docx", "A 3513-2022")</f>
        <v/>
      </c>
      <c r="AD54">
        <f>HYPERLINK("https://klasma.github.io/Logging_1765/tillsynsmail/A 3513-2022 tillsynsbegäran mail.docx", "A 3513-2022")</f>
        <v/>
      </c>
      <c r="AE54">
        <f>HYPERLINK("https://klasma.github.io/Logging_1765/fåglar/A 3513-2022 prioriterade fågelarter.docx", "A 3513-2022")</f>
        <v/>
      </c>
    </row>
    <row r="55" ht="15" customHeight="1">
      <c r="A55" t="inlineStr">
        <is>
          <t>S 1548-2026</t>
        </is>
      </c>
      <c r="B55" t="inlineStr">
        <is>
          <t>samrådsanmälan</t>
        </is>
      </c>
      <c r="C55" t="inlineStr">
        <is>
          <t>Annan skogsbruksåtgärd</t>
        </is>
      </c>
      <c r="D55" s="1" t="n">
        <v>46167</v>
      </c>
      <c r="E55" s="1" t="n">
        <v>46307</v>
      </c>
      <c r="F55" t="inlineStr">
        <is>
          <t>VÄRMLANDS LÄN</t>
        </is>
      </c>
      <c r="G55" t="inlineStr">
        <is>
          <t>HAMMARÖ</t>
        </is>
      </c>
      <c r="I55" t="n">
        <v>3.8</v>
      </c>
      <c r="J55" t="n">
        <v>8</v>
      </c>
      <c r="K55" t="n">
        <v>2</v>
      </c>
      <c r="L55" t="n">
        <v>2</v>
      </c>
      <c r="M55" t="n">
        <v>0</v>
      </c>
      <c r="N55" t="n">
        <v>0</v>
      </c>
      <c r="O55" t="n">
        <v>0</v>
      </c>
      <c r="P55" t="n">
        <v>0</v>
      </c>
      <c r="Q55" t="n">
        <v>2</v>
      </c>
      <c r="R55" t="n">
        <v>0</v>
      </c>
      <c r="S55" t="n">
        <v>10</v>
      </c>
      <c r="T55" t="n">
        <v>20</v>
      </c>
      <c r="U55" t="n">
        <v>0</v>
      </c>
      <c r="V55" s="2" t="inlineStr">
        <is>
          <t>Mindre hackspett
Nordfladdermus
Stubbspretmossa
Thomsons trägnagare
Spillkråka
Dvärgpipistrell
Fiskgjuse
Gröngöling
Havsörn
Kungsfågel</t>
        </is>
      </c>
      <c r="W55">
        <f>HYPERLINK("https://klasma.github.io/Logging_1761/artfynd/S 1548-2026 artfynd.xlsx", "S 1548-2026")</f>
        <v/>
      </c>
      <c r="X55">
        <f>HYPERLINK("https://klasma.github.io/Logging_1761/kartor/S 1548-2026 karta.png", "S 1548-2026")</f>
        <v/>
      </c>
      <c r="Y55">
        <f>HYPERLINK("https://klasma.github.io/Logging_1761/kartor_geotiff/S 1548-2026 georefererad karta.tif", "S 1548-2026")</f>
        <v/>
      </c>
      <c r="AA55">
        <f>HYPERLINK("https://klasma.github.io/Logging_1761/klagomål/S 1548-2026 FSC-klagomål.docx", "S 1548-2026")</f>
        <v/>
      </c>
      <c r="AB55">
        <f>HYPERLINK("https://klasma.github.io/Logging_1761/klagomålsmail/S 1548-2026 FSC-klagomål mail.docx", "S 1548-2026")</f>
        <v/>
      </c>
      <c r="AC55">
        <f>HYPERLINK("https://klasma.github.io/Logging_1761/tillsyn/S 1548-2026 tillsynsbegäran.docx", "S 1548-2026")</f>
        <v/>
      </c>
      <c r="AD55">
        <f>HYPERLINK("https://klasma.github.io/Logging_1761/tillsynsmail/S 1548-2026 tillsynsbegäran mail.docx", "S 1548-2026")</f>
        <v/>
      </c>
      <c r="AE55">
        <f>HYPERLINK("https://klasma.github.io/Logging_1761/fåglar/S 1548-2026 prioriterade fågelarter.docx", "S 1548-2026")</f>
        <v/>
      </c>
    </row>
    <row r="56" ht="15" customHeight="1">
      <c r="A56" t="inlineStr">
        <is>
          <t>A 69506-2021</t>
        </is>
      </c>
      <c r="B56" t="inlineStr">
        <is>
          <t>avverkningsanmälan</t>
        </is>
      </c>
      <c r="C56" t="inlineStr">
        <is>
          <t>Föryngringsavverkning</t>
        </is>
      </c>
      <c r="D56" s="1" t="n">
        <v>44531</v>
      </c>
      <c r="E56" s="1" t="n">
        <v>46307</v>
      </c>
      <c r="F56" t="inlineStr">
        <is>
          <t>VÄRMLANDS LÄN</t>
        </is>
      </c>
      <c r="G56" t="inlineStr">
        <is>
          <t>KARLSTAD</t>
        </is>
      </c>
      <c r="I56" t="n">
        <v>5.2</v>
      </c>
      <c r="J56" t="n">
        <v>9</v>
      </c>
      <c r="K56" t="n">
        <v>0</v>
      </c>
      <c r="L56" t="n">
        <v>3</v>
      </c>
      <c r="M56" t="n">
        <v>1</v>
      </c>
      <c r="N56" t="n">
        <v>0</v>
      </c>
      <c r="O56" t="n">
        <v>0</v>
      </c>
      <c r="P56" t="n">
        <v>0</v>
      </c>
      <c r="Q56" t="n">
        <v>4</v>
      </c>
      <c r="R56" t="n">
        <v>1</v>
      </c>
      <c r="S56" t="n">
        <v>9</v>
      </c>
      <c r="T56" t="n">
        <v>9</v>
      </c>
      <c r="U56" t="n">
        <v>9</v>
      </c>
      <c r="V56" s="2" t="inlineStr">
        <is>
          <t>Tornseglare
Gulsparv
Sparvuggla
Talltita
Spillkråka
Svartvit flugsnappare
Trana
Trädlärka
Ärtsångare</t>
        </is>
      </c>
      <c r="W56">
        <f>HYPERLINK("https://klasma.github.io/Logging_1780/artfynd/A 69506-2021 artfynd.xlsx", "A 69506-2021")</f>
        <v/>
      </c>
      <c r="X56">
        <f>HYPERLINK("https://klasma.github.io/Logging_1780/kartor/A 69506-2021 karta.png", "A 69506-2021")</f>
        <v/>
      </c>
      <c r="Y56">
        <f>HYPERLINK("https://klasma.github.io/Logging_1780/kartor_geotiff/A 69506-2021 georefererad karta.tif", "A 69506-2021")</f>
        <v/>
      </c>
      <c r="AA56">
        <f>HYPERLINK("https://klasma.github.io/Logging_1780/klagomål/A 69506-2021 FSC-klagomål.docx", "A 69506-2021")</f>
        <v/>
      </c>
      <c r="AB56">
        <f>HYPERLINK("https://klasma.github.io/Logging_1780/klagomålsmail/A 69506-2021 FSC-klagomål mail.docx", "A 69506-2021")</f>
        <v/>
      </c>
      <c r="AC56">
        <f>HYPERLINK("https://klasma.github.io/Logging_1780/tillsyn/A 69506-2021 tillsynsbegäran.docx", "A 69506-2021")</f>
        <v/>
      </c>
      <c r="AD56">
        <f>HYPERLINK("https://klasma.github.io/Logging_1780/tillsynsmail/A 69506-2021 tillsynsbegäran mail.docx", "A 69506-2021")</f>
        <v/>
      </c>
      <c r="AE56">
        <f>HYPERLINK("https://klasma.github.io/Logging_1780/fåglar/A 69506-2021 prioriterade fågelarter.docx", "A 69506-2021")</f>
        <v/>
      </c>
    </row>
    <row r="57" ht="15" customHeight="1">
      <c r="A57" t="inlineStr">
        <is>
          <t>A 18306-2024</t>
        </is>
      </c>
      <c r="B57" t="inlineStr">
        <is>
          <t>avverkningsanmälan</t>
        </is>
      </c>
      <c r="C57" t="inlineStr">
        <is>
          <t>Föryngringsavverkning</t>
        </is>
      </c>
      <c r="D57" s="1" t="n">
        <v>45422</v>
      </c>
      <c r="E57" s="1" t="n">
        <v>46307</v>
      </c>
      <c r="F57" t="inlineStr">
        <is>
          <t>VÄRMLANDS LÄN</t>
        </is>
      </c>
      <c r="G57" t="inlineStr">
        <is>
          <t>TORSBY</t>
        </is>
      </c>
      <c r="I57" t="n">
        <v>5.5</v>
      </c>
      <c r="J57" t="n">
        <v>0</v>
      </c>
      <c r="K57" t="n">
        <v>4</v>
      </c>
      <c r="L57" t="n">
        <v>4</v>
      </c>
      <c r="M57" t="n">
        <v>1</v>
      </c>
      <c r="N57" t="n">
        <v>0</v>
      </c>
      <c r="O57" t="n">
        <v>0</v>
      </c>
      <c r="P57" t="n">
        <v>0</v>
      </c>
      <c r="Q57" t="n">
        <v>5</v>
      </c>
      <c r="R57" t="n">
        <v>1</v>
      </c>
      <c r="S57" t="n">
        <v>9</v>
      </c>
      <c r="T57" t="n">
        <v>34</v>
      </c>
      <c r="U57" t="n">
        <v>33</v>
      </c>
      <c r="V57" s="2" t="inlineStr">
        <is>
          <t>Garnlav
Lunglav
Nordtagging
Tallticka
Vedtrappmossa
Bårdlav
Korallblylav
Stuplav
Vedticka</t>
        </is>
      </c>
      <c r="W57">
        <f>HYPERLINK("https://klasma.github.io/Logging_1737/artfynd/A 18306-2024 artfynd.xlsx", "A 18306-2024")</f>
        <v/>
      </c>
      <c r="X57">
        <f>HYPERLINK("https://klasma.github.io/Logging_1737/kartor/A 18306-2024 karta.png", "A 18306-2024")</f>
        <v/>
      </c>
      <c r="Y57">
        <f>HYPERLINK("https://klasma.github.io/Logging_1737/kartor_geotiff/A 18306-2024 georefererad karta.tif", "A 18306-2024")</f>
        <v/>
      </c>
      <c r="AA57">
        <f>HYPERLINK("https://klasma.github.io/Logging_1737/klagomål/A 18306-2024 FSC-klagomål.docx", "A 18306-2024")</f>
        <v/>
      </c>
      <c r="AB57">
        <f>HYPERLINK("https://klasma.github.io/Logging_1737/klagomålsmail/A 18306-2024 FSC-klagomål mail.docx", "A 18306-2024")</f>
        <v/>
      </c>
      <c r="AC57">
        <f>HYPERLINK("https://klasma.github.io/Logging_1737/tillsyn/A 18306-2024 tillsynsbegäran.docx", "A 18306-2024")</f>
        <v/>
      </c>
      <c r="AD57">
        <f>HYPERLINK("https://klasma.github.io/Logging_1737/tillsynsmail/A 18306-2024 tillsynsbegäran mail.docx", "A 18306-2024")</f>
        <v/>
      </c>
    </row>
    <row r="58" ht="15" customHeight="1">
      <c r="A58" t="inlineStr">
        <is>
          <t>A 49307-2025</t>
        </is>
      </c>
      <c r="B58" t="inlineStr">
        <is>
          <t>avverkningsanmälan</t>
        </is>
      </c>
      <c r="C58" t="inlineStr">
        <is>
          <t>Föryngringsavverkning</t>
        </is>
      </c>
      <c r="D58" s="1" t="n">
        <v>45938</v>
      </c>
      <c r="E58" s="1" t="n">
        <v>46307</v>
      </c>
      <c r="F58" t="inlineStr">
        <is>
          <t>VÄRMLANDS LÄN</t>
        </is>
      </c>
      <c r="G58" t="inlineStr">
        <is>
          <t>TORSBY</t>
        </is>
      </c>
      <c r="H58" t="inlineStr">
        <is>
          <t>Bergvik skog väst AB</t>
        </is>
      </c>
      <c r="I58" t="n">
        <v>12.9</v>
      </c>
      <c r="J58" t="n">
        <v>0</v>
      </c>
      <c r="K58" t="n">
        <v>1</v>
      </c>
      <c r="L58" t="n">
        <v>7</v>
      </c>
      <c r="M58" t="n">
        <v>1</v>
      </c>
      <c r="N58" t="n">
        <v>0</v>
      </c>
      <c r="O58" t="n">
        <v>0</v>
      </c>
      <c r="P58" t="n">
        <v>0</v>
      </c>
      <c r="Q58" t="n">
        <v>8</v>
      </c>
      <c r="R58" t="n">
        <v>1</v>
      </c>
      <c r="S58" t="n">
        <v>9</v>
      </c>
      <c r="T58" t="n">
        <v>20</v>
      </c>
      <c r="U58" t="n">
        <v>0</v>
      </c>
      <c r="V58" s="2" t="inlineStr">
        <is>
          <t>Garnlav
Blanksvart spiklav
Dropptaggsvamp
Kolflarnlav
Kortskaftad ärgspik
Liten svartspik
Mörk kolflarnlav
Vedskivlav
Mindre märgborre</t>
        </is>
      </c>
      <c r="W58">
        <f>HYPERLINK("https://klasma.github.io/Logging_1737/artfynd/A 49307-2025 artfynd.xlsx", "A 49307-2025")</f>
        <v/>
      </c>
      <c r="X58">
        <f>HYPERLINK("https://klasma.github.io/Logging_1737/kartor/A 49307-2025 karta.png", "A 49307-2025")</f>
        <v/>
      </c>
      <c r="Y58">
        <f>HYPERLINK("https://klasma.github.io/Logging_1737/kartor_geotiff/A 49307-2025 georefererad karta.tif", "A 49307-2025")</f>
        <v/>
      </c>
      <c r="AA58">
        <f>HYPERLINK("https://klasma.github.io/Logging_1737/klagomål/A 49307-2025 FSC-klagomål.docx", "A 49307-2025")</f>
        <v/>
      </c>
      <c r="AB58">
        <f>HYPERLINK("https://klasma.github.io/Logging_1737/klagomålsmail/A 49307-2025 FSC-klagomål mail.docx", "A 49307-2025")</f>
        <v/>
      </c>
      <c r="AC58">
        <f>HYPERLINK("https://klasma.github.io/Logging_1737/tillsyn/A 49307-2025 tillsynsbegäran.docx", "A 49307-2025")</f>
        <v/>
      </c>
      <c r="AD58">
        <f>HYPERLINK("https://klasma.github.io/Logging_1737/tillsynsmail/A 49307-2025 tillsynsbegäran mail.docx", "A 49307-2025")</f>
        <v/>
      </c>
    </row>
    <row r="59" ht="15" customHeight="1">
      <c r="A59" t="inlineStr">
        <is>
          <t>A 7337-2025</t>
        </is>
      </c>
      <c r="B59" t="inlineStr">
        <is>
          <t>avverkningsanmälan</t>
        </is>
      </c>
      <c r="C59" t="inlineStr">
        <is>
          <t>Föryngringsavverkning</t>
        </is>
      </c>
      <c r="D59" s="1" t="n">
        <v>45703</v>
      </c>
      <c r="E59" s="1" t="n">
        <v>46307</v>
      </c>
      <c r="F59" t="inlineStr">
        <is>
          <t>VÄRMLANDS LÄN</t>
        </is>
      </c>
      <c r="G59" t="inlineStr">
        <is>
          <t>SUNNE</t>
        </is>
      </c>
      <c r="I59" t="n">
        <v>10.7</v>
      </c>
      <c r="J59" t="n">
        <v>2</v>
      </c>
      <c r="K59" t="n">
        <v>2</v>
      </c>
      <c r="L59" t="n">
        <v>5</v>
      </c>
      <c r="M59" t="n">
        <v>1</v>
      </c>
      <c r="N59" t="n">
        <v>0</v>
      </c>
      <c r="O59" t="n">
        <v>0</v>
      </c>
      <c r="P59" t="n">
        <v>0</v>
      </c>
      <c r="Q59" t="n">
        <v>6</v>
      </c>
      <c r="R59" t="n">
        <v>1</v>
      </c>
      <c r="S59" t="n">
        <v>9</v>
      </c>
      <c r="T59" t="n">
        <v>20</v>
      </c>
      <c r="U59" t="n">
        <v>11</v>
      </c>
      <c r="V59" s="2" t="inlineStr">
        <is>
          <t>Garnlav
Kolflarnlav
Lunglav
Skrovellav
Tretåig hackspett
Vedskivlav
Björksplintborre
Stuplav
Tjäder</t>
        </is>
      </c>
      <c r="W59">
        <f>HYPERLINK("https://klasma.github.io/Logging_1766/artfynd/A 7337-2025 artfynd.xlsx", "A 7337-2025")</f>
        <v/>
      </c>
      <c r="X59">
        <f>HYPERLINK("https://klasma.github.io/Logging_1766/kartor/A 7337-2025 karta.png", "A 7337-2025")</f>
        <v/>
      </c>
      <c r="Y59">
        <f>HYPERLINK("https://klasma.github.io/Logging_1766/kartor_geotiff/A 7337-2025 georefererad karta.tif", "A 7337-2025")</f>
        <v/>
      </c>
      <c r="AA59">
        <f>HYPERLINK("https://klasma.github.io/Logging_1766/klagomål/A 7337-2025 FSC-klagomål.docx", "A 7337-2025")</f>
        <v/>
      </c>
      <c r="AB59">
        <f>HYPERLINK("https://klasma.github.io/Logging_1766/klagomålsmail/A 7337-2025 FSC-klagomål mail.docx", "A 7337-2025")</f>
        <v/>
      </c>
      <c r="AC59">
        <f>HYPERLINK("https://klasma.github.io/Logging_1766/tillsyn/A 7337-2025 tillsynsbegäran.docx", "A 7337-2025")</f>
        <v/>
      </c>
      <c r="AD59">
        <f>HYPERLINK("https://klasma.github.io/Logging_1766/tillsynsmail/A 7337-2025 tillsynsbegäran mail.docx", "A 7337-2025")</f>
        <v/>
      </c>
      <c r="AE59">
        <f>HYPERLINK("https://klasma.github.io/Logging_1766/fåglar/A 7337-2025 prioriterade fågelarter.docx", "A 7337-2025")</f>
        <v/>
      </c>
    </row>
    <row r="60" ht="15" customHeight="1">
      <c r="A60" t="inlineStr">
        <is>
          <t>A 13525-2026</t>
        </is>
      </c>
      <c r="B60" t="inlineStr">
        <is>
          <t>avverkningsanmälan</t>
        </is>
      </c>
      <c r="C60" t="inlineStr">
        <is>
          <t>Föryngringsavverkning</t>
        </is>
      </c>
      <c r="D60" s="1" t="n">
        <v>46094</v>
      </c>
      <c r="E60" s="1" t="n">
        <v>46307</v>
      </c>
      <c r="F60" t="inlineStr">
        <is>
          <t>VÄRMLANDS LÄN</t>
        </is>
      </c>
      <c r="G60" t="inlineStr">
        <is>
          <t>TORSBY</t>
        </is>
      </c>
      <c r="I60" t="n">
        <v>4.3</v>
      </c>
      <c r="J60" t="n">
        <v>0</v>
      </c>
      <c r="K60" t="n">
        <v>1</v>
      </c>
      <c r="L60" t="n">
        <v>7</v>
      </c>
      <c r="M60" t="n">
        <v>1</v>
      </c>
      <c r="N60" t="n">
        <v>0</v>
      </c>
      <c r="O60" t="n">
        <v>0</v>
      </c>
      <c r="P60" t="n">
        <v>0</v>
      </c>
      <c r="Q60" t="n">
        <v>8</v>
      </c>
      <c r="R60" t="n">
        <v>1</v>
      </c>
      <c r="S60" t="n">
        <v>9</v>
      </c>
      <c r="T60" t="n">
        <v>66</v>
      </c>
      <c r="U60" t="n">
        <v>60</v>
      </c>
      <c r="V60" s="2" t="inlineStr">
        <is>
          <t>Garnlav
Dvärgbägarlav
Kolflarnlav
Kortskaftad ärgspik
Mörk kolflarnlav
Skuggblåslav
Vedflamlav
Vedskivlav
Nästlav</t>
        </is>
      </c>
      <c r="W60">
        <f>HYPERLINK("https://klasma.github.io/Logging_1737/artfynd/A 13525-2026 artfynd.xlsx", "A 13525-2026")</f>
        <v/>
      </c>
      <c r="X60">
        <f>HYPERLINK("https://klasma.github.io/Logging_1737/kartor/A 13525-2026 karta.png", "A 13525-2026")</f>
        <v/>
      </c>
      <c r="Y60">
        <f>HYPERLINK("https://klasma.github.io/Logging_1737/kartor_geotiff/A 13525-2026 georefererad karta.tif", "A 13525-2026")</f>
        <v/>
      </c>
      <c r="AA60">
        <f>HYPERLINK("https://klasma.github.io/Logging_1737/klagomål/A 13525-2026 FSC-klagomål.docx", "A 13525-2026")</f>
        <v/>
      </c>
      <c r="AB60">
        <f>HYPERLINK("https://klasma.github.io/Logging_1737/klagomålsmail/A 13525-2026 FSC-klagomål mail.docx", "A 13525-2026")</f>
        <v/>
      </c>
      <c r="AC60">
        <f>HYPERLINK("https://klasma.github.io/Logging_1737/tillsyn/A 13525-2026 tillsynsbegäran.docx", "A 13525-2026")</f>
        <v/>
      </c>
      <c r="AD60">
        <f>HYPERLINK("https://klasma.github.io/Logging_1737/tillsynsmail/A 13525-2026 tillsynsbegäran mail.docx", "A 13525-2026")</f>
        <v/>
      </c>
    </row>
    <row r="61" ht="15" customHeight="1">
      <c r="A61" t="inlineStr">
        <is>
          <t>A 58856-2025</t>
        </is>
      </c>
      <c r="B61" t="inlineStr">
        <is>
          <t>avverkningsanmälan</t>
        </is>
      </c>
      <c r="C61" t="inlineStr">
        <is>
          <t>Föryngringsavverkning</t>
        </is>
      </c>
      <c r="D61" s="1" t="n">
        <v>45987</v>
      </c>
      <c r="E61" s="1" t="n">
        <v>46307</v>
      </c>
      <c r="F61" t="inlineStr">
        <is>
          <t>VÄRMLANDS LÄN</t>
        </is>
      </c>
      <c r="G61" t="inlineStr">
        <is>
          <t>TORSBY</t>
        </is>
      </c>
      <c r="I61" t="n">
        <v>4.6</v>
      </c>
      <c r="J61" t="n">
        <v>0</v>
      </c>
      <c r="K61" t="n">
        <v>1</v>
      </c>
      <c r="L61" t="n">
        <v>7</v>
      </c>
      <c r="M61" t="n">
        <v>1</v>
      </c>
      <c r="N61" t="n">
        <v>0</v>
      </c>
      <c r="O61" t="n">
        <v>0</v>
      </c>
      <c r="P61" t="n">
        <v>0</v>
      </c>
      <c r="Q61" t="n">
        <v>8</v>
      </c>
      <c r="R61" t="n">
        <v>1</v>
      </c>
      <c r="S61" t="n">
        <v>9</v>
      </c>
      <c r="T61" t="n">
        <v>28</v>
      </c>
      <c r="U61" t="n">
        <v>0</v>
      </c>
      <c r="V61" s="2" t="inlineStr">
        <is>
          <t>Garnlav
Brunpudrad nållav
Dvärgbägarlav
Kortskaftad ärgspik
Lunglav
Motaggsvamp
Skuggblåslav
Vedskivlav
Korallblylav</t>
        </is>
      </c>
      <c r="W61">
        <f>HYPERLINK("https://klasma.github.io/Logging_1737/artfynd/A 58856-2025 artfynd.xlsx", "A 58856-2025")</f>
        <v/>
      </c>
      <c r="X61">
        <f>HYPERLINK("https://klasma.github.io/Logging_1737/kartor/A 58856-2025 karta.png", "A 58856-2025")</f>
        <v/>
      </c>
      <c r="Y61">
        <f>HYPERLINK("https://klasma.github.io/Logging_1737/kartor_geotiff/A 58856-2025 georefererad karta.tif", "A 58856-2025")</f>
        <v/>
      </c>
      <c r="AA61">
        <f>HYPERLINK("https://klasma.github.io/Logging_1737/klagomål/A 58856-2025 FSC-klagomål.docx", "A 58856-2025")</f>
        <v/>
      </c>
      <c r="AB61">
        <f>HYPERLINK("https://klasma.github.io/Logging_1737/klagomålsmail/A 58856-2025 FSC-klagomål mail.docx", "A 58856-2025")</f>
        <v/>
      </c>
      <c r="AC61">
        <f>HYPERLINK("https://klasma.github.io/Logging_1737/tillsyn/A 58856-2025 tillsynsbegäran.docx", "A 58856-2025")</f>
        <v/>
      </c>
      <c r="AD61">
        <f>HYPERLINK("https://klasma.github.io/Logging_1737/tillsynsmail/A 58856-2025 tillsynsbegäran mail.docx", "A 58856-2025")</f>
        <v/>
      </c>
    </row>
    <row r="62" ht="15" customHeight="1">
      <c r="A62" t="inlineStr">
        <is>
          <t>A 41096-2025</t>
        </is>
      </c>
      <c r="B62" t="inlineStr">
        <is>
          <t>avverkningsanmälan</t>
        </is>
      </c>
      <c r="C62" t="inlineStr">
        <is>
          <t>Föryngringsavverkning</t>
        </is>
      </c>
      <c r="D62" s="1" t="n">
        <v>45898</v>
      </c>
      <c r="E62" s="1" t="n">
        <v>46307</v>
      </c>
      <c r="F62" t="inlineStr">
        <is>
          <t>VÄRMLANDS LÄN</t>
        </is>
      </c>
      <c r="G62" t="inlineStr">
        <is>
          <t>TORSBY</t>
        </is>
      </c>
      <c r="I62" t="n">
        <v>15.8</v>
      </c>
      <c r="J62" t="n">
        <v>0</v>
      </c>
      <c r="K62" t="n">
        <v>3</v>
      </c>
      <c r="L62" t="n">
        <v>4</v>
      </c>
      <c r="M62" t="n">
        <v>2</v>
      </c>
      <c r="N62" t="n">
        <v>0</v>
      </c>
      <c r="O62" t="n">
        <v>0</v>
      </c>
      <c r="P62" t="n">
        <v>0</v>
      </c>
      <c r="Q62" t="n">
        <v>6</v>
      </c>
      <c r="R62" t="n">
        <v>2</v>
      </c>
      <c r="S62" t="n">
        <v>9</v>
      </c>
      <c r="T62" t="n">
        <v>16</v>
      </c>
      <c r="U62" t="n">
        <v>13</v>
      </c>
      <c r="V62" s="2" t="inlineStr">
        <is>
          <t>Garnlav
Gränsticka
Dropptaggsvamp
Kolflarnlav
Lunglav
Skrovellav
Korallblylav
Nästlav
Skinnlav</t>
        </is>
      </c>
      <c r="W62">
        <f>HYPERLINK("https://klasma.github.io/Logging_1737/artfynd/A 41096-2025 artfynd.xlsx", "A 41096-2025")</f>
        <v/>
      </c>
      <c r="X62">
        <f>HYPERLINK("https://klasma.github.io/Logging_1737/kartor/A 41096-2025 karta.png", "A 41096-2025")</f>
        <v/>
      </c>
      <c r="Y62">
        <f>HYPERLINK("https://klasma.github.io/Logging_1737/kartor_geotiff/A 41096-2025 georefererad karta.tif", "A 41096-2025")</f>
        <v/>
      </c>
      <c r="AA62">
        <f>HYPERLINK("https://klasma.github.io/Logging_1737/klagomål/A 41096-2025 FSC-klagomål.docx", "A 41096-2025")</f>
        <v/>
      </c>
      <c r="AB62">
        <f>HYPERLINK("https://klasma.github.io/Logging_1737/klagomålsmail/A 41096-2025 FSC-klagomål mail.docx", "A 41096-2025")</f>
        <v/>
      </c>
      <c r="AC62">
        <f>HYPERLINK("https://klasma.github.io/Logging_1737/tillsyn/A 41096-2025 tillsynsbegäran.docx", "A 41096-2025")</f>
        <v/>
      </c>
      <c r="AD62">
        <f>HYPERLINK("https://klasma.github.io/Logging_1737/tillsynsmail/A 41096-2025 tillsynsbegäran mail.docx", "A 41096-2025")</f>
        <v/>
      </c>
    </row>
    <row r="63" ht="15" customHeight="1">
      <c r="A63" t="inlineStr">
        <is>
          <t>A 23087-2024</t>
        </is>
      </c>
      <c r="B63" t="inlineStr">
        <is>
          <t>avverkningsanmälan</t>
        </is>
      </c>
      <c r="C63" t="inlineStr">
        <is>
          <t>Föryngringsavverkning</t>
        </is>
      </c>
      <c r="D63" s="1" t="n">
        <v>45450</v>
      </c>
      <c r="E63" s="1" t="n">
        <v>46307</v>
      </c>
      <c r="F63" t="inlineStr">
        <is>
          <t>VÄRMLANDS LÄN</t>
        </is>
      </c>
      <c r="G63" t="inlineStr">
        <is>
          <t>ARVIKA</t>
        </is>
      </c>
      <c r="H63" t="inlineStr">
        <is>
          <t>Bergvik skog väst AB</t>
        </is>
      </c>
      <c r="I63" t="n">
        <v>1.5</v>
      </c>
      <c r="J63" t="n">
        <v>4</v>
      </c>
      <c r="K63" t="n">
        <v>3</v>
      </c>
      <c r="L63" t="n">
        <v>3</v>
      </c>
      <c r="M63" t="n">
        <v>1</v>
      </c>
      <c r="N63" t="n">
        <v>0</v>
      </c>
      <c r="O63" t="n">
        <v>0</v>
      </c>
      <c r="P63" t="n">
        <v>0</v>
      </c>
      <c r="Q63" t="n">
        <v>4</v>
      </c>
      <c r="R63" t="n">
        <v>1</v>
      </c>
      <c r="S63" t="n">
        <v>9</v>
      </c>
      <c r="T63" t="n">
        <v>10</v>
      </c>
      <c r="U63" t="n">
        <v>10</v>
      </c>
      <c r="V63" s="2" t="inlineStr">
        <is>
          <t>Knärot
Talltita
Ullticka
Vedtrappmossa
Bågpraktmossa
Grönpyrola
Skinnlav
Fläcknycklar
Revlummer</t>
        </is>
      </c>
      <c r="W63">
        <f>HYPERLINK("https://klasma.github.io/Logging_1784/artfynd/A 23087-2024 artfynd.xlsx", "A 23087-2024")</f>
        <v/>
      </c>
      <c r="X63">
        <f>HYPERLINK("https://klasma.github.io/Logging_1784/kartor/A 23087-2024 karta.png", "A 23087-2024")</f>
        <v/>
      </c>
      <c r="Y63">
        <f>HYPERLINK("https://klasma.github.io/Logging_1784/kartor_geotiff/A 23087-2024 georefererad karta.tif", "A 23087-2024")</f>
        <v/>
      </c>
      <c r="Z63">
        <f>HYPERLINK("https://klasma.github.io/Logging_1784/knärot/A 23087-2024 karta knärot.png", "A 23087-2024")</f>
        <v/>
      </c>
      <c r="AA63">
        <f>HYPERLINK("https://klasma.github.io/Logging_1784/klagomål/A 23087-2024 FSC-klagomål.docx", "A 23087-2024")</f>
        <v/>
      </c>
      <c r="AB63">
        <f>HYPERLINK("https://klasma.github.io/Logging_1784/klagomålsmail/A 23087-2024 FSC-klagomål mail.docx", "A 23087-2024")</f>
        <v/>
      </c>
      <c r="AC63">
        <f>HYPERLINK("https://klasma.github.io/Logging_1784/tillsyn/A 23087-2024 tillsynsbegäran.docx", "A 23087-2024")</f>
        <v/>
      </c>
      <c r="AD63">
        <f>HYPERLINK("https://klasma.github.io/Logging_1784/tillsynsmail/A 23087-2024 tillsynsbegäran mail.docx", "A 23087-2024")</f>
        <v/>
      </c>
      <c r="AE63">
        <f>HYPERLINK("https://klasma.github.io/Logging_1784/fåglar/A 23087-2024 prioriterade fågelarter.docx", "A 23087-2024")</f>
        <v/>
      </c>
    </row>
    <row r="64" ht="15" customHeight="1">
      <c r="A64" t="inlineStr">
        <is>
          <t>S 196-2025</t>
        </is>
      </c>
      <c r="B64" t="inlineStr">
        <is>
          <t>samrådsanmälan</t>
        </is>
      </c>
      <c r="C64" t="inlineStr">
        <is>
          <t>Annan skogsbruksåtgärd</t>
        </is>
      </c>
      <c r="D64" s="1" t="n">
        <v>45678</v>
      </c>
      <c r="E64" s="1" t="n">
        <v>46307</v>
      </c>
      <c r="F64" t="inlineStr">
        <is>
          <t>VÄRMLANDS LÄN</t>
        </is>
      </c>
      <c r="G64" t="inlineStr">
        <is>
          <t>HAGFORS</t>
        </is>
      </c>
      <c r="H64" t="inlineStr">
        <is>
          <t>Bergvik skog väst AB</t>
        </is>
      </c>
      <c r="I64" t="n">
        <v>18.2</v>
      </c>
      <c r="J64" t="n">
        <v>0</v>
      </c>
      <c r="K64" t="n">
        <v>5</v>
      </c>
      <c r="L64" t="n">
        <v>3</v>
      </c>
      <c r="M64" t="n">
        <v>1</v>
      </c>
      <c r="N64" t="n">
        <v>0</v>
      </c>
      <c r="O64" t="n">
        <v>0</v>
      </c>
      <c r="P64" t="n">
        <v>0</v>
      </c>
      <c r="Q64" t="n">
        <v>4</v>
      </c>
      <c r="R64" t="n">
        <v>1</v>
      </c>
      <c r="S64" t="n">
        <v>9</v>
      </c>
      <c r="T64" t="n">
        <v>12</v>
      </c>
      <c r="U64" t="n">
        <v>0</v>
      </c>
      <c r="V64" s="2" t="inlineStr">
        <is>
          <t>Garnlav
Lunglav
Skuggblåslav
Vedtrappmossa
Bronshjon
Korallblylav
Mindre märgborre
Thomsons trägnagare
Vanlig flatbagge</t>
        </is>
      </c>
      <c r="W64">
        <f>HYPERLINK("https://klasma.github.io/Logging_1783/artfynd/S 196-2025 artfynd.xlsx", "S 196-2025")</f>
        <v/>
      </c>
      <c r="X64">
        <f>HYPERLINK("https://klasma.github.io/Logging_1783/kartor/S 196-2025 karta.png", "S 196-2025")</f>
        <v/>
      </c>
      <c r="Y64">
        <f>HYPERLINK("https://klasma.github.io/Logging_1783/kartor_geotiff/S 196-2025 georefererad karta.tif", "S 196-2025")</f>
        <v/>
      </c>
      <c r="AA64">
        <f>HYPERLINK("https://klasma.github.io/Logging_1783/klagomål/S 196-2025 FSC-klagomål.docx", "S 196-2025")</f>
        <v/>
      </c>
      <c r="AB64">
        <f>HYPERLINK("https://klasma.github.io/Logging_1783/klagomålsmail/S 196-2025 FSC-klagomål mail.docx", "S 196-2025")</f>
        <v/>
      </c>
      <c r="AC64">
        <f>HYPERLINK("https://klasma.github.io/Logging_1783/tillsyn/S 196-2025 tillsynsbegäran.docx", "S 196-2025")</f>
        <v/>
      </c>
      <c r="AD64">
        <f>HYPERLINK("https://klasma.github.io/Logging_1783/tillsynsmail/S 196-2025 tillsynsbegäran mail.docx", "S 196-2025")</f>
        <v/>
      </c>
    </row>
    <row r="65" ht="15" customHeight="1">
      <c r="A65" t="inlineStr">
        <is>
          <t>A 66836-2021</t>
        </is>
      </c>
      <c r="B65" t="inlineStr">
        <is>
          <t>avverkningsanmälan</t>
        </is>
      </c>
      <c r="C65" t="inlineStr">
        <is>
          <t>Föryngringsavverkning</t>
        </is>
      </c>
      <c r="D65" s="1" t="n">
        <v>44522</v>
      </c>
      <c r="E65" s="1" t="n">
        <v>46307</v>
      </c>
      <c r="F65" t="inlineStr">
        <is>
          <t>VÄRMLANDS LÄN</t>
        </is>
      </c>
      <c r="G65" t="inlineStr">
        <is>
          <t>TORSBY</t>
        </is>
      </c>
      <c r="I65" t="n">
        <v>4.1</v>
      </c>
      <c r="J65" t="n">
        <v>1</v>
      </c>
      <c r="K65" t="n">
        <v>4</v>
      </c>
      <c r="L65" t="n">
        <v>3</v>
      </c>
      <c r="M65" t="n">
        <v>1</v>
      </c>
      <c r="N65" t="n">
        <v>0</v>
      </c>
      <c r="O65" t="n">
        <v>0</v>
      </c>
      <c r="P65" t="n">
        <v>0</v>
      </c>
      <c r="Q65" t="n">
        <v>4</v>
      </c>
      <c r="R65" t="n">
        <v>1</v>
      </c>
      <c r="S65" t="n">
        <v>8</v>
      </c>
      <c r="T65" t="n">
        <v>22</v>
      </c>
      <c r="U65" t="n">
        <v>1</v>
      </c>
      <c r="V65" s="2" t="inlineStr">
        <is>
          <t>Garnlav
Doftskinn
Lunglav
Violettgrå tagellav
Korallblylav
Skinnlav
Spindelblomster
Vedticka</t>
        </is>
      </c>
      <c r="W65">
        <f>HYPERLINK("https://klasma.github.io/Logging_1737/artfynd/A 66836-2021 artfynd.xlsx", "A 66836-2021")</f>
        <v/>
      </c>
      <c r="X65">
        <f>HYPERLINK("https://klasma.github.io/Logging_1737/kartor/A 66836-2021 karta.png", "A 66836-2021")</f>
        <v/>
      </c>
      <c r="Y65">
        <f>HYPERLINK("https://klasma.github.io/Logging_1737/kartor_geotiff/A 66836-2021 georefererad karta.tif", "A 66836-2021")</f>
        <v/>
      </c>
      <c r="AA65">
        <f>HYPERLINK("https://klasma.github.io/Logging_1737/klagomål/A 66836-2021 FSC-klagomål.docx", "A 66836-2021")</f>
        <v/>
      </c>
      <c r="AB65">
        <f>HYPERLINK("https://klasma.github.io/Logging_1737/klagomålsmail/A 66836-2021 FSC-klagomål mail.docx", "A 66836-2021")</f>
        <v/>
      </c>
      <c r="AC65">
        <f>HYPERLINK("https://klasma.github.io/Logging_1737/tillsyn/A 66836-2021 tillsynsbegäran.docx", "A 66836-2021")</f>
        <v/>
      </c>
      <c r="AD65">
        <f>HYPERLINK("https://klasma.github.io/Logging_1737/tillsynsmail/A 66836-2021 tillsynsbegäran mail.docx", "A 66836-2021")</f>
        <v/>
      </c>
    </row>
    <row r="66" ht="15" customHeight="1">
      <c r="A66" t="inlineStr">
        <is>
          <t>A 59864-2021</t>
        </is>
      </c>
      <c r="B66" t="inlineStr">
        <is>
          <t>avverkningsanmälan</t>
        </is>
      </c>
      <c r="C66" t="inlineStr">
        <is>
          <t>Föryngringsavverkning</t>
        </is>
      </c>
      <c r="D66" s="1" t="n">
        <v>44494</v>
      </c>
      <c r="E66" s="1" t="n">
        <v>46307</v>
      </c>
      <c r="F66" t="inlineStr">
        <is>
          <t>VÄRMLANDS LÄN</t>
        </is>
      </c>
      <c r="G66" t="inlineStr">
        <is>
          <t>EDA</t>
        </is>
      </c>
      <c r="I66" t="n">
        <v>4.5</v>
      </c>
      <c r="J66" t="n">
        <v>0</v>
      </c>
      <c r="K66" t="n">
        <v>5</v>
      </c>
      <c r="L66" t="n">
        <v>3</v>
      </c>
      <c r="M66" t="n">
        <v>0</v>
      </c>
      <c r="N66" t="n">
        <v>0</v>
      </c>
      <c r="O66" t="n">
        <v>0</v>
      </c>
      <c r="P66" t="n">
        <v>0</v>
      </c>
      <c r="Q66" t="n">
        <v>3</v>
      </c>
      <c r="R66" t="n">
        <v>0</v>
      </c>
      <c r="S66" t="n">
        <v>8</v>
      </c>
      <c r="T66" t="n">
        <v>10</v>
      </c>
      <c r="U66" t="n">
        <v>10</v>
      </c>
      <c r="V66" s="2" t="inlineStr">
        <is>
          <t>Kådvaxskinn
Lunglav
Rundfjädermossa
Blek stjärnmossa
Blåsfliksmossa
Grov fjädermossa
Platt fjädermossa
Vedticka</t>
        </is>
      </c>
      <c r="W66">
        <f>HYPERLINK("https://klasma.github.io/Logging_1730/artfynd/A 59864-2021 artfynd.xlsx", "A 59864-2021")</f>
        <v/>
      </c>
      <c r="X66">
        <f>HYPERLINK("https://klasma.github.io/Logging_1730/kartor/A 59864-2021 karta.png", "A 59864-2021")</f>
        <v/>
      </c>
      <c r="Y66">
        <f>HYPERLINK("https://klasma.github.io/Logging_1730/kartor_geotiff/A 59864-2021 georefererad karta.tif", "A 59864-2021")</f>
        <v/>
      </c>
      <c r="AA66">
        <f>HYPERLINK("https://klasma.github.io/Logging_1730/klagomål/A 59864-2021 FSC-klagomål.docx", "A 59864-2021")</f>
        <v/>
      </c>
      <c r="AB66">
        <f>HYPERLINK("https://klasma.github.io/Logging_1730/klagomålsmail/A 59864-2021 FSC-klagomål mail.docx", "A 59864-2021")</f>
        <v/>
      </c>
      <c r="AC66">
        <f>HYPERLINK("https://klasma.github.io/Logging_1730/tillsyn/A 59864-2021 tillsynsbegäran.docx", "A 59864-2021")</f>
        <v/>
      </c>
      <c r="AD66">
        <f>HYPERLINK("https://klasma.github.io/Logging_1730/tillsynsmail/A 59864-2021 tillsynsbegäran mail.docx", "A 59864-2021")</f>
        <v/>
      </c>
    </row>
    <row r="67" ht="15" customHeight="1">
      <c r="A67" t="inlineStr">
        <is>
          <t>A 43822-2023</t>
        </is>
      </c>
      <c r="B67" t="inlineStr">
        <is>
          <t>avverkningsanmälan</t>
        </is>
      </c>
      <c r="C67" t="inlineStr">
        <is>
          <t>Föryngringsavverkning</t>
        </is>
      </c>
      <c r="D67" s="1" t="n">
        <v>45182</v>
      </c>
      <c r="E67" s="1" t="n">
        <v>46307</v>
      </c>
      <c r="F67" t="inlineStr">
        <is>
          <t>VÄRMLANDS LÄN</t>
        </is>
      </c>
      <c r="G67" t="inlineStr">
        <is>
          <t>TORSBY</t>
        </is>
      </c>
      <c r="I67" t="n">
        <v>17.9</v>
      </c>
      <c r="J67" t="n">
        <v>2</v>
      </c>
      <c r="K67" t="n">
        <v>0</v>
      </c>
      <c r="L67" t="n">
        <v>6</v>
      </c>
      <c r="M67" t="n">
        <v>1</v>
      </c>
      <c r="N67" t="n">
        <v>0</v>
      </c>
      <c r="O67" t="n">
        <v>0</v>
      </c>
      <c r="P67" t="n">
        <v>0</v>
      </c>
      <c r="Q67" t="n">
        <v>7</v>
      </c>
      <c r="R67" t="n">
        <v>1</v>
      </c>
      <c r="S67" t="n">
        <v>8</v>
      </c>
      <c r="T67" t="n">
        <v>16</v>
      </c>
      <c r="U67" t="n">
        <v>3</v>
      </c>
      <c r="V67" s="2" t="inlineStr">
        <is>
          <t>Garnlav
Gammelgransskål
Kolflarnlav
Motaggsvamp
Mörk kolflarnlav
Skrovellav
Tretåig hackspett
Tjäder</t>
        </is>
      </c>
      <c r="W67">
        <f>HYPERLINK("https://klasma.github.io/Logging_1737/artfynd/A 43822-2023 artfynd.xlsx", "A 43822-2023")</f>
        <v/>
      </c>
      <c r="X67">
        <f>HYPERLINK("https://klasma.github.io/Logging_1737/kartor/A 43822-2023 karta.png", "A 43822-2023")</f>
        <v/>
      </c>
      <c r="Y67">
        <f>HYPERLINK("https://klasma.github.io/Logging_1737/kartor_geotiff/A 43822-2023 georefererad karta.tif", "A 43822-2023")</f>
        <v/>
      </c>
      <c r="AA67">
        <f>HYPERLINK("https://klasma.github.io/Logging_1737/klagomål/A 43822-2023 FSC-klagomål.docx", "A 43822-2023")</f>
        <v/>
      </c>
      <c r="AB67">
        <f>HYPERLINK("https://klasma.github.io/Logging_1737/klagomålsmail/A 43822-2023 FSC-klagomål mail.docx", "A 43822-2023")</f>
        <v/>
      </c>
      <c r="AC67">
        <f>HYPERLINK("https://klasma.github.io/Logging_1737/tillsyn/A 43822-2023 tillsynsbegäran.docx", "A 43822-2023")</f>
        <v/>
      </c>
      <c r="AD67">
        <f>HYPERLINK("https://klasma.github.io/Logging_1737/tillsynsmail/A 43822-2023 tillsynsbegäran mail.docx", "A 43822-2023")</f>
        <v/>
      </c>
      <c r="AE67">
        <f>HYPERLINK("https://klasma.github.io/Logging_1737/fåglar/A 43822-2023 prioriterade fågelarter.docx", "A 43822-2023")</f>
        <v/>
      </c>
    </row>
    <row r="68" ht="15" customHeight="1">
      <c r="A68" t="inlineStr">
        <is>
          <t>A 51885-2024</t>
        </is>
      </c>
      <c r="B68" t="inlineStr">
        <is>
          <t>avverkningsanmälan</t>
        </is>
      </c>
      <c r="C68" t="inlineStr">
        <is>
          <t>Föryngringsavverkning</t>
        </is>
      </c>
      <c r="D68" s="1" t="n">
        <v>45607</v>
      </c>
      <c r="E68" s="1" t="n">
        <v>46307</v>
      </c>
      <c r="F68" t="inlineStr">
        <is>
          <t>VÄRMLANDS LÄN</t>
        </is>
      </c>
      <c r="G68" t="inlineStr">
        <is>
          <t>KARLSTAD</t>
        </is>
      </c>
      <c r="I68" t="n">
        <v>3.4</v>
      </c>
      <c r="J68" t="n">
        <v>1</v>
      </c>
      <c r="K68" t="n">
        <v>5</v>
      </c>
      <c r="L68" t="n">
        <v>2</v>
      </c>
      <c r="M68" t="n">
        <v>0</v>
      </c>
      <c r="N68" t="n">
        <v>0</v>
      </c>
      <c r="O68" t="n">
        <v>0</v>
      </c>
      <c r="P68" t="n">
        <v>0</v>
      </c>
      <c r="Q68" t="n">
        <v>2</v>
      </c>
      <c r="R68" t="n">
        <v>0</v>
      </c>
      <c r="S68" t="n">
        <v>8</v>
      </c>
      <c r="T68" t="n">
        <v>12</v>
      </c>
      <c r="U68" t="n">
        <v>0</v>
      </c>
      <c r="V68" s="2" t="inlineStr">
        <is>
          <t>Gullpudra
Storgröe
Bågpraktmossa
Hasselticka
Skogshakmossa
Strutbräken
Trubbfjädermossa
Blåsippa</t>
        </is>
      </c>
      <c r="W68">
        <f>HYPERLINK("https://klasma.github.io/Logging_1780/artfynd/A 51885-2024 artfynd.xlsx", "A 51885-2024")</f>
        <v/>
      </c>
      <c r="X68">
        <f>HYPERLINK("https://klasma.github.io/Logging_1780/kartor/A 51885-2024 karta.png", "A 51885-2024")</f>
        <v/>
      </c>
      <c r="Y68">
        <f>HYPERLINK("https://klasma.github.io/Logging_1780/kartor_geotiff/A 51885-2024 georefererad karta.tif", "A 51885-2024")</f>
        <v/>
      </c>
      <c r="AA68">
        <f>HYPERLINK("https://klasma.github.io/Logging_1780/klagomål/A 51885-2024 FSC-klagomål.docx", "A 51885-2024")</f>
        <v/>
      </c>
      <c r="AB68">
        <f>HYPERLINK("https://klasma.github.io/Logging_1780/klagomålsmail/A 51885-2024 FSC-klagomål mail.docx", "A 51885-2024")</f>
        <v/>
      </c>
      <c r="AC68">
        <f>HYPERLINK("https://klasma.github.io/Logging_1780/tillsyn/A 51885-2024 tillsynsbegäran.docx", "A 51885-2024")</f>
        <v/>
      </c>
      <c r="AD68">
        <f>HYPERLINK("https://klasma.github.io/Logging_1780/tillsynsmail/A 51885-2024 tillsynsbegäran mail.docx", "A 51885-2024")</f>
        <v/>
      </c>
    </row>
    <row r="69" ht="15" customHeight="1">
      <c r="A69" t="inlineStr">
        <is>
          <t>A 24663-2023</t>
        </is>
      </c>
      <c r="B69" t="inlineStr">
        <is>
          <t>avverkningsanmälan</t>
        </is>
      </c>
      <c r="C69" t="inlineStr">
        <is>
          <t>Föryngringsavverkning</t>
        </is>
      </c>
      <c r="D69" s="1" t="n">
        <v>45084</v>
      </c>
      <c r="E69" s="1" t="n">
        <v>46307</v>
      </c>
      <c r="F69" t="inlineStr">
        <is>
          <t>VÄRMLANDS LÄN</t>
        </is>
      </c>
      <c r="G69" t="inlineStr">
        <is>
          <t>ÅRJÄNG</t>
        </is>
      </c>
      <c r="I69" t="n">
        <v>7.9</v>
      </c>
      <c r="J69" t="n">
        <v>2</v>
      </c>
      <c r="K69" t="n">
        <v>5</v>
      </c>
      <c r="L69" t="n">
        <v>2</v>
      </c>
      <c r="M69" t="n">
        <v>1</v>
      </c>
      <c r="N69" t="n">
        <v>0</v>
      </c>
      <c r="O69" t="n">
        <v>0</v>
      </c>
      <c r="P69" t="n">
        <v>0</v>
      </c>
      <c r="Q69" t="n">
        <v>3</v>
      </c>
      <c r="R69" t="n">
        <v>1</v>
      </c>
      <c r="S69" t="n">
        <v>8</v>
      </c>
      <c r="T69" t="n">
        <v>32</v>
      </c>
      <c r="U69" t="n">
        <v>1</v>
      </c>
      <c r="V69" s="2" t="inlineStr">
        <is>
          <t>Knärot
Kattfotslav
Ullticka
Bronshjon
Grön sköldmossa
Grönpyrola
Rävticka
Vedticka</t>
        </is>
      </c>
      <c r="W69">
        <f>HYPERLINK("https://klasma.github.io/Logging_1765/artfynd/A 24663-2023 artfynd.xlsx", "A 24663-2023")</f>
        <v/>
      </c>
      <c r="X69">
        <f>HYPERLINK("https://klasma.github.io/Logging_1765/kartor/A 24663-2023 karta.png", "A 24663-2023")</f>
        <v/>
      </c>
      <c r="Y69">
        <f>HYPERLINK("https://klasma.github.io/Logging_1765/kartor_geotiff/A 24663-2023 georefererad karta.tif", "A 24663-2023")</f>
        <v/>
      </c>
      <c r="Z69">
        <f>HYPERLINK("https://klasma.github.io/Logging_1765/knärot/A 24663-2023 karta knärot.png", "A 24663-2023")</f>
        <v/>
      </c>
      <c r="AA69">
        <f>HYPERLINK("https://klasma.github.io/Logging_1765/klagomål/A 24663-2023 FSC-klagomål.docx", "A 24663-2023")</f>
        <v/>
      </c>
      <c r="AB69">
        <f>HYPERLINK("https://klasma.github.io/Logging_1765/klagomålsmail/A 24663-2023 FSC-klagomål mail.docx", "A 24663-2023")</f>
        <v/>
      </c>
      <c r="AC69">
        <f>HYPERLINK("https://klasma.github.io/Logging_1765/tillsyn/A 24663-2023 tillsynsbegäran.docx", "A 24663-2023")</f>
        <v/>
      </c>
      <c r="AD69">
        <f>HYPERLINK("https://klasma.github.io/Logging_1765/tillsynsmail/A 24663-2023 tillsynsbegäran mail.docx", "A 24663-2023")</f>
        <v/>
      </c>
    </row>
    <row r="70" ht="15" customHeight="1">
      <c r="A70" t="inlineStr">
        <is>
          <t>A 22604-2025</t>
        </is>
      </c>
      <c r="B70" t="inlineStr">
        <is>
          <t>avverkningsanmälan</t>
        </is>
      </c>
      <c r="C70" t="inlineStr">
        <is>
          <t>Föryngringsavverkning</t>
        </is>
      </c>
      <c r="D70" s="1" t="n">
        <v>45789</v>
      </c>
      <c r="E70" s="1" t="n">
        <v>46307</v>
      </c>
      <c r="F70" t="inlineStr">
        <is>
          <t>VÄRMLANDS LÄN</t>
        </is>
      </c>
      <c r="G70" t="inlineStr">
        <is>
          <t>TORSBY</t>
        </is>
      </c>
      <c r="I70" t="n">
        <v>13.3</v>
      </c>
      <c r="J70" t="n">
        <v>0</v>
      </c>
      <c r="K70" t="n">
        <v>0</v>
      </c>
      <c r="L70" t="n">
        <v>7</v>
      </c>
      <c r="M70" t="n">
        <v>1</v>
      </c>
      <c r="N70" t="n">
        <v>0</v>
      </c>
      <c r="O70" t="n">
        <v>0</v>
      </c>
      <c r="P70" t="n">
        <v>0</v>
      </c>
      <c r="Q70" t="n">
        <v>8</v>
      </c>
      <c r="R70" t="n">
        <v>1</v>
      </c>
      <c r="S70" t="n">
        <v>8</v>
      </c>
      <c r="T70" t="n">
        <v>18</v>
      </c>
      <c r="U70" t="n">
        <v>16</v>
      </c>
      <c r="V70" s="2" t="inlineStr">
        <is>
          <t>Garnlav
Dvärgbägarlav
Kolflarnlav
Lunglav
Mörk kolflarnlav
Skrovellav
Vedskivlav
Violettgrå tagellav</t>
        </is>
      </c>
      <c r="W70">
        <f>HYPERLINK("https://klasma.github.io/Logging_1737/artfynd/A 22604-2025 artfynd.xlsx", "A 22604-2025")</f>
        <v/>
      </c>
      <c r="X70">
        <f>HYPERLINK("https://klasma.github.io/Logging_1737/kartor/A 22604-2025 karta.png", "A 22604-2025")</f>
        <v/>
      </c>
      <c r="Y70">
        <f>HYPERLINK("https://klasma.github.io/Logging_1737/kartor_geotiff/A 22604-2025 georefererad karta.tif", "A 22604-2025")</f>
        <v/>
      </c>
      <c r="AA70">
        <f>HYPERLINK("https://klasma.github.io/Logging_1737/klagomål/A 22604-2025 FSC-klagomål.docx", "A 22604-2025")</f>
        <v/>
      </c>
      <c r="AB70">
        <f>HYPERLINK("https://klasma.github.io/Logging_1737/klagomålsmail/A 22604-2025 FSC-klagomål mail.docx", "A 22604-2025")</f>
        <v/>
      </c>
      <c r="AC70">
        <f>HYPERLINK("https://klasma.github.io/Logging_1737/tillsyn/A 22604-2025 tillsynsbegäran.docx", "A 22604-2025")</f>
        <v/>
      </c>
      <c r="AD70">
        <f>HYPERLINK("https://klasma.github.io/Logging_1737/tillsynsmail/A 22604-2025 tillsynsbegäran mail.docx", "A 22604-2025")</f>
        <v/>
      </c>
    </row>
    <row r="71" ht="15" customHeight="1">
      <c r="A71" t="inlineStr">
        <is>
          <t>A 56303-2025</t>
        </is>
      </c>
      <c r="B71" t="inlineStr">
        <is>
          <t>avverkningsanmälan</t>
        </is>
      </c>
      <c r="C71" t="inlineStr">
        <is>
          <t>Föryngringsavverkning</t>
        </is>
      </c>
      <c r="D71" s="1" t="n">
        <v>45974</v>
      </c>
      <c r="E71" s="1" t="n">
        <v>46307</v>
      </c>
      <c r="F71" t="inlineStr">
        <is>
          <t>VÄRMLANDS LÄN</t>
        </is>
      </c>
      <c r="G71" t="inlineStr">
        <is>
          <t>STORFORS</t>
        </is>
      </c>
      <c r="H71" t="inlineStr">
        <is>
          <t>Bergvik skog väst AB</t>
        </is>
      </c>
      <c r="I71" t="n">
        <v>10.8</v>
      </c>
      <c r="J71" t="n">
        <v>4</v>
      </c>
      <c r="K71" t="n">
        <v>2</v>
      </c>
      <c r="L71" t="n">
        <v>3</v>
      </c>
      <c r="M71" t="n">
        <v>0</v>
      </c>
      <c r="N71" t="n">
        <v>0</v>
      </c>
      <c r="O71" t="n">
        <v>0</v>
      </c>
      <c r="P71" t="n">
        <v>0</v>
      </c>
      <c r="Q71" t="n">
        <v>3</v>
      </c>
      <c r="R71" t="n">
        <v>0</v>
      </c>
      <c r="S71" t="n">
        <v>8</v>
      </c>
      <c r="T71" t="n">
        <v>29</v>
      </c>
      <c r="U71" t="n">
        <v>29</v>
      </c>
      <c r="V71" s="2" t="inlineStr">
        <is>
          <t>Dofttaggsvamp
Dropptaggsvamp
Tretåig hackspett
Mörk husmossa
Vedticka
Spillkråka
Tjäder
Orre</t>
        </is>
      </c>
      <c r="W71">
        <f>HYPERLINK("https://klasma.github.io/Logging_1760/artfynd/A 56303-2025 artfynd.xlsx", "A 56303-2025")</f>
        <v/>
      </c>
      <c r="X71">
        <f>HYPERLINK("https://klasma.github.io/Logging_1760/kartor/A 56303-2025 karta.png", "A 56303-2025")</f>
        <v/>
      </c>
      <c r="Y71">
        <f>HYPERLINK("https://klasma.github.io/Logging_1760/kartor_geotiff/A 56303-2025 georefererad karta.tif", "A 56303-2025")</f>
        <v/>
      </c>
      <c r="AA71">
        <f>HYPERLINK("https://klasma.github.io/Logging_1760/klagomål/A 56303-2025 FSC-klagomål.docx", "A 56303-2025")</f>
        <v/>
      </c>
      <c r="AB71">
        <f>HYPERLINK("https://klasma.github.io/Logging_1760/klagomålsmail/A 56303-2025 FSC-klagomål mail.docx", "A 56303-2025")</f>
        <v/>
      </c>
      <c r="AC71">
        <f>HYPERLINK("https://klasma.github.io/Logging_1760/tillsyn/A 56303-2025 tillsynsbegäran.docx", "A 56303-2025")</f>
        <v/>
      </c>
      <c r="AD71">
        <f>HYPERLINK("https://klasma.github.io/Logging_1760/tillsynsmail/A 56303-2025 tillsynsbegäran mail.docx", "A 56303-2025")</f>
        <v/>
      </c>
      <c r="AE71">
        <f>HYPERLINK("https://klasma.github.io/Logging_1760/fåglar/A 56303-2025 prioriterade fågelarter.docx", "A 56303-2025")</f>
        <v/>
      </c>
    </row>
    <row r="72" ht="15" customHeight="1">
      <c r="A72" t="inlineStr">
        <is>
          <t>A 5979-2023</t>
        </is>
      </c>
      <c r="B72" t="inlineStr">
        <is>
          <t>avverkningsanmälan</t>
        </is>
      </c>
      <c r="C72" t="inlineStr">
        <is>
          <t>Föryngringsavverkning</t>
        </is>
      </c>
      <c r="D72" s="1" t="n">
        <v>44964</v>
      </c>
      <c r="E72" s="1" t="n">
        <v>46307</v>
      </c>
      <c r="F72" t="inlineStr">
        <is>
          <t>VÄRMLANDS LÄN</t>
        </is>
      </c>
      <c r="G72" t="inlineStr">
        <is>
          <t>ÅRJÄNG</t>
        </is>
      </c>
      <c r="I72" t="n">
        <v>4</v>
      </c>
      <c r="J72" t="n">
        <v>0</v>
      </c>
      <c r="K72" t="n">
        <v>2</v>
      </c>
      <c r="L72" t="n">
        <v>4</v>
      </c>
      <c r="M72" t="n">
        <v>1</v>
      </c>
      <c r="N72" t="n">
        <v>1</v>
      </c>
      <c r="O72" t="n">
        <v>0</v>
      </c>
      <c r="P72" t="n">
        <v>0</v>
      </c>
      <c r="Q72" t="n">
        <v>6</v>
      </c>
      <c r="R72" t="n">
        <v>2</v>
      </c>
      <c r="S72" t="n">
        <v>8</v>
      </c>
      <c r="T72" t="n">
        <v>8</v>
      </c>
      <c r="U72" t="n">
        <v>3</v>
      </c>
      <c r="V72" s="2" t="inlineStr">
        <is>
          <t>Brödtaggsvamp
Porslinsblå spindling
Fjällig taggsvamp s.str.
Grantaggsvamp
Skarp dropptaggsvamp
Sotvaxskivling
Rödgul trumpetsvamp
Trådticka</t>
        </is>
      </c>
      <c r="W72">
        <f>HYPERLINK("https://klasma.github.io/Logging_1765/artfynd/A 5979-2023 artfynd.xlsx", "A 5979-2023")</f>
        <v/>
      </c>
      <c r="X72">
        <f>HYPERLINK("https://klasma.github.io/Logging_1765/kartor/A 5979-2023 karta.png", "A 5979-2023")</f>
        <v/>
      </c>
      <c r="Y72">
        <f>HYPERLINK("https://klasma.github.io/Logging_1765/kartor_geotiff/A 5979-2023 georefererad karta.tif", "A 5979-2023")</f>
        <v/>
      </c>
      <c r="AA72">
        <f>HYPERLINK("https://klasma.github.io/Logging_1765/klagomål/A 5979-2023 FSC-klagomål.docx", "A 5979-2023")</f>
        <v/>
      </c>
      <c r="AB72">
        <f>HYPERLINK("https://klasma.github.io/Logging_1765/klagomålsmail/A 5979-2023 FSC-klagomål mail.docx", "A 5979-2023")</f>
        <v/>
      </c>
      <c r="AC72">
        <f>HYPERLINK("https://klasma.github.io/Logging_1765/tillsyn/A 5979-2023 tillsynsbegäran.docx", "A 5979-2023")</f>
        <v/>
      </c>
      <c r="AD72">
        <f>HYPERLINK("https://klasma.github.io/Logging_1765/tillsynsmail/A 5979-2023 tillsynsbegäran mail.docx", "A 5979-2023")</f>
        <v/>
      </c>
    </row>
    <row r="73" ht="15" customHeight="1">
      <c r="A73" t="inlineStr">
        <is>
          <t>A 14968-2026</t>
        </is>
      </c>
      <c r="B73" t="inlineStr">
        <is>
          <t>avverkningsanmälan</t>
        </is>
      </c>
      <c r="C73" t="inlineStr">
        <is>
          <t>Föryngringsavverkning</t>
        </is>
      </c>
      <c r="D73" s="1" t="n">
        <v>46104</v>
      </c>
      <c r="E73" s="1" t="n">
        <v>46307</v>
      </c>
      <c r="F73" t="inlineStr">
        <is>
          <t>VÄRMLANDS LÄN</t>
        </is>
      </c>
      <c r="G73" t="inlineStr">
        <is>
          <t>TORSBY</t>
        </is>
      </c>
      <c r="H73" t="inlineStr">
        <is>
          <t>Bergvik skog väst AB</t>
        </is>
      </c>
      <c r="I73" t="n">
        <v>12</v>
      </c>
      <c r="J73" t="n">
        <v>2</v>
      </c>
      <c r="K73" t="n">
        <v>2</v>
      </c>
      <c r="L73" t="n">
        <v>5</v>
      </c>
      <c r="M73" t="n">
        <v>0</v>
      </c>
      <c r="N73" t="n">
        <v>0</v>
      </c>
      <c r="O73" t="n">
        <v>0</v>
      </c>
      <c r="P73" t="n">
        <v>0</v>
      </c>
      <c r="Q73" t="n">
        <v>5</v>
      </c>
      <c r="R73" t="n">
        <v>0</v>
      </c>
      <c r="S73" t="n">
        <v>8</v>
      </c>
      <c r="T73" t="n">
        <v>10</v>
      </c>
      <c r="U73" t="n">
        <v>0</v>
      </c>
      <c r="V73" s="2" t="inlineStr">
        <is>
          <t>Blanksvart spiklav
Lunglav
Skrovellav
Tretåig hackspett
Vitgrynig nållav
Luddlav
Stuplav
Utter</t>
        </is>
      </c>
      <c r="W73">
        <f>HYPERLINK("https://klasma.github.io/Logging_1737/artfynd/A 14968-2026 artfynd.xlsx", "A 14968-2026")</f>
        <v/>
      </c>
      <c r="X73">
        <f>HYPERLINK("https://klasma.github.io/Logging_1737/kartor/A 14968-2026 karta.png", "A 14968-2026")</f>
        <v/>
      </c>
      <c r="Y73">
        <f>HYPERLINK("https://klasma.github.io/Logging_1737/kartor_geotiff/A 14968-2026 georefererad karta.tif", "A 14968-2026")</f>
        <v/>
      </c>
      <c r="AA73">
        <f>HYPERLINK("https://klasma.github.io/Logging_1737/klagomål/A 14968-2026 FSC-klagomål.docx", "A 14968-2026")</f>
        <v/>
      </c>
      <c r="AB73">
        <f>HYPERLINK("https://klasma.github.io/Logging_1737/klagomålsmail/A 14968-2026 FSC-klagomål mail.docx", "A 14968-2026")</f>
        <v/>
      </c>
      <c r="AC73">
        <f>HYPERLINK("https://klasma.github.io/Logging_1737/tillsyn/A 14968-2026 tillsynsbegäran.docx", "A 14968-2026")</f>
        <v/>
      </c>
      <c r="AD73">
        <f>HYPERLINK("https://klasma.github.io/Logging_1737/tillsynsmail/A 14968-2026 tillsynsbegäran mail.docx", "A 14968-2026")</f>
        <v/>
      </c>
      <c r="AE73">
        <f>HYPERLINK("https://klasma.github.io/Logging_1737/fåglar/A 14968-2026 prioriterade fågelarter.docx", "A 14968-2026")</f>
        <v/>
      </c>
    </row>
    <row r="74" ht="15" customHeight="1">
      <c r="A74" t="inlineStr">
        <is>
          <t>A 44469-2022</t>
        </is>
      </c>
      <c r="B74" t="inlineStr">
        <is>
          <t>avverkningsanmälan</t>
        </is>
      </c>
      <c r="C74" t="inlineStr">
        <is>
          <t>Föryngringsavverkning</t>
        </is>
      </c>
      <c r="D74" s="1" t="n">
        <v>44838</v>
      </c>
      <c r="E74" s="1" t="n">
        <v>46307</v>
      </c>
      <c r="F74" t="inlineStr">
        <is>
          <t>VÄRMLANDS LÄN</t>
        </is>
      </c>
      <c r="G74" t="inlineStr">
        <is>
          <t>KARLSTAD</t>
        </is>
      </c>
      <c r="I74" t="n">
        <v>9.300000000000001</v>
      </c>
      <c r="J74" t="n">
        <v>1</v>
      </c>
      <c r="K74" t="n">
        <v>2</v>
      </c>
      <c r="L74" t="n">
        <v>3</v>
      </c>
      <c r="M74" t="n">
        <v>2</v>
      </c>
      <c r="N74" t="n">
        <v>0</v>
      </c>
      <c r="O74" t="n">
        <v>0</v>
      </c>
      <c r="P74" t="n">
        <v>0</v>
      </c>
      <c r="Q74" t="n">
        <v>5</v>
      </c>
      <c r="R74" t="n">
        <v>2</v>
      </c>
      <c r="S74" t="n">
        <v>8</v>
      </c>
      <c r="T74" t="n">
        <v>9</v>
      </c>
      <c r="U74" t="n">
        <v>2</v>
      </c>
      <c r="V74" s="2" t="inlineStr">
        <is>
          <t>Grangråticka
Taggfingersvamp
Dofttaggsvamp
Fjällig taggsvamp s.str.
Skarp dropptaggsvamp
Rödgul trumpetsvamp
Zontaggsvamp
Äkta lopplummer</t>
        </is>
      </c>
      <c r="W74">
        <f>HYPERLINK("https://klasma.github.io/Logging_1780/artfynd/A 44469-2022 artfynd.xlsx", "A 44469-2022")</f>
        <v/>
      </c>
      <c r="X74">
        <f>HYPERLINK("https://klasma.github.io/Logging_1780/kartor/A 44469-2022 karta.png", "A 44469-2022")</f>
        <v/>
      </c>
      <c r="Y74">
        <f>HYPERLINK("https://klasma.github.io/Logging_1780/kartor_geotiff/A 44469-2022 georefererad karta.tif", "A 44469-2022")</f>
        <v/>
      </c>
      <c r="AA74">
        <f>HYPERLINK("https://klasma.github.io/Logging_1780/klagomål/A 44469-2022 FSC-klagomål.docx", "A 44469-2022")</f>
        <v/>
      </c>
      <c r="AB74">
        <f>HYPERLINK("https://klasma.github.io/Logging_1780/klagomålsmail/A 44469-2022 FSC-klagomål mail.docx", "A 44469-2022")</f>
        <v/>
      </c>
      <c r="AC74">
        <f>HYPERLINK("https://klasma.github.io/Logging_1780/tillsyn/A 44469-2022 tillsynsbegäran.docx", "A 44469-2022")</f>
        <v/>
      </c>
      <c r="AD74">
        <f>HYPERLINK("https://klasma.github.io/Logging_1780/tillsynsmail/A 44469-2022 tillsynsbegäran mail.docx", "A 44469-2022")</f>
        <v/>
      </c>
    </row>
    <row r="75" ht="15" customHeight="1">
      <c r="A75" t="inlineStr">
        <is>
          <t>A 29984-2024</t>
        </is>
      </c>
      <c r="B75" t="inlineStr">
        <is>
          <t>avverkningsanmälan</t>
        </is>
      </c>
      <c r="C75" t="inlineStr">
        <is>
          <t>Föryngringsavverkning</t>
        </is>
      </c>
      <c r="D75" s="1" t="n">
        <v>45488</v>
      </c>
      <c r="E75" s="1" t="n">
        <v>46307</v>
      </c>
      <c r="F75" t="inlineStr">
        <is>
          <t>VÄRMLANDS LÄN</t>
        </is>
      </c>
      <c r="G75" t="inlineStr">
        <is>
          <t>HAGFORS</t>
        </is>
      </c>
      <c r="I75" t="n">
        <v>11.8</v>
      </c>
      <c r="J75" t="n">
        <v>0</v>
      </c>
      <c r="K75" t="n">
        <v>3</v>
      </c>
      <c r="L75" t="n">
        <v>4</v>
      </c>
      <c r="M75" t="n">
        <v>1</v>
      </c>
      <c r="N75" t="n">
        <v>0</v>
      </c>
      <c r="O75" t="n">
        <v>0</v>
      </c>
      <c r="P75" t="n">
        <v>0</v>
      </c>
      <c r="Q75" t="n">
        <v>5</v>
      </c>
      <c r="R75" t="n">
        <v>1</v>
      </c>
      <c r="S75" t="n">
        <v>8</v>
      </c>
      <c r="T75" t="n">
        <v>15</v>
      </c>
      <c r="U75" t="n">
        <v>0</v>
      </c>
      <c r="V75" s="2" t="inlineStr">
        <is>
          <t>Garnlav
Dropptaggsvamp
Kattfotslav
Lunglav
Vedtrappmossa
Bronshjon
Korallblylav
Thomsons trägnagare</t>
        </is>
      </c>
      <c r="W75">
        <f>HYPERLINK("https://klasma.github.io/Logging_1783/artfynd/A 29984-2024 artfynd.xlsx", "A 29984-2024")</f>
        <v/>
      </c>
      <c r="X75">
        <f>HYPERLINK("https://klasma.github.io/Logging_1783/kartor/A 29984-2024 karta.png", "A 29984-2024")</f>
        <v/>
      </c>
      <c r="Y75">
        <f>HYPERLINK("https://klasma.github.io/Logging_1783/kartor_geotiff/A 29984-2024 georefererad karta.tif", "A 29984-2024")</f>
        <v/>
      </c>
      <c r="AA75">
        <f>HYPERLINK("https://klasma.github.io/Logging_1783/klagomål/A 29984-2024 FSC-klagomål.docx", "A 29984-2024")</f>
        <v/>
      </c>
      <c r="AB75">
        <f>HYPERLINK("https://klasma.github.io/Logging_1783/klagomålsmail/A 29984-2024 FSC-klagomål mail.docx", "A 29984-2024")</f>
        <v/>
      </c>
      <c r="AC75">
        <f>HYPERLINK("https://klasma.github.io/Logging_1783/tillsyn/A 29984-2024 tillsynsbegäran.docx", "A 29984-2024")</f>
        <v/>
      </c>
      <c r="AD75">
        <f>HYPERLINK("https://klasma.github.io/Logging_1783/tillsynsmail/A 29984-2024 tillsynsbegäran mail.docx", "A 29984-2024")</f>
        <v/>
      </c>
    </row>
    <row r="76" ht="15" customHeight="1">
      <c r="A76" t="inlineStr">
        <is>
          <t>A 41346-2024</t>
        </is>
      </c>
      <c r="B76" t="inlineStr">
        <is>
          <t>avverkningsanmälan</t>
        </is>
      </c>
      <c r="C76" t="inlineStr">
        <is>
          <t>Föryngringsavverkning</t>
        </is>
      </c>
      <c r="D76" s="1" t="n">
        <v>45559</v>
      </c>
      <c r="E76" s="1" t="n">
        <v>46307</v>
      </c>
      <c r="F76" t="inlineStr">
        <is>
          <t>VÄRMLANDS LÄN</t>
        </is>
      </c>
      <c r="G76" t="inlineStr">
        <is>
          <t>TORSBY</t>
        </is>
      </c>
      <c r="I76" t="n">
        <v>4.1</v>
      </c>
      <c r="J76" t="n">
        <v>0</v>
      </c>
      <c r="K76" t="n">
        <v>0</v>
      </c>
      <c r="L76" t="n">
        <v>7</v>
      </c>
      <c r="M76" t="n">
        <v>1</v>
      </c>
      <c r="N76" t="n">
        <v>0</v>
      </c>
      <c r="O76" t="n">
        <v>0</v>
      </c>
      <c r="P76" t="n">
        <v>0</v>
      </c>
      <c r="Q76" t="n">
        <v>8</v>
      </c>
      <c r="R76" t="n">
        <v>1</v>
      </c>
      <c r="S76" t="n">
        <v>8</v>
      </c>
      <c r="T76" t="n">
        <v>8</v>
      </c>
      <c r="U76" t="n">
        <v>0</v>
      </c>
      <c r="V76" s="2" t="inlineStr">
        <is>
          <t>Garnlav
Lunglav
Skrovellav
Tallticka
Ullticka
Vedskivlav
Vedtrappmossa
Violettgrå tagellav</t>
        </is>
      </c>
      <c r="W76">
        <f>HYPERLINK("https://klasma.github.io/Logging_1737/artfynd/A 41346-2024 artfynd.xlsx", "A 41346-2024")</f>
        <v/>
      </c>
      <c r="X76">
        <f>HYPERLINK("https://klasma.github.io/Logging_1737/kartor/A 41346-2024 karta.png", "A 41346-2024")</f>
        <v/>
      </c>
      <c r="Y76">
        <f>HYPERLINK("https://klasma.github.io/Logging_1737/kartor_geotiff/A 41346-2024 georefererad karta.tif", "A 41346-2024")</f>
        <v/>
      </c>
      <c r="AA76">
        <f>HYPERLINK("https://klasma.github.io/Logging_1737/klagomål/A 41346-2024 FSC-klagomål.docx", "A 41346-2024")</f>
        <v/>
      </c>
      <c r="AB76">
        <f>HYPERLINK("https://klasma.github.io/Logging_1737/klagomålsmail/A 41346-2024 FSC-klagomål mail.docx", "A 41346-2024")</f>
        <v/>
      </c>
      <c r="AC76">
        <f>HYPERLINK("https://klasma.github.io/Logging_1737/tillsyn/A 41346-2024 tillsynsbegäran.docx", "A 41346-2024")</f>
        <v/>
      </c>
      <c r="AD76">
        <f>HYPERLINK("https://klasma.github.io/Logging_1737/tillsynsmail/A 41346-2024 tillsynsbegäran mail.docx", "A 41346-2024")</f>
        <v/>
      </c>
    </row>
    <row r="77" ht="15" customHeight="1">
      <c r="A77" t="inlineStr">
        <is>
          <t>A 23085-2024</t>
        </is>
      </c>
      <c r="B77" t="inlineStr">
        <is>
          <t>avverkningsanmälan</t>
        </is>
      </c>
      <c r="C77" t="inlineStr">
        <is>
          <t>Föryngringsavverkning</t>
        </is>
      </c>
      <c r="D77" s="1" t="n">
        <v>45450</v>
      </c>
      <c r="E77" s="1" t="n">
        <v>46307</v>
      </c>
      <c r="F77" t="inlineStr">
        <is>
          <t>VÄRMLANDS LÄN</t>
        </is>
      </c>
      <c r="G77" t="inlineStr">
        <is>
          <t>ARVIKA</t>
        </is>
      </c>
      <c r="H77" t="inlineStr">
        <is>
          <t>Bergvik skog väst AB</t>
        </is>
      </c>
      <c r="I77" t="n">
        <v>0.6</v>
      </c>
      <c r="J77" t="n">
        <v>2</v>
      </c>
      <c r="K77" t="n">
        <v>4</v>
      </c>
      <c r="L77" t="n">
        <v>2</v>
      </c>
      <c r="M77" t="n">
        <v>1</v>
      </c>
      <c r="N77" t="n">
        <v>0</v>
      </c>
      <c r="O77" t="n">
        <v>0</v>
      </c>
      <c r="P77" t="n">
        <v>0</v>
      </c>
      <c r="Q77" t="n">
        <v>3</v>
      </c>
      <c r="R77" t="n">
        <v>1</v>
      </c>
      <c r="S77" t="n">
        <v>8</v>
      </c>
      <c r="T77" t="n">
        <v>12</v>
      </c>
      <c r="U77" t="n">
        <v>12</v>
      </c>
      <c r="V77" s="2" t="inlineStr">
        <is>
          <t>Knärot
Dofttaggsvamp
Ullticka
Bågpraktmossa
Svavelriska
Vedticka
Vågbandad barkbock
Revlummer</t>
        </is>
      </c>
      <c r="W77">
        <f>HYPERLINK("https://klasma.github.io/Logging_1784/artfynd/A 23085-2024 artfynd.xlsx", "A 23085-2024")</f>
        <v/>
      </c>
      <c r="X77">
        <f>HYPERLINK("https://klasma.github.io/Logging_1784/kartor/A 23085-2024 karta.png", "A 23085-2024")</f>
        <v/>
      </c>
      <c r="Y77">
        <f>HYPERLINK("https://klasma.github.io/Logging_1784/kartor_geotiff/A 23085-2024 georefererad karta.tif", "A 23085-2024")</f>
        <v/>
      </c>
      <c r="Z77">
        <f>HYPERLINK("https://klasma.github.io/Logging_1784/knärot/A 23085-2024 karta knärot.png", "A 23085-2024")</f>
        <v/>
      </c>
      <c r="AA77">
        <f>HYPERLINK("https://klasma.github.io/Logging_1784/klagomål/A 23085-2024 FSC-klagomål.docx", "A 23085-2024")</f>
        <v/>
      </c>
      <c r="AB77">
        <f>HYPERLINK("https://klasma.github.io/Logging_1784/klagomålsmail/A 23085-2024 FSC-klagomål mail.docx", "A 23085-2024")</f>
        <v/>
      </c>
      <c r="AC77">
        <f>HYPERLINK("https://klasma.github.io/Logging_1784/tillsyn/A 23085-2024 tillsynsbegäran.docx", "A 23085-2024")</f>
        <v/>
      </c>
      <c r="AD77">
        <f>HYPERLINK("https://klasma.github.io/Logging_1784/tillsynsmail/A 23085-2024 tillsynsbegäran mail.docx", "A 23085-2024")</f>
        <v/>
      </c>
    </row>
    <row r="78" ht="15" customHeight="1">
      <c r="A78" t="inlineStr">
        <is>
          <t>A 25800-2023</t>
        </is>
      </c>
      <c r="B78" t="inlineStr">
        <is>
          <t>avverkningsanmälan</t>
        </is>
      </c>
      <c r="C78" t="inlineStr">
        <is>
          <t>Föryngringsavverkning</t>
        </is>
      </c>
      <c r="D78" s="1" t="n">
        <v>45090</v>
      </c>
      <c r="E78" s="1" t="n">
        <v>46307</v>
      </c>
      <c r="F78" t="inlineStr">
        <is>
          <t>VÄRMLANDS LÄN</t>
        </is>
      </c>
      <c r="G78" t="inlineStr">
        <is>
          <t>EDA</t>
        </is>
      </c>
      <c r="I78" t="n">
        <v>6.2</v>
      </c>
      <c r="J78" t="n">
        <v>3</v>
      </c>
      <c r="K78" t="n">
        <v>2</v>
      </c>
      <c r="L78" t="n">
        <v>2</v>
      </c>
      <c r="M78" t="n">
        <v>1</v>
      </c>
      <c r="N78" t="n">
        <v>0</v>
      </c>
      <c r="O78" t="n">
        <v>0</v>
      </c>
      <c r="P78" t="n">
        <v>0</v>
      </c>
      <c r="Q78" t="n">
        <v>3</v>
      </c>
      <c r="R78" t="n">
        <v>1</v>
      </c>
      <c r="S78" t="n">
        <v>7</v>
      </c>
      <c r="T78" t="n">
        <v>7</v>
      </c>
      <c r="U78" t="n">
        <v>7</v>
      </c>
      <c r="V78" s="2" t="inlineStr">
        <is>
          <t>Garnlav
Talltita
Vedskivlav
Bronshjon
Vågbandad barkbock
Fläcknycklar
Revlummer</t>
        </is>
      </c>
      <c r="W78">
        <f>HYPERLINK("https://klasma.github.io/Logging_1730/artfynd/A 25800-2023 artfynd.xlsx", "A 25800-2023")</f>
        <v/>
      </c>
      <c r="X78">
        <f>HYPERLINK("https://klasma.github.io/Logging_1730/kartor/A 25800-2023 karta.png", "A 25800-2023")</f>
        <v/>
      </c>
      <c r="Y78">
        <f>HYPERLINK("https://klasma.github.io/Logging_1730/kartor_geotiff/A 25800-2023 georefererad karta.tif", "A 25800-2023")</f>
        <v/>
      </c>
      <c r="AA78">
        <f>HYPERLINK("https://klasma.github.io/Logging_1730/klagomål/A 25800-2023 FSC-klagomål.docx", "A 25800-2023")</f>
        <v/>
      </c>
      <c r="AB78">
        <f>HYPERLINK("https://klasma.github.io/Logging_1730/klagomålsmail/A 25800-2023 FSC-klagomål mail.docx", "A 25800-2023")</f>
        <v/>
      </c>
      <c r="AC78">
        <f>HYPERLINK("https://klasma.github.io/Logging_1730/tillsyn/A 25800-2023 tillsynsbegäran.docx", "A 25800-2023")</f>
        <v/>
      </c>
      <c r="AD78">
        <f>HYPERLINK("https://klasma.github.io/Logging_1730/tillsynsmail/A 25800-2023 tillsynsbegäran mail.docx", "A 25800-2023")</f>
        <v/>
      </c>
      <c r="AE78">
        <f>HYPERLINK("https://klasma.github.io/Logging_1730/fåglar/A 25800-2023 prioriterade fågelarter.docx", "A 25800-2023")</f>
        <v/>
      </c>
    </row>
    <row r="79" ht="15" customHeight="1">
      <c r="A79" t="inlineStr">
        <is>
          <t>A 47107-2024</t>
        </is>
      </c>
      <c r="B79" t="inlineStr">
        <is>
          <t>avverkningsanmälan</t>
        </is>
      </c>
      <c r="C79" t="inlineStr">
        <is>
          <t>Föryngringsavverkning</t>
        </is>
      </c>
      <c r="D79" s="1" t="n">
        <v>45586</v>
      </c>
      <c r="E79" s="1" t="n">
        <v>46307</v>
      </c>
      <c r="F79" t="inlineStr">
        <is>
          <t>VÄRMLANDS LÄN</t>
        </is>
      </c>
      <c r="G79" t="inlineStr">
        <is>
          <t>SUNNE</t>
        </is>
      </c>
      <c r="H79" t="inlineStr">
        <is>
          <t>Kommuner</t>
        </is>
      </c>
      <c r="I79" t="n">
        <v>1.4</v>
      </c>
      <c r="J79" t="n">
        <v>6</v>
      </c>
      <c r="K79" t="n">
        <v>0</v>
      </c>
      <c r="L79" t="n">
        <v>3</v>
      </c>
      <c r="M79" t="n">
        <v>0</v>
      </c>
      <c r="N79" t="n">
        <v>0</v>
      </c>
      <c r="O79" t="n">
        <v>0</v>
      </c>
      <c r="P79" t="n">
        <v>0</v>
      </c>
      <c r="Q79" t="n">
        <v>3</v>
      </c>
      <c r="R79" t="n">
        <v>0</v>
      </c>
      <c r="S79" t="n">
        <v>7</v>
      </c>
      <c r="T79" t="n">
        <v>10</v>
      </c>
      <c r="U79" t="n">
        <v>10</v>
      </c>
      <c r="V79" s="2" t="inlineStr">
        <is>
          <t>Barbastell
Brunlångöra
Nordfladdermus
Missne
Vattenfladdermus
Vanlig groda
Vanlig padda</t>
        </is>
      </c>
      <c r="W79">
        <f>HYPERLINK("https://klasma.github.io/Logging_1766/artfynd/A 47107-2024 artfynd.xlsx", "A 47107-2024")</f>
        <v/>
      </c>
      <c r="X79">
        <f>HYPERLINK("https://klasma.github.io/Logging_1766/kartor/A 47107-2024 karta.png", "A 47107-2024")</f>
        <v/>
      </c>
      <c r="Y79">
        <f>HYPERLINK("https://klasma.github.io/Logging_1766/kartor_geotiff/A 47107-2024 georefererad karta.tif", "A 47107-2024")</f>
        <v/>
      </c>
      <c r="AA79">
        <f>HYPERLINK("https://klasma.github.io/Logging_1766/klagomål/A 47107-2024 FSC-klagomål.docx", "A 47107-2024")</f>
        <v/>
      </c>
      <c r="AB79">
        <f>HYPERLINK("https://klasma.github.io/Logging_1766/klagomålsmail/A 47107-2024 FSC-klagomål mail.docx", "A 47107-2024")</f>
        <v/>
      </c>
      <c r="AC79">
        <f>HYPERLINK("https://klasma.github.io/Logging_1766/tillsyn/A 47107-2024 tillsynsbegäran.docx", "A 47107-2024")</f>
        <v/>
      </c>
      <c r="AD79">
        <f>HYPERLINK("https://klasma.github.io/Logging_1766/tillsynsmail/A 47107-2024 tillsynsbegäran mail.docx", "A 47107-2024")</f>
        <v/>
      </c>
    </row>
    <row r="80" ht="15" customHeight="1">
      <c r="A80" t="inlineStr">
        <is>
          <t>A 54297-2022</t>
        </is>
      </c>
      <c r="B80" t="inlineStr">
        <is>
          <t>avverkningsanmälan</t>
        </is>
      </c>
      <c r="C80" t="inlineStr">
        <is>
          <t>Föryngringsavverkning</t>
        </is>
      </c>
      <c r="D80" s="1" t="n">
        <v>44882</v>
      </c>
      <c r="E80" s="1" t="n">
        <v>46307</v>
      </c>
      <c r="F80" t="inlineStr">
        <is>
          <t>VÄRMLANDS LÄN</t>
        </is>
      </c>
      <c r="G80" t="inlineStr">
        <is>
          <t>TORSBY</t>
        </is>
      </c>
      <c r="I80" t="n">
        <v>10.2</v>
      </c>
      <c r="J80" t="n">
        <v>1</v>
      </c>
      <c r="K80" t="n">
        <v>5</v>
      </c>
      <c r="L80" t="n">
        <v>1</v>
      </c>
      <c r="M80" t="n">
        <v>1</v>
      </c>
      <c r="N80" t="n">
        <v>0</v>
      </c>
      <c r="O80" t="n">
        <v>0</v>
      </c>
      <c r="P80" t="n">
        <v>0</v>
      </c>
      <c r="Q80" t="n">
        <v>2</v>
      </c>
      <c r="R80" t="n">
        <v>1</v>
      </c>
      <c r="S80" t="n">
        <v>7</v>
      </c>
      <c r="T80" t="n">
        <v>11</v>
      </c>
      <c r="U80" t="n">
        <v>4</v>
      </c>
      <c r="V80" s="2" t="inlineStr">
        <is>
          <t>Garnlav
Tretåig hackspett
Bronshjon
Bårdlav
Stuplav
Thomsons trägnagare
Vedticka</t>
        </is>
      </c>
      <c r="W80">
        <f>HYPERLINK("https://klasma.github.io/Logging_1737/artfynd/A 54297-2022 artfynd.xlsx", "A 54297-2022")</f>
        <v/>
      </c>
      <c r="X80">
        <f>HYPERLINK("https://klasma.github.io/Logging_1737/kartor/A 54297-2022 karta.png", "A 54297-2022")</f>
        <v/>
      </c>
      <c r="Y80">
        <f>HYPERLINK("https://klasma.github.io/Logging_1737/kartor_geotiff/A 54297-2022 georefererad karta.tif", "A 54297-2022")</f>
        <v/>
      </c>
      <c r="AA80">
        <f>HYPERLINK("https://klasma.github.io/Logging_1737/klagomål/A 54297-2022 FSC-klagomål.docx", "A 54297-2022")</f>
        <v/>
      </c>
      <c r="AB80">
        <f>HYPERLINK("https://klasma.github.io/Logging_1737/klagomålsmail/A 54297-2022 FSC-klagomål mail.docx", "A 54297-2022")</f>
        <v/>
      </c>
      <c r="AC80">
        <f>HYPERLINK("https://klasma.github.io/Logging_1737/tillsyn/A 54297-2022 tillsynsbegäran.docx", "A 54297-2022")</f>
        <v/>
      </c>
      <c r="AD80">
        <f>HYPERLINK("https://klasma.github.io/Logging_1737/tillsynsmail/A 54297-2022 tillsynsbegäran mail.docx", "A 54297-2022")</f>
        <v/>
      </c>
      <c r="AE80">
        <f>HYPERLINK("https://klasma.github.io/Logging_1737/fåglar/A 54297-2022 prioriterade fågelarter.docx", "A 54297-2022")</f>
        <v/>
      </c>
    </row>
    <row r="81" ht="15" customHeight="1">
      <c r="A81" t="inlineStr">
        <is>
          <t>A 7996-2025</t>
        </is>
      </c>
      <c r="B81" t="inlineStr">
        <is>
          <t>avverkningsanmälan</t>
        </is>
      </c>
      <c r="C81" t="inlineStr">
        <is>
          <t>Föryngringsavverkning</t>
        </is>
      </c>
      <c r="D81" s="1" t="n">
        <v>45707</v>
      </c>
      <c r="E81" s="1" t="n">
        <v>46307</v>
      </c>
      <c r="F81" t="inlineStr">
        <is>
          <t>VÄRMLANDS LÄN</t>
        </is>
      </c>
      <c r="G81" t="inlineStr">
        <is>
          <t>ÅRJÄNG</t>
        </is>
      </c>
      <c r="I81" t="n">
        <v>7.3</v>
      </c>
      <c r="J81" t="n">
        <v>3</v>
      </c>
      <c r="K81" t="n">
        <v>1</v>
      </c>
      <c r="L81" t="n">
        <v>4</v>
      </c>
      <c r="M81" t="n">
        <v>1</v>
      </c>
      <c r="N81" t="n">
        <v>0</v>
      </c>
      <c r="O81" t="n">
        <v>0</v>
      </c>
      <c r="P81" t="n">
        <v>0</v>
      </c>
      <c r="Q81" t="n">
        <v>5</v>
      </c>
      <c r="R81" t="n">
        <v>1</v>
      </c>
      <c r="S81" t="n">
        <v>7</v>
      </c>
      <c r="T81" t="n">
        <v>12</v>
      </c>
      <c r="U81" t="n">
        <v>12</v>
      </c>
      <c r="V81" s="2" t="inlineStr">
        <is>
          <t>Knärot
Dropptaggsvamp
Lunglav
Motaggsvamp
Talltita
Blåmossa
Kungsfågel</t>
        </is>
      </c>
      <c r="W81">
        <f>HYPERLINK("https://klasma.github.io/Logging_1765/artfynd/A 7996-2025 artfynd.xlsx", "A 7996-2025")</f>
        <v/>
      </c>
      <c r="X81">
        <f>HYPERLINK("https://klasma.github.io/Logging_1765/kartor/A 7996-2025 karta.png", "A 7996-2025")</f>
        <v/>
      </c>
      <c r="Y81">
        <f>HYPERLINK("https://klasma.github.io/Logging_1765/kartor_geotiff/A 7996-2025 georefererad karta.tif", "A 7996-2025")</f>
        <v/>
      </c>
      <c r="Z81">
        <f>HYPERLINK("https://klasma.github.io/Logging_1765/knärot/A 7996-2025 karta knärot.png", "A 7996-2025")</f>
        <v/>
      </c>
      <c r="AA81">
        <f>HYPERLINK("https://klasma.github.io/Logging_1765/klagomål/A 7996-2025 FSC-klagomål.docx", "A 7996-2025")</f>
        <v/>
      </c>
      <c r="AB81">
        <f>HYPERLINK("https://klasma.github.io/Logging_1765/klagomålsmail/A 7996-2025 FSC-klagomål mail.docx", "A 7996-2025")</f>
        <v/>
      </c>
      <c r="AC81">
        <f>HYPERLINK("https://klasma.github.io/Logging_1765/tillsyn/A 7996-2025 tillsynsbegäran.docx", "A 7996-2025")</f>
        <v/>
      </c>
      <c r="AD81">
        <f>HYPERLINK("https://klasma.github.io/Logging_1765/tillsynsmail/A 7996-2025 tillsynsbegäran mail.docx", "A 7996-2025")</f>
        <v/>
      </c>
      <c r="AE81">
        <f>HYPERLINK("https://klasma.github.io/Logging_1765/fåglar/A 7996-2025 prioriterade fågelarter.docx", "A 7996-2025")</f>
        <v/>
      </c>
    </row>
    <row r="82" ht="15" customHeight="1">
      <c r="A82" t="inlineStr">
        <is>
          <t>A 8979-2025</t>
        </is>
      </c>
      <c r="B82" t="inlineStr">
        <is>
          <t>avverkningsanmälan</t>
        </is>
      </c>
      <c r="C82" t="inlineStr">
        <is>
          <t>Föryngringsavverkning</t>
        </is>
      </c>
      <c r="D82" s="1" t="n">
        <v>45713</v>
      </c>
      <c r="E82" s="1" t="n">
        <v>46307</v>
      </c>
      <c r="F82" t="inlineStr">
        <is>
          <t>VÄRMLANDS LÄN</t>
        </is>
      </c>
      <c r="G82" t="inlineStr">
        <is>
          <t>TORSBY</t>
        </is>
      </c>
      <c r="I82" t="n">
        <v>6.5</v>
      </c>
      <c r="J82" t="n">
        <v>1</v>
      </c>
      <c r="K82" t="n">
        <v>5</v>
      </c>
      <c r="L82" t="n">
        <v>1</v>
      </c>
      <c r="M82" t="n">
        <v>0</v>
      </c>
      <c r="N82" t="n">
        <v>0</v>
      </c>
      <c r="O82" t="n">
        <v>0</v>
      </c>
      <c r="P82" t="n">
        <v>0</v>
      </c>
      <c r="Q82" t="n">
        <v>1</v>
      </c>
      <c r="R82" t="n">
        <v>0</v>
      </c>
      <c r="S82" t="n">
        <v>7</v>
      </c>
      <c r="T82" t="n">
        <v>7</v>
      </c>
      <c r="U82" t="n">
        <v>0</v>
      </c>
      <c r="V82" s="2" t="inlineStr">
        <is>
          <t>Veckticka
Bårdlav
Korallblylav
Platt fjädermossa
Rävticka
Svart trolldruva
Blåsippa</t>
        </is>
      </c>
      <c r="W82">
        <f>HYPERLINK("https://klasma.github.io/Logging_1737/artfynd/A 8979-2025 artfynd.xlsx", "A 8979-2025")</f>
        <v/>
      </c>
      <c r="X82">
        <f>HYPERLINK("https://klasma.github.io/Logging_1737/kartor/A 8979-2025 karta.png", "A 8979-2025")</f>
        <v/>
      </c>
      <c r="Y82">
        <f>HYPERLINK("https://klasma.github.io/Logging_1737/kartor_geotiff/A 8979-2025 georefererad karta.tif", "A 8979-2025")</f>
        <v/>
      </c>
      <c r="AA82">
        <f>HYPERLINK("https://klasma.github.io/Logging_1737/klagomål/A 8979-2025 FSC-klagomål.docx", "A 8979-2025")</f>
        <v/>
      </c>
      <c r="AB82">
        <f>HYPERLINK("https://klasma.github.io/Logging_1737/klagomålsmail/A 8979-2025 FSC-klagomål mail.docx", "A 8979-2025")</f>
        <v/>
      </c>
      <c r="AC82">
        <f>HYPERLINK("https://klasma.github.io/Logging_1737/tillsyn/A 8979-2025 tillsynsbegäran.docx", "A 8979-2025")</f>
        <v/>
      </c>
      <c r="AD82">
        <f>HYPERLINK("https://klasma.github.io/Logging_1737/tillsynsmail/A 8979-2025 tillsynsbegäran mail.docx", "A 8979-2025")</f>
        <v/>
      </c>
    </row>
    <row r="83" ht="15" customHeight="1">
      <c r="A83" t="inlineStr">
        <is>
          <t>A 68622-2021</t>
        </is>
      </c>
      <c r="B83" t="inlineStr">
        <is>
          <t>avverkningsanmälan</t>
        </is>
      </c>
      <c r="C83" t="inlineStr">
        <is>
          <t>Föryngringsavverkning</t>
        </is>
      </c>
      <c r="D83" s="1" t="n">
        <v>44529</v>
      </c>
      <c r="E83" s="1" t="n">
        <v>46307</v>
      </c>
      <c r="F83" t="inlineStr">
        <is>
          <t>VÄRMLANDS LÄN</t>
        </is>
      </c>
      <c r="G83" t="inlineStr">
        <is>
          <t>HAMMARÖ</t>
        </is>
      </c>
      <c r="I83" t="n">
        <v>9.699999999999999</v>
      </c>
      <c r="J83" t="n">
        <v>5</v>
      </c>
      <c r="K83" t="n">
        <v>1</v>
      </c>
      <c r="L83" t="n">
        <v>1</v>
      </c>
      <c r="M83" t="n">
        <v>1</v>
      </c>
      <c r="N83" t="n">
        <v>0</v>
      </c>
      <c r="O83" t="n">
        <v>0</v>
      </c>
      <c r="P83" t="n">
        <v>0</v>
      </c>
      <c r="Q83" t="n">
        <v>2</v>
      </c>
      <c r="R83" t="n">
        <v>1</v>
      </c>
      <c r="S83" t="n">
        <v>7</v>
      </c>
      <c r="T83" t="n">
        <v>22</v>
      </c>
      <c r="U83" t="n">
        <v>22</v>
      </c>
      <c r="V83" s="2" t="inlineStr">
        <is>
          <t>Knärot
Tallticka
Jättesvampmal
Åkergroda
Kopparödla
Vanlig groda
Vanlig padda</t>
        </is>
      </c>
      <c r="W83">
        <f>HYPERLINK("https://klasma.github.io/Logging_1761/artfynd/A 68622-2021 artfynd.xlsx", "A 68622-2021")</f>
        <v/>
      </c>
      <c r="X83">
        <f>HYPERLINK("https://klasma.github.io/Logging_1761/kartor/A 68622-2021 karta.png", "A 68622-2021")</f>
        <v/>
      </c>
      <c r="Y83">
        <f>HYPERLINK("https://klasma.github.io/Logging_1761/kartor_geotiff/A 68622-2021 georefererad karta.tif", "A 68622-2021")</f>
        <v/>
      </c>
      <c r="Z83">
        <f>HYPERLINK("https://klasma.github.io/Logging_1761/knärot/A 68622-2021 karta knärot.png", "A 68622-2021")</f>
        <v/>
      </c>
      <c r="AA83">
        <f>HYPERLINK("https://klasma.github.io/Logging_1761/klagomål/A 68622-2021 FSC-klagomål.docx", "A 68622-2021")</f>
        <v/>
      </c>
      <c r="AB83">
        <f>HYPERLINK("https://klasma.github.io/Logging_1761/klagomålsmail/A 68622-2021 FSC-klagomål mail.docx", "A 68622-2021")</f>
        <v/>
      </c>
      <c r="AC83">
        <f>HYPERLINK("https://klasma.github.io/Logging_1761/tillsyn/A 68622-2021 tillsynsbegäran.docx", "A 68622-2021")</f>
        <v/>
      </c>
      <c r="AD83">
        <f>HYPERLINK("https://klasma.github.io/Logging_1761/tillsynsmail/A 68622-2021 tillsynsbegäran mail.docx", "A 68622-2021")</f>
        <v/>
      </c>
    </row>
    <row r="84" ht="15" customHeight="1">
      <c r="A84" t="inlineStr">
        <is>
          <t>A 26488-2025</t>
        </is>
      </c>
      <c r="B84" t="inlineStr">
        <is>
          <t>avverkningsanmälan</t>
        </is>
      </c>
      <c r="C84" t="inlineStr">
        <is>
          <t>Föryngringsavverkning</t>
        </is>
      </c>
      <c r="D84" s="1" t="n">
        <v>45807</v>
      </c>
      <c r="E84" s="1" t="n">
        <v>46307</v>
      </c>
      <c r="F84" t="inlineStr">
        <is>
          <t>VÄRMLANDS LÄN</t>
        </is>
      </c>
      <c r="G84" t="inlineStr">
        <is>
          <t>TORSBY</t>
        </is>
      </c>
      <c r="I84" t="n">
        <v>1.6</v>
      </c>
      <c r="J84" t="n">
        <v>2</v>
      </c>
      <c r="K84" t="n">
        <v>2</v>
      </c>
      <c r="L84" t="n">
        <v>3</v>
      </c>
      <c r="M84" t="n">
        <v>1</v>
      </c>
      <c r="N84" t="n">
        <v>0</v>
      </c>
      <c r="O84" t="n">
        <v>0</v>
      </c>
      <c r="P84" t="n">
        <v>0</v>
      </c>
      <c r="Q84" t="n">
        <v>4</v>
      </c>
      <c r="R84" t="n">
        <v>1</v>
      </c>
      <c r="S84" t="n">
        <v>7</v>
      </c>
      <c r="T84" t="n">
        <v>12</v>
      </c>
      <c r="U84" t="n">
        <v>1</v>
      </c>
      <c r="V84" s="2" t="inlineStr">
        <is>
          <t>Garnlav
Motaggsvamp
Skuggblåslav
Talltita
Gullgröppa
Nästlav
Kungsfågel</t>
        </is>
      </c>
      <c r="W84">
        <f>HYPERLINK("https://klasma.github.io/Logging_1737/artfynd/A 26488-2025 artfynd.xlsx", "A 26488-2025")</f>
        <v/>
      </c>
      <c r="X84">
        <f>HYPERLINK("https://klasma.github.io/Logging_1737/kartor/A 26488-2025 karta.png", "A 26488-2025")</f>
        <v/>
      </c>
      <c r="Y84">
        <f>HYPERLINK("https://klasma.github.io/Logging_1737/kartor_geotiff/A 26488-2025 georefererad karta.tif", "A 26488-2025")</f>
        <v/>
      </c>
      <c r="AA84">
        <f>HYPERLINK("https://klasma.github.io/Logging_1737/klagomål/A 26488-2025 FSC-klagomål.docx", "A 26488-2025")</f>
        <v/>
      </c>
      <c r="AB84">
        <f>HYPERLINK("https://klasma.github.io/Logging_1737/klagomålsmail/A 26488-2025 FSC-klagomål mail.docx", "A 26488-2025")</f>
        <v/>
      </c>
      <c r="AC84">
        <f>HYPERLINK("https://klasma.github.io/Logging_1737/tillsyn/A 26488-2025 tillsynsbegäran.docx", "A 26488-2025")</f>
        <v/>
      </c>
      <c r="AD84">
        <f>HYPERLINK("https://klasma.github.io/Logging_1737/tillsynsmail/A 26488-2025 tillsynsbegäran mail.docx", "A 26488-2025")</f>
        <v/>
      </c>
      <c r="AE84">
        <f>HYPERLINK("https://klasma.github.io/Logging_1737/fåglar/A 26488-2025 prioriterade fågelarter.docx", "A 26488-2025")</f>
        <v/>
      </c>
    </row>
    <row r="85" ht="15" customHeight="1">
      <c r="A85" t="inlineStr">
        <is>
          <t>A 8002-2025</t>
        </is>
      </c>
      <c r="B85" t="inlineStr">
        <is>
          <t>avverkningsanmälan</t>
        </is>
      </c>
      <c r="C85" t="inlineStr">
        <is>
          <t>Föryngringsavverkning</t>
        </is>
      </c>
      <c r="D85" s="1" t="n">
        <v>45707</v>
      </c>
      <c r="E85" s="1" t="n">
        <v>46307</v>
      </c>
      <c r="F85" t="inlineStr">
        <is>
          <t>VÄRMLANDS LÄN</t>
        </is>
      </c>
      <c r="G85" t="inlineStr">
        <is>
          <t>ÅRJÄNG</t>
        </is>
      </c>
      <c r="I85" t="n">
        <v>1.7</v>
      </c>
      <c r="J85" t="n">
        <v>3</v>
      </c>
      <c r="K85" t="n">
        <v>1</v>
      </c>
      <c r="L85" t="n">
        <v>4</v>
      </c>
      <c r="M85" t="n">
        <v>0</v>
      </c>
      <c r="N85" t="n">
        <v>0</v>
      </c>
      <c r="O85" t="n">
        <v>0</v>
      </c>
      <c r="P85" t="n">
        <v>0</v>
      </c>
      <c r="Q85" t="n">
        <v>4</v>
      </c>
      <c r="R85" t="n">
        <v>0</v>
      </c>
      <c r="S85" t="n">
        <v>7</v>
      </c>
      <c r="T85" t="n">
        <v>9</v>
      </c>
      <c r="U85" t="n">
        <v>9</v>
      </c>
      <c r="V85" s="2" t="inlineStr">
        <is>
          <t>Dofttaggsvamp
Dropptaggsvamp
Tallticka
Talltita
Blåmossa
Spillkråka
Kungsfågel</t>
        </is>
      </c>
      <c r="W85">
        <f>HYPERLINK("https://klasma.github.io/Logging_1765/artfynd/A 8002-2025 artfynd.xlsx", "A 8002-2025")</f>
        <v/>
      </c>
      <c r="X85">
        <f>HYPERLINK("https://klasma.github.io/Logging_1765/kartor/A 8002-2025 karta.png", "A 8002-2025")</f>
        <v/>
      </c>
      <c r="Y85">
        <f>HYPERLINK("https://klasma.github.io/Logging_1765/kartor_geotiff/A 8002-2025 georefererad karta.tif", "A 8002-2025")</f>
        <v/>
      </c>
      <c r="AA85">
        <f>HYPERLINK("https://klasma.github.io/Logging_1765/klagomål/A 8002-2025 FSC-klagomål.docx", "A 8002-2025")</f>
        <v/>
      </c>
      <c r="AB85">
        <f>HYPERLINK("https://klasma.github.io/Logging_1765/klagomålsmail/A 8002-2025 FSC-klagomål mail.docx", "A 8002-2025")</f>
        <v/>
      </c>
      <c r="AC85">
        <f>HYPERLINK("https://klasma.github.io/Logging_1765/tillsyn/A 8002-2025 tillsynsbegäran.docx", "A 8002-2025")</f>
        <v/>
      </c>
      <c r="AD85">
        <f>HYPERLINK("https://klasma.github.io/Logging_1765/tillsynsmail/A 8002-2025 tillsynsbegäran mail.docx", "A 8002-2025")</f>
        <v/>
      </c>
      <c r="AE85">
        <f>HYPERLINK("https://klasma.github.io/Logging_1765/fåglar/A 8002-2025 prioriterade fågelarter.docx", "A 8002-2025")</f>
        <v/>
      </c>
    </row>
    <row r="86" ht="15" customHeight="1">
      <c r="A86" t="inlineStr">
        <is>
          <t>A 32986-2025</t>
        </is>
      </c>
      <c r="B86" t="inlineStr">
        <is>
          <t>avverkningsanmälan</t>
        </is>
      </c>
      <c r="C86" t="inlineStr">
        <is>
          <t>Föryngringsavverkning</t>
        </is>
      </c>
      <c r="D86" s="1" t="n">
        <v>45839</v>
      </c>
      <c r="E86" s="1" t="n">
        <v>46307</v>
      </c>
      <c r="F86" t="inlineStr">
        <is>
          <t>VÄRMLANDS LÄN</t>
        </is>
      </c>
      <c r="G86" t="inlineStr">
        <is>
          <t>TORSBY</t>
        </is>
      </c>
      <c r="I86" t="n">
        <v>2.9</v>
      </c>
      <c r="J86" t="n">
        <v>0</v>
      </c>
      <c r="K86" t="n">
        <v>0</v>
      </c>
      <c r="L86" t="n">
        <v>5</v>
      </c>
      <c r="M86" t="n">
        <v>2</v>
      </c>
      <c r="N86" t="n">
        <v>0</v>
      </c>
      <c r="O86" t="n">
        <v>0</v>
      </c>
      <c r="P86" t="n">
        <v>0</v>
      </c>
      <c r="Q86" t="n">
        <v>7</v>
      </c>
      <c r="R86" t="n">
        <v>2</v>
      </c>
      <c r="S86" t="n">
        <v>7</v>
      </c>
      <c r="T86" t="n">
        <v>18</v>
      </c>
      <c r="U86" t="n">
        <v>0</v>
      </c>
      <c r="V86" s="2" t="inlineStr">
        <is>
          <t>Garnlav
Gräddporing
Dropptaggsvamp
Dvärgbägarlav
Kolflarnlav
Mörk kolflarnlav
Skarp dropptaggsvamp</t>
        </is>
      </c>
      <c r="W86">
        <f>HYPERLINK("https://klasma.github.io/Logging_1737/artfynd/A 32986-2025 artfynd.xlsx", "A 32986-2025")</f>
        <v/>
      </c>
      <c r="X86">
        <f>HYPERLINK("https://klasma.github.io/Logging_1737/kartor/A 32986-2025 karta.png", "A 32986-2025")</f>
        <v/>
      </c>
      <c r="Y86">
        <f>HYPERLINK("https://klasma.github.io/Logging_1737/kartor_geotiff/A 32986-2025 georefererad karta.tif", "A 32986-2025")</f>
        <v/>
      </c>
      <c r="AA86">
        <f>HYPERLINK("https://klasma.github.io/Logging_1737/klagomål/A 32986-2025 FSC-klagomål.docx", "A 32986-2025")</f>
        <v/>
      </c>
      <c r="AB86">
        <f>HYPERLINK("https://klasma.github.io/Logging_1737/klagomålsmail/A 32986-2025 FSC-klagomål mail.docx", "A 32986-2025")</f>
        <v/>
      </c>
      <c r="AC86">
        <f>HYPERLINK("https://klasma.github.io/Logging_1737/tillsyn/A 32986-2025 tillsynsbegäran.docx", "A 32986-2025")</f>
        <v/>
      </c>
      <c r="AD86">
        <f>HYPERLINK("https://klasma.github.io/Logging_1737/tillsynsmail/A 32986-2025 tillsynsbegäran mail.docx", "A 32986-2025")</f>
        <v/>
      </c>
    </row>
    <row r="87" ht="15" customHeight="1">
      <c r="A87" t="inlineStr">
        <is>
          <t>A 32845-2023</t>
        </is>
      </c>
      <c r="B87" t="inlineStr">
        <is>
          <t>avverkningsanmälan</t>
        </is>
      </c>
      <c r="C87" t="inlineStr">
        <is>
          <t>Föryngringsavverkning</t>
        </is>
      </c>
      <c r="D87" s="1" t="n">
        <v>45109</v>
      </c>
      <c r="E87" s="1" t="n">
        <v>46307</v>
      </c>
      <c r="F87" t="inlineStr">
        <is>
          <t>VÄRMLANDS LÄN</t>
        </is>
      </c>
      <c r="G87" t="inlineStr">
        <is>
          <t>ARVIKA</t>
        </is>
      </c>
      <c r="I87" t="n">
        <v>2.2</v>
      </c>
      <c r="J87" t="n">
        <v>1</v>
      </c>
      <c r="K87" t="n">
        <v>3</v>
      </c>
      <c r="L87" t="n">
        <v>2</v>
      </c>
      <c r="M87" t="n">
        <v>1</v>
      </c>
      <c r="N87" t="n">
        <v>1</v>
      </c>
      <c r="O87" t="n">
        <v>0</v>
      </c>
      <c r="P87" t="n">
        <v>0</v>
      </c>
      <c r="Q87" t="n">
        <v>4</v>
      </c>
      <c r="R87" t="n">
        <v>2</v>
      </c>
      <c r="S87" t="n">
        <v>7</v>
      </c>
      <c r="T87" t="n">
        <v>9</v>
      </c>
      <c r="U87" t="n">
        <v>1</v>
      </c>
      <c r="V87" s="2" t="inlineStr">
        <is>
          <t>Stråltandad fibbla
Knärot
Oljetagging
Ullticka
Mandelriska
Rävticka
Vedticka</t>
        </is>
      </c>
      <c r="W87">
        <f>HYPERLINK("https://klasma.github.io/Logging_1784/artfynd/A 32845-2023 artfynd.xlsx", "A 32845-2023")</f>
        <v/>
      </c>
      <c r="X87">
        <f>HYPERLINK("https://klasma.github.io/Logging_1784/kartor/A 32845-2023 karta.png", "A 32845-2023")</f>
        <v/>
      </c>
      <c r="Y87">
        <f>HYPERLINK("https://klasma.github.io/Logging_1784/kartor_geotiff/A 32845-2023 georefererad karta.tif", "A 32845-2023")</f>
        <v/>
      </c>
      <c r="Z87">
        <f>HYPERLINK("https://klasma.github.io/Logging_1784/knärot/A 32845-2023 karta knärot.png", "A 32845-2023")</f>
        <v/>
      </c>
      <c r="AA87">
        <f>HYPERLINK("https://klasma.github.io/Logging_1784/klagomål/A 32845-2023 FSC-klagomål.docx", "A 32845-2023")</f>
        <v/>
      </c>
      <c r="AB87">
        <f>HYPERLINK("https://klasma.github.io/Logging_1784/klagomålsmail/A 32845-2023 FSC-klagomål mail.docx", "A 32845-2023")</f>
        <v/>
      </c>
      <c r="AC87">
        <f>HYPERLINK("https://klasma.github.io/Logging_1784/tillsyn/A 32845-2023 tillsynsbegäran.docx", "A 32845-2023")</f>
        <v/>
      </c>
      <c r="AD87">
        <f>HYPERLINK("https://klasma.github.io/Logging_1784/tillsynsmail/A 32845-2023 tillsynsbegäran mail.docx", "A 32845-2023")</f>
        <v/>
      </c>
    </row>
    <row r="88" ht="15" customHeight="1">
      <c r="A88" t="inlineStr">
        <is>
          <t>A 17057-2025</t>
        </is>
      </c>
      <c r="B88" t="inlineStr">
        <is>
          <t>avverkningsanmälan</t>
        </is>
      </c>
      <c r="C88" t="inlineStr">
        <is>
          <t>Föryngringsavverkning</t>
        </is>
      </c>
      <c r="D88" s="1" t="n">
        <v>45754</v>
      </c>
      <c r="E88" s="1" t="n">
        <v>46307</v>
      </c>
      <c r="F88" t="inlineStr">
        <is>
          <t>VÄRMLANDS LÄN</t>
        </is>
      </c>
      <c r="G88" t="inlineStr">
        <is>
          <t>TORSBY</t>
        </is>
      </c>
      <c r="I88" t="n">
        <v>5.2</v>
      </c>
      <c r="J88" t="n">
        <v>0</v>
      </c>
      <c r="K88" t="n">
        <v>0</v>
      </c>
      <c r="L88" t="n">
        <v>6</v>
      </c>
      <c r="M88" t="n">
        <v>1</v>
      </c>
      <c r="N88" t="n">
        <v>0</v>
      </c>
      <c r="O88" t="n">
        <v>0</v>
      </c>
      <c r="P88" t="n">
        <v>0</v>
      </c>
      <c r="Q88" t="n">
        <v>7</v>
      </c>
      <c r="R88" t="n">
        <v>1</v>
      </c>
      <c r="S88" t="n">
        <v>7</v>
      </c>
      <c r="T88" t="n">
        <v>22</v>
      </c>
      <c r="U88" t="n">
        <v>0</v>
      </c>
      <c r="V88" s="2" t="inlineStr">
        <is>
          <t>Garnlav
Dropptaggsvamp
Kolflarnlav
Mörk kolflarnlav
Tallticka
Vedflamlav
Vedskivlav</t>
        </is>
      </c>
      <c r="W88">
        <f>HYPERLINK("https://klasma.github.io/Logging_1737/artfynd/A 17057-2025 artfynd.xlsx", "A 17057-2025")</f>
        <v/>
      </c>
      <c r="X88">
        <f>HYPERLINK("https://klasma.github.io/Logging_1737/kartor/A 17057-2025 karta.png", "A 17057-2025")</f>
        <v/>
      </c>
      <c r="Y88">
        <f>HYPERLINK("https://klasma.github.io/Logging_1737/kartor_geotiff/A 17057-2025 georefererad karta.tif", "A 17057-2025")</f>
        <v/>
      </c>
      <c r="AA88">
        <f>HYPERLINK("https://klasma.github.io/Logging_1737/klagomål/A 17057-2025 FSC-klagomål.docx", "A 17057-2025")</f>
        <v/>
      </c>
      <c r="AB88">
        <f>HYPERLINK("https://klasma.github.io/Logging_1737/klagomålsmail/A 17057-2025 FSC-klagomål mail.docx", "A 17057-2025")</f>
        <v/>
      </c>
      <c r="AC88">
        <f>HYPERLINK("https://klasma.github.io/Logging_1737/tillsyn/A 17057-2025 tillsynsbegäran.docx", "A 17057-2025")</f>
        <v/>
      </c>
      <c r="AD88">
        <f>HYPERLINK("https://klasma.github.io/Logging_1737/tillsynsmail/A 17057-2025 tillsynsbegäran mail.docx", "A 17057-2025")</f>
        <v/>
      </c>
    </row>
    <row r="89" ht="15" customHeight="1">
      <c r="A89" t="inlineStr">
        <is>
          <t>A 40910-2023</t>
        </is>
      </c>
      <c r="B89" t="inlineStr">
        <is>
          <t>avverkningsanmälan</t>
        </is>
      </c>
      <c r="C89" t="inlineStr">
        <is>
          <t>Föryngringsavverkning</t>
        </is>
      </c>
      <c r="D89" s="1" t="n">
        <v>45173</v>
      </c>
      <c r="E89" s="1" t="n">
        <v>46307</v>
      </c>
      <c r="F89" t="inlineStr">
        <is>
          <t>VÄRMLANDS LÄN</t>
        </is>
      </c>
      <c r="G89" t="inlineStr">
        <is>
          <t>HAGFORS</t>
        </is>
      </c>
      <c r="H89" t="inlineStr">
        <is>
          <t>Kyrkan</t>
        </is>
      </c>
      <c r="I89" t="n">
        <v>13.1</v>
      </c>
      <c r="J89" t="n">
        <v>0</v>
      </c>
      <c r="K89" t="n">
        <v>1</v>
      </c>
      <c r="L89" t="n">
        <v>5</v>
      </c>
      <c r="M89" t="n">
        <v>1</v>
      </c>
      <c r="N89" t="n">
        <v>0</v>
      </c>
      <c r="O89" t="n">
        <v>0</v>
      </c>
      <c r="P89" t="n">
        <v>0</v>
      </c>
      <c r="Q89" t="n">
        <v>6</v>
      </c>
      <c r="R89" t="n">
        <v>1</v>
      </c>
      <c r="S89" t="n">
        <v>7</v>
      </c>
      <c r="T89" t="n">
        <v>9</v>
      </c>
      <c r="U89" t="n">
        <v>0</v>
      </c>
      <c r="V89" s="2" t="inlineStr">
        <is>
          <t>Garnlav
Dropptaggsvamp
Kolflarnlav
Lunglav
Mörk kolflarnlav
Vedskivlav
Stuplav</t>
        </is>
      </c>
      <c r="W89">
        <f>HYPERLINK("https://klasma.github.io/Logging_1783/artfynd/A 40910-2023 artfynd.xlsx", "A 40910-2023")</f>
        <v/>
      </c>
      <c r="X89">
        <f>HYPERLINK("https://klasma.github.io/Logging_1783/kartor/A 40910-2023 karta.png", "A 40910-2023")</f>
        <v/>
      </c>
      <c r="Y89">
        <f>HYPERLINK("https://klasma.github.io/Logging_1783/kartor_geotiff/A 40910-2023 georefererad karta.tif", "A 40910-2023")</f>
        <v/>
      </c>
      <c r="AA89">
        <f>HYPERLINK("https://klasma.github.io/Logging_1783/klagomål/A 40910-2023 FSC-klagomål.docx", "A 40910-2023")</f>
        <v/>
      </c>
      <c r="AB89">
        <f>HYPERLINK("https://klasma.github.io/Logging_1783/klagomålsmail/A 40910-2023 FSC-klagomål mail.docx", "A 40910-2023")</f>
        <v/>
      </c>
      <c r="AC89">
        <f>HYPERLINK("https://klasma.github.io/Logging_1783/tillsyn/A 40910-2023 tillsynsbegäran.docx", "A 40910-2023")</f>
        <v/>
      </c>
      <c r="AD89">
        <f>HYPERLINK("https://klasma.github.io/Logging_1783/tillsynsmail/A 40910-2023 tillsynsbegäran mail.docx", "A 40910-2023")</f>
        <v/>
      </c>
    </row>
    <row r="90" ht="15" customHeight="1">
      <c r="A90" t="inlineStr">
        <is>
          <t>A 58718-2021</t>
        </is>
      </c>
      <c r="B90" t="inlineStr">
        <is>
          <t>avverkningsanmälan</t>
        </is>
      </c>
      <c r="C90" t="inlineStr">
        <is>
          <t>Föryngringsavverkning</t>
        </is>
      </c>
      <c r="D90" s="1" t="n">
        <v>44489</v>
      </c>
      <c r="E90" s="1" t="n">
        <v>46307</v>
      </c>
      <c r="F90" t="inlineStr">
        <is>
          <t>VÄRMLANDS LÄN</t>
        </is>
      </c>
      <c r="G90" t="inlineStr">
        <is>
          <t>FILIPSTAD</t>
        </is>
      </c>
      <c r="H90" t="inlineStr">
        <is>
          <t>Bergvik skog väst AB</t>
        </is>
      </c>
      <c r="I90" t="n">
        <v>12.2</v>
      </c>
      <c r="J90" t="n">
        <v>0</v>
      </c>
      <c r="K90" t="n">
        <v>2</v>
      </c>
      <c r="L90" t="n">
        <v>4</v>
      </c>
      <c r="M90" t="n">
        <v>1</v>
      </c>
      <c r="N90" t="n">
        <v>0</v>
      </c>
      <c r="O90" t="n">
        <v>0</v>
      </c>
      <c r="P90" t="n">
        <v>0</v>
      </c>
      <c r="Q90" t="n">
        <v>5</v>
      </c>
      <c r="R90" t="n">
        <v>1</v>
      </c>
      <c r="S90" t="n">
        <v>7</v>
      </c>
      <c r="T90" t="n">
        <v>12</v>
      </c>
      <c r="U90" t="n">
        <v>12</v>
      </c>
      <c r="V90" s="2" t="inlineStr">
        <is>
          <t>Garnlav
Dropptaggsvamp
Skuggblåslav
Ullticka
Vedtrappmossa
Bollvitmossa
Bronshjon</t>
        </is>
      </c>
      <c r="W90">
        <f>HYPERLINK("https://klasma.github.io/Logging_1782/artfynd/A 58718-2021 artfynd.xlsx", "A 58718-2021")</f>
        <v/>
      </c>
      <c r="X90">
        <f>HYPERLINK("https://klasma.github.io/Logging_1782/kartor/A 58718-2021 karta.png", "A 58718-2021")</f>
        <v/>
      </c>
      <c r="Y90">
        <f>HYPERLINK("https://klasma.github.io/Logging_1782/kartor_geotiff/A 58718-2021 georefererad karta.tif", "A 58718-2021")</f>
        <v/>
      </c>
      <c r="AA90">
        <f>HYPERLINK("https://klasma.github.io/Logging_1782/klagomål/A 58718-2021 FSC-klagomål.docx", "A 58718-2021")</f>
        <v/>
      </c>
      <c r="AB90">
        <f>HYPERLINK("https://klasma.github.io/Logging_1782/klagomålsmail/A 58718-2021 FSC-klagomål mail.docx", "A 58718-2021")</f>
        <v/>
      </c>
      <c r="AC90">
        <f>HYPERLINK("https://klasma.github.io/Logging_1782/tillsyn/A 58718-2021 tillsynsbegäran.docx", "A 58718-2021")</f>
        <v/>
      </c>
      <c r="AD90">
        <f>HYPERLINK("https://klasma.github.io/Logging_1782/tillsynsmail/A 58718-2021 tillsynsbegäran mail.docx", "A 58718-2021")</f>
        <v/>
      </c>
    </row>
    <row r="91" ht="15" customHeight="1">
      <c r="A91" t="inlineStr">
        <is>
          <t>A 20012-2026</t>
        </is>
      </c>
      <c r="B91" t="inlineStr">
        <is>
          <t>avverkningsanmälan</t>
        </is>
      </c>
      <c r="C91" t="inlineStr">
        <is>
          <t>Föryngringsavverkning</t>
        </is>
      </c>
      <c r="D91" s="1" t="n">
        <v>46136</v>
      </c>
      <c r="E91" s="1" t="n">
        <v>46307</v>
      </c>
      <c r="F91" t="inlineStr">
        <is>
          <t>VÄRMLANDS LÄN</t>
        </is>
      </c>
      <c r="G91" t="inlineStr">
        <is>
          <t>TORSBY</t>
        </is>
      </c>
      <c r="I91" t="n">
        <v>4.9</v>
      </c>
      <c r="J91" t="n">
        <v>1</v>
      </c>
      <c r="K91" t="n">
        <v>2</v>
      </c>
      <c r="L91" t="n">
        <v>2</v>
      </c>
      <c r="M91" t="n">
        <v>2</v>
      </c>
      <c r="N91" t="n">
        <v>0</v>
      </c>
      <c r="O91" t="n">
        <v>0</v>
      </c>
      <c r="P91" t="n">
        <v>0</v>
      </c>
      <c r="Q91" t="n">
        <v>4</v>
      </c>
      <c r="R91" t="n">
        <v>2</v>
      </c>
      <c r="S91" t="n">
        <v>7</v>
      </c>
      <c r="T91" t="n">
        <v>17</v>
      </c>
      <c r="U91" t="n">
        <v>15</v>
      </c>
      <c r="V91" s="2" t="inlineStr">
        <is>
          <t>Citronporing
Gränsticka
Gransotdyna
Vedtrappmossa
Trådticka
Vedticka
Revlummer</t>
        </is>
      </c>
      <c r="W91">
        <f>HYPERLINK("https://klasma.github.io/Logging_1737/artfynd/A 20012-2026 artfynd.xlsx", "A 20012-2026")</f>
        <v/>
      </c>
      <c r="X91">
        <f>HYPERLINK("https://klasma.github.io/Logging_1737/kartor/A 20012-2026 karta.png", "A 20012-2026")</f>
        <v/>
      </c>
      <c r="Y91">
        <f>HYPERLINK("https://klasma.github.io/Logging_1737/kartor_geotiff/A 20012-2026 georefererad karta.tif", "A 20012-2026")</f>
        <v/>
      </c>
      <c r="AA91">
        <f>HYPERLINK("https://klasma.github.io/Logging_1737/klagomål/A 20012-2026 FSC-klagomål.docx", "A 20012-2026")</f>
        <v/>
      </c>
      <c r="AB91">
        <f>HYPERLINK("https://klasma.github.io/Logging_1737/klagomålsmail/A 20012-2026 FSC-klagomål mail.docx", "A 20012-2026")</f>
        <v/>
      </c>
      <c r="AC91">
        <f>HYPERLINK("https://klasma.github.io/Logging_1737/tillsyn/A 20012-2026 tillsynsbegäran.docx", "A 20012-2026")</f>
        <v/>
      </c>
      <c r="AD91">
        <f>HYPERLINK("https://klasma.github.io/Logging_1737/tillsynsmail/A 20012-2026 tillsynsbegäran mail.docx", "A 20012-2026")</f>
        <v/>
      </c>
    </row>
    <row r="92" ht="15" customHeight="1">
      <c r="A92" t="inlineStr">
        <is>
          <t>A 73921-2021</t>
        </is>
      </c>
      <c r="B92" t="inlineStr">
        <is>
          <t>avverkningsanmälan</t>
        </is>
      </c>
      <c r="C92" t="inlineStr">
        <is>
          <t>Föryngringsavverkning</t>
        </is>
      </c>
      <c r="D92" s="1" t="n">
        <v>44553</v>
      </c>
      <c r="E92" s="1" t="n">
        <v>46307</v>
      </c>
      <c r="F92" t="inlineStr">
        <is>
          <t>VÄRMLANDS LÄN</t>
        </is>
      </c>
      <c r="G92" t="inlineStr">
        <is>
          <t>TORSBY</t>
        </is>
      </c>
      <c r="I92" t="n">
        <v>15.3</v>
      </c>
      <c r="J92" t="n">
        <v>0</v>
      </c>
      <c r="K92" t="n">
        <v>0</v>
      </c>
      <c r="L92" t="n">
        <v>6</v>
      </c>
      <c r="M92" t="n">
        <v>1</v>
      </c>
      <c r="N92" t="n">
        <v>0</v>
      </c>
      <c r="O92" t="n">
        <v>0</v>
      </c>
      <c r="P92" t="n">
        <v>0</v>
      </c>
      <c r="Q92" t="n">
        <v>7</v>
      </c>
      <c r="R92" t="n">
        <v>1</v>
      </c>
      <c r="S92" t="n">
        <v>7</v>
      </c>
      <c r="T92" t="n">
        <v>59</v>
      </c>
      <c r="U92" t="n">
        <v>20</v>
      </c>
      <c r="V92" s="2" t="inlineStr">
        <is>
          <t>Garnlav
Dropptaggsvamp
Gammelgransskål
Kolflarnlav
Motaggsvamp
Mörk kolflarnlav
Vedskivlav</t>
        </is>
      </c>
      <c r="W92">
        <f>HYPERLINK("https://klasma.github.io/Logging_1737/artfynd/A 73921-2021 artfynd.xlsx", "A 73921-2021")</f>
        <v/>
      </c>
      <c r="X92">
        <f>HYPERLINK("https://klasma.github.io/Logging_1737/kartor/A 73921-2021 karta.png", "A 73921-2021")</f>
        <v/>
      </c>
      <c r="Y92">
        <f>HYPERLINK("https://klasma.github.io/Logging_1737/kartor_geotiff/A 73921-2021 georefererad karta.tif", "A 73921-2021")</f>
        <v/>
      </c>
      <c r="AA92">
        <f>HYPERLINK("https://klasma.github.io/Logging_1737/klagomål/A 73921-2021 FSC-klagomål.docx", "A 73921-2021")</f>
        <v/>
      </c>
      <c r="AB92">
        <f>HYPERLINK("https://klasma.github.io/Logging_1737/klagomålsmail/A 73921-2021 FSC-klagomål mail.docx", "A 73921-2021")</f>
        <v/>
      </c>
      <c r="AC92">
        <f>HYPERLINK("https://klasma.github.io/Logging_1737/tillsyn/A 73921-2021 tillsynsbegäran.docx", "A 73921-2021")</f>
        <v/>
      </c>
      <c r="AD92">
        <f>HYPERLINK("https://klasma.github.io/Logging_1737/tillsynsmail/A 73921-2021 tillsynsbegäran mail.docx", "A 73921-2021")</f>
        <v/>
      </c>
    </row>
    <row r="93" ht="15" customHeight="1">
      <c r="A93" t="inlineStr">
        <is>
          <t>A 12294-2025</t>
        </is>
      </c>
      <c r="B93" t="inlineStr">
        <is>
          <t>avverkningsanmälan</t>
        </is>
      </c>
      <c r="C93" t="inlineStr">
        <is>
          <t>Föryngringsavverkning</t>
        </is>
      </c>
      <c r="D93" s="1" t="n">
        <v>45729</v>
      </c>
      <c r="E93" s="1" t="n">
        <v>46307</v>
      </c>
      <c r="F93" t="inlineStr">
        <is>
          <t>VÄRMLANDS LÄN</t>
        </is>
      </c>
      <c r="G93" t="inlineStr">
        <is>
          <t>TORSBY</t>
        </is>
      </c>
      <c r="I93" t="n">
        <v>2.4</v>
      </c>
      <c r="J93" t="n">
        <v>1</v>
      </c>
      <c r="K93" t="n">
        <v>4</v>
      </c>
      <c r="L93" t="n">
        <v>2</v>
      </c>
      <c r="M93" t="n">
        <v>0</v>
      </c>
      <c r="N93" t="n">
        <v>0</v>
      </c>
      <c r="O93" t="n">
        <v>0</v>
      </c>
      <c r="P93" t="n">
        <v>0</v>
      </c>
      <c r="Q93" t="n">
        <v>2</v>
      </c>
      <c r="R93" t="n">
        <v>0</v>
      </c>
      <c r="S93" t="n">
        <v>7</v>
      </c>
      <c r="T93" t="n">
        <v>7</v>
      </c>
      <c r="U93" t="n">
        <v>0</v>
      </c>
      <c r="V93" s="2" t="inlineStr">
        <is>
          <t>Gullpudra
Vårärt
Dvärghäxört
Svart trolldruva
Tibast
Underviol
Blåsippa</t>
        </is>
      </c>
      <c r="W93">
        <f>HYPERLINK("https://klasma.github.io/Logging_1737/artfynd/A 12294-2025 artfynd.xlsx", "A 12294-2025")</f>
        <v/>
      </c>
      <c r="X93">
        <f>HYPERLINK("https://klasma.github.io/Logging_1737/kartor/A 12294-2025 karta.png", "A 12294-2025")</f>
        <v/>
      </c>
      <c r="Y93">
        <f>HYPERLINK("https://klasma.github.io/Logging_1737/kartor_geotiff/A 12294-2025 georefererad karta.tif", "A 12294-2025")</f>
        <v/>
      </c>
      <c r="AA93">
        <f>HYPERLINK("https://klasma.github.io/Logging_1737/klagomål/A 12294-2025 FSC-klagomål.docx", "A 12294-2025")</f>
        <v/>
      </c>
      <c r="AB93">
        <f>HYPERLINK("https://klasma.github.io/Logging_1737/klagomålsmail/A 12294-2025 FSC-klagomål mail.docx", "A 12294-2025")</f>
        <v/>
      </c>
      <c r="AC93">
        <f>HYPERLINK("https://klasma.github.io/Logging_1737/tillsyn/A 12294-2025 tillsynsbegäran.docx", "A 12294-2025")</f>
        <v/>
      </c>
      <c r="AD93">
        <f>HYPERLINK("https://klasma.github.io/Logging_1737/tillsynsmail/A 12294-2025 tillsynsbegäran mail.docx", "A 12294-2025")</f>
        <v/>
      </c>
    </row>
    <row r="94" ht="15" customHeight="1">
      <c r="A94" t="inlineStr">
        <is>
          <t>A 44477-2024</t>
        </is>
      </c>
      <c r="B94" t="inlineStr">
        <is>
          <t>avverkningsanmälan</t>
        </is>
      </c>
      <c r="C94" t="inlineStr">
        <is>
          <t>Föryngringsavverkning</t>
        </is>
      </c>
      <c r="D94" s="1" t="n">
        <v>45574</v>
      </c>
      <c r="E94" s="1" t="n">
        <v>46307</v>
      </c>
      <c r="F94" t="inlineStr">
        <is>
          <t>VÄRMLANDS LÄN</t>
        </is>
      </c>
      <c r="G94" t="inlineStr">
        <is>
          <t>TORSBY</t>
        </is>
      </c>
      <c r="I94" t="n">
        <v>3</v>
      </c>
      <c r="J94" t="n">
        <v>0</v>
      </c>
      <c r="K94" t="n">
        <v>4</v>
      </c>
      <c r="L94" t="n">
        <v>2</v>
      </c>
      <c r="M94" t="n">
        <v>1</v>
      </c>
      <c r="N94" t="n">
        <v>0</v>
      </c>
      <c r="O94" t="n">
        <v>0</v>
      </c>
      <c r="P94" t="n">
        <v>0</v>
      </c>
      <c r="Q94" t="n">
        <v>3</v>
      </c>
      <c r="R94" t="n">
        <v>1</v>
      </c>
      <c r="S94" t="n">
        <v>7</v>
      </c>
      <c r="T94" t="n">
        <v>8</v>
      </c>
      <c r="U94" t="n">
        <v>0</v>
      </c>
      <c r="V94" s="2" t="inlineStr">
        <is>
          <t>Garnlav
Lunglav
Ullticka
Gulnål
Korallblylav
Luddlav
Vedticka</t>
        </is>
      </c>
      <c r="W94">
        <f>HYPERLINK("https://klasma.github.io/Logging_1737/artfynd/A 44477-2024 artfynd.xlsx", "A 44477-2024")</f>
        <v/>
      </c>
      <c r="X94">
        <f>HYPERLINK("https://klasma.github.io/Logging_1737/kartor/A 44477-2024 karta.png", "A 44477-2024")</f>
        <v/>
      </c>
      <c r="Y94">
        <f>HYPERLINK("https://klasma.github.io/Logging_1737/kartor_geotiff/A 44477-2024 georefererad karta.tif", "A 44477-2024")</f>
        <v/>
      </c>
      <c r="AA94">
        <f>HYPERLINK("https://klasma.github.io/Logging_1737/klagomål/A 44477-2024 FSC-klagomål.docx", "A 44477-2024")</f>
        <v/>
      </c>
      <c r="AB94">
        <f>HYPERLINK("https://klasma.github.io/Logging_1737/klagomålsmail/A 44477-2024 FSC-klagomål mail.docx", "A 44477-2024")</f>
        <v/>
      </c>
      <c r="AC94">
        <f>HYPERLINK("https://klasma.github.io/Logging_1737/tillsyn/A 44477-2024 tillsynsbegäran.docx", "A 44477-2024")</f>
        <v/>
      </c>
      <c r="AD94">
        <f>HYPERLINK("https://klasma.github.io/Logging_1737/tillsynsmail/A 44477-2024 tillsynsbegäran mail.docx", "A 44477-2024")</f>
        <v/>
      </c>
    </row>
    <row r="95" ht="15" customHeight="1">
      <c r="A95" t="inlineStr">
        <is>
          <t>A 11656-2025</t>
        </is>
      </c>
      <c r="B95" t="inlineStr">
        <is>
          <t>avverkningsanmälan</t>
        </is>
      </c>
      <c r="C95" t="inlineStr">
        <is>
          <t>Föryngringsavverkning</t>
        </is>
      </c>
      <c r="D95" s="1" t="n">
        <v>45727</v>
      </c>
      <c r="E95" s="1" t="n">
        <v>46307</v>
      </c>
      <c r="F95" t="inlineStr">
        <is>
          <t>VÄRMLANDS LÄN</t>
        </is>
      </c>
      <c r="G95" t="inlineStr">
        <is>
          <t>KRISTINEHAMN</t>
        </is>
      </c>
      <c r="I95" t="n">
        <v>13.1</v>
      </c>
      <c r="J95" t="n">
        <v>2</v>
      </c>
      <c r="K95" t="n">
        <v>4</v>
      </c>
      <c r="L95" t="n">
        <v>1</v>
      </c>
      <c r="M95" t="n">
        <v>0</v>
      </c>
      <c r="N95" t="n">
        <v>0</v>
      </c>
      <c r="O95" t="n">
        <v>0</v>
      </c>
      <c r="P95" t="n">
        <v>0</v>
      </c>
      <c r="Q95" t="n">
        <v>1</v>
      </c>
      <c r="R95" t="n">
        <v>0</v>
      </c>
      <c r="S95" t="n">
        <v>7</v>
      </c>
      <c r="T95" t="n">
        <v>10</v>
      </c>
      <c r="U95" t="n">
        <v>0</v>
      </c>
      <c r="V95" s="2" t="inlineStr">
        <is>
          <t>Stor sotdyna
Gulnål
Kornig nållav
Lönnlav
Rostfläck
Blåsippa
Åkergroda</t>
        </is>
      </c>
      <c r="W95">
        <f>HYPERLINK("https://klasma.github.io/Logging_1781/artfynd/A 11656-2025 artfynd.xlsx", "A 11656-2025")</f>
        <v/>
      </c>
      <c r="X95">
        <f>HYPERLINK("https://klasma.github.io/Logging_1781/kartor/A 11656-2025 karta.png", "A 11656-2025")</f>
        <v/>
      </c>
      <c r="Y95">
        <f>HYPERLINK("https://klasma.github.io/Logging_1781/kartor_geotiff/A 11656-2025 georefererad karta.tif", "A 11656-2025")</f>
        <v/>
      </c>
      <c r="AA95">
        <f>HYPERLINK("https://klasma.github.io/Logging_1781/klagomål/A 11656-2025 FSC-klagomål.docx", "A 11656-2025")</f>
        <v/>
      </c>
      <c r="AB95">
        <f>HYPERLINK("https://klasma.github.io/Logging_1781/klagomålsmail/A 11656-2025 FSC-klagomål mail.docx", "A 11656-2025")</f>
        <v/>
      </c>
      <c r="AC95">
        <f>HYPERLINK("https://klasma.github.io/Logging_1781/tillsyn/A 11656-2025 tillsynsbegäran.docx", "A 11656-2025")</f>
        <v/>
      </c>
      <c r="AD95">
        <f>HYPERLINK("https://klasma.github.io/Logging_1781/tillsynsmail/A 11656-2025 tillsynsbegäran mail.docx", "A 11656-2025")</f>
        <v/>
      </c>
    </row>
    <row r="96" ht="15" customHeight="1">
      <c r="A96" t="inlineStr">
        <is>
          <t>A 31306-2026</t>
        </is>
      </c>
      <c r="B96" t="inlineStr">
        <is>
          <t>avverkningsanmälan</t>
        </is>
      </c>
      <c r="C96" t="inlineStr">
        <is>
          <t>Föryngringsavverkning</t>
        </is>
      </c>
      <c r="D96" s="1" t="n">
        <v>46218</v>
      </c>
      <c r="E96" s="1" t="n">
        <v>46307</v>
      </c>
      <c r="F96" t="inlineStr">
        <is>
          <t>VÄRMLANDS LÄN</t>
        </is>
      </c>
      <c r="G96" t="inlineStr">
        <is>
          <t>ARVIKA</t>
        </is>
      </c>
      <c r="H96" t="inlineStr">
        <is>
          <t>Bergvik skog väst AB</t>
        </is>
      </c>
      <c r="I96" t="n">
        <v>4.4</v>
      </c>
      <c r="J96" t="n">
        <v>0</v>
      </c>
      <c r="K96" t="n">
        <v>4</v>
      </c>
      <c r="L96" t="n">
        <v>3</v>
      </c>
      <c r="M96" t="n">
        <v>0</v>
      </c>
      <c r="N96" t="n">
        <v>0</v>
      </c>
      <c r="O96" t="n">
        <v>0</v>
      </c>
      <c r="P96" t="n">
        <v>0</v>
      </c>
      <c r="Q96" t="n">
        <v>3</v>
      </c>
      <c r="R96" t="n">
        <v>0</v>
      </c>
      <c r="S96" t="n">
        <v>7</v>
      </c>
      <c r="T96" t="n">
        <v>7</v>
      </c>
      <c r="U96" t="n">
        <v>0</v>
      </c>
      <c r="V96" s="2" t="inlineStr">
        <is>
          <t>Dofttaggsvamp
Gullpudra
Ullticka
Barkticka
Thomsons trägnagare
Tibast
Vågbandad barkbock</t>
        </is>
      </c>
      <c r="W96">
        <f>HYPERLINK("https://klasma.github.io/Logging_1784/artfynd/A 31306-2026 artfynd.xlsx", "A 31306-2026")</f>
        <v/>
      </c>
      <c r="X96">
        <f>HYPERLINK("https://klasma.github.io/Logging_1784/kartor/A 31306-2026 karta.png", "A 31306-2026")</f>
        <v/>
      </c>
      <c r="Y96">
        <f>HYPERLINK("https://klasma.github.io/Logging_1784/kartor_geotiff/A 31306-2026 georefererad karta.tif", "A 31306-2026")</f>
        <v/>
      </c>
      <c r="AA96">
        <f>HYPERLINK("https://klasma.github.io/Logging_1784/klagomål/A 31306-2026 FSC-klagomål.docx", "A 31306-2026")</f>
        <v/>
      </c>
      <c r="AB96">
        <f>HYPERLINK("https://klasma.github.io/Logging_1784/klagomålsmail/A 31306-2026 FSC-klagomål mail.docx", "A 31306-2026")</f>
        <v/>
      </c>
      <c r="AC96">
        <f>HYPERLINK("https://klasma.github.io/Logging_1784/tillsyn/A 31306-2026 tillsynsbegäran.docx", "A 31306-2026")</f>
        <v/>
      </c>
      <c r="AD96">
        <f>HYPERLINK("https://klasma.github.io/Logging_1784/tillsynsmail/A 31306-2026 tillsynsbegäran mail.docx", "A 31306-2026")</f>
        <v/>
      </c>
    </row>
    <row r="97" ht="15" customHeight="1">
      <c r="A97" t="inlineStr">
        <is>
          <t>A 24601-2025</t>
        </is>
      </c>
      <c r="B97" t="inlineStr">
        <is>
          <t>avverkningsanmälan</t>
        </is>
      </c>
      <c r="C97" t="inlineStr">
        <is>
          <t>Föryngringsavverkning</t>
        </is>
      </c>
      <c r="D97" s="1" t="n">
        <v>45798</v>
      </c>
      <c r="E97" s="1" t="n">
        <v>46307</v>
      </c>
      <c r="F97" t="inlineStr">
        <is>
          <t>VÄRMLANDS LÄN</t>
        </is>
      </c>
      <c r="G97" t="inlineStr">
        <is>
          <t>ARVIKA</t>
        </is>
      </c>
      <c r="H97" t="inlineStr">
        <is>
          <t>Bergvik skog väst AB</t>
        </is>
      </c>
      <c r="I97" t="n">
        <v>2.7</v>
      </c>
      <c r="J97" t="n">
        <v>5</v>
      </c>
      <c r="K97" t="n">
        <v>0</v>
      </c>
      <c r="L97" t="n">
        <v>3</v>
      </c>
      <c r="M97" t="n">
        <v>1</v>
      </c>
      <c r="N97" t="n">
        <v>0</v>
      </c>
      <c r="O97" t="n">
        <v>0</v>
      </c>
      <c r="P97" t="n">
        <v>0</v>
      </c>
      <c r="Q97" t="n">
        <v>4</v>
      </c>
      <c r="R97" t="n">
        <v>1</v>
      </c>
      <c r="S97" t="n">
        <v>7</v>
      </c>
      <c r="T97" t="n">
        <v>11</v>
      </c>
      <c r="U97" t="n">
        <v>10</v>
      </c>
      <c r="V97" s="2" t="inlineStr">
        <is>
          <t>Garnlav
Motaggsvamp
Talltita
Tretåig hackspett
Spillkråka
Tjäder
Tofsmes</t>
        </is>
      </c>
      <c r="W97">
        <f>HYPERLINK("https://klasma.github.io/Logging_1784/artfynd/A 24601-2025 artfynd.xlsx", "A 24601-2025")</f>
        <v/>
      </c>
      <c r="X97">
        <f>HYPERLINK("https://klasma.github.io/Logging_1784/kartor/A 24601-2025 karta.png", "A 24601-2025")</f>
        <v/>
      </c>
      <c r="Y97">
        <f>HYPERLINK("https://klasma.github.io/Logging_1784/kartor_geotiff/A 24601-2025 georefererad karta.tif", "A 24601-2025")</f>
        <v/>
      </c>
      <c r="AA97">
        <f>HYPERLINK("https://klasma.github.io/Logging_1784/klagomål/A 24601-2025 FSC-klagomål.docx", "A 24601-2025")</f>
        <v/>
      </c>
      <c r="AB97">
        <f>HYPERLINK("https://klasma.github.io/Logging_1784/klagomålsmail/A 24601-2025 FSC-klagomål mail.docx", "A 24601-2025")</f>
        <v/>
      </c>
      <c r="AC97">
        <f>HYPERLINK("https://klasma.github.io/Logging_1784/tillsyn/A 24601-2025 tillsynsbegäran.docx", "A 24601-2025")</f>
        <v/>
      </c>
      <c r="AD97">
        <f>HYPERLINK("https://klasma.github.io/Logging_1784/tillsynsmail/A 24601-2025 tillsynsbegäran mail.docx", "A 24601-2025")</f>
        <v/>
      </c>
      <c r="AE97">
        <f>HYPERLINK("https://klasma.github.io/Logging_1784/fåglar/A 24601-2025 prioriterade fågelarter.docx", "A 24601-2025")</f>
        <v/>
      </c>
    </row>
    <row r="98" ht="15" customHeight="1">
      <c r="A98" t="inlineStr">
        <is>
          <t>S 2551-2022</t>
        </is>
      </c>
      <c r="B98" t="inlineStr">
        <is>
          <t>samrådsanmälan</t>
        </is>
      </c>
      <c r="C98" t="inlineStr">
        <is>
          <t>Åtgärd i nyckelbiotop</t>
        </is>
      </c>
      <c r="D98" s="1" t="n">
        <v>44697</v>
      </c>
      <c r="E98" s="1" t="n">
        <v>46307</v>
      </c>
      <c r="F98" t="inlineStr">
        <is>
          <t>VÄRMLANDS LÄN</t>
        </is>
      </c>
      <c r="G98" t="inlineStr">
        <is>
          <t>SUNNE</t>
        </is>
      </c>
      <c r="I98" t="n">
        <v>0.7</v>
      </c>
      <c r="J98" t="n">
        <v>0</v>
      </c>
      <c r="K98" t="n">
        <v>0</v>
      </c>
      <c r="L98" t="n">
        <v>2</v>
      </c>
      <c r="M98" t="n">
        <v>3</v>
      </c>
      <c r="N98" t="n">
        <v>2</v>
      </c>
      <c r="O98" t="n">
        <v>0</v>
      </c>
      <c r="P98" t="n">
        <v>0</v>
      </c>
      <c r="Q98" t="n">
        <v>7</v>
      </c>
      <c r="R98" t="n">
        <v>5</v>
      </c>
      <c r="S98" t="n">
        <v>7</v>
      </c>
      <c r="T98" t="n">
        <v>13</v>
      </c>
      <c r="U98" t="n">
        <v>0</v>
      </c>
      <c r="V98" s="2" t="inlineStr">
        <is>
          <t>Brödtaggsvamp
Sammetstaggsvamp
Gul taggsvamp
Kejsarskivling
Porslinsblå spindling
Blå slemspindling
Dofttaggsvamp</t>
        </is>
      </c>
      <c r="W98">
        <f>HYPERLINK("https://klasma.github.io/Logging_1766/artfynd/S 2551-2022 artfynd.xlsx", "S 2551-2022")</f>
        <v/>
      </c>
      <c r="X98">
        <f>HYPERLINK("https://klasma.github.io/Logging_1766/kartor/S 2551-2022 karta.png", "S 2551-2022")</f>
        <v/>
      </c>
      <c r="Y98">
        <f>HYPERLINK("https://klasma.github.io/Logging_1766/kartor_geotiff/S 2551-2022 georefererad karta.tif", "S 2551-2022")</f>
        <v/>
      </c>
      <c r="AA98">
        <f>HYPERLINK("https://klasma.github.io/Logging_1766/klagomål/S 2551-2022 FSC-klagomål.docx", "S 2551-2022")</f>
        <v/>
      </c>
      <c r="AB98">
        <f>HYPERLINK("https://klasma.github.io/Logging_1766/klagomålsmail/S 2551-2022 FSC-klagomål mail.docx", "S 2551-2022")</f>
        <v/>
      </c>
      <c r="AC98">
        <f>HYPERLINK("https://klasma.github.io/Logging_1766/tillsyn/S 2551-2022 tillsynsbegäran.docx", "S 2551-2022")</f>
        <v/>
      </c>
      <c r="AD98">
        <f>HYPERLINK("https://klasma.github.io/Logging_1766/tillsynsmail/S 2551-2022 tillsynsbegäran mail.docx", "S 2551-2022")</f>
        <v/>
      </c>
    </row>
    <row r="99" ht="15" customHeight="1">
      <c r="A99" t="inlineStr">
        <is>
          <t>S 2492-2022</t>
        </is>
      </c>
      <c r="B99" t="inlineStr">
        <is>
          <t>samrådsanmälan</t>
        </is>
      </c>
      <c r="C99" t="inlineStr">
        <is>
          <t>Askåterföring</t>
        </is>
      </c>
      <c r="D99" s="1" t="n">
        <v>44693</v>
      </c>
      <c r="E99" s="1" t="n">
        <v>46307</v>
      </c>
      <c r="F99" t="inlineStr">
        <is>
          <t>VÄRMLANDS LÄN</t>
        </is>
      </c>
      <c r="G99" t="inlineStr">
        <is>
          <t>HAMMARÖ</t>
        </is>
      </c>
      <c r="H99" t="inlineStr">
        <is>
          <t>Kommuner</t>
        </is>
      </c>
      <c r="I99" t="n">
        <v>27.1</v>
      </c>
      <c r="J99" t="n">
        <v>3</v>
      </c>
      <c r="K99" t="n">
        <v>0</v>
      </c>
      <c r="L99" t="n">
        <v>3</v>
      </c>
      <c r="M99" t="n">
        <v>2</v>
      </c>
      <c r="N99" t="n">
        <v>0</v>
      </c>
      <c r="O99" t="n">
        <v>0</v>
      </c>
      <c r="P99" t="n">
        <v>0</v>
      </c>
      <c r="Q99" t="n">
        <v>5</v>
      </c>
      <c r="R99" t="n">
        <v>2</v>
      </c>
      <c r="S99" t="n">
        <v>7</v>
      </c>
      <c r="T99" t="n">
        <v>10</v>
      </c>
      <c r="U99" t="n">
        <v>9</v>
      </c>
      <c r="V99" s="2" t="inlineStr">
        <is>
          <t>Knärot
Ryl
Koralltaggsvamp
Motaggsvamp
Svartvit taggsvamp
Vanlig groda
Vanlig padda</t>
        </is>
      </c>
      <c r="W99">
        <f>HYPERLINK("https://klasma.github.io/Logging_1761/artfynd/S 2492-2022 artfynd.xlsx", "S 2492-2022")</f>
        <v/>
      </c>
      <c r="X99">
        <f>HYPERLINK("https://klasma.github.io/Logging_1761/kartor/S 2492-2022 karta.png", "S 2492-2022")</f>
        <v/>
      </c>
      <c r="Y99">
        <f>HYPERLINK("https://klasma.github.io/Logging_1761/kartor_geotiff/S 2492-2022 georefererad karta.tif", "S 2492-2022")</f>
        <v/>
      </c>
      <c r="Z99">
        <f>HYPERLINK("https://klasma.github.io/Logging_1761/knärot/S 2492-2022 karta knärot.png", "S 2492-2022")</f>
        <v/>
      </c>
      <c r="AA99">
        <f>HYPERLINK("https://klasma.github.io/Logging_1761/klagomål/S 2492-2022 FSC-klagomål.docx", "S 2492-2022")</f>
        <v/>
      </c>
      <c r="AB99">
        <f>HYPERLINK("https://klasma.github.io/Logging_1761/klagomålsmail/S 2492-2022 FSC-klagomål mail.docx", "S 2492-2022")</f>
        <v/>
      </c>
      <c r="AC99">
        <f>HYPERLINK("https://klasma.github.io/Logging_1761/tillsyn/S 2492-2022 tillsynsbegäran.docx", "S 2492-2022")</f>
        <v/>
      </c>
      <c r="AD99">
        <f>HYPERLINK("https://klasma.github.io/Logging_1761/tillsynsmail/S 2492-2022 tillsynsbegäran mail.docx", "S 2492-2022")</f>
        <v/>
      </c>
    </row>
    <row r="100" ht="15" customHeight="1">
      <c r="A100" t="inlineStr">
        <is>
          <t>A 65319-2021</t>
        </is>
      </c>
      <c r="B100" t="inlineStr">
        <is>
          <t>avverkningsanmälan</t>
        </is>
      </c>
      <c r="C100" t="inlineStr">
        <is>
          <t>Föryngringsavverkning</t>
        </is>
      </c>
      <c r="D100" s="1" t="n">
        <v>44515</v>
      </c>
      <c r="E100" s="1" t="n">
        <v>46307</v>
      </c>
      <c r="F100" t="inlineStr">
        <is>
          <t>VÄRMLANDS LÄN</t>
        </is>
      </c>
      <c r="G100" t="inlineStr">
        <is>
          <t>ÅRJÄNG</t>
        </is>
      </c>
      <c r="I100" t="n">
        <v>4.9</v>
      </c>
      <c r="J100" t="n">
        <v>2</v>
      </c>
      <c r="K100" t="n">
        <v>0</v>
      </c>
      <c r="L100" t="n">
        <v>2</v>
      </c>
      <c r="M100" t="n">
        <v>3</v>
      </c>
      <c r="N100" t="n">
        <v>0</v>
      </c>
      <c r="O100" t="n">
        <v>0</v>
      </c>
      <c r="P100" t="n">
        <v>0</v>
      </c>
      <c r="Q100" t="n">
        <v>5</v>
      </c>
      <c r="R100" t="n">
        <v>3</v>
      </c>
      <c r="S100" t="n">
        <v>6</v>
      </c>
      <c r="T100" t="n">
        <v>6</v>
      </c>
      <c r="U100" t="n">
        <v>6</v>
      </c>
      <c r="V100" s="2" t="inlineStr">
        <is>
          <t>Garnlav
Knärot
Raggbock
Dropptaggsvamp
Lunglav
Tjäder</t>
        </is>
      </c>
      <c r="W100">
        <f>HYPERLINK("https://klasma.github.io/Logging_1765/artfynd/A 65319-2021 artfynd.xlsx", "A 65319-2021")</f>
        <v/>
      </c>
      <c r="X100">
        <f>HYPERLINK("https://klasma.github.io/Logging_1765/kartor/A 65319-2021 karta.png", "A 65319-2021")</f>
        <v/>
      </c>
      <c r="Y100">
        <f>HYPERLINK("https://klasma.github.io/Logging_1765/kartor_geotiff/A 65319-2021 georefererad karta.tif", "A 65319-2021")</f>
        <v/>
      </c>
      <c r="Z100">
        <f>HYPERLINK("https://klasma.github.io/Logging_1765/knärot/A 65319-2021 karta knärot.png", "A 65319-2021")</f>
        <v/>
      </c>
      <c r="AA100">
        <f>HYPERLINK("https://klasma.github.io/Logging_1765/klagomål/A 65319-2021 FSC-klagomål.docx", "A 65319-2021")</f>
        <v/>
      </c>
      <c r="AB100">
        <f>HYPERLINK("https://klasma.github.io/Logging_1765/klagomålsmail/A 65319-2021 FSC-klagomål mail.docx", "A 65319-2021")</f>
        <v/>
      </c>
      <c r="AC100">
        <f>HYPERLINK("https://klasma.github.io/Logging_1765/tillsyn/A 65319-2021 tillsynsbegäran.docx", "A 65319-2021")</f>
        <v/>
      </c>
      <c r="AD100">
        <f>HYPERLINK("https://klasma.github.io/Logging_1765/tillsynsmail/A 65319-2021 tillsynsbegäran mail.docx", "A 65319-2021")</f>
        <v/>
      </c>
      <c r="AE100">
        <f>HYPERLINK("https://klasma.github.io/Logging_1765/fåglar/A 65319-2021 prioriterade fågelarter.docx", "A 65319-2021")</f>
        <v/>
      </c>
    </row>
    <row r="101" ht="15" customHeight="1">
      <c r="A101" t="inlineStr">
        <is>
          <t>A 36789-2023</t>
        </is>
      </c>
      <c r="B101" t="inlineStr">
        <is>
          <t>avverkningsanmälan</t>
        </is>
      </c>
      <c r="C101" t="inlineStr">
        <is>
          <t>Föryngringsavverkning</t>
        </is>
      </c>
      <c r="D101" s="1" t="n">
        <v>45154</v>
      </c>
      <c r="E101" s="1" t="n">
        <v>46307</v>
      </c>
      <c r="F101" t="inlineStr">
        <is>
          <t>VÄRMLANDS LÄN</t>
        </is>
      </c>
      <c r="G101" t="inlineStr">
        <is>
          <t>EDA</t>
        </is>
      </c>
      <c r="I101" t="n">
        <v>1.1</v>
      </c>
      <c r="J101" t="n">
        <v>2</v>
      </c>
      <c r="K101" t="n">
        <v>1</v>
      </c>
      <c r="L101" t="n">
        <v>2</v>
      </c>
      <c r="M101" t="n">
        <v>1</v>
      </c>
      <c r="N101" t="n">
        <v>0</v>
      </c>
      <c r="O101" t="n">
        <v>0</v>
      </c>
      <c r="P101" t="n">
        <v>0</v>
      </c>
      <c r="Q101" t="n">
        <v>3</v>
      </c>
      <c r="R101" t="n">
        <v>1</v>
      </c>
      <c r="S101" t="n">
        <v>6</v>
      </c>
      <c r="T101" t="n">
        <v>6</v>
      </c>
      <c r="U101" t="n">
        <v>0</v>
      </c>
      <c r="V101" s="2" t="inlineStr">
        <is>
          <t>Mindre bastardsvärmare
Älg
Ängsmetallvinge
Större träfjäril
Buskskvätta
Grönsiska</t>
        </is>
      </c>
      <c r="W101">
        <f>HYPERLINK("https://klasma.github.io/Logging_1730/artfynd/A 36789-2023 artfynd.xlsx", "A 36789-2023")</f>
        <v/>
      </c>
      <c r="X101">
        <f>HYPERLINK("https://klasma.github.io/Logging_1730/kartor/A 36789-2023 karta.png", "A 36789-2023")</f>
        <v/>
      </c>
      <c r="Y101">
        <f>HYPERLINK("https://klasma.github.io/Logging_1730/kartor_geotiff/A 36789-2023 georefererad karta.tif", "A 36789-2023")</f>
        <v/>
      </c>
      <c r="AA101">
        <f>HYPERLINK("https://klasma.github.io/Logging_1730/klagomål/A 36789-2023 FSC-klagomål.docx", "A 36789-2023")</f>
        <v/>
      </c>
      <c r="AB101">
        <f>HYPERLINK("https://klasma.github.io/Logging_1730/klagomålsmail/A 36789-2023 FSC-klagomål mail.docx", "A 36789-2023")</f>
        <v/>
      </c>
      <c r="AC101">
        <f>HYPERLINK("https://klasma.github.io/Logging_1730/tillsyn/A 36789-2023 tillsynsbegäran.docx", "A 36789-2023")</f>
        <v/>
      </c>
      <c r="AD101">
        <f>HYPERLINK("https://klasma.github.io/Logging_1730/tillsynsmail/A 36789-2023 tillsynsbegäran mail.docx", "A 36789-2023")</f>
        <v/>
      </c>
    </row>
    <row r="102" ht="15" customHeight="1">
      <c r="A102" t="inlineStr">
        <is>
          <t>A 62900-2023</t>
        </is>
      </c>
      <c r="B102" t="inlineStr">
        <is>
          <t>avverkningsanmälan</t>
        </is>
      </c>
      <c r="C102" t="inlineStr">
        <is>
          <t>Föryngringsavverkning</t>
        </is>
      </c>
      <c r="D102" s="1" t="n">
        <v>45272</v>
      </c>
      <c r="E102" s="1" t="n">
        <v>46307</v>
      </c>
      <c r="F102" t="inlineStr">
        <is>
          <t>VÄRMLANDS LÄN</t>
        </is>
      </c>
      <c r="G102" t="inlineStr">
        <is>
          <t>ARVIKA</t>
        </is>
      </c>
      <c r="I102" t="n">
        <v>12.1</v>
      </c>
      <c r="J102" t="n">
        <v>2</v>
      </c>
      <c r="K102" t="n">
        <v>0</v>
      </c>
      <c r="L102" t="n">
        <v>4</v>
      </c>
      <c r="M102" t="n">
        <v>1</v>
      </c>
      <c r="N102" t="n">
        <v>0</v>
      </c>
      <c r="O102" t="n">
        <v>0</v>
      </c>
      <c r="P102" t="n">
        <v>0</v>
      </c>
      <c r="Q102" t="n">
        <v>5</v>
      </c>
      <c r="R102" t="n">
        <v>1</v>
      </c>
      <c r="S102" t="n">
        <v>6</v>
      </c>
      <c r="T102" t="n">
        <v>8</v>
      </c>
      <c r="U102" t="n">
        <v>5</v>
      </c>
      <c r="V102" s="2" t="inlineStr">
        <is>
          <t>Knärot
Motaggsvamp
Orange taggsvamp
Rynkskinn
Älg
Spillkråka</t>
        </is>
      </c>
      <c r="W102">
        <f>HYPERLINK("https://klasma.github.io/Logging_1784/artfynd/A 62900-2023 artfynd.xlsx", "A 62900-2023")</f>
        <v/>
      </c>
      <c r="X102">
        <f>HYPERLINK("https://klasma.github.io/Logging_1784/kartor/A 62900-2023 karta.png", "A 62900-2023")</f>
        <v/>
      </c>
      <c r="Y102">
        <f>HYPERLINK("https://klasma.github.io/Logging_1784/kartor_geotiff/A 62900-2023 georefererad karta.tif", "A 62900-2023")</f>
        <v/>
      </c>
      <c r="Z102">
        <f>HYPERLINK("https://klasma.github.io/Logging_1784/knärot/A 62900-2023 karta knärot.png", "A 62900-2023")</f>
        <v/>
      </c>
      <c r="AA102">
        <f>HYPERLINK("https://klasma.github.io/Logging_1784/klagomål/A 62900-2023 FSC-klagomål.docx", "A 62900-2023")</f>
        <v/>
      </c>
      <c r="AB102">
        <f>HYPERLINK("https://klasma.github.io/Logging_1784/klagomålsmail/A 62900-2023 FSC-klagomål mail.docx", "A 62900-2023")</f>
        <v/>
      </c>
      <c r="AC102">
        <f>HYPERLINK("https://klasma.github.io/Logging_1784/tillsyn/A 62900-2023 tillsynsbegäran.docx", "A 62900-2023")</f>
        <v/>
      </c>
      <c r="AD102">
        <f>HYPERLINK("https://klasma.github.io/Logging_1784/tillsynsmail/A 62900-2023 tillsynsbegäran mail.docx", "A 62900-2023")</f>
        <v/>
      </c>
      <c r="AE102">
        <f>HYPERLINK("https://klasma.github.io/Logging_1784/fåglar/A 62900-2023 prioriterade fågelarter.docx", "A 62900-2023")</f>
        <v/>
      </c>
    </row>
    <row r="103" ht="15" customHeight="1">
      <c r="A103" t="inlineStr">
        <is>
          <t>A 9573-2023</t>
        </is>
      </c>
      <c r="B103" t="inlineStr">
        <is>
          <t>avverkningsanmälan</t>
        </is>
      </c>
      <c r="C103" t="inlineStr">
        <is>
          <t>Föryngringsavverkning</t>
        </is>
      </c>
      <c r="D103" s="1" t="n">
        <v>44982</v>
      </c>
      <c r="E103" s="1" t="n">
        <v>46307</v>
      </c>
      <c r="F103" t="inlineStr">
        <is>
          <t>VÄRMLANDS LÄN</t>
        </is>
      </c>
      <c r="G103" t="inlineStr">
        <is>
          <t>TORSBY</t>
        </is>
      </c>
      <c r="H103" t="inlineStr">
        <is>
          <t>Övriga statliga verk och myndigheter</t>
        </is>
      </c>
      <c r="I103" t="n">
        <v>4.4</v>
      </c>
      <c r="J103" t="n">
        <v>0</v>
      </c>
      <c r="K103" t="n">
        <v>0</v>
      </c>
      <c r="L103" t="n">
        <v>5</v>
      </c>
      <c r="M103" t="n">
        <v>1</v>
      </c>
      <c r="N103" t="n">
        <v>0</v>
      </c>
      <c r="O103" t="n">
        <v>0</v>
      </c>
      <c r="P103" t="n">
        <v>0</v>
      </c>
      <c r="Q103" t="n">
        <v>6</v>
      </c>
      <c r="R103" t="n">
        <v>1</v>
      </c>
      <c r="S103" t="n">
        <v>6</v>
      </c>
      <c r="T103" t="n">
        <v>21</v>
      </c>
      <c r="U103" t="n">
        <v>21</v>
      </c>
      <c r="V103" s="2" t="inlineStr">
        <is>
          <t>Garnlav
Dropptaggsvamp
Mörk kolflarnlav
Tallticka
Vedskivlav
Violettgrå tagellav</t>
        </is>
      </c>
      <c r="W103">
        <f>HYPERLINK("https://klasma.github.io/Logging_1737/artfynd/A 9573-2023 artfynd.xlsx", "A 9573-2023")</f>
        <v/>
      </c>
      <c r="X103">
        <f>HYPERLINK("https://klasma.github.io/Logging_1737/kartor/A 9573-2023 karta.png", "A 9573-2023")</f>
        <v/>
      </c>
      <c r="Y103">
        <f>HYPERLINK("https://klasma.github.io/Logging_1737/kartor_geotiff/A 9573-2023 georefererad karta.tif", "A 9573-2023")</f>
        <v/>
      </c>
      <c r="AA103">
        <f>HYPERLINK("https://klasma.github.io/Logging_1737/klagomål/A 9573-2023 FSC-klagomål.docx", "A 9573-2023")</f>
        <v/>
      </c>
      <c r="AB103">
        <f>HYPERLINK("https://klasma.github.io/Logging_1737/klagomålsmail/A 9573-2023 FSC-klagomål mail.docx", "A 9573-2023")</f>
        <v/>
      </c>
      <c r="AC103">
        <f>HYPERLINK("https://klasma.github.io/Logging_1737/tillsyn/A 9573-2023 tillsynsbegäran.docx", "A 9573-2023")</f>
        <v/>
      </c>
      <c r="AD103">
        <f>HYPERLINK("https://klasma.github.io/Logging_1737/tillsynsmail/A 9573-2023 tillsynsbegäran mail.docx", "A 9573-2023")</f>
        <v/>
      </c>
    </row>
    <row r="104" ht="15" customHeight="1">
      <c r="A104" t="inlineStr">
        <is>
          <t>A 46895-2024</t>
        </is>
      </c>
      <c r="B104" t="inlineStr">
        <is>
          <t>avverkningsanmälan</t>
        </is>
      </c>
      <c r="C104" t="inlineStr">
        <is>
          <t>Avverkning för att bevara och utveckla /försöksver</t>
        </is>
      </c>
      <c r="D104" s="1" t="n">
        <v>45583</v>
      </c>
      <c r="E104" s="1" t="n">
        <v>46307</v>
      </c>
      <c r="F104" t="inlineStr">
        <is>
          <t>VÄRMLANDS LÄN</t>
        </is>
      </c>
      <c r="G104" t="inlineStr">
        <is>
          <t>KARLSTAD</t>
        </is>
      </c>
      <c r="H104" t="inlineStr">
        <is>
          <t>Kommuner</t>
        </is>
      </c>
      <c r="I104" t="n">
        <v>3.6</v>
      </c>
      <c r="J104" t="n">
        <v>1</v>
      </c>
      <c r="K104" t="n">
        <v>0</v>
      </c>
      <c r="L104" t="n">
        <v>1</v>
      </c>
      <c r="M104" t="n">
        <v>5</v>
      </c>
      <c r="N104" t="n">
        <v>0</v>
      </c>
      <c r="O104" t="n">
        <v>0</v>
      </c>
      <c r="P104" t="n">
        <v>0</v>
      </c>
      <c r="Q104" t="n">
        <v>6</v>
      </c>
      <c r="R104" t="n">
        <v>5</v>
      </c>
      <c r="S104" t="n">
        <v>6</v>
      </c>
      <c r="T104" t="n">
        <v>10</v>
      </c>
      <c r="U104" t="n">
        <v>4</v>
      </c>
      <c r="V104" s="2" t="inlineStr">
        <is>
          <t>Brun gräsfjäril
Brunfläckig pärlemorfjäril
Silverblåvinge
Violettkantad guldvinge
Ängsblåvinge
Sotnätfjäril</t>
        </is>
      </c>
      <c r="W104">
        <f>HYPERLINK("https://klasma.github.io/Logging_1780/artfynd/A 46895-2024 artfynd.xlsx", "A 46895-2024")</f>
        <v/>
      </c>
      <c r="X104">
        <f>HYPERLINK("https://klasma.github.io/Logging_1780/kartor/A 46895-2024 karta.png", "A 46895-2024")</f>
        <v/>
      </c>
      <c r="Y104">
        <f>HYPERLINK("https://klasma.github.io/Logging_1780/kartor_geotiff/A 46895-2024 georefererad karta.tif", "A 46895-2024")</f>
        <v/>
      </c>
      <c r="AA104">
        <f>HYPERLINK("https://klasma.github.io/Logging_1780/klagomål/A 46895-2024 FSC-klagomål.docx", "A 46895-2024")</f>
        <v/>
      </c>
      <c r="AB104">
        <f>HYPERLINK("https://klasma.github.io/Logging_1780/klagomålsmail/A 46895-2024 FSC-klagomål mail.docx", "A 46895-2024")</f>
        <v/>
      </c>
      <c r="AC104">
        <f>HYPERLINK("https://klasma.github.io/Logging_1780/tillsyn/A 46895-2024 tillsynsbegäran.docx", "A 46895-2024")</f>
        <v/>
      </c>
      <c r="AD104">
        <f>HYPERLINK("https://klasma.github.io/Logging_1780/tillsynsmail/A 46895-2024 tillsynsbegäran mail.docx", "A 46895-2024")</f>
        <v/>
      </c>
    </row>
    <row r="105" ht="15" customHeight="1">
      <c r="A105" t="inlineStr">
        <is>
          <t>A 59095-2024</t>
        </is>
      </c>
      <c r="B105" t="inlineStr">
        <is>
          <t>avverkningsanmälan</t>
        </is>
      </c>
      <c r="C105" t="inlineStr">
        <is>
          <t>Föryngringsavverkning</t>
        </is>
      </c>
      <c r="D105" s="1" t="n">
        <v>45637</v>
      </c>
      <c r="E105" s="1" t="n">
        <v>46307</v>
      </c>
      <c r="F105" t="inlineStr">
        <is>
          <t>VÄRMLANDS LÄN</t>
        </is>
      </c>
      <c r="G105" t="inlineStr">
        <is>
          <t>ARVIKA</t>
        </is>
      </c>
      <c r="I105" t="n">
        <v>1.4</v>
      </c>
      <c r="J105" t="n">
        <v>1</v>
      </c>
      <c r="K105" t="n">
        <v>4</v>
      </c>
      <c r="L105" t="n">
        <v>1</v>
      </c>
      <c r="M105" t="n">
        <v>1</v>
      </c>
      <c r="N105" t="n">
        <v>0</v>
      </c>
      <c r="O105" t="n">
        <v>0</v>
      </c>
      <c r="P105" t="n">
        <v>0</v>
      </c>
      <c r="Q105" t="n">
        <v>2</v>
      </c>
      <c r="R105" t="n">
        <v>1</v>
      </c>
      <c r="S105" t="n">
        <v>6</v>
      </c>
      <c r="T105" t="n">
        <v>8</v>
      </c>
      <c r="U105" t="n">
        <v>0</v>
      </c>
      <c r="V105" s="2" t="inlineStr">
        <is>
          <t>Knärot
Grynig filtlav
Bårdlav
Stuplav
Västlig hakmossa
Vågbandad barkbock</t>
        </is>
      </c>
      <c r="W105">
        <f>HYPERLINK("https://klasma.github.io/Logging_1784/artfynd/A 59095-2024 artfynd.xlsx", "A 59095-2024")</f>
        <v/>
      </c>
      <c r="X105">
        <f>HYPERLINK("https://klasma.github.io/Logging_1784/kartor/A 59095-2024 karta.png", "A 59095-2024")</f>
        <v/>
      </c>
      <c r="Y105">
        <f>HYPERLINK("https://klasma.github.io/Logging_1784/kartor_geotiff/A 59095-2024 georefererad karta.tif", "A 59095-2024")</f>
        <v/>
      </c>
      <c r="Z105">
        <f>HYPERLINK("https://klasma.github.io/Logging_1784/knärot/A 59095-2024 karta knärot.png", "A 59095-2024")</f>
        <v/>
      </c>
      <c r="AA105">
        <f>HYPERLINK("https://klasma.github.io/Logging_1784/klagomål/A 59095-2024 FSC-klagomål.docx", "A 59095-2024")</f>
        <v/>
      </c>
      <c r="AB105">
        <f>HYPERLINK("https://klasma.github.io/Logging_1784/klagomålsmail/A 59095-2024 FSC-klagomål mail.docx", "A 59095-2024")</f>
        <v/>
      </c>
      <c r="AC105">
        <f>HYPERLINK("https://klasma.github.io/Logging_1784/tillsyn/A 59095-2024 tillsynsbegäran.docx", "A 59095-2024")</f>
        <v/>
      </c>
      <c r="AD105">
        <f>HYPERLINK("https://klasma.github.io/Logging_1784/tillsynsmail/A 59095-2024 tillsynsbegäran mail.docx", "A 59095-2024")</f>
        <v/>
      </c>
    </row>
    <row r="106" ht="15" customHeight="1">
      <c r="A106" t="inlineStr">
        <is>
          <t>A 8514-2022</t>
        </is>
      </c>
      <c r="B106" t="inlineStr">
        <is>
          <t>avverkningsanmälan</t>
        </is>
      </c>
      <c r="C106" t="inlineStr">
        <is>
          <t>Föryngringsavverkning</t>
        </is>
      </c>
      <c r="D106" s="1" t="n">
        <v>44613</v>
      </c>
      <c r="E106" s="1" t="n">
        <v>46307</v>
      </c>
      <c r="F106" t="inlineStr">
        <is>
          <t>VÄRMLANDS LÄN</t>
        </is>
      </c>
      <c r="G106" t="inlineStr">
        <is>
          <t>TORSBY</t>
        </is>
      </c>
      <c r="I106" t="n">
        <v>4.4</v>
      </c>
      <c r="J106" t="n">
        <v>2</v>
      </c>
      <c r="K106" t="n">
        <v>0</v>
      </c>
      <c r="L106" t="n">
        <v>4</v>
      </c>
      <c r="M106" t="n">
        <v>1</v>
      </c>
      <c r="N106" t="n">
        <v>0</v>
      </c>
      <c r="O106" t="n">
        <v>0</v>
      </c>
      <c r="P106" t="n">
        <v>0</v>
      </c>
      <c r="Q106" t="n">
        <v>5</v>
      </c>
      <c r="R106" t="n">
        <v>1</v>
      </c>
      <c r="S106" t="n">
        <v>6</v>
      </c>
      <c r="T106" t="n">
        <v>16</v>
      </c>
      <c r="U106" t="n">
        <v>16</v>
      </c>
      <c r="V106" s="2" t="inlineStr">
        <is>
          <t>Garnlav
Kolflarnlav
Mörk kolflarnlav
Talltita
Vedskivlav
Tjäder</t>
        </is>
      </c>
      <c r="W106">
        <f>HYPERLINK("https://klasma.github.io/Logging_1737/artfynd/A 8514-2022 artfynd.xlsx", "A 8514-2022")</f>
        <v/>
      </c>
      <c r="X106">
        <f>HYPERLINK("https://klasma.github.io/Logging_1737/kartor/A 8514-2022 karta.png", "A 8514-2022")</f>
        <v/>
      </c>
      <c r="Y106">
        <f>HYPERLINK("https://klasma.github.io/Logging_1737/kartor_geotiff/A 8514-2022 georefererad karta.tif", "A 8514-2022")</f>
        <v/>
      </c>
      <c r="AA106">
        <f>HYPERLINK("https://klasma.github.io/Logging_1737/klagomål/A 8514-2022 FSC-klagomål.docx", "A 8514-2022")</f>
        <v/>
      </c>
      <c r="AB106">
        <f>HYPERLINK("https://klasma.github.io/Logging_1737/klagomålsmail/A 8514-2022 FSC-klagomål mail.docx", "A 8514-2022")</f>
        <v/>
      </c>
      <c r="AC106">
        <f>HYPERLINK("https://klasma.github.io/Logging_1737/tillsyn/A 8514-2022 tillsynsbegäran.docx", "A 8514-2022")</f>
        <v/>
      </c>
      <c r="AD106">
        <f>HYPERLINK("https://klasma.github.io/Logging_1737/tillsynsmail/A 8514-2022 tillsynsbegäran mail.docx", "A 8514-2022")</f>
        <v/>
      </c>
      <c r="AE106">
        <f>HYPERLINK("https://klasma.github.io/Logging_1737/fåglar/A 8514-2022 prioriterade fågelarter.docx", "A 8514-2022")</f>
        <v/>
      </c>
    </row>
    <row r="107" ht="15" customHeight="1">
      <c r="A107" t="inlineStr">
        <is>
          <t>A 1501-2024</t>
        </is>
      </c>
      <c r="B107" t="inlineStr">
        <is>
          <t>avverkningsanmälan</t>
        </is>
      </c>
      <c r="C107" t="inlineStr">
        <is>
          <t>Föryngringsavverkning</t>
        </is>
      </c>
      <c r="D107" s="1" t="n">
        <v>45306</v>
      </c>
      <c r="E107" s="1" t="n">
        <v>46307</v>
      </c>
      <c r="F107" t="inlineStr">
        <is>
          <t>VÄRMLANDS LÄN</t>
        </is>
      </c>
      <c r="G107" t="inlineStr">
        <is>
          <t>EDA</t>
        </is>
      </c>
      <c r="I107" t="n">
        <v>2.7</v>
      </c>
      <c r="J107" t="n">
        <v>4</v>
      </c>
      <c r="K107" t="n">
        <v>0</v>
      </c>
      <c r="L107" t="n">
        <v>3</v>
      </c>
      <c r="M107" t="n">
        <v>1</v>
      </c>
      <c r="N107" t="n">
        <v>0</v>
      </c>
      <c r="O107" t="n">
        <v>0</v>
      </c>
      <c r="P107" t="n">
        <v>0</v>
      </c>
      <c r="Q107" t="n">
        <v>4</v>
      </c>
      <c r="R107" t="n">
        <v>1</v>
      </c>
      <c r="S107" t="n">
        <v>6</v>
      </c>
      <c r="T107" t="n">
        <v>10</v>
      </c>
      <c r="U107" t="n">
        <v>10</v>
      </c>
      <c r="V107" s="2" t="inlineStr">
        <is>
          <t>Knärot
Kattfotslav
Talltita
Ullticka
Spillkråka
Revlummer</t>
        </is>
      </c>
      <c r="W107">
        <f>HYPERLINK("https://klasma.github.io/Logging_1730/artfynd/A 1501-2024 artfynd.xlsx", "A 1501-2024")</f>
        <v/>
      </c>
      <c r="X107">
        <f>HYPERLINK("https://klasma.github.io/Logging_1730/kartor/A 1501-2024 karta.png", "A 1501-2024")</f>
        <v/>
      </c>
      <c r="Y107">
        <f>HYPERLINK("https://klasma.github.io/Logging_1730/kartor_geotiff/A 1501-2024 georefererad karta.tif", "A 1501-2024")</f>
        <v/>
      </c>
      <c r="Z107">
        <f>HYPERLINK("https://klasma.github.io/Logging_1730/knärot/A 1501-2024 karta knärot.png", "A 1501-2024")</f>
        <v/>
      </c>
      <c r="AA107">
        <f>HYPERLINK("https://klasma.github.io/Logging_1730/klagomål/A 1501-2024 FSC-klagomål.docx", "A 1501-2024")</f>
        <v/>
      </c>
      <c r="AB107">
        <f>HYPERLINK("https://klasma.github.io/Logging_1730/klagomålsmail/A 1501-2024 FSC-klagomål mail.docx", "A 1501-2024")</f>
        <v/>
      </c>
      <c r="AC107">
        <f>HYPERLINK("https://klasma.github.io/Logging_1730/tillsyn/A 1501-2024 tillsynsbegäran.docx", "A 1501-2024")</f>
        <v/>
      </c>
      <c r="AD107">
        <f>HYPERLINK("https://klasma.github.io/Logging_1730/tillsynsmail/A 1501-2024 tillsynsbegäran mail.docx", "A 1501-2024")</f>
        <v/>
      </c>
      <c r="AE107">
        <f>HYPERLINK("https://klasma.github.io/Logging_1730/fåglar/A 1501-2024 prioriterade fågelarter.docx", "A 1501-2024")</f>
        <v/>
      </c>
    </row>
    <row r="108" ht="15" customHeight="1">
      <c r="A108" t="inlineStr">
        <is>
          <t>A 1111-2024</t>
        </is>
      </c>
      <c r="B108" t="inlineStr">
        <is>
          <t>avverkningsanmälan</t>
        </is>
      </c>
      <c r="C108" t="inlineStr">
        <is>
          <t>Föryngringsavverkning</t>
        </is>
      </c>
      <c r="D108" s="1" t="n">
        <v>45302</v>
      </c>
      <c r="E108" s="1" t="n">
        <v>46307</v>
      </c>
      <c r="F108" t="inlineStr">
        <is>
          <t>VÄRMLANDS LÄN</t>
        </is>
      </c>
      <c r="G108" t="inlineStr">
        <is>
          <t>ARVIKA</t>
        </is>
      </c>
      <c r="H108" t="inlineStr">
        <is>
          <t>Kyrkan</t>
        </is>
      </c>
      <c r="I108" t="n">
        <v>2.4</v>
      </c>
      <c r="J108" t="n">
        <v>1</v>
      </c>
      <c r="K108" t="n">
        <v>1</v>
      </c>
      <c r="L108" t="n">
        <v>4</v>
      </c>
      <c r="M108" t="n">
        <v>0</v>
      </c>
      <c r="N108" t="n">
        <v>0</v>
      </c>
      <c r="O108" t="n">
        <v>0</v>
      </c>
      <c r="P108" t="n">
        <v>0</v>
      </c>
      <c r="Q108" t="n">
        <v>4</v>
      </c>
      <c r="R108" t="n">
        <v>0</v>
      </c>
      <c r="S108" t="n">
        <v>6</v>
      </c>
      <c r="T108" t="n">
        <v>6</v>
      </c>
      <c r="U108" t="n">
        <v>1</v>
      </c>
      <c r="V108" s="2" t="inlineStr">
        <is>
          <t>Kandelabersvamp
Lunglav
Rönnfibbla
Stjärntagging
Vedticka
Tjäder</t>
        </is>
      </c>
      <c r="W108">
        <f>HYPERLINK("https://klasma.github.io/Logging_1784/artfynd/A 1111-2024 artfynd.xlsx", "A 1111-2024")</f>
        <v/>
      </c>
      <c r="X108">
        <f>HYPERLINK("https://klasma.github.io/Logging_1784/kartor/A 1111-2024 karta.png", "A 1111-2024")</f>
        <v/>
      </c>
      <c r="Y108">
        <f>HYPERLINK("https://klasma.github.io/Logging_1784/kartor_geotiff/A 1111-2024 georefererad karta.tif", "A 1111-2024")</f>
        <v/>
      </c>
      <c r="AA108">
        <f>HYPERLINK("https://klasma.github.io/Logging_1784/klagomål/A 1111-2024 FSC-klagomål.docx", "A 1111-2024")</f>
        <v/>
      </c>
      <c r="AB108">
        <f>HYPERLINK("https://klasma.github.io/Logging_1784/klagomålsmail/A 1111-2024 FSC-klagomål mail.docx", "A 1111-2024")</f>
        <v/>
      </c>
      <c r="AC108">
        <f>HYPERLINK("https://klasma.github.io/Logging_1784/tillsyn/A 1111-2024 tillsynsbegäran.docx", "A 1111-2024")</f>
        <v/>
      </c>
      <c r="AD108">
        <f>HYPERLINK("https://klasma.github.io/Logging_1784/tillsynsmail/A 1111-2024 tillsynsbegäran mail.docx", "A 1111-2024")</f>
        <v/>
      </c>
      <c r="AE108">
        <f>HYPERLINK("https://klasma.github.io/Logging_1784/fåglar/A 1111-2024 prioriterade fågelarter.docx", "A 1111-2024")</f>
        <v/>
      </c>
    </row>
    <row r="109" ht="15" customHeight="1">
      <c r="A109" t="inlineStr">
        <is>
          <t>A 52132-2022</t>
        </is>
      </c>
      <c r="B109" t="inlineStr">
        <is>
          <t>avverkningsanmälan</t>
        </is>
      </c>
      <c r="C109" t="inlineStr">
        <is>
          <t>Föryngringsavverkning</t>
        </is>
      </c>
      <c r="D109" s="1" t="n">
        <v>44873</v>
      </c>
      <c r="E109" s="1" t="n">
        <v>46307</v>
      </c>
      <c r="F109" t="inlineStr">
        <is>
          <t>VÄRMLANDS LÄN</t>
        </is>
      </c>
      <c r="G109" t="inlineStr">
        <is>
          <t>ÅRJÄNG</t>
        </is>
      </c>
      <c r="I109" t="n">
        <v>14</v>
      </c>
      <c r="J109" t="n">
        <v>1</v>
      </c>
      <c r="K109" t="n">
        <v>1</v>
      </c>
      <c r="L109" t="n">
        <v>3</v>
      </c>
      <c r="M109" t="n">
        <v>2</v>
      </c>
      <c r="N109" t="n">
        <v>0</v>
      </c>
      <c r="O109" t="n">
        <v>0</v>
      </c>
      <c r="P109" t="n">
        <v>0</v>
      </c>
      <c r="Q109" t="n">
        <v>5</v>
      </c>
      <c r="R109" t="n">
        <v>2</v>
      </c>
      <c r="S109" t="n">
        <v>6</v>
      </c>
      <c r="T109" t="n">
        <v>12</v>
      </c>
      <c r="U109" t="n">
        <v>12</v>
      </c>
      <c r="V109" s="2" t="inlineStr">
        <is>
          <t>Garnlav
Knärot
Dropptaggsvamp
Kattfotslav
Vedtrappmossa
Vedticka</t>
        </is>
      </c>
      <c r="W109">
        <f>HYPERLINK("https://klasma.github.io/Logging_1765/artfynd/A 52132-2022 artfynd.xlsx", "A 52132-2022")</f>
        <v/>
      </c>
      <c r="X109">
        <f>HYPERLINK("https://klasma.github.io/Logging_1765/kartor/A 52132-2022 karta.png", "A 52132-2022")</f>
        <v/>
      </c>
      <c r="Y109">
        <f>HYPERLINK("https://klasma.github.io/Logging_1765/kartor_geotiff/A 52132-2022 georefererad karta.tif", "A 52132-2022")</f>
        <v/>
      </c>
      <c r="Z109">
        <f>HYPERLINK("https://klasma.github.io/Logging_1765/knärot/A 52132-2022 karta knärot.png", "A 52132-2022")</f>
        <v/>
      </c>
      <c r="AA109">
        <f>HYPERLINK("https://klasma.github.io/Logging_1765/klagomål/A 52132-2022 FSC-klagomål.docx", "A 52132-2022")</f>
        <v/>
      </c>
      <c r="AB109">
        <f>HYPERLINK("https://klasma.github.io/Logging_1765/klagomålsmail/A 52132-2022 FSC-klagomål mail.docx", "A 52132-2022")</f>
        <v/>
      </c>
      <c r="AC109">
        <f>HYPERLINK("https://klasma.github.io/Logging_1765/tillsyn/A 52132-2022 tillsynsbegäran.docx", "A 52132-2022")</f>
        <v/>
      </c>
      <c r="AD109">
        <f>HYPERLINK("https://klasma.github.io/Logging_1765/tillsynsmail/A 52132-2022 tillsynsbegäran mail.docx", "A 52132-2022")</f>
        <v/>
      </c>
    </row>
    <row r="110" ht="15" customHeight="1">
      <c r="A110" t="inlineStr">
        <is>
          <t>A 41565-2023</t>
        </is>
      </c>
      <c r="B110" t="inlineStr">
        <is>
          <t>avverkningsanmälan</t>
        </is>
      </c>
      <c r="C110" t="inlineStr">
        <is>
          <t>Föryngringsavverkning</t>
        </is>
      </c>
      <c r="D110" s="1" t="n">
        <v>45175</v>
      </c>
      <c r="E110" s="1" t="n">
        <v>46307</v>
      </c>
      <c r="F110" t="inlineStr">
        <is>
          <t>VÄRMLANDS LÄN</t>
        </is>
      </c>
      <c r="G110" t="inlineStr">
        <is>
          <t>KARLSTAD</t>
        </is>
      </c>
      <c r="H110" t="inlineStr">
        <is>
          <t>Övriga Aktiebolag</t>
        </is>
      </c>
      <c r="I110" t="n">
        <v>1.7</v>
      </c>
      <c r="J110" t="n">
        <v>2</v>
      </c>
      <c r="K110" t="n">
        <v>2</v>
      </c>
      <c r="L110" t="n">
        <v>2</v>
      </c>
      <c r="M110" t="n">
        <v>0</v>
      </c>
      <c r="N110" t="n">
        <v>0</v>
      </c>
      <c r="O110" t="n">
        <v>0</v>
      </c>
      <c r="P110" t="n">
        <v>0</v>
      </c>
      <c r="Q110" t="n">
        <v>2</v>
      </c>
      <c r="R110" t="n">
        <v>0</v>
      </c>
      <c r="S110" t="n">
        <v>6</v>
      </c>
      <c r="T110" t="n">
        <v>7</v>
      </c>
      <c r="U110" t="n">
        <v>7</v>
      </c>
      <c r="V110" s="2" t="inlineStr">
        <is>
          <t>Motaggsvamp
Talltita
Mindre märgborre
Vågbandad barkbock
Kötticka
Tjäder</t>
        </is>
      </c>
      <c r="W110">
        <f>HYPERLINK("https://klasma.github.io/Logging_1780/artfynd/A 41565-2023 artfynd.xlsx", "A 41565-2023")</f>
        <v/>
      </c>
      <c r="X110">
        <f>HYPERLINK("https://klasma.github.io/Logging_1780/kartor/A 41565-2023 karta.png", "A 41565-2023")</f>
        <v/>
      </c>
      <c r="Y110">
        <f>HYPERLINK("https://klasma.github.io/Logging_1780/kartor_geotiff/A 41565-2023 georefererad karta.tif", "A 41565-2023")</f>
        <v/>
      </c>
      <c r="AA110">
        <f>HYPERLINK("https://klasma.github.io/Logging_1780/klagomål/A 41565-2023 FSC-klagomål.docx", "A 41565-2023")</f>
        <v/>
      </c>
      <c r="AB110">
        <f>HYPERLINK("https://klasma.github.io/Logging_1780/klagomålsmail/A 41565-2023 FSC-klagomål mail.docx", "A 41565-2023")</f>
        <v/>
      </c>
      <c r="AC110">
        <f>HYPERLINK("https://klasma.github.io/Logging_1780/tillsyn/A 41565-2023 tillsynsbegäran.docx", "A 41565-2023")</f>
        <v/>
      </c>
      <c r="AD110">
        <f>HYPERLINK("https://klasma.github.io/Logging_1780/tillsynsmail/A 41565-2023 tillsynsbegäran mail.docx", "A 41565-2023")</f>
        <v/>
      </c>
      <c r="AE110">
        <f>HYPERLINK("https://klasma.github.io/Logging_1780/fåglar/A 41565-2023 prioriterade fågelarter.docx", "A 41565-2023")</f>
        <v/>
      </c>
    </row>
    <row r="111" ht="15" customHeight="1">
      <c r="A111" t="inlineStr">
        <is>
          <t>A 19224-2026</t>
        </is>
      </c>
      <c r="B111" t="inlineStr">
        <is>
          <t>avverkningsanmälan</t>
        </is>
      </c>
      <c r="C111" t="inlineStr">
        <is>
          <t>Föryngringsavverkning</t>
        </is>
      </c>
      <c r="D111" s="1" t="n">
        <v>46132</v>
      </c>
      <c r="E111" s="1" t="n">
        <v>46307</v>
      </c>
      <c r="F111" t="inlineStr">
        <is>
          <t>VÄRMLANDS LÄN</t>
        </is>
      </c>
      <c r="G111" t="inlineStr">
        <is>
          <t>TORSBY</t>
        </is>
      </c>
      <c r="I111" t="n">
        <v>2.5</v>
      </c>
      <c r="J111" t="n">
        <v>2</v>
      </c>
      <c r="K111" t="n">
        <v>2</v>
      </c>
      <c r="L111" t="n">
        <v>1</v>
      </c>
      <c r="M111" t="n">
        <v>1</v>
      </c>
      <c r="N111" t="n">
        <v>0</v>
      </c>
      <c r="O111" t="n">
        <v>0</v>
      </c>
      <c r="P111" t="n">
        <v>0</v>
      </c>
      <c r="Q111" t="n">
        <v>2</v>
      </c>
      <c r="R111" t="n">
        <v>1</v>
      </c>
      <c r="S111" t="n">
        <v>6</v>
      </c>
      <c r="T111" t="n">
        <v>12</v>
      </c>
      <c r="U111" t="n">
        <v>10</v>
      </c>
      <c r="V111" s="2" t="inlineStr">
        <is>
          <t>Garnlav
Violettgrå tagellav
Nästlav
Sotlav
Kungsfågel
Kopparödla</t>
        </is>
      </c>
      <c r="W111">
        <f>HYPERLINK("https://klasma.github.io/Logging_1737/artfynd/A 19224-2026 artfynd.xlsx", "A 19224-2026")</f>
        <v/>
      </c>
      <c r="X111">
        <f>HYPERLINK("https://klasma.github.io/Logging_1737/kartor/A 19224-2026 karta.png", "A 19224-2026")</f>
        <v/>
      </c>
      <c r="Y111">
        <f>HYPERLINK("https://klasma.github.io/Logging_1737/kartor_geotiff/A 19224-2026 georefererad karta.tif", "A 19224-2026")</f>
        <v/>
      </c>
      <c r="AA111">
        <f>HYPERLINK("https://klasma.github.io/Logging_1737/klagomål/A 19224-2026 FSC-klagomål.docx", "A 19224-2026")</f>
        <v/>
      </c>
      <c r="AB111">
        <f>HYPERLINK("https://klasma.github.io/Logging_1737/klagomålsmail/A 19224-2026 FSC-klagomål mail.docx", "A 19224-2026")</f>
        <v/>
      </c>
      <c r="AC111">
        <f>HYPERLINK("https://klasma.github.io/Logging_1737/tillsyn/A 19224-2026 tillsynsbegäran.docx", "A 19224-2026")</f>
        <v/>
      </c>
      <c r="AD111">
        <f>HYPERLINK("https://klasma.github.io/Logging_1737/tillsynsmail/A 19224-2026 tillsynsbegäran mail.docx", "A 19224-2026")</f>
        <v/>
      </c>
    </row>
    <row r="112" ht="15" customHeight="1">
      <c r="A112" t="inlineStr">
        <is>
          <t>A 62250-2025</t>
        </is>
      </c>
      <c r="B112" t="inlineStr">
        <is>
          <t>avverkningsanmälan</t>
        </is>
      </c>
      <c r="C112" t="inlineStr">
        <is>
          <t>Föryngringsavverkning</t>
        </is>
      </c>
      <c r="D112" s="1" t="n">
        <v>46006</v>
      </c>
      <c r="E112" s="1" t="n">
        <v>46307</v>
      </c>
      <c r="F112" t="inlineStr">
        <is>
          <t>VÄRMLANDS LÄN</t>
        </is>
      </c>
      <c r="G112" t="inlineStr">
        <is>
          <t>TORSBY</t>
        </is>
      </c>
      <c r="H112" t="inlineStr">
        <is>
          <t>Bergvik skog väst AB</t>
        </is>
      </c>
      <c r="I112" t="n">
        <v>1.3</v>
      </c>
      <c r="J112" t="n">
        <v>0</v>
      </c>
      <c r="K112" t="n">
        <v>1</v>
      </c>
      <c r="L112" t="n">
        <v>4</v>
      </c>
      <c r="M112" t="n">
        <v>1</v>
      </c>
      <c r="N112" t="n">
        <v>0</v>
      </c>
      <c r="O112" t="n">
        <v>0</v>
      </c>
      <c r="P112" t="n">
        <v>0</v>
      </c>
      <c r="Q112" t="n">
        <v>5</v>
      </c>
      <c r="R112" t="n">
        <v>1</v>
      </c>
      <c r="S112" t="n">
        <v>6</v>
      </c>
      <c r="T112" t="n">
        <v>6</v>
      </c>
      <c r="U112" t="n">
        <v>0</v>
      </c>
      <c r="V112" s="2" t="inlineStr">
        <is>
          <t>Garnlav
Dvärgbägarlav
Mörk kolflarnlav
Skuggblåslav
Vedskivlav
Vedticka</t>
        </is>
      </c>
      <c r="W112">
        <f>HYPERLINK("https://klasma.github.io/Logging_1737/artfynd/A 62250-2025 artfynd.xlsx", "A 62250-2025")</f>
        <v/>
      </c>
      <c r="X112">
        <f>HYPERLINK("https://klasma.github.io/Logging_1737/kartor/A 62250-2025 karta.png", "A 62250-2025")</f>
        <v/>
      </c>
      <c r="Y112">
        <f>HYPERLINK("https://klasma.github.io/Logging_1737/kartor_geotiff/A 62250-2025 georefererad karta.tif", "A 62250-2025")</f>
        <v/>
      </c>
      <c r="AA112">
        <f>HYPERLINK("https://klasma.github.io/Logging_1737/klagomål/A 62250-2025 FSC-klagomål.docx", "A 62250-2025")</f>
        <v/>
      </c>
      <c r="AB112">
        <f>HYPERLINK("https://klasma.github.io/Logging_1737/klagomålsmail/A 62250-2025 FSC-klagomål mail.docx", "A 62250-2025")</f>
        <v/>
      </c>
      <c r="AC112">
        <f>HYPERLINK("https://klasma.github.io/Logging_1737/tillsyn/A 62250-2025 tillsynsbegäran.docx", "A 62250-2025")</f>
        <v/>
      </c>
      <c r="AD112">
        <f>HYPERLINK("https://klasma.github.io/Logging_1737/tillsynsmail/A 62250-2025 tillsynsbegäran mail.docx", "A 62250-2025")</f>
        <v/>
      </c>
    </row>
    <row r="113" ht="15" customHeight="1">
      <c r="A113" t="inlineStr">
        <is>
          <t>A 56054-2025</t>
        </is>
      </c>
      <c r="B113" t="inlineStr">
        <is>
          <t>avverkningsanmälan</t>
        </is>
      </c>
      <c r="C113" t="inlineStr">
        <is>
          <t>Avverkning för att bevara och utveckla /försöksver</t>
        </is>
      </c>
      <c r="D113" s="1" t="n">
        <v>45973</v>
      </c>
      <c r="E113" s="1" t="n">
        <v>46307</v>
      </c>
      <c r="F113" t="inlineStr">
        <is>
          <t>VÄRMLANDS LÄN</t>
        </is>
      </c>
      <c r="G113" t="inlineStr">
        <is>
          <t>HAGFORS</t>
        </is>
      </c>
      <c r="H113" t="inlineStr">
        <is>
          <t>Bergvik skog väst AB</t>
        </is>
      </c>
      <c r="I113" t="n">
        <v>4.8</v>
      </c>
      <c r="J113" t="n">
        <v>1</v>
      </c>
      <c r="K113" t="n">
        <v>3</v>
      </c>
      <c r="L113" t="n">
        <v>1</v>
      </c>
      <c r="M113" t="n">
        <v>2</v>
      </c>
      <c r="N113" t="n">
        <v>0</v>
      </c>
      <c r="O113" t="n">
        <v>0</v>
      </c>
      <c r="P113" t="n">
        <v>0</v>
      </c>
      <c r="Q113" t="n">
        <v>3</v>
      </c>
      <c r="R113" t="n">
        <v>2</v>
      </c>
      <c r="S113" t="n">
        <v>6</v>
      </c>
      <c r="T113" t="n">
        <v>8</v>
      </c>
      <c r="U113" t="n">
        <v>1</v>
      </c>
      <c r="V113" s="2" t="inlineStr">
        <is>
          <t>Aspgelélav
Knärot
Violettgrå tagellav
Dvärgtufs
Korallblylav
Stuplav</t>
        </is>
      </c>
      <c r="W113">
        <f>HYPERLINK("https://klasma.github.io/Logging_1783/artfynd/A 56054-2025 artfynd.xlsx", "A 56054-2025")</f>
        <v/>
      </c>
      <c r="X113">
        <f>HYPERLINK("https://klasma.github.io/Logging_1783/kartor/A 56054-2025 karta.png", "A 56054-2025")</f>
        <v/>
      </c>
      <c r="Y113">
        <f>HYPERLINK("https://klasma.github.io/Logging_1783/kartor_geotiff/A 56054-2025 georefererad karta.tif", "A 56054-2025")</f>
        <v/>
      </c>
      <c r="Z113">
        <f>HYPERLINK("https://klasma.github.io/Logging_1783/knärot/A 56054-2025 karta knärot.png", "A 56054-2025")</f>
        <v/>
      </c>
      <c r="AA113">
        <f>HYPERLINK("https://klasma.github.io/Logging_1783/klagomål/A 56054-2025 FSC-klagomål.docx", "A 56054-2025")</f>
        <v/>
      </c>
      <c r="AB113">
        <f>HYPERLINK("https://klasma.github.io/Logging_1783/klagomålsmail/A 56054-2025 FSC-klagomål mail.docx", "A 56054-2025")</f>
        <v/>
      </c>
      <c r="AC113">
        <f>HYPERLINK("https://klasma.github.io/Logging_1783/tillsyn/A 56054-2025 tillsynsbegäran.docx", "A 56054-2025")</f>
        <v/>
      </c>
      <c r="AD113">
        <f>HYPERLINK("https://klasma.github.io/Logging_1783/tillsynsmail/A 56054-2025 tillsynsbegäran mail.docx", "A 56054-2025")</f>
        <v/>
      </c>
    </row>
    <row r="114" ht="15" customHeight="1">
      <c r="A114" t="inlineStr">
        <is>
          <t>A 49127-2022</t>
        </is>
      </c>
      <c r="B114" t="inlineStr">
        <is>
          <t>avverkningsanmälan</t>
        </is>
      </c>
      <c r="C114" t="inlineStr">
        <is>
          <t>Föryngringsavverkning</t>
        </is>
      </c>
      <c r="D114" s="1" t="n">
        <v>44858</v>
      </c>
      <c r="E114" s="1" t="n">
        <v>46307</v>
      </c>
      <c r="F114" t="inlineStr">
        <is>
          <t>VÄRMLANDS LÄN</t>
        </is>
      </c>
      <c r="G114" t="inlineStr">
        <is>
          <t>KARLSTAD</t>
        </is>
      </c>
      <c r="I114" t="n">
        <v>10.9</v>
      </c>
      <c r="J114" t="n">
        <v>0</v>
      </c>
      <c r="K114" t="n">
        <v>5</v>
      </c>
      <c r="L114" t="n">
        <v>1</v>
      </c>
      <c r="M114" t="n">
        <v>0</v>
      </c>
      <c r="N114" t="n">
        <v>0</v>
      </c>
      <c r="O114" t="n">
        <v>0</v>
      </c>
      <c r="P114" t="n">
        <v>0</v>
      </c>
      <c r="Q114" t="n">
        <v>1</v>
      </c>
      <c r="R114" t="n">
        <v>0</v>
      </c>
      <c r="S114" t="n">
        <v>6</v>
      </c>
      <c r="T114" t="n">
        <v>7</v>
      </c>
      <c r="U114" t="n">
        <v>0</v>
      </c>
      <c r="V114" s="2" t="inlineStr">
        <is>
          <t>Skrovellav
Bårdlav
Fällmossa
Guldlockmossa
Klippfrullania
Platt fjädermossa</t>
        </is>
      </c>
      <c r="W114">
        <f>HYPERLINK("https://klasma.github.io/Logging_1780/artfynd/A 49127-2022 artfynd.xlsx", "A 49127-2022")</f>
        <v/>
      </c>
      <c r="X114">
        <f>HYPERLINK("https://klasma.github.io/Logging_1780/kartor/A 49127-2022 karta.png", "A 49127-2022")</f>
        <v/>
      </c>
      <c r="Y114">
        <f>HYPERLINK("https://klasma.github.io/Logging_1780/kartor_geotiff/A 49127-2022 georefererad karta.tif", "A 49127-2022")</f>
        <v/>
      </c>
      <c r="AA114">
        <f>HYPERLINK("https://klasma.github.io/Logging_1780/klagomål/A 49127-2022 FSC-klagomål.docx", "A 49127-2022")</f>
        <v/>
      </c>
      <c r="AB114">
        <f>HYPERLINK("https://klasma.github.io/Logging_1780/klagomålsmail/A 49127-2022 FSC-klagomål mail.docx", "A 49127-2022")</f>
        <v/>
      </c>
      <c r="AC114">
        <f>HYPERLINK("https://klasma.github.io/Logging_1780/tillsyn/A 49127-2022 tillsynsbegäran.docx", "A 49127-2022")</f>
        <v/>
      </c>
      <c r="AD114">
        <f>HYPERLINK("https://klasma.github.io/Logging_1780/tillsynsmail/A 49127-2022 tillsynsbegäran mail.docx", "A 49127-2022")</f>
        <v/>
      </c>
    </row>
    <row r="115" ht="15" customHeight="1">
      <c r="A115" t="inlineStr">
        <is>
          <t>A 63034-2025</t>
        </is>
      </c>
      <c r="B115" t="inlineStr">
        <is>
          <t>avverkningsanmälan</t>
        </is>
      </c>
      <c r="C115" t="inlineStr">
        <is>
          <t>Föryngringsavverkning</t>
        </is>
      </c>
      <c r="D115" s="1" t="n">
        <v>46009</v>
      </c>
      <c r="E115" s="1" t="n">
        <v>46307</v>
      </c>
      <c r="F115" t="inlineStr">
        <is>
          <t>VÄRMLANDS LÄN</t>
        </is>
      </c>
      <c r="G115" t="inlineStr">
        <is>
          <t>ARVIKA</t>
        </is>
      </c>
      <c r="H115" t="inlineStr">
        <is>
          <t>Bergvik skog väst AB</t>
        </is>
      </c>
      <c r="I115" t="n">
        <v>3.2</v>
      </c>
      <c r="J115" t="n">
        <v>1</v>
      </c>
      <c r="K115" t="n">
        <v>2</v>
      </c>
      <c r="L115" t="n">
        <v>3</v>
      </c>
      <c r="M115" t="n">
        <v>1</v>
      </c>
      <c r="N115" t="n">
        <v>0</v>
      </c>
      <c r="O115" t="n">
        <v>0</v>
      </c>
      <c r="P115" t="n">
        <v>0</v>
      </c>
      <c r="Q115" t="n">
        <v>4</v>
      </c>
      <c r="R115" t="n">
        <v>1</v>
      </c>
      <c r="S115" t="n">
        <v>6</v>
      </c>
      <c r="T115" t="n">
        <v>10</v>
      </c>
      <c r="U115" t="n">
        <v>1</v>
      </c>
      <c r="V115" s="2" t="inlineStr">
        <is>
          <t>Apelticka
Motaggsvamp
Tretåig hackspett
Vedskivlav
Bårdlav
Slanklav</t>
        </is>
      </c>
      <c r="W115">
        <f>HYPERLINK("https://klasma.github.io/Logging_1784/artfynd/A 63034-2025 artfynd.xlsx", "A 63034-2025")</f>
        <v/>
      </c>
      <c r="X115">
        <f>HYPERLINK("https://klasma.github.io/Logging_1784/kartor/A 63034-2025 karta.png", "A 63034-2025")</f>
        <v/>
      </c>
      <c r="Y115">
        <f>HYPERLINK("https://klasma.github.io/Logging_1784/kartor_geotiff/A 63034-2025 georefererad karta.tif", "A 63034-2025")</f>
        <v/>
      </c>
      <c r="AA115">
        <f>HYPERLINK("https://klasma.github.io/Logging_1784/klagomål/A 63034-2025 FSC-klagomål.docx", "A 63034-2025")</f>
        <v/>
      </c>
      <c r="AB115">
        <f>HYPERLINK("https://klasma.github.io/Logging_1784/klagomålsmail/A 63034-2025 FSC-klagomål mail.docx", "A 63034-2025")</f>
        <v/>
      </c>
      <c r="AC115">
        <f>HYPERLINK("https://klasma.github.io/Logging_1784/tillsyn/A 63034-2025 tillsynsbegäran.docx", "A 63034-2025")</f>
        <v/>
      </c>
      <c r="AD115">
        <f>HYPERLINK("https://klasma.github.io/Logging_1784/tillsynsmail/A 63034-2025 tillsynsbegäran mail.docx", "A 63034-2025")</f>
        <v/>
      </c>
      <c r="AE115">
        <f>HYPERLINK("https://klasma.github.io/Logging_1784/fåglar/A 63034-2025 prioriterade fågelarter.docx", "A 63034-2025")</f>
        <v/>
      </c>
    </row>
    <row r="116" ht="15" customHeight="1">
      <c r="A116" t="inlineStr">
        <is>
          <t>A 29379-2023</t>
        </is>
      </c>
      <c r="B116" t="inlineStr">
        <is>
          <t>avverkningsanmälan</t>
        </is>
      </c>
      <c r="C116" t="inlineStr">
        <is>
          <t>Föryngringsavverkning</t>
        </is>
      </c>
      <c r="D116" s="1" t="n">
        <v>45106</v>
      </c>
      <c r="E116" s="1" t="n">
        <v>46307</v>
      </c>
      <c r="F116" t="inlineStr">
        <is>
          <t>VÄRMLANDS LÄN</t>
        </is>
      </c>
      <c r="G116" t="inlineStr">
        <is>
          <t>ÅRJÄNG</t>
        </is>
      </c>
      <c r="I116" t="n">
        <v>1.4</v>
      </c>
      <c r="J116" t="n">
        <v>1</v>
      </c>
      <c r="K116" t="n">
        <v>3</v>
      </c>
      <c r="L116" t="n">
        <v>2</v>
      </c>
      <c r="M116" t="n">
        <v>0</v>
      </c>
      <c r="N116" t="n">
        <v>0</v>
      </c>
      <c r="O116" t="n">
        <v>0</v>
      </c>
      <c r="P116" t="n">
        <v>0</v>
      </c>
      <c r="Q116" t="n">
        <v>2</v>
      </c>
      <c r="R116" t="n">
        <v>0</v>
      </c>
      <c r="S116" t="n">
        <v>6</v>
      </c>
      <c r="T116" t="n">
        <v>6</v>
      </c>
      <c r="U116" t="n">
        <v>0</v>
      </c>
      <c r="V116" s="2" t="inlineStr">
        <is>
          <t>Brunpudrad nållav
Vedtrappmossa
Gulnål
Rostfläck
Vedticka
Järpe</t>
        </is>
      </c>
      <c r="W116">
        <f>HYPERLINK("https://klasma.github.io/Logging_1765/artfynd/A 29379-2023 artfynd.xlsx", "A 29379-2023")</f>
        <v/>
      </c>
      <c r="X116">
        <f>HYPERLINK("https://klasma.github.io/Logging_1765/kartor/A 29379-2023 karta.png", "A 29379-2023")</f>
        <v/>
      </c>
      <c r="Y116">
        <f>HYPERLINK("https://klasma.github.io/Logging_1765/kartor_geotiff/A 29379-2023 georefererad karta.tif", "A 29379-2023")</f>
        <v/>
      </c>
      <c r="AA116">
        <f>HYPERLINK("https://klasma.github.io/Logging_1765/klagomål/A 29379-2023 FSC-klagomål.docx", "A 29379-2023")</f>
        <v/>
      </c>
      <c r="AB116">
        <f>HYPERLINK("https://klasma.github.io/Logging_1765/klagomålsmail/A 29379-2023 FSC-klagomål mail.docx", "A 29379-2023")</f>
        <v/>
      </c>
      <c r="AC116">
        <f>HYPERLINK("https://klasma.github.io/Logging_1765/tillsyn/A 29379-2023 tillsynsbegäran.docx", "A 29379-2023")</f>
        <v/>
      </c>
      <c r="AD116">
        <f>HYPERLINK("https://klasma.github.io/Logging_1765/tillsynsmail/A 29379-2023 tillsynsbegäran mail.docx", "A 29379-2023")</f>
        <v/>
      </c>
      <c r="AE116">
        <f>HYPERLINK("https://klasma.github.io/Logging_1765/fåglar/A 29379-2023 prioriterade fågelarter.docx", "A 29379-2023")</f>
        <v/>
      </c>
    </row>
    <row r="117" ht="15" customHeight="1">
      <c r="A117" t="inlineStr">
        <is>
          <t>A 21026-2026</t>
        </is>
      </c>
      <c r="B117" t="inlineStr">
        <is>
          <t>avverkningsanmälan</t>
        </is>
      </c>
      <c r="C117" t="inlineStr">
        <is>
          <t>Föryngringsavverkning</t>
        </is>
      </c>
      <c r="D117" s="1" t="n">
        <v>46145</v>
      </c>
      <c r="E117" s="1" t="n">
        <v>46307</v>
      </c>
      <c r="F117" t="inlineStr">
        <is>
          <t>VÄRMLANDS LÄN</t>
        </is>
      </c>
      <c r="G117" t="inlineStr">
        <is>
          <t>SUNNE</t>
        </is>
      </c>
      <c r="H117" t="inlineStr">
        <is>
          <t>Övriga Aktiebolag</t>
        </is>
      </c>
      <c r="I117" t="n">
        <v>11.1</v>
      </c>
      <c r="J117" t="n">
        <v>2</v>
      </c>
      <c r="K117" t="n">
        <v>1</v>
      </c>
      <c r="L117" t="n">
        <v>2</v>
      </c>
      <c r="M117" t="n">
        <v>1</v>
      </c>
      <c r="N117" t="n">
        <v>0</v>
      </c>
      <c r="O117" t="n">
        <v>0</v>
      </c>
      <c r="P117" t="n">
        <v>0</v>
      </c>
      <c r="Q117" t="n">
        <v>3</v>
      </c>
      <c r="R117" t="n">
        <v>1</v>
      </c>
      <c r="S117" t="n">
        <v>6</v>
      </c>
      <c r="T117" t="n">
        <v>10</v>
      </c>
      <c r="U117" t="n">
        <v>10</v>
      </c>
      <c r="V117" s="2" t="inlineStr">
        <is>
          <t>Garnlav
Kattfotslav
Vedskivlav
Vågbandad barkbock
Spillkråka
Vanlig groda</t>
        </is>
      </c>
      <c r="W117">
        <f>HYPERLINK("https://klasma.github.io/Logging_1766/artfynd/A 21026-2026 artfynd.xlsx", "A 21026-2026")</f>
        <v/>
      </c>
      <c r="X117">
        <f>HYPERLINK("https://klasma.github.io/Logging_1766/kartor/A 21026-2026 karta.png", "A 21026-2026")</f>
        <v/>
      </c>
      <c r="Y117">
        <f>HYPERLINK("https://klasma.github.io/Logging_1766/kartor_geotiff/A 21026-2026 georefererad karta.tif", "A 21026-2026")</f>
        <v/>
      </c>
      <c r="AA117">
        <f>HYPERLINK("https://klasma.github.io/Logging_1766/klagomål/A 21026-2026 FSC-klagomål.docx", "A 21026-2026")</f>
        <v/>
      </c>
      <c r="AB117">
        <f>HYPERLINK("https://klasma.github.io/Logging_1766/klagomålsmail/A 21026-2026 FSC-klagomål mail.docx", "A 21026-2026")</f>
        <v/>
      </c>
      <c r="AC117">
        <f>HYPERLINK("https://klasma.github.io/Logging_1766/tillsyn/A 21026-2026 tillsynsbegäran.docx", "A 21026-2026")</f>
        <v/>
      </c>
      <c r="AD117">
        <f>HYPERLINK("https://klasma.github.io/Logging_1766/tillsynsmail/A 21026-2026 tillsynsbegäran mail.docx", "A 21026-2026")</f>
        <v/>
      </c>
      <c r="AE117">
        <f>HYPERLINK("https://klasma.github.io/Logging_1766/fåglar/A 21026-2026 prioriterade fågelarter.docx", "A 21026-2026")</f>
        <v/>
      </c>
    </row>
    <row r="118" ht="15" customHeight="1">
      <c r="A118" t="inlineStr">
        <is>
          <t>S 1877-2020</t>
        </is>
      </c>
      <c r="B118" t="inlineStr">
        <is>
          <t>samrådsanmälan</t>
        </is>
      </c>
      <c r="C118" t="inlineStr">
        <is>
          <t>Askåterföring</t>
        </is>
      </c>
      <c r="D118" s="1" t="n">
        <v>44076</v>
      </c>
      <c r="E118" s="1" t="n">
        <v>46307</v>
      </c>
      <c r="F118" t="inlineStr">
        <is>
          <t>VÄRMLANDS LÄN</t>
        </is>
      </c>
      <c r="G118" t="inlineStr">
        <is>
          <t>ÅRJÄNG</t>
        </is>
      </c>
      <c r="I118" t="n">
        <v>296.9</v>
      </c>
      <c r="J118" t="n">
        <v>2</v>
      </c>
      <c r="K118" t="n">
        <v>1</v>
      </c>
      <c r="L118" t="n">
        <v>3</v>
      </c>
      <c r="M118" t="n">
        <v>1</v>
      </c>
      <c r="N118" t="n">
        <v>0</v>
      </c>
      <c r="O118" t="n">
        <v>0</v>
      </c>
      <c r="P118" t="n">
        <v>0</v>
      </c>
      <c r="Q118" t="n">
        <v>4</v>
      </c>
      <c r="R118" t="n">
        <v>1</v>
      </c>
      <c r="S118" t="n">
        <v>6</v>
      </c>
      <c r="T118" t="n">
        <v>8</v>
      </c>
      <c r="U118" t="n">
        <v>3</v>
      </c>
      <c r="V118" s="2" t="inlineStr">
        <is>
          <t>Garnlav
Kattfotslav
Skogsklocka
Talltita
Havstulpanlav
Spillkråka</t>
        </is>
      </c>
      <c r="W118">
        <f>HYPERLINK("https://klasma.github.io/Logging_1765/artfynd/S 1877-2020 artfynd.xlsx", "S 1877-2020")</f>
        <v/>
      </c>
      <c r="X118">
        <f>HYPERLINK("https://klasma.github.io/Logging_1765/kartor/S 1877-2020 karta.png", "S 1877-2020")</f>
        <v/>
      </c>
      <c r="Y118">
        <f>HYPERLINK("https://klasma.github.io/Logging_1765/kartor_geotiff/S 1877-2020 georefererad karta.tif", "S 1877-2020")</f>
        <v/>
      </c>
      <c r="AA118">
        <f>HYPERLINK("https://klasma.github.io/Logging_1765/klagomål/S 1877-2020 FSC-klagomål.docx", "S 1877-2020")</f>
        <v/>
      </c>
      <c r="AB118">
        <f>HYPERLINK("https://klasma.github.io/Logging_1765/klagomålsmail/S 1877-2020 FSC-klagomål mail.docx", "S 1877-2020")</f>
        <v/>
      </c>
      <c r="AC118">
        <f>HYPERLINK("https://klasma.github.io/Logging_1765/tillsyn/S 1877-2020 tillsynsbegäran.docx", "S 1877-2020")</f>
        <v/>
      </c>
      <c r="AD118">
        <f>HYPERLINK("https://klasma.github.io/Logging_1765/tillsynsmail/S 1877-2020 tillsynsbegäran mail.docx", "S 1877-2020")</f>
        <v/>
      </c>
      <c r="AE118">
        <f>HYPERLINK("https://klasma.github.io/Logging_1765/fåglar/S 1877-2020 prioriterade fågelarter.docx", "S 1877-2020")</f>
        <v/>
      </c>
    </row>
    <row r="119" ht="15" customHeight="1">
      <c r="A119" t="inlineStr">
        <is>
          <t>S 2466-2023</t>
        </is>
      </c>
      <c r="B119" t="inlineStr">
        <is>
          <t>samrådsanmälan</t>
        </is>
      </c>
      <c r="C119" t="inlineStr">
        <is>
          <t>Askåterföring</t>
        </is>
      </c>
      <c r="D119" s="1" t="n">
        <v>45118</v>
      </c>
      <c r="E119" s="1" t="n">
        <v>46307</v>
      </c>
      <c r="F119" t="inlineStr">
        <is>
          <t>VÄRMLANDS LÄN</t>
        </is>
      </c>
      <c r="G119" t="inlineStr">
        <is>
          <t>KRISTINEHAMN</t>
        </is>
      </c>
      <c r="I119" t="n">
        <v>48</v>
      </c>
      <c r="J119" t="n">
        <v>6</v>
      </c>
      <c r="K119" t="n">
        <v>0</v>
      </c>
      <c r="L119" t="n">
        <v>0</v>
      </c>
      <c r="M119" t="n">
        <v>0</v>
      </c>
      <c r="N119" t="n">
        <v>0</v>
      </c>
      <c r="O119" t="n">
        <v>0</v>
      </c>
      <c r="P119" t="n">
        <v>0</v>
      </c>
      <c r="Q119" t="n">
        <v>0</v>
      </c>
      <c r="R119" t="n">
        <v>0</v>
      </c>
      <c r="S119" t="n">
        <v>6</v>
      </c>
      <c r="T119" t="n">
        <v>7</v>
      </c>
      <c r="U119" t="n">
        <v>7</v>
      </c>
      <c r="V119" s="2" t="inlineStr">
        <is>
          <t>Större vattensalamander
Åkergroda
Mindre vattensalamander
Vanlig groda
Fläcknycklar
Nattviol</t>
        </is>
      </c>
      <c r="W119">
        <f>HYPERLINK("https://klasma.github.io/Logging_1781/artfynd/S 2466-2023 artfynd.xlsx", "S 2466-2023")</f>
        <v/>
      </c>
      <c r="X119">
        <f>HYPERLINK("https://klasma.github.io/Logging_1781/kartor/S 2466-2023 karta.png", "S 2466-2023")</f>
        <v/>
      </c>
      <c r="Y119">
        <f>HYPERLINK("https://klasma.github.io/Logging_1781/kartor_geotiff/S 2466-2023 georefererad karta.tif", "S 2466-2023")</f>
        <v/>
      </c>
      <c r="AA119">
        <f>HYPERLINK("https://klasma.github.io/Logging_1781/klagomål/S 2466-2023 FSC-klagomål.docx", "S 2466-2023")</f>
        <v/>
      </c>
      <c r="AB119">
        <f>HYPERLINK("https://klasma.github.io/Logging_1781/klagomålsmail/S 2466-2023 FSC-klagomål mail.docx", "S 2466-2023")</f>
        <v/>
      </c>
      <c r="AC119">
        <f>HYPERLINK("https://klasma.github.io/Logging_1781/tillsyn/S 2466-2023 tillsynsbegäran.docx", "S 2466-2023")</f>
        <v/>
      </c>
      <c r="AD119">
        <f>HYPERLINK("https://klasma.github.io/Logging_1781/tillsynsmail/S 2466-2023 tillsynsbegäran mail.docx", "S 2466-2023")</f>
        <v/>
      </c>
    </row>
    <row r="120" ht="15" customHeight="1">
      <c r="A120" t="inlineStr">
        <is>
          <t>S 1485-2024</t>
        </is>
      </c>
      <c r="B120" t="inlineStr">
        <is>
          <t>samrådsanmälan</t>
        </is>
      </c>
      <c r="C120" t="inlineStr">
        <is>
          <t>Åtgärd i nyckelbiotop</t>
        </is>
      </c>
      <c r="D120" s="1" t="n">
        <v>45410</v>
      </c>
      <c r="E120" s="1" t="n">
        <v>46307</v>
      </c>
      <c r="F120" t="inlineStr">
        <is>
          <t>VÄRMLANDS LÄN</t>
        </is>
      </c>
      <c r="G120" t="inlineStr">
        <is>
          <t>TORSBY</t>
        </is>
      </c>
      <c r="I120" t="n">
        <v>6.2</v>
      </c>
      <c r="J120" t="n">
        <v>1</v>
      </c>
      <c r="K120" t="n">
        <v>1</v>
      </c>
      <c r="L120" t="n">
        <v>4</v>
      </c>
      <c r="M120" t="n">
        <v>1</v>
      </c>
      <c r="N120" t="n">
        <v>0</v>
      </c>
      <c r="O120" t="n">
        <v>0</v>
      </c>
      <c r="P120" t="n">
        <v>0</v>
      </c>
      <c r="Q120" t="n">
        <v>5</v>
      </c>
      <c r="R120" t="n">
        <v>1</v>
      </c>
      <c r="S120" t="n">
        <v>6</v>
      </c>
      <c r="T120" t="n">
        <v>7</v>
      </c>
      <c r="U120" t="n">
        <v>0</v>
      </c>
      <c r="V120" s="2" t="inlineStr">
        <is>
          <t>Garnlav
Brunpudrad nållav
Gammelgransskål
Lunglav
Sparvuggla
Luddlav</t>
        </is>
      </c>
      <c r="W120">
        <f>HYPERLINK("https://klasma.github.io/Logging_1737/artfynd/S 1485-2024 artfynd.xlsx", "S 1485-2024")</f>
        <v/>
      </c>
      <c r="X120">
        <f>HYPERLINK("https://klasma.github.io/Logging_1737/kartor/S 1485-2024 karta.png", "S 1485-2024")</f>
        <v/>
      </c>
      <c r="Y120">
        <f>HYPERLINK("https://klasma.github.io/Logging_1737/kartor_geotiff/S 1485-2024 georefererad karta.tif", "S 1485-2024")</f>
        <v/>
      </c>
      <c r="AA120">
        <f>HYPERLINK("https://klasma.github.io/Logging_1737/klagomål/S 1485-2024 FSC-klagomål.docx", "S 1485-2024")</f>
        <v/>
      </c>
      <c r="AB120">
        <f>HYPERLINK("https://klasma.github.io/Logging_1737/klagomålsmail/S 1485-2024 FSC-klagomål mail.docx", "S 1485-2024")</f>
        <v/>
      </c>
      <c r="AC120">
        <f>HYPERLINK("https://klasma.github.io/Logging_1737/tillsyn/S 1485-2024 tillsynsbegäran.docx", "S 1485-2024")</f>
        <v/>
      </c>
      <c r="AD120">
        <f>HYPERLINK("https://klasma.github.io/Logging_1737/tillsynsmail/S 1485-2024 tillsynsbegäran mail.docx", "S 1485-2024")</f>
        <v/>
      </c>
      <c r="AE120">
        <f>HYPERLINK("https://klasma.github.io/Logging_1737/fåglar/S 1485-2024 prioriterade fågelarter.docx", "S 1485-2024")</f>
        <v/>
      </c>
    </row>
    <row r="121" ht="15" customHeight="1">
      <c r="A121" t="inlineStr">
        <is>
          <t>S 541-2025</t>
        </is>
      </c>
      <c r="B121" t="inlineStr">
        <is>
          <t>samrådsanmälan</t>
        </is>
      </c>
      <c r="C121" t="inlineStr">
        <is>
          <t>Skogsgödsling</t>
        </is>
      </c>
      <c r="D121" s="1" t="n">
        <v>45708</v>
      </c>
      <c r="E121" s="1" t="n">
        <v>46307</v>
      </c>
      <c r="F121" t="inlineStr">
        <is>
          <t>VÄRMLANDS LÄN</t>
        </is>
      </c>
      <c r="G121" t="inlineStr">
        <is>
          <t>TORSBY</t>
        </is>
      </c>
      <c r="H121" t="inlineStr">
        <is>
          <t>Bergvik skog väst AB</t>
        </is>
      </c>
      <c r="I121" t="n">
        <v>546.7</v>
      </c>
      <c r="J121" t="n">
        <v>5</v>
      </c>
      <c r="K121" t="n">
        <v>1</v>
      </c>
      <c r="L121" t="n">
        <v>2</v>
      </c>
      <c r="M121" t="n">
        <v>1</v>
      </c>
      <c r="N121" t="n">
        <v>0</v>
      </c>
      <c r="O121" t="n">
        <v>0</v>
      </c>
      <c r="P121" t="n">
        <v>0</v>
      </c>
      <c r="Q121" t="n">
        <v>3</v>
      </c>
      <c r="R121" t="n">
        <v>1</v>
      </c>
      <c r="S121" t="n">
        <v>6</v>
      </c>
      <c r="T121" t="n">
        <v>8</v>
      </c>
      <c r="U121" t="n">
        <v>5</v>
      </c>
      <c r="V121" s="2" t="inlineStr">
        <is>
          <t>Garnlav
Brunlångöra
Nordfladdermus
Plattlummer
Mattlummer
Tjäder</t>
        </is>
      </c>
      <c r="W121">
        <f>HYPERLINK("https://klasma.github.io/Logging_1737/artfynd/S 541-2025 artfynd.xlsx", "S 541-2025")</f>
        <v/>
      </c>
      <c r="X121">
        <f>HYPERLINK("https://klasma.github.io/Logging_1737/kartor/S 541-2025 karta.png", "S 541-2025")</f>
        <v/>
      </c>
      <c r="Y121">
        <f>HYPERLINK("https://klasma.github.io/Logging_1737/kartor_geotiff/S 541-2025 georefererad karta.tif", "S 541-2025")</f>
        <v/>
      </c>
      <c r="AA121">
        <f>HYPERLINK("https://klasma.github.io/Logging_1737/klagomål/S 541-2025 FSC-klagomål.docx", "S 541-2025")</f>
        <v/>
      </c>
      <c r="AB121">
        <f>HYPERLINK("https://klasma.github.io/Logging_1737/klagomålsmail/S 541-2025 FSC-klagomål mail.docx", "S 541-2025")</f>
        <v/>
      </c>
      <c r="AC121">
        <f>HYPERLINK("https://klasma.github.io/Logging_1737/tillsyn/S 541-2025 tillsynsbegäran.docx", "S 541-2025")</f>
        <v/>
      </c>
      <c r="AD121">
        <f>HYPERLINK("https://klasma.github.io/Logging_1737/tillsynsmail/S 541-2025 tillsynsbegäran mail.docx", "S 541-2025")</f>
        <v/>
      </c>
      <c r="AE121">
        <f>HYPERLINK("https://klasma.github.io/Logging_1737/fåglar/S 541-2025 prioriterade fågelarter.docx", "S 541-2025")</f>
        <v/>
      </c>
    </row>
    <row r="122" ht="15" customHeight="1">
      <c r="A122" t="inlineStr">
        <is>
          <t>S 614-2026</t>
        </is>
      </c>
      <c r="B122" t="inlineStr">
        <is>
          <t>samrådsanmälan</t>
        </is>
      </c>
      <c r="C122" t="inlineStr">
        <is>
          <t>Annan skogsbruksåtgärd</t>
        </is>
      </c>
      <c r="D122" s="1" t="n">
        <v>46085</v>
      </c>
      <c r="E122" s="1" t="n">
        <v>46307</v>
      </c>
      <c r="F122" t="inlineStr">
        <is>
          <t>VÄRMLANDS LÄN</t>
        </is>
      </c>
      <c r="G122" t="inlineStr">
        <is>
          <t>HAGFORS</t>
        </is>
      </c>
      <c r="H122" t="inlineStr">
        <is>
          <t>Bergvik skog väst AB</t>
        </is>
      </c>
      <c r="I122" t="n">
        <v>20.8</v>
      </c>
      <c r="J122" t="n">
        <v>1</v>
      </c>
      <c r="K122" t="n">
        <v>1</v>
      </c>
      <c r="L122" t="n">
        <v>5</v>
      </c>
      <c r="M122" t="n">
        <v>0</v>
      </c>
      <c r="N122" t="n">
        <v>0</v>
      </c>
      <c r="O122" t="n">
        <v>0</v>
      </c>
      <c r="P122" t="n">
        <v>0</v>
      </c>
      <c r="Q122" t="n">
        <v>5</v>
      </c>
      <c r="R122" t="n">
        <v>0</v>
      </c>
      <c r="S122" t="n">
        <v>6</v>
      </c>
      <c r="T122" t="n">
        <v>7</v>
      </c>
      <c r="U122" t="n">
        <v>0</v>
      </c>
      <c r="V122" s="2" t="inlineStr">
        <is>
          <t>Dropptaggsvamp
Dvärgbägarlav
Mörk kolflarnlav
Tretåig hackspett
Vedskivlav
Flagellkvastmossa</t>
        </is>
      </c>
      <c r="W122">
        <f>HYPERLINK("https://klasma.github.io/Logging_1783/artfynd/S 614-2026 artfynd.xlsx", "S 614-2026")</f>
        <v/>
      </c>
      <c r="X122">
        <f>HYPERLINK("https://klasma.github.io/Logging_1783/kartor/S 614-2026 karta.png", "S 614-2026")</f>
        <v/>
      </c>
      <c r="Y122">
        <f>HYPERLINK("https://klasma.github.io/Logging_1783/kartor_geotiff/S 614-2026 georefererad karta.tif", "S 614-2026")</f>
        <v/>
      </c>
      <c r="AA122">
        <f>HYPERLINK("https://klasma.github.io/Logging_1783/klagomål/S 614-2026 FSC-klagomål.docx", "S 614-2026")</f>
        <v/>
      </c>
      <c r="AB122">
        <f>HYPERLINK("https://klasma.github.io/Logging_1783/klagomålsmail/S 614-2026 FSC-klagomål mail.docx", "S 614-2026")</f>
        <v/>
      </c>
      <c r="AC122">
        <f>HYPERLINK("https://klasma.github.io/Logging_1783/tillsyn/S 614-2026 tillsynsbegäran.docx", "S 614-2026")</f>
        <v/>
      </c>
      <c r="AD122">
        <f>HYPERLINK("https://klasma.github.io/Logging_1783/tillsynsmail/S 614-2026 tillsynsbegäran mail.docx", "S 614-2026")</f>
        <v/>
      </c>
      <c r="AE122">
        <f>HYPERLINK("https://klasma.github.io/Logging_1783/fåglar/S 614-2026 prioriterade fågelarter.docx", "S 614-2026")</f>
        <v/>
      </c>
    </row>
    <row r="123" ht="15" customHeight="1">
      <c r="A123" t="inlineStr">
        <is>
          <t>A 72312-2021</t>
        </is>
      </c>
      <c r="B123" t="inlineStr">
        <is>
          <t>avverkningsanmälan</t>
        </is>
      </c>
      <c r="C123" t="inlineStr">
        <is>
          <t>Föryngringsavverkning</t>
        </is>
      </c>
      <c r="D123" s="1" t="n">
        <v>44545</v>
      </c>
      <c r="E123" s="1" t="n">
        <v>46307</v>
      </c>
      <c r="F123" t="inlineStr">
        <is>
          <t>VÄRMLANDS LÄN</t>
        </is>
      </c>
      <c r="G123" t="inlineStr">
        <is>
          <t>TORSBY</t>
        </is>
      </c>
      <c r="I123" t="n">
        <v>5.1</v>
      </c>
      <c r="J123" t="n">
        <v>0</v>
      </c>
      <c r="K123" t="n">
        <v>0</v>
      </c>
      <c r="L123" t="n">
        <v>4</v>
      </c>
      <c r="M123" t="n">
        <v>1</v>
      </c>
      <c r="N123" t="n">
        <v>0</v>
      </c>
      <c r="O123" t="n">
        <v>0</v>
      </c>
      <c r="P123" t="n">
        <v>0</v>
      </c>
      <c r="Q123" t="n">
        <v>5</v>
      </c>
      <c r="R123" t="n">
        <v>1</v>
      </c>
      <c r="S123" t="n">
        <v>5</v>
      </c>
      <c r="T123" t="n">
        <v>23</v>
      </c>
      <c r="U123" t="n">
        <v>23</v>
      </c>
      <c r="V123" s="2" t="inlineStr">
        <is>
          <t>Garnlav
Dvärgbägarlav
Kolflarnlav
Mörk kolflarnlav
Vedskivlav</t>
        </is>
      </c>
      <c r="W123">
        <f>HYPERLINK("https://klasma.github.io/Logging_1737/artfynd/A 72312-2021 artfynd.xlsx", "A 72312-2021")</f>
        <v/>
      </c>
      <c r="X123">
        <f>HYPERLINK("https://klasma.github.io/Logging_1737/kartor/A 72312-2021 karta.png", "A 72312-2021")</f>
        <v/>
      </c>
      <c r="Y123">
        <f>HYPERLINK("https://klasma.github.io/Logging_1737/kartor_geotiff/A 72312-2021 georefererad karta.tif", "A 72312-2021")</f>
        <v/>
      </c>
      <c r="AA123">
        <f>HYPERLINK("https://klasma.github.io/Logging_1737/klagomål/A 72312-2021 FSC-klagomål.docx", "A 72312-2021")</f>
        <v/>
      </c>
      <c r="AB123">
        <f>HYPERLINK("https://klasma.github.io/Logging_1737/klagomålsmail/A 72312-2021 FSC-klagomål mail.docx", "A 72312-2021")</f>
        <v/>
      </c>
      <c r="AC123">
        <f>HYPERLINK("https://klasma.github.io/Logging_1737/tillsyn/A 72312-2021 tillsynsbegäran.docx", "A 72312-2021")</f>
        <v/>
      </c>
      <c r="AD123">
        <f>HYPERLINK("https://klasma.github.io/Logging_1737/tillsynsmail/A 72312-2021 tillsynsbegäran mail.docx", "A 72312-2021")</f>
        <v/>
      </c>
    </row>
    <row r="124" ht="15" customHeight="1">
      <c r="A124" t="inlineStr">
        <is>
          <t>A 909-2025</t>
        </is>
      </c>
      <c r="B124" t="inlineStr">
        <is>
          <t>avverkningsanmälan</t>
        </is>
      </c>
      <c r="C124" t="inlineStr">
        <is>
          <t>Föryngringsavverkning</t>
        </is>
      </c>
      <c r="D124" s="1" t="n">
        <v>45664</v>
      </c>
      <c r="E124" s="1" t="n">
        <v>46307</v>
      </c>
      <c r="F124" t="inlineStr">
        <is>
          <t>VÄRMLANDS LÄN</t>
        </is>
      </c>
      <c r="G124" t="inlineStr">
        <is>
          <t>GRUMS</t>
        </is>
      </c>
      <c r="I124" t="n">
        <v>4.5</v>
      </c>
      <c r="J124" t="n">
        <v>0</v>
      </c>
      <c r="K124" t="n">
        <v>2</v>
      </c>
      <c r="L124" t="n">
        <v>2</v>
      </c>
      <c r="M124" t="n">
        <v>1</v>
      </c>
      <c r="N124" t="n">
        <v>0</v>
      </c>
      <c r="O124" t="n">
        <v>0</v>
      </c>
      <c r="P124" t="n">
        <v>0</v>
      </c>
      <c r="Q124" t="n">
        <v>3</v>
      </c>
      <c r="R124" t="n">
        <v>1</v>
      </c>
      <c r="S124" t="n">
        <v>5</v>
      </c>
      <c r="T124" t="n">
        <v>5</v>
      </c>
      <c r="U124" t="n">
        <v>0</v>
      </c>
      <c r="V124" s="2" t="inlineStr">
        <is>
          <t>Silverblåvinge
Skogsklocka
Skuggorangelav
Brun nållav
Gulpudrad spiklav</t>
        </is>
      </c>
      <c r="W124">
        <f>HYPERLINK("https://klasma.github.io/Logging_1764/artfynd/A 909-2025 artfynd.xlsx", "A 909-2025")</f>
        <v/>
      </c>
      <c r="X124">
        <f>HYPERLINK("https://klasma.github.io/Logging_1764/kartor/A 909-2025 karta.png", "A 909-2025")</f>
        <v/>
      </c>
      <c r="Y124">
        <f>HYPERLINK("https://klasma.github.io/Logging_1764/kartor_geotiff/A 909-2025 georefererad karta.tif", "A 909-2025")</f>
        <v/>
      </c>
      <c r="AA124">
        <f>HYPERLINK("https://klasma.github.io/Logging_1764/klagomål/A 909-2025 FSC-klagomål.docx", "A 909-2025")</f>
        <v/>
      </c>
      <c r="AB124">
        <f>HYPERLINK("https://klasma.github.io/Logging_1764/klagomålsmail/A 909-2025 FSC-klagomål mail.docx", "A 909-2025")</f>
        <v/>
      </c>
      <c r="AC124">
        <f>HYPERLINK("https://klasma.github.io/Logging_1764/tillsyn/A 909-2025 tillsynsbegäran.docx", "A 909-2025")</f>
        <v/>
      </c>
      <c r="AD124">
        <f>HYPERLINK("https://klasma.github.io/Logging_1764/tillsynsmail/A 909-2025 tillsynsbegäran mail.docx", "A 909-2025")</f>
        <v/>
      </c>
    </row>
    <row r="125" ht="15" customHeight="1">
      <c r="A125" t="inlineStr">
        <is>
          <t>A 60668-2023</t>
        </is>
      </c>
      <c r="B125" t="inlineStr">
        <is>
          <t>avverkningsanmälan</t>
        </is>
      </c>
      <c r="C125" t="inlineStr">
        <is>
          <t>Föryngringsavverkning</t>
        </is>
      </c>
      <c r="D125" s="1" t="n">
        <v>45260</v>
      </c>
      <c r="E125" s="1" t="n">
        <v>46307</v>
      </c>
      <c r="F125" t="inlineStr">
        <is>
          <t>VÄRMLANDS LÄN</t>
        </is>
      </c>
      <c r="G125" t="inlineStr">
        <is>
          <t>ÅRJÄNG</t>
        </is>
      </c>
      <c r="I125" t="n">
        <v>4.8</v>
      </c>
      <c r="J125" t="n">
        <v>4</v>
      </c>
      <c r="K125" t="n">
        <v>1</v>
      </c>
      <c r="L125" t="n">
        <v>1</v>
      </c>
      <c r="M125" t="n">
        <v>2</v>
      </c>
      <c r="N125" t="n">
        <v>0</v>
      </c>
      <c r="O125" t="n">
        <v>0</v>
      </c>
      <c r="P125" t="n">
        <v>0</v>
      </c>
      <c r="Q125" t="n">
        <v>3</v>
      </c>
      <c r="R125" t="n">
        <v>2</v>
      </c>
      <c r="S125" t="n">
        <v>5</v>
      </c>
      <c r="T125" t="n">
        <v>5</v>
      </c>
      <c r="U125" t="n">
        <v>4</v>
      </c>
      <c r="V125" s="2" t="inlineStr">
        <is>
          <t>Garnlav
Knärot
Tretåig hackspett
Plattlummer
Spillkråka</t>
        </is>
      </c>
      <c r="W125">
        <f>HYPERLINK("https://klasma.github.io/Logging_1765/artfynd/A 60668-2023 artfynd.xlsx", "A 60668-2023")</f>
        <v/>
      </c>
      <c r="X125">
        <f>HYPERLINK("https://klasma.github.io/Logging_1765/kartor/A 60668-2023 karta.png", "A 60668-2023")</f>
        <v/>
      </c>
      <c r="Y125">
        <f>HYPERLINK("https://klasma.github.io/Logging_1765/kartor_geotiff/A 60668-2023 georefererad karta.tif", "A 60668-2023")</f>
        <v/>
      </c>
      <c r="Z125">
        <f>HYPERLINK("https://klasma.github.io/Logging_1765/knärot/A 60668-2023 karta knärot.png", "A 60668-2023")</f>
        <v/>
      </c>
      <c r="AA125">
        <f>HYPERLINK("https://klasma.github.io/Logging_1765/klagomål/A 60668-2023 FSC-klagomål.docx", "A 60668-2023")</f>
        <v/>
      </c>
      <c r="AB125">
        <f>HYPERLINK("https://klasma.github.io/Logging_1765/klagomålsmail/A 60668-2023 FSC-klagomål mail.docx", "A 60668-2023")</f>
        <v/>
      </c>
      <c r="AC125">
        <f>HYPERLINK("https://klasma.github.io/Logging_1765/tillsyn/A 60668-2023 tillsynsbegäran.docx", "A 60668-2023")</f>
        <v/>
      </c>
      <c r="AD125">
        <f>HYPERLINK("https://klasma.github.io/Logging_1765/tillsynsmail/A 60668-2023 tillsynsbegäran mail.docx", "A 60668-2023")</f>
        <v/>
      </c>
      <c r="AE125">
        <f>HYPERLINK("https://klasma.github.io/Logging_1765/fåglar/A 60668-2023 prioriterade fågelarter.docx", "A 60668-2023")</f>
        <v/>
      </c>
    </row>
    <row r="126" ht="15" customHeight="1">
      <c r="A126" t="inlineStr">
        <is>
          <t>A 44506-2025</t>
        </is>
      </c>
      <c r="B126" t="inlineStr">
        <is>
          <t>avverkningsanmälan</t>
        </is>
      </c>
      <c r="C126" t="inlineStr">
        <is>
          <t>Avverkning för att bevara och utveckla /försöksver</t>
        </is>
      </c>
      <c r="D126" s="1" t="n">
        <v>45916</v>
      </c>
      <c r="E126" s="1" t="n">
        <v>46307</v>
      </c>
      <c r="F126" t="inlineStr">
        <is>
          <t>VÄRMLANDS LÄN</t>
        </is>
      </c>
      <c r="G126" t="inlineStr">
        <is>
          <t>HAGFORS</t>
        </is>
      </c>
      <c r="H126" t="inlineStr">
        <is>
          <t>Bergvik skog väst AB</t>
        </is>
      </c>
      <c r="I126" t="n">
        <v>4.7</v>
      </c>
      <c r="J126" t="n">
        <v>1</v>
      </c>
      <c r="K126" t="n">
        <v>4</v>
      </c>
      <c r="L126" t="n">
        <v>0</v>
      </c>
      <c r="M126" t="n">
        <v>0</v>
      </c>
      <c r="N126" t="n">
        <v>0</v>
      </c>
      <c r="O126" t="n">
        <v>0</v>
      </c>
      <c r="P126" t="n">
        <v>0</v>
      </c>
      <c r="Q126" t="n">
        <v>0</v>
      </c>
      <c r="R126" t="n">
        <v>0</v>
      </c>
      <c r="S126" t="n">
        <v>5</v>
      </c>
      <c r="T126" t="n">
        <v>6</v>
      </c>
      <c r="U126" t="n">
        <v>1</v>
      </c>
      <c r="V126" s="2" t="inlineStr">
        <is>
          <t>Bårdlav
Svart trolldruva
Trådticka
Vedticka
Nattviol</t>
        </is>
      </c>
      <c r="W126">
        <f>HYPERLINK("https://klasma.github.io/Logging_1783/artfynd/A 44506-2025 artfynd.xlsx", "A 44506-2025")</f>
        <v/>
      </c>
      <c r="X126">
        <f>HYPERLINK("https://klasma.github.io/Logging_1783/kartor/A 44506-2025 karta.png", "A 44506-2025")</f>
        <v/>
      </c>
      <c r="Y126">
        <f>HYPERLINK("https://klasma.github.io/Logging_1783/kartor_geotiff/A 44506-2025 georefererad karta.tif", "A 44506-2025")</f>
        <v/>
      </c>
      <c r="AA126">
        <f>HYPERLINK("https://klasma.github.io/Logging_1783/klagomål/A 44506-2025 FSC-klagomål.docx", "A 44506-2025")</f>
        <v/>
      </c>
      <c r="AB126">
        <f>HYPERLINK("https://klasma.github.io/Logging_1783/klagomålsmail/A 44506-2025 FSC-klagomål mail.docx", "A 44506-2025")</f>
        <v/>
      </c>
      <c r="AC126">
        <f>HYPERLINK("https://klasma.github.io/Logging_1783/tillsyn/A 44506-2025 tillsynsbegäran.docx", "A 44506-2025")</f>
        <v/>
      </c>
      <c r="AD126">
        <f>HYPERLINK("https://klasma.github.io/Logging_1783/tillsynsmail/A 44506-2025 tillsynsbegäran mail.docx", "A 44506-2025")</f>
        <v/>
      </c>
    </row>
    <row r="127" ht="15" customHeight="1">
      <c r="A127" t="inlineStr">
        <is>
          <t>A 45602-2025</t>
        </is>
      </c>
      <c r="B127" t="inlineStr">
        <is>
          <t>avverkningsanmälan</t>
        </is>
      </c>
      <c r="C127" t="inlineStr">
        <is>
          <t>Föryngringsavverkning</t>
        </is>
      </c>
      <c r="D127" s="1" t="n">
        <v>45922</v>
      </c>
      <c r="E127" s="1" t="n">
        <v>46307</v>
      </c>
      <c r="F127" t="inlineStr">
        <is>
          <t>VÄRMLANDS LÄN</t>
        </is>
      </c>
      <c r="G127" t="inlineStr">
        <is>
          <t>FILIPSTAD</t>
        </is>
      </c>
      <c r="I127" t="n">
        <v>6.2</v>
      </c>
      <c r="J127" t="n">
        <v>0</v>
      </c>
      <c r="K127" t="n">
        <v>3</v>
      </c>
      <c r="L127" t="n">
        <v>2</v>
      </c>
      <c r="M127" t="n">
        <v>0</v>
      </c>
      <c r="N127" t="n">
        <v>0</v>
      </c>
      <c r="O127" t="n">
        <v>0</v>
      </c>
      <c r="P127" t="n">
        <v>0</v>
      </c>
      <c r="Q127" t="n">
        <v>2</v>
      </c>
      <c r="R127" t="n">
        <v>0</v>
      </c>
      <c r="S127" t="n">
        <v>5</v>
      </c>
      <c r="T127" t="n">
        <v>9</v>
      </c>
      <c r="U127" t="n">
        <v>0</v>
      </c>
      <c r="V127" s="2" t="inlineStr">
        <is>
          <t>Veckticka
Vårärt
Blåsfliksmossa
Mörk husmossa
Tibast</t>
        </is>
      </c>
      <c r="W127">
        <f>HYPERLINK("https://klasma.github.io/Logging_1782/artfynd/A 45602-2025 artfynd.xlsx", "A 45602-2025")</f>
        <v/>
      </c>
      <c r="X127">
        <f>HYPERLINK("https://klasma.github.io/Logging_1782/kartor/A 45602-2025 karta.png", "A 45602-2025")</f>
        <v/>
      </c>
      <c r="Y127">
        <f>HYPERLINK("https://klasma.github.io/Logging_1782/kartor_geotiff/A 45602-2025 georefererad karta.tif", "A 45602-2025")</f>
        <v/>
      </c>
      <c r="AA127">
        <f>HYPERLINK("https://klasma.github.io/Logging_1782/klagomål/A 45602-2025 FSC-klagomål.docx", "A 45602-2025")</f>
        <v/>
      </c>
      <c r="AB127">
        <f>HYPERLINK("https://klasma.github.io/Logging_1782/klagomålsmail/A 45602-2025 FSC-klagomål mail.docx", "A 45602-2025")</f>
        <v/>
      </c>
      <c r="AC127">
        <f>HYPERLINK("https://klasma.github.io/Logging_1782/tillsyn/A 45602-2025 tillsynsbegäran.docx", "A 45602-2025")</f>
        <v/>
      </c>
      <c r="AD127">
        <f>HYPERLINK("https://klasma.github.io/Logging_1782/tillsynsmail/A 45602-2025 tillsynsbegäran mail.docx", "A 45602-2025")</f>
        <v/>
      </c>
    </row>
    <row r="128" ht="15" customHeight="1">
      <c r="A128" t="inlineStr">
        <is>
          <t>A 17619-2023</t>
        </is>
      </c>
      <c r="B128" t="inlineStr">
        <is>
          <t>avverkningsanmälan</t>
        </is>
      </c>
      <c r="C128" t="inlineStr">
        <is>
          <t>Föryngringsavverkning</t>
        </is>
      </c>
      <c r="D128" s="1" t="n">
        <v>45036</v>
      </c>
      <c r="E128" s="1" t="n">
        <v>46307</v>
      </c>
      <c r="F128" t="inlineStr">
        <is>
          <t>VÄRMLANDS LÄN</t>
        </is>
      </c>
      <c r="G128" t="inlineStr">
        <is>
          <t>HAGFORS</t>
        </is>
      </c>
      <c r="H128" t="inlineStr">
        <is>
          <t>Kyrkan</t>
        </is>
      </c>
      <c r="I128" t="n">
        <v>3.1</v>
      </c>
      <c r="J128" t="n">
        <v>0</v>
      </c>
      <c r="K128" t="n">
        <v>1</v>
      </c>
      <c r="L128" t="n">
        <v>3</v>
      </c>
      <c r="M128" t="n">
        <v>1</v>
      </c>
      <c r="N128" t="n">
        <v>0</v>
      </c>
      <c r="O128" t="n">
        <v>0</v>
      </c>
      <c r="P128" t="n">
        <v>0</v>
      </c>
      <c r="Q128" t="n">
        <v>4</v>
      </c>
      <c r="R128" t="n">
        <v>1</v>
      </c>
      <c r="S128" t="n">
        <v>5</v>
      </c>
      <c r="T128" t="n">
        <v>5</v>
      </c>
      <c r="U128" t="n">
        <v>0</v>
      </c>
      <c r="V128" s="2" t="inlineStr">
        <is>
          <t>Garnlav
Dropptaggsvamp
Kortskaftad ärgspik
Mörk kolflarnlav
Mindre märgborre</t>
        </is>
      </c>
      <c r="W128">
        <f>HYPERLINK("https://klasma.github.io/Logging_1783/artfynd/A 17619-2023 artfynd.xlsx", "A 17619-2023")</f>
        <v/>
      </c>
      <c r="X128">
        <f>HYPERLINK("https://klasma.github.io/Logging_1783/kartor/A 17619-2023 karta.png", "A 17619-2023")</f>
        <v/>
      </c>
      <c r="Y128">
        <f>HYPERLINK("https://klasma.github.io/Logging_1783/kartor_geotiff/A 17619-2023 georefererad karta.tif", "A 17619-2023")</f>
        <v/>
      </c>
      <c r="AA128">
        <f>HYPERLINK("https://klasma.github.io/Logging_1783/klagomål/A 17619-2023 FSC-klagomål.docx", "A 17619-2023")</f>
        <v/>
      </c>
      <c r="AB128">
        <f>HYPERLINK("https://klasma.github.io/Logging_1783/klagomålsmail/A 17619-2023 FSC-klagomål mail.docx", "A 17619-2023")</f>
        <v/>
      </c>
      <c r="AC128">
        <f>HYPERLINK("https://klasma.github.io/Logging_1783/tillsyn/A 17619-2023 tillsynsbegäran.docx", "A 17619-2023")</f>
        <v/>
      </c>
      <c r="AD128">
        <f>HYPERLINK("https://klasma.github.io/Logging_1783/tillsynsmail/A 17619-2023 tillsynsbegäran mail.docx", "A 17619-2023")</f>
        <v/>
      </c>
    </row>
    <row r="129" ht="15" customHeight="1">
      <c r="A129" t="inlineStr">
        <is>
          <t>A 50318-2024</t>
        </is>
      </c>
      <c r="B129" t="inlineStr">
        <is>
          <t>avverkningsanmälan</t>
        </is>
      </c>
      <c r="C129" t="inlineStr">
        <is>
          <t>Avverkning för annat ändamål</t>
        </is>
      </c>
      <c r="D129" s="1" t="n">
        <v>45600</v>
      </c>
      <c r="E129" s="1" t="n">
        <v>46307</v>
      </c>
      <c r="F129" t="inlineStr">
        <is>
          <t>VÄRMLANDS LÄN</t>
        </is>
      </c>
      <c r="G129" t="inlineStr">
        <is>
          <t>TORSBY</t>
        </is>
      </c>
      <c r="H129" t="inlineStr">
        <is>
          <t>Bergvik skog väst AB</t>
        </is>
      </c>
      <c r="I129" t="n">
        <v>3.5</v>
      </c>
      <c r="J129" t="n">
        <v>1</v>
      </c>
      <c r="K129" t="n">
        <v>1</v>
      </c>
      <c r="L129" t="n">
        <v>3</v>
      </c>
      <c r="M129" t="n">
        <v>1</v>
      </c>
      <c r="N129" t="n">
        <v>0</v>
      </c>
      <c r="O129" t="n">
        <v>0</v>
      </c>
      <c r="P129" t="n">
        <v>0</v>
      </c>
      <c r="Q129" t="n">
        <v>4</v>
      </c>
      <c r="R129" t="n">
        <v>1</v>
      </c>
      <c r="S129" t="n">
        <v>5</v>
      </c>
      <c r="T129" t="n">
        <v>5</v>
      </c>
      <c r="U129" t="n">
        <v>3</v>
      </c>
      <c r="V129" s="2" t="inlineStr">
        <is>
          <t>Garnlav
Hornvaxskinn
Mörk kolflarnlav
Tretåig hackspett
Vedticka</t>
        </is>
      </c>
      <c r="W129">
        <f>HYPERLINK("https://klasma.github.io/Logging_1737/artfynd/A 50318-2024 artfynd.xlsx", "A 50318-2024")</f>
        <v/>
      </c>
      <c r="X129">
        <f>HYPERLINK("https://klasma.github.io/Logging_1737/kartor/A 50318-2024 karta.png", "A 50318-2024")</f>
        <v/>
      </c>
      <c r="Y129">
        <f>HYPERLINK("https://klasma.github.io/Logging_1737/kartor_geotiff/A 50318-2024 georefererad karta.tif", "A 50318-2024")</f>
        <v/>
      </c>
      <c r="AA129">
        <f>HYPERLINK("https://klasma.github.io/Logging_1737/klagomål/A 50318-2024 FSC-klagomål.docx", "A 50318-2024")</f>
        <v/>
      </c>
      <c r="AB129">
        <f>HYPERLINK("https://klasma.github.io/Logging_1737/klagomålsmail/A 50318-2024 FSC-klagomål mail.docx", "A 50318-2024")</f>
        <v/>
      </c>
      <c r="AC129">
        <f>HYPERLINK("https://klasma.github.io/Logging_1737/tillsyn/A 50318-2024 tillsynsbegäran.docx", "A 50318-2024")</f>
        <v/>
      </c>
      <c r="AD129">
        <f>HYPERLINK("https://klasma.github.io/Logging_1737/tillsynsmail/A 50318-2024 tillsynsbegäran mail.docx", "A 50318-2024")</f>
        <v/>
      </c>
      <c r="AE129">
        <f>HYPERLINK("https://klasma.github.io/Logging_1737/fåglar/A 50318-2024 prioriterade fågelarter.docx", "A 50318-2024")</f>
        <v/>
      </c>
    </row>
    <row r="130" ht="15" customHeight="1">
      <c r="A130" t="inlineStr">
        <is>
          <t>A 9226-2025</t>
        </is>
      </c>
      <c r="B130" t="inlineStr">
        <is>
          <t>avverkningsanmälan</t>
        </is>
      </c>
      <c r="C130" t="inlineStr">
        <is>
          <t>Föryngringsavverkning</t>
        </is>
      </c>
      <c r="D130" s="1" t="n">
        <v>45714</v>
      </c>
      <c r="E130" s="1" t="n">
        <v>46307</v>
      </c>
      <c r="F130" t="inlineStr">
        <is>
          <t>VÄRMLANDS LÄN</t>
        </is>
      </c>
      <c r="G130" t="inlineStr">
        <is>
          <t>TORSBY</t>
        </is>
      </c>
      <c r="I130" t="n">
        <v>0.8</v>
      </c>
      <c r="J130" t="n">
        <v>1</v>
      </c>
      <c r="K130" t="n">
        <v>3</v>
      </c>
      <c r="L130" t="n">
        <v>1</v>
      </c>
      <c r="M130" t="n">
        <v>0</v>
      </c>
      <c r="N130" t="n">
        <v>1</v>
      </c>
      <c r="O130" t="n">
        <v>0</v>
      </c>
      <c r="P130" t="n">
        <v>0</v>
      </c>
      <c r="Q130" t="n">
        <v>2</v>
      </c>
      <c r="R130" t="n">
        <v>1</v>
      </c>
      <c r="S130" t="n">
        <v>5</v>
      </c>
      <c r="T130" t="n">
        <v>14</v>
      </c>
      <c r="U130" t="n">
        <v>1</v>
      </c>
      <c r="V130" s="2" t="inlineStr">
        <is>
          <t>Bombmurkla
Späd bäckmossa
Blanksvart trämyra
Mörk husmossa
Skogshakmossa</t>
        </is>
      </c>
      <c r="W130">
        <f>HYPERLINK("https://klasma.github.io/Logging_1737/artfynd/A 9226-2025 artfynd.xlsx", "A 9226-2025")</f>
        <v/>
      </c>
      <c r="X130">
        <f>HYPERLINK("https://klasma.github.io/Logging_1737/kartor/A 9226-2025 karta.png", "A 9226-2025")</f>
        <v/>
      </c>
      <c r="Y130">
        <f>HYPERLINK("https://klasma.github.io/Logging_1737/kartor_geotiff/A 9226-2025 georefererad karta.tif", "A 9226-2025")</f>
        <v/>
      </c>
      <c r="AA130">
        <f>HYPERLINK("https://klasma.github.io/Logging_1737/klagomål/A 9226-2025 FSC-klagomål.docx", "A 9226-2025")</f>
        <v/>
      </c>
      <c r="AB130">
        <f>HYPERLINK("https://klasma.github.io/Logging_1737/klagomålsmail/A 9226-2025 FSC-klagomål mail.docx", "A 9226-2025")</f>
        <v/>
      </c>
      <c r="AC130">
        <f>HYPERLINK("https://klasma.github.io/Logging_1737/tillsyn/A 9226-2025 tillsynsbegäran.docx", "A 9226-2025")</f>
        <v/>
      </c>
      <c r="AD130">
        <f>HYPERLINK("https://klasma.github.io/Logging_1737/tillsynsmail/A 9226-2025 tillsynsbegäran mail.docx", "A 9226-2025")</f>
        <v/>
      </c>
    </row>
    <row r="131" ht="15" customHeight="1">
      <c r="A131" t="inlineStr">
        <is>
          <t>A 61205-2024</t>
        </is>
      </c>
      <c r="B131" t="inlineStr">
        <is>
          <t>avverkningsanmälan</t>
        </is>
      </c>
      <c r="C131" t="inlineStr">
        <is>
          <t>Avverkning för att bevara och utveckla /försöksver</t>
        </is>
      </c>
      <c r="D131" s="1" t="n">
        <v>45645</v>
      </c>
      <c r="E131" s="1" t="n">
        <v>46307</v>
      </c>
      <c r="F131" t="inlineStr">
        <is>
          <t>VÄRMLANDS LÄN</t>
        </is>
      </c>
      <c r="G131" t="inlineStr">
        <is>
          <t>HAGFORS</t>
        </is>
      </c>
      <c r="H131" t="inlineStr">
        <is>
          <t>Bergvik skog väst AB</t>
        </is>
      </c>
      <c r="I131" t="n">
        <v>17.7</v>
      </c>
      <c r="J131" t="n">
        <v>0</v>
      </c>
      <c r="K131" t="n">
        <v>4</v>
      </c>
      <c r="L131" t="n">
        <v>1</v>
      </c>
      <c r="M131" t="n">
        <v>0</v>
      </c>
      <c r="N131" t="n">
        <v>0</v>
      </c>
      <c r="O131" t="n">
        <v>0</v>
      </c>
      <c r="P131" t="n">
        <v>0</v>
      </c>
      <c r="Q131" t="n">
        <v>1</v>
      </c>
      <c r="R131" t="n">
        <v>0</v>
      </c>
      <c r="S131" t="n">
        <v>5</v>
      </c>
      <c r="T131" t="n">
        <v>5</v>
      </c>
      <c r="U131" t="n">
        <v>0</v>
      </c>
      <c r="V131" s="2" t="inlineStr">
        <is>
          <t>Vårärt
Dvärghäxört
Svart trolldruva
Tibast
Underviol</t>
        </is>
      </c>
      <c r="W131">
        <f>HYPERLINK("https://klasma.github.io/Logging_1783/artfynd/A 61205-2024 artfynd.xlsx", "A 61205-2024")</f>
        <v/>
      </c>
      <c r="X131">
        <f>HYPERLINK("https://klasma.github.io/Logging_1783/kartor/A 61205-2024 karta.png", "A 61205-2024")</f>
        <v/>
      </c>
      <c r="Y131">
        <f>HYPERLINK("https://klasma.github.io/Logging_1783/kartor_geotiff/A 61205-2024 georefererad karta.tif", "A 61205-2024")</f>
        <v/>
      </c>
      <c r="AA131">
        <f>HYPERLINK("https://klasma.github.io/Logging_1783/klagomål/A 61205-2024 FSC-klagomål.docx", "A 61205-2024")</f>
        <v/>
      </c>
      <c r="AB131">
        <f>HYPERLINK("https://klasma.github.io/Logging_1783/klagomålsmail/A 61205-2024 FSC-klagomål mail.docx", "A 61205-2024")</f>
        <v/>
      </c>
      <c r="AC131">
        <f>HYPERLINK("https://klasma.github.io/Logging_1783/tillsyn/A 61205-2024 tillsynsbegäran.docx", "A 61205-2024")</f>
        <v/>
      </c>
      <c r="AD131">
        <f>HYPERLINK("https://klasma.github.io/Logging_1783/tillsynsmail/A 61205-2024 tillsynsbegäran mail.docx", "A 61205-2024")</f>
        <v/>
      </c>
    </row>
    <row r="132" ht="15" customHeight="1">
      <c r="A132" t="inlineStr">
        <is>
          <t>A 4972-2022</t>
        </is>
      </c>
      <c r="B132" t="inlineStr">
        <is>
          <t>avverkningsanmälan</t>
        </is>
      </c>
      <c r="C132" t="inlineStr">
        <is>
          <t>Föryngringsavverkning</t>
        </is>
      </c>
      <c r="D132" s="1" t="n">
        <v>44593</v>
      </c>
      <c r="E132" s="1" t="n">
        <v>46307</v>
      </c>
      <c r="F132" t="inlineStr">
        <is>
          <t>VÄRMLANDS LÄN</t>
        </is>
      </c>
      <c r="G132" t="inlineStr">
        <is>
          <t>TORSBY</t>
        </is>
      </c>
      <c r="I132" t="n">
        <v>10.7</v>
      </c>
      <c r="J132" t="n">
        <v>0</v>
      </c>
      <c r="K132" t="n">
        <v>0</v>
      </c>
      <c r="L132" t="n">
        <v>4</v>
      </c>
      <c r="M132" t="n">
        <v>1</v>
      </c>
      <c r="N132" t="n">
        <v>0</v>
      </c>
      <c r="O132" t="n">
        <v>0</v>
      </c>
      <c r="P132" t="n">
        <v>0</v>
      </c>
      <c r="Q132" t="n">
        <v>5</v>
      </c>
      <c r="R132" t="n">
        <v>1</v>
      </c>
      <c r="S132" t="n">
        <v>5</v>
      </c>
      <c r="T132" t="n">
        <v>22</v>
      </c>
      <c r="U132" t="n">
        <v>22</v>
      </c>
      <c r="V132" s="2" t="inlineStr">
        <is>
          <t>Garnlav
Dvärgbägarlav
Kolflarnlav
Mörk kolflarnlav
Vedskivlav</t>
        </is>
      </c>
      <c r="W132">
        <f>HYPERLINK("https://klasma.github.io/Logging_1737/artfynd/A 4972-2022 artfynd.xlsx", "A 4972-2022")</f>
        <v/>
      </c>
      <c r="X132">
        <f>HYPERLINK("https://klasma.github.io/Logging_1737/kartor/A 4972-2022 karta.png", "A 4972-2022")</f>
        <v/>
      </c>
      <c r="Y132">
        <f>HYPERLINK("https://klasma.github.io/Logging_1737/kartor_geotiff/A 4972-2022 georefererad karta.tif", "A 4972-2022")</f>
        <v/>
      </c>
      <c r="AA132">
        <f>HYPERLINK("https://klasma.github.io/Logging_1737/klagomål/A 4972-2022 FSC-klagomål.docx", "A 4972-2022")</f>
        <v/>
      </c>
      <c r="AB132">
        <f>HYPERLINK("https://klasma.github.io/Logging_1737/klagomålsmail/A 4972-2022 FSC-klagomål mail.docx", "A 4972-2022")</f>
        <v/>
      </c>
      <c r="AC132">
        <f>HYPERLINK("https://klasma.github.io/Logging_1737/tillsyn/A 4972-2022 tillsynsbegäran.docx", "A 4972-2022")</f>
        <v/>
      </c>
      <c r="AD132">
        <f>HYPERLINK("https://klasma.github.io/Logging_1737/tillsynsmail/A 4972-2022 tillsynsbegäran mail.docx", "A 4972-2022")</f>
        <v/>
      </c>
    </row>
    <row r="133" ht="15" customHeight="1">
      <c r="A133" t="inlineStr">
        <is>
          <t>A 11927-2022</t>
        </is>
      </c>
      <c r="B133" t="inlineStr">
        <is>
          <t>avverkningsanmälan</t>
        </is>
      </c>
      <c r="C133" t="inlineStr">
        <is>
          <t>Föryngringsavverkning</t>
        </is>
      </c>
      <c r="D133" s="1" t="n">
        <v>44635</v>
      </c>
      <c r="E133" s="1" t="n">
        <v>46307</v>
      </c>
      <c r="F133" t="inlineStr">
        <is>
          <t>VÄRMLANDS LÄN</t>
        </is>
      </c>
      <c r="G133" t="inlineStr">
        <is>
          <t>KARLSTAD</t>
        </is>
      </c>
      <c r="H133" t="inlineStr">
        <is>
          <t>Kommuner</t>
        </is>
      </c>
      <c r="I133" t="n">
        <v>12</v>
      </c>
      <c r="J133" t="n">
        <v>2</v>
      </c>
      <c r="K133" t="n">
        <v>2</v>
      </c>
      <c r="L133" t="n">
        <v>1</v>
      </c>
      <c r="M133" t="n">
        <v>0</v>
      </c>
      <c r="N133" t="n">
        <v>0</v>
      </c>
      <c r="O133" t="n">
        <v>0</v>
      </c>
      <c r="P133" t="n">
        <v>0</v>
      </c>
      <c r="Q133" t="n">
        <v>1</v>
      </c>
      <c r="R133" t="n">
        <v>0</v>
      </c>
      <c r="S133" t="n">
        <v>5</v>
      </c>
      <c r="T133" t="n">
        <v>6</v>
      </c>
      <c r="U133" t="n">
        <v>0</v>
      </c>
      <c r="V133" s="2" t="inlineStr">
        <is>
          <t>Ullticka
Barkticka
Kornig nållav
Åkergroda
Vanlig groda</t>
        </is>
      </c>
      <c r="W133">
        <f>HYPERLINK("https://klasma.github.io/Logging_1780/artfynd/A 11927-2022 artfynd.xlsx", "A 11927-2022")</f>
        <v/>
      </c>
      <c r="X133">
        <f>HYPERLINK("https://klasma.github.io/Logging_1780/kartor/A 11927-2022 karta.png", "A 11927-2022")</f>
        <v/>
      </c>
      <c r="Y133">
        <f>HYPERLINK("https://klasma.github.io/Logging_1780/kartor_geotiff/A 11927-2022 georefererad karta.tif", "A 11927-2022")</f>
        <v/>
      </c>
      <c r="AA133">
        <f>HYPERLINK("https://klasma.github.io/Logging_1780/klagomål/A 11927-2022 FSC-klagomål.docx", "A 11927-2022")</f>
        <v/>
      </c>
      <c r="AB133">
        <f>HYPERLINK("https://klasma.github.io/Logging_1780/klagomålsmail/A 11927-2022 FSC-klagomål mail.docx", "A 11927-2022")</f>
        <v/>
      </c>
      <c r="AC133">
        <f>HYPERLINK("https://klasma.github.io/Logging_1780/tillsyn/A 11927-2022 tillsynsbegäran.docx", "A 11927-2022")</f>
        <v/>
      </c>
      <c r="AD133">
        <f>HYPERLINK("https://klasma.github.io/Logging_1780/tillsynsmail/A 11927-2022 tillsynsbegäran mail.docx", "A 11927-2022")</f>
        <v/>
      </c>
    </row>
    <row r="134" ht="15" customHeight="1">
      <c r="A134" t="inlineStr">
        <is>
          <t>A 33391-2022</t>
        </is>
      </c>
      <c r="B134" t="inlineStr">
        <is>
          <t>avverkningsanmälan</t>
        </is>
      </c>
      <c r="C134" t="inlineStr">
        <is>
          <t>Föryngringsavverkning</t>
        </is>
      </c>
      <c r="D134" s="1" t="n">
        <v>44788</v>
      </c>
      <c r="E134" s="1" t="n">
        <v>46307</v>
      </c>
      <c r="F134" t="inlineStr">
        <is>
          <t>VÄRMLANDS LÄN</t>
        </is>
      </c>
      <c r="G134" t="inlineStr">
        <is>
          <t>GRUMS</t>
        </is>
      </c>
      <c r="I134" t="n">
        <v>25</v>
      </c>
      <c r="J134" t="n">
        <v>2</v>
      </c>
      <c r="K134" t="n">
        <v>3</v>
      </c>
      <c r="L134" t="n">
        <v>0</v>
      </c>
      <c r="M134" t="n">
        <v>0</v>
      </c>
      <c r="N134" t="n">
        <v>0</v>
      </c>
      <c r="O134" t="n">
        <v>0</v>
      </c>
      <c r="P134" t="n">
        <v>0</v>
      </c>
      <c r="Q134" t="n">
        <v>0</v>
      </c>
      <c r="R134" t="n">
        <v>0</v>
      </c>
      <c r="S134" t="n">
        <v>5</v>
      </c>
      <c r="T134" t="n">
        <v>5</v>
      </c>
      <c r="U134" t="n">
        <v>5</v>
      </c>
      <c r="V134" s="2" t="inlineStr">
        <is>
          <t>Björksplintborre
Bronshjon
Vågbandad barkbock
Vanlig groda
Revlummer</t>
        </is>
      </c>
      <c r="W134">
        <f>HYPERLINK("https://klasma.github.io/Logging_1764/artfynd/A 33391-2022 artfynd.xlsx", "A 33391-2022")</f>
        <v/>
      </c>
      <c r="X134">
        <f>HYPERLINK("https://klasma.github.io/Logging_1764/kartor/A 33391-2022 karta.png", "A 33391-2022")</f>
        <v/>
      </c>
      <c r="Y134">
        <f>HYPERLINK("https://klasma.github.io/Logging_1764/kartor_geotiff/A 33391-2022 georefererad karta.tif", "A 33391-2022")</f>
        <v/>
      </c>
      <c r="AA134">
        <f>HYPERLINK("https://klasma.github.io/Logging_1764/klagomål/A 33391-2022 FSC-klagomål.docx", "A 33391-2022")</f>
        <v/>
      </c>
      <c r="AB134">
        <f>HYPERLINK("https://klasma.github.io/Logging_1764/klagomålsmail/A 33391-2022 FSC-klagomål mail.docx", "A 33391-2022")</f>
        <v/>
      </c>
      <c r="AC134">
        <f>HYPERLINK("https://klasma.github.io/Logging_1764/tillsyn/A 33391-2022 tillsynsbegäran.docx", "A 33391-2022")</f>
        <v/>
      </c>
      <c r="AD134">
        <f>HYPERLINK("https://klasma.github.io/Logging_1764/tillsynsmail/A 33391-2022 tillsynsbegäran mail.docx", "A 33391-2022")</f>
        <v/>
      </c>
    </row>
    <row r="135" ht="15" customHeight="1">
      <c r="A135" t="inlineStr">
        <is>
          <t>A 61586-2023</t>
        </is>
      </c>
      <c r="B135" t="inlineStr">
        <is>
          <t>avverkningsanmälan</t>
        </is>
      </c>
      <c r="C135" t="inlineStr">
        <is>
          <t>Föryngringsavverkning</t>
        </is>
      </c>
      <c r="D135" s="1" t="n">
        <v>45265</v>
      </c>
      <c r="E135" s="1" t="n">
        <v>46307</v>
      </c>
      <c r="F135" t="inlineStr">
        <is>
          <t>VÄRMLANDS LÄN</t>
        </is>
      </c>
      <c r="G135" t="inlineStr">
        <is>
          <t>KRISTINEHAMN</t>
        </is>
      </c>
      <c r="I135" t="n">
        <v>9.5</v>
      </c>
      <c r="J135" t="n">
        <v>4</v>
      </c>
      <c r="K135" t="n">
        <v>1</v>
      </c>
      <c r="L135" t="n">
        <v>1</v>
      </c>
      <c r="M135" t="n">
        <v>0</v>
      </c>
      <c r="N135" t="n">
        <v>0</v>
      </c>
      <c r="O135" t="n">
        <v>0</v>
      </c>
      <c r="P135" t="n">
        <v>0</v>
      </c>
      <c r="Q135" t="n">
        <v>1</v>
      </c>
      <c r="R135" t="n">
        <v>0</v>
      </c>
      <c r="S135" t="n">
        <v>5</v>
      </c>
      <c r="T135" t="n">
        <v>5</v>
      </c>
      <c r="U135" t="n">
        <v>5</v>
      </c>
      <c r="V135" s="2" t="inlineStr">
        <is>
          <t>Bivråk
Barkticka
Spillkråka
Havsörn
Röd glada</t>
        </is>
      </c>
      <c r="W135">
        <f>HYPERLINK("https://klasma.github.io/Logging_1781/artfynd/A 61586-2023 artfynd.xlsx", "A 61586-2023")</f>
        <v/>
      </c>
      <c r="X135">
        <f>HYPERLINK("https://klasma.github.io/Logging_1781/kartor/A 61586-2023 karta.png", "A 61586-2023")</f>
        <v/>
      </c>
      <c r="Y135">
        <f>HYPERLINK("https://klasma.github.io/Logging_1781/kartor_geotiff/A 61586-2023 georefererad karta.tif", "A 61586-2023")</f>
        <v/>
      </c>
      <c r="AA135">
        <f>HYPERLINK("https://klasma.github.io/Logging_1781/klagomål/A 61586-2023 FSC-klagomål.docx", "A 61586-2023")</f>
        <v/>
      </c>
      <c r="AB135">
        <f>HYPERLINK("https://klasma.github.io/Logging_1781/klagomålsmail/A 61586-2023 FSC-klagomål mail.docx", "A 61586-2023")</f>
        <v/>
      </c>
      <c r="AC135">
        <f>HYPERLINK("https://klasma.github.io/Logging_1781/tillsyn/A 61586-2023 tillsynsbegäran.docx", "A 61586-2023")</f>
        <v/>
      </c>
      <c r="AD135">
        <f>HYPERLINK("https://klasma.github.io/Logging_1781/tillsynsmail/A 61586-2023 tillsynsbegäran mail.docx", "A 61586-2023")</f>
        <v/>
      </c>
      <c r="AE135">
        <f>HYPERLINK("https://klasma.github.io/Logging_1781/fåglar/A 61586-2023 prioriterade fågelarter.docx", "A 61586-2023")</f>
        <v/>
      </c>
    </row>
    <row r="136" ht="15" customHeight="1">
      <c r="A136" t="inlineStr">
        <is>
          <t>A 25899-2024</t>
        </is>
      </c>
      <c r="B136" t="inlineStr">
        <is>
          <t>avverkningsanmälan</t>
        </is>
      </c>
      <c r="C136" t="inlineStr">
        <is>
          <t>Föryngringsavverkning</t>
        </is>
      </c>
      <c r="D136" s="1" t="n">
        <v>45467</v>
      </c>
      <c r="E136" s="1" t="n">
        <v>46307</v>
      </c>
      <c r="F136" t="inlineStr">
        <is>
          <t>VÄRMLANDS LÄN</t>
        </is>
      </c>
      <c r="G136" t="inlineStr">
        <is>
          <t>TORSBY</t>
        </is>
      </c>
      <c r="I136" t="n">
        <v>28.3</v>
      </c>
      <c r="J136" t="n">
        <v>1</v>
      </c>
      <c r="K136" t="n">
        <v>2</v>
      </c>
      <c r="L136" t="n">
        <v>1</v>
      </c>
      <c r="M136" t="n">
        <v>1</v>
      </c>
      <c r="N136" t="n">
        <v>0</v>
      </c>
      <c r="O136" t="n">
        <v>0</v>
      </c>
      <c r="P136" t="n">
        <v>0</v>
      </c>
      <c r="Q136" t="n">
        <v>2</v>
      </c>
      <c r="R136" t="n">
        <v>1</v>
      </c>
      <c r="S136" t="n">
        <v>5</v>
      </c>
      <c r="T136" t="n">
        <v>6</v>
      </c>
      <c r="U136" t="n">
        <v>0</v>
      </c>
      <c r="V136" s="2" t="inlineStr">
        <is>
          <t>Garnlav
Lunglav
Korallblylav
Vedticka
Tjäder</t>
        </is>
      </c>
      <c r="W136">
        <f>HYPERLINK("https://klasma.github.io/Logging_1737/artfynd/A 25899-2024 artfynd.xlsx", "A 25899-2024")</f>
        <v/>
      </c>
      <c r="X136">
        <f>HYPERLINK("https://klasma.github.io/Logging_1737/kartor/A 25899-2024 karta.png", "A 25899-2024")</f>
        <v/>
      </c>
      <c r="Y136">
        <f>HYPERLINK("https://klasma.github.io/Logging_1737/kartor_geotiff/A 25899-2024 georefererad karta.tif", "A 25899-2024")</f>
        <v/>
      </c>
      <c r="AA136">
        <f>HYPERLINK("https://klasma.github.io/Logging_1737/klagomål/A 25899-2024 FSC-klagomål.docx", "A 25899-2024")</f>
        <v/>
      </c>
      <c r="AB136">
        <f>HYPERLINK("https://klasma.github.io/Logging_1737/klagomålsmail/A 25899-2024 FSC-klagomål mail.docx", "A 25899-2024")</f>
        <v/>
      </c>
      <c r="AC136">
        <f>HYPERLINK("https://klasma.github.io/Logging_1737/tillsyn/A 25899-2024 tillsynsbegäran.docx", "A 25899-2024")</f>
        <v/>
      </c>
      <c r="AD136">
        <f>HYPERLINK("https://klasma.github.io/Logging_1737/tillsynsmail/A 25899-2024 tillsynsbegäran mail.docx", "A 25899-2024")</f>
        <v/>
      </c>
      <c r="AE136">
        <f>HYPERLINK("https://klasma.github.io/Logging_1737/fåglar/A 25899-2024 prioriterade fågelarter.docx", "A 25899-2024")</f>
        <v/>
      </c>
    </row>
    <row r="137" ht="15" customHeight="1">
      <c r="A137" t="inlineStr">
        <is>
          <t>A 36543-2025</t>
        </is>
      </c>
      <c r="B137" t="inlineStr">
        <is>
          <t>avverkningsanmälan</t>
        </is>
      </c>
      <c r="C137" t="inlineStr">
        <is>
          <t>Föryngringsavverkning</t>
        </is>
      </c>
      <c r="D137" s="1" t="n">
        <v>45869</v>
      </c>
      <c r="E137" s="1" t="n">
        <v>46307</v>
      </c>
      <c r="F137" t="inlineStr">
        <is>
          <t>VÄRMLANDS LÄN</t>
        </is>
      </c>
      <c r="G137" t="inlineStr">
        <is>
          <t>TORSBY</t>
        </is>
      </c>
      <c r="I137" t="n">
        <v>7.4</v>
      </c>
      <c r="J137" t="n">
        <v>0</v>
      </c>
      <c r="K137" t="n">
        <v>0</v>
      </c>
      <c r="L137" t="n">
        <v>4</v>
      </c>
      <c r="M137" t="n">
        <v>1</v>
      </c>
      <c r="N137" t="n">
        <v>0</v>
      </c>
      <c r="O137" t="n">
        <v>0</v>
      </c>
      <c r="P137" t="n">
        <v>0</v>
      </c>
      <c r="Q137" t="n">
        <v>5</v>
      </c>
      <c r="R137" t="n">
        <v>1</v>
      </c>
      <c r="S137" t="n">
        <v>5</v>
      </c>
      <c r="T137" t="n">
        <v>23</v>
      </c>
      <c r="U137" t="n">
        <v>2</v>
      </c>
      <c r="V137" s="2" t="inlineStr">
        <is>
          <t>Garnlav
Dvärgbägarlav
Kolflarnlav
Mörk kolflarnlav
Vedskivlav</t>
        </is>
      </c>
      <c r="W137">
        <f>HYPERLINK("https://klasma.github.io/Logging_1737/artfynd/A 36543-2025 artfynd.xlsx", "A 36543-2025")</f>
        <v/>
      </c>
      <c r="X137">
        <f>HYPERLINK("https://klasma.github.io/Logging_1737/kartor/A 36543-2025 karta.png", "A 36543-2025")</f>
        <v/>
      </c>
      <c r="Y137">
        <f>HYPERLINK("https://klasma.github.io/Logging_1737/kartor_geotiff/A 36543-2025 georefererad karta.tif", "A 36543-2025")</f>
        <v/>
      </c>
      <c r="AA137">
        <f>HYPERLINK("https://klasma.github.io/Logging_1737/klagomål/A 36543-2025 FSC-klagomål.docx", "A 36543-2025")</f>
        <v/>
      </c>
      <c r="AB137">
        <f>HYPERLINK("https://klasma.github.io/Logging_1737/klagomålsmail/A 36543-2025 FSC-klagomål mail.docx", "A 36543-2025")</f>
        <v/>
      </c>
      <c r="AC137">
        <f>HYPERLINK("https://klasma.github.io/Logging_1737/tillsyn/A 36543-2025 tillsynsbegäran.docx", "A 36543-2025")</f>
        <v/>
      </c>
      <c r="AD137">
        <f>HYPERLINK("https://klasma.github.io/Logging_1737/tillsynsmail/A 36543-2025 tillsynsbegäran mail.docx", "A 36543-2025")</f>
        <v/>
      </c>
    </row>
    <row r="138" ht="15" customHeight="1">
      <c r="A138" t="inlineStr">
        <is>
          <t>A 57471-2025</t>
        </is>
      </c>
      <c r="B138" t="inlineStr">
        <is>
          <t>avverkningsanmälan</t>
        </is>
      </c>
      <c r="C138" t="inlineStr">
        <is>
          <t>Föryngringsavverkning</t>
        </is>
      </c>
      <c r="D138" s="1" t="n">
        <v>45980</v>
      </c>
      <c r="E138" s="1" t="n">
        <v>46307</v>
      </c>
      <c r="F138" t="inlineStr">
        <is>
          <t>VÄRMLANDS LÄN</t>
        </is>
      </c>
      <c r="G138" t="inlineStr">
        <is>
          <t>FILIPSTAD</t>
        </is>
      </c>
      <c r="H138" t="inlineStr">
        <is>
          <t>Bergvik skog väst AB</t>
        </is>
      </c>
      <c r="I138" t="n">
        <v>14.4</v>
      </c>
      <c r="J138" t="n">
        <v>1</v>
      </c>
      <c r="K138" t="n">
        <v>2</v>
      </c>
      <c r="L138" t="n">
        <v>1</v>
      </c>
      <c r="M138" t="n">
        <v>1</v>
      </c>
      <c r="N138" t="n">
        <v>0</v>
      </c>
      <c r="O138" t="n">
        <v>0</v>
      </c>
      <c r="P138" t="n">
        <v>0</v>
      </c>
      <c r="Q138" t="n">
        <v>2</v>
      </c>
      <c r="R138" t="n">
        <v>1</v>
      </c>
      <c r="S138" t="n">
        <v>5</v>
      </c>
      <c r="T138" t="n">
        <v>36</v>
      </c>
      <c r="U138" t="n">
        <v>0</v>
      </c>
      <c r="V138" s="2" t="inlineStr">
        <is>
          <t>Garnlav
Kattfotslav
Bollvitmossa
Vågbandad barkbock
Fläcknycklar</t>
        </is>
      </c>
      <c r="W138">
        <f>HYPERLINK("https://klasma.github.io/Logging_1782/artfynd/A 57471-2025 artfynd.xlsx", "A 57471-2025")</f>
        <v/>
      </c>
      <c r="X138">
        <f>HYPERLINK("https://klasma.github.io/Logging_1782/kartor/A 57471-2025 karta.png", "A 57471-2025")</f>
        <v/>
      </c>
      <c r="Y138">
        <f>HYPERLINK("https://klasma.github.io/Logging_1782/kartor_geotiff/A 57471-2025 georefererad karta.tif", "A 57471-2025")</f>
        <v/>
      </c>
      <c r="AA138">
        <f>HYPERLINK("https://klasma.github.io/Logging_1782/klagomål/A 57471-2025 FSC-klagomål.docx", "A 57471-2025")</f>
        <v/>
      </c>
      <c r="AB138">
        <f>HYPERLINK("https://klasma.github.io/Logging_1782/klagomålsmail/A 57471-2025 FSC-klagomål mail.docx", "A 57471-2025")</f>
        <v/>
      </c>
      <c r="AC138">
        <f>HYPERLINK("https://klasma.github.io/Logging_1782/tillsyn/A 57471-2025 tillsynsbegäran.docx", "A 57471-2025")</f>
        <v/>
      </c>
      <c r="AD138">
        <f>HYPERLINK("https://klasma.github.io/Logging_1782/tillsynsmail/A 57471-2025 tillsynsbegäran mail.docx", "A 57471-2025")</f>
        <v/>
      </c>
    </row>
    <row r="139" ht="15" customHeight="1">
      <c r="A139" t="inlineStr">
        <is>
          <t>A 37401-2025</t>
        </is>
      </c>
      <c r="B139" t="inlineStr">
        <is>
          <t>avverkningsanmälan</t>
        </is>
      </c>
      <c r="C139" t="inlineStr">
        <is>
          <t>Föryngringsavverkning</t>
        </is>
      </c>
      <c r="D139" s="1" t="n">
        <v>45877</v>
      </c>
      <c r="E139" s="1" t="n">
        <v>46307</v>
      </c>
      <c r="F139" t="inlineStr">
        <is>
          <t>VÄRMLANDS LÄN</t>
        </is>
      </c>
      <c r="G139" t="inlineStr">
        <is>
          <t>ÅRJÄNG</t>
        </is>
      </c>
      <c r="I139" t="n">
        <v>0.8</v>
      </c>
      <c r="J139" t="n">
        <v>3</v>
      </c>
      <c r="K139" t="n">
        <v>1</v>
      </c>
      <c r="L139" t="n">
        <v>0</v>
      </c>
      <c r="M139" t="n">
        <v>2</v>
      </c>
      <c r="N139" t="n">
        <v>0</v>
      </c>
      <c r="O139" t="n">
        <v>0</v>
      </c>
      <c r="P139" t="n">
        <v>0</v>
      </c>
      <c r="Q139" t="n">
        <v>2</v>
      </c>
      <c r="R139" t="n">
        <v>2</v>
      </c>
      <c r="S139" t="n">
        <v>5</v>
      </c>
      <c r="T139" t="n">
        <v>7</v>
      </c>
      <c r="U139" t="n">
        <v>7</v>
      </c>
      <c r="V139" s="2" t="inlineStr">
        <is>
          <t>Gränsticka
Knärot
Bårdlav
Spillkråka
Gröngöling</t>
        </is>
      </c>
      <c r="W139">
        <f>HYPERLINK("https://klasma.github.io/Logging_1765/artfynd/A 37401-2025 artfynd.xlsx", "A 37401-2025")</f>
        <v/>
      </c>
      <c r="X139">
        <f>HYPERLINK("https://klasma.github.io/Logging_1765/kartor/A 37401-2025 karta.png", "A 37401-2025")</f>
        <v/>
      </c>
      <c r="Y139">
        <f>HYPERLINK("https://klasma.github.io/Logging_1765/kartor_geotiff/A 37401-2025 georefererad karta.tif", "A 37401-2025")</f>
        <v/>
      </c>
      <c r="Z139">
        <f>HYPERLINK("https://klasma.github.io/Logging_1765/knärot/A 37401-2025 karta knärot.png", "A 37401-2025")</f>
        <v/>
      </c>
      <c r="AA139">
        <f>HYPERLINK("https://klasma.github.io/Logging_1765/klagomål/A 37401-2025 FSC-klagomål.docx", "A 37401-2025")</f>
        <v/>
      </c>
      <c r="AB139">
        <f>HYPERLINK("https://klasma.github.io/Logging_1765/klagomålsmail/A 37401-2025 FSC-klagomål mail.docx", "A 37401-2025")</f>
        <v/>
      </c>
      <c r="AC139">
        <f>HYPERLINK("https://klasma.github.io/Logging_1765/tillsyn/A 37401-2025 tillsynsbegäran.docx", "A 37401-2025")</f>
        <v/>
      </c>
      <c r="AD139">
        <f>HYPERLINK("https://klasma.github.io/Logging_1765/tillsynsmail/A 37401-2025 tillsynsbegäran mail.docx", "A 37401-2025")</f>
        <v/>
      </c>
      <c r="AE139">
        <f>HYPERLINK("https://klasma.github.io/Logging_1765/fåglar/A 37401-2025 prioriterade fågelarter.docx", "A 37401-2025")</f>
        <v/>
      </c>
    </row>
    <row r="140" ht="15" customHeight="1">
      <c r="A140" t="inlineStr">
        <is>
          <t>A 61380-2023</t>
        </is>
      </c>
      <c r="B140" t="inlineStr">
        <is>
          <t>avverkningsanmälan</t>
        </is>
      </c>
      <c r="C140" t="inlineStr">
        <is>
          <t>Föryngringsavverkning</t>
        </is>
      </c>
      <c r="D140" s="1" t="n">
        <v>45264</v>
      </c>
      <c r="E140" s="1" t="n">
        <v>46307</v>
      </c>
      <c r="F140" t="inlineStr">
        <is>
          <t>VÄRMLANDS LÄN</t>
        </is>
      </c>
      <c r="G140" t="inlineStr">
        <is>
          <t>HAMMARÖ</t>
        </is>
      </c>
      <c r="I140" t="n">
        <v>3.3</v>
      </c>
      <c r="J140" t="n">
        <v>1</v>
      </c>
      <c r="K140" t="n">
        <v>1</v>
      </c>
      <c r="L140" t="n">
        <v>3</v>
      </c>
      <c r="M140" t="n">
        <v>1</v>
      </c>
      <c r="N140" t="n">
        <v>0</v>
      </c>
      <c r="O140" t="n">
        <v>0</v>
      </c>
      <c r="P140" t="n">
        <v>0</v>
      </c>
      <c r="Q140" t="n">
        <v>4</v>
      </c>
      <c r="R140" t="n">
        <v>1</v>
      </c>
      <c r="S140" t="n">
        <v>5</v>
      </c>
      <c r="T140" t="n">
        <v>8</v>
      </c>
      <c r="U140" t="n">
        <v>4</v>
      </c>
      <c r="V140" s="2" t="inlineStr">
        <is>
          <t>Knärot
Blå taggsvamp
Gropticka
Motaggsvamp
Gullgröppa</t>
        </is>
      </c>
      <c r="W140">
        <f>HYPERLINK("https://klasma.github.io/Logging_1761/artfynd/A 61380-2023 artfynd.xlsx", "A 61380-2023")</f>
        <v/>
      </c>
      <c r="X140">
        <f>HYPERLINK("https://klasma.github.io/Logging_1761/kartor/A 61380-2023 karta.png", "A 61380-2023")</f>
        <v/>
      </c>
      <c r="Y140">
        <f>HYPERLINK("https://klasma.github.io/Logging_1761/kartor_geotiff/A 61380-2023 georefererad karta.tif", "A 61380-2023")</f>
        <v/>
      </c>
      <c r="Z140">
        <f>HYPERLINK("https://klasma.github.io/Logging_1761/knärot/A 61380-2023 karta knärot.png", "A 61380-2023")</f>
        <v/>
      </c>
      <c r="AA140">
        <f>HYPERLINK("https://klasma.github.io/Logging_1761/klagomål/A 61380-2023 FSC-klagomål.docx", "A 61380-2023")</f>
        <v/>
      </c>
      <c r="AB140">
        <f>HYPERLINK("https://klasma.github.io/Logging_1761/klagomålsmail/A 61380-2023 FSC-klagomål mail.docx", "A 61380-2023")</f>
        <v/>
      </c>
      <c r="AC140">
        <f>HYPERLINK("https://klasma.github.io/Logging_1761/tillsyn/A 61380-2023 tillsynsbegäran.docx", "A 61380-2023")</f>
        <v/>
      </c>
      <c r="AD140">
        <f>HYPERLINK("https://klasma.github.io/Logging_1761/tillsynsmail/A 61380-2023 tillsynsbegäran mail.docx", "A 61380-2023")</f>
        <v/>
      </c>
    </row>
    <row r="141" ht="15" customHeight="1">
      <c r="A141" t="inlineStr">
        <is>
          <t>A 16164-2025</t>
        </is>
      </c>
      <c r="B141" t="inlineStr">
        <is>
          <t>avverkningsanmälan</t>
        </is>
      </c>
      <c r="C141" t="inlineStr">
        <is>
          <t>Föryngringsavverkning</t>
        </is>
      </c>
      <c r="D141" s="1" t="n">
        <v>45750</v>
      </c>
      <c r="E141" s="1" t="n">
        <v>46307</v>
      </c>
      <c r="F141" t="inlineStr">
        <is>
          <t>VÄRMLANDS LÄN</t>
        </is>
      </c>
      <c r="G141" t="inlineStr">
        <is>
          <t>TORSBY</t>
        </is>
      </c>
      <c r="I141" t="n">
        <v>1.4</v>
      </c>
      <c r="J141" t="n">
        <v>0</v>
      </c>
      <c r="K141" t="n">
        <v>0</v>
      </c>
      <c r="L141" t="n">
        <v>4</v>
      </c>
      <c r="M141" t="n">
        <v>1</v>
      </c>
      <c r="N141" t="n">
        <v>0</v>
      </c>
      <c r="O141" t="n">
        <v>0</v>
      </c>
      <c r="P141" t="n">
        <v>0</v>
      </c>
      <c r="Q141" t="n">
        <v>5</v>
      </c>
      <c r="R141" t="n">
        <v>1</v>
      </c>
      <c r="S141" t="n">
        <v>5</v>
      </c>
      <c r="T141" t="n">
        <v>5</v>
      </c>
      <c r="U141" t="n">
        <v>2</v>
      </c>
      <c r="V141" s="2" t="inlineStr">
        <is>
          <t>Garnlav
Kattfotslav
Kolflarnlav
Mörk kolflarnlav
Tallriska</t>
        </is>
      </c>
      <c r="W141">
        <f>HYPERLINK("https://klasma.github.io/Logging_1737/artfynd/A 16164-2025 artfynd.xlsx", "A 16164-2025")</f>
        <v/>
      </c>
      <c r="X141">
        <f>HYPERLINK("https://klasma.github.io/Logging_1737/kartor/A 16164-2025 karta.png", "A 16164-2025")</f>
        <v/>
      </c>
      <c r="Y141">
        <f>HYPERLINK("https://klasma.github.io/Logging_1737/kartor_geotiff/A 16164-2025 georefererad karta.tif", "A 16164-2025")</f>
        <v/>
      </c>
      <c r="AA141">
        <f>HYPERLINK("https://klasma.github.io/Logging_1737/klagomål/A 16164-2025 FSC-klagomål.docx", "A 16164-2025")</f>
        <v/>
      </c>
      <c r="AB141">
        <f>HYPERLINK("https://klasma.github.io/Logging_1737/klagomålsmail/A 16164-2025 FSC-klagomål mail.docx", "A 16164-2025")</f>
        <v/>
      </c>
      <c r="AC141">
        <f>HYPERLINK("https://klasma.github.io/Logging_1737/tillsyn/A 16164-2025 tillsynsbegäran.docx", "A 16164-2025")</f>
        <v/>
      </c>
      <c r="AD141">
        <f>HYPERLINK("https://klasma.github.io/Logging_1737/tillsynsmail/A 16164-2025 tillsynsbegäran mail.docx", "A 16164-2025")</f>
        <v/>
      </c>
    </row>
    <row r="142" ht="15" customHeight="1">
      <c r="A142" t="inlineStr">
        <is>
          <t>A 42480-2022</t>
        </is>
      </c>
      <c r="B142" t="inlineStr">
        <is>
          <t>avverkningsanmälan</t>
        </is>
      </c>
      <c r="C142" t="inlineStr">
        <is>
          <t>Föryngringsavverkning</t>
        </is>
      </c>
      <c r="D142" s="1" t="n">
        <v>44831</v>
      </c>
      <c r="E142" s="1" t="n">
        <v>46307</v>
      </c>
      <c r="F142" t="inlineStr">
        <is>
          <t>VÄRMLANDS LÄN</t>
        </is>
      </c>
      <c r="G142" t="inlineStr">
        <is>
          <t>TORSBY</t>
        </is>
      </c>
      <c r="H142" t="inlineStr">
        <is>
          <t>Kommuner</t>
        </is>
      </c>
      <c r="I142" t="n">
        <v>3.7</v>
      </c>
      <c r="J142" t="n">
        <v>2</v>
      </c>
      <c r="K142" t="n">
        <v>0</v>
      </c>
      <c r="L142" t="n">
        <v>2</v>
      </c>
      <c r="M142" t="n">
        <v>2</v>
      </c>
      <c r="N142" t="n">
        <v>0</v>
      </c>
      <c r="O142" t="n">
        <v>0</v>
      </c>
      <c r="P142" t="n">
        <v>0</v>
      </c>
      <c r="Q142" t="n">
        <v>4</v>
      </c>
      <c r="R142" t="n">
        <v>2</v>
      </c>
      <c r="S142" t="n">
        <v>5</v>
      </c>
      <c r="T142" t="n">
        <v>16</v>
      </c>
      <c r="U142" t="n">
        <v>3</v>
      </c>
      <c r="V142" s="2" t="inlineStr">
        <is>
          <t>Garnlav
Knärot
Vedskivlav
Violettgrå tagellav
Tjäder</t>
        </is>
      </c>
      <c r="W142">
        <f>HYPERLINK("https://klasma.github.io/Logging_1737/artfynd/A 42480-2022 artfynd.xlsx", "A 42480-2022")</f>
        <v/>
      </c>
      <c r="X142">
        <f>HYPERLINK("https://klasma.github.io/Logging_1737/kartor/A 42480-2022 karta.png", "A 42480-2022")</f>
        <v/>
      </c>
      <c r="Y142">
        <f>HYPERLINK("https://klasma.github.io/Logging_1737/kartor_geotiff/A 42480-2022 georefererad karta.tif", "A 42480-2022")</f>
        <v/>
      </c>
      <c r="Z142">
        <f>HYPERLINK("https://klasma.github.io/Logging_1737/knärot/A 42480-2022 karta knärot.png", "A 42480-2022")</f>
        <v/>
      </c>
      <c r="AA142">
        <f>HYPERLINK("https://klasma.github.io/Logging_1737/klagomål/A 42480-2022 FSC-klagomål.docx", "A 42480-2022")</f>
        <v/>
      </c>
      <c r="AB142">
        <f>HYPERLINK("https://klasma.github.io/Logging_1737/klagomålsmail/A 42480-2022 FSC-klagomål mail.docx", "A 42480-2022")</f>
        <v/>
      </c>
      <c r="AC142">
        <f>HYPERLINK("https://klasma.github.io/Logging_1737/tillsyn/A 42480-2022 tillsynsbegäran.docx", "A 42480-2022")</f>
        <v/>
      </c>
      <c r="AD142">
        <f>HYPERLINK("https://klasma.github.io/Logging_1737/tillsynsmail/A 42480-2022 tillsynsbegäran mail.docx", "A 42480-2022")</f>
        <v/>
      </c>
      <c r="AE142">
        <f>HYPERLINK("https://klasma.github.io/Logging_1737/fåglar/A 42480-2022 prioriterade fågelarter.docx", "A 42480-2022")</f>
        <v/>
      </c>
    </row>
    <row r="143" ht="15" customHeight="1">
      <c r="A143" t="inlineStr">
        <is>
          <t>A 19183-2024</t>
        </is>
      </c>
      <c r="B143" t="inlineStr">
        <is>
          <t>avverkningsanmälan</t>
        </is>
      </c>
      <c r="C143" t="inlineStr">
        <is>
          <t>Föryngringsavverkning</t>
        </is>
      </c>
      <c r="D143" s="1" t="n">
        <v>45428</v>
      </c>
      <c r="E143" s="1" t="n">
        <v>46307</v>
      </c>
      <c r="F143" t="inlineStr">
        <is>
          <t>VÄRMLANDS LÄN</t>
        </is>
      </c>
      <c r="G143" t="inlineStr">
        <is>
          <t>SUNNE</t>
        </is>
      </c>
      <c r="I143" t="n">
        <v>2.7</v>
      </c>
      <c r="J143" t="n">
        <v>3</v>
      </c>
      <c r="K143" t="n">
        <v>1</v>
      </c>
      <c r="L143" t="n">
        <v>1</v>
      </c>
      <c r="M143" t="n">
        <v>1</v>
      </c>
      <c r="N143" t="n">
        <v>0</v>
      </c>
      <c r="O143" t="n">
        <v>0</v>
      </c>
      <c r="P143" t="n">
        <v>0</v>
      </c>
      <c r="Q143" t="n">
        <v>2</v>
      </c>
      <c r="R143" t="n">
        <v>1</v>
      </c>
      <c r="S143" t="n">
        <v>5</v>
      </c>
      <c r="T143" t="n">
        <v>5</v>
      </c>
      <c r="U143" t="n">
        <v>0</v>
      </c>
      <c r="V143" s="2" t="inlineStr">
        <is>
          <t>Fältgentiana
Klasefibbla
Tvåblad
Brudsporre
Nattviol</t>
        </is>
      </c>
      <c r="W143">
        <f>HYPERLINK("https://klasma.github.io/Logging_1766/artfynd/A 19183-2024 artfynd.xlsx", "A 19183-2024")</f>
        <v/>
      </c>
      <c r="X143">
        <f>HYPERLINK("https://klasma.github.io/Logging_1766/kartor/A 19183-2024 karta.png", "A 19183-2024")</f>
        <v/>
      </c>
      <c r="Y143">
        <f>HYPERLINK("https://klasma.github.io/Logging_1766/kartor_geotiff/A 19183-2024 georefererad karta.tif", "A 19183-2024")</f>
        <v/>
      </c>
      <c r="AA143">
        <f>HYPERLINK("https://klasma.github.io/Logging_1766/klagomål/A 19183-2024 FSC-klagomål.docx", "A 19183-2024")</f>
        <v/>
      </c>
      <c r="AB143">
        <f>HYPERLINK("https://klasma.github.io/Logging_1766/klagomålsmail/A 19183-2024 FSC-klagomål mail.docx", "A 19183-2024")</f>
        <v/>
      </c>
      <c r="AC143">
        <f>HYPERLINK("https://klasma.github.io/Logging_1766/tillsyn/A 19183-2024 tillsynsbegäran.docx", "A 19183-2024")</f>
        <v/>
      </c>
      <c r="AD143">
        <f>HYPERLINK("https://klasma.github.io/Logging_1766/tillsynsmail/A 19183-2024 tillsynsbegäran mail.docx", "A 19183-2024")</f>
        <v/>
      </c>
    </row>
    <row r="144" ht="15" customHeight="1">
      <c r="A144" t="inlineStr">
        <is>
          <t>A 58400-2021</t>
        </is>
      </c>
      <c r="B144" t="inlineStr">
        <is>
          <t>avverkningsanmälan</t>
        </is>
      </c>
      <c r="C144" t="inlineStr">
        <is>
          <t>Föryngringsavverkning</t>
        </is>
      </c>
      <c r="D144" s="1" t="n">
        <v>44488</v>
      </c>
      <c r="E144" s="1" t="n">
        <v>46307</v>
      </c>
      <c r="F144" t="inlineStr">
        <is>
          <t>VÄRMLANDS LÄN</t>
        </is>
      </c>
      <c r="G144" t="inlineStr">
        <is>
          <t>KRISTINEHAMN</t>
        </is>
      </c>
      <c r="I144" t="n">
        <v>24</v>
      </c>
      <c r="J144" t="n">
        <v>2</v>
      </c>
      <c r="K144" t="n">
        <v>2</v>
      </c>
      <c r="L144" t="n">
        <v>2</v>
      </c>
      <c r="M144" t="n">
        <v>0</v>
      </c>
      <c r="N144" t="n">
        <v>0</v>
      </c>
      <c r="O144" t="n">
        <v>0</v>
      </c>
      <c r="P144" t="n">
        <v>0</v>
      </c>
      <c r="Q144" t="n">
        <v>2</v>
      </c>
      <c r="R144" t="n">
        <v>0</v>
      </c>
      <c r="S144" t="n">
        <v>5</v>
      </c>
      <c r="T144" t="n">
        <v>5</v>
      </c>
      <c r="U144" t="n">
        <v>5</v>
      </c>
      <c r="V144" s="2" t="inlineStr">
        <is>
          <t>Kattfotslav
Tretåig hackspett
Rödgul trumpetsvamp
Stor revmossa
Spillkråka</t>
        </is>
      </c>
      <c r="W144">
        <f>HYPERLINK("https://klasma.github.io/Logging_1781/artfynd/A 58400-2021 artfynd.xlsx", "A 58400-2021")</f>
        <v/>
      </c>
      <c r="X144">
        <f>HYPERLINK("https://klasma.github.io/Logging_1781/kartor/A 58400-2021 karta.png", "A 58400-2021")</f>
        <v/>
      </c>
      <c r="Y144">
        <f>HYPERLINK("https://klasma.github.io/Logging_1781/kartor_geotiff/A 58400-2021 georefererad karta.tif", "A 58400-2021")</f>
        <v/>
      </c>
      <c r="AA144">
        <f>HYPERLINK("https://klasma.github.io/Logging_1781/klagomål/A 58400-2021 FSC-klagomål.docx", "A 58400-2021")</f>
        <v/>
      </c>
      <c r="AB144">
        <f>HYPERLINK("https://klasma.github.io/Logging_1781/klagomålsmail/A 58400-2021 FSC-klagomål mail.docx", "A 58400-2021")</f>
        <v/>
      </c>
      <c r="AC144">
        <f>HYPERLINK("https://klasma.github.io/Logging_1781/tillsyn/A 58400-2021 tillsynsbegäran.docx", "A 58400-2021")</f>
        <v/>
      </c>
      <c r="AD144">
        <f>HYPERLINK("https://klasma.github.io/Logging_1781/tillsynsmail/A 58400-2021 tillsynsbegäran mail.docx", "A 58400-2021")</f>
        <v/>
      </c>
      <c r="AE144">
        <f>HYPERLINK("https://klasma.github.io/Logging_1781/fåglar/A 58400-2021 prioriterade fågelarter.docx", "A 58400-2021")</f>
        <v/>
      </c>
    </row>
    <row r="145" ht="15" customHeight="1">
      <c r="A145" t="inlineStr">
        <is>
          <t>A 59469-2025</t>
        </is>
      </c>
      <c r="B145" t="inlineStr">
        <is>
          <t>avverkningsanmälan</t>
        </is>
      </c>
      <c r="C145" t="inlineStr">
        <is>
          <t>Föryngringsavverkning</t>
        </is>
      </c>
      <c r="D145" s="1" t="n">
        <v>45988</v>
      </c>
      <c r="E145" s="1" t="n">
        <v>46307</v>
      </c>
      <c r="F145" t="inlineStr">
        <is>
          <t>VÄRMLANDS LÄN</t>
        </is>
      </c>
      <c r="G145" t="inlineStr">
        <is>
          <t>SÄFFLE</t>
        </is>
      </c>
      <c r="I145" t="n">
        <v>6.1</v>
      </c>
      <c r="J145" t="n">
        <v>1</v>
      </c>
      <c r="K145" t="n">
        <v>2</v>
      </c>
      <c r="L145" t="n">
        <v>2</v>
      </c>
      <c r="M145" t="n">
        <v>0</v>
      </c>
      <c r="N145" t="n">
        <v>0</v>
      </c>
      <c r="O145" t="n">
        <v>0</v>
      </c>
      <c r="P145" t="n">
        <v>0</v>
      </c>
      <c r="Q145" t="n">
        <v>2</v>
      </c>
      <c r="R145" t="n">
        <v>0</v>
      </c>
      <c r="S145" t="n">
        <v>5</v>
      </c>
      <c r="T145" t="n">
        <v>8</v>
      </c>
      <c r="U145" t="n">
        <v>0</v>
      </c>
      <c r="V145" s="2" t="inlineStr">
        <is>
          <t>Gullpudra
Vårärt
Springkorn
Svart trolldruva
Blåsippa</t>
        </is>
      </c>
      <c r="W145">
        <f>HYPERLINK("https://klasma.github.io/Logging_1785/artfynd/A 59469-2025 artfynd.xlsx", "A 59469-2025")</f>
        <v/>
      </c>
      <c r="X145">
        <f>HYPERLINK("https://klasma.github.io/Logging_1785/kartor/A 59469-2025 karta.png", "A 59469-2025")</f>
        <v/>
      </c>
      <c r="Y145">
        <f>HYPERLINK("https://klasma.github.io/Logging_1785/kartor_geotiff/A 59469-2025 georefererad karta.tif", "A 59469-2025")</f>
        <v/>
      </c>
      <c r="AA145">
        <f>HYPERLINK("https://klasma.github.io/Logging_1785/klagomål/A 59469-2025 FSC-klagomål.docx", "A 59469-2025")</f>
        <v/>
      </c>
      <c r="AB145">
        <f>HYPERLINK("https://klasma.github.io/Logging_1785/klagomålsmail/A 59469-2025 FSC-klagomål mail.docx", "A 59469-2025")</f>
        <v/>
      </c>
      <c r="AC145">
        <f>HYPERLINK("https://klasma.github.io/Logging_1785/tillsyn/A 59469-2025 tillsynsbegäran.docx", "A 59469-2025")</f>
        <v/>
      </c>
      <c r="AD145">
        <f>HYPERLINK("https://klasma.github.io/Logging_1785/tillsynsmail/A 59469-2025 tillsynsbegäran mail.docx", "A 59469-2025")</f>
        <v/>
      </c>
    </row>
    <row r="146" ht="15" customHeight="1">
      <c r="A146" t="inlineStr">
        <is>
          <t>A 55444-2025</t>
        </is>
      </c>
      <c r="B146" t="inlineStr">
        <is>
          <t>avverkningsanmälan</t>
        </is>
      </c>
      <c r="C146" t="inlineStr">
        <is>
          <t>Föryngringsavverkning</t>
        </is>
      </c>
      <c r="D146" s="1" t="n">
        <v>45971</v>
      </c>
      <c r="E146" s="1" t="n">
        <v>46307</v>
      </c>
      <c r="F146" t="inlineStr">
        <is>
          <t>VÄRMLANDS LÄN</t>
        </is>
      </c>
      <c r="G146" t="inlineStr">
        <is>
          <t>KIL</t>
        </is>
      </c>
      <c r="I146" t="n">
        <v>3.9</v>
      </c>
      <c r="J146" t="n">
        <v>1</v>
      </c>
      <c r="K146" t="n">
        <v>3</v>
      </c>
      <c r="L146" t="n">
        <v>1</v>
      </c>
      <c r="M146" t="n">
        <v>0</v>
      </c>
      <c r="N146" t="n">
        <v>0</v>
      </c>
      <c r="O146" t="n">
        <v>0</v>
      </c>
      <c r="P146" t="n">
        <v>0</v>
      </c>
      <c r="Q146" t="n">
        <v>1</v>
      </c>
      <c r="R146" t="n">
        <v>0</v>
      </c>
      <c r="S146" t="n">
        <v>5</v>
      </c>
      <c r="T146" t="n">
        <v>5</v>
      </c>
      <c r="U146" t="n">
        <v>5</v>
      </c>
      <c r="V146" s="2" t="inlineStr">
        <is>
          <t>Ullticka
Rävticka
Vedticka
Vågbandad barkbock
Spillkråka</t>
        </is>
      </c>
      <c r="W146">
        <f>HYPERLINK("https://klasma.github.io/Logging_1715/artfynd/A 55444-2025 artfynd.xlsx", "A 55444-2025")</f>
        <v/>
      </c>
      <c r="X146">
        <f>HYPERLINK("https://klasma.github.io/Logging_1715/kartor/A 55444-2025 karta.png", "A 55444-2025")</f>
        <v/>
      </c>
      <c r="Y146">
        <f>HYPERLINK("https://klasma.github.io/Logging_1715/kartor_geotiff/A 55444-2025 georefererad karta.tif", "A 55444-2025")</f>
        <v/>
      </c>
      <c r="AA146">
        <f>HYPERLINK("https://klasma.github.io/Logging_1715/klagomål/A 55444-2025 FSC-klagomål.docx", "A 55444-2025")</f>
        <v/>
      </c>
      <c r="AB146">
        <f>HYPERLINK("https://klasma.github.io/Logging_1715/klagomålsmail/A 55444-2025 FSC-klagomål mail.docx", "A 55444-2025")</f>
        <v/>
      </c>
      <c r="AC146">
        <f>HYPERLINK("https://klasma.github.io/Logging_1715/tillsyn/A 55444-2025 tillsynsbegäran.docx", "A 55444-2025")</f>
        <v/>
      </c>
      <c r="AD146">
        <f>HYPERLINK("https://klasma.github.io/Logging_1715/tillsynsmail/A 55444-2025 tillsynsbegäran mail.docx", "A 55444-2025")</f>
        <v/>
      </c>
      <c r="AE146">
        <f>HYPERLINK("https://klasma.github.io/Logging_1715/fåglar/A 55444-2025 prioriterade fågelarter.docx", "A 55444-2025")</f>
        <v/>
      </c>
    </row>
    <row r="147" ht="15" customHeight="1">
      <c r="A147" t="inlineStr">
        <is>
          <t>A 15086-2025</t>
        </is>
      </c>
      <c r="B147" t="inlineStr">
        <is>
          <t>avverkningsanmälan</t>
        </is>
      </c>
      <c r="C147" t="inlineStr">
        <is>
          <t>Föryngringsavverkning</t>
        </is>
      </c>
      <c r="D147" s="1" t="n">
        <v>45743</v>
      </c>
      <c r="E147" s="1" t="n">
        <v>46307</v>
      </c>
      <c r="F147" t="inlineStr">
        <is>
          <t>VÄRMLANDS LÄN</t>
        </is>
      </c>
      <c r="G147" t="inlineStr">
        <is>
          <t>TORSBY</t>
        </is>
      </c>
      <c r="I147" t="n">
        <v>4.5</v>
      </c>
      <c r="J147" t="n">
        <v>0</v>
      </c>
      <c r="K147" t="n">
        <v>0</v>
      </c>
      <c r="L147" t="n">
        <v>5</v>
      </c>
      <c r="M147" t="n">
        <v>0</v>
      </c>
      <c r="N147" t="n">
        <v>0</v>
      </c>
      <c r="O147" t="n">
        <v>0</v>
      </c>
      <c r="P147" t="n">
        <v>0</v>
      </c>
      <c r="Q147" t="n">
        <v>5</v>
      </c>
      <c r="R147" t="n">
        <v>0</v>
      </c>
      <c r="S147" t="n">
        <v>5</v>
      </c>
      <c r="T147" t="n">
        <v>5</v>
      </c>
      <c r="U147" t="n">
        <v>0</v>
      </c>
      <c r="V147" s="2" t="inlineStr">
        <is>
          <t>Brunpudrad nållav
Doftskinn
Gammelgransskål
Kattfotslav
Vedskivlav</t>
        </is>
      </c>
      <c r="W147">
        <f>HYPERLINK("https://klasma.github.io/Logging_1737/artfynd/A 15086-2025 artfynd.xlsx", "A 15086-2025")</f>
        <v/>
      </c>
      <c r="X147">
        <f>HYPERLINK("https://klasma.github.io/Logging_1737/kartor/A 15086-2025 karta.png", "A 15086-2025")</f>
        <v/>
      </c>
      <c r="Y147">
        <f>HYPERLINK("https://klasma.github.io/Logging_1737/kartor_geotiff/A 15086-2025 georefererad karta.tif", "A 15086-2025")</f>
        <v/>
      </c>
      <c r="AA147">
        <f>HYPERLINK("https://klasma.github.io/Logging_1737/klagomål/A 15086-2025 FSC-klagomål.docx", "A 15086-2025")</f>
        <v/>
      </c>
      <c r="AB147">
        <f>HYPERLINK("https://klasma.github.io/Logging_1737/klagomålsmail/A 15086-2025 FSC-klagomål mail.docx", "A 15086-2025")</f>
        <v/>
      </c>
      <c r="AC147">
        <f>HYPERLINK("https://klasma.github.io/Logging_1737/tillsyn/A 15086-2025 tillsynsbegäran.docx", "A 15086-2025")</f>
        <v/>
      </c>
      <c r="AD147">
        <f>HYPERLINK("https://klasma.github.io/Logging_1737/tillsynsmail/A 15086-2025 tillsynsbegäran mail.docx", "A 15086-2025")</f>
        <v/>
      </c>
    </row>
    <row r="148" ht="15" customHeight="1">
      <c r="A148" t="inlineStr">
        <is>
          <t>A 3573-2026</t>
        </is>
      </c>
      <c r="B148" t="inlineStr">
        <is>
          <t>avverkningsanmälan</t>
        </is>
      </c>
      <c r="C148" t="inlineStr">
        <is>
          <t>Föryngringsavverkning</t>
        </is>
      </c>
      <c r="D148" s="1" t="n">
        <v>46042</v>
      </c>
      <c r="E148" s="1" t="n">
        <v>46307</v>
      </c>
      <c r="F148" t="inlineStr">
        <is>
          <t>VÄRMLANDS LÄN</t>
        </is>
      </c>
      <c r="G148" t="inlineStr">
        <is>
          <t>HAMMARÖ</t>
        </is>
      </c>
      <c r="I148" t="n">
        <v>4.3</v>
      </c>
      <c r="J148" t="n">
        <v>4</v>
      </c>
      <c r="K148" t="n">
        <v>1</v>
      </c>
      <c r="L148" t="n">
        <v>0</v>
      </c>
      <c r="M148" t="n">
        <v>1</v>
      </c>
      <c r="N148" t="n">
        <v>0</v>
      </c>
      <c r="O148" t="n">
        <v>0</v>
      </c>
      <c r="P148" t="n">
        <v>0</v>
      </c>
      <c r="Q148" t="n">
        <v>1</v>
      </c>
      <c r="R148" t="n">
        <v>1</v>
      </c>
      <c r="S148" t="n">
        <v>5</v>
      </c>
      <c r="T148" t="n">
        <v>16</v>
      </c>
      <c r="U148" t="n">
        <v>0</v>
      </c>
      <c r="V148" s="2" t="inlineStr">
        <is>
          <t>Knärot
Jättesvampmal
Åkergroda
Vanlig groda
Vanlig padda</t>
        </is>
      </c>
      <c r="W148">
        <f>HYPERLINK("https://klasma.github.io/Logging_1761/artfynd/A 3573-2026 artfynd.xlsx", "A 3573-2026")</f>
        <v/>
      </c>
      <c r="X148">
        <f>HYPERLINK("https://klasma.github.io/Logging_1761/kartor/A 3573-2026 karta.png", "A 3573-2026")</f>
        <v/>
      </c>
      <c r="Y148">
        <f>HYPERLINK("https://klasma.github.io/Logging_1761/kartor_geotiff/A 3573-2026 georefererad karta.tif", "A 3573-2026")</f>
        <v/>
      </c>
      <c r="Z148">
        <f>HYPERLINK("https://klasma.github.io/Logging_1761/knärot/A 3573-2026 karta knärot.png", "A 3573-2026")</f>
        <v/>
      </c>
      <c r="AA148">
        <f>HYPERLINK("https://klasma.github.io/Logging_1761/klagomål/A 3573-2026 FSC-klagomål.docx", "A 3573-2026")</f>
        <v/>
      </c>
      <c r="AB148">
        <f>HYPERLINK("https://klasma.github.io/Logging_1761/klagomålsmail/A 3573-2026 FSC-klagomål mail.docx", "A 3573-2026")</f>
        <v/>
      </c>
      <c r="AC148">
        <f>HYPERLINK("https://klasma.github.io/Logging_1761/tillsyn/A 3573-2026 tillsynsbegäran.docx", "A 3573-2026")</f>
        <v/>
      </c>
      <c r="AD148">
        <f>HYPERLINK("https://klasma.github.io/Logging_1761/tillsynsmail/A 3573-2026 tillsynsbegäran mail.docx", "A 3573-2026")</f>
        <v/>
      </c>
    </row>
    <row r="149" ht="15" customHeight="1">
      <c r="A149" t="inlineStr">
        <is>
          <t>A 62275-2023</t>
        </is>
      </c>
      <c r="B149" t="inlineStr">
        <is>
          <t>avverkningsanmälan</t>
        </is>
      </c>
      <c r="C149" t="inlineStr">
        <is>
          <t>Föryngringsavverkning</t>
        </is>
      </c>
      <c r="D149" s="1" t="n">
        <v>45267</v>
      </c>
      <c r="E149" s="1" t="n">
        <v>46307</v>
      </c>
      <c r="F149" t="inlineStr">
        <is>
          <t>VÄRMLANDS LÄN</t>
        </is>
      </c>
      <c r="G149" t="inlineStr">
        <is>
          <t>TORSBY</t>
        </is>
      </c>
      <c r="I149" t="n">
        <v>3.9</v>
      </c>
      <c r="J149" t="n">
        <v>0</v>
      </c>
      <c r="K149" t="n">
        <v>2</v>
      </c>
      <c r="L149" t="n">
        <v>3</v>
      </c>
      <c r="M149" t="n">
        <v>0</v>
      </c>
      <c r="N149" t="n">
        <v>0</v>
      </c>
      <c r="O149" t="n">
        <v>0</v>
      </c>
      <c r="P149" t="n">
        <v>0</v>
      </c>
      <c r="Q149" t="n">
        <v>3</v>
      </c>
      <c r="R149" t="n">
        <v>0</v>
      </c>
      <c r="S149" t="n">
        <v>5</v>
      </c>
      <c r="T149" t="n">
        <v>5</v>
      </c>
      <c r="U149" t="n">
        <v>0</v>
      </c>
      <c r="V149" s="2" t="inlineStr">
        <is>
          <t>Ullticka
Veckticka
Vedtrappmossa
Jättesvampmal
Stor aspticka</t>
        </is>
      </c>
      <c r="W149">
        <f>HYPERLINK("https://klasma.github.io/Logging_1737/artfynd/A 62275-2023 artfynd.xlsx", "A 62275-2023")</f>
        <v/>
      </c>
      <c r="X149">
        <f>HYPERLINK("https://klasma.github.io/Logging_1737/kartor/A 62275-2023 karta.png", "A 62275-2023")</f>
        <v/>
      </c>
      <c r="Y149">
        <f>HYPERLINK("https://klasma.github.io/Logging_1737/kartor_geotiff/A 62275-2023 georefererad karta.tif", "A 62275-2023")</f>
        <v/>
      </c>
      <c r="AA149">
        <f>HYPERLINK("https://klasma.github.io/Logging_1737/klagomål/A 62275-2023 FSC-klagomål.docx", "A 62275-2023")</f>
        <v/>
      </c>
      <c r="AB149">
        <f>HYPERLINK("https://klasma.github.io/Logging_1737/klagomålsmail/A 62275-2023 FSC-klagomål mail.docx", "A 62275-2023")</f>
        <v/>
      </c>
      <c r="AC149">
        <f>HYPERLINK("https://klasma.github.io/Logging_1737/tillsyn/A 62275-2023 tillsynsbegäran.docx", "A 62275-2023")</f>
        <v/>
      </c>
      <c r="AD149">
        <f>HYPERLINK("https://klasma.github.io/Logging_1737/tillsynsmail/A 62275-2023 tillsynsbegäran mail.docx", "A 62275-2023")</f>
        <v/>
      </c>
    </row>
    <row r="150" ht="15" customHeight="1">
      <c r="A150" t="inlineStr">
        <is>
          <t>A 37388-2025</t>
        </is>
      </c>
      <c r="B150" t="inlineStr">
        <is>
          <t>avverkningsanmälan</t>
        </is>
      </c>
      <c r="C150" t="inlineStr">
        <is>
          <t>Föryngringsavverkning</t>
        </is>
      </c>
      <c r="D150" s="1" t="n">
        <v>45877</v>
      </c>
      <c r="E150" s="1" t="n">
        <v>46307</v>
      </c>
      <c r="F150" t="inlineStr">
        <is>
          <t>VÄRMLANDS LÄN</t>
        </is>
      </c>
      <c r="G150" t="inlineStr">
        <is>
          <t>TORSBY</t>
        </is>
      </c>
      <c r="I150" t="n">
        <v>14.1</v>
      </c>
      <c r="J150" t="n">
        <v>1</v>
      </c>
      <c r="K150" t="n">
        <v>2</v>
      </c>
      <c r="L150" t="n">
        <v>2</v>
      </c>
      <c r="M150" t="n">
        <v>0</v>
      </c>
      <c r="N150" t="n">
        <v>0</v>
      </c>
      <c r="O150" t="n">
        <v>0</v>
      </c>
      <c r="P150" t="n">
        <v>0</v>
      </c>
      <c r="Q150" t="n">
        <v>2</v>
      </c>
      <c r="R150" t="n">
        <v>0</v>
      </c>
      <c r="S150" t="n">
        <v>5</v>
      </c>
      <c r="T150" t="n">
        <v>7</v>
      </c>
      <c r="U150" t="n">
        <v>0</v>
      </c>
      <c r="V150" s="2" t="inlineStr">
        <is>
          <t>Doftskinn
Violettgrå tagellav
Mörk husmossa
Vedticka
Tjäder</t>
        </is>
      </c>
      <c r="W150">
        <f>HYPERLINK("https://klasma.github.io/Logging_1737/artfynd/A 37388-2025 artfynd.xlsx", "A 37388-2025")</f>
        <v/>
      </c>
      <c r="X150">
        <f>HYPERLINK("https://klasma.github.io/Logging_1737/kartor/A 37388-2025 karta.png", "A 37388-2025")</f>
        <v/>
      </c>
      <c r="Y150">
        <f>HYPERLINK("https://klasma.github.io/Logging_1737/kartor_geotiff/A 37388-2025 georefererad karta.tif", "A 37388-2025")</f>
        <v/>
      </c>
      <c r="AA150">
        <f>HYPERLINK("https://klasma.github.io/Logging_1737/klagomål/A 37388-2025 FSC-klagomål.docx", "A 37388-2025")</f>
        <v/>
      </c>
      <c r="AB150">
        <f>HYPERLINK("https://klasma.github.io/Logging_1737/klagomålsmail/A 37388-2025 FSC-klagomål mail.docx", "A 37388-2025")</f>
        <v/>
      </c>
      <c r="AC150">
        <f>HYPERLINK("https://klasma.github.io/Logging_1737/tillsyn/A 37388-2025 tillsynsbegäran.docx", "A 37388-2025")</f>
        <v/>
      </c>
      <c r="AD150">
        <f>HYPERLINK("https://klasma.github.io/Logging_1737/tillsynsmail/A 37388-2025 tillsynsbegäran mail.docx", "A 37388-2025")</f>
        <v/>
      </c>
      <c r="AE150">
        <f>HYPERLINK("https://klasma.github.io/Logging_1737/fåglar/A 37388-2025 prioriterade fågelarter.docx", "A 37388-2025")</f>
        <v/>
      </c>
    </row>
    <row r="151" ht="15" customHeight="1">
      <c r="A151" t="inlineStr">
        <is>
          <t>A 47571-2025</t>
        </is>
      </c>
      <c r="B151" t="inlineStr">
        <is>
          <t>avverkningsanmälan</t>
        </is>
      </c>
      <c r="C151" t="inlineStr">
        <is>
          <t>Föryngringsavverkning</t>
        </is>
      </c>
      <c r="D151" s="1" t="n">
        <v>45931</v>
      </c>
      <c r="E151" s="1" t="n">
        <v>46307</v>
      </c>
      <c r="F151" t="inlineStr">
        <is>
          <t>VÄRMLANDS LÄN</t>
        </is>
      </c>
      <c r="G151" t="inlineStr">
        <is>
          <t>HAMMARÖ</t>
        </is>
      </c>
      <c r="I151" t="n">
        <v>8.300000000000001</v>
      </c>
      <c r="J151" t="n">
        <v>4</v>
      </c>
      <c r="K151" t="n">
        <v>0</v>
      </c>
      <c r="L151" t="n">
        <v>1</v>
      </c>
      <c r="M151" t="n">
        <v>1</v>
      </c>
      <c r="N151" t="n">
        <v>1</v>
      </c>
      <c r="O151" t="n">
        <v>0</v>
      </c>
      <c r="P151" t="n">
        <v>0</v>
      </c>
      <c r="Q151" t="n">
        <v>3</v>
      </c>
      <c r="R151" t="n">
        <v>2</v>
      </c>
      <c r="S151" t="n">
        <v>5</v>
      </c>
      <c r="T151" t="n">
        <v>11</v>
      </c>
      <c r="U151" t="n">
        <v>11</v>
      </c>
      <c r="V151" s="2" t="inlineStr">
        <is>
          <t>Långskägg
Knärot
Motaggsvamp
Tjäder
Kungsfågel</t>
        </is>
      </c>
      <c r="W151">
        <f>HYPERLINK("https://klasma.github.io/Logging_1761/artfynd/A 47571-2025 artfynd.xlsx", "A 47571-2025")</f>
        <v/>
      </c>
      <c r="X151">
        <f>HYPERLINK("https://klasma.github.io/Logging_1761/kartor/A 47571-2025 karta.png", "A 47571-2025")</f>
        <v/>
      </c>
      <c r="Y151">
        <f>HYPERLINK("https://klasma.github.io/Logging_1761/kartor_geotiff/A 47571-2025 georefererad karta.tif", "A 47571-2025")</f>
        <v/>
      </c>
      <c r="Z151">
        <f>HYPERLINK("https://klasma.github.io/Logging_1761/knärot/A 47571-2025 karta knärot.png", "A 47571-2025")</f>
        <v/>
      </c>
      <c r="AA151">
        <f>HYPERLINK("https://klasma.github.io/Logging_1761/klagomål/A 47571-2025 FSC-klagomål.docx", "A 47571-2025")</f>
        <v/>
      </c>
      <c r="AB151">
        <f>HYPERLINK("https://klasma.github.io/Logging_1761/klagomålsmail/A 47571-2025 FSC-klagomål mail.docx", "A 47571-2025")</f>
        <v/>
      </c>
      <c r="AC151">
        <f>HYPERLINK("https://klasma.github.io/Logging_1761/tillsyn/A 47571-2025 tillsynsbegäran.docx", "A 47571-2025")</f>
        <v/>
      </c>
      <c r="AD151">
        <f>HYPERLINK("https://klasma.github.io/Logging_1761/tillsynsmail/A 47571-2025 tillsynsbegäran mail.docx", "A 47571-2025")</f>
        <v/>
      </c>
      <c r="AE151">
        <f>HYPERLINK("https://klasma.github.io/Logging_1761/fåglar/A 47571-2025 prioriterade fågelarter.docx", "A 47571-2025")</f>
        <v/>
      </c>
    </row>
    <row r="152" ht="15" customHeight="1">
      <c r="A152" t="inlineStr">
        <is>
          <t>A 5148-2026</t>
        </is>
      </c>
      <c r="B152" t="inlineStr">
        <is>
          <t>avverkningsanmälan</t>
        </is>
      </c>
      <c r="C152" t="inlineStr">
        <is>
          <t>Föryngringsavverkning</t>
        </is>
      </c>
      <c r="D152" s="1" t="n">
        <v>46049</v>
      </c>
      <c r="E152" s="1" t="n">
        <v>46307</v>
      </c>
      <c r="F152" t="inlineStr">
        <is>
          <t>VÄRMLANDS LÄN</t>
        </is>
      </c>
      <c r="G152" t="inlineStr">
        <is>
          <t>KARLSTAD</t>
        </is>
      </c>
      <c r="I152" t="n">
        <v>2.4</v>
      </c>
      <c r="J152" t="n">
        <v>2</v>
      </c>
      <c r="K152" t="n">
        <v>2</v>
      </c>
      <c r="L152" t="n">
        <v>1</v>
      </c>
      <c r="M152" t="n">
        <v>0</v>
      </c>
      <c r="N152" t="n">
        <v>0</v>
      </c>
      <c r="O152" t="n">
        <v>0</v>
      </c>
      <c r="P152" t="n">
        <v>0</v>
      </c>
      <c r="Q152" t="n">
        <v>1</v>
      </c>
      <c r="R152" t="n">
        <v>0</v>
      </c>
      <c r="S152" t="n">
        <v>5</v>
      </c>
      <c r="T152" t="n">
        <v>5</v>
      </c>
      <c r="U152" t="n">
        <v>0</v>
      </c>
      <c r="V152" s="2" t="inlineStr">
        <is>
          <t>Gullpudra
Grönpyrola
Svart trolldruva
Blåsippa
Revlummer</t>
        </is>
      </c>
      <c r="W152">
        <f>HYPERLINK("https://klasma.github.io/Logging_1780/artfynd/A 5148-2026 artfynd.xlsx", "A 5148-2026")</f>
        <v/>
      </c>
      <c r="X152">
        <f>HYPERLINK("https://klasma.github.io/Logging_1780/kartor/A 5148-2026 karta.png", "A 5148-2026")</f>
        <v/>
      </c>
      <c r="Y152">
        <f>HYPERLINK("https://klasma.github.io/Logging_1780/kartor_geotiff/A 5148-2026 georefererad karta.tif", "A 5148-2026")</f>
        <v/>
      </c>
      <c r="AA152">
        <f>HYPERLINK("https://klasma.github.io/Logging_1780/klagomål/A 5148-2026 FSC-klagomål.docx", "A 5148-2026")</f>
        <v/>
      </c>
      <c r="AB152">
        <f>HYPERLINK("https://klasma.github.io/Logging_1780/klagomålsmail/A 5148-2026 FSC-klagomål mail.docx", "A 5148-2026")</f>
        <v/>
      </c>
      <c r="AC152">
        <f>HYPERLINK("https://klasma.github.io/Logging_1780/tillsyn/A 5148-2026 tillsynsbegäran.docx", "A 5148-2026")</f>
        <v/>
      </c>
      <c r="AD152">
        <f>HYPERLINK("https://klasma.github.io/Logging_1780/tillsynsmail/A 5148-2026 tillsynsbegäran mail.docx", "A 5148-2026")</f>
        <v/>
      </c>
    </row>
    <row r="153" ht="15" customHeight="1">
      <c r="A153" t="inlineStr">
        <is>
          <t>A 44271-2023</t>
        </is>
      </c>
      <c r="B153" t="inlineStr">
        <is>
          <t>avverkningsanmälan</t>
        </is>
      </c>
      <c r="C153" t="inlineStr">
        <is>
          <t>Föryngringsavverkning</t>
        </is>
      </c>
      <c r="D153" s="1" t="n">
        <v>45188</v>
      </c>
      <c r="E153" s="1" t="n">
        <v>46307</v>
      </c>
      <c r="F153" t="inlineStr">
        <is>
          <t>VÄRMLANDS LÄN</t>
        </is>
      </c>
      <c r="G153" t="inlineStr">
        <is>
          <t>ÅRJÄNG</t>
        </is>
      </c>
      <c r="I153" t="n">
        <v>20.3</v>
      </c>
      <c r="J153" t="n">
        <v>3</v>
      </c>
      <c r="K153" t="n">
        <v>0</v>
      </c>
      <c r="L153" t="n">
        <v>2</v>
      </c>
      <c r="M153" t="n">
        <v>2</v>
      </c>
      <c r="N153" t="n">
        <v>0</v>
      </c>
      <c r="O153" t="n">
        <v>0</v>
      </c>
      <c r="P153" t="n">
        <v>0</v>
      </c>
      <c r="Q153" t="n">
        <v>4</v>
      </c>
      <c r="R153" t="n">
        <v>2</v>
      </c>
      <c r="S153" t="n">
        <v>5</v>
      </c>
      <c r="T153" t="n">
        <v>10</v>
      </c>
      <c r="U153" t="n">
        <v>10</v>
      </c>
      <c r="V153" s="2" t="inlineStr">
        <is>
          <t>Gul taggsvamp
Knärot
Dropptaggsvamp
Talltita
Tjäder</t>
        </is>
      </c>
      <c r="W153">
        <f>HYPERLINK("https://klasma.github.io/Logging_1765/artfynd/A 44271-2023 artfynd.xlsx", "A 44271-2023")</f>
        <v/>
      </c>
      <c r="X153">
        <f>HYPERLINK("https://klasma.github.io/Logging_1765/kartor/A 44271-2023 karta.png", "A 44271-2023")</f>
        <v/>
      </c>
      <c r="Y153">
        <f>HYPERLINK("https://klasma.github.io/Logging_1765/kartor_geotiff/A 44271-2023 georefererad karta.tif", "A 44271-2023")</f>
        <v/>
      </c>
      <c r="Z153">
        <f>HYPERLINK("https://klasma.github.io/Logging_1765/knärot/A 44271-2023 karta knärot.png", "A 44271-2023")</f>
        <v/>
      </c>
      <c r="AA153">
        <f>HYPERLINK("https://klasma.github.io/Logging_1765/klagomål/A 44271-2023 FSC-klagomål.docx", "A 44271-2023")</f>
        <v/>
      </c>
      <c r="AB153">
        <f>HYPERLINK("https://klasma.github.io/Logging_1765/klagomålsmail/A 44271-2023 FSC-klagomål mail.docx", "A 44271-2023")</f>
        <v/>
      </c>
      <c r="AC153">
        <f>HYPERLINK("https://klasma.github.io/Logging_1765/tillsyn/A 44271-2023 tillsynsbegäran.docx", "A 44271-2023")</f>
        <v/>
      </c>
      <c r="AD153">
        <f>HYPERLINK("https://klasma.github.io/Logging_1765/tillsynsmail/A 44271-2023 tillsynsbegäran mail.docx", "A 44271-2023")</f>
        <v/>
      </c>
      <c r="AE153">
        <f>HYPERLINK("https://klasma.github.io/Logging_1765/fåglar/A 44271-2023 prioriterade fågelarter.docx", "A 44271-2023")</f>
        <v/>
      </c>
    </row>
    <row r="154" ht="15" customHeight="1">
      <c r="A154" t="inlineStr">
        <is>
          <t>A 47561-2023</t>
        </is>
      </c>
      <c r="B154" t="inlineStr">
        <is>
          <t>avverkningsanmälan</t>
        </is>
      </c>
      <c r="C154" t="inlineStr">
        <is>
          <t>Föryngringsavverkning</t>
        </is>
      </c>
      <c r="D154" s="1" t="n">
        <v>45197</v>
      </c>
      <c r="E154" s="1" t="n">
        <v>46307</v>
      </c>
      <c r="F154" t="inlineStr">
        <is>
          <t>VÄRMLANDS LÄN</t>
        </is>
      </c>
      <c r="G154" t="inlineStr">
        <is>
          <t>KARLSTAD</t>
        </is>
      </c>
      <c r="I154" t="n">
        <v>3.2</v>
      </c>
      <c r="J154" t="n">
        <v>3</v>
      </c>
      <c r="K154" t="n">
        <v>0</v>
      </c>
      <c r="L154" t="n">
        <v>2</v>
      </c>
      <c r="M154" t="n">
        <v>1</v>
      </c>
      <c r="N154" t="n">
        <v>0</v>
      </c>
      <c r="O154" t="n">
        <v>0</v>
      </c>
      <c r="P154" t="n">
        <v>0</v>
      </c>
      <c r="Q154" t="n">
        <v>3</v>
      </c>
      <c r="R154" t="n">
        <v>1</v>
      </c>
      <c r="S154" t="n">
        <v>5</v>
      </c>
      <c r="T154" t="n">
        <v>9</v>
      </c>
      <c r="U154" t="n">
        <v>9</v>
      </c>
      <c r="V154" s="2" t="inlineStr">
        <is>
          <t>Violettkantad guldvinge
Mindre hackspett
Ängsmetallvinge
Gröngöling
Fläcknycklar</t>
        </is>
      </c>
      <c r="W154">
        <f>HYPERLINK("https://klasma.github.io/Logging_1780/artfynd/A 47561-2023 artfynd.xlsx", "A 47561-2023")</f>
        <v/>
      </c>
      <c r="X154">
        <f>HYPERLINK("https://klasma.github.io/Logging_1780/kartor/A 47561-2023 karta.png", "A 47561-2023")</f>
        <v/>
      </c>
      <c r="Y154">
        <f>HYPERLINK("https://klasma.github.io/Logging_1780/kartor_geotiff/A 47561-2023 georefererad karta.tif", "A 47561-2023")</f>
        <v/>
      </c>
      <c r="AA154">
        <f>HYPERLINK("https://klasma.github.io/Logging_1780/klagomål/A 47561-2023 FSC-klagomål.docx", "A 47561-2023")</f>
        <v/>
      </c>
      <c r="AB154">
        <f>HYPERLINK("https://klasma.github.io/Logging_1780/klagomålsmail/A 47561-2023 FSC-klagomål mail.docx", "A 47561-2023")</f>
        <v/>
      </c>
      <c r="AC154">
        <f>HYPERLINK("https://klasma.github.io/Logging_1780/tillsyn/A 47561-2023 tillsynsbegäran.docx", "A 47561-2023")</f>
        <v/>
      </c>
      <c r="AD154">
        <f>HYPERLINK("https://klasma.github.io/Logging_1780/tillsynsmail/A 47561-2023 tillsynsbegäran mail.docx", "A 47561-2023")</f>
        <v/>
      </c>
      <c r="AE154">
        <f>HYPERLINK("https://klasma.github.io/Logging_1780/fåglar/A 47561-2023 prioriterade fågelarter.docx", "A 47561-2023")</f>
        <v/>
      </c>
    </row>
    <row r="155" ht="15" customHeight="1">
      <c r="A155" t="inlineStr">
        <is>
          <t>A 23629-2026</t>
        </is>
      </c>
      <c r="B155" t="inlineStr">
        <is>
          <t>avverkningsanmälan</t>
        </is>
      </c>
      <c r="C155" t="inlineStr">
        <is>
          <t>Föryngringsavverkning</t>
        </is>
      </c>
      <c r="D155" s="1" t="n">
        <v>46163</v>
      </c>
      <c r="E155" s="1" t="n">
        <v>46307</v>
      </c>
      <c r="F155" t="inlineStr">
        <is>
          <t>VÄRMLANDS LÄN</t>
        </is>
      </c>
      <c r="G155" t="inlineStr">
        <is>
          <t>KARLSTAD</t>
        </is>
      </c>
      <c r="I155" t="n">
        <v>4.7</v>
      </c>
      <c r="J155" t="n">
        <v>1</v>
      </c>
      <c r="K155" t="n">
        <v>3</v>
      </c>
      <c r="L155" t="n">
        <v>0</v>
      </c>
      <c r="M155" t="n">
        <v>0</v>
      </c>
      <c r="N155" t="n">
        <v>1</v>
      </c>
      <c r="O155" t="n">
        <v>0</v>
      </c>
      <c r="P155" t="n">
        <v>0</v>
      </c>
      <c r="Q155" t="n">
        <v>1</v>
      </c>
      <c r="R155" t="n">
        <v>1</v>
      </c>
      <c r="S155" t="n">
        <v>5</v>
      </c>
      <c r="T155" t="n">
        <v>5</v>
      </c>
      <c r="U155" t="n">
        <v>0</v>
      </c>
      <c r="V155" s="2" t="inlineStr">
        <is>
          <t>Ask
Fällmossa
Trubbfjädermossa
Trädporella
Lopplummer (aggregat)</t>
        </is>
      </c>
      <c r="W155">
        <f>HYPERLINK("https://klasma.github.io/Logging_1780/artfynd/A 23629-2026 artfynd.xlsx", "A 23629-2026")</f>
        <v/>
      </c>
      <c r="X155">
        <f>HYPERLINK("https://klasma.github.io/Logging_1780/kartor/A 23629-2026 karta.png", "A 23629-2026")</f>
        <v/>
      </c>
      <c r="Y155">
        <f>HYPERLINK("https://klasma.github.io/Logging_1780/kartor_geotiff/A 23629-2026 georefererad karta.tif", "A 23629-2026")</f>
        <v/>
      </c>
      <c r="AA155">
        <f>HYPERLINK("https://klasma.github.io/Logging_1780/klagomål/A 23629-2026 FSC-klagomål.docx", "A 23629-2026")</f>
        <v/>
      </c>
      <c r="AB155">
        <f>HYPERLINK("https://klasma.github.io/Logging_1780/klagomålsmail/A 23629-2026 FSC-klagomål mail.docx", "A 23629-2026")</f>
        <v/>
      </c>
      <c r="AC155">
        <f>HYPERLINK("https://klasma.github.io/Logging_1780/tillsyn/A 23629-2026 tillsynsbegäran.docx", "A 23629-2026")</f>
        <v/>
      </c>
      <c r="AD155">
        <f>HYPERLINK("https://klasma.github.io/Logging_1780/tillsynsmail/A 23629-2026 tillsynsbegäran mail.docx", "A 23629-2026")</f>
        <v/>
      </c>
    </row>
    <row r="156" ht="15" customHeight="1">
      <c r="A156" t="inlineStr">
        <is>
          <t>A 26186-2026</t>
        </is>
      </c>
      <c r="B156" t="inlineStr">
        <is>
          <t>avverkningsanmälan</t>
        </is>
      </c>
      <c r="C156" t="inlineStr">
        <is>
          <t>Föryngringsavverkning</t>
        </is>
      </c>
      <c r="D156" s="1" t="n">
        <v>46182</v>
      </c>
      <c r="E156" s="1" t="n">
        <v>46307</v>
      </c>
      <c r="F156" t="inlineStr">
        <is>
          <t>VÄRMLANDS LÄN</t>
        </is>
      </c>
      <c r="G156" t="inlineStr">
        <is>
          <t>FILIPSTAD</t>
        </is>
      </c>
      <c r="H156" t="inlineStr">
        <is>
          <t>Bergvik skog väst AB</t>
        </is>
      </c>
      <c r="I156" t="n">
        <v>5</v>
      </c>
      <c r="J156" t="n">
        <v>2</v>
      </c>
      <c r="K156" t="n">
        <v>3</v>
      </c>
      <c r="L156" t="n">
        <v>1</v>
      </c>
      <c r="M156" t="n">
        <v>0</v>
      </c>
      <c r="N156" t="n">
        <v>0</v>
      </c>
      <c r="O156" t="n">
        <v>0</v>
      </c>
      <c r="P156" t="n">
        <v>0</v>
      </c>
      <c r="Q156" t="n">
        <v>1</v>
      </c>
      <c r="R156" t="n">
        <v>0</v>
      </c>
      <c r="S156" t="n">
        <v>5</v>
      </c>
      <c r="T156" t="n">
        <v>6</v>
      </c>
      <c r="U156" t="n">
        <v>0</v>
      </c>
      <c r="V156" s="2" t="inlineStr">
        <is>
          <t>Ullticka
Grön sköldmossa
Korallblylav
Mörk husmossa
Blåsippa</t>
        </is>
      </c>
      <c r="W156">
        <f>HYPERLINK("https://klasma.github.io/Logging_1782/artfynd/A 26186-2026 artfynd.xlsx", "A 26186-2026")</f>
        <v/>
      </c>
      <c r="X156">
        <f>HYPERLINK("https://klasma.github.io/Logging_1782/kartor/A 26186-2026 karta.png", "A 26186-2026")</f>
        <v/>
      </c>
      <c r="Y156">
        <f>HYPERLINK("https://klasma.github.io/Logging_1782/kartor_geotiff/A 26186-2026 georefererad karta.tif", "A 26186-2026")</f>
        <v/>
      </c>
      <c r="AA156">
        <f>HYPERLINK("https://klasma.github.io/Logging_1782/klagomål/A 26186-2026 FSC-klagomål.docx", "A 26186-2026")</f>
        <v/>
      </c>
      <c r="AB156">
        <f>HYPERLINK("https://klasma.github.io/Logging_1782/klagomålsmail/A 26186-2026 FSC-klagomål mail.docx", "A 26186-2026")</f>
        <v/>
      </c>
      <c r="AC156">
        <f>HYPERLINK("https://klasma.github.io/Logging_1782/tillsyn/A 26186-2026 tillsynsbegäran.docx", "A 26186-2026")</f>
        <v/>
      </c>
      <c r="AD156">
        <f>HYPERLINK("https://klasma.github.io/Logging_1782/tillsynsmail/A 26186-2026 tillsynsbegäran mail.docx", "A 26186-2026")</f>
        <v/>
      </c>
    </row>
    <row r="157" ht="15" customHeight="1">
      <c r="A157" t="inlineStr">
        <is>
          <t>A 28267-2026</t>
        </is>
      </c>
      <c r="B157" t="inlineStr">
        <is>
          <t>avverkningsanmälan</t>
        </is>
      </c>
      <c r="C157" t="inlineStr">
        <is>
          <t>Avverkning för annat ändamål</t>
        </is>
      </c>
      <c r="D157" s="1" t="n">
        <v>46190</v>
      </c>
      <c r="E157" s="1" t="n">
        <v>46307</v>
      </c>
      <c r="F157" t="inlineStr">
        <is>
          <t>VÄRMLANDS LÄN</t>
        </is>
      </c>
      <c r="G157" t="inlineStr">
        <is>
          <t>KARLSTAD</t>
        </is>
      </c>
      <c r="H157" t="inlineStr">
        <is>
          <t>Kommuner</t>
        </is>
      </c>
      <c r="I157" t="n">
        <v>5.1</v>
      </c>
      <c r="J157" t="n">
        <v>0</v>
      </c>
      <c r="K157" t="n">
        <v>1</v>
      </c>
      <c r="L157" t="n">
        <v>4</v>
      </c>
      <c r="M157" t="n">
        <v>0</v>
      </c>
      <c r="N157" t="n">
        <v>0</v>
      </c>
      <c r="O157" t="n">
        <v>0</v>
      </c>
      <c r="P157" t="n">
        <v>0</v>
      </c>
      <c r="Q157" t="n">
        <v>4</v>
      </c>
      <c r="R157" t="n">
        <v>0</v>
      </c>
      <c r="S157" t="n">
        <v>5</v>
      </c>
      <c r="T157" t="n">
        <v>21</v>
      </c>
      <c r="U157" t="n">
        <v>0</v>
      </c>
      <c r="V157" s="2" t="inlineStr">
        <is>
          <t>Dropptaggsvamp
Motaggsvamp
Vaddporing
Vedskivlav
Mindre märgborre</t>
        </is>
      </c>
      <c r="W157">
        <f>HYPERLINK("https://klasma.github.io/Logging_1780/artfynd/A 28267-2026 artfynd.xlsx", "A 28267-2026")</f>
        <v/>
      </c>
      <c r="X157">
        <f>HYPERLINK("https://klasma.github.io/Logging_1780/kartor/A 28267-2026 karta.png", "A 28267-2026")</f>
        <v/>
      </c>
      <c r="Y157">
        <f>HYPERLINK("https://klasma.github.io/Logging_1780/kartor_geotiff/A 28267-2026 georefererad karta.tif", "A 28267-2026")</f>
        <v/>
      </c>
      <c r="AA157">
        <f>HYPERLINK("https://klasma.github.io/Logging_1780/klagomål/A 28267-2026 FSC-klagomål.docx", "A 28267-2026")</f>
        <v/>
      </c>
      <c r="AB157">
        <f>HYPERLINK("https://klasma.github.io/Logging_1780/klagomålsmail/A 28267-2026 FSC-klagomål mail.docx", "A 28267-2026")</f>
        <v/>
      </c>
      <c r="AC157">
        <f>HYPERLINK("https://klasma.github.io/Logging_1780/tillsyn/A 28267-2026 tillsynsbegäran.docx", "A 28267-2026")</f>
        <v/>
      </c>
      <c r="AD157">
        <f>HYPERLINK("https://klasma.github.io/Logging_1780/tillsynsmail/A 28267-2026 tillsynsbegäran mail.docx", "A 28267-2026")</f>
        <v/>
      </c>
    </row>
    <row r="158" ht="15" customHeight="1">
      <c r="A158" t="inlineStr">
        <is>
          <t>A 31155-2026</t>
        </is>
      </c>
      <c r="B158" t="inlineStr">
        <is>
          <t>avverkningsanmälan</t>
        </is>
      </c>
      <c r="C158" t="inlineStr">
        <is>
          <t>Föryngringsavverkning</t>
        </is>
      </c>
      <c r="D158" s="1" t="n">
        <v>46209</v>
      </c>
      <c r="E158" s="1" t="n">
        <v>46307</v>
      </c>
      <c r="F158" t="inlineStr">
        <is>
          <t>VÄRMLANDS LÄN</t>
        </is>
      </c>
      <c r="G158" t="inlineStr">
        <is>
          <t>ÅRJÄNG</t>
        </is>
      </c>
      <c r="I158" t="n">
        <v>4.2</v>
      </c>
      <c r="J158" t="n">
        <v>0</v>
      </c>
      <c r="K158" t="n">
        <v>4</v>
      </c>
      <c r="L158" t="n">
        <v>1</v>
      </c>
      <c r="M158" t="n">
        <v>0</v>
      </c>
      <c r="N158" t="n">
        <v>0</v>
      </c>
      <c r="O158" t="n">
        <v>0</v>
      </c>
      <c r="P158" t="n">
        <v>0</v>
      </c>
      <c r="Q158" t="n">
        <v>1</v>
      </c>
      <c r="R158" t="n">
        <v>0</v>
      </c>
      <c r="S158" t="n">
        <v>5</v>
      </c>
      <c r="T158" t="n">
        <v>5</v>
      </c>
      <c r="U158" t="n">
        <v>0</v>
      </c>
      <c r="V158" s="2" t="inlineStr">
        <is>
          <t>Vårärt
Dvärghäxört
Kransrams
Strutbräken
Svart trolldruva</t>
        </is>
      </c>
      <c r="W158">
        <f>HYPERLINK("https://klasma.github.io/Logging_1765/artfynd/A 31155-2026 artfynd.xlsx", "A 31155-2026")</f>
        <v/>
      </c>
      <c r="X158">
        <f>HYPERLINK("https://klasma.github.io/Logging_1765/kartor/A 31155-2026 karta.png", "A 31155-2026")</f>
        <v/>
      </c>
      <c r="Y158">
        <f>HYPERLINK("https://klasma.github.io/Logging_1765/kartor_geotiff/A 31155-2026 georefererad karta.tif", "A 31155-2026")</f>
        <v/>
      </c>
      <c r="AA158">
        <f>HYPERLINK("https://klasma.github.io/Logging_1765/klagomål/A 31155-2026 FSC-klagomål.docx", "A 31155-2026")</f>
        <v/>
      </c>
      <c r="AB158">
        <f>HYPERLINK("https://klasma.github.io/Logging_1765/klagomålsmail/A 31155-2026 FSC-klagomål mail.docx", "A 31155-2026")</f>
        <v/>
      </c>
      <c r="AC158">
        <f>HYPERLINK("https://klasma.github.io/Logging_1765/tillsyn/A 31155-2026 tillsynsbegäran.docx", "A 31155-2026")</f>
        <v/>
      </c>
      <c r="AD158">
        <f>HYPERLINK("https://klasma.github.io/Logging_1765/tillsynsmail/A 31155-2026 tillsynsbegäran mail.docx", "A 31155-2026")</f>
        <v/>
      </c>
    </row>
    <row r="159" ht="15" customHeight="1">
      <c r="A159" t="inlineStr">
        <is>
          <t>A 36050-2026</t>
        </is>
      </c>
      <c r="B159" t="inlineStr">
        <is>
          <t>avverkningsanmälan</t>
        </is>
      </c>
      <c r="C159" t="inlineStr">
        <is>
          <t>Föryngringsavverkning</t>
        </is>
      </c>
      <c r="D159" s="1" t="n">
        <v>46267</v>
      </c>
      <c r="E159" s="1" t="n">
        <v>46307</v>
      </c>
      <c r="F159" t="inlineStr">
        <is>
          <t>VÄRMLANDS LÄN</t>
        </is>
      </c>
      <c r="G159" t="inlineStr">
        <is>
          <t>TORSBY</t>
        </is>
      </c>
      <c r="I159" t="n">
        <v>3.9</v>
      </c>
      <c r="J159" t="n">
        <v>0</v>
      </c>
      <c r="K159" t="n">
        <v>0</v>
      </c>
      <c r="L159" t="n">
        <v>4</v>
      </c>
      <c r="M159" t="n">
        <v>0</v>
      </c>
      <c r="N159" t="n">
        <v>0</v>
      </c>
      <c r="O159" t="n">
        <v>0</v>
      </c>
      <c r="P159" t="n">
        <v>0</v>
      </c>
      <c r="Q159" t="n">
        <v>4</v>
      </c>
      <c r="R159" t="n">
        <v>0</v>
      </c>
      <c r="S159" t="n">
        <v>5</v>
      </c>
      <c r="T159" t="n">
        <v>5</v>
      </c>
      <c r="U159" t="n">
        <v>5</v>
      </c>
      <c r="V159" s="2" t="inlineStr">
        <is>
          <t>Dropptaggsvamp
Dvärgbägarlav
Kolflarnlav
Vedskivlav
Missne</t>
        </is>
      </c>
      <c r="W159">
        <f>HYPERLINK("https://klasma.github.io/Logging_1737/artfynd/A 36050-2026 artfynd.xlsx", "A 36050-2026")</f>
        <v/>
      </c>
      <c r="X159">
        <f>HYPERLINK("https://klasma.github.io/Logging_1737/kartor/A 36050-2026 karta.png", "A 36050-2026")</f>
        <v/>
      </c>
      <c r="Y159">
        <f>HYPERLINK("https://klasma.github.io/Logging_1737/kartor_geotiff/A 36050-2026 georefererad karta.tif", "A 36050-2026")</f>
        <v/>
      </c>
      <c r="AA159">
        <f>HYPERLINK("https://klasma.github.io/Logging_1737/klagomål/A 36050-2026 FSC-klagomål.docx", "A 36050-2026")</f>
        <v/>
      </c>
      <c r="AB159">
        <f>HYPERLINK("https://klasma.github.io/Logging_1737/klagomålsmail/A 36050-2026 FSC-klagomål mail.docx", "A 36050-2026")</f>
        <v/>
      </c>
      <c r="AC159">
        <f>HYPERLINK("https://klasma.github.io/Logging_1737/tillsyn/A 36050-2026 tillsynsbegäran.docx", "A 36050-2026")</f>
        <v/>
      </c>
      <c r="AD159">
        <f>HYPERLINK("https://klasma.github.io/Logging_1737/tillsynsmail/A 36050-2026 tillsynsbegäran mail.docx", "A 36050-2026")</f>
        <v/>
      </c>
    </row>
    <row r="160" ht="15" customHeight="1">
      <c r="A160" t="inlineStr">
        <is>
          <t>A 23084-2024</t>
        </is>
      </c>
      <c r="B160" t="inlineStr">
        <is>
          <t>avverkningsanmälan</t>
        </is>
      </c>
      <c r="C160" t="inlineStr">
        <is>
          <t>Föryngringsavverkning</t>
        </is>
      </c>
      <c r="D160" s="1" t="n">
        <v>45450</v>
      </c>
      <c r="E160" s="1" t="n">
        <v>46307</v>
      </c>
      <c r="F160" t="inlineStr">
        <is>
          <t>VÄRMLANDS LÄN</t>
        </is>
      </c>
      <c r="G160" t="inlineStr">
        <is>
          <t>ARVIKA</t>
        </is>
      </c>
      <c r="H160" t="inlineStr">
        <is>
          <t>Bergvik skog väst AB</t>
        </is>
      </c>
      <c r="I160" t="n">
        <v>0.7</v>
      </c>
      <c r="J160" t="n">
        <v>1</v>
      </c>
      <c r="K160" t="n">
        <v>1</v>
      </c>
      <c r="L160" t="n">
        <v>2</v>
      </c>
      <c r="M160" t="n">
        <v>2</v>
      </c>
      <c r="N160" t="n">
        <v>0</v>
      </c>
      <c r="O160" t="n">
        <v>0</v>
      </c>
      <c r="P160" t="n">
        <v>0</v>
      </c>
      <c r="Q160" t="n">
        <v>4</v>
      </c>
      <c r="R160" t="n">
        <v>2</v>
      </c>
      <c r="S160" t="n">
        <v>5</v>
      </c>
      <c r="T160" t="n">
        <v>17</v>
      </c>
      <c r="U160" t="n">
        <v>17</v>
      </c>
      <c r="V160" s="2" t="inlineStr">
        <is>
          <t>Garnlav
Knärot
Lunglav
Vedskivlav
Vedticka</t>
        </is>
      </c>
      <c r="W160">
        <f>HYPERLINK("https://klasma.github.io/Logging_1784/artfynd/A 23084-2024 artfynd.xlsx", "A 23084-2024")</f>
        <v/>
      </c>
      <c r="X160">
        <f>HYPERLINK("https://klasma.github.io/Logging_1784/kartor/A 23084-2024 karta.png", "A 23084-2024")</f>
        <v/>
      </c>
      <c r="Y160">
        <f>HYPERLINK("https://klasma.github.io/Logging_1784/kartor_geotiff/A 23084-2024 georefererad karta.tif", "A 23084-2024")</f>
        <v/>
      </c>
      <c r="Z160">
        <f>HYPERLINK("https://klasma.github.io/Logging_1784/knärot/A 23084-2024 karta knärot.png", "A 23084-2024")</f>
        <v/>
      </c>
      <c r="AA160">
        <f>HYPERLINK("https://klasma.github.io/Logging_1784/klagomål/A 23084-2024 FSC-klagomål.docx", "A 23084-2024")</f>
        <v/>
      </c>
      <c r="AB160">
        <f>HYPERLINK("https://klasma.github.io/Logging_1784/klagomålsmail/A 23084-2024 FSC-klagomål mail.docx", "A 23084-2024")</f>
        <v/>
      </c>
      <c r="AC160">
        <f>HYPERLINK("https://klasma.github.io/Logging_1784/tillsyn/A 23084-2024 tillsynsbegäran.docx", "A 23084-2024")</f>
        <v/>
      </c>
      <c r="AD160">
        <f>HYPERLINK("https://klasma.github.io/Logging_1784/tillsynsmail/A 23084-2024 tillsynsbegäran mail.docx", "A 23084-2024")</f>
        <v/>
      </c>
    </row>
    <row r="161" ht="15" customHeight="1">
      <c r="A161" t="inlineStr">
        <is>
          <t>A 40574-2026</t>
        </is>
      </c>
      <c r="B161" t="inlineStr">
        <is>
          <t>avverkningsanmälan</t>
        </is>
      </c>
      <c r="C161" t="inlineStr">
        <is>
          <t>Föryngringsavverkning</t>
        </is>
      </c>
      <c r="D161" s="1" t="n">
        <v>46295</v>
      </c>
      <c r="E161" s="1" t="n">
        <v>46307</v>
      </c>
      <c r="F161" t="inlineStr">
        <is>
          <t>VÄRMLANDS LÄN</t>
        </is>
      </c>
      <c r="G161" t="inlineStr">
        <is>
          <t>FORSHAGA</t>
        </is>
      </c>
      <c r="H161" t="inlineStr">
        <is>
          <t>Kommuner</t>
        </is>
      </c>
      <c r="I161" t="n">
        <v>10.4</v>
      </c>
      <c r="J161" t="n">
        <v>5</v>
      </c>
      <c r="K161" t="n">
        <v>0</v>
      </c>
      <c r="L161" t="n">
        <v>1</v>
      </c>
      <c r="M161" t="n">
        <v>0</v>
      </c>
      <c r="N161" t="n">
        <v>0</v>
      </c>
      <c r="O161" t="n">
        <v>0</v>
      </c>
      <c r="P161" t="n">
        <v>0</v>
      </c>
      <c r="Q161" t="n">
        <v>1</v>
      </c>
      <c r="R161" t="n">
        <v>0</v>
      </c>
      <c r="S161" t="n">
        <v>5</v>
      </c>
      <c r="T161" t="n">
        <v>5</v>
      </c>
      <c r="U161" t="n">
        <v>0</v>
      </c>
      <c r="V161" s="2" t="inlineStr">
        <is>
          <t>Björktrast
Spillkråka
Tofsmes
Vanlig groda
Nattviol</t>
        </is>
      </c>
      <c r="W161">
        <f>HYPERLINK("https://klasma.github.io/Logging_1763/artfynd/A 40574-2026 artfynd.xlsx", "A 40574-2026")</f>
        <v/>
      </c>
      <c r="X161">
        <f>HYPERLINK("https://klasma.github.io/Logging_1763/kartor/A 40574-2026 karta.png", "A 40574-2026")</f>
        <v/>
      </c>
      <c r="Y161">
        <f>HYPERLINK("https://klasma.github.io/Logging_1763/kartor_geotiff/A 40574-2026 georefererad karta.tif", "A 40574-2026")</f>
        <v/>
      </c>
      <c r="AA161">
        <f>HYPERLINK("https://klasma.github.io/Logging_1763/klagomål/A 40574-2026 FSC-klagomål.docx", "A 40574-2026")</f>
        <v/>
      </c>
      <c r="AB161">
        <f>HYPERLINK("https://klasma.github.io/Logging_1763/klagomålsmail/A 40574-2026 FSC-klagomål mail.docx", "A 40574-2026")</f>
        <v/>
      </c>
      <c r="AC161">
        <f>HYPERLINK("https://klasma.github.io/Logging_1763/tillsyn/A 40574-2026 tillsynsbegäran.docx", "A 40574-2026")</f>
        <v/>
      </c>
      <c r="AD161">
        <f>HYPERLINK("https://klasma.github.io/Logging_1763/tillsynsmail/A 40574-2026 tillsynsbegäran mail.docx", "A 40574-2026")</f>
        <v/>
      </c>
      <c r="AE161">
        <f>HYPERLINK("https://klasma.github.io/Logging_1763/fåglar/A 40574-2026 prioriterade fågelarter.docx", "A 40574-2026")</f>
        <v/>
      </c>
    </row>
    <row r="162" ht="15" customHeight="1">
      <c r="A162" t="inlineStr">
        <is>
          <t>A 34605-2026</t>
        </is>
      </c>
      <c r="B162" t="inlineStr">
        <is>
          <t>avverkningsanmälan</t>
        </is>
      </c>
      <c r="C162" t="inlineStr">
        <is>
          <t>Avverkning för att bevara och utveckla /försöksver</t>
        </is>
      </c>
      <c r="D162" s="1" t="n">
        <v>46255</v>
      </c>
      <c r="E162" s="1" t="n">
        <v>46307</v>
      </c>
      <c r="F162" t="inlineStr">
        <is>
          <t>VÄRMLANDS LÄN</t>
        </is>
      </c>
      <c r="G162" t="inlineStr">
        <is>
          <t>FILIPSTAD</t>
        </is>
      </c>
      <c r="H162" t="inlineStr">
        <is>
          <t>Bergvik skog väst AB</t>
        </is>
      </c>
      <c r="I162" t="n">
        <v>12.5</v>
      </c>
      <c r="J162" t="n">
        <v>4</v>
      </c>
      <c r="K162" t="n">
        <v>1</v>
      </c>
      <c r="L162" t="n">
        <v>2</v>
      </c>
      <c r="M162" t="n">
        <v>0</v>
      </c>
      <c r="N162" t="n">
        <v>0</v>
      </c>
      <c r="O162" t="n">
        <v>0</v>
      </c>
      <c r="P162" t="n">
        <v>0</v>
      </c>
      <c r="Q162" t="n">
        <v>2</v>
      </c>
      <c r="R162" t="n">
        <v>0</v>
      </c>
      <c r="S162" t="n">
        <v>5</v>
      </c>
      <c r="T162" t="n">
        <v>5</v>
      </c>
      <c r="U162" t="n">
        <v>0</v>
      </c>
      <c r="V162" s="2" t="inlineStr">
        <is>
          <t>Månlåsbräken
Rödvingetrast
Purpurknipprot
Kungsfågel
Vanlig snok</t>
        </is>
      </c>
      <c r="W162">
        <f>HYPERLINK("https://klasma.github.io/Logging_1782/artfynd/A 34605-2026 artfynd.xlsx", "A 34605-2026")</f>
        <v/>
      </c>
      <c r="X162">
        <f>HYPERLINK("https://klasma.github.io/Logging_1782/kartor/A 34605-2026 karta.png", "A 34605-2026")</f>
        <v/>
      </c>
      <c r="Y162">
        <f>HYPERLINK("https://klasma.github.io/Logging_1782/kartor_geotiff/A 34605-2026 georefererad karta.tif", "A 34605-2026")</f>
        <v/>
      </c>
      <c r="AA162">
        <f>HYPERLINK("https://klasma.github.io/Logging_1782/klagomål/A 34605-2026 FSC-klagomål.docx", "A 34605-2026")</f>
        <v/>
      </c>
      <c r="AB162">
        <f>HYPERLINK("https://klasma.github.io/Logging_1782/klagomålsmail/A 34605-2026 FSC-klagomål mail.docx", "A 34605-2026")</f>
        <v/>
      </c>
      <c r="AC162">
        <f>HYPERLINK("https://klasma.github.io/Logging_1782/tillsyn/A 34605-2026 tillsynsbegäran.docx", "A 34605-2026")</f>
        <v/>
      </c>
      <c r="AD162">
        <f>HYPERLINK("https://klasma.github.io/Logging_1782/tillsynsmail/A 34605-2026 tillsynsbegäran mail.docx", "A 34605-2026")</f>
        <v/>
      </c>
      <c r="AE162">
        <f>HYPERLINK("https://klasma.github.io/Logging_1782/fåglar/A 34605-2026 prioriterade fågelarter.docx", "A 34605-2026")</f>
        <v/>
      </c>
    </row>
    <row r="163" ht="15" customHeight="1">
      <c r="A163" t="inlineStr">
        <is>
          <t>A 11880-2025</t>
        </is>
      </c>
      <c r="B163" t="inlineStr">
        <is>
          <t>avverkningsanmälan</t>
        </is>
      </c>
      <c r="C163" t="inlineStr">
        <is>
          <t>Föryngringsavverkning</t>
        </is>
      </c>
      <c r="D163" s="1" t="n">
        <v>45728</v>
      </c>
      <c r="E163" s="1" t="n">
        <v>46307</v>
      </c>
      <c r="F163" t="inlineStr">
        <is>
          <t>VÄRMLANDS LÄN</t>
        </is>
      </c>
      <c r="G163" t="inlineStr">
        <is>
          <t>ÅRJÄNG</t>
        </is>
      </c>
      <c r="H163" t="inlineStr">
        <is>
          <t>Övriga Aktiebolag</t>
        </is>
      </c>
      <c r="I163" t="n">
        <v>4.8</v>
      </c>
      <c r="J163" t="n">
        <v>1</v>
      </c>
      <c r="K163" t="n">
        <v>3</v>
      </c>
      <c r="L163" t="n">
        <v>1</v>
      </c>
      <c r="M163" t="n">
        <v>0</v>
      </c>
      <c r="N163" t="n">
        <v>0</v>
      </c>
      <c r="O163" t="n">
        <v>0</v>
      </c>
      <c r="P163" t="n">
        <v>0</v>
      </c>
      <c r="Q163" t="n">
        <v>1</v>
      </c>
      <c r="R163" t="n">
        <v>0</v>
      </c>
      <c r="S163" t="n">
        <v>5</v>
      </c>
      <c r="T163" t="n">
        <v>12</v>
      </c>
      <c r="U163" t="n">
        <v>12</v>
      </c>
      <c r="V163" s="2" t="inlineStr">
        <is>
          <t>Lunglav
Korallblylav
Mindre märgborre
Rödgul trumpetsvamp
Spillkråka</t>
        </is>
      </c>
      <c r="W163">
        <f>HYPERLINK("https://klasma.github.io/Logging_1765/artfynd/A 11880-2025 artfynd.xlsx", "A 11880-2025")</f>
        <v/>
      </c>
      <c r="X163">
        <f>HYPERLINK("https://klasma.github.io/Logging_1765/kartor/A 11880-2025 karta.png", "A 11880-2025")</f>
        <v/>
      </c>
      <c r="Y163">
        <f>HYPERLINK("https://klasma.github.io/Logging_1765/kartor_geotiff/A 11880-2025 georefererad karta.tif", "A 11880-2025")</f>
        <v/>
      </c>
      <c r="AA163">
        <f>HYPERLINK("https://klasma.github.io/Logging_1765/klagomål/A 11880-2025 FSC-klagomål.docx", "A 11880-2025")</f>
        <v/>
      </c>
      <c r="AB163">
        <f>HYPERLINK("https://klasma.github.io/Logging_1765/klagomålsmail/A 11880-2025 FSC-klagomål mail.docx", "A 11880-2025")</f>
        <v/>
      </c>
      <c r="AC163">
        <f>HYPERLINK("https://klasma.github.io/Logging_1765/tillsyn/A 11880-2025 tillsynsbegäran.docx", "A 11880-2025")</f>
        <v/>
      </c>
      <c r="AD163">
        <f>HYPERLINK("https://klasma.github.io/Logging_1765/tillsynsmail/A 11880-2025 tillsynsbegäran mail.docx", "A 11880-2025")</f>
        <v/>
      </c>
      <c r="AE163">
        <f>HYPERLINK("https://klasma.github.io/Logging_1765/fåglar/A 11880-2025 prioriterade fågelarter.docx", "A 11880-2025")</f>
        <v/>
      </c>
    </row>
    <row r="164" ht="15" customHeight="1">
      <c r="A164" t="inlineStr">
        <is>
          <t>A 35055-2026</t>
        </is>
      </c>
      <c r="B164" t="inlineStr">
        <is>
          <t>avverkningsanmälan</t>
        </is>
      </c>
      <c r="C164" t="inlineStr">
        <is>
          <t>Föryngringsavverkning</t>
        </is>
      </c>
      <c r="D164" s="1" t="n">
        <v>46259</v>
      </c>
      <c r="E164" s="1" t="n">
        <v>46307</v>
      </c>
      <c r="F164" t="inlineStr">
        <is>
          <t>VÄRMLANDS LÄN</t>
        </is>
      </c>
      <c r="G164" t="inlineStr">
        <is>
          <t>ARVIKA</t>
        </is>
      </c>
      <c r="I164" t="n">
        <v>2.9</v>
      </c>
      <c r="J164" t="n">
        <v>2</v>
      </c>
      <c r="K164" t="n">
        <v>2</v>
      </c>
      <c r="L164" t="n">
        <v>0</v>
      </c>
      <c r="M164" t="n">
        <v>1</v>
      </c>
      <c r="N164" t="n">
        <v>0</v>
      </c>
      <c r="O164" t="n">
        <v>0</v>
      </c>
      <c r="P164" t="n">
        <v>0</v>
      </c>
      <c r="Q164" t="n">
        <v>1</v>
      </c>
      <c r="R164" t="n">
        <v>1</v>
      </c>
      <c r="S164" t="n">
        <v>5</v>
      </c>
      <c r="T164" t="n">
        <v>5</v>
      </c>
      <c r="U164" t="n">
        <v>5</v>
      </c>
      <c r="V164" s="2" t="inlineStr">
        <is>
          <t>Knärot
Blomkålssvamp
Gullgröppa
Fönsterlav
Äkta lopplummer</t>
        </is>
      </c>
      <c r="W164">
        <f>HYPERLINK("https://klasma.github.io/Logging_1784/artfynd/A 35055-2026 artfynd.xlsx", "A 35055-2026")</f>
        <v/>
      </c>
      <c r="X164">
        <f>HYPERLINK("https://klasma.github.io/Logging_1784/kartor/A 35055-2026 karta.png", "A 35055-2026")</f>
        <v/>
      </c>
      <c r="Y164">
        <f>HYPERLINK("https://klasma.github.io/Logging_1784/kartor_geotiff/A 35055-2026 georefererad karta.tif", "A 35055-2026")</f>
        <v/>
      </c>
      <c r="Z164">
        <f>HYPERLINK("https://klasma.github.io/Logging_1784/knärot/A 35055-2026 karta knärot.png", "A 35055-2026")</f>
        <v/>
      </c>
      <c r="AA164">
        <f>HYPERLINK("https://klasma.github.io/Logging_1784/klagomål/A 35055-2026 FSC-klagomål.docx", "A 35055-2026")</f>
        <v/>
      </c>
      <c r="AB164">
        <f>HYPERLINK("https://klasma.github.io/Logging_1784/klagomålsmail/A 35055-2026 FSC-klagomål mail.docx", "A 35055-2026")</f>
        <v/>
      </c>
      <c r="AC164">
        <f>HYPERLINK("https://klasma.github.io/Logging_1784/tillsyn/A 35055-2026 tillsynsbegäran.docx", "A 35055-2026")</f>
        <v/>
      </c>
      <c r="AD164">
        <f>HYPERLINK("https://klasma.github.io/Logging_1784/tillsynsmail/A 35055-2026 tillsynsbegäran mail.docx", "A 35055-2026")</f>
        <v/>
      </c>
    </row>
    <row r="165" ht="15" customHeight="1">
      <c r="A165" t="inlineStr">
        <is>
          <t>S 2084-2020</t>
        </is>
      </c>
      <c r="B165" t="inlineStr">
        <is>
          <t>samrådsanmälan</t>
        </is>
      </c>
      <c r="C165" t="inlineStr">
        <is>
          <t>Åtgärd i nyckelbiotop</t>
        </is>
      </c>
      <c r="D165" s="1" t="n">
        <v>44109</v>
      </c>
      <c r="E165" s="1" t="n">
        <v>46307</v>
      </c>
      <c r="F165" t="inlineStr">
        <is>
          <t>VÄRMLANDS LÄN</t>
        </is>
      </c>
      <c r="G165" t="inlineStr">
        <is>
          <t>SUNNE</t>
        </is>
      </c>
      <c r="I165" t="n">
        <v>0.3</v>
      </c>
      <c r="J165" t="n">
        <v>0</v>
      </c>
      <c r="K165" t="n">
        <v>1</v>
      </c>
      <c r="L165" t="n">
        <v>1</v>
      </c>
      <c r="M165" t="n">
        <v>2</v>
      </c>
      <c r="N165" t="n">
        <v>1</v>
      </c>
      <c r="O165" t="n">
        <v>0</v>
      </c>
      <c r="P165" t="n">
        <v>0</v>
      </c>
      <c r="Q165" t="n">
        <v>4</v>
      </c>
      <c r="R165" t="n">
        <v>3</v>
      </c>
      <c r="S165" t="n">
        <v>5</v>
      </c>
      <c r="T165" t="n">
        <v>7</v>
      </c>
      <c r="U165" t="n">
        <v>0</v>
      </c>
      <c r="V165" s="2" t="inlineStr">
        <is>
          <t>Brödtaggsvamp
Gul taggsvamp
Kejsarskivling
Dofttaggsvamp
Strimspindling</t>
        </is>
      </c>
      <c r="W165">
        <f>HYPERLINK("https://klasma.github.io/Logging_1766/artfynd/S 2084-2020 artfynd.xlsx", "S 2084-2020")</f>
        <v/>
      </c>
      <c r="X165">
        <f>HYPERLINK("https://klasma.github.io/Logging_1766/kartor/S 2084-2020 karta.png", "S 2084-2020")</f>
        <v/>
      </c>
      <c r="Y165">
        <f>HYPERLINK("https://klasma.github.io/Logging_1766/kartor_geotiff/S 2084-2020 georefererad karta.tif", "S 2084-2020")</f>
        <v/>
      </c>
      <c r="AA165">
        <f>HYPERLINK("https://klasma.github.io/Logging_1766/klagomål/S 2084-2020 FSC-klagomål.docx", "S 2084-2020")</f>
        <v/>
      </c>
      <c r="AB165">
        <f>HYPERLINK("https://klasma.github.io/Logging_1766/klagomålsmail/S 2084-2020 FSC-klagomål mail.docx", "S 2084-2020")</f>
        <v/>
      </c>
      <c r="AC165">
        <f>HYPERLINK("https://klasma.github.io/Logging_1766/tillsyn/S 2084-2020 tillsynsbegäran.docx", "S 2084-2020")</f>
        <v/>
      </c>
      <c r="AD165">
        <f>HYPERLINK("https://klasma.github.io/Logging_1766/tillsynsmail/S 2084-2020 tillsynsbegäran mail.docx", "S 2084-2020")</f>
        <v/>
      </c>
    </row>
    <row r="166" ht="15" customHeight="1">
      <c r="A166" t="inlineStr">
        <is>
          <t>S 1514-2020</t>
        </is>
      </c>
      <c r="B166" t="inlineStr">
        <is>
          <t>samrådsanmälan</t>
        </is>
      </c>
      <c r="C166" t="inlineStr">
        <is>
          <t>Åtgärd i nyckelbiotop</t>
        </is>
      </c>
      <c r="D166" s="1" t="n">
        <v>44005</v>
      </c>
      <c r="E166" s="1" t="n">
        <v>46307</v>
      </c>
      <c r="F166" t="inlineStr">
        <is>
          <t>VÄRMLANDS LÄN</t>
        </is>
      </c>
      <c r="G166" t="inlineStr">
        <is>
          <t>SUNNE</t>
        </is>
      </c>
      <c r="I166" t="n">
        <v>1.5</v>
      </c>
      <c r="J166" t="n">
        <v>2</v>
      </c>
      <c r="K166" t="n">
        <v>0</v>
      </c>
      <c r="L166" t="n">
        <v>1</v>
      </c>
      <c r="M166" t="n">
        <v>3</v>
      </c>
      <c r="N166" t="n">
        <v>0</v>
      </c>
      <c r="O166" t="n">
        <v>0</v>
      </c>
      <c r="P166" t="n">
        <v>0</v>
      </c>
      <c r="Q166" t="n">
        <v>4</v>
      </c>
      <c r="R166" t="n">
        <v>3</v>
      </c>
      <c r="S166" t="n">
        <v>5</v>
      </c>
      <c r="T166" t="n">
        <v>8</v>
      </c>
      <c r="U166" t="n">
        <v>8</v>
      </c>
      <c r="V166" s="2" t="inlineStr">
        <is>
          <t>Bredgentiana
Fältgentiana
Slåttergubbe
Scharlakansvaxing
Nattviol</t>
        </is>
      </c>
      <c r="W166">
        <f>HYPERLINK("https://klasma.github.io/Logging_1766/artfynd/S 1514-2020 artfynd.xlsx", "S 1514-2020")</f>
        <v/>
      </c>
      <c r="X166">
        <f>HYPERLINK("https://klasma.github.io/Logging_1766/kartor/S 1514-2020 karta.png", "S 1514-2020")</f>
        <v/>
      </c>
      <c r="Y166">
        <f>HYPERLINK("https://klasma.github.io/Logging_1766/kartor_geotiff/S 1514-2020 georefererad karta.tif", "S 1514-2020")</f>
        <v/>
      </c>
      <c r="AA166">
        <f>HYPERLINK("https://klasma.github.io/Logging_1766/klagomål/S 1514-2020 FSC-klagomål.docx", "S 1514-2020")</f>
        <v/>
      </c>
      <c r="AB166">
        <f>HYPERLINK("https://klasma.github.io/Logging_1766/klagomålsmail/S 1514-2020 FSC-klagomål mail.docx", "S 1514-2020")</f>
        <v/>
      </c>
      <c r="AC166">
        <f>HYPERLINK("https://klasma.github.io/Logging_1766/tillsyn/S 1514-2020 tillsynsbegäran.docx", "S 1514-2020")</f>
        <v/>
      </c>
      <c r="AD166">
        <f>HYPERLINK("https://klasma.github.io/Logging_1766/tillsynsmail/S 1514-2020 tillsynsbegäran mail.docx", "S 1514-2020")</f>
        <v/>
      </c>
    </row>
    <row r="167" ht="15" customHeight="1">
      <c r="A167" t="inlineStr">
        <is>
          <t>S 4286-2023</t>
        </is>
      </c>
      <c r="B167" t="inlineStr">
        <is>
          <t>samrådsanmälan</t>
        </is>
      </c>
      <c r="C167" t="inlineStr">
        <is>
          <t>Annan skogsbruksåtgärd</t>
        </is>
      </c>
      <c r="D167" s="1" t="n">
        <v>45258</v>
      </c>
      <c r="E167" s="1" t="n">
        <v>46307</v>
      </c>
      <c r="F167" t="inlineStr">
        <is>
          <t>VÄRMLANDS LÄN</t>
        </is>
      </c>
      <c r="G167" t="inlineStr">
        <is>
          <t>KIL</t>
        </is>
      </c>
      <c r="H167" t="inlineStr">
        <is>
          <t>Bergvik skog väst AB</t>
        </is>
      </c>
      <c r="I167" t="n">
        <v>16.1</v>
      </c>
      <c r="J167" t="n">
        <v>3</v>
      </c>
      <c r="K167" t="n">
        <v>2</v>
      </c>
      <c r="L167" t="n">
        <v>2</v>
      </c>
      <c r="M167" t="n">
        <v>0</v>
      </c>
      <c r="N167" t="n">
        <v>0</v>
      </c>
      <c r="O167" t="n">
        <v>0</v>
      </c>
      <c r="P167" t="n">
        <v>0</v>
      </c>
      <c r="Q167" t="n">
        <v>2</v>
      </c>
      <c r="R167" t="n">
        <v>0</v>
      </c>
      <c r="S167" t="n">
        <v>5</v>
      </c>
      <c r="T167" t="n">
        <v>6</v>
      </c>
      <c r="U167" t="n">
        <v>0</v>
      </c>
      <c r="V167" s="2" t="inlineStr">
        <is>
          <t>Talltita
Ullticka
Grön sköldmossa
Vedticka
Blåsippa</t>
        </is>
      </c>
      <c r="W167">
        <f>HYPERLINK("https://klasma.github.io/Logging_1715/artfynd/S 4286-2023 artfynd.xlsx", "S 4286-2023")</f>
        <v/>
      </c>
      <c r="X167">
        <f>HYPERLINK("https://klasma.github.io/Logging_1715/kartor/S 4286-2023 karta.png", "S 4286-2023")</f>
        <v/>
      </c>
      <c r="Y167">
        <f>HYPERLINK("https://klasma.github.io/Logging_1715/kartor_geotiff/S 4286-2023 georefererad karta.tif", "S 4286-2023")</f>
        <v/>
      </c>
      <c r="AA167">
        <f>HYPERLINK("https://klasma.github.io/Logging_1715/klagomål/S 4286-2023 FSC-klagomål.docx", "S 4286-2023")</f>
        <v/>
      </c>
      <c r="AB167">
        <f>HYPERLINK("https://klasma.github.io/Logging_1715/klagomålsmail/S 4286-2023 FSC-klagomål mail.docx", "S 4286-2023")</f>
        <v/>
      </c>
      <c r="AC167">
        <f>HYPERLINK("https://klasma.github.io/Logging_1715/tillsyn/S 4286-2023 tillsynsbegäran.docx", "S 4286-2023")</f>
        <v/>
      </c>
      <c r="AD167">
        <f>HYPERLINK("https://klasma.github.io/Logging_1715/tillsynsmail/S 4286-2023 tillsynsbegäran mail.docx", "S 4286-2023")</f>
        <v/>
      </c>
      <c r="AE167">
        <f>HYPERLINK("https://klasma.github.io/Logging_1715/fåglar/S 4286-2023 prioriterade fågelarter.docx", "S 4286-2023")</f>
        <v/>
      </c>
    </row>
    <row r="168" ht="15" customHeight="1">
      <c r="A168" t="inlineStr">
        <is>
          <t>S 219-2025</t>
        </is>
      </c>
      <c r="B168" t="inlineStr">
        <is>
          <t>samrådsanmälan</t>
        </is>
      </c>
      <c r="C168" t="inlineStr">
        <is>
          <t>Annan skogsbruksåtgärd</t>
        </is>
      </c>
      <c r="D168" s="1" t="n">
        <v>45680</v>
      </c>
      <c r="E168" s="1" t="n">
        <v>46307</v>
      </c>
      <c r="F168" t="inlineStr">
        <is>
          <t>VÄRMLANDS LÄN</t>
        </is>
      </c>
      <c r="G168" t="inlineStr">
        <is>
          <t>FILIPSTAD</t>
        </is>
      </c>
      <c r="H168" t="inlineStr">
        <is>
          <t>Bergvik skog väst AB</t>
        </is>
      </c>
      <c r="I168" t="n">
        <v>4.1</v>
      </c>
      <c r="J168" t="n">
        <v>0</v>
      </c>
      <c r="K168" t="n">
        <v>3</v>
      </c>
      <c r="L168" t="n">
        <v>1</v>
      </c>
      <c r="M168" t="n">
        <v>1</v>
      </c>
      <c r="N168" t="n">
        <v>0</v>
      </c>
      <c r="O168" t="n">
        <v>0</v>
      </c>
      <c r="P168" t="n">
        <v>0</v>
      </c>
      <c r="Q168" t="n">
        <v>2</v>
      </c>
      <c r="R168" t="n">
        <v>1</v>
      </c>
      <c r="S168" t="n">
        <v>5</v>
      </c>
      <c r="T168" t="n">
        <v>5</v>
      </c>
      <c r="U168" t="n">
        <v>0</v>
      </c>
      <c r="V168" s="2" t="inlineStr">
        <is>
          <t>Garnlav
Skuggblåslav
Korallblylav
Mindre märgborre
Vanlig flatbagge</t>
        </is>
      </c>
      <c r="W168">
        <f>HYPERLINK("https://klasma.github.io/Logging_1782/artfynd/S 219-2025 artfynd.xlsx", "S 219-2025")</f>
        <v/>
      </c>
      <c r="X168">
        <f>HYPERLINK("https://klasma.github.io/Logging_1782/kartor/S 219-2025 karta.png", "S 219-2025")</f>
        <v/>
      </c>
      <c r="Y168">
        <f>HYPERLINK("https://klasma.github.io/Logging_1782/kartor_geotiff/S 219-2025 georefererad karta.tif", "S 219-2025")</f>
        <v/>
      </c>
      <c r="AA168">
        <f>HYPERLINK("https://klasma.github.io/Logging_1782/klagomål/S 219-2025 FSC-klagomål.docx", "S 219-2025")</f>
        <v/>
      </c>
      <c r="AB168">
        <f>HYPERLINK("https://klasma.github.io/Logging_1782/klagomålsmail/S 219-2025 FSC-klagomål mail.docx", "S 219-2025")</f>
        <v/>
      </c>
      <c r="AC168">
        <f>HYPERLINK("https://klasma.github.io/Logging_1782/tillsyn/S 219-2025 tillsynsbegäran.docx", "S 219-2025")</f>
        <v/>
      </c>
      <c r="AD168">
        <f>HYPERLINK("https://klasma.github.io/Logging_1782/tillsynsmail/S 219-2025 tillsynsbegäran mail.docx", "S 219-2025")</f>
        <v/>
      </c>
    </row>
    <row r="169" ht="15" customHeight="1">
      <c r="A169" t="inlineStr">
        <is>
          <t>S 740-2025</t>
        </is>
      </c>
      <c r="B169" t="inlineStr">
        <is>
          <t>samrådsanmälan</t>
        </is>
      </c>
      <c r="C169" t="inlineStr">
        <is>
          <t>Skogsgödsling</t>
        </is>
      </c>
      <c r="D169" s="1" t="n">
        <v>45723</v>
      </c>
      <c r="E169" s="1" t="n">
        <v>46307</v>
      </c>
      <c r="F169" t="inlineStr">
        <is>
          <t>VÄRMLANDS LÄN</t>
        </is>
      </c>
      <c r="G169" t="inlineStr">
        <is>
          <t>HAGFORS</t>
        </is>
      </c>
      <c r="H169" t="inlineStr">
        <is>
          <t>Bergvik skog väst AB</t>
        </is>
      </c>
      <c r="I169" t="n">
        <v>327.3</v>
      </c>
      <c r="J169" t="n">
        <v>3</v>
      </c>
      <c r="K169" t="n">
        <v>0</v>
      </c>
      <c r="L169" t="n">
        <v>1</v>
      </c>
      <c r="M169" t="n">
        <v>0</v>
      </c>
      <c r="N169" t="n">
        <v>0</v>
      </c>
      <c r="O169" t="n">
        <v>0</v>
      </c>
      <c r="P169" t="n">
        <v>0</v>
      </c>
      <c r="Q169" t="n">
        <v>1</v>
      </c>
      <c r="R169" t="n">
        <v>0</v>
      </c>
      <c r="S169" t="n">
        <v>5</v>
      </c>
      <c r="T169" t="n">
        <v>5</v>
      </c>
      <c r="U169" t="n">
        <v>3</v>
      </c>
      <c r="V169" s="2" t="inlineStr">
        <is>
          <t>Mellanlummer
Mattlummer
Skogsstjärna
Ängskovall
Revlummer</t>
        </is>
      </c>
      <c r="W169">
        <f>HYPERLINK("https://klasma.github.io/Logging_1783/artfynd/S 740-2025 artfynd.xlsx", "S 740-2025")</f>
        <v/>
      </c>
      <c r="X169">
        <f>HYPERLINK("https://klasma.github.io/Logging_1783/kartor/S 740-2025 karta.png", "S 740-2025")</f>
        <v/>
      </c>
      <c r="Y169">
        <f>HYPERLINK("https://klasma.github.io/Logging_1783/kartor_geotiff/S 740-2025 georefererad karta.tif", "S 740-2025")</f>
        <v/>
      </c>
      <c r="AA169">
        <f>HYPERLINK("https://klasma.github.io/Logging_1783/klagomål/S 740-2025 FSC-klagomål.docx", "S 740-2025")</f>
        <v/>
      </c>
      <c r="AB169">
        <f>HYPERLINK("https://klasma.github.io/Logging_1783/klagomålsmail/S 740-2025 FSC-klagomål mail.docx", "S 740-2025")</f>
        <v/>
      </c>
      <c r="AC169">
        <f>HYPERLINK("https://klasma.github.io/Logging_1783/tillsyn/S 740-2025 tillsynsbegäran.docx", "S 740-2025")</f>
        <v/>
      </c>
      <c r="AD169">
        <f>HYPERLINK("https://klasma.github.io/Logging_1783/tillsynsmail/S 740-2025 tillsynsbegäran mail.docx", "S 740-2025")</f>
        <v/>
      </c>
    </row>
    <row r="170" ht="15" customHeight="1">
      <c r="A170" t="inlineStr">
        <is>
          <t>A 70301-2021</t>
        </is>
      </c>
      <c r="B170" t="inlineStr">
        <is>
          <t>avverkningsanmälan</t>
        </is>
      </c>
      <c r="C170" t="inlineStr">
        <is>
          <t>Föryngringsavverkning</t>
        </is>
      </c>
      <c r="D170" s="1" t="n">
        <v>44536</v>
      </c>
      <c r="E170" s="1" t="n">
        <v>46307</v>
      </c>
      <c r="F170" t="inlineStr">
        <is>
          <t>VÄRMLANDS LÄN</t>
        </is>
      </c>
      <c r="G170" t="inlineStr">
        <is>
          <t>TORSBY</t>
        </is>
      </c>
      <c r="I170" t="n">
        <v>1</v>
      </c>
      <c r="J170" t="n">
        <v>0</v>
      </c>
      <c r="K170" t="n">
        <v>1</v>
      </c>
      <c r="L170" t="n">
        <v>2</v>
      </c>
      <c r="M170" t="n">
        <v>1</v>
      </c>
      <c r="N170" t="n">
        <v>0</v>
      </c>
      <c r="O170" t="n">
        <v>0</v>
      </c>
      <c r="P170" t="n">
        <v>0</v>
      </c>
      <c r="Q170" t="n">
        <v>3</v>
      </c>
      <c r="R170" t="n">
        <v>1</v>
      </c>
      <c r="S170" t="n">
        <v>4</v>
      </c>
      <c r="T170" t="n">
        <v>7</v>
      </c>
      <c r="U170" t="n">
        <v>7</v>
      </c>
      <c r="V170" s="2" t="inlineStr">
        <is>
          <t>Garnlav
Dvärgbägarlav
Gammelgransskål
Stuplav</t>
        </is>
      </c>
      <c r="W170">
        <f>HYPERLINK("https://klasma.github.io/Logging_1737/artfynd/A 70301-2021 artfynd.xlsx", "A 70301-2021")</f>
        <v/>
      </c>
      <c r="X170">
        <f>HYPERLINK("https://klasma.github.io/Logging_1737/kartor/A 70301-2021 karta.png", "A 70301-2021")</f>
        <v/>
      </c>
      <c r="Y170">
        <f>HYPERLINK("https://klasma.github.io/Logging_1737/kartor_geotiff/A 70301-2021 georefererad karta.tif", "A 70301-2021")</f>
        <v/>
      </c>
      <c r="AA170">
        <f>HYPERLINK("https://klasma.github.io/Logging_1737/klagomål/A 70301-2021 FSC-klagomål.docx", "A 70301-2021")</f>
        <v/>
      </c>
      <c r="AB170">
        <f>HYPERLINK("https://klasma.github.io/Logging_1737/klagomålsmail/A 70301-2021 FSC-klagomål mail.docx", "A 70301-2021")</f>
        <v/>
      </c>
      <c r="AC170">
        <f>HYPERLINK("https://klasma.github.io/Logging_1737/tillsyn/A 70301-2021 tillsynsbegäran.docx", "A 70301-2021")</f>
        <v/>
      </c>
      <c r="AD170">
        <f>HYPERLINK("https://klasma.github.io/Logging_1737/tillsynsmail/A 70301-2021 tillsynsbegäran mail.docx", "A 70301-2021")</f>
        <v/>
      </c>
    </row>
    <row r="171" ht="15" customHeight="1">
      <c r="A171" t="inlineStr">
        <is>
          <t>A 4557-2022</t>
        </is>
      </c>
      <c r="B171" t="inlineStr">
        <is>
          <t>avverkningsanmälan</t>
        </is>
      </c>
      <c r="C171" t="inlineStr">
        <is>
          <t>Föryngringsavverkning</t>
        </is>
      </c>
      <c r="D171" s="1" t="n">
        <v>44591</v>
      </c>
      <c r="E171" s="1" t="n">
        <v>46307</v>
      </c>
      <c r="F171" t="inlineStr">
        <is>
          <t>VÄRMLANDS LÄN</t>
        </is>
      </c>
      <c r="G171" t="inlineStr">
        <is>
          <t>TORSBY</t>
        </is>
      </c>
      <c r="I171" t="n">
        <v>2.7</v>
      </c>
      <c r="J171" t="n">
        <v>3</v>
      </c>
      <c r="K171" t="n">
        <v>0</v>
      </c>
      <c r="L171" t="n">
        <v>2</v>
      </c>
      <c r="M171" t="n">
        <v>0</v>
      </c>
      <c r="N171" t="n">
        <v>0</v>
      </c>
      <c r="O171" t="n">
        <v>0</v>
      </c>
      <c r="P171" t="n">
        <v>0</v>
      </c>
      <c r="Q171" t="n">
        <v>2</v>
      </c>
      <c r="R171" t="n">
        <v>0</v>
      </c>
      <c r="S171" t="n">
        <v>4</v>
      </c>
      <c r="T171" t="n">
        <v>10</v>
      </c>
      <c r="U171" t="n">
        <v>10</v>
      </c>
      <c r="V171" s="2" t="inlineStr">
        <is>
          <t>Järnsparv
Violettgrå tagellav
Mattlummer
Kungsfågel</t>
        </is>
      </c>
      <c r="W171">
        <f>HYPERLINK("https://klasma.github.io/Logging_1737/artfynd/A 4557-2022 artfynd.xlsx", "A 4557-2022")</f>
        <v/>
      </c>
      <c r="X171">
        <f>HYPERLINK("https://klasma.github.io/Logging_1737/kartor/A 4557-2022 karta.png", "A 4557-2022")</f>
        <v/>
      </c>
      <c r="Y171">
        <f>HYPERLINK("https://klasma.github.io/Logging_1737/kartor_geotiff/A 4557-2022 georefererad karta.tif", "A 4557-2022")</f>
        <v/>
      </c>
      <c r="AA171">
        <f>HYPERLINK("https://klasma.github.io/Logging_1737/klagomål/A 4557-2022 FSC-klagomål.docx", "A 4557-2022")</f>
        <v/>
      </c>
      <c r="AB171">
        <f>HYPERLINK("https://klasma.github.io/Logging_1737/klagomålsmail/A 4557-2022 FSC-klagomål mail.docx", "A 4557-2022")</f>
        <v/>
      </c>
      <c r="AC171">
        <f>HYPERLINK("https://klasma.github.io/Logging_1737/tillsyn/A 4557-2022 tillsynsbegäran.docx", "A 4557-2022")</f>
        <v/>
      </c>
      <c r="AD171">
        <f>HYPERLINK("https://klasma.github.io/Logging_1737/tillsynsmail/A 4557-2022 tillsynsbegäran mail.docx", "A 4557-2022")</f>
        <v/>
      </c>
      <c r="AE171">
        <f>HYPERLINK("https://klasma.github.io/Logging_1737/fåglar/A 4557-2022 prioriterade fågelarter.docx", "A 4557-2022")</f>
        <v/>
      </c>
    </row>
    <row r="172" ht="15" customHeight="1">
      <c r="A172" t="inlineStr">
        <is>
          <t>A 63807-2021</t>
        </is>
      </c>
      <c r="B172" t="inlineStr">
        <is>
          <t>avverkningsanmälan</t>
        </is>
      </c>
      <c r="C172" t="inlineStr">
        <is>
          <t>Föryngringsavverkning</t>
        </is>
      </c>
      <c r="D172" s="1" t="n">
        <v>44509</v>
      </c>
      <c r="E172" s="1" t="n">
        <v>46307</v>
      </c>
      <c r="F172" t="inlineStr">
        <is>
          <t>VÄRMLANDS LÄN</t>
        </is>
      </c>
      <c r="G172" t="inlineStr">
        <is>
          <t>SUNNE</t>
        </is>
      </c>
      <c r="H172" t="inlineStr">
        <is>
          <t>Kommuner</t>
        </is>
      </c>
      <c r="I172" t="n">
        <v>5.5</v>
      </c>
      <c r="J172" t="n">
        <v>0</v>
      </c>
      <c r="K172" t="n">
        <v>4</v>
      </c>
      <c r="L172" t="n">
        <v>0</v>
      </c>
      <c r="M172" t="n">
        <v>0</v>
      </c>
      <c r="N172" t="n">
        <v>0</v>
      </c>
      <c r="O172" t="n">
        <v>0</v>
      </c>
      <c r="P172" t="n">
        <v>0</v>
      </c>
      <c r="Q172" t="n">
        <v>0</v>
      </c>
      <c r="R172" t="n">
        <v>0</v>
      </c>
      <c r="S172" t="n">
        <v>4</v>
      </c>
      <c r="T172" t="n">
        <v>5</v>
      </c>
      <c r="U172" t="n">
        <v>0</v>
      </c>
      <c r="V172" s="2" t="inlineStr">
        <is>
          <t>Bågpraktmossa
Dvärghäxört
Skinnlav
Svart trolldruva</t>
        </is>
      </c>
      <c r="W172">
        <f>HYPERLINK("https://klasma.github.io/Logging_1766/artfynd/A 63807-2021 artfynd.xlsx", "A 63807-2021")</f>
        <v/>
      </c>
      <c r="X172">
        <f>HYPERLINK("https://klasma.github.io/Logging_1766/kartor/A 63807-2021 karta.png", "A 63807-2021")</f>
        <v/>
      </c>
      <c r="Y172">
        <f>HYPERLINK("https://klasma.github.io/Logging_1766/kartor_geotiff/A 63807-2021 georefererad karta.tif", "A 63807-2021")</f>
        <v/>
      </c>
      <c r="AA172">
        <f>HYPERLINK("https://klasma.github.io/Logging_1766/klagomål/A 63807-2021 FSC-klagomål.docx", "A 63807-2021")</f>
        <v/>
      </c>
      <c r="AB172">
        <f>HYPERLINK("https://klasma.github.io/Logging_1766/klagomålsmail/A 63807-2021 FSC-klagomål mail.docx", "A 63807-2021")</f>
        <v/>
      </c>
      <c r="AC172">
        <f>HYPERLINK("https://klasma.github.io/Logging_1766/tillsyn/A 63807-2021 tillsynsbegäran.docx", "A 63807-2021")</f>
        <v/>
      </c>
      <c r="AD172">
        <f>HYPERLINK("https://klasma.github.io/Logging_1766/tillsynsmail/A 63807-2021 tillsynsbegäran mail.docx", "A 63807-2021")</f>
        <v/>
      </c>
    </row>
    <row r="173" ht="15" customHeight="1">
      <c r="A173" t="inlineStr">
        <is>
          <t>A 449-2022</t>
        </is>
      </c>
      <c r="B173" t="inlineStr">
        <is>
          <t>avverkningsanmälan</t>
        </is>
      </c>
      <c r="C173" t="inlineStr">
        <is>
          <t>Föryngringsavverkning</t>
        </is>
      </c>
      <c r="D173" s="1" t="n">
        <v>44566</v>
      </c>
      <c r="E173" s="1" t="n">
        <v>46307</v>
      </c>
      <c r="F173" t="inlineStr">
        <is>
          <t>VÄRMLANDS LÄN</t>
        </is>
      </c>
      <c r="G173" t="inlineStr">
        <is>
          <t>MUNKFORS</t>
        </is>
      </c>
      <c r="H173" t="inlineStr">
        <is>
          <t>Bergvik skog väst AB</t>
        </is>
      </c>
      <c r="I173" t="n">
        <v>2.8</v>
      </c>
      <c r="J173" t="n">
        <v>4</v>
      </c>
      <c r="K173" t="n">
        <v>0</v>
      </c>
      <c r="L173" t="n">
        <v>0</v>
      </c>
      <c r="M173" t="n">
        <v>0</v>
      </c>
      <c r="N173" t="n">
        <v>0</v>
      </c>
      <c r="O173" t="n">
        <v>0</v>
      </c>
      <c r="P173" t="n">
        <v>0</v>
      </c>
      <c r="Q173" t="n">
        <v>0</v>
      </c>
      <c r="R173" t="n">
        <v>0</v>
      </c>
      <c r="S173" t="n">
        <v>4</v>
      </c>
      <c r="T173" t="n">
        <v>4</v>
      </c>
      <c r="U173" t="n">
        <v>4</v>
      </c>
      <c r="V173" s="2" t="inlineStr">
        <is>
          <t>Tofsmes
Grönsiska
Kungsfågel
Svartvit flugsnappare</t>
        </is>
      </c>
      <c r="W173">
        <f>HYPERLINK("https://klasma.github.io/Logging_1762/artfynd/A 449-2022 artfynd.xlsx", "A 449-2022")</f>
        <v/>
      </c>
      <c r="X173">
        <f>HYPERLINK("https://klasma.github.io/Logging_1762/kartor/A 449-2022 karta.png", "A 449-2022")</f>
        <v/>
      </c>
      <c r="Y173">
        <f>HYPERLINK("https://klasma.github.io/Logging_1762/kartor_geotiff/A 449-2022 georefererad karta.tif", "A 449-2022")</f>
        <v/>
      </c>
      <c r="AA173">
        <f>HYPERLINK("https://klasma.github.io/Logging_1762/klagomål/A 449-2022 FSC-klagomål.docx", "A 449-2022")</f>
        <v/>
      </c>
      <c r="AB173">
        <f>HYPERLINK("https://klasma.github.io/Logging_1762/klagomålsmail/A 449-2022 FSC-klagomål mail.docx", "A 449-2022")</f>
        <v/>
      </c>
      <c r="AC173">
        <f>HYPERLINK("https://klasma.github.io/Logging_1762/tillsyn/A 449-2022 tillsynsbegäran.docx", "A 449-2022")</f>
        <v/>
      </c>
      <c r="AD173">
        <f>HYPERLINK("https://klasma.github.io/Logging_1762/tillsynsmail/A 449-2022 tillsynsbegäran mail.docx", "A 449-2022")</f>
        <v/>
      </c>
    </row>
    <row r="174" ht="15" customHeight="1">
      <c r="A174" t="inlineStr">
        <is>
          <t>A 34087-2022</t>
        </is>
      </c>
      <c r="B174" t="inlineStr">
        <is>
          <t>avverkningsanmälan</t>
        </is>
      </c>
      <c r="C174" t="inlineStr">
        <is>
          <t>Föryngringsavverkning</t>
        </is>
      </c>
      <c r="D174" s="1" t="n">
        <v>44791</v>
      </c>
      <c r="E174" s="1" t="n">
        <v>46307</v>
      </c>
      <c r="F174" t="inlineStr">
        <is>
          <t>VÄRMLANDS LÄN</t>
        </is>
      </c>
      <c r="G174" t="inlineStr">
        <is>
          <t>EDA</t>
        </is>
      </c>
      <c r="I174" t="n">
        <v>6.7</v>
      </c>
      <c r="J174" t="n">
        <v>0</v>
      </c>
      <c r="K174" t="n">
        <v>2</v>
      </c>
      <c r="L174" t="n">
        <v>1</v>
      </c>
      <c r="M174" t="n">
        <v>1</v>
      </c>
      <c r="N174" t="n">
        <v>0</v>
      </c>
      <c r="O174" t="n">
        <v>0</v>
      </c>
      <c r="P174" t="n">
        <v>0</v>
      </c>
      <c r="Q174" t="n">
        <v>2</v>
      </c>
      <c r="R174" t="n">
        <v>1</v>
      </c>
      <c r="S174" t="n">
        <v>4</v>
      </c>
      <c r="T174" t="n">
        <v>5</v>
      </c>
      <c r="U174" t="n">
        <v>5</v>
      </c>
      <c r="V174" s="2" t="inlineStr">
        <is>
          <t>Garnlav
Dropptaggsvamp
Bårdlav
Stuplav</t>
        </is>
      </c>
      <c r="W174">
        <f>HYPERLINK("https://klasma.github.io/Logging_1730/artfynd/A 34087-2022 artfynd.xlsx", "A 34087-2022")</f>
        <v/>
      </c>
      <c r="X174">
        <f>HYPERLINK("https://klasma.github.io/Logging_1730/kartor/A 34087-2022 karta.png", "A 34087-2022")</f>
        <v/>
      </c>
      <c r="Y174">
        <f>HYPERLINK("https://klasma.github.io/Logging_1730/kartor_geotiff/A 34087-2022 georefererad karta.tif", "A 34087-2022")</f>
        <v/>
      </c>
      <c r="AA174">
        <f>HYPERLINK("https://klasma.github.io/Logging_1730/klagomål/A 34087-2022 FSC-klagomål.docx", "A 34087-2022")</f>
        <v/>
      </c>
      <c r="AB174">
        <f>HYPERLINK("https://klasma.github.io/Logging_1730/klagomålsmail/A 34087-2022 FSC-klagomål mail.docx", "A 34087-2022")</f>
        <v/>
      </c>
      <c r="AC174">
        <f>HYPERLINK("https://klasma.github.io/Logging_1730/tillsyn/A 34087-2022 tillsynsbegäran.docx", "A 34087-2022")</f>
        <v/>
      </c>
      <c r="AD174">
        <f>HYPERLINK("https://klasma.github.io/Logging_1730/tillsynsmail/A 34087-2022 tillsynsbegäran mail.docx", "A 34087-2022")</f>
        <v/>
      </c>
    </row>
    <row r="175" ht="15" customHeight="1">
      <c r="A175" t="inlineStr">
        <is>
          <t>A 2938-2025</t>
        </is>
      </c>
      <c r="B175" t="inlineStr">
        <is>
          <t>avverkningsanmälan</t>
        </is>
      </c>
      <c r="C175" t="inlineStr">
        <is>
          <t>Föryngringsavverkning</t>
        </is>
      </c>
      <c r="D175" s="1" t="n">
        <v>45678</v>
      </c>
      <c r="E175" s="1" t="n">
        <v>46307</v>
      </c>
      <c r="F175" t="inlineStr">
        <is>
          <t>VÄRMLANDS LÄN</t>
        </is>
      </c>
      <c r="G175" t="inlineStr">
        <is>
          <t>TORSBY</t>
        </is>
      </c>
      <c r="I175" t="n">
        <v>2</v>
      </c>
      <c r="J175" t="n">
        <v>2</v>
      </c>
      <c r="K175" t="n">
        <v>0</v>
      </c>
      <c r="L175" t="n">
        <v>3</v>
      </c>
      <c r="M175" t="n">
        <v>1</v>
      </c>
      <c r="N175" t="n">
        <v>0</v>
      </c>
      <c r="O175" t="n">
        <v>0</v>
      </c>
      <c r="P175" t="n">
        <v>0</v>
      </c>
      <c r="Q175" t="n">
        <v>4</v>
      </c>
      <c r="R175" t="n">
        <v>1</v>
      </c>
      <c r="S175" t="n">
        <v>4</v>
      </c>
      <c r="T175" t="n">
        <v>8</v>
      </c>
      <c r="U175" t="n">
        <v>8</v>
      </c>
      <c r="V175" s="2" t="inlineStr">
        <is>
          <t>Garnlav
Gammelgransskål
Talltita
Tretåig hackspett</t>
        </is>
      </c>
      <c r="W175">
        <f>HYPERLINK("https://klasma.github.io/Logging_1737/artfynd/A 2938-2025 artfynd.xlsx", "A 2938-2025")</f>
        <v/>
      </c>
      <c r="X175">
        <f>HYPERLINK("https://klasma.github.io/Logging_1737/kartor/A 2938-2025 karta.png", "A 2938-2025")</f>
        <v/>
      </c>
      <c r="Y175">
        <f>HYPERLINK("https://klasma.github.io/Logging_1737/kartor_geotiff/A 2938-2025 georefererad karta.tif", "A 2938-2025")</f>
        <v/>
      </c>
      <c r="AA175">
        <f>HYPERLINK("https://klasma.github.io/Logging_1737/klagomål/A 2938-2025 FSC-klagomål.docx", "A 2938-2025")</f>
        <v/>
      </c>
      <c r="AB175">
        <f>HYPERLINK("https://klasma.github.io/Logging_1737/klagomålsmail/A 2938-2025 FSC-klagomål mail.docx", "A 2938-2025")</f>
        <v/>
      </c>
      <c r="AC175">
        <f>HYPERLINK("https://klasma.github.io/Logging_1737/tillsyn/A 2938-2025 tillsynsbegäran.docx", "A 2938-2025")</f>
        <v/>
      </c>
      <c r="AD175">
        <f>HYPERLINK("https://klasma.github.io/Logging_1737/tillsynsmail/A 2938-2025 tillsynsbegäran mail.docx", "A 2938-2025")</f>
        <v/>
      </c>
      <c r="AE175">
        <f>HYPERLINK("https://klasma.github.io/Logging_1737/fåglar/A 2938-2025 prioriterade fågelarter.docx", "A 2938-2025")</f>
        <v/>
      </c>
    </row>
    <row r="176" ht="15" customHeight="1">
      <c r="A176" t="inlineStr">
        <is>
          <t>A 65201-2023</t>
        </is>
      </c>
      <c r="B176" t="inlineStr">
        <is>
          <t>avverkningsanmälan</t>
        </is>
      </c>
      <c r="C176" t="inlineStr">
        <is>
          <t>Föryngringsavverkning</t>
        </is>
      </c>
      <c r="D176" s="1" t="n">
        <v>45289</v>
      </c>
      <c r="E176" s="1" t="n">
        <v>46307</v>
      </c>
      <c r="F176" t="inlineStr">
        <is>
          <t>VÄRMLANDS LÄN</t>
        </is>
      </c>
      <c r="G176" t="inlineStr">
        <is>
          <t>FILIPSTAD</t>
        </is>
      </c>
      <c r="H176" t="inlineStr">
        <is>
          <t>Bergvik skog väst AB</t>
        </is>
      </c>
      <c r="I176" t="n">
        <v>7.5</v>
      </c>
      <c r="J176" t="n">
        <v>2</v>
      </c>
      <c r="K176" t="n">
        <v>0</v>
      </c>
      <c r="L176" t="n">
        <v>2</v>
      </c>
      <c r="M176" t="n">
        <v>1</v>
      </c>
      <c r="N176" t="n">
        <v>0</v>
      </c>
      <c r="O176" t="n">
        <v>0</v>
      </c>
      <c r="P176" t="n">
        <v>0</v>
      </c>
      <c r="Q176" t="n">
        <v>3</v>
      </c>
      <c r="R176" t="n">
        <v>1</v>
      </c>
      <c r="S176" t="n">
        <v>4</v>
      </c>
      <c r="T176" t="n">
        <v>7</v>
      </c>
      <c r="U176" t="n">
        <v>6</v>
      </c>
      <c r="V176" s="2" t="inlineStr">
        <is>
          <t>Knärot
Brunpudrad nållav
Vedtrappmossa
Blåsippa</t>
        </is>
      </c>
      <c r="W176">
        <f>HYPERLINK("https://klasma.github.io/Logging_1782/artfynd/A 65201-2023 artfynd.xlsx", "A 65201-2023")</f>
        <v/>
      </c>
      <c r="X176">
        <f>HYPERLINK("https://klasma.github.io/Logging_1782/kartor/A 65201-2023 karta.png", "A 65201-2023")</f>
        <v/>
      </c>
      <c r="Y176">
        <f>HYPERLINK("https://klasma.github.io/Logging_1782/kartor_geotiff/A 65201-2023 georefererad karta.tif", "A 65201-2023")</f>
        <v/>
      </c>
      <c r="Z176">
        <f>HYPERLINK("https://klasma.github.io/Logging_1782/knärot/A 65201-2023 karta knärot.png", "A 65201-2023")</f>
        <v/>
      </c>
      <c r="AA176">
        <f>HYPERLINK("https://klasma.github.io/Logging_1782/klagomål/A 65201-2023 FSC-klagomål.docx", "A 65201-2023")</f>
        <v/>
      </c>
      <c r="AB176">
        <f>HYPERLINK("https://klasma.github.io/Logging_1782/klagomålsmail/A 65201-2023 FSC-klagomål mail.docx", "A 65201-2023")</f>
        <v/>
      </c>
      <c r="AC176">
        <f>HYPERLINK("https://klasma.github.io/Logging_1782/tillsyn/A 65201-2023 tillsynsbegäran.docx", "A 65201-2023")</f>
        <v/>
      </c>
      <c r="AD176">
        <f>HYPERLINK("https://klasma.github.io/Logging_1782/tillsynsmail/A 65201-2023 tillsynsbegäran mail.docx", "A 65201-2023")</f>
        <v/>
      </c>
    </row>
    <row r="177" ht="15" customHeight="1">
      <c r="A177" t="inlineStr">
        <is>
          <t>A 31151-2022</t>
        </is>
      </c>
      <c r="B177" t="inlineStr">
        <is>
          <t>avverkningsanmälan</t>
        </is>
      </c>
      <c r="C177" t="inlineStr">
        <is>
          <t>Föryngringsavverkning</t>
        </is>
      </c>
      <c r="D177" s="1" t="n">
        <v>44770</v>
      </c>
      <c r="E177" s="1" t="n">
        <v>46307</v>
      </c>
      <c r="F177" t="inlineStr">
        <is>
          <t>VÄRMLANDS LÄN</t>
        </is>
      </c>
      <c r="G177" t="inlineStr">
        <is>
          <t>KARLSTAD</t>
        </is>
      </c>
      <c r="H177" t="inlineStr">
        <is>
          <t>Kommuner</t>
        </is>
      </c>
      <c r="I177" t="n">
        <v>7.8</v>
      </c>
      <c r="J177" t="n">
        <v>4</v>
      </c>
      <c r="K177" t="n">
        <v>0</v>
      </c>
      <c r="L177" t="n">
        <v>0</v>
      </c>
      <c r="M177" t="n">
        <v>0</v>
      </c>
      <c r="N177" t="n">
        <v>0</v>
      </c>
      <c r="O177" t="n">
        <v>0</v>
      </c>
      <c r="P177" t="n">
        <v>0</v>
      </c>
      <c r="Q177" t="n">
        <v>0</v>
      </c>
      <c r="R177" t="n">
        <v>0</v>
      </c>
      <c r="S177" t="n">
        <v>4</v>
      </c>
      <c r="T177" t="n">
        <v>10</v>
      </c>
      <c r="U177" t="n">
        <v>5</v>
      </c>
      <c r="V177" s="2" t="inlineStr">
        <is>
          <t>Mattlummer
Spillkråka
Åkergroda
Revlummer</t>
        </is>
      </c>
      <c r="W177">
        <f>HYPERLINK("https://klasma.github.io/Logging_1780/artfynd/A 31151-2022 artfynd.xlsx", "A 31151-2022")</f>
        <v/>
      </c>
      <c r="X177">
        <f>HYPERLINK("https://klasma.github.io/Logging_1780/kartor/A 31151-2022 karta.png", "A 31151-2022")</f>
        <v/>
      </c>
      <c r="Y177">
        <f>HYPERLINK("https://klasma.github.io/Logging_1780/kartor_geotiff/A 31151-2022 georefererad karta.tif", "A 31151-2022")</f>
        <v/>
      </c>
      <c r="AA177">
        <f>HYPERLINK("https://klasma.github.io/Logging_1780/klagomål/A 31151-2022 FSC-klagomål.docx", "A 31151-2022")</f>
        <v/>
      </c>
      <c r="AB177">
        <f>HYPERLINK("https://klasma.github.io/Logging_1780/klagomålsmail/A 31151-2022 FSC-klagomål mail.docx", "A 31151-2022")</f>
        <v/>
      </c>
      <c r="AC177">
        <f>HYPERLINK("https://klasma.github.io/Logging_1780/tillsyn/A 31151-2022 tillsynsbegäran.docx", "A 31151-2022")</f>
        <v/>
      </c>
      <c r="AD177">
        <f>HYPERLINK("https://klasma.github.io/Logging_1780/tillsynsmail/A 31151-2022 tillsynsbegäran mail.docx", "A 31151-2022")</f>
        <v/>
      </c>
      <c r="AE177">
        <f>HYPERLINK("https://klasma.github.io/Logging_1780/fåglar/A 31151-2022 prioriterade fågelarter.docx", "A 31151-2022")</f>
        <v/>
      </c>
    </row>
    <row r="178" ht="15" customHeight="1">
      <c r="A178" t="inlineStr">
        <is>
          <t>A 63807-2021</t>
        </is>
      </c>
      <c r="B178" t="inlineStr">
        <is>
          <t>avverkningsanmälan</t>
        </is>
      </c>
      <c r="C178" t="inlineStr">
        <is>
          <t>Föryngringsavverkning</t>
        </is>
      </c>
      <c r="D178" s="1" t="n">
        <v>44509</v>
      </c>
      <c r="E178" s="1" t="n">
        <v>46307</v>
      </c>
      <c r="F178" t="inlineStr">
        <is>
          <t>VÄRMLANDS LÄN</t>
        </is>
      </c>
      <c r="G178" t="inlineStr">
        <is>
          <t>SUNNE</t>
        </is>
      </c>
      <c r="H178" t="inlineStr">
        <is>
          <t>Kommuner</t>
        </is>
      </c>
      <c r="I178" t="n">
        <v>5.5</v>
      </c>
      <c r="J178" t="n">
        <v>0</v>
      </c>
      <c r="K178" t="n">
        <v>4</v>
      </c>
      <c r="L178" t="n">
        <v>0</v>
      </c>
      <c r="M178" t="n">
        <v>0</v>
      </c>
      <c r="N178" t="n">
        <v>0</v>
      </c>
      <c r="O178" t="n">
        <v>0</v>
      </c>
      <c r="P178" t="n">
        <v>0</v>
      </c>
      <c r="Q178" t="n">
        <v>0</v>
      </c>
      <c r="R178" t="n">
        <v>0</v>
      </c>
      <c r="S178" t="n">
        <v>4</v>
      </c>
      <c r="T178" t="n">
        <v>5</v>
      </c>
      <c r="U178" t="n">
        <v>0</v>
      </c>
      <c r="V178" s="2" t="inlineStr">
        <is>
          <t>Bågpraktmossa
Dvärghäxört
Skinnlav
Svart trolldruva</t>
        </is>
      </c>
      <c r="W178">
        <f>HYPERLINK("https://klasma.github.io/Logging_1766/artfynd/A 63807-2021 artfynd.xlsx", "A 63807-2021")</f>
        <v/>
      </c>
      <c r="X178">
        <f>HYPERLINK("https://klasma.github.io/Logging_1766/kartor/A 63807-2021 karta.png", "A 63807-2021")</f>
        <v/>
      </c>
      <c r="Y178">
        <f>HYPERLINK("https://klasma.github.io/Logging_1766/kartor_geotiff/A 63807-2021 georefererad karta.tif", "A 63807-2021")</f>
        <v/>
      </c>
      <c r="AA178">
        <f>HYPERLINK("https://klasma.github.io/Logging_1766/klagomål/A 63807-2021 FSC-klagomål.docx", "A 63807-2021")</f>
        <v/>
      </c>
      <c r="AB178">
        <f>HYPERLINK("https://klasma.github.io/Logging_1766/klagomålsmail/A 63807-2021 FSC-klagomål mail.docx", "A 63807-2021")</f>
        <v/>
      </c>
      <c r="AC178">
        <f>HYPERLINK("https://klasma.github.io/Logging_1766/tillsyn/A 63807-2021 tillsynsbegäran.docx", "A 63807-2021")</f>
        <v/>
      </c>
      <c r="AD178">
        <f>HYPERLINK("https://klasma.github.io/Logging_1766/tillsynsmail/A 63807-2021 tillsynsbegäran mail.docx", "A 63807-2021")</f>
        <v/>
      </c>
    </row>
    <row r="179" ht="15" customHeight="1">
      <c r="A179" t="inlineStr">
        <is>
          <t>A 37948-2024</t>
        </is>
      </c>
      <c r="B179" t="inlineStr">
        <is>
          <t>avverkningsanmälan</t>
        </is>
      </c>
      <c r="C179" t="inlineStr">
        <is>
          <t>Föryngringsavverkning</t>
        </is>
      </c>
      <c r="D179" s="1" t="n">
        <v>45544</v>
      </c>
      <c r="E179" s="1" t="n">
        <v>46307</v>
      </c>
      <c r="F179" t="inlineStr">
        <is>
          <t>VÄRMLANDS LÄN</t>
        </is>
      </c>
      <c r="G179" t="inlineStr">
        <is>
          <t>TORSBY</t>
        </is>
      </c>
      <c r="I179" t="n">
        <v>1.6</v>
      </c>
      <c r="J179" t="n">
        <v>0</v>
      </c>
      <c r="K179" t="n">
        <v>0</v>
      </c>
      <c r="L179" t="n">
        <v>3</v>
      </c>
      <c r="M179" t="n">
        <v>1</v>
      </c>
      <c r="N179" t="n">
        <v>0</v>
      </c>
      <c r="O179" t="n">
        <v>0</v>
      </c>
      <c r="P179" t="n">
        <v>0</v>
      </c>
      <c r="Q179" t="n">
        <v>4</v>
      </c>
      <c r="R179" t="n">
        <v>1</v>
      </c>
      <c r="S179" t="n">
        <v>4</v>
      </c>
      <c r="T179" t="n">
        <v>8</v>
      </c>
      <c r="U179" t="n">
        <v>8</v>
      </c>
      <c r="V179" s="2" t="inlineStr">
        <is>
          <t>Garnlav
Gammelgransskål
Skuggblåslav
Violettgrå tagellav</t>
        </is>
      </c>
      <c r="W179">
        <f>HYPERLINK("https://klasma.github.io/Logging_1737/artfynd/A 37948-2024 artfynd.xlsx", "A 37948-2024")</f>
        <v/>
      </c>
      <c r="X179">
        <f>HYPERLINK("https://klasma.github.io/Logging_1737/kartor/A 37948-2024 karta.png", "A 37948-2024")</f>
        <v/>
      </c>
      <c r="Y179">
        <f>HYPERLINK("https://klasma.github.io/Logging_1737/kartor_geotiff/A 37948-2024 georefererad karta.tif", "A 37948-2024")</f>
        <v/>
      </c>
      <c r="AA179">
        <f>HYPERLINK("https://klasma.github.io/Logging_1737/klagomål/A 37948-2024 FSC-klagomål.docx", "A 37948-2024")</f>
        <v/>
      </c>
      <c r="AB179">
        <f>HYPERLINK("https://klasma.github.io/Logging_1737/klagomålsmail/A 37948-2024 FSC-klagomål mail.docx", "A 37948-2024")</f>
        <v/>
      </c>
      <c r="AC179">
        <f>HYPERLINK("https://klasma.github.io/Logging_1737/tillsyn/A 37948-2024 tillsynsbegäran.docx", "A 37948-2024")</f>
        <v/>
      </c>
      <c r="AD179">
        <f>HYPERLINK("https://klasma.github.io/Logging_1737/tillsynsmail/A 37948-2024 tillsynsbegäran mail.docx", "A 37948-2024")</f>
        <v/>
      </c>
    </row>
    <row r="180" ht="15" customHeight="1">
      <c r="A180" t="inlineStr">
        <is>
          <t>A 16335-2024</t>
        </is>
      </c>
      <c r="B180" t="inlineStr">
        <is>
          <t>avverkningsanmälan</t>
        </is>
      </c>
      <c r="C180" t="inlineStr">
        <is>
          <t>Föryngringsavverkning</t>
        </is>
      </c>
      <c r="D180" s="1" t="n">
        <v>45407</v>
      </c>
      <c r="E180" s="1" t="n">
        <v>46307</v>
      </c>
      <c r="F180" t="inlineStr">
        <is>
          <t>VÄRMLANDS LÄN</t>
        </is>
      </c>
      <c r="G180" t="inlineStr">
        <is>
          <t>EDA</t>
        </is>
      </c>
      <c r="I180" t="n">
        <v>3.6</v>
      </c>
      <c r="J180" t="n">
        <v>0</v>
      </c>
      <c r="K180" t="n">
        <v>1</v>
      </c>
      <c r="L180" t="n">
        <v>3</v>
      </c>
      <c r="M180" t="n">
        <v>0</v>
      </c>
      <c r="N180" t="n">
        <v>0</v>
      </c>
      <c r="O180" t="n">
        <v>0</v>
      </c>
      <c r="P180" t="n">
        <v>0</v>
      </c>
      <c r="Q180" t="n">
        <v>3</v>
      </c>
      <c r="R180" t="n">
        <v>0</v>
      </c>
      <c r="S180" t="n">
        <v>4</v>
      </c>
      <c r="T180" t="n">
        <v>5</v>
      </c>
      <c r="U180" t="n">
        <v>0</v>
      </c>
      <c r="V180" s="2" t="inlineStr">
        <is>
          <t>Kattfotslav
Lunglav
Skrovellav
Stuplav</t>
        </is>
      </c>
      <c r="W180">
        <f>HYPERLINK("https://klasma.github.io/Logging_1730/artfynd/A 16335-2024 artfynd.xlsx", "A 16335-2024")</f>
        <v/>
      </c>
      <c r="X180">
        <f>HYPERLINK("https://klasma.github.io/Logging_1730/kartor/A 16335-2024 karta.png", "A 16335-2024")</f>
        <v/>
      </c>
      <c r="Y180">
        <f>HYPERLINK("https://klasma.github.io/Logging_1730/kartor_geotiff/A 16335-2024 georefererad karta.tif", "A 16335-2024")</f>
        <v/>
      </c>
      <c r="AA180">
        <f>HYPERLINK("https://klasma.github.io/Logging_1730/klagomål/A 16335-2024 FSC-klagomål.docx", "A 16335-2024")</f>
        <v/>
      </c>
      <c r="AB180">
        <f>HYPERLINK("https://klasma.github.io/Logging_1730/klagomålsmail/A 16335-2024 FSC-klagomål mail.docx", "A 16335-2024")</f>
        <v/>
      </c>
      <c r="AC180">
        <f>HYPERLINK("https://klasma.github.io/Logging_1730/tillsyn/A 16335-2024 tillsynsbegäran.docx", "A 16335-2024")</f>
        <v/>
      </c>
      <c r="AD180">
        <f>HYPERLINK("https://klasma.github.io/Logging_1730/tillsynsmail/A 16335-2024 tillsynsbegäran mail.docx", "A 16335-2024")</f>
        <v/>
      </c>
    </row>
    <row r="181" ht="15" customHeight="1">
      <c r="A181" t="inlineStr">
        <is>
          <t>A 21457-2024</t>
        </is>
      </c>
      <c r="B181" t="inlineStr">
        <is>
          <t>avverkningsanmälan</t>
        </is>
      </c>
      <c r="C181" t="inlineStr">
        <is>
          <t>Föryngringsavverkning</t>
        </is>
      </c>
      <c r="D181" s="1" t="n">
        <v>45441</v>
      </c>
      <c r="E181" s="1" t="n">
        <v>46307</v>
      </c>
      <c r="F181" t="inlineStr">
        <is>
          <t>VÄRMLANDS LÄN</t>
        </is>
      </c>
      <c r="G181" t="inlineStr">
        <is>
          <t>HAGFORS</t>
        </is>
      </c>
      <c r="I181" t="n">
        <v>5.4</v>
      </c>
      <c r="J181" t="n">
        <v>2</v>
      </c>
      <c r="K181" t="n">
        <v>0</v>
      </c>
      <c r="L181" t="n">
        <v>2</v>
      </c>
      <c r="M181" t="n">
        <v>0</v>
      </c>
      <c r="N181" t="n">
        <v>0</v>
      </c>
      <c r="O181" t="n">
        <v>0</v>
      </c>
      <c r="P181" t="n">
        <v>0</v>
      </c>
      <c r="Q181" t="n">
        <v>2</v>
      </c>
      <c r="R181" t="n">
        <v>0</v>
      </c>
      <c r="S181" t="n">
        <v>4</v>
      </c>
      <c r="T181" t="n">
        <v>6</v>
      </c>
      <c r="U181" t="n">
        <v>6</v>
      </c>
      <c r="V181" s="2" t="inlineStr">
        <is>
          <t>Blanksvart spiklav
Gammelgransskål
Spillkråka
Revlummer</t>
        </is>
      </c>
      <c r="W181">
        <f>HYPERLINK("https://klasma.github.io/Logging_1783/artfynd/A 21457-2024 artfynd.xlsx", "A 21457-2024")</f>
        <v/>
      </c>
      <c r="X181">
        <f>HYPERLINK("https://klasma.github.io/Logging_1783/kartor/A 21457-2024 karta.png", "A 21457-2024")</f>
        <v/>
      </c>
      <c r="Y181">
        <f>HYPERLINK("https://klasma.github.io/Logging_1783/kartor_geotiff/A 21457-2024 georefererad karta.tif", "A 21457-2024")</f>
        <v/>
      </c>
      <c r="AA181">
        <f>HYPERLINK("https://klasma.github.io/Logging_1783/klagomål/A 21457-2024 FSC-klagomål.docx", "A 21457-2024")</f>
        <v/>
      </c>
      <c r="AB181">
        <f>HYPERLINK("https://klasma.github.io/Logging_1783/klagomålsmail/A 21457-2024 FSC-klagomål mail.docx", "A 21457-2024")</f>
        <v/>
      </c>
      <c r="AC181">
        <f>HYPERLINK("https://klasma.github.io/Logging_1783/tillsyn/A 21457-2024 tillsynsbegäran.docx", "A 21457-2024")</f>
        <v/>
      </c>
      <c r="AD181">
        <f>HYPERLINK("https://klasma.github.io/Logging_1783/tillsynsmail/A 21457-2024 tillsynsbegäran mail.docx", "A 21457-2024")</f>
        <v/>
      </c>
      <c r="AE181">
        <f>HYPERLINK("https://klasma.github.io/Logging_1783/fåglar/A 21457-2024 prioriterade fågelarter.docx", "A 21457-2024")</f>
        <v/>
      </c>
    </row>
    <row r="182" ht="15" customHeight="1">
      <c r="A182" t="inlineStr">
        <is>
          <t>A 63880-2021</t>
        </is>
      </c>
      <c r="B182" t="inlineStr">
        <is>
          <t>avverkningsanmälan</t>
        </is>
      </c>
      <c r="C182" t="inlineStr">
        <is>
          <t>Föryngringsavverkning</t>
        </is>
      </c>
      <c r="D182" s="1" t="n">
        <v>44509</v>
      </c>
      <c r="E182" s="1" t="n">
        <v>46307</v>
      </c>
      <c r="F182" t="inlineStr">
        <is>
          <t>VÄRMLANDS LÄN</t>
        </is>
      </c>
      <c r="G182" t="inlineStr">
        <is>
          <t>ARVIKA</t>
        </is>
      </c>
      <c r="I182" t="n">
        <v>26.5</v>
      </c>
      <c r="J182" t="n">
        <v>0</v>
      </c>
      <c r="K182" t="n">
        <v>2</v>
      </c>
      <c r="L182" t="n">
        <v>1</v>
      </c>
      <c r="M182" t="n">
        <v>1</v>
      </c>
      <c r="N182" t="n">
        <v>0</v>
      </c>
      <c r="O182" t="n">
        <v>0</v>
      </c>
      <c r="P182" t="n">
        <v>0</v>
      </c>
      <c r="Q182" t="n">
        <v>2</v>
      </c>
      <c r="R182" t="n">
        <v>1</v>
      </c>
      <c r="S182" t="n">
        <v>4</v>
      </c>
      <c r="T182" t="n">
        <v>6</v>
      </c>
      <c r="U182" t="n">
        <v>0</v>
      </c>
      <c r="V182" s="2" t="inlineStr">
        <is>
          <t>Aspfjädermossa
Lunglav
Bårdlav
Stor aspticka</t>
        </is>
      </c>
      <c r="W182">
        <f>HYPERLINK("https://klasma.github.io/Logging_1784/artfynd/A 63880-2021 artfynd.xlsx", "A 63880-2021")</f>
        <v/>
      </c>
      <c r="X182">
        <f>HYPERLINK("https://klasma.github.io/Logging_1784/kartor/A 63880-2021 karta.png", "A 63880-2021")</f>
        <v/>
      </c>
      <c r="Y182">
        <f>HYPERLINK("https://klasma.github.io/Logging_1784/kartor_geotiff/A 63880-2021 georefererad karta.tif", "A 63880-2021")</f>
        <v/>
      </c>
      <c r="AA182">
        <f>HYPERLINK("https://klasma.github.io/Logging_1784/klagomål/A 63880-2021 FSC-klagomål.docx", "A 63880-2021")</f>
        <v/>
      </c>
      <c r="AB182">
        <f>HYPERLINK("https://klasma.github.io/Logging_1784/klagomålsmail/A 63880-2021 FSC-klagomål mail.docx", "A 63880-2021")</f>
        <v/>
      </c>
      <c r="AC182">
        <f>HYPERLINK("https://klasma.github.io/Logging_1784/tillsyn/A 63880-2021 tillsynsbegäran.docx", "A 63880-2021")</f>
        <v/>
      </c>
      <c r="AD182">
        <f>HYPERLINK("https://klasma.github.io/Logging_1784/tillsynsmail/A 63880-2021 tillsynsbegäran mail.docx", "A 63880-2021")</f>
        <v/>
      </c>
    </row>
    <row r="183" ht="15" customHeight="1">
      <c r="A183" t="inlineStr">
        <is>
          <t>A 20763-2025</t>
        </is>
      </c>
      <c r="B183" t="inlineStr">
        <is>
          <t>avverkningsanmälan</t>
        </is>
      </c>
      <c r="C183" t="inlineStr">
        <is>
          <t>Föryngringsavverkning</t>
        </is>
      </c>
      <c r="D183" s="1" t="n">
        <v>45776</v>
      </c>
      <c r="E183" s="1" t="n">
        <v>46307</v>
      </c>
      <c r="F183" t="inlineStr">
        <is>
          <t>VÄRMLANDS LÄN</t>
        </is>
      </c>
      <c r="G183" t="inlineStr">
        <is>
          <t>TORSBY</t>
        </is>
      </c>
      <c r="I183" t="n">
        <v>4.9</v>
      </c>
      <c r="J183" t="n">
        <v>0</v>
      </c>
      <c r="K183" t="n">
        <v>0</v>
      </c>
      <c r="L183" t="n">
        <v>3</v>
      </c>
      <c r="M183" t="n">
        <v>1</v>
      </c>
      <c r="N183" t="n">
        <v>0</v>
      </c>
      <c r="O183" t="n">
        <v>0</v>
      </c>
      <c r="P183" t="n">
        <v>0</v>
      </c>
      <c r="Q183" t="n">
        <v>4</v>
      </c>
      <c r="R183" t="n">
        <v>1</v>
      </c>
      <c r="S183" t="n">
        <v>4</v>
      </c>
      <c r="T183" t="n">
        <v>11</v>
      </c>
      <c r="U183" t="n">
        <v>0</v>
      </c>
      <c r="V183" s="2" t="inlineStr">
        <is>
          <t>Garnlav
Kolflarnlav
Mörk kolflarnlav
Vedskivlav</t>
        </is>
      </c>
      <c r="W183">
        <f>HYPERLINK("https://klasma.github.io/Logging_1737/artfynd/A 20763-2025 artfynd.xlsx", "A 20763-2025")</f>
        <v/>
      </c>
      <c r="X183">
        <f>HYPERLINK("https://klasma.github.io/Logging_1737/kartor/A 20763-2025 karta.png", "A 20763-2025")</f>
        <v/>
      </c>
      <c r="Y183">
        <f>HYPERLINK("https://klasma.github.io/Logging_1737/kartor_geotiff/A 20763-2025 georefererad karta.tif", "A 20763-2025")</f>
        <v/>
      </c>
      <c r="AA183">
        <f>HYPERLINK("https://klasma.github.io/Logging_1737/klagomål/A 20763-2025 FSC-klagomål.docx", "A 20763-2025")</f>
        <v/>
      </c>
      <c r="AB183">
        <f>HYPERLINK("https://klasma.github.io/Logging_1737/klagomålsmail/A 20763-2025 FSC-klagomål mail.docx", "A 20763-2025")</f>
        <v/>
      </c>
      <c r="AC183">
        <f>HYPERLINK("https://klasma.github.io/Logging_1737/tillsyn/A 20763-2025 tillsynsbegäran.docx", "A 20763-2025")</f>
        <v/>
      </c>
      <c r="AD183">
        <f>HYPERLINK("https://klasma.github.io/Logging_1737/tillsynsmail/A 20763-2025 tillsynsbegäran mail.docx", "A 20763-2025")</f>
        <v/>
      </c>
    </row>
    <row r="184" ht="15" customHeight="1">
      <c r="A184" t="inlineStr">
        <is>
          <t>A 12633-2025</t>
        </is>
      </c>
      <c r="B184" t="inlineStr">
        <is>
          <t>avverkningsanmälan</t>
        </is>
      </c>
      <c r="C184" t="inlineStr">
        <is>
          <t>Föryngringsavverkning</t>
        </is>
      </c>
      <c r="D184" s="1" t="n">
        <v>45733</v>
      </c>
      <c r="E184" s="1" t="n">
        <v>46307</v>
      </c>
      <c r="F184" t="inlineStr">
        <is>
          <t>VÄRMLANDS LÄN</t>
        </is>
      </c>
      <c r="G184" t="inlineStr">
        <is>
          <t>KARLSTAD</t>
        </is>
      </c>
      <c r="H184" t="inlineStr">
        <is>
          <t>Bergvik skog väst AB</t>
        </is>
      </c>
      <c r="I184" t="n">
        <v>9.1</v>
      </c>
      <c r="J184" t="n">
        <v>3</v>
      </c>
      <c r="K184" t="n">
        <v>3</v>
      </c>
      <c r="L184" t="n">
        <v>0</v>
      </c>
      <c r="M184" t="n">
        <v>0</v>
      </c>
      <c r="N184" t="n">
        <v>0</v>
      </c>
      <c r="O184" t="n">
        <v>0</v>
      </c>
      <c r="P184" t="n">
        <v>0</v>
      </c>
      <c r="Q184" t="n">
        <v>0</v>
      </c>
      <c r="R184" t="n">
        <v>0</v>
      </c>
      <c r="S184" t="n">
        <v>4</v>
      </c>
      <c r="T184" t="n">
        <v>4</v>
      </c>
      <c r="U184" t="n">
        <v>4</v>
      </c>
      <c r="V184" s="2" t="inlineStr">
        <is>
          <t>Grön sköldmossa
Plattlummer
Stubbspretmossa
Mattlummer</t>
        </is>
      </c>
      <c r="W184">
        <f>HYPERLINK("https://klasma.github.io/Logging_1780/artfynd/A 12633-2025 artfynd.xlsx", "A 12633-2025")</f>
        <v/>
      </c>
      <c r="X184">
        <f>HYPERLINK("https://klasma.github.io/Logging_1780/kartor/A 12633-2025 karta.png", "A 12633-2025")</f>
        <v/>
      </c>
      <c r="Y184">
        <f>HYPERLINK("https://klasma.github.io/Logging_1780/kartor_geotiff/A 12633-2025 georefererad karta.tif", "A 12633-2025")</f>
        <v/>
      </c>
      <c r="AA184">
        <f>HYPERLINK("https://klasma.github.io/Logging_1780/klagomål/A 12633-2025 FSC-klagomål.docx", "A 12633-2025")</f>
        <v/>
      </c>
      <c r="AB184">
        <f>HYPERLINK("https://klasma.github.io/Logging_1780/klagomålsmail/A 12633-2025 FSC-klagomål mail.docx", "A 12633-2025")</f>
        <v/>
      </c>
      <c r="AC184">
        <f>HYPERLINK("https://klasma.github.io/Logging_1780/tillsyn/A 12633-2025 tillsynsbegäran.docx", "A 12633-2025")</f>
        <v/>
      </c>
      <c r="AD184">
        <f>HYPERLINK("https://klasma.github.io/Logging_1780/tillsynsmail/A 12633-2025 tillsynsbegäran mail.docx", "A 12633-2025")</f>
        <v/>
      </c>
    </row>
    <row r="185" ht="15" customHeight="1">
      <c r="A185" t="inlineStr">
        <is>
          <t>A 66072-2021</t>
        </is>
      </c>
      <c r="B185" t="inlineStr">
        <is>
          <t>avverkningsanmälan</t>
        </is>
      </c>
      <c r="C185" t="inlineStr">
        <is>
          <t>Avverkning för annat ändamål</t>
        </is>
      </c>
      <c r="D185" s="1" t="n">
        <v>44517</v>
      </c>
      <c r="E185" s="1" t="n">
        <v>46307</v>
      </c>
      <c r="F185" t="inlineStr">
        <is>
          <t>VÄRMLANDS LÄN</t>
        </is>
      </c>
      <c r="G185" t="inlineStr">
        <is>
          <t>FORSHAGA</t>
        </is>
      </c>
      <c r="H185" t="inlineStr">
        <is>
          <t>Bergvik skog väst AB</t>
        </is>
      </c>
      <c r="I185" t="n">
        <v>2</v>
      </c>
      <c r="J185" t="n">
        <v>1</v>
      </c>
      <c r="K185" t="n">
        <v>1</v>
      </c>
      <c r="L185" t="n">
        <v>2</v>
      </c>
      <c r="M185" t="n">
        <v>0</v>
      </c>
      <c r="N185" t="n">
        <v>0</v>
      </c>
      <c r="O185" t="n">
        <v>0</v>
      </c>
      <c r="P185" t="n">
        <v>0</v>
      </c>
      <c r="Q185" t="n">
        <v>2</v>
      </c>
      <c r="R185" t="n">
        <v>0</v>
      </c>
      <c r="S185" t="n">
        <v>4</v>
      </c>
      <c r="T185" t="n">
        <v>4</v>
      </c>
      <c r="U185" t="n">
        <v>1</v>
      </c>
      <c r="V185" s="2" t="inlineStr">
        <is>
          <t>Gullklöver
Skogsklocka
Svart trolldruva
Blåsippa</t>
        </is>
      </c>
      <c r="W185">
        <f>HYPERLINK("https://klasma.github.io/Logging_1763/artfynd/A 66072-2021 artfynd.xlsx", "A 66072-2021")</f>
        <v/>
      </c>
      <c r="X185">
        <f>HYPERLINK("https://klasma.github.io/Logging_1763/kartor/A 66072-2021 karta.png", "A 66072-2021")</f>
        <v/>
      </c>
      <c r="Y185">
        <f>HYPERLINK("https://klasma.github.io/Logging_1763/kartor_geotiff/A 66072-2021 georefererad karta.tif", "A 66072-2021")</f>
        <v/>
      </c>
      <c r="AA185">
        <f>HYPERLINK("https://klasma.github.io/Logging_1763/klagomål/A 66072-2021 FSC-klagomål.docx", "A 66072-2021")</f>
        <v/>
      </c>
      <c r="AB185">
        <f>HYPERLINK("https://klasma.github.io/Logging_1763/klagomålsmail/A 66072-2021 FSC-klagomål mail.docx", "A 66072-2021")</f>
        <v/>
      </c>
      <c r="AC185">
        <f>HYPERLINK("https://klasma.github.io/Logging_1763/tillsyn/A 66072-2021 tillsynsbegäran.docx", "A 66072-2021")</f>
        <v/>
      </c>
      <c r="AD185">
        <f>HYPERLINK("https://klasma.github.io/Logging_1763/tillsynsmail/A 66072-2021 tillsynsbegäran mail.docx", "A 66072-2021")</f>
        <v/>
      </c>
    </row>
    <row r="186" ht="15" customHeight="1">
      <c r="A186" t="inlineStr">
        <is>
          <t>A 45094-2024</t>
        </is>
      </c>
      <c r="B186" t="inlineStr">
        <is>
          <t>avverkningsanmälan</t>
        </is>
      </c>
      <c r="C186" t="inlineStr">
        <is>
          <t>Föryngringsavverkning</t>
        </is>
      </c>
      <c r="D186" s="1" t="n">
        <v>45575</v>
      </c>
      <c r="E186" s="1" t="n">
        <v>46307</v>
      </c>
      <c r="F186" t="inlineStr">
        <is>
          <t>VÄRMLANDS LÄN</t>
        </is>
      </c>
      <c r="G186" t="inlineStr">
        <is>
          <t>ÅRJÄNG</t>
        </is>
      </c>
      <c r="H186" t="inlineStr">
        <is>
          <t>Bergvik skog väst AB</t>
        </is>
      </c>
      <c r="I186" t="n">
        <v>1.5</v>
      </c>
      <c r="J186" t="n">
        <v>1</v>
      </c>
      <c r="K186" t="n">
        <v>0</v>
      </c>
      <c r="L186" t="n">
        <v>2</v>
      </c>
      <c r="M186" t="n">
        <v>1</v>
      </c>
      <c r="N186" t="n">
        <v>0</v>
      </c>
      <c r="O186" t="n">
        <v>0</v>
      </c>
      <c r="P186" t="n">
        <v>0</v>
      </c>
      <c r="Q186" t="n">
        <v>3</v>
      </c>
      <c r="R186" t="n">
        <v>1</v>
      </c>
      <c r="S186" t="n">
        <v>4</v>
      </c>
      <c r="T186" t="n">
        <v>8</v>
      </c>
      <c r="U186" t="n">
        <v>4</v>
      </c>
      <c r="V186" s="2" t="inlineStr">
        <is>
          <t>Slåttergubbe
Jungfrulin
Svinrot
Fläcknycklar</t>
        </is>
      </c>
      <c r="W186">
        <f>HYPERLINK("https://klasma.github.io/Logging_1765/artfynd/A 45094-2024 artfynd.xlsx", "A 45094-2024")</f>
        <v/>
      </c>
      <c r="X186">
        <f>HYPERLINK("https://klasma.github.io/Logging_1765/kartor/A 45094-2024 karta.png", "A 45094-2024")</f>
        <v/>
      </c>
      <c r="Y186">
        <f>HYPERLINK("https://klasma.github.io/Logging_1765/kartor_geotiff/A 45094-2024 georefererad karta.tif", "A 45094-2024")</f>
        <v/>
      </c>
      <c r="AA186">
        <f>HYPERLINK("https://klasma.github.io/Logging_1765/klagomål/A 45094-2024 FSC-klagomål.docx", "A 45094-2024")</f>
        <v/>
      </c>
      <c r="AB186">
        <f>HYPERLINK("https://klasma.github.io/Logging_1765/klagomålsmail/A 45094-2024 FSC-klagomål mail.docx", "A 45094-2024")</f>
        <v/>
      </c>
      <c r="AC186">
        <f>HYPERLINK("https://klasma.github.io/Logging_1765/tillsyn/A 45094-2024 tillsynsbegäran.docx", "A 45094-2024")</f>
        <v/>
      </c>
      <c r="AD186">
        <f>HYPERLINK("https://klasma.github.io/Logging_1765/tillsynsmail/A 45094-2024 tillsynsbegäran mail.docx", "A 45094-2024")</f>
        <v/>
      </c>
    </row>
    <row r="187" ht="15" customHeight="1">
      <c r="A187" t="inlineStr">
        <is>
          <t>A 23955-2025</t>
        </is>
      </c>
      <c r="B187" t="inlineStr">
        <is>
          <t>avverkningsanmälan</t>
        </is>
      </c>
      <c r="C187" t="inlineStr">
        <is>
          <t>Föryngringsavverkning</t>
        </is>
      </c>
      <c r="D187" s="1" t="n">
        <v>45796</v>
      </c>
      <c r="E187" s="1" t="n">
        <v>46307</v>
      </c>
      <c r="F187" t="inlineStr">
        <is>
          <t>VÄRMLANDS LÄN</t>
        </is>
      </c>
      <c r="G187" t="inlineStr">
        <is>
          <t>HAGFORS</t>
        </is>
      </c>
      <c r="H187" t="inlineStr">
        <is>
          <t>Bergvik skog väst AB</t>
        </is>
      </c>
      <c r="I187" t="n">
        <v>3.7</v>
      </c>
      <c r="J187" t="n">
        <v>2</v>
      </c>
      <c r="K187" t="n">
        <v>0</v>
      </c>
      <c r="L187" t="n">
        <v>2</v>
      </c>
      <c r="M187" t="n">
        <v>2</v>
      </c>
      <c r="N187" t="n">
        <v>0</v>
      </c>
      <c r="O187" t="n">
        <v>0</v>
      </c>
      <c r="P187" t="n">
        <v>0</v>
      </c>
      <c r="Q187" t="n">
        <v>4</v>
      </c>
      <c r="R187" t="n">
        <v>2</v>
      </c>
      <c r="S187" t="n">
        <v>4</v>
      </c>
      <c r="T187" t="n">
        <v>5</v>
      </c>
      <c r="U187" t="n">
        <v>3</v>
      </c>
      <c r="V187" s="2" t="inlineStr">
        <is>
          <t>Garnlav
Knärot
Dropptaggsvamp
Tretåig hackspett</t>
        </is>
      </c>
      <c r="W187">
        <f>HYPERLINK("https://klasma.github.io/Logging_1783/artfynd/A 23955-2025 artfynd.xlsx", "A 23955-2025")</f>
        <v/>
      </c>
      <c r="X187">
        <f>HYPERLINK("https://klasma.github.io/Logging_1783/kartor/A 23955-2025 karta.png", "A 23955-2025")</f>
        <v/>
      </c>
      <c r="Y187">
        <f>HYPERLINK("https://klasma.github.io/Logging_1783/kartor_geotiff/A 23955-2025 georefererad karta.tif", "A 23955-2025")</f>
        <v/>
      </c>
      <c r="Z187">
        <f>HYPERLINK("https://klasma.github.io/Logging_1783/knärot/A 23955-2025 karta knärot.png", "A 23955-2025")</f>
        <v/>
      </c>
      <c r="AA187">
        <f>HYPERLINK("https://klasma.github.io/Logging_1783/klagomål/A 23955-2025 FSC-klagomål.docx", "A 23955-2025")</f>
        <v/>
      </c>
      <c r="AB187">
        <f>HYPERLINK("https://klasma.github.io/Logging_1783/klagomålsmail/A 23955-2025 FSC-klagomål mail.docx", "A 23955-2025")</f>
        <v/>
      </c>
      <c r="AC187">
        <f>HYPERLINK("https://klasma.github.io/Logging_1783/tillsyn/A 23955-2025 tillsynsbegäran.docx", "A 23955-2025")</f>
        <v/>
      </c>
      <c r="AD187">
        <f>HYPERLINK("https://klasma.github.io/Logging_1783/tillsynsmail/A 23955-2025 tillsynsbegäran mail.docx", "A 23955-2025")</f>
        <v/>
      </c>
      <c r="AE187">
        <f>HYPERLINK("https://klasma.github.io/Logging_1783/fåglar/A 23955-2025 prioriterade fågelarter.docx", "A 23955-2025")</f>
        <v/>
      </c>
    </row>
    <row r="188" ht="15" customHeight="1">
      <c r="A188" t="inlineStr">
        <is>
          <t>A 1506-2024</t>
        </is>
      </c>
      <c r="B188" t="inlineStr">
        <is>
          <t>avverkningsanmälan</t>
        </is>
      </c>
      <c r="C188" t="inlineStr">
        <is>
          <t>Föryngringsavverkning</t>
        </is>
      </c>
      <c r="D188" s="1" t="n">
        <v>45306</v>
      </c>
      <c r="E188" s="1" t="n">
        <v>46307</v>
      </c>
      <c r="F188" t="inlineStr">
        <is>
          <t>VÄRMLANDS LÄN</t>
        </is>
      </c>
      <c r="G188" t="inlineStr">
        <is>
          <t>ARVIKA</t>
        </is>
      </c>
      <c r="I188" t="n">
        <v>11.3</v>
      </c>
      <c r="J188" t="n">
        <v>2</v>
      </c>
      <c r="K188" t="n">
        <v>2</v>
      </c>
      <c r="L188" t="n">
        <v>0</v>
      </c>
      <c r="M188" t="n">
        <v>0</v>
      </c>
      <c r="N188" t="n">
        <v>0</v>
      </c>
      <c r="O188" t="n">
        <v>0</v>
      </c>
      <c r="P188" t="n">
        <v>0</v>
      </c>
      <c r="Q188" t="n">
        <v>0</v>
      </c>
      <c r="R188" t="n">
        <v>0</v>
      </c>
      <c r="S188" t="n">
        <v>4</v>
      </c>
      <c r="T188" t="n">
        <v>4</v>
      </c>
      <c r="U188" t="n">
        <v>4</v>
      </c>
      <c r="V188" s="2" t="inlineStr">
        <is>
          <t>Bronshjon
Stuplav
Mattlummer
Lopplummer (aggregat)</t>
        </is>
      </c>
      <c r="W188">
        <f>HYPERLINK("https://klasma.github.io/Logging_1784/artfynd/A 1506-2024 artfynd.xlsx", "A 1506-2024")</f>
        <v/>
      </c>
      <c r="X188">
        <f>HYPERLINK("https://klasma.github.io/Logging_1784/kartor/A 1506-2024 karta.png", "A 1506-2024")</f>
        <v/>
      </c>
      <c r="Y188">
        <f>HYPERLINK("https://klasma.github.io/Logging_1784/kartor_geotiff/A 1506-2024 georefererad karta.tif", "A 1506-2024")</f>
        <v/>
      </c>
      <c r="AA188">
        <f>HYPERLINK("https://klasma.github.io/Logging_1784/klagomål/A 1506-2024 FSC-klagomål.docx", "A 1506-2024")</f>
        <v/>
      </c>
      <c r="AB188">
        <f>HYPERLINK("https://klasma.github.io/Logging_1784/klagomålsmail/A 1506-2024 FSC-klagomål mail.docx", "A 1506-2024")</f>
        <v/>
      </c>
      <c r="AC188">
        <f>HYPERLINK("https://klasma.github.io/Logging_1784/tillsyn/A 1506-2024 tillsynsbegäran.docx", "A 1506-2024")</f>
        <v/>
      </c>
      <c r="AD188">
        <f>HYPERLINK("https://klasma.github.io/Logging_1784/tillsynsmail/A 1506-2024 tillsynsbegäran mail.docx", "A 1506-2024")</f>
        <v/>
      </c>
    </row>
    <row r="189" ht="15" customHeight="1">
      <c r="A189" t="inlineStr">
        <is>
          <t>A 34758-2024</t>
        </is>
      </c>
      <c r="B189" t="inlineStr">
        <is>
          <t>avverkningsanmälan</t>
        </is>
      </c>
      <c r="C189" t="inlineStr">
        <is>
          <t>Föryngringsavverkning</t>
        </is>
      </c>
      <c r="D189" s="1" t="n">
        <v>45526</v>
      </c>
      <c r="E189" s="1" t="n">
        <v>46307</v>
      </c>
      <c r="F189" t="inlineStr">
        <is>
          <t>VÄRMLANDS LÄN</t>
        </is>
      </c>
      <c r="G189" t="inlineStr">
        <is>
          <t>FORSHAGA</t>
        </is>
      </c>
      <c r="H189" t="inlineStr">
        <is>
          <t>Bergvik skog väst AB</t>
        </is>
      </c>
      <c r="I189" t="n">
        <v>6.2</v>
      </c>
      <c r="J189" t="n">
        <v>1</v>
      </c>
      <c r="K189" t="n">
        <v>0</v>
      </c>
      <c r="L189" t="n">
        <v>3</v>
      </c>
      <c r="M189" t="n">
        <v>0</v>
      </c>
      <c r="N189" t="n">
        <v>0</v>
      </c>
      <c r="O189" t="n">
        <v>0</v>
      </c>
      <c r="P189" t="n">
        <v>0</v>
      </c>
      <c r="Q189" t="n">
        <v>3</v>
      </c>
      <c r="R189" t="n">
        <v>0</v>
      </c>
      <c r="S189" t="n">
        <v>4</v>
      </c>
      <c r="T189" t="n">
        <v>6</v>
      </c>
      <c r="U189" t="n">
        <v>6</v>
      </c>
      <c r="V189" s="2" t="inlineStr">
        <is>
          <t>Dofttaggsvamp
Fjällig taggsvamp s.str.
Ullticka
Blåsippa</t>
        </is>
      </c>
      <c r="W189">
        <f>HYPERLINK("https://klasma.github.io/Logging_1763/artfynd/A 34758-2024 artfynd.xlsx", "A 34758-2024")</f>
        <v/>
      </c>
      <c r="X189">
        <f>HYPERLINK("https://klasma.github.io/Logging_1763/kartor/A 34758-2024 karta.png", "A 34758-2024")</f>
        <v/>
      </c>
      <c r="Y189">
        <f>HYPERLINK("https://klasma.github.io/Logging_1763/kartor_geotiff/A 34758-2024 georefererad karta.tif", "A 34758-2024")</f>
        <v/>
      </c>
      <c r="AA189">
        <f>HYPERLINK("https://klasma.github.io/Logging_1763/klagomål/A 34758-2024 FSC-klagomål.docx", "A 34758-2024")</f>
        <v/>
      </c>
      <c r="AB189">
        <f>HYPERLINK("https://klasma.github.io/Logging_1763/klagomålsmail/A 34758-2024 FSC-klagomål mail.docx", "A 34758-2024")</f>
        <v/>
      </c>
      <c r="AC189">
        <f>HYPERLINK("https://klasma.github.io/Logging_1763/tillsyn/A 34758-2024 tillsynsbegäran.docx", "A 34758-2024")</f>
        <v/>
      </c>
      <c r="AD189">
        <f>HYPERLINK("https://klasma.github.io/Logging_1763/tillsynsmail/A 34758-2024 tillsynsbegäran mail.docx", "A 34758-2024")</f>
        <v/>
      </c>
    </row>
    <row r="190" ht="15" customHeight="1">
      <c r="A190" t="inlineStr">
        <is>
          <t>A 43385-2024</t>
        </is>
      </c>
      <c r="B190" t="inlineStr">
        <is>
          <t>avverkningsanmälan</t>
        </is>
      </c>
      <c r="C190" t="inlineStr">
        <is>
          <t>Föryngringsavverkning</t>
        </is>
      </c>
      <c r="D190" s="1" t="n">
        <v>45568</v>
      </c>
      <c r="E190" s="1" t="n">
        <v>46307</v>
      </c>
      <c r="F190" t="inlineStr">
        <is>
          <t>VÄRMLANDS LÄN</t>
        </is>
      </c>
      <c r="G190" t="inlineStr">
        <is>
          <t>TORSBY</t>
        </is>
      </c>
      <c r="I190" t="n">
        <v>3.7</v>
      </c>
      <c r="J190" t="n">
        <v>0</v>
      </c>
      <c r="K190" t="n">
        <v>0</v>
      </c>
      <c r="L190" t="n">
        <v>3</v>
      </c>
      <c r="M190" t="n">
        <v>1</v>
      </c>
      <c r="N190" t="n">
        <v>0</v>
      </c>
      <c r="O190" t="n">
        <v>0</v>
      </c>
      <c r="P190" t="n">
        <v>0</v>
      </c>
      <c r="Q190" t="n">
        <v>4</v>
      </c>
      <c r="R190" t="n">
        <v>1</v>
      </c>
      <c r="S190" t="n">
        <v>4</v>
      </c>
      <c r="T190" t="n">
        <v>4</v>
      </c>
      <c r="U190" t="n">
        <v>0</v>
      </c>
      <c r="V190" s="2" t="inlineStr">
        <is>
          <t>Garnlav
Dropptaggsvamp
Gammelgransskål
Vedskivlav</t>
        </is>
      </c>
      <c r="W190">
        <f>HYPERLINK("https://klasma.github.io/Logging_1737/artfynd/A 43385-2024 artfynd.xlsx", "A 43385-2024")</f>
        <v/>
      </c>
      <c r="X190">
        <f>HYPERLINK("https://klasma.github.io/Logging_1737/kartor/A 43385-2024 karta.png", "A 43385-2024")</f>
        <v/>
      </c>
      <c r="Y190">
        <f>HYPERLINK("https://klasma.github.io/Logging_1737/kartor_geotiff/A 43385-2024 georefererad karta.tif", "A 43385-2024")</f>
        <v/>
      </c>
      <c r="AA190">
        <f>HYPERLINK("https://klasma.github.io/Logging_1737/klagomål/A 43385-2024 FSC-klagomål.docx", "A 43385-2024")</f>
        <v/>
      </c>
      <c r="AB190">
        <f>HYPERLINK("https://klasma.github.io/Logging_1737/klagomålsmail/A 43385-2024 FSC-klagomål mail.docx", "A 43385-2024")</f>
        <v/>
      </c>
      <c r="AC190">
        <f>HYPERLINK("https://klasma.github.io/Logging_1737/tillsyn/A 43385-2024 tillsynsbegäran.docx", "A 43385-2024")</f>
        <v/>
      </c>
      <c r="AD190">
        <f>HYPERLINK("https://klasma.github.io/Logging_1737/tillsynsmail/A 43385-2024 tillsynsbegäran mail.docx", "A 43385-2024")</f>
        <v/>
      </c>
    </row>
    <row r="191" ht="15" customHeight="1">
      <c r="A191" t="inlineStr">
        <is>
          <t>A 25485-2025</t>
        </is>
      </c>
      <c r="B191" t="inlineStr">
        <is>
          <t>avverkningsanmälan</t>
        </is>
      </c>
      <c r="C191" t="inlineStr">
        <is>
          <t>Föryngringsavverkning</t>
        </is>
      </c>
      <c r="D191" s="1" t="n">
        <v>45803</v>
      </c>
      <c r="E191" s="1" t="n">
        <v>46307</v>
      </c>
      <c r="F191" t="inlineStr">
        <is>
          <t>VÄRMLANDS LÄN</t>
        </is>
      </c>
      <c r="G191" t="inlineStr">
        <is>
          <t>SUNNE</t>
        </is>
      </c>
      <c r="I191" t="n">
        <v>14.3</v>
      </c>
      <c r="J191" t="n">
        <v>0</v>
      </c>
      <c r="K191" t="n">
        <v>2</v>
      </c>
      <c r="L191" t="n">
        <v>1</v>
      </c>
      <c r="M191" t="n">
        <v>1</v>
      </c>
      <c r="N191" t="n">
        <v>0</v>
      </c>
      <c r="O191" t="n">
        <v>0</v>
      </c>
      <c r="P191" t="n">
        <v>0</v>
      </c>
      <c r="Q191" t="n">
        <v>2</v>
      </c>
      <c r="R191" t="n">
        <v>1</v>
      </c>
      <c r="S191" t="n">
        <v>4</v>
      </c>
      <c r="T191" t="n">
        <v>8</v>
      </c>
      <c r="U191" t="n">
        <v>2</v>
      </c>
      <c r="V191" s="2" t="inlineStr">
        <is>
          <t>Garnlav
Skrovellav
Björksplintborre
Stuplav</t>
        </is>
      </c>
      <c r="W191">
        <f>HYPERLINK("https://klasma.github.io/Logging_1766/artfynd/A 25485-2025 artfynd.xlsx", "A 25485-2025")</f>
        <v/>
      </c>
      <c r="X191">
        <f>HYPERLINK("https://klasma.github.io/Logging_1766/kartor/A 25485-2025 karta.png", "A 25485-2025")</f>
        <v/>
      </c>
      <c r="Y191">
        <f>HYPERLINK("https://klasma.github.io/Logging_1766/kartor_geotiff/A 25485-2025 georefererad karta.tif", "A 25485-2025")</f>
        <v/>
      </c>
      <c r="AA191">
        <f>HYPERLINK("https://klasma.github.io/Logging_1766/klagomål/A 25485-2025 FSC-klagomål.docx", "A 25485-2025")</f>
        <v/>
      </c>
      <c r="AB191">
        <f>HYPERLINK("https://klasma.github.io/Logging_1766/klagomålsmail/A 25485-2025 FSC-klagomål mail.docx", "A 25485-2025")</f>
        <v/>
      </c>
      <c r="AC191">
        <f>HYPERLINK("https://klasma.github.io/Logging_1766/tillsyn/A 25485-2025 tillsynsbegäran.docx", "A 25485-2025")</f>
        <v/>
      </c>
      <c r="AD191">
        <f>HYPERLINK("https://klasma.github.io/Logging_1766/tillsynsmail/A 25485-2025 tillsynsbegäran mail.docx", "A 25485-2025")</f>
        <v/>
      </c>
    </row>
    <row r="192" ht="15" customHeight="1">
      <c r="A192" t="inlineStr">
        <is>
          <t>A 48970-2025</t>
        </is>
      </c>
      <c r="B192" t="inlineStr">
        <is>
          <t>avverkningsanmälan</t>
        </is>
      </c>
      <c r="C192" t="inlineStr">
        <is>
          <t>Föryngringsavverkning</t>
        </is>
      </c>
      <c r="D192" s="1" t="n">
        <v>45937</v>
      </c>
      <c r="E192" s="1" t="n">
        <v>46307</v>
      </c>
      <c r="F192" t="inlineStr">
        <is>
          <t>VÄRMLANDS LÄN</t>
        </is>
      </c>
      <c r="G192" t="inlineStr">
        <is>
          <t>TORSBY</t>
        </is>
      </c>
      <c r="I192" t="n">
        <v>6.4</v>
      </c>
      <c r="J192" t="n">
        <v>0</v>
      </c>
      <c r="K192" t="n">
        <v>0</v>
      </c>
      <c r="L192" t="n">
        <v>3</v>
      </c>
      <c r="M192" t="n">
        <v>1</v>
      </c>
      <c r="N192" t="n">
        <v>0</v>
      </c>
      <c r="O192" t="n">
        <v>0</v>
      </c>
      <c r="P192" t="n">
        <v>0</v>
      </c>
      <c r="Q192" t="n">
        <v>4</v>
      </c>
      <c r="R192" t="n">
        <v>1</v>
      </c>
      <c r="S192" t="n">
        <v>4</v>
      </c>
      <c r="T192" t="n">
        <v>7</v>
      </c>
      <c r="U192" t="n">
        <v>0</v>
      </c>
      <c r="V192" s="2" t="inlineStr">
        <is>
          <t>Garnlav
Dropptaggsvamp
Lunglav
Violettgrå tagellav</t>
        </is>
      </c>
      <c r="W192">
        <f>HYPERLINK("https://klasma.github.io/Logging_1737/artfynd/A 48970-2025 artfynd.xlsx", "A 48970-2025")</f>
        <v/>
      </c>
      <c r="X192">
        <f>HYPERLINK("https://klasma.github.io/Logging_1737/kartor/A 48970-2025 karta.png", "A 48970-2025")</f>
        <v/>
      </c>
      <c r="Y192">
        <f>HYPERLINK("https://klasma.github.io/Logging_1737/kartor_geotiff/A 48970-2025 georefererad karta.tif", "A 48970-2025")</f>
        <v/>
      </c>
      <c r="AA192">
        <f>HYPERLINK("https://klasma.github.io/Logging_1737/klagomål/A 48970-2025 FSC-klagomål.docx", "A 48970-2025")</f>
        <v/>
      </c>
      <c r="AB192">
        <f>HYPERLINK("https://klasma.github.io/Logging_1737/klagomålsmail/A 48970-2025 FSC-klagomål mail.docx", "A 48970-2025")</f>
        <v/>
      </c>
      <c r="AC192">
        <f>HYPERLINK("https://klasma.github.io/Logging_1737/tillsyn/A 48970-2025 tillsynsbegäran.docx", "A 48970-2025")</f>
        <v/>
      </c>
      <c r="AD192">
        <f>HYPERLINK("https://klasma.github.io/Logging_1737/tillsynsmail/A 48970-2025 tillsynsbegäran mail.docx", "A 48970-2025")</f>
        <v/>
      </c>
    </row>
    <row r="193" ht="15" customHeight="1">
      <c r="A193" t="inlineStr">
        <is>
          <t>A 11156-2024</t>
        </is>
      </c>
      <c r="B193" t="inlineStr">
        <is>
          <t>avverkningsanmälan</t>
        </is>
      </c>
      <c r="C193" t="inlineStr">
        <is>
          <t>Föryngringsavverkning</t>
        </is>
      </c>
      <c r="D193" s="1" t="n">
        <v>45371</v>
      </c>
      <c r="E193" s="1" t="n">
        <v>46307</v>
      </c>
      <c r="F193" t="inlineStr">
        <is>
          <t>VÄRMLANDS LÄN</t>
        </is>
      </c>
      <c r="G193" t="inlineStr">
        <is>
          <t>ÅRJÄNG</t>
        </is>
      </c>
      <c r="I193" t="n">
        <v>7.4</v>
      </c>
      <c r="J193" t="n">
        <v>3</v>
      </c>
      <c r="K193" t="n">
        <v>1</v>
      </c>
      <c r="L193" t="n">
        <v>0</v>
      </c>
      <c r="M193" t="n">
        <v>1</v>
      </c>
      <c r="N193" t="n">
        <v>0</v>
      </c>
      <c r="O193" t="n">
        <v>0</v>
      </c>
      <c r="P193" t="n">
        <v>0</v>
      </c>
      <c r="Q193" t="n">
        <v>1</v>
      </c>
      <c r="R193" t="n">
        <v>1</v>
      </c>
      <c r="S193" t="n">
        <v>4</v>
      </c>
      <c r="T193" t="n">
        <v>6</v>
      </c>
      <c r="U193" t="n">
        <v>6</v>
      </c>
      <c r="V193" s="2" t="inlineStr">
        <is>
          <t>Knärot
Vedticka
Mattlummer
Revlummer</t>
        </is>
      </c>
      <c r="W193">
        <f>HYPERLINK("https://klasma.github.io/Logging_1765/artfynd/A 11156-2024 artfynd.xlsx", "A 11156-2024")</f>
        <v/>
      </c>
      <c r="X193">
        <f>HYPERLINK("https://klasma.github.io/Logging_1765/kartor/A 11156-2024 karta.png", "A 11156-2024")</f>
        <v/>
      </c>
      <c r="Y193">
        <f>HYPERLINK("https://klasma.github.io/Logging_1765/kartor_geotiff/A 11156-2024 georefererad karta.tif", "A 11156-2024")</f>
        <v/>
      </c>
      <c r="Z193">
        <f>HYPERLINK("https://klasma.github.io/Logging_1765/knärot/A 11156-2024 karta knärot.png", "A 11156-2024")</f>
        <v/>
      </c>
      <c r="AA193">
        <f>HYPERLINK("https://klasma.github.io/Logging_1765/klagomål/A 11156-2024 FSC-klagomål.docx", "A 11156-2024")</f>
        <v/>
      </c>
      <c r="AB193">
        <f>HYPERLINK("https://klasma.github.io/Logging_1765/klagomålsmail/A 11156-2024 FSC-klagomål mail.docx", "A 11156-2024")</f>
        <v/>
      </c>
      <c r="AC193">
        <f>HYPERLINK("https://klasma.github.io/Logging_1765/tillsyn/A 11156-2024 tillsynsbegäran.docx", "A 11156-2024")</f>
        <v/>
      </c>
      <c r="AD193">
        <f>HYPERLINK("https://klasma.github.io/Logging_1765/tillsynsmail/A 11156-2024 tillsynsbegäran mail.docx", "A 11156-2024")</f>
        <v/>
      </c>
    </row>
    <row r="194" ht="15" customHeight="1">
      <c r="A194" t="inlineStr">
        <is>
          <t>A 23576-2022</t>
        </is>
      </c>
      <c r="B194" t="inlineStr">
        <is>
          <t>avverkningsanmälan</t>
        </is>
      </c>
      <c r="C194" t="inlineStr">
        <is>
          <t>Föryngringsavverkning</t>
        </is>
      </c>
      <c r="D194" s="1" t="n">
        <v>44721</v>
      </c>
      <c r="E194" s="1" t="n">
        <v>46307</v>
      </c>
      <c r="F194" t="inlineStr">
        <is>
          <t>VÄRMLANDS LÄN</t>
        </is>
      </c>
      <c r="G194" t="inlineStr">
        <is>
          <t>TORSBY</t>
        </is>
      </c>
      <c r="I194" t="n">
        <v>8.5</v>
      </c>
      <c r="J194" t="n">
        <v>0</v>
      </c>
      <c r="K194" t="n">
        <v>1</v>
      </c>
      <c r="L194" t="n">
        <v>2</v>
      </c>
      <c r="M194" t="n">
        <v>1</v>
      </c>
      <c r="N194" t="n">
        <v>0</v>
      </c>
      <c r="O194" t="n">
        <v>0</v>
      </c>
      <c r="P194" t="n">
        <v>0</v>
      </c>
      <c r="Q194" t="n">
        <v>3</v>
      </c>
      <c r="R194" t="n">
        <v>1</v>
      </c>
      <c r="S194" t="n">
        <v>4</v>
      </c>
      <c r="T194" t="n">
        <v>5</v>
      </c>
      <c r="U194" t="n">
        <v>0</v>
      </c>
      <c r="V194" s="2" t="inlineStr">
        <is>
          <t>Garnlav
Dropptaggsvamp
Violettgrå tagellav
Gulnål</t>
        </is>
      </c>
      <c r="W194">
        <f>HYPERLINK("https://klasma.github.io/Logging_1737/artfynd/A 23576-2022 artfynd.xlsx", "A 23576-2022")</f>
        <v/>
      </c>
      <c r="X194">
        <f>HYPERLINK("https://klasma.github.io/Logging_1737/kartor/A 23576-2022 karta.png", "A 23576-2022")</f>
        <v/>
      </c>
      <c r="Y194">
        <f>HYPERLINK("https://klasma.github.io/Logging_1737/kartor_geotiff/A 23576-2022 georefererad karta.tif", "A 23576-2022")</f>
        <v/>
      </c>
      <c r="AA194">
        <f>HYPERLINK("https://klasma.github.io/Logging_1737/klagomål/A 23576-2022 FSC-klagomål.docx", "A 23576-2022")</f>
        <v/>
      </c>
      <c r="AB194">
        <f>HYPERLINK("https://klasma.github.io/Logging_1737/klagomålsmail/A 23576-2022 FSC-klagomål mail.docx", "A 23576-2022")</f>
        <v/>
      </c>
      <c r="AC194">
        <f>HYPERLINK("https://klasma.github.io/Logging_1737/tillsyn/A 23576-2022 tillsynsbegäran.docx", "A 23576-2022")</f>
        <v/>
      </c>
      <c r="AD194">
        <f>HYPERLINK("https://klasma.github.io/Logging_1737/tillsynsmail/A 23576-2022 tillsynsbegäran mail.docx", "A 23576-2022")</f>
        <v/>
      </c>
    </row>
    <row r="195" ht="15" customHeight="1">
      <c r="A195" t="inlineStr">
        <is>
          <t>A 42501-2022</t>
        </is>
      </c>
      <c r="B195" t="inlineStr">
        <is>
          <t>avverkningsanmälan</t>
        </is>
      </c>
      <c r="C195" t="inlineStr">
        <is>
          <t>Föryngringsavverkning</t>
        </is>
      </c>
      <c r="D195" s="1" t="n">
        <v>44831</v>
      </c>
      <c r="E195" s="1" t="n">
        <v>46307</v>
      </c>
      <c r="F195" t="inlineStr">
        <is>
          <t>VÄRMLANDS LÄN</t>
        </is>
      </c>
      <c r="G195" t="inlineStr">
        <is>
          <t>TORSBY</t>
        </is>
      </c>
      <c r="H195" t="inlineStr">
        <is>
          <t>Kommuner</t>
        </is>
      </c>
      <c r="I195" t="n">
        <v>2.4</v>
      </c>
      <c r="J195" t="n">
        <v>0</v>
      </c>
      <c r="K195" t="n">
        <v>0</v>
      </c>
      <c r="L195" t="n">
        <v>3</v>
      </c>
      <c r="M195" t="n">
        <v>1</v>
      </c>
      <c r="N195" t="n">
        <v>0</v>
      </c>
      <c r="O195" t="n">
        <v>0</v>
      </c>
      <c r="P195" t="n">
        <v>0</v>
      </c>
      <c r="Q195" t="n">
        <v>4</v>
      </c>
      <c r="R195" t="n">
        <v>1</v>
      </c>
      <c r="S195" t="n">
        <v>4</v>
      </c>
      <c r="T195" t="n">
        <v>8</v>
      </c>
      <c r="U195" t="n">
        <v>8</v>
      </c>
      <c r="V195" s="2" t="inlineStr">
        <is>
          <t>Garnlav
Mörk kolflarnlav
Skuggblåslav
Vedtrappmossa</t>
        </is>
      </c>
      <c r="W195">
        <f>HYPERLINK("https://klasma.github.io/Logging_1737/artfynd/A 42501-2022 artfynd.xlsx", "A 42501-2022")</f>
        <v/>
      </c>
      <c r="X195">
        <f>HYPERLINK("https://klasma.github.io/Logging_1737/kartor/A 42501-2022 karta.png", "A 42501-2022")</f>
        <v/>
      </c>
      <c r="Y195">
        <f>HYPERLINK("https://klasma.github.io/Logging_1737/kartor_geotiff/A 42501-2022 georefererad karta.tif", "A 42501-2022")</f>
        <v/>
      </c>
      <c r="AA195">
        <f>HYPERLINK("https://klasma.github.io/Logging_1737/klagomål/A 42501-2022 FSC-klagomål.docx", "A 42501-2022")</f>
        <v/>
      </c>
      <c r="AB195">
        <f>HYPERLINK("https://klasma.github.io/Logging_1737/klagomålsmail/A 42501-2022 FSC-klagomål mail.docx", "A 42501-2022")</f>
        <v/>
      </c>
      <c r="AC195">
        <f>HYPERLINK("https://klasma.github.io/Logging_1737/tillsyn/A 42501-2022 tillsynsbegäran.docx", "A 42501-2022")</f>
        <v/>
      </c>
      <c r="AD195">
        <f>HYPERLINK("https://klasma.github.io/Logging_1737/tillsynsmail/A 42501-2022 tillsynsbegäran mail.docx", "A 42501-2022")</f>
        <v/>
      </c>
    </row>
    <row r="196" ht="15" customHeight="1">
      <c r="A196" t="inlineStr">
        <is>
          <t>A 17268-2022</t>
        </is>
      </c>
      <c r="B196" t="inlineStr">
        <is>
          <t>avverkningsanmälan</t>
        </is>
      </c>
      <c r="C196" t="inlineStr">
        <is>
          <t>Föryngringsavverkning</t>
        </is>
      </c>
      <c r="D196" s="1" t="n">
        <v>44678</v>
      </c>
      <c r="E196" s="1" t="n">
        <v>46307</v>
      </c>
      <c r="F196" t="inlineStr">
        <is>
          <t>VÄRMLANDS LÄN</t>
        </is>
      </c>
      <c r="G196" t="inlineStr">
        <is>
          <t>ÅRJÄNG</t>
        </is>
      </c>
      <c r="I196" t="n">
        <v>4</v>
      </c>
      <c r="J196" t="n">
        <v>0</v>
      </c>
      <c r="K196" t="n">
        <v>4</v>
      </c>
      <c r="L196" t="n">
        <v>0</v>
      </c>
      <c r="M196" t="n">
        <v>0</v>
      </c>
      <c r="N196" t="n">
        <v>0</v>
      </c>
      <c r="O196" t="n">
        <v>0</v>
      </c>
      <c r="P196" t="n">
        <v>0</v>
      </c>
      <c r="Q196" t="n">
        <v>0</v>
      </c>
      <c r="R196" t="n">
        <v>0</v>
      </c>
      <c r="S196" t="n">
        <v>4</v>
      </c>
      <c r="T196" t="n">
        <v>4</v>
      </c>
      <c r="U196" t="n">
        <v>4</v>
      </c>
      <c r="V196" s="2" t="inlineStr">
        <is>
          <t>Bårdlav
Korallblylav
Vedticka
Vågbandad barkbock</t>
        </is>
      </c>
      <c r="W196">
        <f>HYPERLINK("https://klasma.github.io/Logging_1765/artfynd/A 17268-2022 artfynd.xlsx", "A 17268-2022")</f>
        <v/>
      </c>
      <c r="X196">
        <f>HYPERLINK("https://klasma.github.io/Logging_1765/kartor/A 17268-2022 karta.png", "A 17268-2022")</f>
        <v/>
      </c>
      <c r="Y196">
        <f>HYPERLINK("https://klasma.github.io/Logging_1765/kartor_geotiff/A 17268-2022 georefererad karta.tif", "A 17268-2022")</f>
        <v/>
      </c>
      <c r="AA196">
        <f>HYPERLINK("https://klasma.github.io/Logging_1765/klagomål/A 17268-2022 FSC-klagomål.docx", "A 17268-2022")</f>
        <v/>
      </c>
      <c r="AB196">
        <f>HYPERLINK("https://klasma.github.io/Logging_1765/klagomålsmail/A 17268-2022 FSC-klagomål mail.docx", "A 17268-2022")</f>
        <v/>
      </c>
      <c r="AC196">
        <f>HYPERLINK("https://klasma.github.io/Logging_1765/tillsyn/A 17268-2022 tillsynsbegäran.docx", "A 17268-2022")</f>
        <v/>
      </c>
      <c r="AD196">
        <f>HYPERLINK("https://klasma.github.io/Logging_1765/tillsynsmail/A 17268-2022 tillsynsbegäran mail.docx", "A 17268-2022")</f>
        <v/>
      </c>
    </row>
    <row r="197" ht="15" customHeight="1">
      <c r="A197" t="inlineStr">
        <is>
          <t>A 33525-2023</t>
        </is>
      </c>
      <c r="B197" t="inlineStr">
        <is>
          <t>avverkningsanmälan</t>
        </is>
      </c>
      <c r="C197" t="inlineStr">
        <is>
          <t>Föryngringsavverkning</t>
        </is>
      </c>
      <c r="D197" s="1" t="n">
        <v>45131</v>
      </c>
      <c r="E197" s="1" t="n">
        <v>46307</v>
      </c>
      <c r="F197" t="inlineStr">
        <is>
          <t>VÄRMLANDS LÄN</t>
        </is>
      </c>
      <c r="G197" t="inlineStr">
        <is>
          <t>ÅRJÄNG</t>
        </is>
      </c>
      <c r="I197" t="n">
        <v>10.2</v>
      </c>
      <c r="J197" t="n">
        <v>0</v>
      </c>
      <c r="K197" t="n">
        <v>0</v>
      </c>
      <c r="L197" t="n">
        <v>3</v>
      </c>
      <c r="M197" t="n">
        <v>1</v>
      </c>
      <c r="N197" t="n">
        <v>0</v>
      </c>
      <c r="O197" t="n">
        <v>0</v>
      </c>
      <c r="P197" t="n">
        <v>0</v>
      </c>
      <c r="Q197" t="n">
        <v>4</v>
      </c>
      <c r="R197" t="n">
        <v>1</v>
      </c>
      <c r="S197" t="n">
        <v>4</v>
      </c>
      <c r="T197" t="n">
        <v>4</v>
      </c>
      <c r="U197" t="n">
        <v>4</v>
      </c>
      <c r="V197" s="2" t="inlineStr">
        <is>
          <t>Garnlav
Dropptaggsvamp
Orange taggsvamp
Tallfingersvamp</t>
        </is>
      </c>
      <c r="W197">
        <f>HYPERLINK("https://klasma.github.io/Logging_1765/artfynd/A 33525-2023 artfynd.xlsx", "A 33525-2023")</f>
        <v/>
      </c>
      <c r="X197">
        <f>HYPERLINK("https://klasma.github.io/Logging_1765/kartor/A 33525-2023 karta.png", "A 33525-2023")</f>
        <v/>
      </c>
      <c r="Y197">
        <f>HYPERLINK("https://klasma.github.io/Logging_1765/kartor_geotiff/A 33525-2023 georefererad karta.tif", "A 33525-2023")</f>
        <v/>
      </c>
      <c r="AA197">
        <f>HYPERLINK("https://klasma.github.io/Logging_1765/klagomål/A 33525-2023 FSC-klagomål.docx", "A 33525-2023")</f>
        <v/>
      </c>
      <c r="AB197">
        <f>HYPERLINK("https://klasma.github.io/Logging_1765/klagomålsmail/A 33525-2023 FSC-klagomål mail.docx", "A 33525-2023")</f>
        <v/>
      </c>
      <c r="AC197">
        <f>HYPERLINK("https://klasma.github.io/Logging_1765/tillsyn/A 33525-2023 tillsynsbegäran.docx", "A 33525-2023")</f>
        <v/>
      </c>
      <c r="AD197">
        <f>HYPERLINK("https://klasma.github.io/Logging_1765/tillsynsmail/A 33525-2023 tillsynsbegäran mail.docx", "A 33525-2023")</f>
        <v/>
      </c>
    </row>
    <row r="198" ht="15" customHeight="1">
      <c r="A198" t="inlineStr">
        <is>
          <t>A 34930-2022</t>
        </is>
      </c>
      <c r="B198" t="inlineStr">
        <is>
          <t>avverkningsanmälan</t>
        </is>
      </c>
      <c r="C198" t="inlineStr">
        <is>
          <t>Föryngringsavverkning</t>
        </is>
      </c>
      <c r="D198" s="1" t="n">
        <v>44796</v>
      </c>
      <c r="E198" s="1" t="n">
        <v>46307</v>
      </c>
      <c r="F198" t="inlineStr">
        <is>
          <t>VÄRMLANDS LÄN</t>
        </is>
      </c>
      <c r="G198" t="inlineStr">
        <is>
          <t>TORSBY</t>
        </is>
      </c>
      <c r="I198" t="n">
        <v>3.3</v>
      </c>
      <c r="J198" t="n">
        <v>0</v>
      </c>
      <c r="K198" t="n">
        <v>3</v>
      </c>
      <c r="L198" t="n">
        <v>1</v>
      </c>
      <c r="M198" t="n">
        <v>0</v>
      </c>
      <c r="N198" t="n">
        <v>0</v>
      </c>
      <c r="O198" t="n">
        <v>0</v>
      </c>
      <c r="P198" t="n">
        <v>0</v>
      </c>
      <c r="Q198" t="n">
        <v>1</v>
      </c>
      <c r="R198" t="n">
        <v>0</v>
      </c>
      <c r="S198" t="n">
        <v>4</v>
      </c>
      <c r="T198" t="n">
        <v>5</v>
      </c>
      <c r="U198" t="n">
        <v>0</v>
      </c>
      <c r="V198" s="2" t="inlineStr">
        <is>
          <t>Späd bäckmossa
Mörk husmossa
Strutbräken
Terpentinmossa</t>
        </is>
      </c>
      <c r="W198">
        <f>HYPERLINK("https://klasma.github.io/Logging_1737/artfynd/A 34930-2022 artfynd.xlsx", "A 34930-2022")</f>
        <v/>
      </c>
      <c r="X198">
        <f>HYPERLINK("https://klasma.github.io/Logging_1737/kartor/A 34930-2022 karta.png", "A 34930-2022")</f>
        <v/>
      </c>
      <c r="Y198">
        <f>HYPERLINK("https://klasma.github.io/Logging_1737/kartor_geotiff/A 34930-2022 georefererad karta.tif", "A 34930-2022")</f>
        <v/>
      </c>
      <c r="AA198">
        <f>HYPERLINK("https://klasma.github.io/Logging_1737/klagomål/A 34930-2022 FSC-klagomål.docx", "A 34930-2022")</f>
        <v/>
      </c>
      <c r="AB198">
        <f>HYPERLINK("https://klasma.github.io/Logging_1737/klagomålsmail/A 34930-2022 FSC-klagomål mail.docx", "A 34930-2022")</f>
        <v/>
      </c>
      <c r="AC198">
        <f>HYPERLINK("https://klasma.github.io/Logging_1737/tillsyn/A 34930-2022 tillsynsbegäran.docx", "A 34930-2022")</f>
        <v/>
      </c>
      <c r="AD198">
        <f>HYPERLINK("https://klasma.github.io/Logging_1737/tillsynsmail/A 34930-2022 tillsynsbegäran mail.docx", "A 34930-2022")</f>
        <v/>
      </c>
    </row>
    <row r="199" ht="15" customHeight="1">
      <c r="A199" t="inlineStr">
        <is>
          <t>A 26898-2022</t>
        </is>
      </c>
      <c r="B199" t="inlineStr">
        <is>
          <t>avverkningsanmälan</t>
        </is>
      </c>
      <c r="C199" t="inlineStr">
        <is>
          <t>Föryngringsavverkning</t>
        </is>
      </c>
      <c r="D199" s="1" t="n">
        <v>44740</v>
      </c>
      <c r="E199" s="1" t="n">
        <v>46307</v>
      </c>
      <c r="F199" t="inlineStr">
        <is>
          <t>VÄRMLANDS LÄN</t>
        </is>
      </c>
      <c r="G199" t="inlineStr">
        <is>
          <t>EDA</t>
        </is>
      </c>
      <c r="I199" t="n">
        <v>7.7</v>
      </c>
      <c r="J199" t="n">
        <v>1</v>
      </c>
      <c r="K199" t="n">
        <v>0</v>
      </c>
      <c r="L199" t="n">
        <v>2</v>
      </c>
      <c r="M199" t="n">
        <v>1</v>
      </c>
      <c r="N199" t="n">
        <v>0</v>
      </c>
      <c r="O199" t="n">
        <v>0</v>
      </c>
      <c r="P199" t="n">
        <v>0</v>
      </c>
      <c r="Q199" t="n">
        <v>3</v>
      </c>
      <c r="R199" t="n">
        <v>1</v>
      </c>
      <c r="S199" t="n">
        <v>4</v>
      </c>
      <c r="T199" t="n">
        <v>11</v>
      </c>
      <c r="U199" t="n">
        <v>0</v>
      </c>
      <c r="V199" s="2" t="inlineStr">
        <is>
          <t>Garnlav
Dropptaggsvamp
Vedskivlav
Tjäder</t>
        </is>
      </c>
      <c r="W199">
        <f>HYPERLINK("https://klasma.github.io/Logging_1730/artfynd/A 26898-2022 artfynd.xlsx", "A 26898-2022")</f>
        <v/>
      </c>
      <c r="X199">
        <f>HYPERLINK("https://klasma.github.io/Logging_1730/kartor/A 26898-2022 karta.png", "A 26898-2022")</f>
        <v/>
      </c>
      <c r="Y199">
        <f>HYPERLINK("https://klasma.github.io/Logging_1730/kartor_geotiff/A 26898-2022 georefererad karta.tif", "A 26898-2022")</f>
        <v/>
      </c>
      <c r="AA199">
        <f>HYPERLINK("https://klasma.github.io/Logging_1730/klagomål/A 26898-2022 FSC-klagomål.docx", "A 26898-2022")</f>
        <v/>
      </c>
      <c r="AB199">
        <f>HYPERLINK("https://klasma.github.io/Logging_1730/klagomålsmail/A 26898-2022 FSC-klagomål mail.docx", "A 26898-2022")</f>
        <v/>
      </c>
      <c r="AC199">
        <f>HYPERLINK("https://klasma.github.io/Logging_1730/tillsyn/A 26898-2022 tillsynsbegäran.docx", "A 26898-2022")</f>
        <v/>
      </c>
      <c r="AD199">
        <f>HYPERLINK("https://klasma.github.io/Logging_1730/tillsynsmail/A 26898-2022 tillsynsbegäran mail.docx", "A 26898-2022")</f>
        <v/>
      </c>
      <c r="AE199">
        <f>HYPERLINK("https://klasma.github.io/Logging_1730/fåglar/A 26898-2022 prioriterade fågelarter.docx", "A 26898-2022")</f>
        <v/>
      </c>
    </row>
    <row r="200" ht="15" customHeight="1">
      <c r="A200" t="inlineStr">
        <is>
          <t>A 35299-2025</t>
        </is>
      </c>
      <c r="B200" t="inlineStr">
        <is>
          <t>avverkningsanmälan</t>
        </is>
      </c>
      <c r="C200" t="inlineStr">
        <is>
          <t>Föryngringsavverkning</t>
        </is>
      </c>
      <c r="D200" s="1" t="n">
        <v>45854</v>
      </c>
      <c r="E200" s="1" t="n">
        <v>46307</v>
      </c>
      <c r="F200" t="inlineStr">
        <is>
          <t>VÄRMLANDS LÄN</t>
        </is>
      </c>
      <c r="G200" t="inlineStr">
        <is>
          <t>HAGFORS</t>
        </is>
      </c>
      <c r="H200" t="inlineStr">
        <is>
          <t>Kyrkan</t>
        </is>
      </c>
      <c r="I200" t="n">
        <v>2.5</v>
      </c>
      <c r="J200" t="n">
        <v>0</v>
      </c>
      <c r="K200" t="n">
        <v>1</v>
      </c>
      <c r="L200" t="n">
        <v>3</v>
      </c>
      <c r="M200" t="n">
        <v>0</v>
      </c>
      <c r="N200" t="n">
        <v>0</v>
      </c>
      <c r="O200" t="n">
        <v>0</v>
      </c>
      <c r="P200" t="n">
        <v>0</v>
      </c>
      <c r="Q200" t="n">
        <v>3</v>
      </c>
      <c r="R200" t="n">
        <v>0</v>
      </c>
      <c r="S200" t="n">
        <v>4</v>
      </c>
      <c r="T200" t="n">
        <v>5</v>
      </c>
      <c r="U200" t="n">
        <v>0</v>
      </c>
      <c r="V200" s="2" t="inlineStr">
        <is>
          <t>Lunglav
Vedskivlav
Vedtrappmossa
Skinnlav</t>
        </is>
      </c>
      <c r="W200">
        <f>HYPERLINK("https://klasma.github.io/Logging_1783/artfynd/A 35299-2025 artfynd.xlsx", "A 35299-2025")</f>
        <v/>
      </c>
      <c r="X200">
        <f>HYPERLINK("https://klasma.github.io/Logging_1783/kartor/A 35299-2025 karta.png", "A 35299-2025")</f>
        <v/>
      </c>
      <c r="Y200">
        <f>HYPERLINK("https://klasma.github.io/Logging_1783/kartor_geotiff/A 35299-2025 georefererad karta.tif", "A 35299-2025")</f>
        <v/>
      </c>
      <c r="AA200">
        <f>HYPERLINK("https://klasma.github.io/Logging_1783/klagomål/A 35299-2025 FSC-klagomål.docx", "A 35299-2025")</f>
        <v/>
      </c>
      <c r="AB200">
        <f>HYPERLINK("https://klasma.github.io/Logging_1783/klagomålsmail/A 35299-2025 FSC-klagomål mail.docx", "A 35299-2025")</f>
        <v/>
      </c>
      <c r="AC200">
        <f>HYPERLINK("https://klasma.github.io/Logging_1783/tillsyn/A 35299-2025 tillsynsbegäran.docx", "A 35299-2025")</f>
        <v/>
      </c>
      <c r="AD200">
        <f>HYPERLINK("https://klasma.github.io/Logging_1783/tillsynsmail/A 35299-2025 tillsynsbegäran mail.docx", "A 35299-2025")</f>
        <v/>
      </c>
    </row>
    <row r="201" ht="15" customHeight="1">
      <c r="A201" t="inlineStr">
        <is>
          <t>A 63893-2021</t>
        </is>
      </c>
      <c r="B201" t="inlineStr">
        <is>
          <t>avverkningsanmälan</t>
        </is>
      </c>
      <c r="C201" t="inlineStr">
        <is>
          <t>Föryngringsavverkning</t>
        </is>
      </c>
      <c r="D201" s="1" t="n">
        <v>44509</v>
      </c>
      <c r="E201" s="1" t="n">
        <v>46307</v>
      </c>
      <c r="F201" t="inlineStr">
        <is>
          <t>VÄRMLANDS LÄN</t>
        </is>
      </c>
      <c r="G201" t="inlineStr">
        <is>
          <t>HAGFORS</t>
        </is>
      </c>
      <c r="I201" t="n">
        <v>1.5</v>
      </c>
      <c r="J201" t="n">
        <v>0</v>
      </c>
      <c r="K201" t="n">
        <v>0</v>
      </c>
      <c r="L201" t="n">
        <v>3</v>
      </c>
      <c r="M201" t="n">
        <v>1</v>
      </c>
      <c r="N201" t="n">
        <v>0</v>
      </c>
      <c r="O201" t="n">
        <v>0</v>
      </c>
      <c r="P201" t="n">
        <v>0</v>
      </c>
      <c r="Q201" t="n">
        <v>4</v>
      </c>
      <c r="R201" t="n">
        <v>1</v>
      </c>
      <c r="S201" t="n">
        <v>4</v>
      </c>
      <c r="T201" t="n">
        <v>8</v>
      </c>
      <c r="U201" t="n">
        <v>8</v>
      </c>
      <c r="V201" s="2" t="inlineStr">
        <is>
          <t>Garnlav
Kolflarnlav
Mörk kolflarnlav
Vedskivlav</t>
        </is>
      </c>
      <c r="W201">
        <f>HYPERLINK("https://klasma.github.io/Logging_1783/artfynd/A 63893-2021 artfynd.xlsx", "A 63893-2021")</f>
        <v/>
      </c>
      <c r="X201">
        <f>HYPERLINK("https://klasma.github.io/Logging_1783/kartor/A 63893-2021 karta.png", "A 63893-2021")</f>
        <v/>
      </c>
      <c r="Y201">
        <f>HYPERLINK("https://klasma.github.io/Logging_1783/kartor_geotiff/A 63893-2021 georefererad karta.tif", "A 63893-2021")</f>
        <v/>
      </c>
      <c r="AA201">
        <f>HYPERLINK("https://klasma.github.io/Logging_1783/klagomål/A 63893-2021 FSC-klagomål.docx", "A 63893-2021")</f>
        <v/>
      </c>
      <c r="AB201">
        <f>HYPERLINK("https://klasma.github.io/Logging_1783/klagomålsmail/A 63893-2021 FSC-klagomål mail.docx", "A 63893-2021")</f>
        <v/>
      </c>
      <c r="AC201">
        <f>HYPERLINK("https://klasma.github.io/Logging_1783/tillsyn/A 63893-2021 tillsynsbegäran.docx", "A 63893-2021")</f>
        <v/>
      </c>
      <c r="AD201">
        <f>HYPERLINK("https://klasma.github.io/Logging_1783/tillsynsmail/A 63893-2021 tillsynsbegäran mail.docx", "A 63893-2021")</f>
        <v/>
      </c>
    </row>
    <row r="202" ht="15" customHeight="1">
      <c r="A202" t="inlineStr">
        <is>
          <t>A 42500-2022</t>
        </is>
      </c>
      <c r="B202" t="inlineStr">
        <is>
          <t>avverkningsanmälan</t>
        </is>
      </c>
      <c r="C202" t="inlineStr">
        <is>
          <t>Föryngringsavverkning</t>
        </is>
      </c>
      <c r="D202" s="1" t="n">
        <v>44831</v>
      </c>
      <c r="E202" s="1" t="n">
        <v>46307</v>
      </c>
      <c r="F202" t="inlineStr">
        <is>
          <t>VÄRMLANDS LÄN</t>
        </is>
      </c>
      <c r="G202" t="inlineStr">
        <is>
          <t>TORSBY</t>
        </is>
      </c>
      <c r="H202" t="inlineStr">
        <is>
          <t>Kommuner</t>
        </is>
      </c>
      <c r="I202" t="n">
        <v>2.3</v>
      </c>
      <c r="J202" t="n">
        <v>0</v>
      </c>
      <c r="K202" t="n">
        <v>0</v>
      </c>
      <c r="L202" t="n">
        <v>3</v>
      </c>
      <c r="M202" t="n">
        <v>1</v>
      </c>
      <c r="N202" t="n">
        <v>0</v>
      </c>
      <c r="O202" t="n">
        <v>0</v>
      </c>
      <c r="P202" t="n">
        <v>0</v>
      </c>
      <c r="Q202" t="n">
        <v>4</v>
      </c>
      <c r="R202" t="n">
        <v>1</v>
      </c>
      <c r="S202" t="n">
        <v>4</v>
      </c>
      <c r="T202" t="n">
        <v>4</v>
      </c>
      <c r="U202" t="n">
        <v>4</v>
      </c>
      <c r="V202" s="2" t="inlineStr">
        <is>
          <t>Garnlav
Dvärgbägarlav
Vedskivlav
Violettgrå tagellav</t>
        </is>
      </c>
      <c r="W202">
        <f>HYPERLINK("https://klasma.github.io/Logging_1737/artfynd/A 42500-2022 artfynd.xlsx", "A 42500-2022")</f>
        <v/>
      </c>
      <c r="X202">
        <f>HYPERLINK("https://klasma.github.io/Logging_1737/kartor/A 42500-2022 karta.png", "A 42500-2022")</f>
        <v/>
      </c>
      <c r="Y202">
        <f>HYPERLINK("https://klasma.github.io/Logging_1737/kartor_geotiff/A 42500-2022 georefererad karta.tif", "A 42500-2022")</f>
        <v/>
      </c>
      <c r="Z202">
        <f>HYPERLINK("https://klasma.github.io/Logging_1737/knärot/A 42500-2022 karta knärot.png", "A 42500-2022")</f>
        <v/>
      </c>
      <c r="AA202">
        <f>HYPERLINK("https://klasma.github.io/Logging_1737/klagomål/A 42500-2022 FSC-klagomål.docx", "A 42500-2022")</f>
        <v/>
      </c>
      <c r="AB202">
        <f>HYPERLINK("https://klasma.github.io/Logging_1737/klagomålsmail/A 42500-2022 FSC-klagomål mail.docx", "A 42500-2022")</f>
        <v/>
      </c>
      <c r="AC202">
        <f>HYPERLINK("https://klasma.github.io/Logging_1737/tillsyn/A 42500-2022 tillsynsbegäran.docx", "A 42500-2022")</f>
        <v/>
      </c>
      <c r="AD202">
        <f>HYPERLINK("https://klasma.github.io/Logging_1737/tillsynsmail/A 42500-2022 tillsynsbegäran mail.docx", "A 42500-2022")</f>
        <v/>
      </c>
    </row>
    <row r="203" ht="15" customHeight="1">
      <c r="A203" t="inlineStr">
        <is>
          <t>A 17149-2026</t>
        </is>
      </c>
      <c r="B203" t="inlineStr">
        <is>
          <t>avverkningsanmälan</t>
        </is>
      </c>
      <c r="C203" t="inlineStr">
        <is>
          <t>Föryngringsavverkning</t>
        </is>
      </c>
      <c r="D203" s="1" t="n">
        <v>46114</v>
      </c>
      <c r="E203" s="1" t="n">
        <v>46307</v>
      </c>
      <c r="F203" t="inlineStr">
        <is>
          <t>VÄRMLANDS LÄN</t>
        </is>
      </c>
      <c r="G203" t="inlineStr">
        <is>
          <t>TORSBY</t>
        </is>
      </c>
      <c r="I203" t="n">
        <v>1.8</v>
      </c>
      <c r="J203" t="n">
        <v>0</v>
      </c>
      <c r="K203" t="n">
        <v>0</v>
      </c>
      <c r="L203" t="n">
        <v>3</v>
      </c>
      <c r="M203" t="n">
        <v>1</v>
      </c>
      <c r="N203" t="n">
        <v>0</v>
      </c>
      <c r="O203" t="n">
        <v>0</v>
      </c>
      <c r="P203" t="n">
        <v>0</v>
      </c>
      <c r="Q203" t="n">
        <v>4</v>
      </c>
      <c r="R203" t="n">
        <v>1</v>
      </c>
      <c r="S203" t="n">
        <v>4</v>
      </c>
      <c r="T203" t="n">
        <v>7</v>
      </c>
      <c r="U203" t="n">
        <v>0</v>
      </c>
      <c r="V203" s="2" t="inlineStr">
        <is>
          <t>Garnlav
Dvärgbägarlav
Kandelabersvamp
Kortskaftad ärgspik</t>
        </is>
      </c>
      <c r="W203">
        <f>HYPERLINK("https://klasma.github.io/Logging_1737/artfynd/A 17149-2026 artfynd.xlsx", "A 17149-2026")</f>
        <v/>
      </c>
      <c r="X203">
        <f>HYPERLINK("https://klasma.github.io/Logging_1737/kartor/A 17149-2026 karta.png", "A 17149-2026")</f>
        <v/>
      </c>
      <c r="Y203">
        <f>HYPERLINK("https://klasma.github.io/Logging_1737/kartor_geotiff/A 17149-2026 georefererad karta.tif", "A 17149-2026")</f>
        <v/>
      </c>
      <c r="AA203">
        <f>HYPERLINK("https://klasma.github.io/Logging_1737/klagomål/A 17149-2026 FSC-klagomål.docx", "A 17149-2026")</f>
        <v/>
      </c>
      <c r="AB203">
        <f>HYPERLINK("https://klasma.github.io/Logging_1737/klagomålsmail/A 17149-2026 FSC-klagomål mail.docx", "A 17149-2026")</f>
        <v/>
      </c>
      <c r="AC203">
        <f>HYPERLINK("https://klasma.github.io/Logging_1737/tillsyn/A 17149-2026 tillsynsbegäran.docx", "A 17149-2026")</f>
        <v/>
      </c>
      <c r="AD203">
        <f>HYPERLINK("https://klasma.github.io/Logging_1737/tillsynsmail/A 17149-2026 tillsynsbegäran mail.docx", "A 17149-2026")</f>
        <v/>
      </c>
    </row>
    <row r="204" ht="15" customHeight="1">
      <c r="A204" t="inlineStr">
        <is>
          <t>A 40437-2025</t>
        </is>
      </c>
      <c r="B204" t="inlineStr">
        <is>
          <t>avverkningsanmälan</t>
        </is>
      </c>
      <c r="C204" t="inlineStr">
        <is>
          <t>Föryngringsavverkning</t>
        </is>
      </c>
      <c r="D204" s="1" t="n">
        <v>45895</v>
      </c>
      <c r="E204" s="1" t="n">
        <v>46307</v>
      </c>
      <c r="F204" t="inlineStr">
        <is>
          <t>VÄRMLANDS LÄN</t>
        </is>
      </c>
      <c r="G204" t="inlineStr">
        <is>
          <t>ÅRJÄNG</t>
        </is>
      </c>
      <c r="I204" t="n">
        <v>8.1</v>
      </c>
      <c r="J204" t="n">
        <v>3</v>
      </c>
      <c r="K204" t="n">
        <v>1</v>
      </c>
      <c r="L204" t="n">
        <v>0</v>
      </c>
      <c r="M204" t="n">
        <v>0</v>
      </c>
      <c r="N204" t="n">
        <v>0</v>
      </c>
      <c r="O204" t="n">
        <v>0</v>
      </c>
      <c r="P204" t="n">
        <v>0</v>
      </c>
      <c r="Q204" t="n">
        <v>0</v>
      </c>
      <c r="R204" t="n">
        <v>0</v>
      </c>
      <c r="S204" t="n">
        <v>4</v>
      </c>
      <c r="T204" t="n">
        <v>5</v>
      </c>
      <c r="U204" t="n">
        <v>5</v>
      </c>
      <c r="V204" s="2" t="inlineStr">
        <is>
          <t>Rödgul trumpetsvamp
Spillkråka
Fläcknycklar
Revlummer</t>
        </is>
      </c>
      <c r="W204">
        <f>HYPERLINK("https://klasma.github.io/Logging_1765/artfynd/A 40437-2025 artfynd.xlsx", "A 40437-2025")</f>
        <v/>
      </c>
      <c r="X204">
        <f>HYPERLINK("https://klasma.github.io/Logging_1765/kartor/A 40437-2025 karta.png", "A 40437-2025")</f>
        <v/>
      </c>
      <c r="Y204">
        <f>HYPERLINK("https://klasma.github.io/Logging_1765/kartor_geotiff/A 40437-2025 georefererad karta.tif", "A 40437-2025")</f>
        <v/>
      </c>
      <c r="AA204">
        <f>HYPERLINK("https://klasma.github.io/Logging_1765/klagomål/A 40437-2025 FSC-klagomål.docx", "A 40437-2025")</f>
        <v/>
      </c>
      <c r="AB204">
        <f>HYPERLINK("https://klasma.github.io/Logging_1765/klagomålsmail/A 40437-2025 FSC-klagomål mail.docx", "A 40437-2025")</f>
        <v/>
      </c>
      <c r="AC204">
        <f>HYPERLINK("https://klasma.github.io/Logging_1765/tillsyn/A 40437-2025 tillsynsbegäran.docx", "A 40437-2025")</f>
        <v/>
      </c>
      <c r="AD204">
        <f>HYPERLINK("https://klasma.github.io/Logging_1765/tillsynsmail/A 40437-2025 tillsynsbegäran mail.docx", "A 40437-2025")</f>
        <v/>
      </c>
      <c r="AE204">
        <f>HYPERLINK("https://klasma.github.io/Logging_1765/fåglar/A 40437-2025 prioriterade fågelarter.docx", "A 40437-2025")</f>
        <v/>
      </c>
    </row>
    <row r="205" ht="15" customHeight="1">
      <c r="A205" t="inlineStr">
        <is>
          <t>A 18094-2026</t>
        </is>
      </c>
      <c r="B205" t="inlineStr">
        <is>
          <t>avverkningsanmälan</t>
        </is>
      </c>
      <c r="C205" t="inlineStr">
        <is>
          <t>Föryngringsavverkning</t>
        </is>
      </c>
      <c r="D205" s="1" t="n">
        <v>46125</v>
      </c>
      <c r="E205" s="1" t="n">
        <v>46307</v>
      </c>
      <c r="F205" t="inlineStr">
        <is>
          <t>VÄRMLANDS LÄN</t>
        </is>
      </c>
      <c r="G205" t="inlineStr">
        <is>
          <t>FORSHAGA</t>
        </is>
      </c>
      <c r="H205" t="inlineStr">
        <is>
          <t>Bergvik skog väst AB</t>
        </is>
      </c>
      <c r="I205" t="n">
        <v>7.8</v>
      </c>
      <c r="J205" t="n">
        <v>0</v>
      </c>
      <c r="K205" t="n">
        <v>2</v>
      </c>
      <c r="L205" t="n">
        <v>1</v>
      </c>
      <c r="M205" t="n">
        <v>1</v>
      </c>
      <c r="N205" t="n">
        <v>0</v>
      </c>
      <c r="O205" t="n">
        <v>0</v>
      </c>
      <c r="P205" t="n">
        <v>0</v>
      </c>
      <c r="Q205" t="n">
        <v>2</v>
      </c>
      <c r="R205" t="n">
        <v>1</v>
      </c>
      <c r="S205" t="n">
        <v>4</v>
      </c>
      <c r="T205" t="n">
        <v>4</v>
      </c>
      <c r="U205" t="n">
        <v>0</v>
      </c>
      <c r="V205" s="2" t="inlineStr">
        <is>
          <t>Blackticka
Fjällig taggsvamp s.str.
Brandticka
Mörk husmossa</t>
        </is>
      </c>
      <c r="W205">
        <f>HYPERLINK("https://klasma.github.io/Logging_1763/artfynd/A 18094-2026 artfynd.xlsx", "A 18094-2026")</f>
        <v/>
      </c>
      <c r="X205">
        <f>HYPERLINK("https://klasma.github.io/Logging_1763/kartor/A 18094-2026 karta.png", "A 18094-2026")</f>
        <v/>
      </c>
      <c r="Y205">
        <f>HYPERLINK("https://klasma.github.io/Logging_1763/kartor_geotiff/A 18094-2026 georefererad karta.tif", "A 18094-2026")</f>
        <v/>
      </c>
      <c r="AA205">
        <f>HYPERLINK("https://klasma.github.io/Logging_1763/klagomål/A 18094-2026 FSC-klagomål.docx", "A 18094-2026")</f>
        <v/>
      </c>
      <c r="AB205">
        <f>HYPERLINK("https://klasma.github.io/Logging_1763/klagomålsmail/A 18094-2026 FSC-klagomål mail.docx", "A 18094-2026")</f>
        <v/>
      </c>
      <c r="AC205">
        <f>HYPERLINK("https://klasma.github.io/Logging_1763/tillsyn/A 18094-2026 tillsynsbegäran.docx", "A 18094-2026")</f>
        <v/>
      </c>
      <c r="AD205">
        <f>HYPERLINK("https://klasma.github.io/Logging_1763/tillsynsmail/A 18094-2026 tillsynsbegäran mail.docx", "A 18094-2026")</f>
        <v/>
      </c>
    </row>
    <row r="206" ht="15" customHeight="1">
      <c r="A206" t="inlineStr">
        <is>
          <t>A 50956-2022</t>
        </is>
      </c>
      <c r="B206" t="inlineStr">
        <is>
          <t>avverkningsanmälan</t>
        </is>
      </c>
      <c r="C206" t="inlineStr">
        <is>
          <t>Avverkning för att bevara och utveckla /försöksver</t>
        </is>
      </c>
      <c r="D206" s="1" t="n">
        <v>44867</v>
      </c>
      <c r="E206" s="1" t="n">
        <v>46307</v>
      </c>
      <c r="F206" t="inlineStr">
        <is>
          <t>VÄRMLANDS LÄN</t>
        </is>
      </c>
      <c r="G206" t="inlineStr">
        <is>
          <t>SÄFFLE</t>
        </is>
      </c>
      <c r="H206" t="inlineStr">
        <is>
          <t>Kyrkan</t>
        </is>
      </c>
      <c r="I206" t="n">
        <v>49.2</v>
      </c>
      <c r="J206" t="n">
        <v>1</v>
      </c>
      <c r="K206" t="n">
        <v>1</v>
      </c>
      <c r="L206" t="n">
        <v>2</v>
      </c>
      <c r="M206" t="n">
        <v>0</v>
      </c>
      <c r="N206" t="n">
        <v>1</v>
      </c>
      <c r="O206" t="n">
        <v>0</v>
      </c>
      <c r="P206" t="n">
        <v>0</v>
      </c>
      <c r="Q206" t="n">
        <v>3</v>
      </c>
      <c r="R206" t="n">
        <v>1</v>
      </c>
      <c r="S206" t="n">
        <v>4</v>
      </c>
      <c r="T206" t="n">
        <v>7</v>
      </c>
      <c r="U206" t="n">
        <v>7</v>
      </c>
      <c r="V206" s="2" t="inlineStr">
        <is>
          <t>Klockgentiana
Svedjenäva
Svinrot
Kamjordstjärna</t>
        </is>
      </c>
      <c r="W206">
        <f>HYPERLINK("https://klasma.github.io/Logging_1785/artfynd/A 50956-2022 artfynd.xlsx", "A 50956-2022")</f>
        <v/>
      </c>
      <c r="X206">
        <f>HYPERLINK("https://klasma.github.io/Logging_1785/kartor/A 50956-2022 karta.png", "A 50956-2022")</f>
        <v/>
      </c>
      <c r="Y206">
        <f>HYPERLINK("https://klasma.github.io/Logging_1785/kartor_geotiff/A 50956-2022 georefererad karta.tif", "A 50956-2022")</f>
        <v/>
      </c>
      <c r="AA206">
        <f>HYPERLINK("https://klasma.github.io/Logging_1785/klagomål/A 50956-2022 FSC-klagomål.docx", "A 50956-2022")</f>
        <v/>
      </c>
      <c r="AB206">
        <f>HYPERLINK("https://klasma.github.io/Logging_1785/klagomålsmail/A 50956-2022 FSC-klagomål mail.docx", "A 50956-2022")</f>
        <v/>
      </c>
      <c r="AC206">
        <f>HYPERLINK("https://klasma.github.io/Logging_1785/tillsyn/A 50956-2022 tillsynsbegäran.docx", "A 50956-2022")</f>
        <v/>
      </c>
      <c r="AD206">
        <f>HYPERLINK("https://klasma.github.io/Logging_1785/tillsynsmail/A 50956-2022 tillsynsbegäran mail.docx", "A 50956-2022")</f>
        <v/>
      </c>
    </row>
    <row r="207" ht="15" customHeight="1">
      <c r="A207" t="inlineStr">
        <is>
          <t>A 11744-2025</t>
        </is>
      </c>
      <c r="B207" t="inlineStr">
        <is>
          <t>avverkningsanmälan</t>
        </is>
      </c>
      <c r="C207" t="inlineStr">
        <is>
          <t>Föryngringsavverkning</t>
        </is>
      </c>
      <c r="D207" s="1" t="n">
        <v>45727</v>
      </c>
      <c r="E207" s="1" t="n">
        <v>46307</v>
      </c>
      <c r="F207" t="inlineStr">
        <is>
          <t>VÄRMLANDS LÄN</t>
        </is>
      </c>
      <c r="G207" t="inlineStr">
        <is>
          <t>SÄFFLE</t>
        </is>
      </c>
      <c r="I207" t="n">
        <v>5.8</v>
      </c>
      <c r="J207" t="n">
        <v>3</v>
      </c>
      <c r="K207" t="n">
        <v>0</v>
      </c>
      <c r="L207" t="n">
        <v>2</v>
      </c>
      <c r="M207" t="n">
        <v>0</v>
      </c>
      <c r="N207" t="n">
        <v>0</v>
      </c>
      <c r="O207" t="n">
        <v>0</v>
      </c>
      <c r="P207" t="n">
        <v>0</v>
      </c>
      <c r="Q207" t="n">
        <v>2</v>
      </c>
      <c r="R207" t="n">
        <v>0</v>
      </c>
      <c r="S207" t="n">
        <v>4</v>
      </c>
      <c r="T207" t="n">
        <v>4</v>
      </c>
      <c r="U207" t="n">
        <v>0</v>
      </c>
      <c r="V207" s="2" t="inlineStr">
        <is>
          <t>Gullklöver
Gulsparv
Havsörn
Sångsvan</t>
        </is>
      </c>
      <c r="W207">
        <f>HYPERLINK("https://klasma.github.io/Logging_1785/artfynd/A 11744-2025 artfynd.xlsx", "A 11744-2025")</f>
        <v/>
      </c>
      <c r="X207">
        <f>HYPERLINK("https://klasma.github.io/Logging_1785/kartor/A 11744-2025 karta.png", "A 11744-2025")</f>
        <v/>
      </c>
      <c r="Y207">
        <f>HYPERLINK("https://klasma.github.io/Logging_1785/kartor_geotiff/A 11744-2025 georefererad karta.tif", "A 11744-2025")</f>
        <v/>
      </c>
      <c r="AA207">
        <f>HYPERLINK("https://klasma.github.io/Logging_1785/klagomål/A 11744-2025 FSC-klagomål.docx", "A 11744-2025")</f>
        <v/>
      </c>
      <c r="AB207">
        <f>HYPERLINK("https://klasma.github.io/Logging_1785/klagomålsmail/A 11744-2025 FSC-klagomål mail.docx", "A 11744-2025")</f>
        <v/>
      </c>
      <c r="AC207">
        <f>HYPERLINK("https://klasma.github.io/Logging_1785/tillsyn/A 11744-2025 tillsynsbegäran.docx", "A 11744-2025")</f>
        <v/>
      </c>
      <c r="AD207">
        <f>HYPERLINK("https://klasma.github.io/Logging_1785/tillsynsmail/A 11744-2025 tillsynsbegäran mail.docx", "A 11744-2025")</f>
        <v/>
      </c>
      <c r="AE207">
        <f>HYPERLINK("https://klasma.github.io/Logging_1785/fåglar/A 11744-2025 prioriterade fågelarter.docx", "A 11744-2025")</f>
        <v/>
      </c>
    </row>
    <row r="208" ht="15" customHeight="1">
      <c r="A208" t="inlineStr">
        <is>
          <t>A 7097-2025</t>
        </is>
      </c>
      <c r="B208" t="inlineStr">
        <is>
          <t>avverkningsanmälan</t>
        </is>
      </c>
      <c r="C208" t="inlineStr">
        <is>
          <t>Föryngringsavverkning</t>
        </is>
      </c>
      <c r="D208" s="1" t="n">
        <v>45701</v>
      </c>
      <c r="E208" s="1" t="n">
        <v>46307</v>
      </c>
      <c r="F208" t="inlineStr">
        <is>
          <t>VÄRMLANDS LÄN</t>
        </is>
      </c>
      <c r="G208" t="inlineStr">
        <is>
          <t>SUNNE</t>
        </is>
      </c>
      <c r="I208" t="n">
        <v>3.9</v>
      </c>
      <c r="J208" t="n">
        <v>2</v>
      </c>
      <c r="K208" t="n">
        <v>1</v>
      </c>
      <c r="L208" t="n">
        <v>1</v>
      </c>
      <c r="M208" t="n">
        <v>0</v>
      </c>
      <c r="N208" t="n">
        <v>0</v>
      </c>
      <c r="O208" t="n">
        <v>0</v>
      </c>
      <c r="P208" t="n">
        <v>0</v>
      </c>
      <c r="Q208" t="n">
        <v>1</v>
      </c>
      <c r="R208" t="n">
        <v>0</v>
      </c>
      <c r="S208" t="n">
        <v>4</v>
      </c>
      <c r="T208" t="n">
        <v>8</v>
      </c>
      <c r="U208" t="n">
        <v>0</v>
      </c>
      <c r="V208" s="2" t="inlineStr">
        <is>
          <t>Tallticka
Flagellkvastmossa
Tjäder
Orre</t>
        </is>
      </c>
      <c r="W208">
        <f>HYPERLINK("https://klasma.github.io/Logging_1766/artfynd/A 7097-2025 artfynd.xlsx", "A 7097-2025")</f>
        <v/>
      </c>
      <c r="X208">
        <f>HYPERLINK("https://klasma.github.io/Logging_1766/kartor/A 7097-2025 karta.png", "A 7097-2025")</f>
        <v/>
      </c>
      <c r="Y208">
        <f>HYPERLINK("https://klasma.github.io/Logging_1766/kartor_geotiff/A 7097-2025 georefererad karta.tif", "A 7097-2025")</f>
        <v/>
      </c>
      <c r="AA208">
        <f>HYPERLINK("https://klasma.github.io/Logging_1766/klagomål/A 7097-2025 FSC-klagomål.docx", "A 7097-2025")</f>
        <v/>
      </c>
      <c r="AB208">
        <f>HYPERLINK("https://klasma.github.io/Logging_1766/klagomålsmail/A 7097-2025 FSC-klagomål mail.docx", "A 7097-2025")</f>
        <v/>
      </c>
      <c r="AC208">
        <f>HYPERLINK("https://klasma.github.io/Logging_1766/tillsyn/A 7097-2025 tillsynsbegäran.docx", "A 7097-2025")</f>
        <v/>
      </c>
      <c r="AD208">
        <f>HYPERLINK("https://klasma.github.io/Logging_1766/tillsynsmail/A 7097-2025 tillsynsbegäran mail.docx", "A 7097-2025")</f>
        <v/>
      </c>
      <c r="AE208">
        <f>HYPERLINK("https://klasma.github.io/Logging_1766/fåglar/A 7097-2025 prioriterade fågelarter.docx", "A 7097-2025")</f>
        <v/>
      </c>
    </row>
    <row r="209" ht="15" customHeight="1">
      <c r="A209" t="inlineStr">
        <is>
          <t>A 20226-2026</t>
        </is>
      </c>
      <c r="B209" t="inlineStr">
        <is>
          <t>avverkningsanmälan</t>
        </is>
      </c>
      <c r="C209" t="inlineStr">
        <is>
          <t>Föryngringsavverkning</t>
        </is>
      </c>
      <c r="D209" s="1" t="n">
        <v>46139</v>
      </c>
      <c r="E209" s="1" t="n">
        <v>46307</v>
      </c>
      <c r="F209" t="inlineStr">
        <is>
          <t>VÄRMLANDS LÄN</t>
        </is>
      </c>
      <c r="G209" t="inlineStr">
        <is>
          <t>TORSBY</t>
        </is>
      </c>
      <c r="I209" t="n">
        <v>4.6</v>
      </c>
      <c r="J209" t="n">
        <v>1</v>
      </c>
      <c r="K209" t="n">
        <v>0</v>
      </c>
      <c r="L209" t="n">
        <v>2</v>
      </c>
      <c r="M209" t="n">
        <v>1</v>
      </c>
      <c r="N209" t="n">
        <v>0</v>
      </c>
      <c r="O209" t="n">
        <v>0</v>
      </c>
      <c r="P209" t="n">
        <v>0</v>
      </c>
      <c r="Q209" t="n">
        <v>3</v>
      </c>
      <c r="R209" t="n">
        <v>1</v>
      </c>
      <c r="S209" t="n">
        <v>4</v>
      </c>
      <c r="T209" t="n">
        <v>11</v>
      </c>
      <c r="U209" t="n">
        <v>0</v>
      </c>
      <c r="V209" s="2" t="inlineStr">
        <is>
          <t>Garnlav
Lunglav
Violettgrå tagellav
Fläcknycklar</t>
        </is>
      </c>
      <c r="W209">
        <f>HYPERLINK("https://klasma.github.io/Logging_1737/artfynd/A 20226-2026 artfynd.xlsx", "A 20226-2026")</f>
        <v/>
      </c>
      <c r="X209">
        <f>HYPERLINK("https://klasma.github.io/Logging_1737/kartor/A 20226-2026 karta.png", "A 20226-2026")</f>
        <v/>
      </c>
      <c r="Y209">
        <f>HYPERLINK("https://klasma.github.io/Logging_1737/kartor_geotiff/A 20226-2026 georefererad karta.tif", "A 20226-2026")</f>
        <v/>
      </c>
      <c r="AA209">
        <f>HYPERLINK("https://klasma.github.io/Logging_1737/klagomål/A 20226-2026 FSC-klagomål.docx", "A 20226-2026")</f>
        <v/>
      </c>
      <c r="AB209">
        <f>HYPERLINK("https://klasma.github.io/Logging_1737/klagomålsmail/A 20226-2026 FSC-klagomål mail.docx", "A 20226-2026")</f>
        <v/>
      </c>
      <c r="AC209">
        <f>HYPERLINK("https://klasma.github.io/Logging_1737/tillsyn/A 20226-2026 tillsynsbegäran.docx", "A 20226-2026")</f>
        <v/>
      </c>
      <c r="AD209">
        <f>HYPERLINK("https://klasma.github.io/Logging_1737/tillsynsmail/A 20226-2026 tillsynsbegäran mail.docx", "A 20226-2026")</f>
        <v/>
      </c>
    </row>
    <row r="210" ht="15" customHeight="1">
      <c r="A210" t="inlineStr">
        <is>
          <t>A 57190-2024</t>
        </is>
      </c>
      <c r="B210" t="inlineStr">
        <is>
          <t>avverkningsanmälan</t>
        </is>
      </c>
      <c r="C210" t="inlineStr">
        <is>
          <t>Föryngringsavverkning</t>
        </is>
      </c>
      <c r="D210" s="1" t="n">
        <v>45629</v>
      </c>
      <c r="E210" s="1" t="n">
        <v>46307</v>
      </c>
      <c r="F210" t="inlineStr">
        <is>
          <t>VÄRMLANDS LÄN</t>
        </is>
      </c>
      <c r="G210" t="inlineStr">
        <is>
          <t>TORSBY</t>
        </is>
      </c>
      <c r="I210" t="n">
        <v>0.8</v>
      </c>
      <c r="J210" t="n">
        <v>0</v>
      </c>
      <c r="K210" t="n">
        <v>0</v>
      </c>
      <c r="L210" t="n">
        <v>3</v>
      </c>
      <c r="M210" t="n">
        <v>1</v>
      </c>
      <c r="N210" t="n">
        <v>0</v>
      </c>
      <c r="O210" t="n">
        <v>0</v>
      </c>
      <c r="P210" t="n">
        <v>0</v>
      </c>
      <c r="Q210" t="n">
        <v>4</v>
      </c>
      <c r="R210" t="n">
        <v>1</v>
      </c>
      <c r="S210" t="n">
        <v>4</v>
      </c>
      <c r="T210" t="n">
        <v>8</v>
      </c>
      <c r="U210" t="n">
        <v>8</v>
      </c>
      <c r="V210" s="2" t="inlineStr">
        <is>
          <t>Garnlav
Gammelgransskål
Skogstrappmossa
Violettgrå tagellav</t>
        </is>
      </c>
      <c r="W210">
        <f>HYPERLINK("https://klasma.github.io/Logging_1737/artfynd/A 57190-2024 artfynd.xlsx", "A 57190-2024")</f>
        <v/>
      </c>
      <c r="X210">
        <f>HYPERLINK("https://klasma.github.io/Logging_1737/kartor/A 57190-2024 karta.png", "A 57190-2024")</f>
        <v/>
      </c>
      <c r="Y210">
        <f>HYPERLINK("https://klasma.github.io/Logging_1737/kartor_geotiff/A 57190-2024 georefererad karta.tif", "A 57190-2024")</f>
        <v/>
      </c>
      <c r="AA210">
        <f>HYPERLINK("https://klasma.github.io/Logging_1737/klagomål/A 57190-2024 FSC-klagomål.docx", "A 57190-2024")</f>
        <v/>
      </c>
      <c r="AB210">
        <f>HYPERLINK("https://klasma.github.io/Logging_1737/klagomålsmail/A 57190-2024 FSC-klagomål mail.docx", "A 57190-2024")</f>
        <v/>
      </c>
      <c r="AC210">
        <f>HYPERLINK("https://klasma.github.io/Logging_1737/tillsyn/A 57190-2024 tillsynsbegäran.docx", "A 57190-2024")</f>
        <v/>
      </c>
      <c r="AD210">
        <f>HYPERLINK("https://klasma.github.io/Logging_1737/tillsynsmail/A 57190-2024 tillsynsbegäran mail.docx", "A 57190-2024")</f>
        <v/>
      </c>
    </row>
    <row r="211" ht="15" customHeight="1">
      <c r="A211" t="inlineStr">
        <is>
          <t>A 22174-2022</t>
        </is>
      </c>
      <c r="B211" t="inlineStr">
        <is>
          <t>avverkningsanmälan</t>
        </is>
      </c>
      <c r="C211" t="inlineStr">
        <is>
          <t>Föryngringsavverkning</t>
        </is>
      </c>
      <c r="D211" s="1" t="n">
        <v>44712</v>
      </c>
      <c r="E211" s="1" t="n">
        <v>46307</v>
      </c>
      <c r="F211" t="inlineStr">
        <is>
          <t>VÄRMLANDS LÄN</t>
        </is>
      </c>
      <c r="G211" t="inlineStr">
        <is>
          <t>TORSBY</t>
        </is>
      </c>
      <c r="I211" t="n">
        <v>11</v>
      </c>
      <c r="J211" t="n">
        <v>2</v>
      </c>
      <c r="K211" t="n">
        <v>1</v>
      </c>
      <c r="L211" t="n">
        <v>1</v>
      </c>
      <c r="M211" t="n">
        <v>0</v>
      </c>
      <c r="N211" t="n">
        <v>0</v>
      </c>
      <c r="O211" t="n">
        <v>0</v>
      </c>
      <c r="P211" t="n">
        <v>0</v>
      </c>
      <c r="Q211" t="n">
        <v>1</v>
      </c>
      <c r="R211" t="n">
        <v>0</v>
      </c>
      <c r="S211" t="n">
        <v>4</v>
      </c>
      <c r="T211" t="n">
        <v>5</v>
      </c>
      <c r="U211" t="n">
        <v>2</v>
      </c>
      <c r="V211" s="2" t="inlineStr">
        <is>
          <t>Gullpudra
Svart trolldruva
Tjäder
Revlummer</t>
        </is>
      </c>
      <c r="W211">
        <f>HYPERLINK("https://klasma.github.io/Logging_1737/artfynd/A 22174-2022 artfynd.xlsx", "A 22174-2022")</f>
        <v/>
      </c>
      <c r="X211">
        <f>HYPERLINK("https://klasma.github.io/Logging_1737/kartor/A 22174-2022 karta.png", "A 22174-2022")</f>
        <v/>
      </c>
      <c r="Y211">
        <f>HYPERLINK("https://klasma.github.io/Logging_1737/kartor_geotiff/A 22174-2022 georefererad karta.tif", "A 22174-2022")</f>
        <v/>
      </c>
      <c r="AA211">
        <f>HYPERLINK("https://klasma.github.io/Logging_1737/klagomål/A 22174-2022 FSC-klagomål.docx", "A 22174-2022")</f>
        <v/>
      </c>
      <c r="AB211">
        <f>HYPERLINK("https://klasma.github.io/Logging_1737/klagomålsmail/A 22174-2022 FSC-klagomål mail.docx", "A 22174-2022")</f>
        <v/>
      </c>
      <c r="AC211">
        <f>HYPERLINK("https://klasma.github.io/Logging_1737/tillsyn/A 22174-2022 tillsynsbegäran.docx", "A 22174-2022")</f>
        <v/>
      </c>
      <c r="AD211">
        <f>HYPERLINK("https://klasma.github.io/Logging_1737/tillsynsmail/A 22174-2022 tillsynsbegäran mail.docx", "A 22174-2022")</f>
        <v/>
      </c>
      <c r="AE211">
        <f>HYPERLINK("https://klasma.github.io/Logging_1737/fåglar/A 22174-2022 prioriterade fågelarter.docx", "A 22174-2022")</f>
        <v/>
      </c>
    </row>
    <row r="212" ht="15" customHeight="1">
      <c r="A212" t="inlineStr">
        <is>
          <t>A 23051-2026</t>
        </is>
      </c>
      <c r="B212" t="inlineStr">
        <is>
          <t>avverkningsanmälan</t>
        </is>
      </c>
      <c r="C212" t="inlineStr">
        <is>
          <t>Föryngringsavverkning</t>
        </is>
      </c>
      <c r="D212" s="1" t="n">
        <v>46161</v>
      </c>
      <c r="E212" s="1" t="n">
        <v>46307</v>
      </c>
      <c r="F212" t="inlineStr">
        <is>
          <t>VÄRMLANDS LÄN</t>
        </is>
      </c>
      <c r="G212" t="inlineStr">
        <is>
          <t>SUNNE</t>
        </is>
      </c>
      <c r="I212" t="n">
        <v>4.3</v>
      </c>
      <c r="J212" t="n">
        <v>4</v>
      </c>
      <c r="K212" t="n">
        <v>0</v>
      </c>
      <c r="L212" t="n">
        <v>2</v>
      </c>
      <c r="M212" t="n">
        <v>0</v>
      </c>
      <c r="N212" t="n">
        <v>0</v>
      </c>
      <c r="O212" t="n">
        <v>0</v>
      </c>
      <c r="P212" t="n">
        <v>0</v>
      </c>
      <c r="Q212" t="n">
        <v>2</v>
      </c>
      <c r="R212" t="n">
        <v>0</v>
      </c>
      <c r="S212" t="n">
        <v>4</v>
      </c>
      <c r="T212" t="n">
        <v>4</v>
      </c>
      <c r="U212" t="n">
        <v>1</v>
      </c>
      <c r="V212" s="2" t="inlineStr">
        <is>
          <t>Brunlångöra
Nordfladdermus
Mattlummer
Vattenfladdermus</t>
        </is>
      </c>
      <c r="W212">
        <f>HYPERLINK("https://klasma.github.io/Logging_1766/artfynd/A 23051-2026 artfynd.xlsx", "A 23051-2026")</f>
        <v/>
      </c>
      <c r="X212">
        <f>HYPERLINK("https://klasma.github.io/Logging_1766/kartor/A 23051-2026 karta.png", "A 23051-2026")</f>
        <v/>
      </c>
      <c r="Y212">
        <f>HYPERLINK("https://klasma.github.io/Logging_1766/kartor_geotiff/A 23051-2026 georefererad karta.tif", "A 23051-2026")</f>
        <v/>
      </c>
      <c r="AA212">
        <f>HYPERLINK("https://klasma.github.io/Logging_1766/klagomål/A 23051-2026 FSC-klagomål.docx", "A 23051-2026")</f>
        <v/>
      </c>
      <c r="AB212">
        <f>HYPERLINK("https://klasma.github.io/Logging_1766/klagomålsmail/A 23051-2026 FSC-klagomål mail.docx", "A 23051-2026")</f>
        <v/>
      </c>
      <c r="AC212">
        <f>HYPERLINK("https://klasma.github.io/Logging_1766/tillsyn/A 23051-2026 tillsynsbegäran.docx", "A 23051-2026")</f>
        <v/>
      </c>
      <c r="AD212">
        <f>HYPERLINK("https://klasma.github.io/Logging_1766/tillsynsmail/A 23051-2026 tillsynsbegäran mail.docx", "A 23051-2026")</f>
        <v/>
      </c>
    </row>
    <row r="213" ht="15" customHeight="1">
      <c r="A213" t="inlineStr">
        <is>
          <t>A 28090-2026</t>
        </is>
      </c>
      <c r="B213" t="inlineStr">
        <is>
          <t>avverkningsanmälan</t>
        </is>
      </c>
      <c r="C213" t="inlineStr">
        <is>
          <t>Avverkning för att bevara och utveckla /försöksver</t>
        </is>
      </c>
      <c r="D213" s="1" t="n">
        <v>46195</v>
      </c>
      <c r="E213" s="1" t="n">
        <v>46307</v>
      </c>
      <c r="F213" t="inlineStr">
        <is>
          <t>VÄRMLANDS LÄN</t>
        </is>
      </c>
      <c r="G213" t="inlineStr">
        <is>
          <t>KARLSTAD</t>
        </is>
      </c>
      <c r="H213" t="inlineStr">
        <is>
          <t>Övriga statliga verk och myndigheter</t>
        </is>
      </c>
      <c r="I213" t="n">
        <v>3</v>
      </c>
      <c r="J213" t="n">
        <v>2</v>
      </c>
      <c r="K213" t="n">
        <v>2</v>
      </c>
      <c r="L213" t="n">
        <v>1</v>
      </c>
      <c r="M213" t="n">
        <v>0</v>
      </c>
      <c r="N213" t="n">
        <v>0</v>
      </c>
      <c r="O213" t="n">
        <v>0</v>
      </c>
      <c r="P213" t="n">
        <v>0</v>
      </c>
      <c r="Q213" t="n">
        <v>1</v>
      </c>
      <c r="R213" t="n">
        <v>0</v>
      </c>
      <c r="S213" t="n">
        <v>4</v>
      </c>
      <c r="T213" t="n">
        <v>4</v>
      </c>
      <c r="U213" t="n">
        <v>0</v>
      </c>
      <c r="V213" s="2" t="inlineStr">
        <is>
          <t>Tretåig hackspett
Bronshjon
Thomsons trägnagare
Fiskgjuse</t>
        </is>
      </c>
      <c r="W213">
        <f>HYPERLINK("https://klasma.github.io/Logging_1780/artfynd/A 28090-2026 artfynd.xlsx", "A 28090-2026")</f>
        <v/>
      </c>
      <c r="X213">
        <f>HYPERLINK("https://klasma.github.io/Logging_1780/kartor/A 28090-2026 karta.png", "A 28090-2026")</f>
        <v/>
      </c>
      <c r="Y213">
        <f>HYPERLINK("https://klasma.github.io/Logging_1780/kartor_geotiff/A 28090-2026 georefererad karta.tif", "A 28090-2026")</f>
        <v/>
      </c>
      <c r="AA213">
        <f>HYPERLINK("https://klasma.github.io/Logging_1780/klagomål/A 28090-2026 FSC-klagomål.docx", "A 28090-2026")</f>
        <v/>
      </c>
      <c r="AB213">
        <f>HYPERLINK("https://klasma.github.io/Logging_1780/klagomålsmail/A 28090-2026 FSC-klagomål mail.docx", "A 28090-2026")</f>
        <v/>
      </c>
      <c r="AC213">
        <f>HYPERLINK("https://klasma.github.io/Logging_1780/tillsyn/A 28090-2026 tillsynsbegäran.docx", "A 28090-2026")</f>
        <v/>
      </c>
      <c r="AD213">
        <f>HYPERLINK("https://klasma.github.io/Logging_1780/tillsynsmail/A 28090-2026 tillsynsbegäran mail.docx", "A 28090-2026")</f>
        <v/>
      </c>
      <c r="AE213">
        <f>HYPERLINK("https://klasma.github.io/Logging_1780/fåglar/A 28090-2026 prioriterade fågelarter.docx", "A 28090-2026")</f>
        <v/>
      </c>
    </row>
    <row r="214" ht="15" customHeight="1">
      <c r="A214" t="inlineStr">
        <is>
          <t>A 53216-2025</t>
        </is>
      </c>
      <c r="B214" t="inlineStr">
        <is>
          <t>avverkningsanmälan</t>
        </is>
      </c>
      <c r="C214" t="inlineStr">
        <is>
          <t>Föryngringsavverkning</t>
        </is>
      </c>
      <c r="D214" s="1" t="n">
        <v>45958</v>
      </c>
      <c r="E214" s="1" t="n">
        <v>46307</v>
      </c>
      <c r="F214" t="inlineStr">
        <is>
          <t>VÄRMLANDS LÄN</t>
        </is>
      </c>
      <c r="G214" t="inlineStr">
        <is>
          <t>ÅRJÄNG</t>
        </is>
      </c>
      <c r="I214" t="n">
        <v>7.1</v>
      </c>
      <c r="J214" t="n">
        <v>1</v>
      </c>
      <c r="K214" t="n">
        <v>0</v>
      </c>
      <c r="L214" t="n">
        <v>1</v>
      </c>
      <c r="M214" t="n">
        <v>3</v>
      </c>
      <c r="N214" t="n">
        <v>0</v>
      </c>
      <c r="O214" t="n">
        <v>0</v>
      </c>
      <c r="P214" t="n">
        <v>0</v>
      </c>
      <c r="Q214" t="n">
        <v>4</v>
      </c>
      <c r="R214" t="n">
        <v>3</v>
      </c>
      <c r="S214" t="n">
        <v>4</v>
      </c>
      <c r="T214" t="n">
        <v>10</v>
      </c>
      <c r="U214" t="n">
        <v>0</v>
      </c>
      <c r="V214" s="2" t="inlineStr">
        <is>
          <t>Garnlav
Gul taggsvamp
Knärot
Dropptaggsvamp</t>
        </is>
      </c>
      <c r="W214">
        <f>HYPERLINK("https://klasma.github.io/Logging_1765/artfynd/A 53216-2025 artfynd.xlsx", "A 53216-2025")</f>
        <v/>
      </c>
      <c r="X214">
        <f>HYPERLINK("https://klasma.github.io/Logging_1765/kartor/A 53216-2025 karta.png", "A 53216-2025")</f>
        <v/>
      </c>
      <c r="Y214">
        <f>HYPERLINK("https://klasma.github.io/Logging_1765/kartor_geotiff/A 53216-2025 georefererad karta.tif", "A 53216-2025")</f>
        <v/>
      </c>
      <c r="Z214">
        <f>HYPERLINK("https://klasma.github.io/Logging_1765/knärot/A 53216-2025 karta knärot.png", "A 53216-2025")</f>
        <v/>
      </c>
      <c r="AA214">
        <f>HYPERLINK("https://klasma.github.io/Logging_1765/klagomål/A 53216-2025 FSC-klagomål.docx", "A 53216-2025")</f>
        <v/>
      </c>
      <c r="AB214">
        <f>HYPERLINK("https://klasma.github.io/Logging_1765/klagomålsmail/A 53216-2025 FSC-klagomål mail.docx", "A 53216-2025")</f>
        <v/>
      </c>
      <c r="AC214">
        <f>HYPERLINK("https://klasma.github.io/Logging_1765/tillsyn/A 53216-2025 tillsynsbegäran.docx", "A 53216-2025")</f>
        <v/>
      </c>
      <c r="AD214">
        <f>HYPERLINK("https://klasma.github.io/Logging_1765/tillsynsmail/A 53216-2025 tillsynsbegäran mail.docx", "A 53216-2025")</f>
        <v/>
      </c>
    </row>
    <row r="215" ht="15" customHeight="1">
      <c r="A215" t="inlineStr">
        <is>
          <t>A 23793-2026</t>
        </is>
      </c>
      <c r="B215" t="inlineStr">
        <is>
          <t>avverkningsanmälan</t>
        </is>
      </c>
      <c r="C215" t="inlineStr">
        <is>
          <t>Föryngringsavverkning</t>
        </is>
      </c>
      <c r="D215" s="1" t="n">
        <v>46164</v>
      </c>
      <c r="E215" s="1" t="n">
        <v>46307</v>
      </c>
      <c r="F215" t="inlineStr">
        <is>
          <t>VÄRMLANDS LÄN</t>
        </is>
      </c>
      <c r="G215" t="inlineStr">
        <is>
          <t>ARVIKA</t>
        </is>
      </c>
      <c r="I215" t="n">
        <v>6.9</v>
      </c>
      <c r="J215" t="n">
        <v>3</v>
      </c>
      <c r="K215" t="n">
        <v>0</v>
      </c>
      <c r="L215" t="n">
        <v>1</v>
      </c>
      <c r="M215" t="n">
        <v>1</v>
      </c>
      <c r="N215" t="n">
        <v>0</v>
      </c>
      <c r="O215" t="n">
        <v>0</v>
      </c>
      <c r="P215" t="n">
        <v>0</v>
      </c>
      <c r="Q215" t="n">
        <v>2</v>
      </c>
      <c r="R215" t="n">
        <v>1</v>
      </c>
      <c r="S215" t="n">
        <v>4</v>
      </c>
      <c r="T215" t="n">
        <v>7</v>
      </c>
      <c r="U215" t="n">
        <v>7</v>
      </c>
      <c r="V215" s="2" t="inlineStr">
        <is>
          <t>Aspfjädermossa
Tretåig hackspett
Spillkråka
Revlummer</t>
        </is>
      </c>
      <c r="W215">
        <f>HYPERLINK("https://klasma.github.io/Logging_1784/artfynd/A 23793-2026 artfynd.xlsx", "A 23793-2026")</f>
        <v/>
      </c>
      <c r="X215">
        <f>HYPERLINK("https://klasma.github.io/Logging_1784/kartor/A 23793-2026 karta.png", "A 23793-2026")</f>
        <v/>
      </c>
      <c r="Y215">
        <f>HYPERLINK("https://klasma.github.io/Logging_1784/kartor_geotiff/A 23793-2026 georefererad karta.tif", "A 23793-2026")</f>
        <v/>
      </c>
      <c r="AA215">
        <f>HYPERLINK("https://klasma.github.io/Logging_1784/klagomål/A 23793-2026 FSC-klagomål.docx", "A 23793-2026")</f>
        <v/>
      </c>
      <c r="AB215">
        <f>HYPERLINK("https://klasma.github.io/Logging_1784/klagomålsmail/A 23793-2026 FSC-klagomål mail.docx", "A 23793-2026")</f>
        <v/>
      </c>
      <c r="AC215">
        <f>HYPERLINK("https://klasma.github.io/Logging_1784/tillsyn/A 23793-2026 tillsynsbegäran.docx", "A 23793-2026")</f>
        <v/>
      </c>
      <c r="AD215">
        <f>HYPERLINK("https://klasma.github.io/Logging_1784/tillsynsmail/A 23793-2026 tillsynsbegäran mail.docx", "A 23793-2026")</f>
        <v/>
      </c>
      <c r="AE215">
        <f>HYPERLINK("https://klasma.github.io/Logging_1784/fåglar/A 23793-2026 prioriterade fågelarter.docx", "A 23793-2026")</f>
        <v/>
      </c>
    </row>
    <row r="216" ht="15" customHeight="1">
      <c r="A216" t="inlineStr">
        <is>
          <t>A 23083-2024</t>
        </is>
      </c>
      <c r="B216" t="inlineStr">
        <is>
          <t>avverkningsanmälan</t>
        </is>
      </c>
      <c r="C216" t="inlineStr">
        <is>
          <t>Föryngringsavverkning</t>
        </is>
      </c>
      <c r="D216" s="1" t="n">
        <v>45450</v>
      </c>
      <c r="E216" s="1" t="n">
        <v>46307</v>
      </c>
      <c r="F216" t="inlineStr">
        <is>
          <t>VÄRMLANDS LÄN</t>
        </is>
      </c>
      <c r="G216" t="inlineStr">
        <is>
          <t>ARVIKA</t>
        </is>
      </c>
      <c r="H216" t="inlineStr">
        <is>
          <t>Bergvik skog väst AB</t>
        </is>
      </c>
      <c r="I216" t="n">
        <v>1.2</v>
      </c>
      <c r="J216" t="n">
        <v>1</v>
      </c>
      <c r="K216" t="n">
        <v>1</v>
      </c>
      <c r="L216" t="n">
        <v>2</v>
      </c>
      <c r="M216" t="n">
        <v>1</v>
      </c>
      <c r="N216" t="n">
        <v>0</v>
      </c>
      <c r="O216" t="n">
        <v>0</v>
      </c>
      <c r="P216" t="n">
        <v>0</v>
      </c>
      <c r="Q216" t="n">
        <v>3</v>
      </c>
      <c r="R216" t="n">
        <v>1</v>
      </c>
      <c r="S216" t="n">
        <v>4</v>
      </c>
      <c r="T216" t="n">
        <v>10</v>
      </c>
      <c r="U216" t="n">
        <v>10</v>
      </c>
      <c r="V216" s="2" t="inlineStr">
        <is>
          <t>Knärot
Gultoppig fingersvamp
Vedtrappmossa
Flagellkvastmossa</t>
        </is>
      </c>
      <c r="W216">
        <f>HYPERLINK("https://klasma.github.io/Logging_1784/artfynd/A 23083-2024 artfynd.xlsx", "A 23083-2024")</f>
        <v/>
      </c>
      <c r="X216">
        <f>HYPERLINK("https://klasma.github.io/Logging_1784/kartor/A 23083-2024 karta.png", "A 23083-2024")</f>
        <v/>
      </c>
      <c r="Y216">
        <f>HYPERLINK("https://klasma.github.io/Logging_1784/kartor_geotiff/A 23083-2024 georefererad karta.tif", "A 23083-2024")</f>
        <v/>
      </c>
      <c r="Z216">
        <f>HYPERLINK("https://klasma.github.io/Logging_1784/knärot/A 23083-2024 karta knärot.png", "A 23083-2024")</f>
        <v/>
      </c>
      <c r="AA216">
        <f>HYPERLINK("https://klasma.github.io/Logging_1784/klagomål/A 23083-2024 FSC-klagomål.docx", "A 23083-2024")</f>
        <v/>
      </c>
      <c r="AB216">
        <f>HYPERLINK("https://klasma.github.io/Logging_1784/klagomålsmail/A 23083-2024 FSC-klagomål mail.docx", "A 23083-2024")</f>
        <v/>
      </c>
      <c r="AC216">
        <f>HYPERLINK("https://klasma.github.io/Logging_1784/tillsyn/A 23083-2024 tillsynsbegäran.docx", "A 23083-2024")</f>
        <v/>
      </c>
      <c r="AD216">
        <f>HYPERLINK("https://klasma.github.io/Logging_1784/tillsynsmail/A 23083-2024 tillsynsbegäran mail.docx", "A 23083-2024")</f>
        <v/>
      </c>
    </row>
    <row r="217" ht="15" customHeight="1">
      <c r="A217" t="inlineStr">
        <is>
          <t>A 15988-2025</t>
        </is>
      </c>
      <c r="B217" t="inlineStr">
        <is>
          <t>avverkningsanmälan</t>
        </is>
      </c>
      <c r="C217" t="inlineStr">
        <is>
          <t>Föryngringsavverkning</t>
        </is>
      </c>
      <c r="D217" s="1" t="n">
        <v>45749</v>
      </c>
      <c r="E217" s="1" t="n">
        <v>46307</v>
      </c>
      <c r="F217" t="inlineStr">
        <is>
          <t>VÄRMLANDS LÄN</t>
        </is>
      </c>
      <c r="G217" t="inlineStr">
        <is>
          <t>ARVIKA</t>
        </is>
      </c>
      <c r="I217" t="n">
        <v>6.5</v>
      </c>
      <c r="J217" t="n">
        <v>4</v>
      </c>
      <c r="K217" t="n">
        <v>0</v>
      </c>
      <c r="L217" t="n">
        <v>3</v>
      </c>
      <c r="M217" t="n">
        <v>0</v>
      </c>
      <c r="N217" t="n">
        <v>0</v>
      </c>
      <c r="O217" t="n">
        <v>0</v>
      </c>
      <c r="P217" t="n">
        <v>0</v>
      </c>
      <c r="Q217" t="n">
        <v>3</v>
      </c>
      <c r="R217" t="n">
        <v>0</v>
      </c>
      <c r="S217" t="n">
        <v>4</v>
      </c>
      <c r="T217" t="n">
        <v>4</v>
      </c>
      <c r="U217" t="n">
        <v>4</v>
      </c>
      <c r="V217" s="2" t="inlineStr">
        <is>
          <t>Duvhök
Göktyta
Mindre hackspett
Spillkråka</t>
        </is>
      </c>
      <c r="W217">
        <f>HYPERLINK("https://klasma.github.io/Logging_1784/artfynd/A 15988-2025 artfynd.xlsx", "A 15988-2025")</f>
        <v/>
      </c>
      <c r="X217">
        <f>HYPERLINK("https://klasma.github.io/Logging_1784/kartor/A 15988-2025 karta.png", "A 15988-2025")</f>
        <v/>
      </c>
      <c r="Y217">
        <f>HYPERLINK("https://klasma.github.io/Logging_1784/kartor_geotiff/A 15988-2025 georefererad karta.tif", "A 15988-2025")</f>
        <v/>
      </c>
      <c r="AA217">
        <f>HYPERLINK("https://klasma.github.io/Logging_1784/klagomål/A 15988-2025 FSC-klagomål.docx", "A 15988-2025")</f>
        <v/>
      </c>
      <c r="AB217">
        <f>HYPERLINK("https://klasma.github.io/Logging_1784/klagomålsmail/A 15988-2025 FSC-klagomål mail.docx", "A 15988-2025")</f>
        <v/>
      </c>
      <c r="AC217">
        <f>HYPERLINK("https://klasma.github.io/Logging_1784/tillsyn/A 15988-2025 tillsynsbegäran.docx", "A 15988-2025")</f>
        <v/>
      </c>
      <c r="AD217">
        <f>HYPERLINK("https://klasma.github.io/Logging_1784/tillsynsmail/A 15988-2025 tillsynsbegäran mail.docx", "A 15988-2025")</f>
        <v/>
      </c>
      <c r="AE217">
        <f>HYPERLINK("https://klasma.github.io/Logging_1784/fåglar/A 15988-2025 prioriterade fågelarter.docx", "A 15988-2025")</f>
        <v/>
      </c>
    </row>
    <row r="218" ht="15" customHeight="1">
      <c r="A218" t="inlineStr">
        <is>
          <t>A 7098-2025</t>
        </is>
      </c>
      <c r="B218" t="inlineStr">
        <is>
          <t>avverkningsanmälan</t>
        </is>
      </c>
      <c r="C218" t="inlineStr">
        <is>
          <t>Föryngringsavverkning</t>
        </is>
      </c>
      <c r="D218" s="1" t="n">
        <v>45701</v>
      </c>
      <c r="E218" s="1" t="n">
        <v>46307</v>
      </c>
      <c r="F218" t="inlineStr">
        <is>
          <t>VÄRMLANDS LÄN</t>
        </is>
      </c>
      <c r="G218" t="inlineStr">
        <is>
          <t>SUNNE</t>
        </is>
      </c>
      <c r="I218" t="n">
        <v>7.8</v>
      </c>
      <c r="J218" t="n">
        <v>1</v>
      </c>
      <c r="K218" t="n">
        <v>0</v>
      </c>
      <c r="L218" t="n">
        <v>3</v>
      </c>
      <c r="M218" t="n">
        <v>0</v>
      </c>
      <c r="N218" t="n">
        <v>0</v>
      </c>
      <c r="O218" t="n">
        <v>0</v>
      </c>
      <c r="P218" t="n">
        <v>0</v>
      </c>
      <c r="Q218" t="n">
        <v>3</v>
      </c>
      <c r="R218" t="n">
        <v>0</v>
      </c>
      <c r="S218" t="n">
        <v>4</v>
      </c>
      <c r="T218" t="n">
        <v>4</v>
      </c>
      <c r="U218" t="n">
        <v>0</v>
      </c>
      <c r="V218" s="2" t="inlineStr">
        <is>
          <t>Motaggsvamp
Mörk kolflarnlav
Violettgrå tagellav
Tjäder</t>
        </is>
      </c>
      <c r="W218">
        <f>HYPERLINK("https://klasma.github.io/Logging_1766/artfynd/A 7098-2025 artfynd.xlsx", "A 7098-2025")</f>
        <v/>
      </c>
      <c r="X218">
        <f>HYPERLINK("https://klasma.github.io/Logging_1766/kartor/A 7098-2025 karta.png", "A 7098-2025")</f>
        <v/>
      </c>
      <c r="Y218">
        <f>HYPERLINK("https://klasma.github.io/Logging_1766/kartor_geotiff/A 7098-2025 georefererad karta.tif", "A 7098-2025")</f>
        <v/>
      </c>
      <c r="AA218">
        <f>HYPERLINK("https://klasma.github.io/Logging_1766/klagomål/A 7098-2025 FSC-klagomål.docx", "A 7098-2025")</f>
        <v/>
      </c>
      <c r="AB218">
        <f>HYPERLINK("https://klasma.github.io/Logging_1766/klagomålsmail/A 7098-2025 FSC-klagomål mail.docx", "A 7098-2025")</f>
        <v/>
      </c>
      <c r="AC218">
        <f>HYPERLINK("https://klasma.github.io/Logging_1766/tillsyn/A 7098-2025 tillsynsbegäran.docx", "A 7098-2025")</f>
        <v/>
      </c>
      <c r="AD218">
        <f>HYPERLINK("https://klasma.github.io/Logging_1766/tillsynsmail/A 7098-2025 tillsynsbegäran mail.docx", "A 7098-2025")</f>
        <v/>
      </c>
      <c r="AE218">
        <f>HYPERLINK("https://klasma.github.io/Logging_1766/fåglar/A 7098-2025 prioriterade fågelarter.docx", "A 7098-2025")</f>
        <v/>
      </c>
    </row>
    <row r="219" ht="15" customHeight="1">
      <c r="A219" t="inlineStr">
        <is>
          <t>A 33295-2026</t>
        </is>
      </c>
      <c r="B219" t="inlineStr">
        <is>
          <t>avverkningsanmälan</t>
        </is>
      </c>
      <c r="C219" t="inlineStr">
        <is>
          <t>Föryngringsavverkning</t>
        </is>
      </c>
      <c r="D219" s="1" t="n">
        <v>46246</v>
      </c>
      <c r="E219" s="1" t="n">
        <v>46307</v>
      </c>
      <c r="F219" t="inlineStr">
        <is>
          <t>VÄRMLANDS LÄN</t>
        </is>
      </c>
      <c r="G219" t="inlineStr">
        <is>
          <t>ÅRJÄNG</t>
        </is>
      </c>
      <c r="I219" t="n">
        <v>1.8</v>
      </c>
      <c r="J219" t="n">
        <v>2</v>
      </c>
      <c r="K219" t="n">
        <v>1</v>
      </c>
      <c r="L219" t="n">
        <v>2</v>
      </c>
      <c r="M219" t="n">
        <v>0</v>
      </c>
      <c r="N219" t="n">
        <v>0</v>
      </c>
      <c r="O219" t="n">
        <v>0</v>
      </c>
      <c r="P219" t="n">
        <v>0</v>
      </c>
      <c r="Q219" t="n">
        <v>2</v>
      </c>
      <c r="R219" t="n">
        <v>0</v>
      </c>
      <c r="S219" t="n">
        <v>4</v>
      </c>
      <c r="T219" t="n">
        <v>5</v>
      </c>
      <c r="U219" t="n">
        <v>0</v>
      </c>
      <c r="V219" s="2" t="inlineStr">
        <is>
          <t>Kattfotslav
Talltita
Vågbandad barkbock
Spillkråka</t>
        </is>
      </c>
      <c r="W219">
        <f>HYPERLINK("https://klasma.github.io/Logging_1765/artfynd/A 33295-2026 artfynd.xlsx", "A 33295-2026")</f>
        <v/>
      </c>
      <c r="X219">
        <f>HYPERLINK("https://klasma.github.io/Logging_1765/kartor/A 33295-2026 karta.png", "A 33295-2026")</f>
        <v/>
      </c>
      <c r="Y219">
        <f>HYPERLINK("https://klasma.github.io/Logging_1765/kartor_geotiff/A 33295-2026 georefererad karta.tif", "A 33295-2026")</f>
        <v/>
      </c>
      <c r="AA219">
        <f>HYPERLINK("https://klasma.github.io/Logging_1765/klagomål/A 33295-2026 FSC-klagomål.docx", "A 33295-2026")</f>
        <v/>
      </c>
      <c r="AB219">
        <f>HYPERLINK("https://klasma.github.io/Logging_1765/klagomålsmail/A 33295-2026 FSC-klagomål mail.docx", "A 33295-2026")</f>
        <v/>
      </c>
      <c r="AC219">
        <f>HYPERLINK("https://klasma.github.io/Logging_1765/tillsyn/A 33295-2026 tillsynsbegäran.docx", "A 33295-2026")</f>
        <v/>
      </c>
      <c r="AD219">
        <f>HYPERLINK("https://klasma.github.io/Logging_1765/tillsynsmail/A 33295-2026 tillsynsbegäran mail.docx", "A 33295-2026")</f>
        <v/>
      </c>
      <c r="AE219">
        <f>HYPERLINK("https://klasma.github.io/Logging_1765/fåglar/A 33295-2026 prioriterade fågelarter.docx", "A 33295-2026")</f>
        <v/>
      </c>
    </row>
    <row r="220" ht="15" customHeight="1">
      <c r="A220" t="inlineStr">
        <is>
          <t>S 3485-2022</t>
        </is>
      </c>
      <c r="B220" t="inlineStr">
        <is>
          <t>samrådsanmälan</t>
        </is>
      </c>
      <c r="C220" t="inlineStr">
        <is>
          <t>Askåterföring</t>
        </is>
      </c>
      <c r="D220" s="1" t="n">
        <v>44732</v>
      </c>
      <c r="E220" s="1" t="n">
        <v>46307</v>
      </c>
      <c r="F220" t="inlineStr">
        <is>
          <t>VÄRMLANDS LÄN</t>
        </is>
      </c>
      <c r="G220" t="inlineStr">
        <is>
          <t>FILIPSTAD</t>
        </is>
      </c>
      <c r="I220" t="n">
        <v>147.3</v>
      </c>
      <c r="J220" t="n">
        <v>4</v>
      </c>
      <c r="K220" t="n">
        <v>1</v>
      </c>
      <c r="L220" t="n">
        <v>0</v>
      </c>
      <c r="M220" t="n">
        <v>0</v>
      </c>
      <c r="N220" t="n">
        <v>0</v>
      </c>
      <c r="O220" t="n">
        <v>0</v>
      </c>
      <c r="P220" t="n">
        <v>0</v>
      </c>
      <c r="Q220" t="n">
        <v>0</v>
      </c>
      <c r="R220" t="n">
        <v>0</v>
      </c>
      <c r="S220" t="n">
        <v>4</v>
      </c>
      <c r="T220" t="n">
        <v>11</v>
      </c>
      <c r="U220" t="n">
        <v>11</v>
      </c>
      <c r="V220" s="2" t="inlineStr">
        <is>
          <t>Tvåblad
Grönsiska
Smålom
Fläcknycklar</t>
        </is>
      </c>
      <c r="W220">
        <f>HYPERLINK("https://klasma.github.io/Logging_1782/artfynd/S 3485-2022 artfynd.xlsx", "S 3485-2022")</f>
        <v/>
      </c>
      <c r="X220">
        <f>HYPERLINK("https://klasma.github.io/Logging_1782/kartor/S 3485-2022 karta.png", "S 3485-2022")</f>
        <v/>
      </c>
      <c r="Y220">
        <f>HYPERLINK("https://klasma.github.io/Logging_1782/kartor_geotiff/S 3485-2022 georefererad karta.tif", "S 3485-2022")</f>
        <v/>
      </c>
      <c r="AA220">
        <f>HYPERLINK("https://klasma.github.io/Logging_1782/klagomål/S 3485-2022 FSC-klagomål.docx", "S 3485-2022")</f>
        <v/>
      </c>
      <c r="AB220">
        <f>HYPERLINK("https://klasma.github.io/Logging_1782/klagomålsmail/S 3485-2022 FSC-klagomål mail.docx", "S 3485-2022")</f>
        <v/>
      </c>
      <c r="AC220">
        <f>HYPERLINK("https://klasma.github.io/Logging_1782/tillsyn/S 3485-2022 tillsynsbegäran.docx", "S 3485-2022")</f>
        <v/>
      </c>
      <c r="AD220">
        <f>HYPERLINK("https://klasma.github.io/Logging_1782/tillsynsmail/S 3485-2022 tillsynsbegäran mail.docx", "S 3485-2022")</f>
        <v/>
      </c>
      <c r="AE220">
        <f>HYPERLINK("https://klasma.github.io/Logging_1782/fåglar/S 3485-2022 prioriterade fågelarter.docx", "S 3485-2022")</f>
        <v/>
      </c>
    </row>
    <row r="221" ht="15" customHeight="1">
      <c r="A221" t="inlineStr">
        <is>
          <t>S 7137-2022</t>
        </is>
      </c>
      <c r="B221" t="inlineStr">
        <is>
          <t>samrådsanmälan</t>
        </is>
      </c>
      <c r="C221" t="inlineStr">
        <is>
          <t>Skogsgödsling</t>
        </is>
      </c>
      <c r="D221" s="1" t="n">
        <v>44911</v>
      </c>
      <c r="E221" s="1" t="n">
        <v>46307</v>
      </c>
      <c r="F221" t="inlineStr">
        <is>
          <t>VÄRMLANDS LÄN</t>
        </is>
      </c>
      <c r="G221" t="inlineStr">
        <is>
          <t>SÄFFLE</t>
        </is>
      </c>
      <c r="H221" t="inlineStr">
        <is>
          <t>Bergvik skog väst AB</t>
        </is>
      </c>
      <c r="I221" t="n">
        <v>23</v>
      </c>
      <c r="J221" t="n">
        <v>3</v>
      </c>
      <c r="K221" t="n">
        <v>1</v>
      </c>
      <c r="L221" t="n">
        <v>0</v>
      </c>
      <c r="M221" t="n">
        <v>0</v>
      </c>
      <c r="N221" t="n">
        <v>0</v>
      </c>
      <c r="O221" t="n">
        <v>0</v>
      </c>
      <c r="P221" t="n">
        <v>0</v>
      </c>
      <c r="Q221" t="n">
        <v>0</v>
      </c>
      <c r="R221" t="n">
        <v>0</v>
      </c>
      <c r="S221" t="n">
        <v>4</v>
      </c>
      <c r="T221" t="n">
        <v>10</v>
      </c>
      <c r="U221" t="n">
        <v>9</v>
      </c>
      <c r="V221" s="2" t="inlineStr">
        <is>
          <t>Rävticka
Orre
Fläcknycklar
Revlummer</t>
        </is>
      </c>
      <c r="W221">
        <f>HYPERLINK("https://klasma.github.io/Logging_1785/artfynd/S 7137-2022 artfynd.xlsx", "S 7137-2022")</f>
        <v/>
      </c>
      <c r="X221">
        <f>HYPERLINK("https://klasma.github.io/Logging_1785/kartor/S 7137-2022 karta.png", "S 7137-2022")</f>
        <v/>
      </c>
      <c r="Y221">
        <f>HYPERLINK("https://klasma.github.io/Logging_1785/kartor_geotiff/S 7137-2022 georefererad karta.tif", "S 7137-2022")</f>
        <v/>
      </c>
      <c r="AA221">
        <f>HYPERLINK("https://klasma.github.io/Logging_1785/klagomål/S 7137-2022 FSC-klagomål.docx", "S 7137-2022")</f>
        <v/>
      </c>
      <c r="AB221">
        <f>HYPERLINK("https://klasma.github.io/Logging_1785/klagomålsmail/S 7137-2022 FSC-klagomål mail.docx", "S 7137-2022")</f>
        <v/>
      </c>
      <c r="AC221">
        <f>HYPERLINK("https://klasma.github.io/Logging_1785/tillsyn/S 7137-2022 tillsynsbegäran.docx", "S 7137-2022")</f>
        <v/>
      </c>
      <c r="AD221">
        <f>HYPERLINK("https://klasma.github.io/Logging_1785/tillsynsmail/S 7137-2022 tillsynsbegäran mail.docx", "S 7137-2022")</f>
        <v/>
      </c>
      <c r="AE221">
        <f>HYPERLINK("https://klasma.github.io/Logging_1785/fåglar/S 7137-2022 prioriterade fågelarter.docx", "S 7137-2022")</f>
        <v/>
      </c>
    </row>
    <row r="222" ht="15" customHeight="1">
      <c r="A222" t="inlineStr">
        <is>
          <t>A 72412-2021</t>
        </is>
      </c>
      <c r="B222" t="inlineStr">
        <is>
          <t>avverkningsanmälan</t>
        </is>
      </c>
      <c r="C222" t="inlineStr">
        <is>
          <t>Avverkning för annat ändamål</t>
        </is>
      </c>
      <c r="D222" s="1" t="n">
        <v>44545</v>
      </c>
      <c r="E222" s="1" t="n">
        <v>46307</v>
      </c>
      <c r="F222" t="inlineStr">
        <is>
          <t>VÄRMLANDS LÄN</t>
        </is>
      </c>
      <c r="G222" t="inlineStr">
        <is>
          <t>HAGFORS</t>
        </is>
      </c>
      <c r="I222" t="n">
        <v>1.6</v>
      </c>
      <c r="J222" t="n">
        <v>0</v>
      </c>
      <c r="K222" t="n">
        <v>2</v>
      </c>
      <c r="L222" t="n">
        <v>0</v>
      </c>
      <c r="M222" t="n">
        <v>1</v>
      </c>
      <c r="N222" t="n">
        <v>0</v>
      </c>
      <c r="O222" t="n">
        <v>0</v>
      </c>
      <c r="P222" t="n">
        <v>0</v>
      </c>
      <c r="Q222" t="n">
        <v>1</v>
      </c>
      <c r="R222" t="n">
        <v>1</v>
      </c>
      <c r="S222" t="n">
        <v>3</v>
      </c>
      <c r="T222" t="n">
        <v>3</v>
      </c>
      <c r="U222" t="n">
        <v>3</v>
      </c>
      <c r="V222" s="2" t="inlineStr">
        <is>
          <t>Gräddticka
Dvärgtufs
Gulnål</t>
        </is>
      </c>
      <c r="W222">
        <f>HYPERLINK("https://klasma.github.io/Logging_1783/artfynd/A 72412-2021 artfynd.xlsx", "A 72412-2021")</f>
        <v/>
      </c>
      <c r="X222">
        <f>HYPERLINK("https://klasma.github.io/Logging_1783/kartor/A 72412-2021 karta.png", "A 72412-2021")</f>
        <v/>
      </c>
      <c r="Y222">
        <f>HYPERLINK("https://klasma.github.io/Logging_1783/kartor_geotiff/A 72412-2021 georefererad karta.tif", "A 72412-2021")</f>
        <v/>
      </c>
      <c r="AA222">
        <f>HYPERLINK("https://klasma.github.io/Logging_1783/klagomål/A 72412-2021 FSC-klagomål.docx", "A 72412-2021")</f>
        <v/>
      </c>
      <c r="AB222">
        <f>HYPERLINK("https://klasma.github.io/Logging_1783/klagomålsmail/A 72412-2021 FSC-klagomål mail.docx", "A 72412-2021")</f>
        <v/>
      </c>
      <c r="AC222">
        <f>HYPERLINK("https://klasma.github.io/Logging_1783/tillsyn/A 72412-2021 tillsynsbegäran.docx", "A 72412-2021")</f>
        <v/>
      </c>
      <c r="AD222">
        <f>HYPERLINK("https://klasma.github.io/Logging_1783/tillsynsmail/A 72412-2021 tillsynsbegäran mail.docx", "A 72412-2021")</f>
        <v/>
      </c>
    </row>
    <row r="223" ht="15" customHeight="1">
      <c r="A223" t="inlineStr">
        <is>
          <t>A 72989-2021</t>
        </is>
      </c>
      <c r="B223" t="inlineStr">
        <is>
          <t>avverkningsanmälan</t>
        </is>
      </c>
      <c r="C223" t="inlineStr">
        <is>
          <t>Föryngringsavverkning</t>
        </is>
      </c>
      <c r="D223" s="1" t="n">
        <v>44549</v>
      </c>
      <c r="E223" s="1" t="n">
        <v>46307</v>
      </c>
      <c r="F223" t="inlineStr">
        <is>
          <t>VÄRMLANDS LÄN</t>
        </is>
      </c>
      <c r="G223" t="inlineStr">
        <is>
          <t>FORSHAGA</t>
        </is>
      </c>
      <c r="I223" t="n">
        <v>3.3</v>
      </c>
      <c r="J223" t="n">
        <v>3</v>
      </c>
      <c r="K223" t="n">
        <v>0</v>
      </c>
      <c r="L223" t="n">
        <v>2</v>
      </c>
      <c r="M223" t="n">
        <v>0</v>
      </c>
      <c r="N223" t="n">
        <v>0</v>
      </c>
      <c r="O223" t="n">
        <v>0</v>
      </c>
      <c r="P223" t="n">
        <v>0</v>
      </c>
      <c r="Q223" t="n">
        <v>2</v>
      </c>
      <c r="R223" t="n">
        <v>0</v>
      </c>
      <c r="S223" t="n">
        <v>3</v>
      </c>
      <c r="T223" t="n">
        <v>3</v>
      </c>
      <c r="U223" t="n">
        <v>1</v>
      </c>
      <c r="V223" s="2" t="inlineStr">
        <is>
          <t>Kungsfiskare
Mindre hackspett
Skogsduva</t>
        </is>
      </c>
      <c r="W223">
        <f>HYPERLINK("https://klasma.github.io/Logging_1763/artfynd/A 72989-2021 artfynd.xlsx", "A 72989-2021")</f>
        <v/>
      </c>
      <c r="X223">
        <f>HYPERLINK("https://klasma.github.io/Logging_1763/kartor/A 72989-2021 karta.png", "A 72989-2021")</f>
        <v/>
      </c>
      <c r="Y223">
        <f>HYPERLINK("https://klasma.github.io/Logging_1763/kartor_geotiff/A 72989-2021 georefererad karta.tif", "A 72989-2021")</f>
        <v/>
      </c>
      <c r="AA223">
        <f>HYPERLINK("https://klasma.github.io/Logging_1763/klagomål/A 72989-2021 FSC-klagomål.docx", "A 72989-2021")</f>
        <v/>
      </c>
      <c r="AB223">
        <f>HYPERLINK("https://klasma.github.io/Logging_1763/klagomålsmail/A 72989-2021 FSC-klagomål mail.docx", "A 72989-2021")</f>
        <v/>
      </c>
      <c r="AC223">
        <f>HYPERLINK("https://klasma.github.io/Logging_1763/tillsyn/A 72989-2021 tillsynsbegäran.docx", "A 72989-2021")</f>
        <v/>
      </c>
      <c r="AD223">
        <f>HYPERLINK("https://klasma.github.io/Logging_1763/tillsynsmail/A 72989-2021 tillsynsbegäran mail.docx", "A 72989-2021")</f>
        <v/>
      </c>
      <c r="AE223">
        <f>HYPERLINK("https://klasma.github.io/Logging_1763/fåglar/A 72989-2021 prioriterade fågelarter.docx", "A 72989-2021")</f>
        <v/>
      </c>
    </row>
    <row r="224" ht="15" customHeight="1">
      <c r="A224" t="inlineStr">
        <is>
          <t>A 61327-2021</t>
        </is>
      </c>
      <c r="B224" t="inlineStr">
        <is>
          <t>avverkningsanmälan</t>
        </is>
      </c>
      <c r="C224" t="inlineStr">
        <is>
          <t>Föryngringsavverkning</t>
        </is>
      </c>
      <c r="D224" s="1" t="n">
        <v>44498</v>
      </c>
      <c r="E224" s="1" t="n">
        <v>46307</v>
      </c>
      <c r="F224" t="inlineStr">
        <is>
          <t>VÄRMLANDS LÄN</t>
        </is>
      </c>
      <c r="G224" t="inlineStr">
        <is>
          <t>GRUMS</t>
        </is>
      </c>
      <c r="I224" t="n">
        <v>1.7</v>
      </c>
      <c r="J224" t="n">
        <v>1</v>
      </c>
      <c r="K224" t="n">
        <v>0</v>
      </c>
      <c r="L224" t="n">
        <v>2</v>
      </c>
      <c r="M224" t="n">
        <v>0</v>
      </c>
      <c r="N224" t="n">
        <v>0</v>
      </c>
      <c r="O224" t="n">
        <v>0</v>
      </c>
      <c r="P224" t="n">
        <v>0</v>
      </c>
      <c r="Q224" t="n">
        <v>2</v>
      </c>
      <c r="R224" t="n">
        <v>0</v>
      </c>
      <c r="S224" t="n">
        <v>3</v>
      </c>
      <c r="T224" t="n">
        <v>4</v>
      </c>
      <c r="U224" t="n">
        <v>4</v>
      </c>
      <c r="V224" s="2" t="inlineStr">
        <is>
          <t>Talltagel
Tallticka
Vanlig snok</t>
        </is>
      </c>
      <c r="W224">
        <f>HYPERLINK("https://klasma.github.io/Logging_1764/artfynd/A 61327-2021 artfynd.xlsx", "A 61327-2021")</f>
        <v/>
      </c>
      <c r="X224">
        <f>HYPERLINK("https://klasma.github.io/Logging_1764/kartor/A 61327-2021 karta.png", "A 61327-2021")</f>
        <v/>
      </c>
      <c r="Y224">
        <f>HYPERLINK("https://klasma.github.io/Logging_1764/kartor_geotiff/A 61327-2021 georefererad karta.tif", "A 61327-2021")</f>
        <v/>
      </c>
      <c r="AA224">
        <f>HYPERLINK("https://klasma.github.io/Logging_1764/klagomål/A 61327-2021 FSC-klagomål.docx", "A 61327-2021")</f>
        <v/>
      </c>
      <c r="AB224">
        <f>HYPERLINK("https://klasma.github.io/Logging_1764/klagomålsmail/A 61327-2021 FSC-klagomål mail.docx", "A 61327-2021")</f>
        <v/>
      </c>
      <c r="AC224">
        <f>HYPERLINK("https://klasma.github.io/Logging_1764/tillsyn/A 61327-2021 tillsynsbegäran.docx", "A 61327-2021")</f>
        <v/>
      </c>
      <c r="AD224">
        <f>HYPERLINK("https://klasma.github.io/Logging_1764/tillsynsmail/A 61327-2021 tillsynsbegäran mail.docx", "A 61327-2021")</f>
        <v/>
      </c>
    </row>
    <row r="225" ht="15" customHeight="1">
      <c r="A225" t="inlineStr">
        <is>
          <t>A 40441-2022</t>
        </is>
      </c>
      <c r="B225" t="inlineStr">
        <is>
          <t>avverkningsanmälan</t>
        </is>
      </c>
      <c r="C225" t="inlineStr">
        <is>
          <t>Föryngringsavverkning</t>
        </is>
      </c>
      <c r="D225" s="1" t="n">
        <v>44819</v>
      </c>
      <c r="E225" s="1" t="n">
        <v>46307</v>
      </c>
      <c r="F225" t="inlineStr">
        <is>
          <t>VÄRMLANDS LÄN</t>
        </is>
      </c>
      <c r="G225" t="inlineStr">
        <is>
          <t>GRUMS</t>
        </is>
      </c>
      <c r="H225" t="inlineStr">
        <is>
          <t>Bergvik skog väst AB</t>
        </is>
      </c>
      <c r="I225" t="n">
        <v>9.199999999999999</v>
      </c>
      <c r="J225" t="n">
        <v>3</v>
      </c>
      <c r="K225" t="n">
        <v>0</v>
      </c>
      <c r="L225" t="n">
        <v>0</v>
      </c>
      <c r="M225" t="n">
        <v>0</v>
      </c>
      <c r="N225" t="n">
        <v>0</v>
      </c>
      <c r="O225" t="n">
        <v>0</v>
      </c>
      <c r="P225" t="n">
        <v>0</v>
      </c>
      <c r="Q225" t="n">
        <v>0</v>
      </c>
      <c r="R225" t="n">
        <v>0</v>
      </c>
      <c r="S225" t="n">
        <v>3</v>
      </c>
      <c r="T225" t="n">
        <v>4</v>
      </c>
      <c r="U225" t="n">
        <v>4</v>
      </c>
      <c r="V225" s="2" t="inlineStr">
        <is>
          <t>Spillkråka
Tjäder
Orre</t>
        </is>
      </c>
      <c r="W225">
        <f>HYPERLINK("https://klasma.github.io/Logging_1764/artfynd/A 40441-2022 artfynd.xlsx", "A 40441-2022")</f>
        <v/>
      </c>
      <c r="X225">
        <f>HYPERLINK("https://klasma.github.io/Logging_1764/kartor/A 40441-2022 karta.png", "A 40441-2022")</f>
        <v/>
      </c>
      <c r="Y225">
        <f>HYPERLINK("https://klasma.github.io/Logging_1764/kartor_geotiff/A 40441-2022 georefererad karta.tif", "A 40441-2022")</f>
        <v/>
      </c>
      <c r="AA225">
        <f>HYPERLINK("https://klasma.github.io/Logging_1764/klagomål/A 40441-2022 FSC-klagomål.docx", "A 40441-2022")</f>
        <v/>
      </c>
      <c r="AB225">
        <f>HYPERLINK("https://klasma.github.io/Logging_1764/klagomålsmail/A 40441-2022 FSC-klagomål mail.docx", "A 40441-2022")</f>
        <v/>
      </c>
      <c r="AC225">
        <f>HYPERLINK("https://klasma.github.io/Logging_1764/tillsyn/A 40441-2022 tillsynsbegäran.docx", "A 40441-2022")</f>
        <v/>
      </c>
      <c r="AD225">
        <f>HYPERLINK("https://klasma.github.io/Logging_1764/tillsynsmail/A 40441-2022 tillsynsbegäran mail.docx", "A 40441-2022")</f>
        <v/>
      </c>
      <c r="AE225">
        <f>HYPERLINK("https://klasma.github.io/Logging_1764/fåglar/A 40441-2022 prioriterade fågelarter.docx", "A 40441-2022")</f>
        <v/>
      </c>
    </row>
    <row r="226" ht="15" customHeight="1">
      <c r="A226" t="inlineStr">
        <is>
          <t>A 9157-2024</t>
        </is>
      </c>
      <c r="B226" t="inlineStr">
        <is>
          <t>avverkningsanmälan</t>
        </is>
      </c>
      <c r="C226" t="inlineStr">
        <is>
          <t>Föryngringsavverkning</t>
        </is>
      </c>
      <c r="D226" s="1" t="n">
        <v>45358</v>
      </c>
      <c r="E226" s="1" t="n">
        <v>46307</v>
      </c>
      <c r="F226" t="inlineStr">
        <is>
          <t>VÄRMLANDS LÄN</t>
        </is>
      </c>
      <c r="G226" t="inlineStr">
        <is>
          <t>EDA</t>
        </is>
      </c>
      <c r="I226" t="n">
        <v>1.3</v>
      </c>
      <c r="J226" t="n">
        <v>1</v>
      </c>
      <c r="K226" t="n">
        <v>1</v>
      </c>
      <c r="L226" t="n">
        <v>1</v>
      </c>
      <c r="M226" t="n">
        <v>0</v>
      </c>
      <c r="N226" t="n">
        <v>0</v>
      </c>
      <c r="O226" t="n">
        <v>0</v>
      </c>
      <c r="P226" t="n">
        <v>0</v>
      </c>
      <c r="Q226" t="n">
        <v>1</v>
      </c>
      <c r="R226" t="n">
        <v>0</v>
      </c>
      <c r="S226" t="n">
        <v>3</v>
      </c>
      <c r="T226" t="n">
        <v>3</v>
      </c>
      <c r="U226" t="n">
        <v>3</v>
      </c>
      <c r="V226" s="2" t="inlineStr">
        <is>
          <t>Ullticka
Bronshjon
Spillkråka</t>
        </is>
      </c>
      <c r="W226">
        <f>HYPERLINK("https://klasma.github.io/Logging_1730/artfynd/A 9157-2024 artfynd.xlsx", "A 9157-2024")</f>
        <v/>
      </c>
      <c r="X226">
        <f>HYPERLINK("https://klasma.github.io/Logging_1730/kartor/A 9157-2024 karta.png", "A 9157-2024")</f>
        <v/>
      </c>
      <c r="Y226">
        <f>HYPERLINK("https://klasma.github.io/Logging_1730/kartor_geotiff/A 9157-2024 georefererad karta.tif", "A 9157-2024")</f>
        <v/>
      </c>
      <c r="AA226">
        <f>HYPERLINK("https://klasma.github.io/Logging_1730/klagomål/A 9157-2024 FSC-klagomål.docx", "A 9157-2024")</f>
        <v/>
      </c>
      <c r="AB226">
        <f>HYPERLINK("https://klasma.github.io/Logging_1730/klagomålsmail/A 9157-2024 FSC-klagomål mail.docx", "A 9157-2024")</f>
        <v/>
      </c>
      <c r="AC226">
        <f>HYPERLINK("https://klasma.github.io/Logging_1730/tillsyn/A 9157-2024 tillsynsbegäran.docx", "A 9157-2024")</f>
        <v/>
      </c>
      <c r="AD226">
        <f>HYPERLINK("https://klasma.github.io/Logging_1730/tillsynsmail/A 9157-2024 tillsynsbegäran mail.docx", "A 9157-2024")</f>
        <v/>
      </c>
      <c r="AE226">
        <f>HYPERLINK("https://klasma.github.io/Logging_1730/fåglar/A 9157-2024 prioriterade fågelarter.docx", "A 9157-2024")</f>
        <v/>
      </c>
    </row>
    <row r="227" ht="15" customHeight="1">
      <c r="A227" t="inlineStr">
        <is>
          <t>A 43333-2023</t>
        </is>
      </c>
      <c r="B227" t="inlineStr">
        <is>
          <t>avverkningsanmälan</t>
        </is>
      </c>
      <c r="C227" t="inlineStr">
        <is>
          <t>Föryngringsavverkning</t>
        </is>
      </c>
      <c r="D227" s="1" t="n">
        <v>45183</v>
      </c>
      <c r="E227" s="1" t="n">
        <v>46307</v>
      </c>
      <c r="F227" t="inlineStr">
        <is>
          <t>VÄRMLANDS LÄN</t>
        </is>
      </c>
      <c r="G227" t="inlineStr">
        <is>
          <t>FILIPSTAD</t>
        </is>
      </c>
      <c r="H227" t="inlineStr">
        <is>
          <t>Bergvik skog väst AB</t>
        </is>
      </c>
      <c r="I227" t="n">
        <v>19.4</v>
      </c>
      <c r="J227" t="n">
        <v>1</v>
      </c>
      <c r="K227" t="n">
        <v>1</v>
      </c>
      <c r="L227" t="n">
        <v>1</v>
      </c>
      <c r="M227" t="n">
        <v>1</v>
      </c>
      <c r="N227" t="n">
        <v>0</v>
      </c>
      <c r="O227" t="n">
        <v>0</v>
      </c>
      <c r="P227" t="n">
        <v>0</v>
      </c>
      <c r="Q227" t="n">
        <v>2</v>
      </c>
      <c r="R227" t="n">
        <v>1</v>
      </c>
      <c r="S227" t="n">
        <v>3</v>
      </c>
      <c r="T227" t="n">
        <v>3</v>
      </c>
      <c r="U227" t="n">
        <v>3</v>
      </c>
      <c r="V227" s="2" t="inlineStr">
        <is>
          <t>Norsk näverlav
Skuggblåslav
Grön sköldmossa</t>
        </is>
      </c>
      <c r="W227">
        <f>HYPERLINK("https://klasma.github.io/Logging_1782/artfynd/A 43333-2023 artfynd.xlsx", "A 43333-2023")</f>
        <v/>
      </c>
      <c r="X227">
        <f>HYPERLINK("https://klasma.github.io/Logging_1782/kartor/A 43333-2023 karta.png", "A 43333-2023")</f>
        <v/>
      </c>
      <c r="Y227">
        <f>HYPERLINK("https://klasma.github.io/Logging_1782/kartor_geotiff/A 43333-2023 georefererad karta.tif", "A 43333-2023")</f>
        <v/>
      </c>
      <c r="AA227">
        <f>HYPERLINK("https://klasma.github.io/Logging_1782/klagomål/A 43333-2023 FSC-klagomål.docx", "A 43333-2023")</f>
        <v/>
      </c>
      <c r="AB227">
        <f>HYPERLINK("https://klasma.github.io/Logging_1782/klagomålsmail/A 43333-2023 FSC-klagomål mail.docx", "A 43333-2023")</f>
        <v/>
      </c>
      <c r="AC227">
        <f>HYPERLINK("https://klasma.github.io/Logging_1782/tillsyn/A 43333-2023 tillsynsbegäran.docx", "A 43333-2023")</f>
        <v/>
      </c>
      <c r="AD227">
        <f>HYPERLINK("https://klasma.github.io/Logging_1782/tillsynsmail/A 43333-2023 tillsynsbegäran mail.docx", "A 43333-2023")</f>
        <v/>
      </c>
    </row>
    <row r="228" ht="15" customHeight="1">
      <c r="A228" t="inlineStr">
        <is>
          <t>A 61045-2023</t>
        </is>
      </c>
      <c r="B228" t="inlineStr">
        <is>
          <t>avverkningsanmälan</t>
        </is>
      </c>
      <c r="C228" t="inlineStr">
        <is>
          <t>Föryngringsavverkning</t>
        </is>
      </c>
      <c r="D228" s="1" t="n">
        <v>45260</v>
      </c>
      <c r="E228" s="1" t="n">
        <v>46307</v>
      </c>
      <c r="F228" t="inlineStr">
        <is>
          <t>VÄRMLANDS LÄN</t>
        </is>
      </c>
      <c r="G228" t="inlineStr">
        <is>
          <t>ÅRJÄNG</t>
        </is>
      </c>
      <c r="I228" t="n">
        <v>0.7</v>
      </c>
      <c r="J228" t="n">
        <v>1</v>
      </c>
      <c r="K228" t="n">
        <v>1</v>
      </c>
      <c r="L228" t="n">
        <v>1</v>
      </c>
      <c r="M228" t="n">
        <v>1</v>
      </c>
      <c r="N228" t="n">
        <v>0</v>
      </c>
      <c r="O228" t="n">
        <v>0</v>
      </c>
      <c r="P228" t="n">
        <v>0</v>
      </c>
      <c r="Q228" t="n">
        <v>2</v>
      </c>
      <c r="R228" t="n">
        <v>1</v>
      </c>
      <c r="S228" t="n">
        <v>3</v>
      </c>
      <c r="T228" t="n">
        <v>3</v>
      </c>
      <c r="U228" t="n">
        <v>0</v>
      </c>
      <c r="V228" s="2" t="inlineStr">
        <is>
          <t>Gränsticka
Tretåig hackspett
Vedticka</t>
        </is>
      </c>
      <c r="W228">
        <f>HYPERLINK("https://klasma.github.io/Logging_1765/artfynd/A 61045-2023 artfynd.xlsx", "A 61045-2023")</f>
        <v/>
      </c>
      <c r="X228">
        <f>HYPERLINK("https://klasma.github.io/Logging_1765/kartor/A 61045-2023 karta.png", "A 61045-2023")</f>
        <v/>
      </c>
      <c r="Y228">
        <f>HYPERLINK("https://klasma.github.io/Logging_1765/kartor_geotiff/A 61045-2023 georefererad karta.tif", "A 61045-2023")</f>
        <v/>
      </c>
      <c r="Z228">
        <f>HYPERLINK("https://klasma.github.io/Logging_1765/knärot/A 61045-2023 karta knärot.png", "A 61045-2023")</f>
        <v/>
      </c>
      <c r="AA228">
        <f>HYPERLINK("https://klasma.github.io/Logging_1765/klagomål/A 61045-2023 FSC-klagomål.docx", "A 61045-2023")</f>
        <v/>
      </c>
      <c r="AB228">
        <f>HYPERLINK("https://klasma.github.io/Logging_1765/klagomålsmail/A 61045-2023 FSC-klagomål mail.docx", "A 61045-2023")</f>
        <v/>
      </c>
      <c r="AC228">
        <f>HYPERLINK("https://klasma.github.io/Logging_1765/tillsyn/A 61045-2023 tillsynsbegäran.docx", "A 61045-2023")</f>
        <v/>
      </c>
      <c r="AD228">
        <f>HYPERLINK("https://klasma.github.io/Logging_1765/tillsynsmail/A 61045-2023 tillsynsbegäran mail.docx", "A 61045-2023")</f>
        <v/>
      </c>
      <c r="AE228">
        <f>HYPERLINK("https://klasma.github.io/Logging_1765/fåglar/A 61045-2023 prioriterade fågelarter.docx", "A 61045-2023")</f>
        <v/>
      </c>
    </row>
    <row r="229" ht="15" customHeight="1">
      <c r="A229" t="inlineStr">
        <is>
          <t>A 11810-2024</t>
        </is>
      </c>
      <c r="B229" t="inlineStr">
        <is>
          <t>avverkningsanmälan</t>
        </is>
      </c>
      <c r="C229" t="inlineStr">
        <is>
          <t>Föryngringsavverkning</t>
        </is>
      </c>
      <c r="D229" s="1" t="n">
        <v>45375</v>
      </c>
      <c r="E229" s="1" t="n">
        <v>46307</v>
      </c>
      <c r="F229" t="inlineStr">
        <is>
          <t>VÄRMLANDS LÄN</t>
        </is>
      </c>
      <c r="G229" t="inlineStr">
        <is>
          <t>KARLSTAD</t>
        </is>
      </c>
      <c r="I229" t="n">
        <v>4.3</v>
      </c>
      <c r="J229" t="n">
        <v>1</v>
      </c>
      <c r="K229" t="n">
        <v>2</v>
      </c>
      <c r="L229" t="n">
        <v>0</v>
      </c>
      <c r="M229" t="n">
        <v>0</v>
      </c>
      <c r="N229" t="n">
        <v>0</v>
      </c>
      <c r="O229" t="n">
        <v>0</v>
      </c>
      <c r="P229" t="n">
        <v>0</v>
      </c>
      <c r="Q229" t="n">
        <v>0</v>
      </c>
      <c r="R229" t="n">
        <v>0</v>
      </c>
      <c r="S229" t="n">
        <v>3</v>
      </c>
      <c r="T229" t="n">
        <v>4</v>
      </c>
      <c r="U229" t="n">
        <v>0</v>
      </c>
      <c r="V229" s="2" t="inlineStr">
        <is>
          <t>Björksplintborre
Stubbspretmossa
Spillkråka</t>
        </is>
      </c>
      <c r="W229">
        <f>HYPERLINK("https://klasma.github.io/Logging_1780/artfynd/A 11810-2024 artfynd.xlsx", "A 11810-2024")</f>
        <v/>
      </c>
      <c r="X229">
        <f>HYPERLINK("https://klasma.github.io/Logging_1780/kartor/A 11810-2024 karta.png", "A 11810-2024")</f>
        <v/>
      </c>
      <c r="Y229">
        <f>HYPERLINK("https://klasma.github.io/Logging_1780/kartor_geotiff/A 11810-2024 georefererad karta.tif", "A 11810-2024")</f>
        <v/>
      </c>
      <c r="AA229">
        <f>HYPERLINK("https://klasma.github.io/Logging_1780/klagomål/A 11810-2024 FSC-klagomål.docx", "A 11810-2024")</f>
        <v/>
      </c>
      <c r="AB229">
        <f>HYPERLINK("https://klasma.github.io/Logging_1780/klagomålsmail/A 11810-2024 FSC-klagomål mail.docx", "A 11810-2024")</f>
        <v/>
      </c>
      <c r="AC229">
        <f>HYPERLINK("https://klasma.github.io/Logging_1780/tillsyn/A 11810-2024 tillsynsbegäran.docx", "A 11810-2024")</f>
        <v/>
      </c>
      <c r="AD229">
        <f>HYPERLINK("https://klasma.github.io/Logging_1780/tillsynsmail/A 11810-2024 tillsynsbegäran mail.docx", "A 11810-2024")</f>
        <v/>
      </c>
      <c r="AE229">
        <f>HYPERLINK("https://klasma.github.io/Logging_1780/fåglar/A 11810-2024 prioriterade fågelarter.docx", "A 11810-2024")</f>
        <v/>
      </c>
    </row>
    <row r="230" ht="15" customHeight="1">
      <c r="A230" t="inlineStr">
        <is>
          <t>A 2525-2023</t>
        </is>
      </c>
      <c r="B230" t="inlineStr">
        <is>
          <t>avverkningsanmälan</t>
        </is>
      </c>
      <c r="C230" t="inlineStr">
        <is>
          <t>Föryngringsavverkning</t>
        </is>
      </c>
      <c r="D230" s="1" t="n">
        <v>44943</v>
      </c>
      <c r="E230" s="1" t="n">
        <v>46307</v>
      </c>
      <c r="F230" t="inlineStr">
        <is>
          <t>VÄRMLANDS LÄN</t>
        </is>
      </c>
      <c r="G230" t="inlineStr">
        <is>
          <t>SUNNE</t>
        </is>
      </c>
      <c r="I230" t="n">
        <v>15.2</v>
      </c>
      <c r="J230" t="n">
        <v>0</v>
      </c>
      <c r="K230" t="n">
        <v>0</v>
      </c>
      <c r="L230" t="n">
        <v>2</v>
      </c>
      <c r="M230" t="n">
        <v>1</v>
      </c>
      <c r="N230" t="n">
        <v>0</v>
      </c>
      <c r="O230" t="n">
        <v>0</v>
      </c>
      <c r="P230" t="n">
        <v>0</v>
      </c>
      <c r="Q230" t="n">
        <v>3</v>
      </c>
      <c r="R230" t="n">
        <v>1</v>
      </c>
      <c r="S230" t="n">
        <v>3</v>
      </c>
      <c r="T230" t="n">
        <v>3</v>
      </c>
      <c r="U230" t="n">
        <v>0</v>
      </c>
      <c r="V230" s="2" t="inlineStr">
        <is>
          <t>Garnlav
Lunglav
Ullticka</t>
        </is>
      </c>
      <c r="W230">
        <f>HYPERLINK("https://klasma.github.io/Logging_1766/artfynd/A 2525-2023 artfynd.xlsx", "A 2525-2023")</f>
        <v/>
      </c>
      <c r="X230">
        <f>HYPERLINK("https://klasma.github.io/Logging_1766/kartor/A 2525-2023 karta.png", "A 2525-2023")</f>
        <v/>
      </c>
      <c r="Y230">
        <f>HYPERLINK("https://klasma.github.io/Logging_1766/kartor_geotiff/A 2525-2023 georefererad karta.tif", "A 2525-2023")</f>
        <v/>
      </c>
      <c r="AA230">
        <f>HYPERLINK("https://klasma.github.io/Logging_1766/klagomål/A 2525-2023 FSC-klagomål.docx", "A 2525-2023")</f>
        <v/>
      </c>
      <c r="AB230">
        <f>HYPERLINK("https://klasma.github.io/Logging_1766/klagomålsmail/A 2525-2023 FSC-klagomål mail.docx", "A 2525-2023")</f>
        <v/>
      </c>
      <c r="AC230">
        <f>HYPERLINK("https://klasma.github.io/Logging_1766/tillsyn/A 2525-2023 tillsynsbegäran.docx", "A 2525-2023")</f>
        <v/>
      </c>
      <c r="AD230">
        <f>HYPERLINK("https://klasma.github.io/Logging_1766/tillsynsmail/A 2525-2023 tillsynsbegäran mail.docx", "A 2525-2023")</f>
        <v/>
      </c>
    </row>
    <row r="231" ht="15" customHeight="1">
      <c r="A231" t="inlineStr">
        <is>
          <t>A 3099-2024</t>
        </is>
      </c>
      <c r="B231" t="inlineStr">
        <is>
          <t>avverkningsanmälan</t>
        </is>
      </c>
      <c r="C231" t="inlineStr">
        <is>
          <t>Föryngringsavverkning</t>
        </is>
      </c>
      <c r="D231" s="1" t="n">
        <v>45316</v>
      </c>
      <c r="E231" s="1" t="n">
        <v>46307</v>
      </c>
      <c r="F231" t="inlineStr">
        <is>
          <t>VÄRMLANDS LÄN</t>
        </is>
      </c>
      <c r="G231" t="inlineStr">
        <is>
          <t>TORSBY</t>
        </is>
      </c>
      <c r="I231" t="n">
        <v>6.3</v>
      </c>
      <c r="J231" t="n">
        <v>0</v>
      </c>
      <c r="K231" t="n">
        <v>1</v>
      </c>
      <c r="L231" t="n">
        <v>1</v>
      </c>
      <c r="M231" t="n">
        <v>1</v>
      </c>
      <c r="N231" t="n">
        <v>0</v>
      </c>
      <c r="O231" t="n">
        <v>0</v>
      </c>
      <c r="P231" t="n">
        <v>0</v>
      </c>
      <c r="Q231" t="n">
        <v>2</v>
      </c>
      <c r="R231" t="n">
        <v>1</v>
      </c>
      <c r="S231" t="n">
        <v>3</v>
      </c>
      <c r="T231" t="n">
        <v>3</v>
      </c>
      <c r="U231" t="n">
        <v>0</v>
      </c>
      <c r="V231" s="2" t="inlineStr">
        <is>
          <t>Garnlav
Dvärgbägarlav
Vedticka</t>
        </is>
      </c>
      <c r="W231">
        <f>HYPERLINK("https://klasma.github.io/Logging_1737/artfynd/A 3099-2024 artfynd.xlsx", "A 3099-2024")</f>
        <v/>
      </c>
      <c r="X231">
        <f>HYPERLINK("https://klasma.github.io/Logging_1737/kartor/A 3099-2024 karta.png", "A 3099-2024")</f>
        <v/>
      </c>
      <c r="Y231">
        <f>HYPERLINK("https://klasma.github.io/Logging_1737/kartor_geotiff/A 3099-2024 georefererad karta.tif", "A 3099-2024")</f>
        <v/>
      </c>
      <c r="AA231">
        <f>HYPERLINK("https://klasma.github.io/Logging_1737/klagomål/A 3099-2024 FSC-klagomål.docx", "A 3099-2024")</f>
        <v/>
      </c>
      <c r="AB231">
        <f>HYPERLINK("https://klasma.github.io/Logging_1737/klagomålsmail/A 3099-2024 FSC-klagomål mail.docx", "A 3099-2024")</f>
        <v/>
      </c>
      <c r="AC231">
        <f>HYPERLINK("https://klasma.github.io/Logging_1737/tillsyn/A 3099-2024 tillsynsbegäran.docx", "A 3099-2024")</f>
        <v/>
      </c>
      <c r="AD231">
        <f>HYPERLINK("https://klasma.github.io/Logging_1737/tillsynsmail/A 3099-2024 tillsynsbegäran mail.docx", "A 3099-2024")</f>
        <v/>
      </c>
    </row>
    <row r="232" ht="15" customHeight="1">
      <c r="A232" t="inlineStr">
        <is>
          <t>A 16442-2023</t>
        </is>
      </c>
      <c r="B232" t="inlineStr">
        <is>
          <t>avverkningsanmälan</t>
        </is>
      </c>
      <c r="C232" t="inlineStr">
        <is>
          <t>Föryngringsavverkning</t>
        </is>
      </c>
      <c r="D232" s="1" t="n">
        <v>45026</v>
      </c>
      <c r="E232" s="1" t="n">
        <v>46307</v>
      </c>
      <c r="F232" t="inlineStr">
        <is>
          <t>VÄRMLANDS LÄN</t>
        </is>
      </c>
      <c r="G232" t="inlineStr">
        <is>
          <t>TORSBY</t>
        </is>
      </c>
      <c r="I232" t="n">
        <v>2.1</v>
      </c>
      <c r="J232" t="n">
        <v>0</v>
      </c>
      <c r="K232" t="n">
        <v>0</v>
      </c>
      <c r="L232" t="n">
        <v>2</v>
      </c>
      <c r="M232" t="n">
        <v>1</v>
      </c>
      <c r="N232" t="n">
        <v>0</v>
      </c>
      <c r="O232" t="n">
        <v>0</v>
      </c>
      <c r="P232" t="n">
        <v>0</v>
      </c>
      <c r="Q232" t="n">
        <v>3</v>
      </c>
      <c r="R232" t="n">
        <v>1</v>
      </c>
      <c r="S232" t="n">
        <v>3</v>
      </c>
      <c r="T232" t="n">
        <v>13</v>
      </c>
      <c r="U232" t="n">
        <v>13</v>
      </c>
      <c r="V232" s="2" t="inlineStr">
        <is>
          <t>Garnlav
Mörk kolflarnlav
Vedskivlav</t>
        </is>
      </c>
      <c r="W232">
        <f>HYPERLINK("https://klasma.github.io/Logging_1737/artfynd/A 16442-2023 artfynd.xlsx", "A 16442-2023")</f>
        <v/>
      </c>
      <c r="X232">
        <f>HYPERLINK("https://klasma.github.io/Logging_1737/kartor/A 16442-2023 karta.png", "A 16442-2023")</f>
        <v/>
      </c>
      <c r="Y232">
        <f>HYPERLINK("https://klasma.github.io/Logging_1737/kartor_geotiff/A 16442-2023 georefererad karta.tif", "A 16442-2023")</f>
        <v/>
      </c>
      <c r="AA232">
        <f>HYPERLINK("https://klasma.github.io/Logging_1737/klagomål/A 16442-2023 FSC-klagomål.docx", "A 16442-2023")</f>
        <v/>
      </c>
      <c r="AB232">
        <f>HYPERLINK("https://klasma.github.io/Logging_1737/klagomålsmail/A 16442-2023 FSC-klagomål mail.docx", "A 16442-2023")</f>
        <v/>
      </c>
      <c r="AC232">
        <f>HYPERLINK("https://klasma.github.io/Logging_1737/tillsyn/A 16442-2023 tillsynsbegäran.docx", "A 16442-2023")</f>
        <v/>
      </c>
      <c r="AD232">
        <f>HYPERLINK("https://klasma.github.io/Logging_1737/tillsynsmail/A 16442-2023 tillsynsbegäran mail.docx", "A 16442-2023")</f>
        <v/>
      </c>
    </row>
    <row r="233" ht="15" customHeight="1">
      <c r="A233" t="inlineStr">
        <is>
          <t>A 40219-2025</t>
        </is>
      </c>
      <c r="B233" t="inlineStr">
        <is>
          <t>avverkningsanmälan</t>
        </is>
      </c>
      <c r="C233" t="inlineStr">
        <is>
          <t>Föryngringsavverkning</t>
        </is>
      </c>
      <c r="D233" s="1" t="n">
        <v>45894</v>
      </c>
      <c r="E233" s="1" t="n">
        <v>46307</v>
      </c>
      <c r="F233" t="inlineStr">
        <is>
          <t>VÄRMLANDS LÄN</t>
        </is>
      </c>
      <c r="G233" t="inlineStr">
        <is>
          <t>ÅRJÄNG</t>
        </is>
      </c>
      <c r="H233" t="inlineStr">
        <is>
          <t>Bergvik skog väst AB</t>
        </is>
      </c>
      <c r="I233" t="n">
        <v>2.5</v>
      </c>
      <c r="J233" t="n">
        <v>2</v>
      </c>
      <c r="K233" t="n">
        <v>0</v>
      </c>
      <c r="L233" t="n">
        <v>1</v>
      </c>
      <c r="M233" t="n">
        <v>0</v>
      </c>
      <c r="N233" t="n">
        <v>0</v>
      </c>
      <c r="O233" t="n">
        <v>0</v>
      </c>
      <c r="P233" t="n">
        <v>0</v>
      </c>
      <c r="Q233" t="n">
        <v>1</v>
      </c>
      <c r="R233" t="n">
        <v>0</v>
      </c>
      <c r="S233" t="n">
        <v>3</v>
      </c>
      <c r="T233" t="n">
        <v>3</v>
      </c>
      <c r="U233" t="n">
        <v>3</v>
      </c>
      <c r="V233" s="2" t="inlineStr">
        <is>
          <t>Motaggsvamp
Spillkråka
Tofsmes</t>
        </is>
      </c>
      <c r="W233">
        <f>HYPERLINK("https://klasma.github.io/Logging_1765/artfynd/A 40219-2025 artfynd.xlsx", "A 40219-2025")</f>
        <v/>
      </c>
      <c r="X233">
        <f>HYPERLINK("https://klasma.github.io/Logging_1765/kartor/A 40219-2025 karta.png", "A 40219-2025")</f>
        <v/>
      </c>
      <c r="Y233">
        <f>HYPERLINK("https://klasma.github.io/Logging_1765/kartor_geotiff/A 40219-2025 georefererad karta.tif", "A 40219-2025")</f>
        <v/>
      </c>
      <c r="AA233">
        <f>HYPERLINK("https://klasma.github.io/Logging_1765/klagomål/A 40219-2025 FSC-klagomål.docx", "A 40219-2025")</f>
        <v/>
      </c>
      <c r="AB233">
        <f>HYPERLINK("https://klasma.github.io/Logging_1765/klagomålsmail/A 40219-2025 FSC-klagomål mail.docx", "A 40219-2025")</f>
        <v/>
      </c>
      <c r="AC233">
        <f>HYPERLINK("https://klasma.github.io/Logging_1765/tillsyn/A 40219-2025 tillsynsbegäran.docx", "A 40219-2025")</f>
        <v/>
      </c>
      <c r="AD233">
        <f>HYPERLINK("https://klasma.github.io/Logging_1765/tillsynsmail/A 40219-2025 tillsynsbegäran mail.docx", "A 40219-2025")</f>
        <v/>
      </c>
      <c r="AE233">
        <f>HYPERLINK("https://klasma.github.io/Logging_1765/fåglar/A 40219-2025 prioriterade fågelarter.docx", "A 40219-2025")</f>
        <v/>
      </c>
    </row>
    <row r="234" ht="15" customHeight="1">
      <c r="A234" t="inlineStr">
        <is>
          <t>A 87-2022</t>
        </is>
      </c>
      <c r="B234" t="inlineStr">
        <is>
          <t>avverkningsanmälan</t>
        </is>
      </c>
      <c r="C234" t="inlineStr">
        <is>
          <t>Föryngringsavverkning</t>
        </is>
      </c>
      <c r="D234" s="1" t="n">
        <v>44564</v>
      </c>
      <c r="E234" s="1" t="n">
        <v>46307</v>
      </c>
      <c r="F234" t="inlineStr">
        <is>
          <t>VÄRMLANDS LÄN</t>
        </is>
      </c>
      <c r="G234" t="inlineStr">
        <is>
          <t>SÄFFLE</t>
        </is>
      </c>
      <c r="I234" t="n">
        <v>7.3</v>
      </c>
      <c r="J234" t="n">
        <v>0</v>
      </c>
      <c r="K234" t="n">
        <v>2</v>
      </c>
      <c r="L234" t="n">
        <v>0</v>
      </c>
      <c r="M234" t="n">
        <v>1</v>
      </c>
      <c r="N234" t="n">
        <v>0</v>
      </c>
      <c r="O234" t="n">
        <v>0</v>
      </c>
      <c r="P234" t="n">
        <v>0</v>
      </c>
      <c r="Q234" t="n">
        <v>1</v>
      </c>
      <c r="R234" t="n">
        <v>1</v>
      </c>
      <c r="S234" t="n">
        <v>3</v>
      </c>
      <c r="T234" t="n">
        <v>3</v>
      </c>
      <c r="U234" t="n">
        <v>0</v>
      </c>
      <c r="V234" s="2" t="inlineStr">
        <is>
          <t>Garnlav
Bårdlav
Stuplav</t>
        </is>
      </c>
      <c r="W234">
        <f>HYPERLINK("https://klasma.github.io/Logging_1785/artfynd/A 87-2022 artfynd.xlsx", "A 87-2022")</f>
        <v/>
      </c>
      <c r="X234">
        <f>HYPERLINK("https://klasma.github.io/Logging_1785/kartor/A 87-2022 karta.png", "A 87-2022")</f>
        <v/>
      </c>
      <c r="Y234">
        <f>HYPERLINK("https://klasma.github.io/Logging_1785/kartor_geotiff/A 87-2022 georefererad karta.tif", "A 87-2022")</f>
        <v/>
      </c>
      <c r="AA234">
        <f>HYPERLINK("https://klasma.github.io/Logging_1785/klagomål/A 87-2022 FSC-klagomål.docx", "A 87-2022")</f>
        <v/>
      </c>
      <c r="AB234">
        <f>HYPERLINK("https://klasma.github.io/Logging_1785/klagomålsmail/A 87-2022 FSC-klagomål mail.docx", "A 87-2022")</f>
        <v/>
      </c>
      <c r="AC234">
        <f>HYPERLINK("https://klasma.github.io/Logging_1785/tillsyn/A 87-2022 tillsynsbegäran.docx", "A 87-2022")</f>
        <v/>
      </c>
      <c r="AD234">
        <f>HYPERLINK("https://klasma.github.io/Logging_1785/tillsynsmail/A 87-2022 tillsynsbegäran mail.docx", "A 87-2022")</f>
        <v/>
      </c>
    </row>
    <row r="235" ht="15" customHeight="1">
      <c r="A235" t="inlineStr">
        <is>
          <t>A 53755-2024</t>
        </is>
      </c>
      <c r="B235" t="inlineStr">
        <is>
          <t>avverkningsanmälan</t>
        </is>
      </c>
      <c r="C235" t="inlineStr">
        <is>
          <t>Föryngringsavverkning</t>
        </is>
      </c>
      <c r="D235" s="1" t="n">
        <v>45615</v>
      </c>
      <c r="E235" s="1" t="n">
        <v>46307</v>
      </c>
      <c r="F235" t="inlineStr">
        <is>
          <t>VÄRMLANDS LÄN</t>
        </is>
      </c>
      <c r="G235" t="inlineStr">
        <is>
          <t>GRUMS</t>
        </is>
      </c>
      <c r="I235" t="n">
        <v>6.1</v>
      </c>
      <c r="J235" t="n">
        <v>0</v>
      </c>
      <c r="K235" t="n">
        <v>2</v>
      </c>
      <c r="L235" t="n">
        <v>1</v>
      </c>
      <c r="M235" t="n">
        <v>0</v>
      </c>
      <c r="N235" t="n">
        <v>0</v>
      </c>
      <c r="O235" t="n">
        <v>0</v>
      </c>
      <c r="P235" t="n">
        <v>0</v>
      </c>
      <c r="Q235" t="n">
        <v>1</v>
      </c>
      <c r="R235" t="n">
        <v>0</v>
      </c>
      <c r="S235" t="n">
        <v>3</v>
      </c>
      <c r="T235" t="n">
        <v>3</v>
      </c>
      <c r="U235" t="n">
        <v>3</v>
      </c>
      <c r="V235" s="2" t="inlineStr">
        <is>
          <t>Motaggsvamp
Björksplintborre
Bronshjon</t>
        </is>
      </c>
      <c r="W235">
        <f>HYPERLINK("https://klasma.github.io/Logging_1764/artfynd/A 53755-2024 artfynd.xlsx", "A 53755-2024")</f>
        <v/>
      </c>
      <c r="X235">
        <f>HYPERLINK("https://klasma.github.io/Logging_1764/kartor/A 53755-2024 karta.png", "A 53755-2024")</f>
        <v/>
      </c>
      <c r="Y235">
        <f>HYPERLINK("https://klasma.github.io/Logging_1764/kartor_geotiff/A 53755-2024 georefererad karta.tif", "A 53755-2024")</f>
        <v/>
      </c>
      <c r="AA235">
        <f>HYPERLINK("https://klasma.github.io/Logging_1764/klagomål/A 53755-2024 FSC-klagomål.docx", "A 53755-2024")</f>
        <v/>
      </c>
      <c r="AB235">
        <f>HYPERLINK("https://klasma.github.io/Logging_1764/klagomålsmail/A 53755-2024 FSC-klagomål mail.docx", "A 53755-2024")</f>
        <v/>
      </c>
      <c r="AC235">
        <f>HYPERLINK("https://klasma.github.io/Logging_1764/tillsyn/A 53755-2024 tillsynsbegäran.docx", "A 53755-2024")</f>
        <v/>
      </c>
      <c r="AD235">
        <f>HYPERLINK("https://klasma.github.io/Logging_1764/tillsynsmail/A 53755-2024 tillsynsbegäran mail.docx", "A 53755-2024")</f>
        <v/>
      </c>
    </row>
    <row r="236" ht="15" customHeight="1">
      <c r="A236" t="inlineStr">
        <is>
          <t>A 63625-2023</t>
        </is>
      </c>
      <c r="B236" t="inlineStr">
        <is>
          <t>avverkningsanmälan</t>
        </is>
      </c>
      <c r="C236" t="inlineStr">
        <is>
          <t>Föryngringsavverkning</t>
        </is>
      </c>
      <c r="D236" s="1" t="n">
        <v>45275</v>
      </c>
      <c r="E236" s="1" t="n">
        <v>46307</v>
      </c>
      <c r="F236" t="inlineStr">
        <is>
          <t>VÄRMLANDS LÄN</t>
        </is>
      </c>
      <c r="G236" t="inlineStr">
        <is>
          <t>FILIPSTAD</t>
        </is>
      </c>
      <c r="I236" t="n">
        <v>1.9</v>
      </c>
      <c r="J236" t="n">
        <v>1</v>
      </c>
      <c r="K236" t="n">
        <v>0</v>
      </c>
      <c r="L236" t="n">
        <v>1</v>
      </c>
      <c r="M236" t="n">
        <v>1</v>
      </c>
      <c r="N236" t="n">
        <v>0</v>
      </c>
      <c r="O236" t="n">
        <v>0</v>
      </c>
      <c r="P236" t="n">
        <v>0</v>
      </c>
      <c r="Q236" t="n">
        <v>2</v>
      </c>
      <c r="R236" t="n">
        <v>1</v>
      </c>
      <c r="S236" t="n">
        <v>3</v>
      </c>
      <c r="T236" t="n">
        <v>3</v>
      </c>
      <c r="U236" t="n">
        <v>1</v>
      </c>
      <c r="V236" s="2" t="inlineStr">
        <is>
          <t>Smalfotad taggsvamp
Vaddporing
Utter</t>
        </is>
      </c>
      <c r="W236">
        <f>HYPERLINK("https://klasma.github.io/Logging_1782/artfynd/A 63625-2023 artfynd.xlsx", "A 63625-2023")</f>
        <v/>
      </c>
      <c r="X236">
        <f>HYPERLINK("https://klasma.github.io/Logging_1782/kartor/A 63625-2023 karta.png", "A 63625-2023")</f>
        <v/>
      </c>
      <c r="Y236">
        <f>HYPERLINK("https://klasma.github.io/Logging_1782/kartor_geotiff/A 63625-2023 georefererad karta.tif", "A 63625-2023")</f>
        <v/>
      </c>
      <c r="AA236">
        <f>HYPERLINK("https://klasma.github.io/Logging_1782/klagomål/A 63625-2023 FSC-klagomål.docx", "A 63625-2023")</f>
        <v/>
      </c>
      <c r="AB236">
        <f>HYPERLINK("https://klasma.github.io/Logging_1782/klagomålsmail/A 63625-2023 FSC-klagomål mail.docx", "A 63625-2023")</f>
        <v/>
      </c>
      <c r="AC236">
        <f>HYPERLINK("https://klasma.github.io/Logging_1782/tillsyn/A 63625-2023 tillsynsbegäran.docx", "A 63625-2023")</f>
        <v/>
      </c>
      <c r="AD236">
        <f>HYPERLINK("https://klasma.github.io/Logging_1782/tillsynsmail/A 63625-2023 tillsynsbegäran mail.docx", "A 63625-2023")</f>
        <v/>
      </c>
    </row>
    <row r="237" ht="15" customHeight="1">
      <c r="A237" t="inlineStr">
        <is>
          <t>A 14815-2023</t>
        </is>
      </c>
      <c r="B237" t="inlineStr">
        <is>
          <t>avverkningsanmälan</t>
        </is>
      </c>
      <c r="C237" t="inlineStr">
        <is>
          <t>Föryngringsavverkning</t>
        </is>
      </c>
      <c r="D237" s="1" t="n">
        <v>45014</v>
      </c>
      <c r="E237" s="1" t="n">
        <v>46307</v>
      </c>
      <c r="F237" t="inlineStr">
        <is>
          <t>VÄRMLANDS LÄN</t>
        </is>
      </c>
      <c r="G237" t="inlineStr">
        <is>
          <t>KARLSTAD</t>
        </is>
      </c>
      <c r="H237" t="inlineStr">
        <is>
          <t>Kommuner</t>
        </is>
      </c>
      <c r="I237" t="n">
        <v>5.4</v>
      </c>
      <c r="J237" t="n">
        <v>0</v>
      </c>
      <c r="K237" t="n">
        <v>2</v>
      </c>
      <c r="L237" t="n">
        <v>1</v>
      </c>
      <c r="M237" t="n">
        <v>0</v>
      </c>
      <c r="N237" t="n">
        <v>0</v>
      </c>
      <c r="O237" t="n">
        <v>0</v>
      </c>
      <c r="P237" t="n">
        <v>0</v>
      </c>
      <c r="Q237" t="n">
        <v>1</v>
      </c>
      <c r="R237" t="n">
        <v>0</v>
      </c>
      <c r="S237" t="n">
        <v>3</v>
      </c>
      <c r="T237" t="n">
        <v>3</v>
      </c>
      <c r="U237" t="n">
        <v>0</v>
      </c>
      <c r="V237" s="2" t="inlineStr">
        <is>
          <t>Vaddporing
Rödgul trumpetsvamp
Vågbandad barkbock</t>
        </is>
      </c>
      <c r="W237">
        <f>HYPERLINK("https://klasma.github.io/Logging_1780/artfynd/A 14815-2023 artfynd.xlsx", "A 14815-2023")</f>
        <v/>
      </c>
      <c r="X237">
        <f>HYPERLINK("https://klasma.github.io/Logging_1780/kartor/A 14815-2023 karta.png", "A 14815-2023")</f>
        <v/>
      </c>
      <c r="Y237">
        <f>HYPERLINK("https://klasma.github.io/Logging_1780/kartor_geotiff/A 14815-2023 georefererad karta.tif", "A 14815-2023")</f>
        <v/>
      </c>
      <c r="AA237">
        <f>HYPERLINK("https://klasma.github.io/Logging_1780/klagomål/A 14815-2023 FSC-klagomål.docx", "A 14815-2023")</f>
        <v/>
      </c>
      <c r="AB237">
        <f>HYPERLINK("https://klasma.github.io/Logging_1780/klagomålsmail/A 14815-2023 FSC-klagomål mail.docx", "A 14815-2023")</f>
        <v/>
      </c>
      <c r="AC237">
        <f>HYPERLINK("https://klasma.github.io/Logging_1780/tillsyn/A 14815-2023 tillsynsbegäran.docx", "A 14815-2023")</f>
        <v/>
      </c>
      <c r="AD237">
        <f>HYPERLINK("https://klasma.github.io/Logging_1780/tillsynsmail/A 14815-2023 tillsynsbegäran mail.docx", "A 14815-2023")</f>
        <v/>
      </c>
    </row>
    <row r="238" ht="15" customHeight="1">
      <c r="A238" t="inlineStr">
        <is>
          <t>A 16369-2024</t>
        </is>
      </c>
      <c r="B238" t="inlineStr">
        <is>
          <t>avverkningsanmälan</t>
        </is>
      </c>
      <c r="C238" t="inlineStr">
        <is>
          <t>Föryngringsavverkning</t>
        </is>
      </c>
      <c r="D238" s="1" t="n">
        <v>45407</v>
      </c>
      <c r="E238" s="1" t="n">
        <v>46307</v>
      </c>
      <c r="F238" t="inlineStr">
        <is>
          <t>VÄRMLANDS LÄN</t>
        </is>
      </c>
      <c r="G238" t="inlineStr">
        <is>
          <t>TORSBY</t>
        </is>
      </c>
      <c r="H238" t="inlineStr">
        <is>
          <t>Kommuner</t>
        </is>
      </c>
      <c r="I238" t="n">
        <v>2.2</v>
      </c>
      <c r="J238" t="n">
        <v>0</v>
      </c>
      <c r="K238" t="n">
        <v>0</v>
      </c>
      <c r="L238" t="n">
        <v>2</v>
      </c>
      <c r="M238" t="n">
        <v>1</v>
      </c>
      <c r="N238" t="n">
        <v>0</v>
      </c>
      <c r="O238" t="n">
        <v>0</v>
      </c>
      <c r="P238" t="n">
        <v>0</v>
      </c>
      <c r="Q238" t="n">
        <v>3</v>
      </c>
      <c r="R238" t="n">
        <v>1</v>
      </c>
      <c r="S238" t="n">
        <v>3</v>
      </c>
      <c r="T238" t="n">
        <v>3</v>
      </c>
      <c r="U238" t="n">
        <v>0</v>
      </c>
      <c r="V238" s="2" t="inlineStr">
        <is>
          <t>Fältgentiana
Månlåsbräken
Vitfläckig guldvinge</t>
        </is>
      </c>
      <c r="W238">
        <f>HYPERLINK("https://klasma.github.io/Logging_1737/artfynd/A 16369-2024 artfynd.xlsx", "A 16369-2024")</f>
        <v/>
      </c>
      <c r="X238">
        <f>HYPERLINK("https://klasma.github.io/Logging_1737/kartor/A 16369-2024 karta.png", "A 16369-2024")</f>
        <v/>
      </c>
      <c r="Y238">
        <f>HYPERLINK("https://klasma.github.io/Logging_1737/kartor_geotiff/A 16369-2024 georefererad karta.tif", "A 16369-2024")</f>
        <v/>
      </c>
      <c r="AA238">
        <f>HYPERLINK("https://klasma.github.io/Logging_1737/klagomål/A 16369-2024 FSC-klagomål.docx", "A 16369-2024")</f>
        <v/>
      </c>
      <c r="AB238">
        <f>HYPERLINK("https://klasma.github.io/Logging_1737/klagomålsmail/A 16369-2024 FSC-klagomål mail.docx", "A 16369-2024")</f>
        <v/>
      </c>
      <c r="AC238">
        <f>HYPERLINK("https://klasma.github.io/Logging_1737/tillsyn/A 16369-2024 tillsynsbegäran.docx", "A 16369-2024")</f>
        <v/>
      </c>
      <c r="AD238">
        <f>HYPERLINK("https://klasma.github.io/Logging_1737/tillsynsmail/A 16369-2024 tillsynsbegäran mail.docx", "A 16369-2024")</f>
        <v/>
      </c>
    </row>
    <row r="239" ht="15" customHeight="1">
      <c r="A239" t="inlineStr">
        <is>
          <t>A 3082-2024</t>
        </is>
      </c>
      <c r="B239" t="inlineStr">
        <is>
          <t>avverkningsanmälan</t>
        </is>
      </c>
      <c r="C239" t="inlineStr">
        <is>
          <t>Föryngringsavverkning</t>
        </is>
      </c>
      <c r="D239" s="1" t="n">
        <v>45316</v>
      </c>
      <c r="E239" s="1" t="n">
        <v>46307</v>
      </c>
      <c r="F239" t="inlineStr">
        <is>
          <t>VÄRMLANDS LÄN</t>
        </is>
      </c>
      <c r="G239" t="inlineStr">
        <is>
          <t>SUNNE</t>
        </is>
      </c>
      <c r="H239" t="inlineStr">
        <is>
          <t>Kommuner</t>
        </is>
      </c>
      <c r="I239" t="n">
        <v>1.9</v>
      </c>
      <c r="J239" t="n">
        <v>2</v>
      </c>
      <c r="K239" t="n">
        <v>0</v>
      </c>
      <c r="L239" t="n">
        <v>0</v>
      </c>
      <c r="M239" t="n">
        <v>0</v>
      </c>
      <c r="N239" t="n">
        <v>0</v>
      </c>
      <c r="O239" t="n">
        <v>0</v>
      </c>
      <c r="P239" t="n">
        <v>0</v>
      </c>
      <c r="Q239" t="n">
        <v>0</v>
      </c>
      <c r="R239" t="n">
        <v>0</v>
      </c>
      <c r="S239" t="n">
        <v>3</v>
      </c>
      <c r="T239" t="n">
        <v>3</v>
      </c>
      <c r="U239" t="n">
        <v>3</v>
      </c>
      <c r="V239" s="2" t="inlineStr">
        <is>
          <t>Kärrviol
Skogsödla
Fläcknycklar</t>
        </is>
      </c>
      <c r="W239">
        <f>HYPERLINK("https://klasma.github.io/Logging_1766/artfynd/A 3082-2024 artfynd.xlsx", "A 3082-2024")</f>
        <v/>
      </c>
      <c r="X239">
        <f>HYPERLINK("https://klasma.github.io/Logging_1766/kartor/A 3082-2024 karta.png", "A 3082-2024")</f>
        <v/>
      </c>
      <c r="Y239">
        <f>HYPERLINK("https://klasma.github.io/Logging_1766/kartor_geotiff/A 3082-2024 georefererad karta.tif", "A 3082-2024")</f>
        <v/>
      </c>
      <c r="AA239">
        <f>HYPERLINK("https://klasma.github.io/Logging_1766/klagomål/A 3082-2024 FSC-klagomål.docx", "A 3082-2024")</f>
        <v/>
      </c>
      <c r="AB239">
        <f>HYPERLINK("https://klasma.github.io/Logging_1766/klagomålsmail/A 3082-2024 FSC-klagomål mail.docx", "A 3082-2024")</f>
        <v/>
      </c>
      <c r="AC239">
        <f>HYPERLINK("https://klasma.github.io/Logging_1766/tillsyn/A 3082-2024 tillsynsbegäran.docx", "A 3082-2024")</f>
        <v/>
      </c>
      <c r="AD239">
        <f>HYPERLINK("https://klasma.github.io/Logging_1766/tillsynsmail/A 3082-2024 tillsynsbegäran mail.docx", "A 3082-2024")</f>
        <v/>
      </c>
    </row>
    <row r="240" ht="15" customHeight="1">
      <c r="A240" t="inlineStr">
        <is>
          <t>A 45714-2025</t>
        </is>
      </c>
      <c r="B240" t="inlineStr">
        <is>
          <t>avverkningsanmälan</t>
        </is>
      </c>
      <c r="C240" t="inlineStr">
        <is>
          <t>Föryngringsavverkning</t>
        </is>
      </c>
      <c r="D240" s="1" t="n">
        <v>45923</v>
      </c>
      <c r="E240" s="1" t="n">
        <v>46307</v>
      </c>
      <c r="F240" t="inlineStr">
        <is>
          <t>VÄRMLANDS LÄN</t>
        </is>
      </c>
      <c r="G240" t="inlineStr">
        <is>
          <t>FILIPSTAD</t>
        </is>
      </c>
      <c r="H240" t="inlineStr">
        <is>
          <t>Bergvik skog väst AB</t>
        </is>
      </c>
      <c r="I240" t="n">
        <v>2.5</v>
      </c>
      <c r="J240" t="n">
        <v>0</v>
      </c>
      <c r="K240" t="n">
        <v>1</v>
      </c>
      <c r="L240" t="n">
        <v>2</v>
      </c>
      <c r="M240" t="n">
        <v>0</v>
      </c>
      <c r="N240" t="n">
        <v>0</v>
      </c>
      <c r="O240" t="n">
        <v>0</v>
      </c>
      <c r="P240" t="n">
        <v>0</v>
      </c>
      <c r="Q240" t="n">
        <v>2</v>
      </c>
      <c r="R240" t="n">
        <v>0</v>
      </c>
      <c r="S240" t="n">
        <v>3</v>
      </c>
      <c r="T240" t="n">
        <v>5</v>
      </c>
      <c r="U240" t="n">
        <v>4</v>
      </c>
      <c r="V240" s="2" t="inlineStr">
        <is>
          <t>Brunklöver
Skuggblåslav
Bårdlav</t>
        </is>
      </c>
      <c r="W240">
        <f>HYPERLINK("https://klasma.github.io/Logging_1782/artfynd/A 45714-2025 artfynd.xlsx", "A 45714-2025")</f>
        <v/>
      </c>
      <c r="X240">
        <f>HYPERLINK("https://klasma.github.io/Logging_1782/kartor/A 45714-2025 karta.png", "A 45714-2025")</f>
        <v/>
      </c>
      <c r="Y240">
        <f>HYPERLINK("https://klasma.github.io/Logging_1782/kartor_geotiff/A 45714-2025 georefererad karta.tif", "A 45714-2025")</f>
        <v/>
      </c>
      <c r="AA240">
        <f>HYPERLINK("https://klasma.github.io/Logging_1782/klagomål/A 45714-2025 FSC-klagomål.docx", "A 45714-2025")</f>
        <v/>
      </c>
      <c r="AB240">
        <f>HYPERLINK("https://klasma.github.io/Logging_1782/klagomålsmail/A 45714-2025 FSC-klagomål mail.docx", "A 45714-2025")</f>
        <v/>
      </c>
      <c r="AC240">
        <f>HYPERLINK("https://klasma.github.io/Logging_1782/tillsyn/A 45714-2025 tillsynsbegäran.docx", "A 45714-2025")</f>
        <v/>
      </c>
      <c r="AD240">
        <f>HYPERLINK("https://klasma.github.io/Logging_1782/tillsynsmail/A 45714-2025 tillsynsbegäran mail.docx", "A 45714-2025")</f>
        <v/>
      </c>
    </row>
    <row r="241" ht="15" customHeight="1">
      <c r="A241" t="inlineStr">
        <is>
          <t>A 16414-2023</t>
        </is>
      </c>
      <c r="B241" t="inlineStr">
        <is>
          <t>avverkningsanmälan</t>
        </is>
      </c>
      <c r="C241" t="inlineStr">
        <is>
          <t>Föryngringsavverkning</t>
        </is>
      </c>
      <c r="D241" s="1" t="n">
        <v>45022</v>
      </c>
      <c r="E241" s="1" t="n">
        <v>46307</v>
      </c>
      <c r="F241" t="inlineStr">
        <is>
          <t>VÄRMLANDS LÄN</t>
        </is>
      </c>
      <c r="G241" t="inlineStr">
        <is>
          <t>TORSBY</t>
        </is>
      </c>
      <c r="I241" t="n">
        <v>8.800000000000001</v>
      </c>
      <c r="J241" t="n">
        <v>3</v>
      </c>
      <c r="K241" t="n">
        <v>0</v>
      </c>
      <c r="L241" t="n">
        <v>2</v>
      </c>
      <c r="M241" t="n">
        <v>0</v>
      </c>
      <c r="N241" t="n">
        <v>0</v>
      </c>
      <c r="O241" t="n">
        <v>0</v>
      </c>
      <c r="P241" t="n">
        <v>0</v>
      </c>
      <c r="Q241" t="n">
        <v>2</v>
      </c>
      <c r="R241" t="n">
        <v>0</v>
      </c>
      <c r="S241" t="n">
        <v>3</v>
      </c>
      <c r="T241" t="n">
        <v>3</v>
      </c>
      <c r="U241" t="n">
        <v>0</v>
      </c>
      <c r="V241" s="2" t="inlineStr">
        <is>
          <t>Sparvuggla
Talltita
Spillkråka</t>
        </is>
      </c>
      <c r="W241">
        <f>HYPERLINK("https://klasma.github.io/Logging_1737/artfynd/A 16414-2023 artfynd.xlsx", "A 16414-2023")</f>
        <v/>
      </c>
      <c r="X241">
        <f>HYPERLINK("https://klasma.github.io/Logging_1737/kartor/A 16414-2023 karta.png", "A 16414-2023")</f>
        <v/>
      </c>
      <c r="Y241">
        <f>HYPERLINK("https://klasma.github.io/Logging_1737/kartor_geotiff/A 16414-2023 georefererad karta.tif", "A 16414-2023")</f>
        <v/>
      </c>
      <c r="AA241">
        <f>HYPERLINK("https://klasma.github.io/Logging_1737/klagomål/A 16414-2023 FSC-klagomål.docx", "A 16414-2023")</f>
        <v/>
      </c>
      <c r="AB241">
        <f>HYPERLINK("https://klasma.github.io/Logging_1737/klagomålsmail/A 16414-2023 FSC-klagomål mail.docx", "A 16414-2023")</f>
        <v/>
      </c>
      <c r="AC241">
        <f>HYPERLINK("https://klasma.github.io/Logging_1737/tillsyn/A 16414-2023 tillsynsbegäran.docx", "A 16414-2023")</f>
        <v/>
      </c>
      <c r="AD241">
        <f>HYPERLINK("https://klasma.github.io/Logging_1737/tillsynsmail/A 16414-2023 tillsynsbegäran mail.docx", "A 16414-2023")</f>
        <v/>
      </c>
      <c r="AE241">
        <f>HYPERLINK("https://klasma.github.io/Logging_1737/fåglar/A 16414-2023 prioriterade fågelarter.docx", "A 16414-2023")</f>
        <v/>
      </c>
    </row>
    <row r="242" ht="15" customHeight="1">
      <c r="A242" t="inlineStr">
        <is>
          <t>A 46580-2025</t>
        </is>
      </c>
      <c r="B242" t="inlineStr">
        <is>
          <t>avverkningsanmälan</t>
        </is>
      </c>
      <c r="C242" t="inlineStr">
        <is>
          <t>Föryngringsavverkning</t>
        </is>
      </c>
      <c r="D242" s="1" t="n">
        <v>45926</v>
      </c>
      <c r="E242" s="1" t="n">
        <v>46307</v>
      </c>
      <c r="F242" t="inlineStr">
        <is>
          <t>VÄRMLANDS LÄN</t>
        </is>
      </c>
      <c r="G242" t="inlineStr">
        <is>
          <t>TORSBY</t>
        </is>
      </c>
      <c r="I242" t="n">
        <v>1.4</v>
      </c>
      <c r="J242" t="n">
        <v>0</v>
      </c>
      <c r="K242" t="n">
        <v>0</v>
      </c>
      <c r="L242" t="n">
        <v>2</v>
      </c>
      <c r="M242" t="n">
        <v>1</v>
      </c>
      <c r="N242" t="n">
        <v>0</v>
      </c>
      <c r="O242" t="n">
        <v>0</v>
      </c>
      <c r="P242" t="n">
        <v>0</v>
      </c>
      <c r="Q242" t="n">
        <v>3</v>
      </c>
      <c r="R242" t="n">
        <v>1</v>
      </c>
      <c r="S242" t="n">
        <v>3</v>
      </c>
      <c r="T242" t="n">
        <v>6</v>
      </c>
      <c r="U242" t="n">
        <v>0</v>
      </c>
      <c r="V242" s="2" t="inlineStr">
        <is>
          <t>Garnlav
Kolflarnlav
Vedskivlav</t>
        </is>
      </c>
      <c r="W242">
        <f>HYPERLINK("https://klasma.github.io/Logging_1737/artfynd/A 46580-2025 artfynd.xlsx", "A 46580-2025")</f>
        <v/>
      </c>
      <c r="X242">
        <f>HYPERLINK("https://klasma.github.io/Logging_1737/kartor/A 46580-2025 karta.png", "A 46580-2025")</f>
        <v/>
      </c>
      <c r="Y242">
        <f>HYPERLINK("https://klasma.github.io/Logging_1737/kartor_geotiff/A 46580-2025 georefererad karta.tif", "A 46580-2025")</f>
        <v/>
      </c>
      <c r="AA242">
        <f>HYPERLINK("https://klasma.github.io/Logging_1737/klagomål/A 46580-2025 FSC-klagomål.docx", "A 46580-2025")</f>
        <v/>
      </c>
      <c r="AB242">
        <f>HYPERLINK("https://klasma.github.io/Logging_1737/klagomålsmail/A 46580-2025 FSC-klagomål mail.docx", "A 46580-2025")</f>
        <v/>
      </c>
      <c r="AC242">
        <f>HYPERLINK("https://klasma.github.io/Logging_1737/tillsyn/A 46580-2025 tillsynsbegäran.docx", "A 46580-2025")</f>
        <v/>
      </c>
      <c r="AD242">
        <f>HYPERLINK("https://klasma.github.io/Logging_1737/tillsynsmail/A 46580-2025 tillsynsbegäran mail.docx", "A 46580-2025")</f>
        <v/>
      </c>
    </row>
    <row r="243" ht="15" customHeight="1">
      <c r="A243" t="inlineStr">
        <is>
          <t>A 45231-2023</t>
        </is>
      </c>
      <c r="B243" t="inlineStr">
        <is>
          <t>avverkningsanmälan</t>
        </is>
      </c>
      <c r="C243" t="inlineStr">
        <is>
          <t>Föryngringsavverkning</t>
        </is>
      </c>
      <c r="D243" s="1" t="n">
        <v>45191</v>
      </c>
      <c r="E243" s="1" t="n">
        <v>46307</v>
      </c>
      <c r="F243" t="inlineStr">
        <is>
          <t>VÄRMLANDS LÄN</t>
        </is>
      </c>
      <c r="G243" t="inlineStr">
        <is>
          <t>TORSBY</t>
        </is>
      </c>
      <c r="H243" t="inlineStr">
        <is>
          <t>Bergvik skog väst AB</t>
        </is>
      </c>
      <c r="I243" t="n">
        <v>7.8</v>
      </c>
      <c r="J243" t="n">
        <v>2</v>
      </c>
      <c r="K243" t="n">
        <v>0</v>
      </c>
      <c r="L243" t="n">
        <v>2</v>
      </c>
      <c r="M243" t="n">
        <v>0</v>
      </c>
      <c r="N243" t="n">
        <v>1</v>
      </c>
      <c r="O243" t="n">
        <v>0</v>
      </c>
      <c r="P243" t="n">
        <v>0</v>
      </c>
      <c r="Q243" t="n">
        <v>3</v>
      </c>
      <c r="R243" t="n">
        <v>1</v>
      </c>
      <c r="S243" t="n">
        <v>3</v>
      </c>
      <c r="T243" t="n">
        <v>3</v>
      </c>
      <c r="U243" t="n">
        <v>1</v>
      </c>
      <c r="V243" s="2" t="inlineStr">
        <is>
          <t>Pärluggla
Sparvuggla
Vitplätt</t>
        </is>
      </c>
      <c r="W243">
        <f>HYPERLINK("https://klasma.github.io/Logging_1737/artfynd/A 45231-2023 artfynd.xlsx", "A 45231-2023")</f>
        <v/>
      </c>
      <c r="X243">
        <f>HYPERLINK("https://klasma.github.io/Logging_1737/kartor/A 45231-2023 karta.png", "A 45231-2023")</f>
        <v/>
      </c>
      <c r="Y243">
        <f>HYPERLINK("https://klasma.github.io/Logging_1737/kartor_geotiff/A 45231-2023 georefererad karta.tif", "A 45231-2023")</f>
        <v/>
      </c>
      <c r="AA243">
        <f>HYPERLINK("https://klasma.github.io/Logging_1737/klagomål/A 45231-2023 FSC-klagomål.docx", "A 45231-2023")</f>
        <v/>
      </c>
      <c r="AB243">
        <f>HYPERLINK("https://klasma.github.io/Logging_1737/klagomålsmail/A 45231-2023 FSC-klagomål mail.docx", "A 45231-2023")</f>
        <v/>
      </c>
      <c r="AC243">
        <f>HYPERLINK("https://klasma.github.io/Logging_1737/tillsyn/A 45231-2023 tillsynsbegäran.docx", "A 45231-2023")</f>
        <v/>
      </c>
      <c r="AD243">
        <f>HYPERLINK("https://klasma.github.io/Logging_1737/tillsynsmail/A 45231-2023 tillsynsbegäran mail.docx", "A 45231-2023")</f>
        <v/>
      </c>
      <c r="AE243">
        <f>HYPERLINK("https://klasma.github.io/Logging_1737/fåglar/A 45231-2023 prioriterade fågelarter.docx", "A 45231-2023")</f>
        <v/>
      </c>
    </row>
    <row r="244" ht="15" customHeight="1">
      <c r="A244" t="inlineStr">
        <is>
          <t>A 2212-2025</t>
        </is>
      </c>
      <c r="B244" t="inlineStr">
        <is>
          <t>avverkningsanmälan</t>
        </is>
      </c>
      <c r="C244" t="inlineStr">
        <is>
          <t>Föryngringsavverkning</t>
        </is>
      </c>
      <c r="D244" s="1" t="n">
        <v>45673</v>
      </c>
      <c r="E244" s="1" t="n">
        <v>46307</v>
      </c>
      <c r="F244" t="inlineStr">
        <is>
          <t>VÄRMLANDS LÄN</t>
        </is>
      </c>
      <c r="G244" t="inlineStr">
        <is>
          <t>ÅRJÄNG</t>
        </is>
      </c>
      <c r="I244" t="n">
        <v>10.7</v>
      </c>
      <c r="J244" t="n">
        <v>0</v>
      </c>
      <c r="K244" t="n">
        <v>1</v>
      </c>
      <c r="L244" t="n">
        <v>1</v>
      </c>
      <c r="M244" t="n">
        <v>1</v>
      </c>
      <c r="N244" t="n">
        <v>0</v>
      </c>
      <c r="O244" t="n">
        <v>0</v>
      </c>
      <c r="P244" t="n">
        <v>0</v>
      </c>
      <c r="Q244" t="n">
        <v>2</v>
      </c>
      <c r="R244" t="n">
        <v>1</v>
      </c>
      <c r="S244" t="n">
        <v>3</v>
      </c>
      <c r="T244" t="n">
        <v>3</v>
      </c>
      <c r="U244" t="n">
        <v>0</v>
      </c>
      <c r="V244" s="2" t="inlineStr">
        <is>
          <t>Garnlav
Dropptaggsvamp
Bårdlav</t>
        </is>
      </c>
      <c r="W244">
        <f>HYPERLINK("https://klasma.github.io/Logging_1765/artfynd/A 2212-2025 artfynd.xlsx", "A 2212-2025")</f>
        <v/>
      </c>
      <c r="X244">
        <f>HYPERLINK("https://klasma.github.io/Logging_1765/kartor/A 2212-2025 karta.png", "A 2212-2025")</f>
        <v/>
      </c>
      <c r="Y244">
        <f>HYPERLINK("https://klasma.github.io/Logging_1765/kartor_geotiff/A 2212-2025 georefererad karta.tif", "A 2212-2025")</f>
        <v/>
      </c>
      <c r="AA244">
        <f>HYPERLINK("https://klasma.github.io/Logging_1765/klagomål/A 2212-2025 FSC-klagomål.docx", "A 2212-2025")</f>
        <v/>
      </c>
      <c r="AB244">
        <f>HYPERLINK("https://klasma.github.io/Logging_1765/klagomålsmail/A 2212-2025 FSC-klagomål mail.docx", "A 2212-2025")</f>
        <v/>
      </c>
      <c r="AC244">
        <f>HYPERLINK("https://klasma.github.io/Logging_1765/tillsyn/A 2212-2025 tillsynsbegäran.docx", "A 2212-2025")</f>
        <v/>
      </c>
      <c r="AD244">
        <f>HYPERLINK("https://klasma.github.io/Logging_1765/tillsynsmail/A 2212-2025 tillsynsbegäran mail.docx", "A 2212-2025")</f>
        <v/>
      </c>
    </row>
    <row r="245" ht="15" customHeight="1">
      <c r="A245" t="inlineStr">
        <is>
          <t>A 42590-2023</t>
        </is>
      </c>
      <c r="B245" t="inlineStr">
        <is>
          <t>avverkningsanmälan</t>
        </is>
      </c>
      <c r="C245" t="inlineStr">
        <is>
          <t>Föryngringsavverkning</t>
        </is>
      </c>
      <c r="D245" s="1" t="n">
        <v>45181</v>
      </c>
      <c r="E245" s="1" t="n">
        <v>46307</v>
      </c>
      <c r="F245" t="inlineStr">
        <is>
          <t>VÄRMLANDS LÄN</t>
        </is>
      </c>
      <c r="G245" t="inlineStr">
        <is>
          <t>TORSBY</t>
        </is>
      </c>
      <c r="I245" t="n">
        <v>12.1</v>
      </c>
      <c r="J245" t="n">
        <v>1</v>
      </c>
      <c r="K245" t="n">
        <v>0</v>
      </c>
      <c r="L245" t="n">
        <v>2</v>
      </c>
      <c r="M245" t="n">
        <v>1</v>
      </c>
      <c r="N245" t="n">
        <v>0</v>
      </c>
      <c r="O245" t="n">
        <v>0</v>
      </c>
      <c r="P245" t="n">
        <v>0</v>
      </c>
      <c r="Q245" t="n">
        <v>3</v>
      </c>
      <c r="R245" t="n">
        <v>1</v>
      </c>
      <c r="S245" t="n">
        <v>3</v>
      </c>
      <c r="T245" t="n">
        <v>9</v>
      </c>
      <c r="U245" t="n">
        <v>0</v>
      </c>
      <c r="V245" s="2" t="inlineStr">
        <is>
          <t>Garnlav
Tretåig hackspett
Violettgrå tagellav</t>
        </is>
      </c>
      <c r="W245">
        <f>HYPERLINK("https://klasma.github.io/Logging_1737/artfynd/A 42590-2023 artfynd.xlsx", "A 42590-2023")</f>
        <v/>
      </c>
      <c r="X245">
        <f>HYPERLINK("https://klasma.github.io/Logging_1737/kartor/A 42590-2023 karta.png", "A 42590-2023")</f>
        <v/>
      </c>
      <c r="Y245">
        <f>HYPERLINK("https://klasma.github.io/Logging_1737/kartor_geotiff/A 42590-2023 georefererad karta.tif", "A 42590-2023")</f>
        <v/>
      </c>
      <c r="AA245">
        <f>HYPERLINK("https://klasma.github.io/Logging_1737/klagomål/A 42590-2023 FSC-klagomål.docx", "A 42590-2023")</f>
        <v/>
      </c>
      <c r="AB245">
        <f>HYPERLINK("https://klasma.github.io/Logging_1737/klagomålsmail/A 42590-2023 FSC-klagomål mail.docx", "A 42590-2023")</f>
        <v/>
      </c>
      <c r="AC245">
        <f>HYPERLINK("https://klasma.github.io/Logging_1737/tillsyn/A 42590-2023 tillsynsbegäran.docx", "A 42590-2023")</f>
        <v/>
      </c>
      <c r="AD245">
        <f>HYPERLINK("https://klasma.github.io/Logging_1737/tillsynsmail/A 42590-2023 tillsynsbegäran mail.docx", "A 42590-2023")</f>
        <v/>
      </c>
      <c r="AE245">
        <f>HYPERLINK("https://klasma.github.io/Logging_1737/fåglar/A 42590-2023 prioriterade fågelarter.docx", "A 42590-2023")</f>
        <v/>
      </c>
    </row>
    <row r="246" ht="15" customHeight="1">
      <c r="A246" t="inlineStr">
        <is>
          <t>A 19030-2025</t>
        </is>
      </c>
      <c r="B246" t="inlineStr">
        <is>
          <t>avverkningsanmälan</t>
        </is>
      </c>
      <c r="C246" t="inlineStr">
        <is>
          <t>Föryngringsavverkning</t>
        </is>
      </c>
      <c r="D246" s="1" t="n">
        <v>45764</v>
      </c>
      <c r="E246" s="1" t="n">
        <v>46307</v>
      </c>
      <c r="F246" t="inlineStr">
        <is>
          <t>VÄRMLANDS LÄN</t>
        </is>
      </c>
      <c r="G246" t="inlineStr">
        <is>
          <t>TORSBY</t>
        </is>
      </c>
      <c r="H246" t="inlineStr">
        <is>
          <t>Övriga statliga verk och myndigheter</t>
        </is>
      </c>
      <c r="I246" t="n">
        <v>1.9</v>
      </c>
      <c r="J246" t="n">
        <v>0</v>
      </c>
      <c r="K246" t="n">
        <v>0</v>
      </c>
      <c r="L246" t="n">
        <v>2</v>
      </c>
      <c r="M246" t="n">
        <v>1</v>
      </c>
      <c r="N246" t="n">
        <v>0</v>
      </c>
      <c r="O246" t="n">
        <v>0</v>
      </c>
      <c r="P246" t="n">
        <v>0</v>
      </c>
      <c r="Q246" t="n">
        <v>3</v>
      </c>
      <c r="R246" t="n">
        <v>1</v>
      </c>
      <c r="S246" t="n">
        <v>3</v>
      </c>
      <c r="T246" t="n">
        <v>4</v>
      </c>
      <c r="U246" t="n">
        <v>0</v>
      </c>
      <c r="V246" s="2" t="inlineStr">
        <is>
          <t>Garnlav
Kolflarnlav
Mörk kolflarnlav</t>
        </is>
      </c>
      <c r="W246">
        <f>HYPERLINK("https://klasma.github.io/Logging_1737/artfynd/A 19030-2025 artfynd.xlsx", "A 19030-2025")</f>
        <v/>
      </c>
      <c r="X246">
        <f>HYPERLINK("https://klasma.github.io/Logging_1737/kartor/A 19030-2025 karta.png", "A 19030-2025")</f>
        <v/>
      </c>
      <c r="Y246">
        <f>HYPERLINK("https://klasma.github.io/Logging_1737/kartor_geotiff/A 19030-2025 georefererad karta.tif", "A 19030-2025")</f>
        <v/>
      </c>
      <c r="AA246">
        <f>HYPERLINK("https://klasma.github.io/Logging_1737/klagomål/A 19030-2025 FSC-klagomål.docx", "A 19030-2025")</f>
        <v/>
      </c>
      <c r="AB246">
        <f>HYPERLINK("https://klasma.github.io/Logging_1737/klagomålsmail/A 19030-2025 FSC-klagomål mail.docx", "A 19030-2025")</f>
        <v/>
      </c>
      <c r="AC246">
        <f>HYPERLINK("https://klasma.github.io/Logging_1737/tillsyn/A 19030-2025 tillsynsbegäran.docx", "A 19030-2025")</f>
        <v/>
      </c>
      <c r="AD246">
        <f>HYPERLINK("https://klasma.github.io/Logging_1737/tillsynsmail/A 19030-2025 tillsynsbegäran mail.docx", "A 19030-2025")</f>
        <v/>
      </c>
    </row>
    <row r="247" ht="15" customHeight="1">
      <c r="A247" t="inlineStr">
        <is>
          <t>A 26757-2025</t>
        </is>
      </c>
      <c r="B247" t="inlineStr">
        <is>
          <t>avverkningsanmälan</t>
        </is>
      </c>
      <c r="C247" t="inlineStr">
        <is>
          <t>Föryngringsavverkning</t>
        </is>
      </c>
      <c r="D247" s="1" t="n">
        <v>45810</v>
      </c>
      <c r="E247" s="1" t="n">
        <v>46307</v>
      </c>
      <c r="F247" t="inlineStr">
        <is>
          <t>VÄRMLANDS LÄN</t>
        </is>
      </c>
      <c r="G247" t="inlineStr">
        <is>
          <t>SUNNE</t>
        </is>
      </c>
      <c r="I247" t="n">
        <v>2</v>
      </c>
      <c r="J247" t="n">
        <v>0</v>
      </c>
      <c r="K247" t="n">
        <v>3</v>
      </c>
      <c r="L247" t="n">
        <v>0</v>
      </c>
      <c r="M247" t="n">
        <v>0</v>
      </c>
      <c r="N247" t="n">
        <v>0</v>
      </c>
      <c r="O247" t="n">
        <v>0</v>
      </c>
      <c r="P247" t="n">
        <v>0</v>
      </c>
      <c r="Q247" t="n">
        <v>0</v>
      </c>
      <c r="R247" t="n">
        <v>0</v>
      </c>
      <c r="S247" t="n">
        <v>3</v>
      </c>
      <c r="T247" t="n">
        <v>4</v>
      </c>
      <c r="U247" t="n">
        <v>3</v>
      </c>
      <c r="V247" s="2" t="inlineStr">
        <is>
          <t>Barkticka
Brandticka
Rävticka</t>
        </is>
      </c>
      <c r="W247">
        <f>HYPERLINK("https://klasma.github.io/Logging_1766/artfynd/A 26757-2025 artfynd.xlsx", "A 26757-2025")</f>
        <v/>
      </c>
      <c r="X247">
        <f>HYPERLINK("https://klasma.github.io/Logging_1766/kartor/A 26757-2025 karta.png", "A 26757-2025")</f>
        <v/>
      </c>
      <c r="Y247">
        <f>HYPERLINK("https://klasma.github.io/Logging_1766/kartor_geotiff/A 26757-2025 georefererad karta.tif", "A 26757-2025")</f>
        <v/>
      </c>
      <c r="Z247">
        <f>HYPERLINK("https://klasma.github.io/Logging_1766/knärot/A 26757-2025 karta knärot.png", "A 26757-2025")</f>
        <v/>
      </c>
      <c r="AA247">
        <f>HYPERLINK("https://klasma.github.io/Logging_1766/klagomål/A 26757-2025 FSC-klagomål.docx", "A 26757-2025")</f>
        <v/>
      </c>
      <c r="AB247">
        <f>HYPERLINK("https://klasma.github.io/Logging_1766/klagomålsmail/A 26757-2025 FSC-klagomål mail.docx", "A 26757-2025")</f>
        <v/>
      </c>
      <c r="AC247">
        <f>HYPERLINK("https://klasma.github.io/Logging_1766/tillsyn/A 26757-2025 tillsynsbegäran.docx", "A 26757-2025")</f>
        <v/>
      </c>
      <c r="AD247">
        <f>HYPERLINK("https://klasma.github.io/Logging_1766/tillsynsmail/A 26757-2025 tillsynsbegäran mail.docx", "A 26757-2025")</f>
        <v/>
      </c>
    </row>
    <row r="248" ht="15" customHeight="1">
      <c r="A248" t="inlineStr">
        <is>
          <t>A 11682-2022</t>
        </is>
      </c>
      <c r="B248" t="inlineStr">
        <is>
          <t>avverkningsanmälan</t>
        </is>
      </c>
      <c r="C248" t="inlineStr">
        <is>
          <t>Föryngringsavverkning</t>
        </is>
      </c>
      <c r="D248" s="1" t="n">
        <v>44631</v>
      </c>
      <c r="E248" s="1" t="n">
        <v>46307</v>
      </c>
      <c r="F248" t="inlineStr">
        <is>
          <t>VÄRMLANDS LÄN</t>
        </is>
      </c>
      <c r="G248" t="inlineStr">
        <is>
          <t>ÅRJÄNG</t>
        </is>
      </c>
      <c r="I248" t="n">
        <v>19.9</v>
      </c>
      <c r="J248" t="n">
        <v>2</v>
      </c>
      <c r="K248" t="n">
        <v>0</v>
      </c>
      <c r="L248" t="n">
        <v>2</v>
      </c>
      <c r="M248" t="n">
        <v>0</v>
      </c>
      <c r="N248" t="n">
        <v>0</v>
      </c>
      <c r="O248" t="n">
        <v>0</v>
      </c>
      <c r="P248" t="n">
        <v>0</v>
      </c>
      <c r="Q248" t="n">
        <v>2</v>
      </c>
      <c r="R248" t="n">
        <v>0</v>
      </c>
      <c r="S248" t="n">
        <v>3</v>
      </c>
      <c r="T248" t="n">
        <v>3</v>
      </c>
      <c r="U248" t="n">
        <v>3</v>
      </c>
      <c r="V248" s="2" t="inlineStr">
        <is>
          <t>Skogsklocka
Talltita
Spillkråka</t>
        </is>
      </c>
      <c r="W248">
        <f>HYPERLINK("https://klasma.github.io/Logging_1765/artfynd/A 11682-2022 artfynd.xlsx", "A 11682-2022")</f>
        <v/>
      </c>
      <c r="X248">
        <f>HYPERLINK("https://klasma.github.io/Logging_1765/kartor/A 11682-2022 karta.png", "A 11682-2022")</f>
        <v/>
      </c>
      <c r="Y248">
        <f>HYPERLINK("https://klasma.github.io/Logging_1765/kartor_geotiff/A 11682-2022 georefererad karta.tif", "A 11682-2022")</f>
        <v/>
      </c>
      <c r="AA248">
        <f>HYPERLINK("https://klasma.github.io/Logging_1765/klagomål/A 11682-2022 FSC-klagomål.docx", "A 11682-2022")</f>
        <v/>
      </c>
      <c r="AB248">
        <f>HYPERLINK("https://klasma.github.io/Logging_1765/klagomålsmail/A 11682-2022 FSC-klagomål mail.docx", "A 11682-2022")</f>
        <v/>
      </c>
      <c r="AC248">
        <f>HYPERLINK("https://klasma.github.io/Logging_1765/tillsyn/A 11682-2022 tillsynsbegäran.docx", "A 11682-2022")</f>
        <v/>
      </c>
      <c r="AD248">
        <f>HYPERLINK("https://klasma.github.io/Logging_1765/tillsynsmail/A 11682-2022 tillsynsbegäran mail.docx", "A 11682-2022")</f>
        <v/>
      </c>
      <c r="AE248">
        <f>HYPERLINK("https://klasma.github.io/Logging_1765/fåglar/A 11682-2022 prioriterade fågelarter.docx", "A 11682-2022")</f>
        <v/>
      </c>
    </row>
    <row r="249" ht="15" customHeight="1">
      <c r="A249" t="inlineStr">
        <is>
          <t>A 59789-2024</t>
        </is>
      </c>
      <c r="B249" t="inlineStr">
        <is>
          <t>avverkningsanmälan</t>
        </is>
      </c>
      <c r="C249" t="inlineStr">
        <is>
          <t>Föryngringsavverkning</t>
        </is>
      </c>
      <c r="D249" s="1" t="n">
        <v>45639</v>
      </c>
      <c r="E249" s="1" t="n">
        <v>46307</v>
      </c>
      <c r="F249" t="inlineStr">
        <is>
          <t>VÄRMLANDS LÄN</t>
        </is>
      </c>
      <c r="G249" t="inlineStr">
        <is>
          <t>TORSBY</t>
        </is>
      </c>
      <c r="I249" t="n">
        <v>4.8</v>
      </c>
      <c r="J249" t="n">
        <v>0</v>
      </c>
      <c r="K249" t="n">
        <v>0</v>
      </c>
      <c r="L249" t="n">
        <v>2</v>
      </c>
      <c r="M249" t="n">
        <v>1</v>
      </c>
      <c r="N249" t="n">
        <v>0</v>
      </c>
      <c r="O249" t="n">
        <v>0</v>
      </c>
      <c r="P249" t="n">
        <v>0</v>
      </c>
      <c r="Q249" t="n">
        <v>3</v>
      </c>
      <c r="R249" t="n">
        <v>1</v>
      </c>
      <c r="S249" t="n">
        <v>3</v>
      </c>
      <c r="T249" t="n">
        <v>4</v>
      </c>
      <c r="U249" t="n">
        <v>0</v>
      </c>
      <c r="V249" s="2" t="inlineStr">
        <is>
          <t>Garnlav
Vedskivlav
Violettgrå tagellav</t>
        </is>
      </c>
      <c r="W249">
        <f>HYPERLINK("https://klasma.github.io/Logging_1737/artfynd/A 59789-2024 artfynd.xlsx", "A 59789-2024")</f>
        <v/>
      </c>
      <c r="X249">
        <f>HYPERLINK("https://klasma.github.io/Logging_1737/kartor/A 59789-2024 karta.png", "A 59789-2024")</f>
        <v/>
      </c>
      <c r="Y249">
        <f>HYPERLINK("https://klasma.github.io/Logging_1737/kartor_geotiff/A 59789-2024 georefererad karta.tif", "A 59789-2024")</f>
        <v/>
      </c>
      <c r="AA249">
        <f>HYPERLINK("https://klasma.github.io/Logging_1737/klagomål/A 59789-2024 FSC-klagomål.docx", "A 59789-2024")</f>
        <v/>
      </c>
      <c r="AB249">
        <f>HYPERLINK("https://klasma.github.io/Logging_1737/klagomålsmail/A 59789-2024 FSC-klagomål mail.docx", "A 59789-2024")</f>
        <v/>
      </c>
      <c r="AC249">
        <f>HYPERLINK("https://klasma.github.io/Logging_1737/tillsyn/A 59789-2024 tillsynsbegäran.docx", "A 59789-2024")</f>
        <v/>
      </c>
      <c r="AD249">
        <f>HYPERLINK("https://klasma.github.io/Logging_1737/tillsynsmail/A 59789-2024 tillsynsbegäran mail.docx", "A 59789-2024")</f>
        <v/>
      </c>
    </row>
    <row r="250" ht="15" customHeight="1">
      <c r="A250" t="inlineStr">
        <is>
          <t>A 16742-2025</t>
        </is>
      </c>
      <c r="B250" t="inlineStr">
        <is>
          <t>avverkningsanmälan</t>
        </is>
      </c>
      <c r="C250" t="inlineStr">
        <is>
          <t>Föryngringsavverkning</t>
        </is>
      </c>
      <c r="D250" s="1" t="n">
        <v>45754</v>
      </c>
      <c r="E250" s="1" t="n">
        <v>46307</v>
      </c>
      <c r="F250" t="inlineStr">
        <is>
          <t>VÄRMLANDS LÄN</t>
        </is>
      </c>
      <c r="G250" t="inlineStr">
        <is>
          <t>EDA</t>
        </is>
      </c>
      <c r="I250" t="n">
        <v>8.9</v>
      </c>
      <c r="J250" t="n">
        <v>3</v>
      </c>
      <c r="K250" t="n">
        <v>0</v>
      </c>
      <c r="L250" t="n">
        <v>2</v>
      </c>
      <c r="M250" t="n">
        <v>0</v>
      </c>
      <c r="N250" t="n">
        <v>0</v>
      </c>
      <c r="O250" t="n">
        <v>0</v>
      </c>
      <c r="P250" t="n">
        <v>0</v>
      </c>
      <c r="Q250" t="n">
        <v>2</v>
      </c>
      <c r="R250" t="n">
        <v>0</v>
      </c>
      <c r="S250" t="n">
        <v>3</v>
      </c>
      <c r="T250" t="n">
        <v>4</v>
      </c>
      <c r="U250" t="n">
        <v>4</v>
      </c>
      <c r="V250" s="2" t="inlineStr">
        <is>
          <t>Talltita
Tretåig hackspett
Tjäder</t>
        </is>
      </c>
      <c r="W250">
        <f>HYPERLINK("https://klasma.github.io/Logging_1730/artfynd/A 16742-2025 artfynd.xlsx", "A 16742-2025")</f>
        <v/>
      </c>
      <c r="X250">
        <f>HYPERLINK("https://klasma.github.io/Logging_1730/kartor/A 16742-2025 karta.png", "A 16742-2025")</f>
        <v/>
      </c>
      <c r="Y250">
        <f>HYPERLINK("https://klasma.github.io/Logging_1730/kartor_geotiff/A 16742-2025 georefererad karta.tif", "A 16742-2025")</f>
        <v/>
      </c>
      <c r="AA250">
        <f>HYPERLINK("https://klasma.github.io/Logging_1730/klagomål/A 16742-2025 FSC-klagomål.docx", "A 16742-2025")</f>
        <v/>
      </c>
      <c r="AB250">
        <f>HYPERLINK("https://klasma.github.io/Logging_1730/klagomålsmail/A 16742-2025 FSC-klagomål mail.docx", "A 16742-2025")</f>
        <v/>
      </c>
      <c r="AC250">
        <f>HYPERLINK("https://klasma.github.io/Logging_1730/tillsyn/A 16742-2025 tillsynsbegäran.docx", "A 16742-2025")</f>
        <v/>
      </c>
      <c r="AD250">
        <f>HYPERLINK("https://klasma.github.io/Logging_1730/tillsynsmail/A 16742-2025 tillsynsbegäran mail.docx", "A 16742-2025")</f>
        <v/>
      </c>
      <c r="AE250">
        <f>HYPERLINK("https://klasma.github.io/Logging_1730/fåglar/A 16742-2025 prioriterade fågelarter.docx", "A 16742-2025")</f>
        <v/>
      </c>
    </row>
    <row r="251" ht="15" customHeight="1">
      <c r="A251" t="inlineStr">
        <is>
          <t>A 50712-2025</t>
        </is>
      </c>
      <c r="B251" t="inlineStr">
        <is>
          <t>avverkningsanmälan</t>
        </is>
      </c>
      <c r="C251" t="inlineStr">
        <is>
          <t>Föryngringsavverkning</t>
        </is>
      </c>
      <c r="D251" s="1" t="n">
        <v>45946</v>
      </c>
      <c r="E251" s="1" t="n">
        <v>46307</v>
      </c>
      <c r="F251" t="inlineStr">
        <is>
          <t>VÄRMLANDS LÄN</t>
        </is>
      </c>
      <c r="G251" t="inlineStr">
        <is>
          <t>TORSBY</t>
        </is>
      </c>
      <c r="H251" t="inlineStr">
        <is>
          <t>Bergvik skog väst AB</t>
        </is>
      </c>
      <c r="I251" t="n">
        <v>7.6</v>
      </c>
      <c r="J251" t="n">
        <v>0</v>
      </c>
      <c r="K251" t="n">
        <v>0</v>
      </c>
      <c r="L251" t="n">
        <v>2</v>
      </c>
      <c r="M251" t="n">
        <v>1</v>
      </c>
      <c r="N251" t="n">
        <v>0</v>
      </c>
      <c r="O251" t="n">
        <v>0</v>
      </c>
      <c r="P251" t="n">
        <v>0</v>
      </c>
      <c r="Q251" t="n">
        <v>3</v>
      </c>
      <c r="R251" t="n">
        <v>1</v>
      </c>
      <c r="S251" t="n">
        <v>3</v>
      </c>
      <c r="T251" t="n">
        <v>3</v>
      </c>
      <c r="U251" t="n">
        <v>0</v>
      </c>
      <c r="V251" s="2" t="inlineStr">
        <is>
          <t>Garnlav
Lunglav
Vedskivlav</t>
        </is>
      </c>
      <c r="W251">
        <f>HYPERLINK("https://klasma.github.io/Logging_1737/artfynd/A 50712-2025 artfynd.xlsx", "A 50712-2025")</f>
        <v/>
      </c>
      <c r="X251">
        <f>HYPERLINK("https://klasma.github.io/Logging_1737/kartor/A 50712-2025 karta.png", "A 50712-2025")</f>
        <v/>
      </c>
      <c r="Y251">
        <f>HYPERLINK("https://klasma.github.io/Logging_1737/kartor_geotiff/A 50712-2025 georefererad karta.tif", "A 50712-2025")</f>
        <v/>
      </c>
      <c r="AA251">
        <f>HYPERLINK("https://klasma.github.io/Logging_1737/klagomål/A 50712-2025 FSC-klagomål.docx", "A 50712-2025")</f>
        <v/>
      </c>
      <c r="AB251">
        <f>HYPERLINK("https://klasma.github.io/Logging_1737/klagomålsmail/A 50712-2025 FSC-klagomål mail.docx", "A 50712-2025")</f>
        <v/>
      </c>
      <c r="AC251">
        <f>HYPERLINK("https://klasma.github.io/Logging_1737/tillsyn/A 50712-2025 tillsynsbegäran.docx", "A 50712-2025")</f>
        <v/>
      </c>
      <c r="AD251">
        <f>HYPERLINK("https://klasma.github.io/Logging_1737/tillsynsmail/A 50712-2025 tillsynsbegäran mail.docx", "A 50712-2025")</f>
        <v/>
      </c>
    </row>
    <row r="252" ht="15" customHeight="1">
      <c r="A252" t="inlineStr">
        <is>
          <t>A 48855-2023</t>
        </is>
      </c>
      <c r="B252" t="inlineStr">
        <is>
          <t>avverkningsanmälan</t>
        </is>
      </c>
      <c r="C252" t="inlineStr">
        <is>
          <t>Föryngringsavverkning</t>
        </is>
      </c>
      <c r="D252" s="1" t="n">
        <v>45203</v>
      </c>
      <c r="E252" s="1" t="n">
        <v>46307</v>
      </c>
      <c r="F252" t="inlineStr">
        <is>
          <t>VÄRMLANDS LÄN</t>
        </is>
      </c>
      <c r="G252" t="inlineStr">
        <is>
          <t>SÄFFLE</t>
        </is>
      </c>
      <c r="I252" t="n">
        <v>15.2</v>
      </c>
      <c r="J252" t="n">
        <v>0</v>
      </c>
      <c r="K252" t="n">
        <v>1</v>
      </c>
      <c r="L252" t="n">
        <v>1</v>
      </c>
      <c r="M252" t="n">
        <v>1</v>
      </c>
      <c r="N252" t="n">
        <v>0</v>
      </c>
      <c r="O252" t="n">
        <v>0</v>
      </c>
      <c r="P252" t="n">
        <v>0</v>
      </c>
      <c r="Q252" t="n">
        <v>2</v>
      </c>
      <c r="R252" t="n">
        <v>1</v>
      </c>
      <c r="S252" t="n">
        <v>3</v>
      </c>
      <c r="T252" t="n">
        <v>3</v>
      </c>
      <c r="U252" t="n">
        <v>0</v>
      </c>
      <c r="V252" s="2" t="inlineStr">
        <is>
          <t>Gränsticka
Skarp dropptaggsvamp
Vedticka</t>
        </is>
      </c>
      <c r="W252">
        <f>HYPERLINK("https://klasma.github.io/Logging_1785/artfynd/A 48855-2023 artfynd.xlsx", "A 48855-2023")</f>
        <v/>
      </c>
      <c r="X252">
        <f>HYPERLINK("https://klasma.github.io/Logging_1785/kartor/A 48855-2023 karta.png", "A 48855-2023")</f>
        <v/>
      </c>
      <c r="Y252">
        <f>HYPERLINK("https://klasma.github.io/Logging_1785/kartor_geotiff/A 48855-2023 georefererad karta.tif", "A 48855-2023")</f>
        <v/>
      </c>
      <c r="AA252">
        <f>HYPERLINK("https://klasma.github.io/Logging_1785/klagomål/A 48855-2023 FSC-klagomål.docx", "A 48855-2023")</f>
        <v/>
      </c>
      <c r="AB252">
        <f>HYPERLINK("https://klasma.github.io/Logging_1785/klagomålsmail/A 48855-2023 FSC-klagomål mail.docx", "A 48855-2023")</f>
        <v/>
      </c>
      <c r="AC252">
        <f>HYPERLINK("https://klasma.github.io/Logging_1785/tillsyn/A 48855-2023 tillsynsbegäran.docx", "A 48855-2023")</f>
        <v/>
      </c>
      <c r="AD252">
        <f>HYPERLINK("https://klasma.github.io/Logging_1785/tillsynsmail/A 48855-2023 tillsynsbegäran mail.docx", "A 48855-2023")</f>
        <v/>
      </c>
    </row>
    <row r="253" ht="15" customHeight="1">
      <c r="A253" t="inlineStr">
        <is>
          <t>A 21252-2024</t>
        </is>
      </c>
      <c r="B253" t="inlineStr">
        <is>
          <t>avverkningsanmälan</t>
        </is>
      </c>
      <c r="C253" t="inlineStr">
        <is>
          <t>Föryngringsavverkning</t>
        </is>
      </c>
      <c r="D253" s="1" t="n">
        <v>45440</v>
      </c>
      <c r="E253" s="1" t="n">
        <v>46307</v>
      </c>
      <c r="F253" t="inlineStr">
        <is>
          <t>VÄRMLANDS LÄN</t>
        </is>
      </c>
      <c r="G253" t="inlineStr">
        <is>
          <t>ARVIKA</t>
        </is>
      </c>
      <c r="H253" t="inlineStr">
        <is>
          <t>Bergvik skog väst AB</t>
        </is>
      </c>
      <c r="I253" t="n">
        <v>0.7</v>
      </c>
      <c r="J253" t="n">
        <v>1</v>
      </c>
      <c r="K253" t="n">
        <v>0</v>
      </c>
      <c r="L253" t="n">
        <v>2</v>
      </c>
      <c r="M253" t="n">
        <v>1</v>
      </c>
      <c r="N253" t="n">
        <v>0</v>
      </c>
      <c r="O253" t="n">
        <v>0</v>
      </c>
      <c r="P253" t="n">
        <v>0</v>
      </c>
      <c r="Q253" t="n">
        <v>3</v>
      </c>
      <c r="R253" t="n">
        <v>1</v>
      </c>
      <c r="S253" t="n">
        <v>3</v>
      </c>
      <c r="T253" t="n">
        <v>4</v>
      </c>
      <c r="U253" t="n">
        <v>4</v>
      </c>
      <c r="V253" s="2" t="inlineStr">
        <is>
          <t>Knärot
Grönhjon
Ullticka</t>
        </is>
      </c>
      <c r="W253">
        <f>HYPERLINK("https://klasma.github.io/Logging_1784/artfynd/A 21252-2024 artfynd.xlsx", "A 21252-2024")</f>
        <v/>
      </c>
      <c r="X253">
        <f>HYPERLINK("https://klasma.github.io/Logging_1784/kartor/A 21252-2024 karta.png", "A 21252-2024")</f>
        <v/>
      </c>
      <c r="Y253">
        <f>HYPERLINK("https://klasma.github.io/Logging_1784/kartor_geotiff/A 21252-2024 georefererad karta.tif", "A 21252-2024")</f>
        <v/>
      </c>
      <c r="Z253">
        <f>HYPERLINK("https://klasma.github.io/Logging_1784/knärot/A 21252-2024 karta knärot.png", "A 21252-2024")</f>
        <v/>
      </c>
      <c r="AA253">
        <f>HYPERLINK("https://klasma.github.io/Logging_1784/klagomål/A 21252-2024 FSC-klagomål.docx", "A 21252-2024")</f>
        <v/>
      </c>
      <c r="AB253">
        <f>HYPERLINK("https://klasma.github.io/Logging_1784/klagomålsmail/A 21252-2024 FSC-klagomål mail.docx", "A 21252-2024")</f>
        <v/>
      </c>
      <c r="AC253">
        <f>HYPERLINK("https://klasma.github.io/Logging_1784/tillsyn/A 21252-2024 tillsynsbegäran.docx", "A 21252-2024")</f>
        <v/>
      </c>
      <c r="AD253">
        <f>HYPERLINK("https://klasma.github.io/Logging_1784/tillsynsmail/A 21252-2024 tillsynsbegäran mail.docx", "A 21252-2024")</f>
        <v/>
      </c>
    </row>
    <row r="254" ht="15" customHeight="1">
      <c r="A254" t="inlineStr">
        <is>
          <t>A 24616-2022</t>
        </is>
      </c>
      <c r="B254" t="inlineStr">
        <is>
          <t>avverkningsanmälan</t>
        </is>
      </c>
      <c r="C254" t="inlineStr">
        <is>
          <t>Föryngringsavverkning</t>
        </is>
      </c>
      <c r="D254" s="1" t="n">
        <v>44727</v>
      </c>
      <c r="E254" s="1" t="n">
        <v>46307</v>
      </c>
      <c r="F254" t="inlineStr">
        <is>
          <t>VÄRMLANDS LÄN</t>
        </is>
      </c>
      <c r="G254" t="inlineStr">
        <is>
          <t>HAMMARÖ</t>
        </is>
      </c>
      <c r="H254" t="inlineStr">
        <is>
          <t>Kommuner</t>
        </is>
      </c>
      <c r="I254" t="n">
        <v>4</v>
      </c>
      <c r="J254" t="n">
        <v>3</v>
      </c>
      <c r="K254" t="n">
        <v>0</v>
      </c>
      <c r="L254" t="n">
        <v>1</v>
      </c>
      <c r="M254" t="n">
        <v>1</v>
      </c>
      <c r="N254" t="n">
        <v>0</v>
      </c>
      <c r="O254" t="n">
        <v>0</v>
      </c>
      <c r="P254" t="n">
        <v>0</v>
      </c>
      <c r="Q254" t="n">
        <v>2</v>
      </c>
      <c r="R254" t="n">
        <v>1</v>
      </c>
      <c r="S254" t="n">
        <v>3</v>
      </c>
      <c r="T254" t="n">
        <v>21</v>
      </c>
      <c r="U254" t="n">
        <v>20</v>
      </c>
      <c r="V254" s="2" t="inlineStr">
        <is>
          <t>Knärot
Tretåig hackspett
Spillkråka</t>
        </is>
      </c>
      <c r="W254">
        <f>HYPERLINK("https://klasma.github.io/Logging_1761/artfynd/A 24616-2022 artfynd.xlsx", "A 24616-2022")</f>
        <v/>
      </c>
      <c r="X254">
        <f>HYPERLINK("https://klasma.github.io/Logging_1761/kartor/A 24616-2022 karta.png", "A 24616-2022")</f>
        <v/>
      </c>
      <c r="Y254">
        <f>HYPERLINK("https://klasma.github.io/Logging_1761/kartor_geotiff/A 24616-2022 georefererad karta.tif", "A 24616-2022")</f>
        <v/>
      </c>
      <c r="Z254">
        <f>HYPERLINK("https://klasma.github.io/Logging_1761/knärot/A 24616-2022 karta knärot.png", "A 24616-2022")</f>
        <v/>
      </c>
      <c r="AA254">
        <f>HYPERLINK("https://klasma.github.io/Logging_1761/klagomål/A 24616-2022 FSC-klagomål.docx", "A 24616-2022")</f>
        <v/>
      </c>
      <c r="AB254">
        <f>HYPERLINK("https://klasma.github.io/Logging_1761/klagomålsmail/A 24616-2022 FSC-klagomål mail.docx", "A 24616-2022")</f>
        <v/>
      </c>
      <c r="AC254">
        <f>HYPERLINK("https://klasma.github.io/Logging_1761/tillsyn/A 24616-2022 tillsynsbegäran.docx", "A 24616-2022")</f>
        <v/>
      </c>
      <c r="AD254">
        <f>HYPERLINK("https://klasma.github.io/Logging_1761/tillsynsmail/A 24616-2022 tillsynsbegäran mail.docx", "A 24616-2022")</f>
        <v/>
      </c>
      <c r="AE254">
        <f>HYPERLINK("https://klasma.github.io/Logging_1761/fåglar/A 24616-2022 prioriterade fågelarter.docx", "A 24616-2022")</f>
        <v/>
      </c>
    </row>
    <row r="255" ht="15" customHeight="1">
      <c r="A255" t="inlineStr">
        <is>
          <t>A 14-2024</t>
        </is>
      </c>
      <c r="B255" t="inlineStr">
        <is>
          <t>avverkningsanmälan</t>
        </is>
      </c>
      <c r="C255" t="inlineStr">
        <is>
          <t>Föryngringsavverkning</t>
        </is>
      </c>
      <c r="D255" s="1" t="n">
        <v>45293</v>
      </c>
      <c r="E255" s="1" t="n">
        <v>46307</v>
      </c>
      <c r="F255" t="inlineStr">
        <is>
          <t>VÄRMLANDS LÄN</t>
        </is>
      </c>
      <c r="G255" t="inlineStr">
        <is>
          <t>EDA</t>
        </is>
      </c>
      <c r="I255" t="n">
        <v>1.1</v>
      </c>
      <c r="J255" t="n">
        <v>3</v>
      </c>
      <c r="K255" t="n">
        <v>0</v>
      </c>
      <c r="L255" t="n">
        <v>0</v>
      </c>
      <c r="M255" t="n">
        <v>1</v>
      </c>
      <c r="N255" t="n">
        <v>0</v>
      </c>
      <c r="O255" t="n">
        <v>0</v>
      </c>
      <c r="P255" t="n">
        <v>0</v>
      </c>
      <c r="Q255" t="n">
        <v>1</v>
      </c>
      <c r="R255" t="n">
        <v>1</v>
      </c>
      <c r="S255" t="n">
        <v>3</v>
      </c>
      <c r="T255" t="n">
        <v>4</v>
      </c>
      <c r="U255" t="n">
        <v>4</v>
      </c>
      <c r="V255" s="2" t="inlineStr">
        <is>
          <t>Knärot
Spillkråka
Revlummer</t>
        </is>
      </c>
      <c r="W255">
        <f>HYPERLINK("https://klasma.github.io/Logging_1730/artfynd/A 14-2024 artfynd.xlsx", "A 14-2024")</f>
        <v/>
      </c>
      <c r="X255">
        <f>HYPERLINK("https://klasma.github.io/Logging_1730/kartor/A 14-2024 karta.png", "A 14-2024")</f>
        <v/>
      </c>
      <c r="Y255">
        <f>HYPERLINK("https://klasma.github.io/Logging_1730/kartor_geotiff/A 14-2024 georefererad karta.tif", "A 14-2024")</f>
        <v/>
      </c>
      <c r="Z255">
        <f>HYPERLINK("https://klasma.github.io/Logging_1730/knärot/A 14-2024 karta knärot.png", "A 14-2024")</f>
        <v/>
      </c>
      <c r="AA255">
        <f>HYPERLINK("https://klasma.github.io/Logging_1730/klagomål/A 14-2024 FSC-klagomål.docx", "A 14-2024")</f>
        <v/>
      </c>
      <c r="AB255">
        <f>HYPERLINK("https://klasma.github.io/Logging_1730/klagomålsmail/A 14-2024 FSC-klagomål mail.docx", "A 14-2024")</f>
        <v/>
      </c>
      <c r="AC255">
        <f>HYPERLINK("https://klasma.github.io/Logging_1730/tillsyn/A 14-2024 tillsynsbegäran.docx", "A 14-2024")</f>
        <v/>
      </c>
      <c r="AD255">
        <f>HYPERLINK("https://klasma.github.io/Logging_1730/tillsynsmail/A 14-2024 tillsynsbegäran mail.docx", "A 14-2024")</f>
        <v/>
      </c>
      <c r="AE255">
        <f>HYPERLINK("https://klasma.github.io/Logging_1730/fåglar/A 14-2024 prioriterade fågelarter.docx", "A 14-2024")</f>
        <v/>
      </c>
    </row>
    <row r="256" ht="15" customHeight="1">
      <c r="A256" t="inlineStr">
        <is>
          <t>A 51144-2023</t>
        </is>
      </c>
      <c r="B256" t="inlineStr">
        <is>
          <t>avverkningsanmälan</t>
        </is>
      </c>
      <c r="C256" t="inlineStr">
        <is>
          <t>Föryngringsavverkning</t>
        </is>
      </c>
      <c r="D256" s="1" t="n">
        <v>45212</v>
      </c>
      <c r="E256" s="1" t="n">
        <v>46307</v>
      </c>
      <c r="F256" t="inlineStr">
        <is>
          <t>VÄRMLANDS LÄN</t>
        </is>
      </c>
      <c r="G256" t="inlineStr">
        <is>
          <t>TORSBY</t>
        </is>
      </c>
      <c r="I256" t="n">
        <v>7.3</v>
      </c>
      <c r="J256" t="n">
        <v>2</v>
      </c>
      <c r="K256" t="n">
        <v>2</v>
      </c>
      <c r="L256" t="n">
        <v>0</v>
      </c>
      <c r="M256" t="n">
        <v>1</v>
      </c>
      <c r="N256" t="n">
        <v>0</v>
      </c>
      <c r="O256" t="n">
        <v>0</v>
      </c>
      <c r="P256" t="n">
        <v>0</v>
      </c>
      <c r="Q256" t="n">
        <v>1</v>
      </c>
      <c r="R256" t="n">
        <v>1</v>
      </c>
      <c r="S256" t="n">
        <v>3</v>
      </c>
      <c r="T256" t="n">
        <v>3</v>
      </c>
      <c r="U256" t="n">
        <v>0</v>
      </c>
      <c r="V256" s="2" t="inlineStr">
        <is>
          <t>Aspgelélav
Korallrot
Spindelblomster</t>
        </is>
      </c>
      <c r="W256">
        <f>HYPERLINK("https://klasma.github.io/Logging_1737/artfynd/A 51144-2023 artfynd.xlsx", "A 51144-2023")</f>
        <v/>
      </c>
      <c r="X256">
        <f>HYPERLINK("https://klasma.github.io/Logging_1737/kartor/A 51144-2023 karta.png", "A 51144-2023")</f>
        <v/>
      </c>
      <c r="Y256">
        <f>HYPERLINK("https://klasma.github.io/Logging_1737/kartor_geotiff/A 51144-2023 georefererad karta.tif", "A 51144-2023")</f>
        <v/>
      </c>
      <c r="AA256">
        <f>HYPERLINK("https://klasma.github.io/Logging_1737/klagomål/A 51144-2023 FSC-klagomål.docx", "A 51144-2023")</f>
        <v/>
      </c>
      <c r="AB256">
        <f>HYPERLINK("https://klasma.github.io/Logging_1737/klagomålsmail/A 51144-2023 FSC-klagomål mail.docx", "A 51144-2023")</f>
        <v/>
      </c>
      <c r="AC256">
        <f>HYPERLINK("https://klasma.github.io/Logging_1737/tillsyn/A 51144-2023 tillsynsbegäran.docx", "A 51144-2023")</f>
        <v/>
      </c>
      <c r="AD256">
        <f>HYPERLINK("https://klasma.github.io/Logging_1737/tillsynsmail/A 51144-2023 tillsynsbegäran mail.docx", "A 51144-2023")</f>
        <v/>
      </c>
    </row>
    <row r="257" ht="15" customHeight="1">
      <c r="A257" t="inlineStr">
        <is>
          <t>A 10343-2025</t>
        </is>
      </c>
      <c r="B257" t="inlineStr">
        <is>
          <t>avverkningsanmälan</t>
        </is>
      </c>
      <c r="C257" t="inlineStr">
        <is>
          <t>Föryngringsavverkning</t>
        </is>
      </c>
      <c r="D257" s="1" t="n">
        <v>45720</v>
      </c>
      <c r="E257" s="1" t="n">
        <v>46307</v>
      </c>
      <c r="F257" t="inlineStr">
        <is>
          <t>VÄRMLANDS LÄN</t>
        </is>
      </c>
      <c r="G257" t="inlineStr">
        <is>
          <t>TORSBY</t>
        </is>
      </c>
      <c r="I257" t="n">
        <v>3.1</v>
      </c>
      <c r="J257" t="n">
        <v>0</v>
      </c>
      <c r="K257" t="n">
        <v>0</v>
      </c>
      <c r="L257" t="n">
        <v>2</v>
      </c>
      <c r="M257" t="n">
        <v>1</v>
      </c>
      <c r="N257" t="n">
        <v>0</v>
      </c>
      <c r="O257" t="n">
        <v>0</v>
      </c>
      <c r="P257" t="n">
        <v>0</v>
      </c>
      <c r="Q257" t="n">
        <v>3</v>
      </c>
      <c r="R257" t="n">
        <v>1</v>
      </c>
      <c r="S257" t="n">
        <v>3</v>
      </c>
      <c r="T257" t="n">
        <v>3</v>
      </c>
      <c r="U257" t="n">
        <v>0</v>
      </c>
      <c r="V257" s="2" t="inlineStr">
        <is>
          <t>Norsk näverlav
Skuggblåslav
Violettgrå tagellav</t>
        </is>
      </c>
      <c r="W257">
        <f>HYPERLINK("https://klasma.github.io/Logging_1737/artfynd/A 10343-2025 artfynd.xlsx", "A 10343-2025")</f>
        <v/>
      </c>
      <c r="X257">
        <f>HYPERLINK("https://klasma.github.io/Logging_1737/kartor/A 10343-2025 karta.png", "A 10343-2025")</f>
        <v/>
      </c>
      <c r="Y257">
        <f>HYPERLINK("https://klasma.github.io/Logging_1737/kartor_geotiff/A 10343-2025 georefererad karta.tif", "A 10343-2025")</f>
        <v/>
      </c>
      <c r="AA257">
        <f>HYPERLINK("https://klasma.github.io/Logging_1737/klagomål/A 10343-2025 FSC-klagomål.docx", "A 10343-2025")</f>
        <v/>
      </c>
      <c r="AB257">
        <f>HYPERLINK("https://klasma.github.io/Logging_1737/klagomålsmail/A 10343-2025 FSC-klagomål mail.docx", "A 10343-2025")</f>
        <v/>
      </c>
      <c r="AC257">
        <f>HYPERLINK("https://klasma.github.io/Logging_1737/tillsyn/A 10343-2025 tillsynsbegäran.docx", "A 10343-2025")</f>
        <v/>
      </c>
      <c r="AD257">
        <f>HYPERLINK("https://klasma.github.io/Logging_1737/tillsynsmail/A 10343-2025 tillsynsbegäran mail.docx", "A 10343-2025")</f>
        <v/>
      </c>
    </row>
    <row r="258" ht="15" customHeight="1">
      <c r="A258" t="inlineStr">
        <is>
          <t>A 67528-2021</t>
        </is>
      </c>
      <c r="B258" t="inlineStr">
        <is>
          <t>avverkningsanmälan</t>
        </is>
      </c>
      <c r="C258" t="inlineStr">
        <is>
          <t>Föryngringsavverkning</t>
        </is>
      </c>
      <c r="D258" s="1" t="n">
        <v>44524</v>
      </c>
      <c r="E258" s="1" t="n">
        <v>46307</v>
      </c>
      <c r="F258" t="inlineStr">
        <is>
          <t>VÄRMLANDS LÄN</t>
        </is>
      </c>
      <c r="G258" t="inlineStr">
        <is>
          <t>TORSBY</t>
        </is>
      </c>
      <c r="I258" t="n">
        <v>47</v>
      </c>
      <c r="J258" t="n">
        <v>1</v>
      </c>
      <c r="K258" t="n">
        <v>1</v>
      </c>
      <c r="L258" t="n">
        <v>0</v>
      </c>
      <c r="M258" t="n">
        <v>1</v>
      </c>
      <c r="N258" t="n">
        <v>0</v>
      </c>
      <c r="O258" t="n">
        <v>0</v>
      </c>
      <c r="P258" t="n">
        <v>0</v>
      </c>
      <c r="Q258" t="n">
        <v>1</v>
      </c>
      <c r="R258" t="n">
        <v>1</v>
      </c>
      <c r="S258" t="n">
        <v>3</v>
      </c>
      <c r="T258" t="n">
        <v>5</v>
      </c>
      <c r="U258" t="n">
        <v>5</v>
      </c>
      <c r="V258" s="2" t="inlineStr">
        <is>
          <t>Garnlav
Vedticka
Tjäder</t>
        </is>
      </c>
      <c r="W258">
        <f>HYPERLINK("https://klasma.github.io/Logging_1737/artfynd/A 67528-2021 artfynd.xlsx", "A 67528-2021")</f>
        <v/>
      </c>
      <c r="X258">
        <f>HYPERLINK("https://klasma.github.io/Logging_1737/kartor/A 67528-2021 karta.png", "A 67528-2021")</f>
        <v/>
      </c>
      <c r="Y258">
        <f>HYPERLINK("https://klasma.github.io/Logging_1737/kartor_geotiff/A 67528-2021 georefererad karta.tif", "A 67528-2021")</f>
        <v/>
      </c>
      <c r="AA258">
        <f>HYPERLINK("https://klasma.github.io/Logging_1737/klagomål/A 67528-2021 FSC-klagomål.docx", "A 67528-2021")</f>
        <v/>
      </c>
      <c r="AB258">
        <f>HYPERLINK("https://klasma.github.io/Logging_1737/klagomålsmail/A 67528-2021 FSC-klagomål mail.docx", "A 67528-2021")</f>
        <v/>
      </c>
      <c r="AC258">
        <f>HYPERLINK("https://klasma.github.io/Logging_1737/tillsyn/A 67528-2021 tillsynsbegäran.docx", "A 67528-2021")</f>
        <v/>
      </c>
      <c r="AD258">
        <f>HYPERLINK("https://klasma.github.io/Logging_1737/tillsynsmail/A 67528-2021 tillsynsbegäran mail.docx", "A 67528-2021")</f>
        <v/>
      </c>
      <c r="AE258">
        <f>HYPERLINK("https://klasma.github.io/Logging_1737/fåglar/A 67528-2021 prioriterade fågelarter.docx", "A 67528-2021")</f>
        <v/>
      </c>
    </row>
    <row r="259" ht="15" customHeight="1">
      <c r="A259" t="inlineStr">
        <is>
          <t>A 1387-2024</t>
        </is>
      </c>
      <c r="B259" t="inlineStr">
        <is>
          <t>avverkningsanmälan</t>
        </is>
      </c>
      <c r="C259" t="inlineStr">
        <is>
          <t>Föryngringsavverkning</t>
        </is>
      </c>
      <c r="D259" s="1" t="n">
        <v>45303</v>
      </c>
      <c r="E259" s="1" t="n">
        <v>46307</v>
      </c>
      <c r="F259" t="inlineStr">
        <is>
          <t>VÄRMLANDS LÄN</t>
        </is>
      </c>
      <c r="G259" t="inlineStr">
        <is>
          <t>HAGFORS</t>
        </is>
      </c>
      <c r="H259" t="inlineStr">
        <is>
          <t>Bergvik skog väst AB</t>
        </is>
      </c>
      <c r="I259" t="n">
        <v>64.90000000000001</v>
      </c>
      <c r="J259" t="n">
        <v>2</v>
      </c>
      <c r="K259" t="n">
        <v>0</v>
      </c>
      <c r="L259" t="n">
        <v>1</v>
      </c>
      <c r="M259" t="n">
        <v>1</v>
      </c>
      <c r="N259" t="n">
        <v>0</v>
      </c>
      <c r="O259" t="n">
        <v>0</v>
      </c>
      <c r="P259" t="n">
        <v>0</v>
      </c>
      <c r="Q259" t="n">
        <v>2</v>
      </c>
      <c r="R259" t="n">
        <v>1</v>
      </c>
      <c r="S259" t="n">
        <v>3</v>
      </c>
      <c r="T259" t="n">
        <v>3</v>
      </c>
      <c r="U259" t="n">
        <v>1</v>
      </c>
      <c r="V259" s="2" t="inlineStr">
        <is>
          <t>Garnlav
Tretåig hackspett
Trana</t>
        </is>
      </c>
      <c r="W259">
        <f>HYPERLINK("https://klasma.github.io/Logging_1783/artfynd/A 1387-2024 artfynd.xlsx", "A 1387-2024")</f>
        <v/>
      </c>
      <c r="X259">
        <f>HYPERLINK("https://klasma.github.io/Logging_1783/kartor/A 1387-2024 karta.png", "A 1387-2024")</f>
        <v/>
      </c>
      <c r="Y259">
        <f>HYPERLINK("https://klasma.github.io/Logging_1783/kartor_geotiff/A 1387-2024 georefererad karta.tif", "A 1387-2024")</f>
        <v/>
      </c>
      <c r="AA259">
        <f>HYPERLINK("https://klasma.github.io/Logging_1783/klagomål/A 1387-2024 FSC-klagomål.docx", "A 1387-2024")</f>
        <v/>
      </c>
      <c r="AB259">
        <f>HYPERLINK("https://klasma.github.io/Logging_1783/klagomålsmail/A 1387-2024 FSC-klagomål mail.docx", "A 1387-2024")</f>
        <v/>
      </c>
      <c r="AC259">
        <f>HYPERLINK("https://klasma.github.io/Logging_1783/tillsyn/A 1387-2024 tillsynsbegäran.docx", "A 1387-2024")</f>
        <v/>
      </c>
      <c r="AD259">
        <f>HYPERLINK("https://klasma.github.io/Logging_1783/tillsynsmail/A 1387-2024 tillsynsbegäran mail.docx", "A 1387-2024")</f>
        <v/>
      </c>
      <c r="AE259">
        <f>HYPERLINK("https://klasma.github.io/Logging_1783/fåglar/A 1387-2024 prioriterade fågelarter.docx", "A 1387-2024")</f>
        <v/>
      </c>
    </row>
    <row r="260" ht="15" customHeight="1">
      <c r="A260" t="inlineStr">
        <is>
          <t>A 15730-2023</t>
        </is>
      </c>
      <c r="B260" t="inlineStr">
        <is>
          <t>avverkningsanmälan</t>
        </is>
      </c>
      <c r="C260" t="inlineStr">
        <is>
          <t>Avverkning för annat ändamål</t>
        </is>
      </c>
      <c r="D260" s="1" t="n">
        <v>45021</v>
      </c>
      <c r="E260" s="1" t="n">
        <v>46307</v>
      </c>
      <c r="F260" t="inlineStr">
        <is>
          <t>VÄRMLANDS LÄN</t>
        </is>
      </c>
      <c r="G260" t="inlineStr">
        <is>
          <t>ÅRJÄNG</t>
        </is>
      </c>
      <c r="I260" t="n">
        <v>1</v>
      </c>
      <c r="J260" t="n">
        <v>0</v>
      </c>
      <c r="K260" t="n">
        <v>0</v>
      </c>
      <c r="L260" t="n">
        <v>2</v>
      </c>
      <c r="M260" t="n">
        <v>1</v>
      </c>
      <c r="N260" t="n">
        <v>0</v>
      </c>
      <c r="O260" t="n">
        <v>0</v>
      </c>
      <c r="P260" t="n">
        <v>0</v>
      </c>
      <c r="Q260" t="n">
        <v>3</v>
      </c>
      <c r="R260" t="n">
        <v>1</v>
      </c>
      <c r="S260" t="n">
        <v>3</v>
      </c>
      <c r="T260" t="n">
        <v>3</v>
      </c>
      <c r="U260" t="n">
        <v>0</v>
      </c>
      <c r="V260" s="2" t="inlineStr">
        <is>
          <t>Grangråticka
Dropptaggsvamp
Kandelabersvamp</t>
        </is>
      </c>
      <c r="W260">
        <f>HYPERLINK("https://klasma.github.io/Logging_1765/artfynd/A 15730-2023 artfynd.xlsx", "A 15730-2023")</f>
        <v/>
      </c>
      <c r="X260">
        <f>HYPERLINK("https://klasma.github.io/Logging_1765/kartor/A 15730-2023 karta.png", "A 15730-2023")</f>
        <v/>
      </c>
      <c r="Y260">
        <f>HYPERLINK("https://klasma.github.io/Logging_1765/kartor_geotiff/A 15730-2023 georefererad karta.tif", "A 15730-2023")</f>
        <v/>
      </c>
      <c r="AA260">
        <f>HYPERLINK("https://klasma.github.io/Logging_1765/klagomål/A 15730-2023 FSC-klagomål.docx", "A 15730-2023")</f>
        <v/>
      </c>
      <c r="AB260">
        <f>HYPERLINK("https://klasma.github.io/Logging_1765/klagomålsmail/A 15730-2023 FSC-klagomål mail.docx", "A 15730-2023")</f>
        <v/>
      </c>
      <c r="AC260">
        <f>HYPERLINK("https://klasma.github.io/Logging_1765/tillsyn/A 15730-2023 tillsynsbegäran.docx", "A 15730-2023")</f>
        <v/>
      </c>
      <c r="AD260">
        <f>HYPERLINK("https://klasma.github.io/Logging_1765/tillsynsmail/A 15730-2023 tillsynsbegäran mail.docx", "A 15730-2023")</f>
        <v/>
      </c>
    </row>
    <row r="261" ht="15" customHeight="1">
      <c r="A261" t="inlineStr">
        <is>
          <t>A 57467-2025</t>
        </is>
      </c>
      <c r="B261" t="inlineStr">
        <is>
          <t>avverkningsanmälan</t>
        </is>
      </c>
      <c r="C261" t="inlineStr">
        <is>
          <t>Föryngringsavverkning</t>
        </is>
      </c>
      <c r="D261" s="1" t="n">
        <v>45980</v>
      </c>
      <c r="E261" s="1" t="n">
        <v>46307</v>
      </c>
      <c r="F261" t="inlineStr">
        <is>
          <t>VÄRMLANDS LÄN</t>
        </is>
      </c>
      <c r="G261" t="inlineStr">
        <is>
          <t>KARLSTAD</t>
        </is>
      </c>
      <c r="I261" t="n">
        <v>2</v>
      </c>
      <c r="J261" t="n">
        <v>0</v>
      </c>
      <c r="K261" t="n">
        <v>1</v>
      </c>
      <c r="L261" t="n">
        <v>2</v>
      </c>
      <c r="M261" t="n">
        <v>0</v>
      </c>
      <c r="N261" t="n">
        <v>0</v>
      </c>
      <c r="O261" t="n">
        <v>0</v>
      </c>
      <c r="P261" t="n">
        <v>0</v>
      </c>
      <c r="Q261" t="n">
        <v>2</v>
      </c>
      <c r="R261" t="n">
        <v>0</v>
      </c>
      <c r="S261" t="n">
        <v>3</v>
      </c>
      <c r="T261" t="n">
        <v>4</v>
      </c>
      <c r="U261" t="n">
        <v>0</v>
      </c>
      <c r="V261" s="2" t="inlineStr">
        <is>
          <t>Ullticka
Vedtrappmossa
Vedticka</t>
        </is>
      </c>
      <c r="W261">
        <f>HYPERLINK("https://klasma.github.io/Logging_1780/artfynd/A 57467-2025 artfynd.xlsx", "A 57467-2025")</f>
        <v/>
      </c>
      <c r="X261">
        <f>HYPERLINK("https://klasma.github.io/Logging_1780/kartor/A 57467-2025 karta.png", "A 57467-2025")</f>
        <v/>
      </c>
      <c r="Y261">
        <f>HYPERLINK("https://klasma.github.io/Logging_1780/kartor_geotiff/A 57467-2025 georefererad karta.tif", "A 57467-2025")</f>
        <v/>
      </c>
      <c r="AA261">
        <f>HYPERLINK("https://klasma.github.io/Logging_1780/klagomål/A 57467-2025 FSC-klagomål.docx", "A 57467-2025")</f>
        <v/>
      </c>
      <c r="AB261">
        <f>HYPERLINK("https://klasma.github.io/Logging_1780/klagomålsmail/A 57467-2025 FSC-klagomål mail.docx", "A 57467-2025")</f>
        <v/>
      </c>
      <c r="AC261">
        <f>HYPERLINK("https://klasma.github.io/Logging_1780/tillsyn/A 57467-2025 tillsynsbegäran.docx", "A 57467-2025")</f>
        <v/>
      </c>
      <c r="AD261">
        <f>HYPERLINK("https://klasma.github.io/Logging_1780/tillsynsmail/A 57467-2025 tillsynsbegäran mail.docx", "A 57467-2025")</f>
        <v/>
      </c>
    </row>
    <row r="262" ht="15" customHeight="1">
      <c r="A262" t="inlineStr">
        <is>
          <t>A 63799-2023</t>
        </is>
      </c>
      <c r="B262" t="inlineStr">
        <is>
          <t>avverkningsanmälan</t>
        </is>
      </c>
      <c r="C262" t="inlineStr">
        <is>
          <t>Föryngringsavverkning</t>
        </is>
      </c>
      <c r="D262" s="1" t="n">
        <v>45278</v>
      </c>
      <c r="E262" s="1" t="n">
        <v>46307</v>
      </c>
      <c r="F262" t="inlineStr">
        <is>
          <t>VÄRMLANDS LÄN</t>
        </is>
      </c>
      <c r="G262" t="inlineStr">
        <is>
          <t>FORSHAGA</t>
        </is>
      </c>
      <c r="H262" t="inlineStr">
        <is>
          <t>Bergvik skog väst AB</t>
        </is>
      </c>
      <c r="I262" t="n">
        <v>10.5</v>
      </c>
      <c r="J262" t="n">
        <v>1</v>
      </c>
      <c r="K262" t="n">
        <v>1</v>
      </c>
      <c r="L262" t="n">
        <v>0</v>
      </c>
      <c r="M262" t="n">
        <v>1</v>
      </c>
      <c r="N262" t="n">
        <v>0</v>
      </c>
      <c r="O262" t="n">
        <v>0</v>
      </c>
      <c r="P262" t="n">
        <v>0</v>
      </c>
      <c r="Q262" t="n">
        <v>1</v>
      </c>
      <c r="R262" t="n">
        <v>1</v>
      </c>
      <c r="S262" t="n">
        <v>3</v>
      </c>
      <c r="T262" t="n">
        <v>3</v>
      </c>
      <c r="U262" t="n">
        <v>0</v>
      </c>
      <c r="V262" s="2" t="inlineStr">
        <is>
          <t>Blåtryffel
Svart trolldruva
Blåsippa</t>
        </is>
      </c>
      <c r="W262">
        <f>HYPERLINK("https://klasma.github.io/Logging_1763/artfynd/A 63799-2023 artfynd.xlsx", "A 63799-2023")</f>
        <v/>
      </c>
      <c r="X262">
        <f>HYPERLINK("https://klasma.github.io/Logging_1763/kartor/A 63799-2023 karta.png", "A 63799-2023")</f>
        <v/>
      </c>
      <c r="Y262">
        <f>HYPERLINK("https://klasma.github.io/Logging_1763/kartor_geotiff/A 63799-2023 georefererad karta.tif", "A 63799-2023")</f>
        <v/>
      </c>
      <c r="AA262">
        <f>HYPERLINK("https://klasma.github.io/Logging_1763/klagomål/A 63799-2023 FSC-klagomål.docx", "A 63799-2023")</f>
        <v/>
      </c>
      <c r="AB262">
        <f>HYPERLINK("https://klasma.github.io/Logging_1763/klagomålsmail/A 63799-2023 FSC-klagomål mail.docx", "A 63799-2023")</f>
        <v/>
      </c>
      <c r="AC262">
        <f>HYPERLINK("https://klasma.github.io/Logging_1763/tillsyn/A 63799-2023 tillsynsbegäran.docx", "A 63799-2023")</f>
        <v/>
      </c>
      <c r="AD262">
        <f>HYPERLINK("https://klasma.github.io/Logging_1763/tillsynsmail/A 63799-2023 tillsynsbegäran mail.docx", "A 63799-2023")</f>
        <v/>
      </c>
    </row>
    <row r="263" ht="15" customHeight="1">
      <c r="A263" t="inlineStr">
        <is>
          <t>A 41534-2023</t>
        </is>
      </c>
      <c r="B263" t="inlineStr">
        <is>
          <t>avverkningsanmälan</t>
        </is>
      </c>
      <c r="C263" t="inlineStr">
        <is>
          <t>Föryngringsavverkning</t>
        </is>
      </c>
      <c r="D263" s="1" t="n">
        <v>45175</v>
      </c>
      <c r="E263" s="1" t="n">
        <v>46307</v>
      </c>
      <c r="F263" t="inlineStr">
        <is>
          <t>VÄRMLANDS LÄN</t>
        </is>
      </c>
      <c r="G263" t="inlineStr">
        <is>
          <t>KARLSTAD</t>
        </is>
      </c>
      <c r="H263" t="inlineStr">
        <is>
          <t>Övriga Aktiebolag</t>
        </is>
      </c>
      <c r="I263" t="n">
        <v>1.3</v>
      </c>
      <c r="J263" t="n">
        <v>2</v>
      </c>
      <c r="K263" t="n">
        <v>0</v>
      </c>
      <c r="L263" t="n">
        <v>1</v>
      </c>
      <c r="M263" t="n">
        <v>0</v>
      </c>
      <c r="N263" t="n">
        <v>0</v>
      </c>
      <c r="O263" t="n">
        <v>0</v>
      </c>
      <c r="P263" t="n">
        <v>0</v>
      </c>
      <c r="Q263" t="n">
        <v>1</v>
      </c>
      <c r="R263" t="n">
        <v>0</v>
      </c>
      <c r="S263" t="n">
        <v>3</v>
      </c>
      <c r="T263" t="n">
        <v>6</v>
      </c>
      <c r="U263" t="n">
        <v>6</v>
      </c>
      <c r="V263" s="2" t="inlineStr">
        <is>
          <t>Motaggsvamp
Tjäder
Tofsmes</t>
        </is>
      </c>
      <c r="W263">
        <f>HYPERLINK("https://klasma.github.io/Logging_1780/artfynd/A 41534-2023 artfynd.xlsx", "A 41534-2023")</f>
        <v/>
      </c>
      <c r="X263">
        <f>HYPERLINK("https://klasma.github.io/Logging_1780/kartor/A 41534-2023 karta.png", "A 41534-2023")</f>
        <v/>
      </c>
      <c r="Y263">
        <f>HYPERLINK("https://klasma.github.io/Logging_1780/kartor_geotiff/A 41534-2023 georefererad karta.tif", "A 41534-2023")</f>
        <v/>
      </c>
      <c r="AA263">
        <f>HYPERLINK("https://klasma.github.io/Logging_1780/klagomål/A 41534-2023 FSC-klagomål.docx", "A 41534-2023")</f>
        <v/>
      </c>
      <c r="AB263">
        <f>HYPERLINK("https://klasma.github.io/Logging_1780/klagomålsmail/A 41534-2023 FSC-klagomål mail.docx", "A 41534-2023")</f>
        <v/>
      </c>
      <c r="AC263">
        <f>HYPERLINK("https://klasma.github.io/Logging_1780/tillsyn/A 41534-2023 tillsynsbegäran.docx", "A 41534-2023")</f>
        <v/>
      </c>
      <c r="AD263">
        <f>HYPERLINK("https://klasma.github.io/Logging_1780/tillsynsmail/A 41534-2023 tillsynsbegäran mail.docx", "A 41534-2023")</f>
        <v/>
      </c>
      <c r="AE263">
        <f>HYPERLINK("https://klasma.github.io/Logging_1780/fåglar/A 41534-2023 prioriterade fågelarter.docx", "A 41534-2023")</f>
        <v/>
      </c>
    </row>
    <row r="264" ht="15" customHeight="1">
      <c r="A264" t="inlineStr">
        <is>
          <t>A 59632-2025</t>
        </is>
      </c>
      <c r="B264" t="inlineStr">
        <is>
          <t>avverkningsanmälan</t>
        </is>
      </c>
      <c r="C264" t="inlineStr">
        <is>
          <t>Föryngringsavverkning</t>
        </is>
      </c>
      <c r="D264" s="1" t="n">
        <v>45992</v>
      </c>
      <c r="E264" s="1" t="n">
        <v>46307</v>
      </c>
      <c r="F264" t="inlineStr">
        <is>
          <t>VÄRMLANDS LÄN</t>
        </is>
      </c>
      <c r="G264" t="inlineStr">
        <is>
          <t>SUNNE</t>
        </is>
      </c>
      <c r="I264" t="n">
        <v>8.199999999999999</v>
      </c>
      <c r="J264" t="n">
        <v>0</v>
      </c>
      <c r="K264" t="n">
        <v>3</v>
      </c>
      <c r="L264" t="n">
        <v>0</v>
      </c>
      <c r="M264" t="n">
        <v>0</v>
      </c>
      <c r="N264" t="n">
        <v>0</v>
      </c>
      <c r="O264" t="n">
        <v>0</v>
      </c>
      <c r="P264" t="n">
        <v>0</v>
      </c>
      <c r="Q264" t="n">
        <v>0</v>
      </c>
      <c r="R264" t="n">
        <v>0</v>
      </c>
      <c r="S264" t="n">
        <v>3</v>
      </c>
      <c r="T264" t="n">
        <v>3</v>
      </c>
      <c r="U264" t="n">
        <v>0</v>
      </c>
      <c r="V264" s="2" t="inlineStr">
        <is>
          <t>Bårdlav
Skinnlav
Stuplav</t>
        </is>
      </c>
      <c r="W264">
        <f>HYPERLINK("https://klasma.github.io/Logging_1766/artfynd/A 59632-2025 artfynd.xlsx", "A 59632-2025")</f>
        <v/>
      </c>
      <c r="X264">
        <f>HYPERLINK("https://klasma.github.io/Logging_1766/kartor/A 59632-2025 karta.png", "A 59632-2025")</f>
        <v/>
      </c>
      <c r="Y264">
        <f>HYPERLINK("https://klasma.github.io/Logging_1766/kartor_geotiff/A 59632-2025 georefererad karta.tif", "A 59632-2025")</f>
        <v/>
      </c>
      <c r="AA264">
        <f>HYPERLINK("https://klasma.github.io/Logging_1766/klagomål/A 59632-2025 FSC-klagomål.docx", "A 59632-2025")</f>
        <v/>
      </c>
      <c r="AB264">
        <f>HYPERLINK("https://klasma.github.io/Logging_1766/klagomålsmail/A 59632-2025 FSC-klagomål mail.docx", "A 59632-2025")</f>
        <v/>
      </c>
      <c r="AC264">
        <f>HYPERLINK("https://klasma.github.io/Logging_1766/tillsyn/A 59632-2025 tillsynsbegäran.docx", "A 59632-2025")</f>
        <v/>
      </c>
      <c r="AD264">
        <f>HYPERLINK("https://klasma.github.io/Logging_1766/tillsynsmail/A 59632-2025 tillsynsbegäran mail.docx", "A 59632-2025")</f>
        <v/>
      </c>
    </row>
    <row r="265" ht="15" customHeight="1">
      <c r="A265" t="inlineStr">
        <is>
          <t>A 45468-2025</t>
        </is>
      </c>
      <c r="B265" t="inlineStr">
        <is>
          <t>avverkningsanmälan</t>
        </is>
      </c>
      <c r="C265" t="inlineStr">
        <is>
          <t>Föryngringsavverkning</t>
        </is>
      </c>
      <c r="D265" s="1" t="n">
        <v>45922</v>
      </c>
      <c r="E265" s="1" t="n">
        <v>46307</v>
      </c>
      <c r="F265" t="inlineStr">
        <is>
          <t>VÄRMLANDS LÄN</t>
        </is>
      </c>
      <c r="G265" t="inlineStr">
        <is>
          <t>TORSBY</t>
        </is>
      </c>
      <c r="I265" t="n">
        <v>5.6</v>
      </c>
      <c r="J265" t="n">
        <v>0</v>
      </c>
      <c r="K265" t="n">
        <v>0</v>
      </c>
      <c r="L265" t="n">
        <v>2</v>
      </c>
      <c r="M265" t="n">
        <v>1</v>
      </c>
      <c r="N265" t="n">
        <v>0</v>
      </c>
      <c r="O265" t="n">
        <v>0</v>
      </c>
      <c r="P265" t="n">
        <v>0</v>
      </c>
      <c r="Q265" t="n">
        <v>3</v>
      </c>
      <c r="R265" t="n">
        <v>1</v>
      </c>
      <c r="S265" t="n">
        <v>3</v>
      </c>
      <c r="T265" t="n">
        <v>5</v>
      </c>
      <c r="U265" t="n">
        <v>0</v>
      </c>
      <c r="V265" s="2" t="inlineStr">
        <is>
          <t>Garnlav
Kolflarnlav
Vedskivlav</t>
        </is>
      </c>
      <c r="W265">
        <f>HYPERLINK("https://klasma.github.io/Logging_1737/artfynd/A 45468-2025 artfynd.xlsx", "A 45468-2025")</f>
        <v/>
      </c>
      <c r="X265">
        <f>HYPERLINK("https://klasma.github.io/Logging_1737/kartor/A 45468-2025 karta.png", "A 45468-2025")</f>
        <v/>
      </c>
      <c r="Y265">
        <f>HYPERLINK("https://klasma.github.io/Logging_1737/kartor_geotiff/A 45468-2025 georefererad karta.tif", "A 45468-2025")</f>
        <v/>
      </c>
      <c r="AA265">
        <f>HYPERLINK("https://klasma.github.io/Logging_1737/klagomål/A 45468-2025 FSC-klagomål.docx", "A 45468-2025")</f>
        <v/>
      </c>
      <c r="AB265">
        <f>HYPERLINK("https://klasma.github.io/Logging_1737/klagomålsmail/A 45468-2025 FSC-klagomål mail.docx", "A 45468-2025")</f>
        <v/>
      </c>
      <c r="AC265">
        <f>HYPERLINK("https://klasma.github.io/Logging_1737/tillsyn/A 45468-2025 tillsynsbegäran.docx", "A 45468-2025")</f>
        <v/>
      </c>
      <c r="AD265">
        <f>HYPERLINK("https://klasma.github.io/Logging_1737/tillsynsmail/A 45468-2025 tillsynsbegäran mail.docx", "A 45468-2025")</f>
        <v/>
      </c>
    </row>
    <row r="266" ht="15" customHeight="1">
      <c r="A266" t="inlineStr">
        <is>
          <t>A 59972-2025</t>
        </is>
      </c>
      <c r="B266" t="inlineStr">
        <is>
          <t>avverkningsanmälan</t>
        </is>
      </c>
      <c r="C266" t="inlineStr">
        <is>
          <t>Föryngringsavverkning</t>
        </is>
      </c>
      <c r="D266" s="1" t="n">
        <v>45993</v>
      </c>
      <c r="E266" s="1" t="n">
        <v>46307</v>
      </c>
      <c r="F266" t="inlineStr">
        <is>
          <t>VÄRMLANDS LÄN</t>
        </is>
      </c>
      <c r="G266" t="inlineStr">
        <is>
          <t>HAGFORS</t>
        </is>
      </c>
      <c r="H266" t="inlineStr">
        <is>
          <t>Bergvik skog väst AB</t>
        </is>
      </c>
      <c r="I266" t="n">
        <v>1.8</v>
      </c>
      <c r="J266" t="n">
        <v>0</v>
      </c>
      <c r="K266" t="n">
        <v>1</v>
      </c>
      <c r="L266" t="n">
        <v>1</v>
      </c>
      <c r="M266" t="n">
        <v>1</v>
      </c>
      <c r="N266" t="n">
        <v>0</v>
      </c>
      <c r="O266" t="n">
        <v>0</v>
      </c>
      <c r="P266" t="n">
        <v>0</v>
      </c>
      <c r="Q266" t="n">
        <v>2</v>
      </c>
      <c r="R266" t="n">
        <v>1</v>
      </c>
      <c r="S266" t="n">
        <v>3</v>
      </c>
      <c r="T266" t="n">
        <v>3</v>
      </c>
      <c r="U266" t="n">
        <v>0</v>
      </c>
      <c r="V266" s="2" t="inlineStr">
        <is>
          <t>Aspgelélav
Lunglav
Korallblylav</t>
        </is>
      </c>
      <c r="W266">
        <f>HYPERLINK("https://klasma.github.io/Logging_1783/artfynd/A 59972-2025 artfynd.xlsx", "A 59972-2025")</f>
        <v/>
      </c>
      <c r="X266">
        <f>HYPERLINK("https://klasma.github.io/Logging_1783/kartor/A 59972-2025 karta.png", "A 59972-2025")</f>
        <v/>
      </c>
      <c r="Y266">
        <f>HYPERLINK("https://klasma.github.io/Logging_1783/kartor_geotiff/A 59972-2025 georefererad karta.tif", "A 59972-2025")</f>
        <v/>
      </c>
      <c r="AA266">
        <f>HYPERLINK("https://klasma.github.io/Logging_1783/klagomål/A 59972-2025 FSC-klagomål.docx", "A 59972-2025")</f>
        <v/>
      </c>
      <c r="AB266">
        <f>HYPERLINK("https://klasma.github.io/Logging_1783/klagomålsmail/A 59972-2025 FSC-klagomål mail.docx", "A 59972-2025")</f>
        <v/>
      </c>
      <c r="AC266">
        <f>HYPERLINK("https://klasma.github.io/Logging_1783/tillsyn/A 59972-2025 tillsynsbegäran.docx", "A 59972-2025")</f>
        <v/>
      </c>
      <c r="AD266">
        <f>HYPERLINK("https://klasma.github.io/Logging_1783/tillsynsmail/A 59972-2025 tillsynsbegäran mail.docx", "A 59972-2025")</f>
        <v/>
      </c>
    </row>
    <row r="267" ht="15" customHeight="1">
      <c r="A267" t="inlineStr">
        <is>
          <t>A 61527-2022</t>
        </is>
      </c>
      <c r="B267" t="inlineStr">
        <is>
          <t>avverkningsanmälan</t>
        </is>
      </c>
      <c r="C267" t="inlineStr">
        <is>
          <t>Föryngringsavverkning</t>
        </is>
      </c>
      <c r="D267" s="1" t="n">
        <v>44916</v>
      </c>
      <c r="E267" s="1" t="n">
        <v>46307</v>
      </c>
      <c r="F267" t="inlineStr">
        <is>
          <t>VÄRMLANDS LÄN</t>
        </is>
      </c>
      <c r="G267" t="inlineStr">
        <is>
          <t>EDA</t>
        </is>
      </c>
      <c r="I267" t="n">
        <v>4.3</v>
      </c>
      <c r="J267" t="n">
        <v>1</v>
      </c>
      <c r="K267" t="n">
        <v>0</v>
      </c>
      <c r="L267" t="n">
        <v>1</v>
      </c>
      <c r="M267" t="n">
        <v>1</v>
      </c>
      <c r="N267" t="n">
        <v>0</v>
      </c>
      <c r="O267" t="n">
        <v>0</v>
      </c>
      <c r="P267" t="n">
        <v>0</v>
      </c>
      <c r="Q267" t="n">
        <v>2</v>
      </c>
      <c r="R267" t="n">
        <v>1</v>
      </c>
      <c r="S267" t="n">
        <v>3</v>
      </c>
      <c r="T267" t="n">
        <v>3</v>
      </c>
      <c r="U267" t="n">
        <v>3</v>
      </c>
      <c r="V267" s="2" t="inlineStr">
        <is>
          <t>Garnlav
Dropptaggsvamp
Tjäder</t>
        </is>
      </c>
      <c r="W267">
        <f>HYPERLINK("https://klasma.github.io/Logging_1730/artfynd/A 61527-2022 artfynd.xlsx", "A 61527-2022")</f>
        <v/>
      </c>
      <c r="X267">
        <f>HYPERLINK("https://klasma.github.io/Logging_1730/kartor/A 61527-2022 karta.png", "A 61527-2022")</f>
        <v/>
      </c>
      <c r="Y267">
        <f>HYPERLINK("https://klasma.github.io/Logging_1730/kartor_geotiff/A 61527-2022 georefererad karta.tif", "A 61527-2022")</f>
        <v/>
      </c>
      <c r="AA267">
        <f>HYPERLINK("https://klasma.github.io/Logging_1730/klagomål/A 61527-2022 FSC-klagomål.docx", "A 61527-2022")</f>
        <v/>
      </c>
      <c r="AB267">
        <f>HYPERLINK("https://klasma.github.io/Logging_1730/klagomålsmail/A 61527-2022 FSC-klagomål mail.docx", "A 61527-2022")</f>
        <v/>
      </c>
      <c r="AC267">
        <f>HYPERLINK("https://klasma.github.io/Logging_1730/tillsyn/A 61527-2022 tillsynsbegäran.docx", "A 61527-2022")</f>
        <v/>
      </c>
      <c r="AD267">
        <f>HYPERLINK("https://klasma.github.io/Logging_1730/tillsynsmail/A 61527-2022 tillsynsbegäran mail.docx", "A 61527-2022")</f>
        <v/>
      </c>
      <c r="AE267">
        <f>HYPERLINK("https://klasma.github.io/Logging_1730/fåglar/A 61527-2022 prioriterade fågelarter.docx", "A 61527-2022")</f>
        <v/>
      </c>
    </row>
    <row r="268" ht="15" customHeight="1">
      <c r="A268" t="inlineStr">
        <is>
          <t>A 47986-2025</t>
        </is>
      </c>
      <c r="B268" t="inlineStr">
        <is>
          <t>avverkningsanmälan</t>
        </is>
      </c>
      <c r="C268" t="inlineStr">
        <is>
          <t>Föryngringsavverkning</t>
        </is>
      </c>
      <c r="D268" s="1" t="n">
        <v>45932</v>
      </c>
      <c r="E268" s="1" t="n">
        <v>46307</v>
      </c>
      <c r="F268" t="inlineStr">
        <is>
          <t>VÄRMLANDS LÄN</t>
        </is>
      </c>
      <c r="G268" t="inlineStr">
        <is>
          <t>KARLSTAD</t>
        </is>
      </c>
      <c r="I268" t="n">
        <v>2.2</v>
      </c>
      <c r="J268" t="n">
        <v>0</v>
      </c>
      <c r="K268" t="n">
        <v>0</v>
      </c>
      <c r="L268" t="n">
        <v>3</v>
      </c>
      <c r="M268" t="n">
        <v>0</v>
      </c>
      <c r="N268" t="n">
        <v>0</v>
      </c>
      <c r="O268" t="n">
        <v>0</v>
      </c>
      <c r="P268" t="n">
        <v>0</v>
      </c>
      <c r="Q268" t="n">
        <v>3</v>
      </c>
      <c r="R268" t="n">
        <v>0</v>
      </c>
      <c r="S268" t="n">
        <v>3</v>
      </c>
      <c r="T268" t="n">
        <v>3</v>
      </c>
      <c r="U268" t="n">
        <v>3</v>
      </c>
      <c r="V268" s="2" t="inlineStr">
        <is>
          <t>Gropticka
Kandelabersvamp
Motaggsvamp</t>
        </is>
      </c>
      <c r="W268">
        <f>HYPERLINK("https://klasma.github.io/Logging_1780/artfynd/A 47986-2025 artfynd.xlsx", "A 47986-2025")</f>
        <v/>
      </c>
      <c r="X268">
        <f>HYPERLINK("https://klasma.github.io/Logging_1780/kartor/A 47986-2025 karta.png", "A 47986-2025")</f>
        <v/>
      </c>
      <c r="Y268">
        <f>HYPERLINK("https://klasma.github.io/Logging_1780/kartor_geotiff/A 47986-2025 georefererad karta.tif", "A 47986-2025")</f>
        <v/>
      </c>
      <c r="AA268">
        <f>HYPERLINK("https://klasma.github.io/Logging_1780/klagomål/A 47986-2025 FSC-klagomål.docx", "A 47986-2025")</f>
        <v/>
      </c>
      <c r="AB268">
        <f>HYPERLINK("https://klasma.github.io/Logging_1780/klagomålsmail/A 47986-2025 FSC-klagomål mail.docx", "A 47986-2025")</f>
        <v/>
      </c>
      <c r="AC268">
        <f>HYPERLINK("https://klasma.github.io/Logging_1780/tillsyn/A 47986-2025 tillsynsbegäran.docx", "A 47986-2025")</f>
        <v/>
      </c>
      <c r="AD268">
        <f>HYPERLINK("https://klasma.github.io/Logging_1780/tillsynsmail/A 47986-2025 tillsynsbegäran mail.docx", "A 47986-2025")</f>
        <v/>
      </c>
    </row>
    <row r="269" ht="15" customHeight="1">
      <c r="A269" t="inlineStr">
        <is>
          <t>A 18103-2026</t>
        </is>
      </c>
      <c r="B269" t="inlineStr">
        <is>
          <t>avverkningsanmälan</t>
        </is>
      </c>
      <c r="C269" t="inlineStr">
        <is>
          <t>Föryngringsavverkning</t>
        </is>
      </c>
      <c r="D269" s="1" t="n">
        <v>46125</v>
      </c>
      <c r="E269" s="1" t="n">
        <v>46307</v>
      </c>
      <c r="F269" t="inlineStr">
        <is>
          <t>VÄRMLANDS LÄN</t>
        </is>
      </c>
      <c r="G269" t="inlineStr">
        <is>
          <t>FORSHAGA</t>
        </is>
      </c>
      <c r="H269" t="inlineStr">
        <is>
          <t>Bergvik skog väst AB</t>
        </is>
      </c>
      <c r="I269" t="n">
        <v>7.2</v>
      </c>
      <c r="J269" t="n">
        <v>1</v>
      </c>
      <c r="K269" t="n">
        <v>1</v>
      </c>
      <c r="L269" t="n">
        <v>1</v>
      </c>
      <c r="M269" t="n">
        <v>0</v>
      </c>
      <c r="N269" t="n">
        <v>0</v>
      </c>
      <c r="O269" t="n">
        <v>0</v>
      </c>
      <c r="P269" t="n">
        <v>0</v>
      </c>
      <c r="Q269" t="n">
        <v>1</v>
      </c>
      <c r="R269" t="n">
        <v>0</v>
      </c>
      <c r="S269" t="n">
        <v>3</v>
      </c>
      <c r="T269" t="n">
        <v>3</v>
      </c>
      <c r="U269" t="n">
        <v>0</v>
      </c>
      <c r="V269" s="2" t="inlineStr">
        <is>
          <t>Gransotdyna
Mörk husmossa
Blåsippa</t>
        </is>
      </c>
      <c r="W269">
        <f>HYPERLINK("https://klasma.github.io/Logging_1763/artfynd/A 18103-2026 artfynd.xlsx", "A 18103-2026")</f>
        <v/>
      </c>
      <c r="X269">
        <f>HYPERLINK("https://klasma.github.io/Logging_1763/kartor/A 18103-2026 karta.png", "A 18103-2026")</f>
        <v/>
      </c>
      <c r="Y269">
        <f>HYPERLINK("https://klasma.github.io/Logging_1763/kartor_geotiff/A 18103-2026 georefererad karta.tif", "A 18103-2026")</f>
        <v/>
      </c>
      <c r="AA269">
        <f>HYPERLINK("https://klasma.github.io/Logging_1763/klagomål/A 18103-2026 FSC-klagomål.docx", "A 18103-2026")</f>
        <v/>
      </c>
      <c r="AB269">
        <f>HYPERLINK("https://klasma.github.io/Logging_1763/klagomålsmail/A 18103-2026 FSC-klagomål mail.docx", "A 18103-2026")</f>
        <v/>
      </c>
      <c r="AC269">
        <f>HYPERLINK("https://klasma.github.io/Logging_1763/tillsyn/A 18103-2026 tillsynsbegäran.docx", "A 18103-2026")</f>
        <v/>
      </c>
      <c r="AD269">
        <f>HYPERLINK("https://klasma.github.io/Logging_1763/tillsynsmail/A 18103-2026 tillsynsbegäran mail.docx", "A 18103-2026")</f>
        <v/>
      </c>
    </row>
    <row r="270" ht="15" customHeight="1">
      <c r="A270" t="inlineStr">
        <is>
          <t>A 5978-2024</t>
        </is>
      </c>
      <c r="B270" t="inlineStr">
        <is>
          <t>avverkningsanmälan</t>
        </is>
      </c>
      <c r="C270" t="inlineStr">
        <is>
          <t>Föryngringsavverkning</t>
        </is>
      </c>
      <c r="D270" s="1" t="n">
        <v>45336</v>
      </c>
      <c r="E270" s="1" t="n">
        <v>46307</v>
      </c>
      <c r="F270" t="inlineStr">
        <is>
          <t>VÄRMLANDS LÄN</t>
        </is>
      </c>
      <c r="G270" t="inlineStr">
        <is>
          <t>SUNNE</t>
        </is>
      </c>
      <c r="I270" t="n">
        <v>1.2</v>
      </c>
      <c r="J270" t="n">
        <v>0</v>
      </c>
      <c r="K270" t="n">
        <v>0</v>
      </c>
      <c r="L270" t="n">
        <v>2</v>
      </c>
      <c r="M270" t="n">
        <v>1</v>
      </c>
      <c r="N270" t="n">
        <v>0</v>
      </c>
      <c r="O270" t="n">
        <v>0</v>
      </c>
      <c r="P270" t="n">
        <v>0</v>
      </c>
      <c r="Q270" t="n">
        <v>3</v>
      </c>
      <c r="R270" t="n">
        <v>1</v>
      </c>
      <c r="S270" t="n">
        <v>3</v>
      </c>
      <c r="T270" t="n">
        <v>5</v>
      </c>
      <c r="U270" t="n">
        <v>0</v>
      </c>
      <c r="V270" s="2" t="inlineStr">
        <is>
          <t>Garnlav
Skuggblåslav
Violettgrå tagellav</t>
        </is>
      </c>
      <c r="W270">
        <f>HYPERLINK("https://klasma.github.io/Logging_1766/artfynd/A 5978-2024 artfynd.xlsx", "A 5978-2024")</f>
        <v/>
      </c>
      <c r="X270">
        <f>HYPERLINK("https://klasma.github.io/Logging_1766/kartor/A 5978-2024 karta.png", "A 5978-2024")</f>
        <v/>
      </c>
      <c r="Y270">
        <f>HYPERLINK("https://klasma.github.io/Logging_1766/kartor_geotiff/A 5978-2024 georefererad karta.tif", "A 5978-2024")</f>
        <v/>
      </c>
      <c r="AA270">
        <f>HYPERLINK("https://klasma.github.io/Logging_1766/klagomål/A 5978-2024 FSC-klagomål.docx", "A 5978-2024")</f>
        <v/>
      </c>
      <c r="AB270">
        <f>HYPERLINK("https://klasma.github.io/Logging_1766/klagomålsmail/A 5978-2024 FSC-klagomål mail.docx", "A 5978-2024")</f>
        <v/>
      </c>
      <c r="AC270">
        <f>HYPERLINK("https://klasma.github.io/Logging_1766/tillsyn/A 5978-2024 tillsynsbegäran.docx", "A 5978-2024")</f>
        <v/>
      </c>
      <c r="AD270">
        <f>HYPERLINK("https://klasma.github.io/Logging_1766/tillsynsmail/A 5978-2024 tillsynsbegäran mail.docx", "A 5978-2024")</f>
        <v/>
      </c>
    </row>
    <row r="271" ht="15" customHeight="1">
      <c r="A271" t="inlineStr">
        <is>
          <t>A 18741-2026</t>
        </is>
      </c>
      <c r="B271" t="inlineStr">
        <is>
          <t>avverkningsanmälan</t>
        </is>
      </c>
      <c r="C271" t="inlineStr">
        <is>
          <t>Föryngringsavverkning</t>
        </is>
      </c>
      <c r="D271" s="1" t="n">
        <v>46128</v>
      </c>
      <c r="E271" s="1" t="n">
        <v>46307</v>
      </c>
      <c r="F271" t="inlineStr">
        <is>
          <t>VÄRMLANDS LÄN</t>
        </is>
      </c>
      <c r="G271" t="inlineStr">
        <is>
          <t>ÅRJÄNG</t>
        </is>
      </c>
      <c r="I271" t="n">
        <v>1.1</v>
      </c>
      <c r="J271" t="n">
        <v>0</v>
      </c>
      <c r="K271" t="n">
        <v>2</v>
      </c>
      <c r="L271" t="n">
        <v>1</v>
      </c>
      <c r="M271" t="n">
        <v>0</v>
      </c>
      <c r="N271" t="n">
        <v>0</v>
      </c>
      <c r="O271" t="n">
        <v>0</v>
      </c>
      <c r="P271" t="n">
        <v>0</v>
      </c>
      <c r="Q271" t="n">
        <v>1</v>
      </c>
      <c r="R271" t="n">
        <v>0</v>
      </c>
      <c r="S271" t="n">
        <v>3</v>
      </c>
      <c r="T271" t="n">
        <v>4</v>
      </c>
      <c r="U271" t="n">
        <v>0</v>
      </c>
      <c r="V271" s="2" t="inlineStr">
        <is>
          <t>Kattfotslav
Bronshjon
Vågbandad barkbock</t>
        </is>
      </c>
      <c r="W271">
        <f>HYPERLINK("https://klasma.github.io/Logging_1765/artfynd/A 18741-2026 artfynd.xlsx", "A 18741-2026")</f>
        <v/>
      </c>
      <c r="X271">
        <f>HYPERLINK("https://klasma.github.io/Logging_1765/kartor/A 18741-2026 karta.png", "A 18741-2026")</f>
        <v/>
      </c>
      <c r="Y271">
        <f>HYPERLINK("https://klasma.github.io/Logging_1765/kartor_geotiff/A 18741-2026 georefererad karta.tif", "A 18741-2026")</f>
        <v/>
      </c>
      <c r="AA271">
        <f>HYPERLINK("https://klasma.github.io/Logging_1765/klagomål/A 18741-2026 FSC-klagomål.docx", "A 18741-2026")</f>
        <v/>
      </c>
      <c r="AB271">
        <f>HYPERLINK("https://klasma.github.io/Logging_1765/klagomålsmail/A 18741-2026 FSC-klagomål mail.docx", "A 18741-2026")</f>
        <v/>
      </c>
      <c r="AC271">
        <f>HYPERLINK("https://klasma.github.io/Logging_1765/tillsyn/A 18741-2026 tillsynsbegäran.docx", "A 18741-2026")</f>
        <v/>
      </c>
      <c r="AD271">
        <f>HYPERLINK("https://klasma.github.io/Logging_1765/tillsynsmail/A 18741-2026 tillsynsbegäran mail.docx", "A 18741-2026")</f>
        <v/>
      </c>
    </row>
    <row r="272" ht="15" customHeight="1">
      <c r="A272" t="inlineStr">
        <is>
          <t>A 62116-2025</t>
        </is>
      </c>
      <c r="B272" t="inlineStr">
        <is>
          <t>avverkningsanmälan</t>
        </is>
      </c>
      <c r="C272" t="inlineStr">
        <is>
          <t>Föryngringsavverkning</t>
        </is>
      </c>
      <c r="D272" s="1" t="n">
        <v>46006</v>
      </c>
      <c r="E272" s="1" t="n">
        <v>46307</v>
      </c>
      <c r="F272" t="inlineStr">
        <is>
          <t>VÄRMLANDS LÄN</t>
        </is>
      </c>
      <c r="G272" t="inlineStr">
        <is>
          <t>FILIPSTAD</t>
        </is>
      </c>
      <c r="H272" t="inlineStr">
        <is>
          <t>Bergvik skog väst AB</t>
        </is>
      </c>
      <c r="I272" t="n">
        <v>13.6</v>
      </c>
      <c r="J272" t="n">
        <v>3</v>
      </c>
      <c r="K272" t="n">
        <v>0</v>
      </c>
      <c r="L272" t="n">
        <v>0</v>
      </c>
      <c r="M272" t="n">
        <v>0</v>
      </c>
      <c r="N272" t="n">
        <v>0</v>
      </c>
      <c r="O272" t="n">
        <v>0</v>
      </c>
      <c r="P272" t="n">
        <v>0</v>
      </c>
      <c r="Q272" t="n">
        <v>0</v>
      </c>
      <c r="R272" t="n">
        <v>0</v>
      </c>
      <c r="S272" t="n">
        <v>3</v>
      </c>
      <c r="T272" t="n">
        <v>4</v>
      </c>
      <c r="U272" t="n">
        <v>0</v>
      </c>
      <c r="V272" s="2" t="inlineStr">
        <is>
          <t>Tjäder
Orre
Fläcknycklar</t>
        </is>
      </c>
      <c r="W272">
        <f>HYPERLINK("https://klasma.github.io/Logging_1782/artfynd/A 62116-2025 artfynd.xlsx", "A 62116-2025")</f>
        <v/>
      </c>
      <c r="X272">
        <f>HYPERLINK("https://klasma.github.io/Logging_1782/kartor/A 62116-2025 karta.png", "A 62116-2025")</f>
        <v/>
      </c>
      <c r="Y272">
        <f>HYPERLINK("https://klasma.github.io/Logging_1782/kartor_geotiff/A 62116-2025 georefererad karta.tif", "A 62116-2025")</f>
        <v/>
      </c>
      <c r="AA272">
        <f>HYPERLINK("https://klasma.github.io/Logging_1782/klagomål/A 62116-2025 FSC-klagomål.docx", "A 62116-2025")</f>
        <v/>
      </c>
      <c r="AB272">
        <f>HYPERLINK("https://klasma.github.io/Logging_1782/klagomålsmail/A 62116-2025 FSC-klagomål mail.docx", "A 62116-2025")</f>
        <v/>
      </c>
      <c r="AC272">
        <f>HYPERLINK("https://klasma.github.io/Logging_1782/tillsyn/A 62116-2025 tillsynsbegäran.docx", "A 62116-2025")</f>
        <v/>
      </c>
      <c r="AD272">
        <f>HYPERLINK("https://klasma.github.io/Logging_1782/tillsynsmail/A 62116-2025 tillsynsbegäran mail.docx", "A 62116-2025")</f>
        <v/>
      </c>
      <c r="AE272">
        <f>HYPERLINK("https://klasma.github.io/Logging_1782/fåglar/A 62116-2025 prioriterade fågelarter.docx", "A 62116-2025")</f>
        <v/>
      </c>
    </row>
    <row r="273" ht="15" customHeight="1">
      <c r="A273" t="inlineStr">
        <is>
          <t>A 7350-2025</t>
        </is>
      </c>
      <c r="B273" t="inlineStr">
        <is>
          <t>avverkningsanmälan</t>
        </is>
      </c>
      <c r="C273" t="inlineStr">
        <is>
          <t>Föryngringsavverkning</t>
        </is>
      </c>
      <c r="D273" s="1" t="n">
        <v>45703</v>
      </c>
      <c r="E273" s="1" t="n">
        <v>46307</v>
      </c>
      <c r="F273" t="inlineStr">
        <is>
          <t>VÄRMLANDS LÄN</t>
        </is>
      </c>
      <c r="G273" t="inlineStr">
        <is>
          <t>ARVIKA</t>
        </is>
      </c>
      <c r="I273" t="n">
        <v>7.5</v>
      </c>
      <c r="J273" t="n">
        <v>3</v>
      </c>
      <c r="K273" t="n">
        <v>0</v>
      </c>
      <c r="L273" t="n">
        <v>2</v>
      </c>
      <c r="M273" t="n">
        <v>0</v>
      </c>
      <c r="N273" t="n">
        <v>0</v>
      </c>
      <c r="O273" t="n">
        <v>0</v>
      </c>
      <c r="P273" t="n">
        <v>0</v>
      </c>
      <c r="Q273" t="n">
        <v>2</v>
      </c>
      <c r="R273" t="n">
        <v>0</v>
      </c>
      <c r="S273" t="n">
        <v>3</v>
      </c>
      <c r="T273" t="n">
        <v>5</v>
      </c>
      <c r="U273" t="n">
        <v>5</v>
      </c>
      <c r="V273" s="2" t="inlineStr">
        <is>
          <t>Entita
Talltita
Tjäder</t>
        </is>
      </c>
      <c r="W273">
        <f>HYPERLINK("https://klasma.github.io/Logging_1784/artfynd/A 7350-2025 artfynd.xlsx", "A 7350-2025")</f>
        <v/>
      </c>
      <c r="X273">
        <f>HYPERLINK("https://klasma.github.io/Logging_1784/kartor/A 7350-2025 karta.png", "A 7350-2025")</f>
        <v/>
      </c>
      <c r="Y273">
        <f>HYPERLINK("https://klasma.github.io/Logging_1784/kartor_geotiff/A 7350-2025 georefererad karta.tif", "A 7350-2025")</f>
        <v/>
      </c>
      <c r="AA273">
        <f>HYPERLINK("https://klasma.github.io/Logging_1784/klagomål/A 7350-2025 FSC-klagomål.docx", "A 7350-2025")</f>
        <v/>
      </c>
      <c r="AB273">
        <f>HYPERLINK("https://klasma.github.io/Logging_1784/klagomålsmail/A 7350-2025 FSC-klagomål mail.docx", "A 7350-2025")</f>
        <v/>
      </c>
      <c r="AC273">
        <f>HYPERLINK("https://klasma.github.io/Logging_1784/tillsyn/A 7350-2025 tillsynsbegäran.docx", "A 7350-2025")</f>
        <v/>
      </c>
      <c r="AD273">
        <f>HYPERLINK("https://klasma.github.io/Logging_1784/tillsynsmail/A 7350-2025 tillsynsbegäran mail.docx", "A 7350-2025")</f>
        <v/>
      </c>
      <c r="AE273">
        <f>HYPERLINK("https://klasma.github.io/Logging_1784/fåglar/A 7350-2025 prioriterade fågelarter.docx", "A 7350-2025")</f>
        <v/>
      </c>
    </row>
    <row r="274" ht="15" customHeight="1">
      <c r="A274" t="inlineStr">
        <is>
          <t>A 15044-2025</t>
        </is>
      </c>
      <c r="B274" t="inlineStr">
        <is>
          <t>avverkningsanmälan</t>
        </is>
      </c>
      <c r="C274" t="inlineStr">
        <is>
          <t>Föryngringsavverkning</t>
        </is>
      </c>
      <c r="D274" s="1" t="n">
        <v>45743</v>
      </c>
      <c r="E274" s="1" t="n">
        <v>46307</v>
      </c>
      <c r="F274" t="inlineStr">
        <is>
          <t>VÄRMLANDS LÄN</t>
        </is>
      </c>
      <c r="G274" t="inlineStr">
        <is>
          <t>TORSBY</t>
        </is>
      </c>
      <c r="I274" t="n">
        <v>3.4</v>
      </c>
      <c r="J274" t="n">
        <v>0</v>
      </c>
      <c r="K274" t="n">
        <v>0</v>
      </c>
      <c r="L274" t="n">
        <v>3</v>
      </c>
      <c r="M274" t="n">
        <v>0</v>
      </c>
      <c r="N274" t="n">
        <v>0</v>
      </c>
      <c r="O274" t="n">
        <v>0</v>
      </c>
      <c r="P274" t="n">
        <v>0</v>
      </c>
      <c r="Q274" t="n">
        <v>3</v>
      </c>
      <c r="R274" t="n">
        <v>0</v>
      </c>
      <c r="S274" t="n">
        <v>3</v>
      </c>
      <c r="T274" t="n">
        <v>3</v>
      </c>
      <c r="U274" t="n">
        <v>0</v>
      </c>
      <c r="V274" s="2" t="inlineStr">
        <is>
          <t>Doftskinn
Dvärgbägarlav
Gammelgransskål</t>
        </is>
      </c>
      <c r="W274">
        <f>HYPERLINK("https://klasma.github.io/Logging_1737/artfynd/A 15044-2025 artfynd.xlsx", "A 15044-2025")</f>
        <v/>
      </c>
      <c r="X274">
        <f>HYPERLINK("https://klasma.github.io/Logging_1737/kartor/A 15044-2025 karta.png", "A 15044-2025")</f>
        <v/>
      </c>
      <c r="Y274">
        <f>HYPERLINK("https://klasma.github.io/Logging_1737/kartor_geotiff/A 15044-2025 georefererad karta.tif", "A 15044-2025")</f>
        <v/>
      </c>
      <c r="AA274">
        <f>HYPERLINK("https://klasma.github.io/Logging_1737/klagomål/A 15044-2025 FSC-klagomål.docx", "A 15044-2025")</f>
        <v/>
      </c>
      <c r="AB274">
        <f>HYPERLINK("https://klasma.github.io/Logging_1737/klagomålsmail/A 15044-2025 FSC-klagomål mail.docx", "A 15044-2025")</f>
        <v/>
      </c>
      <c r="AC274">
        <f>HYPERLINK("https://klasma.github.io/Logging_1737/tillsyn/A 15044-2025 tillsynsbegäran.docx", "A 15044-2025")</f>
        <v/>
      </c>
      <c r="AD274">
        <f>HYPERLINK("https://klasma.github.io/Logging_1737/tillsynsmail/A 15044-2025 tillsynsbegäran mail.docx", "A 15044-2025")</f>
        <v/>
      </c>
    </row>
    <row r="275" ht="15" customHeight="1">
      <c r="A275" t="inlineStr">
        <is>
          <t>A 63593-2025</t>
        </is>
      </c>
      <c r="B275" t="inlineStr">
        <is>
          <t>avverkningsanmälan</t>
        </is>
      </c>
      <c r="C275" t="inlineStr">
        <is>
          <t>Föryngringsavverkning</t>
        </is>
      </c>
      <c r="D275" s="1" t="n">
        <v>46013</v>
      </c>
      <c r="E275" s="1" t="n">
        <v>46307</v>
      </c>
      <c r="F275" t="inlineStr">
        <is>
          <t>VÄRMLANDS LÄN</t>
        </is>
      </c>
      <c r="G275" t="inlineStr">
        <is>
          <t>KARLSTAD</t>
        </is>
      </c>
      <c r="I275" t="n">
        <v>0.6</v>
      </c>
      <c r="J275" t="n">
        <v>3</v>
      </c>
      <c r="K275" t="n">
        <v>0</v>
      </c>
      <c r="L275" t="n">
        <v>0</v>
      </c>
      <c r="M275" t="n">
        <v>2</v>
      </c>
      <c r="N275" t="n">
        <v>0</v>
      </c>
      <c r="O275" t="n">
        <v>0</v>
      </c>
      <c r="P275" t="n">
        <v>0</v>
      </c>
      <c r="Q275" t="n">
        <v>2</v>
      </c>
      <c r="R275" t="n">
        <v>2</v>
      </c>
      <c r="S275" t="n">
        <v>3</v>
      </c>
      <c r="T275" t="n">
        <v>3</v>
      </c>
      <c r="U275" t="n">
        <v>0</v>
      </c>
      <c r="V275" s="2" t="inlineStr">
        <is>
          <t>Pilgrimsfalk
Tofsvipa
Fjällvråk</t>
        </is>
      </c>
      <c r="W275">
        <f>HYPERLINK("https://klasma.github.io/Logging_1780/artfynd/A 63593-2025 artfynd.xlsx", "A 63593-2025")</f>
        <v/>
      </c>
      <c r="X275">
        <f>HYPERLINK("https://klasma.github.io/Logging_1780/kartor/A 63593-2025 karta.png", "A 63593-2025")</f>
        <v/>
      </c>
      <c r="Y275">
        <f>HYPERLINK("https://klasma.github.io/Logging_1780/kartor_geotiff/A 63593-2025 georefererad karta.tif", "A 63593-2025")</f>
        <v/>
      </c>
      <c r="AA275">
        <f>HYPERLINK("https://klasma.github.io/Logging_1780/klagomål/A 63593-2025 FSC-klagomål.docx", "A 63593-2025")</f>
        <v/>
      </c>
      <c r="AB275">
        <f>HYPERLINK("https://klasma.github.io/Logging_1780/klagomålsmail/A 63593-2025 FSC-klagomål mail.docx", "A 63593-2025")</f>
        <v/>
      </c>
      <c r="AC275">
        <f>HYPERLINK("https://klasma.github.io/Logging_1780/tillsyn/A 63593-2025 tillsynsbegäran.docx", "A 63593-2025")</f>
        <v/>
      </c>
      <c r="AD275">
        <f>HYPERLINK("https://klasma.github.io/Logging_1780/tillsynsmail/A 63593-2025 tillsynsbegäran mail.docx", "A 63593-2025")</f>
        <v/>
      </c>
      <c r="AE275">
        <f>HYPERLINK("https://klasma.github.io/Logging_1780/fåglar/A 63593-2025 prioriterade fågelarter.docx", "A 63593-2025")</f>
        <v/>
      </c>
    </row>
    <row r="276" ht="15" customHeight="1">
      <c r="A276" t="inlineStr">
        <is>
          <t>A 14114-2022</t>
        </is>
      </c>
      <c r="B276" t="inlineStr">
        <is>
          <t>avverkningsanmälan</t>
        </is>
      </c>
      <c r="C276" t="inlineStr">
        <is>
          <t>Föryngringsavverkning</t>
        </is>
      </c>
      <c r="D276" s="1" t="n">
        <v>44651</v>
      </c>
      <c r="E276" s="1" t="n">
        <v>46307</v>
      </c>
      <c r="F276" t="inlineStr">
        <is>
          <t>VÄRMLANDS LÄN</t>
        </is>
      </c>
      <c r="G276" t="inlineStr">
        <is>
          <t>FORSHAGA</t>
        </is>
      </c>
      <c r="H276" t="inlineStr">
        <is>
          <t>Bergvik skog väst AB</t>
        </is>
      </c>
      <c r="I276" t="n">
        <v>25.1</v>
      </c>
      <c r="J276" t="n">
        <v>1</v>
      </c>
      <c r="K276" t="n">
        <v>0</v>
      </c>
      <c r="L276" t="n">
        <v>2</v>
      </c>
      <c r="M276" t="n">
        <v>1</v>
      </c>
      <c r="N276" t="n">
        <v>0</v>
      </c>
      <c r="O276" t="n">
        <v>0</v>
      </c>
      <c r="P276" t="n">
        <v>0</v>
      </c>
      <c r="Q276" t="n">
        <v>3</v>
      </c>
      <c r="R276" t="n">
        <v>1</v>
      </c>
      <c r="S276" t="n">
        <v>3</v>
      </c>
      <c r="T276" t="n">
        <v>3</v>
      </c>
      <c r="U276" t="n">
        <v>1</v>
      </c>
      <c r="V276" s="2" t="inlineStr">
        <is>
          <t>Brunfläckig pärlemorfjäril
Göktyta
Sotnätfjäril</t>
        </is>
      </c>
      <c r="W276">
        <f>HYPERLINK("https://klasma.github.io/Logging_1763/artfynd/A 14114-2022 artfynd.xlsx", "A 14114-2022")</f>
        <v/>
      </c>
      <c r="X276">
        <f>HYPERLINK("https://klasma.github.io/Logging_1763/kartor/A 14114-2022 karta.png", "A 14114-2022")</f>
        <v/>
      </c>
      <c r="Y276">
        <f>HYPERLINK("https://klasma.github.io/Logging_1763/kartor_geotiff/A 14114-2022 georefererad karta.tif", "A 14114-2022")</f>
        <v/>
      </c>
      <c r="AA276">
        <f>HYPERLINK("https://klasma.github.io/Logging_1763/klagomål/A 14114-2022 FSC-klagomål.docx", "A 14114-2022")</f>
        <v/>
      </c>
      <c r="AB276">
        <f>HYPERLINK("https://klasma.github.io/Logging_1763/klagomålsmail/A 14114-2022 FSC-klagomål mail.docx", "A 14114-2022")</f>
        <v/>
      </c>
      <c r="AC276">
        <f>HYPERLINK("https://klasma.github.io/Logging_1763/tillsyn/A 14114-2022 tillsynsbegäran.docx", "A 14114-2022")</f>
        <v/>
      </c>
      <c r="AD276">
        <f>HYPERLINK("https://klasma.github.io/Logging_1763/tillsynsmail/A 14114-2022 tillsynsbegäran mail.docx", "A 14114-2022")</f>
        <v/>
      </c>
      <c r="AE276">
        <f>HYPERLINK("https://klasma.github.io/Logging_1763/fåglar/A 14114-2022 prioriterade fågelarter.docx", "A 14114-2022")</f>
        <v/>
      </c>
    </row>
    <row r="277" ht="15" customHeight="1">
      <c r="A277" t="inlineStr">
        <is>
          <t>A 15826-2025</t>
        </is>
      </c>
      <c r="B277" t="inlineStr">
        <is>
          <t>avverkningsanmälan</t>
        </is>
      </c>
      <c r="C277" t="inlineStr">
        <is>
          <t>Föryngringsavverkning</t>
        </is>
      </c>
      <c r="D277" s="1" t="n">
        <v>45748</v>
      </c>
      <c r="E277" s="1" t="n">
        <v>46307</v>
      </c>
      <c r="F277" t="inlineStr">
        <is>
          <t>VÄRMLANDS LÄN</t>
        </is>
      </c>
      <c r="G277" t="inlineStr">
        <is>
          <t>HAGFORS</t>
        </is>
      </c>
      <c r="H277" t="inlineStr">
        <is>
          <t>Bergvik skog väst AB</t>
        </is>
      </c>
      <c r="I277" t="n">
        <v>8</v>
      </c>
      <c r="J277" t="n">
        <v>0</v>
      </c>
      <c r="K277" t="n">
        <v>0</v>
      </c>
      <c r="L277" t="n">
        <v>3</v>
      </c>
      <c r="M277" t="n">
        <v>0</v>
      </c>
      <c r="N277" t="n">
        <v>0</v>
      </c>
      <c r="O277" t="n">
        <v>0</v>
      </c>
      <c r="P277" t="n">
        <v>0</v>
      </c>
      <c r="Q277" t="n">
        <v>3</v>
      </c>
      <c r="R277" t="n">
        <v>0</v>
      </c>
      <c r="S277" t="n">
        <v>3</v>
      </c>
      <c r="T277" t="n">
        <v>3</v>
      </c>
      <c r="U277" t="n">
        <v>0</v>
      </c>
      <c r="V277" s="2" t="inlineStr">
        <is>
          <t>Rynkskinn
Stjärntagging
Ullticka</t>
        </is>
      </c>
      <c r="W277">
        <f>HYPERLINK("https://klasma.github.io/Logging_1783/artfynd/A 15826-2025 artfynd.xlsx", "A 15826-2025")</f>
        <v/>
      </c>
      <c r="X277">
        <f>HYPERLINK("https://klasma.github.io/Logging_1783/kartor/A 15826-2025 karta.png", "A 15826-2025")</f>
        <v/>
      </c>
      <c r="Y277">
        <f>HYPERLINK("https://klasma.github.io/Logging_1783/kartor_geotiff/A 15826-2025 georefererad karta.tif", "A 15826-2025")</f>
        <v/>
      </c>
      <c r="AA277">
        <f>HYPERLINK("https://klasma.github.io/Logging_1783/klagomål/A 15826-2025 FSC-klagomål.docx", "A 15826-2025")</f>
        <v/>
      </c>
      <c r="AB277">
        <f>HYPERLINK("https://klasma.github.io/Logging_1783/klagomålsmail/A 15826-2025 FSC-klagomål mail.docx", "A 15826-2025")</f>
        <v/>
      </c>
      <c r="AC277">
        <f>HYPERLINK("https://klasma.github.io/Logging_1783/tillsyn/A 15826-2025 tillsynsbegäran.docx", "A 15826-2025")</f>
        <v/>
      </c>
      <c r="AD277">
        <f>HYPERLINK("https://klasma.github.io/Logging_1783/tillsynsmail/A 15826-2025 tillsynsbegäran mail.docx", "A 15826-2025")</f>
        <v/>
      </c>
    </row>
    <row r="278" ht="15" customHeight="1">
      <c r="A278" t="inlineStr">
        <is>
          <t>A 24618-2022</t>
        </is>
      </c>
      <c r="B278" t="inlineStr">
        <is>
          <t>avverkningsanmälan</t>
        </is>
      </c>
      <c r="C278" t="inlineStr">
        <is>
          <t>Föryngringsavverkning</t>
        </is>
      </c>
      <c r="D278" s="1" t="n">
        <v>44727</v>
      </c>
      <c r="E278" s="1" t="n">
        <v>46307</v>
      </c>
      <c r="F278" t="inlineStr">
        <is>
          <t>VÄRMLANDS LÄN</t>
        </is>
      </c>
      <c r="G278" t="inlineStr">
        <is>
          <t>HAMMARÖ</t>
        </is>
      </c>
      <c r="H278" t="inlineStr">
        <is>
          <t>Kommuner</t>
        </is>
      </c>
      <c r="I278" t="n">
        <v>4.6</v>
      </c>
      <c r="J278" t="n">
        <v>2</v>
      </c>
      <c r="K278" t="n">
        <v>0</v>
      </c>
      <c r="L278" t="n">
        <v>1</v>
      </c>
      <c r="M278" t="n">
        <v>1</v>
      </c>
      <c r="N278" t="n">
        <v>0</v>
      </c>
      <c r="O278" t="n">
        <v>0</v>
      </c>
      <c r="P278" t="n">
        <v>0</v>
      </c>
      <c r="Q278" t="n">
        <v>2</v>
      </c>
      <c r="R278" t="n">
        <v>1</v>
      </c>
      <c r="S278" t="n">
        <v>3</v>
      </c>
      <c r="T278" t="n">
        <v>3</v>
      </c>
      <c r="U278" t="n">
        <v>2</v>
      </c>
      <c r="V278" s="2" t="inlineStr">
        <is>
          <t>Knärot
Svart skogssnigel
Spillkråka</t>
        </is>
      </c>
      <c r="W278">
        <f>HYPERLINK("https://klasma.github.io/Logging_1761/artfynd/A 24618-2022 artfynd.xlsx", "A 24618-2022")</f>
        <v/>
      </c>
      <c r="X278">
        <f>HYPERLINK("https://klasma.github.io/Logging_1761/kartor/A 24618-2022 karta.png", "A 24618-2022")</f>
        <v/>
      </c>
      <c r="Y278">
        <f>HYPERLINK("https://klasma.github.io/Logging_1761/kartor_geotiff/A 24618-2022 georefererad karta.tif", "A 24618-2022")</f>
        <v/>
      </c>
      <c r="Z278">
        <f>HYPERLINK("https://klasma.github.io/Logging_1761/knärot/A 24618-2022 karta knärot.png", "A 24618-2022")</f>
        <v/>
      </c>
      <c r="AA278">
        <f>HYPERLINK("https://klasma.github.io/Logging_1761/klagomål/A 24618-2022 FSC-klagomål.docx", "A 24618-2022")</f>
        <v/>
      </c>
      <c r="AB278">
        <f>HYPERLINK("https://klasma.github.io/Logging_1761/klagomålsmail/A 24618-2022 FSC-klagomål mail.docx", "A 24618-2022")</f>
        <v/>
      </c>
      <c r="AC278">
        <f>HYPERLINK("https://klasma.github.io/Logging_1761/tillsyn/A 24618-2022 tillsynsbegäran.docx", "A 24618-2022")</f>
        <v/>
      </c>
      <c r="AD278">
        <f>HYPERLINK("https://klasma.github.io/Logging_1761/tillsynsmail/A 24618-2022 tillsynsbegäran mail.docx", "A 24618-2022")</f>
        <v/>
      </c>
      <c r="AE278">
        <f>HYPERLINK("https://klasma.github.io/Logging_1761/fåglar/A 24618-2022 prioriterade fågelarter.docx", "A 24618-2022")</f>
        <v/>
      </c>
    </row>
    <row r="279" ht="15" customHeight="1">
      <c r="A279" t="inlineStr">
        <is>
          <t>A 2898-2026</t>
        </is>
      </c>
      <c r="B279" t="inlineStr">
        <is>
          <t>avverkningsanmälan</t>
        </is>
      </c>
      <c r="C279" t="inlineStr">
        <is>
          <t>Föryngringsavverkning</t>
        </is>
      </c>
      <c r="D279" s="1" t="n">
        <v>46037</v>
      </c>
      <c r="E279" s="1" t="n">
        <v>46307</v>
      </c>
      <c r="F279" t="inlineStr">
        <is>
          <t>VÄRMLANDS LÄN</t>
        </is>
      </c>
      <c r="G279" t="inlineStr">
        <is>
          <t>TORSBY</t>
        </is>
      </c>
      <c r="I279" t="n">
        <v>2.7</v>
      </c>
      <c r="J279" t="n">
        <v>0</v>
      </c>
      <c r="K279" t="n">
        <v>1</v>
      </c>
      <c r="L279" t="n">
        <v>2</v>
      </c>
      <c r="M279" t="n">
        <v>0</v>
      </c>
      <c r="N279" t="n">
        <v>0</v>
      </c>
      <c r="O279" t="n">
        <v>0</v>
      </c>
      <c r="P279" t="n">
        <v>0</v>
      </c>
      <c r="Q279" t="n">
        <v>2</v>
      </c>
      <c r="R279" t="n">
        <v>0</v>
      </c>
      <c r="S279" t="n">
        <v>3</v>
      </c>
      <c r="T279" t="n">
        <v>3</v>
      </c>
      <c r="U279" t="n">
        <v>0</v>
      </c>
      <c r="V279" s="2" t="inlineStr">
        <is>
          <t>Brunpudrad nållav
Vedtrappmossa
Vedticka</t>
        </is>
      </c>
      <c r="W279">
        <f>HYPERLINK("https://klasma.github.io/Logging_1737/artfynd/A 2898-2026 artfynd.xlsx", "A 2898-2026")</f>
        <v/>
      </c>
      <c r="X279">
        <f>HYPERLINK("https://klasma.github.io/Logging_1737/kartor/A 2898-2026 karta.png", "A 2898-2026")</f>
        <v/>
      </c>
      <c r="Y279">
        <f>HYPERLINK("https://klasma.github.io/Logging_1737/kartor_geotiff/A 2898-2026 georefererad karta.tif", "A 2898-2026")</f>
        <v/>
      </c>
      <c r="AA279">
        <f>HYPERLINK("https://klasma.github.io/Logging_1737/klagomål/A 2898-2026 FSC-klagomål.docx", "A 2898-2026")</f>
        <v/>
      </c>
      <c r="AB279">
        <f>HYPERLINK("https://klasma.github.io/Logging_1737/klagomålsmail/A 2898-2026 FSC-klagomål mail.docx", "A 2898-2026")</f>
        <v/>
      </c>
      <c r="AC279">
        <f>HYPERLINK("https://klasma.github.io/Logging_1737/tillsyn/A 2898-2026 tillsynsbegäran.docx", "A 2898-2026")</f>
        <v/>
      </c>
      <c r="AD279">
        <f>HYPERLINK("https://klasma.github.io/Logging_1737/tillsynsmail/A 2898-2026 tillsynsbegäran mail.docx", "A 2898-2026")</f>
        <v/>
      </c>
    </row>
    <row r="280" ht="15" customHeight="1">
      <c r="A280" t="inlineStr">
        <is>
          <t>A 4718-2023</t>
        </is>
      </c>
      <c r="B280" t="inlineStr">
        <is>
          <t>avverkningsanmälan</t>
        </is>
      </c>
      <c r="C280" t="inlineStr">
        <is>
          <t>Föryngringsavverkning</t>
        </is>
      </c>
      <c r="D280" s="1" t="n">
        <v>44957</v>
      </c>
      <c r="E280" s="1" t="n">
        <v>46307</v>
      </c>
      <c r="F280" t="inlineStr">
        <is>
          <t>VÄRMLANDS LÄN</t>
        </is>
      </c>
      <c r="G280" t="inlineStr">
        <is>
          <t>TORSBY</t>
        </is>
      </c>
      <c r="I280" t="n">
        <v>8.5</v>
      </c>
      <c r="J280" t="n">
        <v>0</v>
      </c>
      <c r="K280" t="n">
        <v>0</v>
      </c>
      <c r="L280" t="n">
        <v>2</v>
      </c>
      <c r="M280" t="n">
        <v>1</v>
      </c>
      <c r="N280" t="n">
        <v>0</v>
      </c>
      <c r="O280" t="n">
        <v>0</v>
      </c>
      <c r="P280" t="n">
        <v>0</v>
      </c>
      <c r="Q280" t="n">
        <v>3</v>
      </c>
      <c r="R280" t="n">
        <v>1</v>
      </c>
      <c r="S280" t="n">
        <v>3</v>
      </c>
      <c r="T280" t="n">
        <v>7</v>
      </c>
      <c r="U280" t="n">
        <v>0</v>
      </c>
      <c r="V280" s="2" t="inlineStr">
        <is>
          <t>Garnlav
Lunglav
Violettgrå tagellav</t>
        </is>
      </c>
      <c r="W280">
        <f>HYPERLINK("https://klasma.github.io/Logging_1737/artfynd/A 4718-2023 artfynd.xlsx", "A 4718-2023")</f>
        <v/>
      </c>
      <c r="X280">
        <f>HYPERLINK("https://klasma.github.io/Logging_1737/kartor/A 4718-2023 karta.png", "A 4718-2023")</f>
        <v/>
      </c>
      <c r="Y280">
        <f>HYPERLINK("https://klasma.github.io/Logging_1737/kartor_geotiff/A 4718-2023 georefererad karta.tif", "A 4718-2023")</f>
        <v/>
      </c>
      <c r="AA280">
        <f>HYPERLINK("https://klasma.github.io/Logging_1737/klagomål/A 4718-2023 FSC-klagomål.docx", "A 4718-2023")</f>
        <v/>
      </c>
      <c r="AB280">
        <f>HYPERLINK("https://klasma.github.io/Logging_1737/klagomålsmail/A 4718-2023 FSC-klagomål mail.docx", "A 4718-2023")</f>
        <v/>
      </c>
      <c r="AC280">
        <f>HYPERLINK("https://klasma.github.io/Logging_1737/tillsyn/A 4718-2023 tillsynsbegäran.docx", "A 4718-2023")</f>
        <v/>
      </c>
      <c r="AD280">
        <f>HYPERLINK("https://klasma.github.io/Logging_1737/tillsynsmail/A 4718-2023 tillsynsbegäran mail.docx", "A 4718-2023")</f>
        <v/>
      </c>
    </row>
    <row r="281" ht="15" customHeight="1">
      <c r="A281" t="inlineStr">
        <is>
          <t>A 5680-2024</t>
        </is>
      </c>
      <c r="B281" t="inlineStr">
        <is>
          <t>avverkningsanmälan</t>
        </is>
      </c>
      <c r="C281" t="inlineStr">
        <is>
          <t>Föryngringsavverkning</t>
        </is>
      </c>
      <c r="D281" s="1" t="n">
        <v>45334</v>
      </c>
      <c r="E281" s="1" t="n">
        <v>46307</v>
      </c>
      <c r="F281" t="inlineStr">
        <is>
          <t>VÄRMLANDS LÄN</t>
        </is>
      </c>
      <c r="G281" t="inlineStr">
        <is>
          <t>TORSBY</t>
        </is>
      </c>
      <c r="I281" t="n">
        <v>24</v>
      </c>
      <c r="J281" t="n">
        <v>0</v>
      </c>
      <c r="K281" t="n">
        <v>0</v>
      </c>
      <c r="L281" t="n">
        <v>2</v>
      </c>
      <c r="M281" t="n">
        <v>1</v>
      </c>
      <c r="N281" t="n">
        <v>0</v>
      </c>
      <c r="O281" t="n">
        <v>0</v>
      </c>
      <c r="P281" t="n">
        <v>0</v>
      </c>
      <c r="Q281" t="n">
        <v>3</v>
      </c>
      <c r="R281" t="n">
        <v>1</v>
      </c>
      <c r="S281" t="n">
        <v>3</v>
      </c>
      <c r="T281" t="n">
        <v>7</v>
      </c>
      <c r="U281" t="n">
        <v>0</v>
      </c>
      <c r="V281" s="2" t="inlineStr">
        <is>
          <t>Garnlav
Dropptaggsvamp
Motaggsvamp</t>
        </is>
      </c>
      <c r="W281">
        <f>HYPERLINK("https://klasma.github.io/Logging_1737/artfynd/A 5680-2024 artfynd.xlsx", "A 5680-2024")</f>
        <v/>
      </c>
      <c r="X281">
        <f>HYPERLINK("https://klasma.github.io/Logging_1737/kartor/A 5680-2024 karta.png", "A 5680-2024")</f>
        <v/>
      </c>
      <c r="Y281">
        <f>HYPERLINK("https://klasma.github.io/Logging_1737/kartor_geotiff/A 5680-2024 georefererad karta.tif", "A 5680-2024")</f>
        <v/>
      </c>
      <c r="AA281">
        <f>HYPERLINK("https://klasma.github.io/Logging_1737/klagomål/A 5680-2024 FSC-klagomål.docx", "A 5680-2024")</f>
        <v/>
      </c>
      <c r="AB281">
        <f>HYPERLINK("https://klasma.github.io/Logging_1737/klagomålsmail/A 5680-2024 FSC-klagomål mail.docx", "A 5680-2024")</f>
        <v/>
      </c>
      <c r="AC281">
        <f>HYPERLINK("https://klasma.github.io/Logging_1737/tillsyn/A 5680-2024 tillsynsbegäran.docx", "A 5680-2024")</f>
        <v/>
      </c>
      <c r="AD281">
        <f>HYPERLINK("https://klasma.github.io/Logging_1737/tillsynsmail/A 5680-2024 tillsynsbegäran mail.docx", "A 5680-2024")</f>
        <v/>
      </c>
    </row>
    <row r="282" ht="15" customHeight="1">
      <c r="A282" t="inlineStr">
        <is>
          <t>A 17740-2025</t>
        </is>
      </c>
      <c r="B282" t="inlineStr">
        <is>
          <t>avverkningsanmälan</t>
        </is>
      </c>
      <c r="C282" t="inlineStr">
        <is>
          <t>Föryngringsavverkning</t>
        </is>
      </c>
      <c r="D282" s="1" t="n">
        <v>45758</v>
      </c>
      <c r="E282" s="1" t="n">
        <v>46307</v>
      </c>
      <c r="F282" t="inlineStr">
        <is>
          <t>VÄRMLANDS LÄN</t>
        </is>
      </c>
      <c r="G282" t="inlineStr">
        <is>
          <t>TORSBY</t>
        </is>
      </c>
      <c r="I282" t="n">
        <v>4.8</v>
      </c>
      <c r="J282" t="n">
        <v>0</v>
      </c>
      <c r="K282" t="n">
        <v>1</v>
      </c>
      <c r="L282" t="n">
        <v>1</v>
      </c>
      <c r="M282" t="n">
        <v>1</v>
      </c>
      <c r="N282" t="n">
        <v>0</v>
      </c>
      <c r="O282" t="n">
        <v>0</v>
      </c>
      <c r="P282" t="n">
        <v>0</v>
      </c>
      <c r="Q282" t="n">
        <v>2</v>
      </c>
      <c r="R282" t="n">
        <v>1</v>
      </c>
      <c r="S282" t="n">
        <v>3</v>
      </c>
      <c r="T282" t="n">
        <v>5</v>
      </c>
      <c r="U282" t="n">
        <v>0</v>
      </c>
      <c r="V282" s="2" t="inlineStr">
        <is>
          <t>Garnlav
Vedskivlav
Nästlav</t>
        </is>
      </c>
      <c r="W282">
        <f>HYPERLINK("https://klasma.github.io/Logging_1737/artfynd/A 17740-2025 artfynd.xlsx", "A 17740-2025")</f>
        <v/>
      </c>
      <c r="X282">
        <f>HYPERLINK("https://klasma.github.io/Logging_1737/kartor/A 17740-2025 karta.png", "A 17740-2025")</f>
        <v/>
      </c>
      <c r="Y282">
        <f>HYPERLINK("https://klasma.github.io/Logging_1737/kartor_geotiff/A 17740-2025 georefererad karta.tif", "A 17740-2025")</f>
        <v/>
      </c>
      <c r="AA282">
        <f>HYPERLINK("https://klasma.github.io/Logging_1737/klagomål/A 17740-2025 FSC-klagomål.docx", "A 17740-2025")</f>
        <v/>
      </c>
      <c r="AB282">
        <f>HYPERLINK("https://klasma.github.io/Logging_1737/klagomålsmail/A 17740-2025 FSC-klagomål mail.docx", "A 17740-2025")</f>
        <v/>
      </c>
      <c r="AC282">
        <f>HYPERLINK("https://klasma.github.io/Logging_1737/tillsyn/A 17740-2025 tillsynsbegäran.docx", "A 17740-2025")</f>
        <v/>
      </c>
      <c r="AD282">
        <f>HYPERLINK("https://klasma.github.io/Logging_1737/tillsynsmail/A 17740-2025 tillsynsbegäran mail.docx", "A 17740-2025")</f>
        <v/>
      </c>
    </row>
    <row r="283" ht="15" customHeight="1">
      <c r="A283" t="inlineStr">
        <is>
          <t>A 27272-2024</t>
        </is>
      </c>
      <c r="B283" t="inlineStr">
        <is>
          <t>avverkningsanmälan</t>
        </is>
      </c>
      <c r="C283" t="inlineStr">
        <is>
          <t>Föryngringsavverkning</t>
        </is>
      </c>
      <c r="D283" s="1" t="n">
        <v>45471</v>
      </c>
      <c r="E283" s="1" t="n">
        <v>46307</v>
      </c>
      <c r="F283" t="inlineStr">
        <is>
          <t>VÄRMLANDS LÄN</t>
        </is>
      </c>
      <c r="G283" t="inlineStr">
        <is>
          <t>SUNNE</t>
        </is>
      </c>
      <c r="I283" t="n">
        <v>2.4</v>
      </c>
      <c r="J283" t="n">
        <v>0</v>
      </c>
      <c r="K283" t="n">
        <v>2</v>
      </c>
      <c r="L283" t="n">
        <v>1</v>
      </c>
      <c r="M283" t="n">
        <v>0</v>
      </c>
      <c r="N283" t="n">
        <v>0</v>
      </c>
      <c r="O283" t="n">
        <v>0</v>
      </c>
      <c r="P283" t="n">
        <v>0</v>
      </c>
      <c r="Q283" t="n">
        <v>1</v>
      </c>
      <c r="R283" t="n">
        <v>0</v>
      </c>
      <c r="S283" t="n">
        <v>3</v>
      </c>
      <c r="T283" t="n">
        <v>3</v>
      </c>
      <c r="U283" t="n">
        <v>1</v>
      </c>
      <c r="V283" s="2" t="inlineStr">
        <is>
          <t>Skogshare
Bronshjon
Vågbandad barkbock</t>
        </is>
      </c>
      <c r="W283">
        <f>HYPERLINK("https://klasma.github.io/Logging_1766/artfynd/A 27272-2024 artfynd.xlsx", "A 27272-2024")</f>
        <v/>
      </c>
      <c r="X283">
        <f>HYPERLINK("https://klasma.github.io/Logging_1766/kartor/A 27272-2024 karta.png", "A 27272-2024")</f>
        <v/>
      </c>
      <c r="Y283">
        <f>HYPERLINK("https://klasma.github.io/Logging_1766/kartor_geotiff/A 27272-2024 georefererad karta.tif", "A 27272-2024")</f>
        <v/>
      </c>
      <c r="AA283">
        <f>HYPERLINK("https://klasma.github.io/Logging_1766/klagomål/A 27272-2024 FSC-klagomål.docx", "A 27272-2024")</f>
        <v/>
      </c>
      <c r="AB283">
        <f>HYPERLINK("https://klasma.github.io/Logging_1766/klagomålsmail/A 27272-2024 FSC-klagomål mail.docx", "A 27272-2024")</f>
        <v/>
      </c>
      <c r="AC283">
        <f>HYPERLINK("https://klasma.github.io/Logging_1766/tillsyn/A 27272-2024 tillsynsbegäran.docx", "A 27272-2024")</f>
        <v/>
      </c>
      <c r="AD283">
        <f>HYPERLINK("https://klasma.github.io/Logging_1766/tillsynsmail/A 27272-2024 tillsynsbegäran mail.docx", "A 27272-2024")</f>
        <v/>
      </c>
    </row>
    <row r="284" ht="15" customHeight="1">
      <c r="A284" t="inlineStr">
        <is>
          <t>A 44018-2025</t>
        </is>
      </c>
      <c r="B284" t="inlineStr">
        <is>
          <t>avverkningsanmälan</t>
        </is>
      </c>
      <c r="C284" t="inlineStr">
        <is>
          <t>Föryngringsavverkning</t>
        </is>
      </c>
      <c r="D284" s="1" t="n">
        <v>45915</v>
      </c>
      <c r="E284" s="1" t="n">
        <v>46307</v>
      </c>
      <c r="F284" t="inlineStr">
        <is>
          <t>VÄRMLANDS LÄN</t>
        </is>
      </c>
      <c r="G284" t="inlineStr">
        <is>
          <t>TORSBY</t>
        </is>
      </c>
      <c r="I284" t="n">
        <v>8.1</v>
      </c>
      <c r="J284" t="n">
        <v>0</v>
      </c>
      <c r="K284" t="n">
        <v>1</v>
      </c>
      <c r="L284" t="n">
        <v>2</v>
      </c>
      <c r="M284" t="n">
        <v>0</v>
      </c>
      <c r="N284" t="n">
        <v>0</v>
      </c>
      <c r="O284" t="n">
        <v>0</v>
      </c>
      <c r="P284" t="n">
        <v>0</v>
      </c>
      <c r="Q284" t="n">
        <v>2</v>
      </c>
      <c r="R284" t="n">
        <v>0</v>
      </c>
      <c r="S284" t="n">
        <v>3</v>
      </c>
      <c r="T284" t="n">
        <v>3</v>
      </c>
      <c r="U284" t="n">
        <v>0</v>
      </c>
      <c r="V284" s="2" t="inlineStr">
        <is>
          <t>Gammelgransskål
Skuggblåslav
Korallblylav</t>
        </is>
      </c>
      <c r="W284">
        <f>HYPERLINK("https://klasma.github.io/Logging_1737/artfynd/A 44018-2025 artfynd.xlsx", "A 44018-2025")</f>
        <v/>
      </c>
      <c r="X284">
        <f>HYPERLINK("https://klasma.github.io/Logging_1737/kartor/A 44018-2025 karta.png", "A 44018-2025")</f>
        <v/>
      </c>
      <c r="Y284">
        <f>HYPERLINK("https://klasma.github.io/Logging_1737/kartor_geotiff/A 44018-2025 georefererad karta.tif", "A 44018-2025")</f>
        <v/>
      </c>
      <c r="AA284">
        <f>HYPERLINK("https://klasma.github.io/Logging_1737/klagomål/A 44018-2025 FSC-klagomål.docx", "A 44018-2025")</f>
        <v/>
      </c>
      <c r="AB284">
        <f>HYPERLINK("https://klasma.github.io/Logging_1737/klagomålsmail/A 44018-2025 FSC-klagomål mail.docx", "A 44018-2025")</f>
        <v/>
      </c>
      <c r="AC284">
        <f>HYPERLINK("https://klasma.github.io/Logging_1737/tillsyn/A 44018-2025 tillsynsbegäran.docx", "A 44018-2025")</f>
        <v/>
      </c>
      <c r="AD284">
        <f>HYPERLINK("https://klasma.github.io/Logging_1737/tillsynsmail/A 44018-2025 tillsynsbegäran mail.docx", "A 44018-2025")</f>
        <v/>
      </c>
    </row>
    <row r="285" ht="15" customHeight="1">
      <c r="A285" t="inlineStr">
        <is>
          <t>A 5766-2026</t>
        </is>
      </c>
      <c r="B285" t="inlineStr">
        <is>
          <t>avverkningsanmälan</t>
        </is>
      </c>
      <c r="C285" t="inlineStr">
        <is>
          <t>Föryngringsavverkning</t>
        </is>
      </c>
      <c r="D285" s="1" t="n">
        <v>46051</v>
      </c>
      <c r="E285" s="1" t="n">
        <v>46307</v>
      </c>
      <c r="F285" t="inlineStr">
        <is>
          <t>VÄRMLANDS LÄN</t>
        </is>
      </c>
      <c r="G285" t="inlineStr">
        <is>
          <t>FORSHAGA</t>
        </is>
      </c>
      <c r="I285" t="n">
        <v>4.2</v>
      </c>
      <c r="J285" t="n">
        <v>2</v>
      </c>
      <c r="K285" t="n">
        <v>2</v>
      </c>
      <c r="L285" t="n">
        <v>0</v>
      </c>
      <c r="M285" t="n">
        <v>0</v>
      </c>
      <c r="N285" t="n">
        <v>0</v>
      </c>
      <c r="O285" t="n">
        <v>0</v>
      </c>
      <c r="P285" t="n">
        <v>0</v>
      </c>
      <c r="Q285" t="n">
        <v>0</v>
      </c>
      <c r="R285" t="n">
        <v>0</v>
      </c>
      <c r="S285" t="n">
        <v>3</v>
      </c>
      <c r="T285" t="n">
        <v>3</v>
      </c>
      <c r="U285" t="n">
        <v>0</v>
      </c>
      <c r="V285" s="2" t="inlineStr">
        <is>
          <t>Nästrot
Svart trolldruva
Blåsippa</t>
        </is>
      </c>
      <c r="W285">
        <f>HYPERLINK("https://klasma.github.io/Logging_1763/artfynd/A 5766-2026 artfynd.xlsx", "A 5766-2026")</f>
        <v/>
      </c>
      <c r="X285">
        <f>HYPERLINK("https://klasma.github.io/Logging_1763/kartor/A 5766-2026 karta.png", "A 5766-2026")</f>
        <v/>
      </c>
      <c r="Y285">
        <f>HYPERLINK("https://klasma.github.io/Logging_1763/kartor_geotiff/A 5766-2026 georefererad karta.tif", "A 5766-2026")</f>
        <v/>
      </c>
      <c r="AA285">
        <f>HYPERLINK("https://klasma.github.io/Logging_1763/klagomål/A 5766-2026 FSC-klagomål.docx", "A 5766-2026")</f>
        <v/>
      </c>
      <c r="AB285">
        <f>HYPERLINK("https://klasma.github.io/Logging_1763/klagomålsmail/A 5766-2026 FSC-klagomål mail.docx", "A 5766-2026")</f>
        <v/>
      </c>
      <c r="AC285">
        <f>HYPERLINK("https://klasma.github.io/Logging_1763/tillsyn/A 5766-2026 tillsynsbegäran.docx", "A 5766-2026")</f>
        <v/>
      </c>
      <c r="AD285">
        <f>HYPERLINK("https://klasma.github.io/Logging_1763/tillsynsmail/A 5766-2026 tillsynsbegäran mail.docx", "A 5766-2026")</f>
        <v/>
      </c>
    </row>
    <row r="286" ht="15" customHeight="1">
      <c r="A286" t="inlineStr">
        <is>
          <t>A 7394-2026</t>
        </is>
      </c>
      <c r="B286" t="inlineStr">
        <is>
          <t>avverkningsanmälan</t>
        </is>
      </c>
      <c r="C286" t="inlineStr">
        <is>
          <t>Föryngringsavverkning</t>
        </is>
      </c>
      <c r="D286" s="1" t="n">
        <v>46059</v>
      </c>
      <c r="E286" s="1" t="n">
        <v>46307</v>
      </c>
      <c r="F286" t="inlineStr">
        <is>
          <t>VÄRMLANDS LÄN</t>
        </is>
      </c>
      <c r="G286" t="inlineStr">
        <is>
          <t>TORSBY</t>
        </is>
      </c>
      <c r="H286" t="inlineStr">
        <is>
          <t>Bergvik skog väst AB</t>
        </is>
      </c>
      <c r="I286" t="n">
        <v>15.3</v>
      </c>
      <c r="J286" t="n">
        <v>0</v>
      </c>
      <c r="K286" t="n">
        <v>0</v>
      </c>
      <c r="L286" t="n">
        <v>3</v>
      </c>
      <c r="M286" t="n">
        <v>0</v>
      </c>
      <c r="N286" t="n">
        <v>0</v>
      </c>
      <c r="O286" t="n">
        <v>0</v>
      </c>
      <c r="P286" t="n">
        <v>0</v>
      </c>
      <c r="Q286" t="n">
        <v>3</v>
      </c>
      <c r="R286" t="n">
        <v>0</v>
      </c>
      <c r="S286" t="n">
        <v>3</v>
      </c>
      <c r="T286" t="n">
        <v>4</v>
      </c>
      <c r="U286" t="n">
        <v>0</v>
      </c>
      <c r="V286" s="2" t="inlineStr">
        <is>
          <t>Dropptaggsvamp
Motaggsvamp
Skarp dropptaggsvamp</t>
        </is>
      </c>
      <c r="W286">
        <f>HYPERLINK("https://klasma.github.io/Logging_1737/artfynd/A 7394-2026 artfynd.xlsx", "A 7394-2026")</f>
        <v/>
      </c>
      <c r="X286">
        <f>HYPERLINK("https://klasma.github.io/Logging_1737/kartor/A 7394-2026 karta.png", "A 7394-2026")</f>
        <v/>
      </c>
      <c r="Y286">
        <f>HYPERLINK("https://klasma.github.io/Logging_1737/kartor_geotiff/A 7394-2026 georefererad karta.tif", "A 7394-2026")</f>
        <v/>
      </c>
      <c r="AA286">
        <f>HYPERLINK("https://klasma.github.io/Logging_1737/klagomål/A 7394-2026 FSC-klagomål.docx", "A 7394-2026")</f>
        <v/>
      </c>
      <c r="AB286">
        <f>HYPERLINK("https://klasma.github.io/Logging_1737/klagomålsmail/A 7394-2026 FSC-klagomål mail.docx", "A 7394-2026")</f>
        <v/>
      </c>
      <c r="AC286">
        <f>HYPERLINK("https://klasma.github.io/Logging_1737/tillsyn/A 7394-2026 tillsynsbegäran.docx", "A 7394-2026")</f>
        <v/>
      </c>
      <c r="AD286">
        <f>HYPERLINK("https://klasma.github.io/Logging_1737/tillsynsmail/A 7394-2026 tillsynsbegäran mail.docx", "A 7394-2026")</f>
        <v/>
      </c>
    </row>
    <row r="287" ht="15" customHeight="1">
      <c r="A287" t="inlineStr">
        <is>
          <t>A 12854-2026</t>
        </is>
      </c>
      <c r="B287" t="inlineStr">
        <is>
          <t>avverkningsanmälan</t>
        </is>
      </c>
      <c r="C287" t="inlineStr">
        <is>
          <t>Föryngringsavverkning</t>
        </is>
      </c>
      <c r="D287" s="1" t="n">
        <v>46092</v>
      </c>
      <c r="E287" s="1" t="n">
        <v>46307</v>
      </c>
      <c r="F287" t="inlineStr">
        <is>
          <t>VÄRMLANDS LÄN</t>
        </is>
      </c>
      <c r="G287" t="inlineStr">
        <is>
          <t>FORSHAGA</t>
        </is>
      </c>
      <c r="H287" t="inlineStr">
        <is>
          <t>Bergvik skog väst AB</t>
        </is>
      </c>
      <c r="I287" t="n">
        <v>12.1</v>
      </c>
      <c r="J287" t="n">
        <v>1</v>
      </c>
      <c r="K287" t="n">
        <v>2</v>
      </c>
      <c r="L287" t="n">
        <v>0</v>
      </c>
      <c r="M287" t="n">
        <v>1</v>
      </c>
      <c r="N287" t="n">
        <v>0</v>
      </c>
      <c r="O287" t="n">
        <v>0</v>
      </c>
      <c r="P287" t="n">
        <v>0</v>
      </c>
      <c r="Q287" t="n">
        <v>1</v>
      </c>
      <c r="R287" t="n">
        <v>1</v>
      </c>
      <c r="S287" t="n">
        <v>3</v>
      </c>
      <c r="T287" t="n">
        <v>3</v>
      </c>
      <c r="U287" t="n">
        <v>0</v>
      </c>
      <c r="V287" s="2" t="inlineStr">
        <is>
          <t>Ävjepilört
Springkorn
Strutbräken</t>
        </is>
      </c>
      <c r="W287">
        <f>HYPERLINK("https://klasma.github.io/Logging_1763/artfynd/A 12854-2026 artfynd.xlsx", "A 12854-2026")</f>
        <v/>
      </c>
      <c r="X287">
        <f>HYPERLINK("https://klasma.github.io/Logging_1763/kartor/A 12854-2026 karta.png", "A 12854-2026")</f>
        <v/>
      </c>
      <c r="Y287">
        <f>HYPERLINK("https://klasma.github.io/Logging_1763/kartor_geotiff/A 12854-2026 georefererad karta.tif", "A 12854-2026")</f>
        <v/>
      </c>
      <c r="AA287">
        <f>HYPERLINK("https://klasma.github.io/Logging_1763/klagomål/A 12854-2026 FSC-klagomål.docx", "A 12854-2026")</f>
        <v/>
      </c>
      <c r="AB287">
        <f>HYPERLINK("https://klasma.github.io/Logging_1763/klagomålsmail/A 12854-2026 FSC-klagomål mail.docx", "A 12854-2026")</f>
        <v/>
      </c>
      <c r="AC287">
        <f>HYPERLINK("https://klasma.github.io/Logging_1763/tillsyn/A 12854-2026 tillsynsbegäran.docx", "A 12854-2026")</f>
        <v/>
      </c>
      <c r="AD287">
        <f>HYPERLINK("https://klasma.github.io/Logging_1763/tillsynsmail/A 12854-2026 tillsynsbegäran mail.docx", "A 12854-2026")</f>
        <v/>
      </c>
    </row>
    <row r="288" ht="15" customHeight="1">
      <c r="A288" t="inlineStr">
        <is>
          <t>A 12887-2026</t>
        </is>
      </c>
      <c r="B288" t="inlineStr">
        <is>
          <t>avverkningsanmälan</t>
        </is>
      </c>
      <c r="C288" t="inlineStr">
        <is>
          <t>Föryngringsavverkning</t>
        </is>
      </c>
      <c r="D288" s="1" t="n">
        <v>46092</v>
      </c>
      <c r="E288" s="1" t="n">
        <v>46307</v>
      </c>
      <c r="F288" t="inlineStr">
        <is>
          <t>VÄRMLANDS LÄN</t>
        </is>
      </c>
      <c r="G288" t="inlineStr">
        <is>
          <t>ARVIKA</t>
        </is>
      </c>
      <c r="I288" t="n">
        <v>7.7</v>
      </c>
      <c r="J288" t="n">
        <v>3</v>
      </c>
      <c r="K288" t="n">
        <v>0</v>
      </c>
      <c r="L288" t="n">
        <v>1</v>
      </c>
      <c r="M288" t="n">
        <v>0</v>
      </c>
      <c r="N288" t="n">
        <v>0</v>
      </c>
      <c r="O288" t="n">
        <v>0</v>
      </c>
      <c r="P288" t="n">
        <v>0</v>
      </c>
      <c r="Q288" t="n">
        <v>1</v>
      </c>
      <c r="R288" t="n">
        <v>0</v>
      </c>
      <c r="S288" t="n">
        <v>3</v>
      </c>
      <c r="T288" t="n">
        <v>3</v>
      </c>
      <c r="U288" t="n">
        <v>0</v>
      </c>
      <c r="V288" s="2" t="inlineStr">
        <is>
          <t>Talltita
Spillkråka
Tjäder</t>
        </is>
      </c>
      <c r="W288">
        <f>HYPERLINK("https://klasma.github.io/Logging_1784/artfynd/A 12887-2026 artfynd.xlsx", "A 12887-2026")</f>
        <v/>
      </c>
      <c r="X288">
        <f>HYPERLINK("https://klasma.github.io/Logging_1784/kartor/A 12887-2026 karta.png", "A 12887-2026")</f>
        <v/>
      </c>
      <c r="Y288">
        <f>HYPERLINK("https://klasma.github.io/Logging_1784/kartor_geotiff/A 12887-2026 georefererad karta.tif", "A 12887-2026")</f>
        <v/>
      </c>
      <c r="AA288">
        <f>HYPERLINK("https://klasma.github.io/Logging_1784/klagomål/A 12887-2026 FSC-klagomål.docx", "A 12887-2026")</f>
        <v/>
      </c>
      <c r="AB288">
        <f>HYPERLINK("https://klasma.github.io/Logging_1784/klagomålsmail/A 12887-2026 FSC-klagomål mail.docx", "A 12887-2026")</f>
        <v/>
      </c>
      <c r="AC288">
        <f>HYPERLINK("https://klasma.github.io/Logging_1784/tillsyn/A 12887-2026 tillsynsbegäran.docx", "A 12887-2026")</f>
        <v/>
      </c>
      <c r="AD288">
        <f>HYPERLINK("https://klasma.github.io/Logging_1784/tillsynsmail/A 12887-2026 tillsynsbegäran mail.docx", "A 12887-2026")</f>
        <v/>
      </c>
      <c r="AE288">
        <f>HYPERLINK("https://klasma.github.io/Logging_1784/fåglar/A 12887-2026 prioriterade fågelarter.docx", "A 12887-2026")</f>
        <v/>
      </c>
    </row>
    <row r="289" ht="15" customHeight="1">
      <c r="A289" t="inlineStr">
        <is>
          <t>A 25314-2026</t>
        </is>
      </c>
      <c r="B289" t="inlineStr">
        <is>
          <t>avverkningsanmälan</t>
        </is>
      </c>
      <c r="C289" t="inlineStr">
        <is>
          <t>Föryngringsavverkning</t>
        </is>
      </c>
      <c r="D289" s="1" t="n">
        <v>46176</v>
      </c>
      <c r="E289" s="1" t="n">
        <v>46307</v>
      </c>
      <c r="F289" t="inlineStr">
        <is>
          <t>VÄRMLANDS LÄN</t>
        </is>
      </c>
      <c r="G289" t="inlineStr">
        <is>
          <t>ÅRJÄNG</t>
        </is>
      </c>
      <c r="I289" t="n">
        <v>3.3</v>
      </c>
      <c r="J289" t="n">
        <v>2</v>
      </c>
      <c r="K289" t="n">
        <v>0</v>
      </c>
      <c r="L289" t="n">
        <v>1</v>
      </c>
      <c r="M289" t="n">
        <v>0</v>
      </c>
      <c r="N289" t="n">
        <v>0</v>
      </c>
      <c r="O289" t="n">
        <v>0</v>
      </c>
      <c r="P289" t="n">
        <v>0</v>
      </c>
      <c r="Q289" t="n">
        <v>1</v>
      </c>
      <c r="R289" t="n">
        <v>0</v>
      </c>
      <c r="S289" t="n">
        <v>3</v>
      </c>
      <c r="T289" t="n">
        <v>5</v>
      </c>
      <c r="U289" t="n">
        <v>5</v>
      </c>
      <c r="V289" s="2" t="inlineStr">
        <is>
          <t>Dropptaggsvamp
Spillkråka
Tofsmes</t>
        </is>
      </c>
      <c r="W289">
        <f>HYPERLINK("https://klasma.github.io/Logging_1765/artfynd/A 25314-2026 artfynd.xlsx", "A 25314-2026")</f>
        <v/>
      </c>
      <c r="X289">
        <f>HYPERLINK("https://klasma.github.io/Logging_1765/kartor/A 25314-2026 karta.png", "A 25314-2026")</f>
        <v/>
      </c>
      <c r="Y289">
        <f>HYPERLINK("https://klasma.github.io/Logging_1765/kartor_geotiff/A 25314-2026 georefererad karta.tif", "A 25314-2026")</f>
        <v/>
      </c>
      <c r="AA289">
        <f>HYPERLINK("https://klasma.github.io/Logging_1765/klagomål/A 25314-2026 FSC-klagomål.docx", "A 25314-2026")</f>
        <v/>
      </c>
      <c r="AB289">
        <f>HYPERLINK("https://klasma.github.io/Logging_1765/klagomålsmail/A 25314-2026 FSC-klagomål mail.docx", "A 25314-2026")</f>
        <v/>
      </c>
      <c r="AC289">
        <f>HYPERLINK("https://klasma.github.io/Logging_1765/tillsyn/A 25314-2026 tillsynsbegäran.docx", "A 25314-2026")</f>
        <v/>
      </c>
      <c r="AD289">
        <f>HYPERLINK("https://klasma.github.io/Logging_1765/tillsynsmail/A 25314-2026 tillsynsbegäran mail.docx", "A 25314-2026")</f>
        <v/>
      </c>
      <c r="AE289">
        <f>HYPERLINK("https://klasma.github.io/Logging_1765/fåglar/A 25314-2026 prioriterade fågelarter.docx", "A 25314-2026")</f>
        <v/>
      </c>
    </row>
    <row r="290" ht="15" customHeight="1">
      <c r="A290" t="inlineStr">
        <is>
          <t>A 27982-2026</t>
        </is>
      </c>
      <c r="B290" t="inlineStr">
        <is>
          <t>avverkningsanmälan</t>
        </is>
      </c>
      <c r="C290" t="inlineStr">
        <is>
          <t>Föryngringsavverkning</t>
        </is>
      </c>
      <c r="D290" s="1" t="n">
        <v>46195</v>
      </c>
      <c r="E290" s="1" t="n">
        <v>46307</v>
      </c>
      <c r="F290" t="inlineStr">
        <is>
          <t>VÄRMLANDS LÄN</t>
        </is>
      </c>
      <c r="G290" t="inlineStr">
        <is>
          <t>KARLSTAD</t>
        </is>
      </c>
      <c r="I290" t="n">
        <v>2.1</v>
      </c>
      <c r="J290" t="n">
        <v>0</v>
      </c>
      <c r="K290" t="n">
        <v>2</v>
      </c>
      <c r="L290" t="n">
        <v>1</v>
      </c>
      <c r="M290" t="n">
        <v>0</v>
      </c>
      <c r="N290" t="n">
        <v>0</v>
      </c>
      <c r="O290" t="n">
        <v>0</v>
      </c>
      <c r="P290" t="n">
        <v>0</v>
      </c>
      <c r="Q290" t="n">
        <v>1</v>
      </c>
      <c r="R290" t="n">
        <v>0</v>
      </c>
      <c r="S290" t="n">
        <v>3</v>
      </c>
      <c r="T290" t="n">
        <v>3</v>
      </c>
      <c r="U290" t="n">
        <v>0</v>
      </c>
      <c r="V290" s="2" t="inlineStr">
        <is>
          <t>Gullpudra
Springkorn
Strutbräken</t>
        </is>
      </c>
      <c r="W290">
        <f>HYPERLINK("https://klasma.github.io/Logging_1780/artfynd/A 27982-2026 artfynd.xlsx", "A 27982-2026")</f>
        <v/>
      </c>
      <c r="X290">
        <f>HYPERLINK("https://klasma.github.io/Logging_1780/kartor/A 27982-2026 karta.png", "A 27982-2026")</f>
        <v/>
      </c>
      <c r="Y290">
        <f>HYPERLINK("https://klasma.github.io/Logging_1780/kartor_geotiff/A 27982-2026 georefererad karta.tif", "A 27982-2026")</f>
        <v/>
      </c>
      <c r="AA290">
        <f>HYPERLINK("https://klasma.github.io/Logging_1780/klagomål/A 27982-2026 FSC-klagomål.docx", "A 27982-2026")</f>
        <v/>
      </c>
      <c r="AB290">
        <f>HYPERLINK("https://klasma.github.io/Logging_1780/klagomålsmail/A 27982-2026 FSC-klagomål mail.docx", "A 27982-2026")</f>
        <v/>
      </c>
      <c r="AC290">
        <f>HYPERLINK("https://klasma.github.io/Logging_1780/tillsyn/A 27982-2026 tillsynsbegäran.docx", "A 27982-2026")</f>
        <v/>
      </c>
      <c r="AD290">
        <f>HYPERLINK("https://klasma.github.io/Logging_1780/tillsynsmail/A 27982-2026 tillsynsbegäran mail.docx", "A 27982-2026")</f>
        <v/>
      </c>
    </row>
    <row r="291" ht="15" customHeight="1">
      <c r="A291" t="inlineStr">
        <is>
          <t>A 28915-2026</t>
        </is>
      </c>
      <c r="B291" t="inlineStr">
        <is>
          <t>avverkningsanmälan</t>
        </is>
      </c>
      <c r="C291" t="inlineStr">
        <is>
          <t>Föryngringsavverkning</t>
        </is>
      </c>
      <c r="D291" s="1" t="n">
        <v>46199</v>
      </c>
      <c r="E291" s="1" t="n">
        <v>46307</v>
      </c>
      <c r="F291" t="inlineStr">
        <is>
          <t>VÄRMLANDS LÄN</t>
        </is>
      </c>
      <c r="G291" t="inlineStr">
        <is>
          <t>FILIPSTAD</t>
        </is>
      </c>
      <c r="H291" t="inlineStr">
        <is>
          <t>Bergvik skog väst AB</t>
        </is>
      </c>
      <c r="I291" t="n">
        <v>12.3</v>
      </c>
      <c r="J291" t="n">
        <v>2</v>
      </c>
      <c r="K291" t="n">
        <v>1</v>
      </c>
      <c r="L291" t="n">
        <v>0</v>
      </c>
      <c r="M291" t="n">
        <v>0</v>
      </c>
      <c r="N291" t="n">
        <v>0</v>
      </c>
      <c r="O291" t="n">
        <v>0</v>
      </c>
      <c r="P291" t="n">
        <v>0</v>
      </c>
      <c r="Q291" t="n">
        <v>0</v>
      </c>
      <c r="R291" t="n">
        <v>0</v>
      </c>
      <c r="S291" t="n">
        <v>3</v>
      </c>
      <c r="T291" t="n">
        <v>11</v>
      </c>
      <c r="U291" t="n">
        <v>11</v>
      </c>
      <c r="V291" s="2" t="inlineStr">
        <is>
          <t>Plattlummer
Stjärnstarr
Fläcknycklar</t>
        </is>
      </c>
      <c r="W291">
        <f>HYPERLINK("https://klasma.github.io/Logging_1782/artfynd/A 28915-2026 artfynd.xlsx", "A 28915-2026")</f>
        <v/>
      </c>
      <c r="X291">
        <f>HYPERLINK("https://klasma.github.io/Logging_1782/kartor/A 28915-2026 karta.png", "A 28915-2026")</f>
        <v/>
      </c>
      <c r="Y291">
        <f>HYPERLINK("https://klasma.github.io/Logging_1782/kartor_geotiff/A 28915-2026 georefererad karta.tif", "A 28915-2026")</f>
        <v/>
      </c>
      <c r="AA291">
        <f>HYPERLINK("https://klasma.github.io/Logging_1782/klagomål/A 28915-2026 FSC-klagomål.docx", "A 28915-2026")</f>
        <v/>
      </c>
      <c r="AB291">
        <f>HYPERLINK("https://klasma.github.io/Logging_1782/klagomålsmail/A 28915-2026 FSC-klagomål mail.docx", "A 28915-2026")</f>
        <v/>
      </c>
      <c r="AC291">
        <f>HYPERLINK("https://klasma.github.io/Logging_1782/tillsyn/A 28915-2026 tillsynsbegäran.docx", "A 28915-2026")</f>
        <v/>
      </c>
      <c r="AD291">
        <f>HYPERLINK("https://klasma.github.io/Logging_1782/tillsynsmail/A 28915-2026 tillsynsbegäran mail.docx", "A 28915-2026")</f>
        <v/>
      </c>
    </row>
    <row r="292" ht="15" customHeight="1">
      <c r="A292" t="inlineStr">
        <is>
          <t>A 7583-2026</t>
        </is>
      </c>
      <c r="B292" t="inlineStr">
        <is>
          <t>avverkningsanmälan</t>
        </is>
      </c>
      <c r="C292" t="inlineStr">
        <is>
          <t>Föryngringsavverkning</t>
        </is>
      </c>
      <c r="D292" s="1" t="n">
        <v>46061</v>
      </c>
      <c r="E292" s="1" t="n">
        <v>46307</v>
      </c>
      <c r="F292" t="inlineStr">
        <is>
          <t>VÄRMLANDS LÄN</t>
        </is>
      </c>
      <c r="G292" t="inlineStr">
        <is>
          <t>ARVIKA</t>
        </is>
      </c>
      <c r="I292" t="n">
        <v>3.3</v>
      </c>
      <c r="J292" t="n">
        <v>3</v>
      </c>
      <c r="K292" t="n">
        <v>0</v>
      </c>
      <c r="L292" t="n">
        <v>1</v>
      </c>
      <c r="M292" t="n">
        <v>0</v>
      </c>
      <c r="N292" t="n">
        <v>0</v>
      </c>
      <c r="O292" t="n">
        <v>0</v>
      </c>
      <c r="P292" t="n">
        <v>0</v>
      </c>
      <c r="Q292" t="n">
        <v>1</v>
      </c>
      <c r="R292" t="n">
        <v>0</v>
      </c>
      <c r="S292" t="n">
        <v>3</v>
      </c>
      <c r="T292" t="n">
        <v>4</v>
      </c>
      <c r="U292" t="n">
        <v>1</v>
      </c>
      <c r="V292" s="2" t="inlineStr">
        <is>
          <t>Tretåig hackspett
Spillkråka
Orre</t>
        </is>
      </c>
      <c r="W292">
        <f>HYPERLINK("https://klasma.github.io/Logging_1784/artfynd/A 7583-2026 artfynd.xlsx", "A 7583-2026")</f>
        <v/>
      </c>
      <c r="X292">
        <f>HYPERLINK("https://klasma.github.io/Logging_1784/kartor/A 7583-2026 karta.png", "A 7583-2026")</f>
        <v/>
      </c>
      <c r="Y292">
        <f>HYPERLINK("https://klasma.github.io/Logging_1784/kartor_geotiff/A 7583-2026 georefererad karta.tif", "A 7583-2026")</f>
        <v/>
      </c>
      <c r="AA292">
        <f>HYPERLINK("https://klasma.github.io/Logging_1784/klagomål/A 7583-2026 FSC-klagomål.docx", "A 7583-2026")</f>
        <v/>
      </c>
      <c r="AB292">
        <f>HYPERLINK("https://klasma.github.io/Logging_1784/klagomålsmail/A 7583-2026 FSC-klagomål mail.docx", "A 7583-2026")</f>
        <v/>
      </c>
      <c r="AC292">
        <f>HYPERLINK("https://klasma.github.io/Logging_1784/tillsyn/A 7583-2026 tillsynsbegäran.docx", "A 7583-2026")</f>
        <v/>
      </c>
      <c r="AD292">
        <f>HYPERLINK("https://klasma.github.io/Logging_1784/tillsynsmail/A 7583-2026 tillsynsbegäran mail.docx", "A 7583-2026")</f>
        <v/>
      </c>
      <c r="AE292">
        <f>HYPERLINK("https://klasma.github.io/Logging_1784/fåglar/A 7583-2026 prioriterade fågelarter.docx", "A 7583-2026")</f>
        <v/>
      </c>
    </row>
    <row r="293" ht="15" customHeight="1">
      <c r="A293" t="inlineStr">
        <is>
          <t>A 36234-2026</t>
        </is>
      </c>
      <c r="B293" t="inlineStr">
        <is>
          <t>avverkningsanmälan</t>
        </is>
      </c>
      <c r="C293" t="inlineStr">
        <is>
          <t>Föryngringsavverkning</t>
        </is>
      </c>
      <c r="D293" s="1" t="n">
        <v>46268</v>
      </c>
      <c r="E293" s="1" t="n">
        <v>46307</v>
      </c>
      <c r="F293" t="inlineStr">
        <is>
          <t>VÄRMLANDS LÄN</t>
        </is>
      </c>
      <c r="G293" t="inlineStr">
        <is>
          <t>FILIPSTAD</t>
        </is>
      </c>
      <c r="I293" t="n">
        <v>5</v>
      </c>
      <c r="J293" t="n">
        <v>2</v>
      </c>
      <c r="K293" t="n">
        <v>0</v>
      </c>
      <c r="L293" t="n">
        <v>0</v>
      </c>
      <c r="M293" t="n">
        <v>0</v>
      </c>
      <c r="N293" t="n">
        <v>0</v>
      </c>
      <c r="O293" t="n">
        <v>0</v>
      </c>
      <c r="P293" t="n">
        <v>0</v>
      </c>
      <c r="Q293" t="n">
        <v>0</v>
      </c>
      <c r="R293" t="n">
        <v>0</v>
      </c>
      <c r="S293" t="n">
        <v>3</v>
      </c>
      <c r="T293" t="n">
        <v>5</v>
      </c>
      <c r="U293" t="n">
        <v>5</v>
      </c>
      <c r="V293" s="2" t="inlineStr">
        <is>
          <t>Kattfot
Fläcknycklar
Nattviol</t>
        </is>
      </c>
      <c r="W293">
        <f>HYPERLINK("https://klasma.github.io/Logging_1782/artfynd/A 36234-2026 artfynd.xlsx", "A 36234-2026")</f>
        <v/>
      </c>
      <c r="X293">
        <f>HYPERLINK("https://klasma.github.io/Logging_1782/kartor/A 36234-2026 karta.png", "A 36234-2026")</f>
        <v/>
      </c>
      <c r="Y293">
        <f>HYPERLINK("https://klasma.github.io/Logging_1782/kartor_geotiff/A 36234-2026 georefererad karta.tif", "A 36234-2026")</f>
        <v/>
      </c>
      <c r="AA293">
        <f>HYPERLINK("https://klasma.github.io/Logging_1782/klagomål/A 36234-2026 FSC-klagomål.docx", "A 36234-2026")</f>
        <v/>
      </c>
      <c r="AB293">
        <f>HYPERLINK("https://klasma.github.io/Logging_1782/klagomålsmail/A 36234-2026 FSC-klagomål mail.docx", "A 36234-2026")</f>
        <v/>
      </c>
      <c r="AC293">
        <f>HYPERLINK("https://klasma.github.io/Logging_1782/tillsyn/A 36234-2026 tillsynsbegäran.docx", "A 36234-2026")</f>
        <v/>
      </c>
      <c r="AD293">
        <f>HYPERLINK("https://klasma.github.io/Logging_1782/tillsynsmail/A 36234-2026 tillsynsbegäran mail.docx", "A 36234-2026")</f>
        <v/>
      </c>
    </row>
    <row r="294" ht="15" customHeight="1">
      <c r="A294" t="inlineStr">
        <is>
          <t>A 5518-2026</t>
        </is>
      </c>
      <c r="B294" t="inlineStr">
        <is>
          <t>avverkningsanmälan</t>
        </is>
      </c>
      <c r="C294" t="inlineStr">
        <is>
          <t>Föryngringsavverkning</t>
        </is>
      </c>
      <c r="D294" s="1" t="n">
        <v>46050</v>
      </c>
      <c r="E294" s="1" t="n">
        <v>46307</v>
      </c>
      <c r="F294" t="inlineStr">
        <is>
          <t>VÄRMLANDS LÄN</t>
        </is>
      </c>
      <c r="G294" t="inlineStr">
        <is>
          <t>SUNNE</t>
        </is>
      </c>
      <c r="I294" t="n">
        <v>12.9</v>
      </c>
      <c r="J294" t="n">
        <v>2</v>
      </c>
      <c r="K294" t="n">
        <v>0</v>
      </c>
      <c r="L294" t="n">
        <v>2</v>
      </c>
      <c r="M294" t="n">
        <v>0</v>
      </c>
      <c r="N294" t="n">
        <v>0</v>
      </c>
      <c r="O294" t="n">
        <v>0</v>
      </c>
      <c r="P294" t="n">
        <v>0</v>
      </c>
      <c r="Q294" t="n">
        <v>2</v>
      </c>
      <c r="R294" t="n">
        <v>0</v>
      </c>
      <c r="S294" t="n">
        <v>3</v>
      </c>
      <c r="T294" t="n">
        <v>4</v>
      </c>
      <c r="U294" t="n">
        <v>4</v>
      </c>
      <c r="V294" s="2" t="inlineStr">
        <is>
          <t>Tallticka
Talltita
Tjäder</t>
        </is>
      </c>
      <c r="W294">
        <f>HYPERLINK("https://klasma.github.io/Logging_1766/artfynd/A 5518-2026 artfynd.xlsx", "A 5518-2026")</f>
        <v/>
      </c>
      <c r="X294">
        <f>HYPERLINK("https://klasma.github.io/Logging_1766/kartor/A 5518-2026 karta.png", "A 5518-2026")</f>
        <v/>
      </c>
      <c r="Y294">
        <f>HYPERLINK("https://klasma.github.io/Logging_1766/kartor_geotiff/A 5518-2026 georefererad karta.tif", "A 5518-2026")</f>
        <v/>
      </c>
      <c r="AA294">
        <f>HYPERLINK("https://klasma.github.io/Logging_1766/klagomål/A 5518-2026 FSC-klagomål.docx", "A 5518-2026")</f>
        <v/>
      </c>
      <c r="AB294">
        <f>HYPERLINK("https://klasma.github.io/Logging_1766/klagomålsmail/A 5518-2026 FSC-klagomål mail.docx", "A 5518-2026")</f>
        <v/>
      </c>
      <c r="AC294">
        <f>HYPERLINK("https://klasma.github.io/Logging_1766/tillsyn/A 5518-2026 tillsynsbegäran.docx", "A 5518-2026")</f>
        <v/>
      </c>
      <c r="AD294">
        <f>HYPERLINK("https://klasma.github.io/Logging_1766/tillsynsmail/A 5518-2026 tillsynsbegäran mail.docx", "A 5518-2026")</f>
        <v/>
      </c>
      <c r="AE294">
        <f>HYPERLINK("https://klasma.github.io/Logging_1766/fåglar/A 5518-2026 prioriterade fågelarter.docx", "A 5518-2026")</f>
        <v/>
      </c>
    </row>
    <row r="295" ht="15" customHeight="1">
      <c r="A295" t="inlineStr">
        <is>
          <t>A 37620-2026</t>
        </is>
      </c>
      <c r="B295" t="inlineStr">
        <is>
          <t>avverkningsanmälan</t>
        </is>
      </c>
      <c r="C295" t="inlineStr">
        <is>
          <t>Föryngringsavverkning</t>
        </is>
      </c>
      <c r="D295" s="1" t="n">
        <v>46276</v>
      </c>
      <c r="E295" s="1" t="n">
        <v>46307</v>
      </c>
      <c r="F295" t="inlineStr">
        <is>
          <t>VÄRMLANDS LÄN</t>
        </is>
      </c>
      <c r="G295" t="inlineStr">
        <is>
          <t>FILIPSTAD</t>
        </is>
      </c>
      <c r="H295" t="inlineStr">
        <is>
          <t>Bergvik skog väst AB</t>
        </is>
      </c>
      <c r="I295" t="n">
        <v>4.1</v>
      </c>
      <c r="J295" t="n">
        <v>1</v>
      </c>
      <c r="K295" t="n">
        <v>0</v>
      </c>
      <c r="L295" t="n">
        <v>2</v>
      </c>
      <c r="M295" t="n">
        <v>1</v>
      </c>
      <c r="N295" t="n">
        <v>0</v>
      </c>
      <c r="O295" t="n">
        <v>0</v>
      </c>
      <c r="P295" t="n">
        <v>0</v>
      </c>
      <c r="Q295" t="n">
        <v>3</v>
      </c>
      <c r="R295" t="n">
        <v>1</v>
      </c>
      <c r="S295" t="n">
        <v>3</v>
      </c>
      <c r="T295" t="n">
        <v>3</v>
      </c>
      <c r="U295" t="n">
        <v>0</v>
      </c>
      <c r="V295" s="2" t="inlineStr">
        <is>
          <t>Garnlav
Kandelabersvamp
Tretåig hackspett</t>
        </is>
      </c>
      <c r="W295">
        <f>HYPERLINK("https://klasma.github.io/Logging_1782/artfynd/A 37620-2026 artfynd.xlsx", "A 37620-2026")</f>
        <v/>
      </c>
      <c r="X295">
        <f>HYPERLINK("https://klasma.github.io/Logging_1782/kartor/A 37620-2026 karta.png", "A 37620-2026")</f>
        <v/>
      </c>
      <c r="Y295">
        <f>HYPERLINK("https://klasma.github.io/Logging_1782/kartor_geotiff/A 37620-2026 georefererad karta.tif", "A 37620-2026")</f>
        <v/>
      </c>
      <c r="AA295">
        <f>HYPERLINK("https://klasma.github.io/Logging_1782/klagomål/A 37620-2026 FSC-klagomål.docx", "A 37620-2026")</f>
        <v/>
      </c>
      <c r="AB295">
        <f>HYPERLINK("https://klasma.github.io/Logging_1782/klagomålsmail/A 37620-2026 FSC-klagomål mail.docx", "A 37620-2026")</f>
        <v/>
      </c>
      <c r="AC295">
        <f>HYPERLINK("https://klasma.github.io/Logging_1782/tillsyn/A 37620-2026 tillsynsbegäran.docx", "A 37620-2026")</f>
        <v/>
      </c>
      <c r="AD295">
        <f>HYPERLINK("https://klasma.github.io/Logging_1782/tillsynsmail/A 37620-2026 tillsynsbegäran mail.docx", "A 37620-2026")</f>
        <v/>
      </c>
      <c r="AE295">
        <f>HYPERLINK("https://klasma.github.io/Logging_1782/fåglar/A 37620-2026 prioriterade fågelarter.docx", "A 37620-2026")</f>
        <v/>
      </c>
    </row>
    <row r="296" ht="15" customHeight="1">
      <c r="A296" t="inlineStr">
        <is>
          <t>A 23089-2024</t>
        </is>
      </c>
      <c r="B296" t="inlineStr">
        <is>
          <t>avverkningsanmälan</t>
        </is>
      </c>
      <c r="C296" t="inlineStr">
        <is>
          <t>Föryngringsavverkning</t>
        </is>
      </c>
      <c r="D296" s="1" t="n">
        <v>45450</v>
      </c>
      <c r="E296" s="1" t="n">
        <v>46307</v>
      </c>
      <c r="F296" t="inlineStr">
        <is>
          <t>VÄRMLANDS LÄN</t>
        </is>
      </c>
      <c r="G296" t="inlineStr">
        <is>
          <t>ARVIKA</t>
        </is>
      </c>
      <c r="H296" t="inlineStr">
        <is>
          <t>Bergvik skog väst AB</t>
        </is>
      </c>
      <c r="I296" t="n">
        <v>0.7</v>
      </c>
      <c r="J296" t="n">
        <v>1</v>
      </c>
      <c r="K296" t="n">
        <v>1</v>
      </c>
      <c r="L296" t="n">
        <v>1</v>
      </c>
      <c r="M296" t="n">
        <v>1</v>
      </c>
      <c r="N296" t="n">
        <v>0</v>
      </c>
      <c r="O296" t="n">
        <v>0</v>
      </c>
      <c r="P296" t="n">
        <v>0</v>
      </c>
      <c r="Q296" t="n">
        <v>2</v>
      </c>
      <c r="R296" t="n">
        <v>1</v>
      </c>
      <c r="S296" t="n">
        <v>3</v>
      </c>
      <c r="T296" t="n">
        <v>3</v>
      </c>
      <c r="U296" t="n">
        <v>3</v>
      </c>
      <c r="V296" s="2" t="inlineStr">
        <is>
          <t>Knärot
Dvärgbägarlav
Grönpyrola</t>
        </is>
      </c>
      <c r="W296">
        <f>HYPERLINK("https://klasma.github.io/Logging_1784/artfynd/A 23089-2024 artfynd.xlsx", "A 23089-2024")</f>
        <v/>
      </c>
      <c r="X296">
        <f>HYPERLINK("https://klasma.github.io/Logging_1784/kartor/A 23089-2024 karta.png", "A 23089-2024")</f>
        <v/>
      </c>
      <c r="Y296">
        <f>HYPERLINK("https://klasma.github.io/Logging_1784/kartor_geotiff/A 23089-2024 georefererad karta.tif", "A 23089-2024")</f>
        <v/>
      </c>
      <c r="Z296">
        <f>HYPERLINK("https://klasma.github.io/Logging_1784/knärot/A 23089-2024 karta knärot.png", "A 23089-2024")</f>
        <v/>
      </c>
      <c r="AA296">
        <f>HYPERLINK("https://klasma.github.io/Logging_1784/klagomål/A 23089-2024 FSC-klagomål.docx", "A 23089-2024")</f>
        <v/>
      </c>
      <c r="AB296">
        <f>HYPERLINK("https://klasma.github.io/Logging_1784/klagomålsmail/A 23089-2024 FSC-klagomål mail.docx", "A 23089-2024")</f>
        <v/>
      </c>
      <c r="AC296">
        <f>HYPERLINK("https://klasma.github.io/Logging_1784/tillsyn/A 23089-2024 tillsynsbegäran.docx", "A 23089-2024")</f>
        <v/>
      </c>
      <c r="AD296">
        <f>HYPERLINK("https://klasma.github.io/Logging_1784/tillsynsmail/A 23089-2024 tillsynsbegäran mail.docx", "A 23089-2024")</f>
        <v/>
      </c>
    </row>
    <row r="297" ht="15" customHeight="1">
      <c r="A297" t="inlineStr">
        <is>
          <t>A 38667-2026</t>
        </is>
      </c>
      <c r="B297" t="inlineStr">
        <is>
          <t>avverkningsanmälan</t>
        </is>
      </c>
      <c r="C297" t="inlineStr">
        <is>
          <t>Föryngringsavverkning</t>
        </is>
      </c>
      <c r="D297" s="1" t="n">
        <v>46283</v>
      </c>
      <c r="E297" s="1" t="n">
        <v>46307</v>
      </c>
      <c r="F297" t="inlineStr">
        <is>
          <t>VÄRMLANDS LÄN</t>
        </is>
      </c>
      <c r="G297" t="inlineStr">
        <is>
          <t>FILIPSTAD</t>
        </is>
      </c>
      <c r="H297" t="inlineStr">
        <is>
          <t>Bergvik skog väst AB</t>
        </is>
      </c>
      <c r="I297" t="n">
        <v>10.7</v>
      </c>
      <c r="J297" t="n">
        <v>2</v>
      </c>
      <c r="K297" t="n">
        <v>1</v>
      </c>
      <c r="L297" t="n">
        <v>1</v>
      </c>
      <c r="M297" t="n">
        <v>0</v>
      </c>
      <c r="N297" t="n">
        <v>0</v>
      </c>
      <c r="O297" t="n">
        <v>0</v>
      </c>
      <c r="P297" t="n">
        <v>0</v>
      </c>
      <c r="Q297" t="n">
        <v>1</v>
      </c>
      <c r="R297" t="n">
        <v>0</v>
      </c>
      <c r="S297" t="n">
        <v>3</v>
      </c>
      <c r="T297" t="n">
        <v>5</v>
      </c>
      <c r="U297" t="n">
        <v>0</v>
      </c>
      <c r="V297" s="2" t="inlineStr">
        <is>
          <t>Brunklöver
Tvåblad
Fläcknycklar</t>
        </is>
      </c>
      <c r="W297">
        <f>HYPERLINK("https://klasma.github.io/Logging_1782/artfynd/A 38667-2026 artfynd.xlsx", "A 38667-2026")</f>
        <v/>
      </c>
      <c r="X297">
        <f>HYPERLINK("https://klasma.github.io/Logging_1782/kartor/A 38667-2026 karta.png", "A 38667-2026")</f>
        <v/>
      </c>
      <c r="Y297">
        <f>HYPERLINK("https://klasma.github.io/Logging_1782/kartor_geotiff/A 38667-2026 georefererad karta.tif", "A 38667-2026")</f>
        <v/>
      </c>
      <c r="AA297">
        <f>HYPERLINK("https://klasma.github.io/Logging_1782/klagomål/A 38667-2026 FSC-klagomål.docx", "A 38667-2026")</f>
        <v/>
      </c>
      <c r="AB297">
        <f>HYPERLINK("https://klasma.github.io/Logging_1782/klagomålsmail/A 38667-2026 FSC-klagomål mail.docx", "A 38667-2026")</f>
        <v/>
      </c>
      <c r="AC297">
        <f>HYPERLINK("https://klasma.github.io/Logging_1782/tillsyn/A 38667-2026 tillsynsbegäran.docx", "A 38667-2026")</f>
        <v/>
      </c>
      <c r="AD297">
        <f>HYPERLINK("https://klasma.github.io/Logging_1782/tillsynsmail/A 38667-2026 tillsynsbegäran mail.docx", "A 38667-2026")</f>
        <v/>
      </c>
    </row>
    <row r="298" ht="15" customHeight="1">
      <c r="A298" t="inlineStr">
        <is>
          <t>A 39135-2026</t>
        </is>
      </c>
      <c r="B298" t="inlineStr">
        <is>
          <t>avverkningsanmälan</t>
        </is>
      </c>
      <c r="C298" t="inlineStr">
        <is>
          <t>Föryngringsavverkning</t>
        </is>
      </c>
      <c r="D298" s="1" t="n">
        <v>46287</v>
      </c>
      <c r="E298" s="1" t="n">
        <v>46307</v>
      </c>
      <c r="F298" t="inlineStr">
        <is>
          <t>VÄRMLANDS LÄN</t>
        </is>
      </c>
      <c r="G298" t="inlineStr">
        <is>
          <t>SUNNE</t>
        </is>
      </c>
      <c r="H298" t="inlineStr">
        <is>
          <t>Bergvik skog väst AB</t>
        </is>
      </c>
      <c r="I298" t="n">
        <v>1.7</v>
      </c>
      <c r="J298" t="n">
        <v>3</v>
      </c>
      <c r="K298" t="n">
        <v>0</v>
      </c>
      <c r="L298" t="n">
        <v>2</v>
      </c>
      <c r="M298" t="n">
        <v>0</v>
      </c>
      <c r="N298" t="n">
        <v>0</v>
      </c>
      <c r="O298" t="n">
        <v>0</v>
      </c>
      <c r="P298" t="n">
        <v>0</v>
      </c>
      <c r="Q298" t="n">
        <v>2</v>
      </c>
      <c r="R298" t="n">
        <v>0</v>
      </c>
      <c r="S298" t="n">
        <v>3</v>
      </c>
      <c r="T298" t="n">
        <v>3</v>
      </c>
      <c r="U298" t="n">
        <v>0</v>
      </c>
      <c r="V298" s="2" t="inlineStr">
        <is>
          <t>Brunlångöra
Nordfladdermus
Vattenfladdermus</t>
        </is>
      </c>
      <c r="W298">
        <f>HYPERLINK("https://klasma.github.io/Logging_1766/artfynd/A 39135-2026 artfynd.xlsx", "A 39135-2026")</f>
        <v/>
      </c>
      <c r="X298">
        <f>HYPERLINK("https://klasma.github.io/Logging_1766/kartor/A 39135-2026 karta.png", "A 39135-2026")</f>
        <v/>
      </c>
      <c r="Y298">
        <f>HYPERLINK("https://klasma.github.io/Logging_1766/kartor_geotiff/A 39135-2026 georefererad karta.tif", "A 39135-2026")</f>
        <v/>
      </c>
      <c r="AA298">
        <f>HYPERLINK("https://klasma.github.io/Logging_1766/klagomål/A 39135-2026 FSC-klagomål.docx", "A 39135-2026")</f>
        <v/>
      </c>
      <c r="AB298">
        <f>HYPERLINK("https://klasma.github.io/Logging_1766/klagomålsmail/A 39135-2026 FSC-klagomål mail.docx", "A 39135-2026")</f>
        <v/>
      </c>
      <c r="AC298">
        <f>HYPERLINK("https://klasma.github.io/Logging_1766/tillsyn/A 39135-2026 tillsynsbegäran.docx", "A 39135-2026")</f>
        <v/>
      </c>
      <c r="AD298">
        <f>HYPERLINK("https://klasma.github.io/Logging_1766/tillsynsmail/A 39135-2026 tillsynsbegäran mail.docx", "A 39135-2026")</f>
        <v/>
      </c>
    </row>
    <row r="299" ht="15" customHeight="1">
      <c r="A299" t="inlineStr">
        <is>
          <t>A 5936-2025</t>
        </is>
      </c>
      <c r="B299" t="inlineStr">
        <is>
          <t>avverkningsanmälan</t>
        </is>
      </c>
      <c r="C299" t="inlineStr">
        <is>
          <t>Föryngringsavverkning</t>
        </is>
      </c>
      <c r="D299" s="1" t="n">
        <v>45695</v>
      </c>
      <c r="E299" s="1" t="n">
        <v>46307</v>
      </c>
      <c r="F299" t="inlineStr">
        <is>
          <t>VÄRMLANDS LÄN</t>
        </is>
      </c>
      <c r="G299" t="inlineStr">
        <is>
          <t>ARVIKA</t>
        </is>
      </c>
      <c r="I299" t="n">
        <v>8.300000000000001</v>
      </c>
      <c r="J299" t="n">
        <v>3</v>
      </c>
      <c r="K299" t="n">
        <v>0</v>
      </c>
      <c r="L299" t="n">
        <v>2</v>
      </c>
      <c r="M299" t="n">
        <v>1</v>
      </c>
      <c r="N299" t="n">
        <v>0</v>
      </c>
      <c r="O299" t="n">
        <v>0</v>
      </c>
      <c r="P299" t="n">
        <v>0</v>
      </c>
      <c r="Q299" t="n">
        <v>3</v>
      </c>
      <c r="R299" t="n">
        <v>1</v>
      </c>
      <c r="S299" t="n">
        <v>3</v>
      </c>
      <c r="T299" t="n">
        <v>7</v>
      </c>
      <c r="U299" t="n">
        <v>5</v>
      </c>
      <c r="V299" s="2" t="inlineStr">
        <is>
          <t>Knärot
Mindre hackspett
Talltita</t>
        </is>
      </c>
      <c r="W299">
        <f>HYPERLINK("https://klasma.github.io/Logging_1784/artfynd/A 5936-2025 artfynd.xlsx", "A 5936-2025")</f>
        <v/>
      </c>
      <c r="X299">
        <f>HYPERLINK("https://klasma.github.io/Logging_1784/kartor/A 5936-2025 karta.png", "A 5936-2025")</f>
        <v/>
      </c>
      <c r="Y299">
        <f>HYPERLINK("https://klasma.github.io/Logging_1784/kartor_geotiff/A 5936-2025 georefererad karta.tif", "A 5936-2025")</f>
        <v/>
      </c>
      <c r="Z299">
        <f>HYPERLINK("https://klasma.github.io/Logging_1784/knärot/A 5936-2025 karta knärot.png", "A 5936-2025")</f>
        <v/>
      </c>
      <c r="AA299">
        <f>HYPERLINK("https://klasma.github.io/Logging_1784/klagomål/A 5936-2025 FSC-klagomål.docx", "A 5936-2025")</f>
        <v/>
      </c>
      <c r="AB299">
        <f>HYPERLINK("https://klasma.github.io/Logging_1784/klagomålsmail/A 5936-2025 FSC-klagomål mail.docx", "A 5936-2025")</f>
        <v/>
      </c>
      <c r="AC299">
        <f>HYPERLINK("https://klasma.github.io/Logging_1784/tillsyn/A 5936-2025 tillsynsbegäran.docx", "A 5936-2025")</f>
        <v/>
      </c>
      <c r="AD299">
        <f>HYPERLINK("https://klasma.github.io/Logging_1784/tillsynsmail/A 5936-2025 tillsynsbegäran mail.docx", "A 5936-2025")</f>
        <v/>
      </c>
      <c r="AE299">
        <f>HYPERLINK("https://klasma.github.io/Logging_1784/fåglar/A 5936-2025 prioriterade fågelarter.docx", "A 5936-2025")</f>
        <v/>
      </c>
    </row>
    <row r="300" ht="15" customHeight="1">
      <c r="A300" t="inlineStr">
        <is>
          <t>A 62568-2025</t>
        </is>
      </c>
      <c r="B300" t="inlineStr">
        <is>
          <t>avverkningsanmälan</t>
        </is>
      </c>
      <c r="C300" t="inlineStr">
        <is>
          <t>Föryngringsavverkning</t>
        </is>
      </c>
      <c r="D300" s="1" t="n">
        <v>46007</v>
      </c>
      <c r="E300" s="1" t="n">
        <v>46307</v>
      </c>
      <c r="F300" t="inlineStr">
        <is>
          <t>VÄRMLANDS LÄN</t>
        </is>
      </c>
      <c r="G300" t="inlineStr">
        <is>
          <t>TORSBY</t>
        </is>
      </c>
      <c r="I300" t="n">
        <v>7</v>
      </c>
      <c r="J300" t="n">
        <v>1</v>
      </c>
      <c r="K300" t="n">
        <v>1</v>
      </c>
      <c r="L300" t="n">
        <v>1</v>
      </c>
      <c r="M300" t="n">
        <v>0</v>
      </c>
      <c r="N300" t="n">
        <v>0</v>
      </c>
      <c r="O300" t="n">
        <v>0</v>
      </c>
      <c r="P300" t="n">
        <v>0</v>
      </c>
      <c r="Q300" t="n">
        <v>1</v>
      </c>
      <c r="R300" t="n">
        <v>0</v>
      </c>
      <c r="S300" t="n">
        <v>3</v>
      </c>
      <c r="T300" t="n">
        <v>4</v>
      </c>
      <c r="U300" t="n">
        <v>4</v>
      </c>
      <c r="V300" s="2" t="inlineStr">
        <is>
          <t>Doftskinn
Vedticka
Vanlig padda</t>
        </is>
      </c>
      <c r="W300">
        <f>HYPERLINK("https://klasma.github.io/Logging_1737/artfynd/A 62568-2025 artfynd.xlsx", "A 62568-2025")</f>
        <v/>
      </c>
      <c r="X300">
        <f>HYPERLINK("https://klasma.github.io/Logging_1737/kartor/A 62568-2025 karta.png", "A 62568-2025")</f>
        <v/>
      </c>
      <c r="Y300">
        <f>HYPERLINK("https://klasma.github.io/Logging_1737/kartor_geotiff/A 62568-2025 georefererad karta.tif", "A 62568-2025")</f>
        <v/>
      </c>
      <c r="AA300">
        <f>HYPERLINK("https://klasma.github.io/Logging_1737/klagomål/A 62568-2025 FSC-klagomål.docx", "A 62568-2025")</f>
        <v/>
      </c>
      <c r="AB300">
        <f>HYPERLINK("https://klasma.github.io/Logging_1737/klagomålsmail/A 62568-2025 FSC-klagomål mail.docx", "A 62568-2025")</f>
        <v/>
      </c>
      <c r="AC300">
        <f>HYPERLINK("https://klasma.github.io/Logging_1737/tillsyn/A 62568-2025 tillsynsbegäran.docx", "A 62568-2025")</f>
        <v/>
      </c>
      <c r="AD300">
        <f>HYPERLINK("https://klasma.github.io/Logging_1737/tillsynsmail/A 62568-2025 tillsynsbegäran mail.docx", "A 62568-2025")</f>
        <v/>
      </c>
    </row>
    <row r="301" ht="15" customHeight="1">
      <c r="A301" t="inlineStr">
        <is>
          <t>A 34099-2026</t>
        </is>
      </c>
      <c r="B301" t="inlineStr">
        <is>
          <t>avverkningsanmälan</t>
        </is>
      </c>
      <c r="C301" t="inlineStr">
        <is>
          <t>Föryngringsavverkning</t>
        </is>
      </c>
      <c r="D301" s="1" t="n">
        <v>46252</v>
      </c>
      <c r="E301" s="1" t="n">
        <v>46307</v>
      </c>
      <c r="F301" t="inlineStr">
        <is>
          <t>VÄRMLANDS LÄN</t>
        </is>
      </c>
      <c r="G301" t="inlineStr">
        <is>
          <t>GRUMS</t>
        </is>
      </c>
      <c r="I301" t="n">
        <v>1.7</v>
      </c>
      <c r="J301" t="n">
        <v>1</v>
      </c>
      <c r="K301" t="n">
        <v>1</v>
      </c>
      <c r="L301" t="n">
        <v>1</v>
      </c>
      <c r="M301" t="n">
        <v>0</v>
      </c>
      <c r="N301" t="n">
        <v>0</v>
      </c>
      <c r="O301" t="n">
        <v>0</v>
      </c>
      <c r="P301" t="n">
        <v>0</v>
      </c>
      <c r="Q301" t="n">
        <v>1</v>
      </c>
      <c r="R301" t="n">
        <v>0</v>
      </c>
      <c r="S301" t="n">
        <v>3</v>
      </c>
      <c r="T301" t="n">
        <v>6</v>
      </c>
      <c r="U301" t="n">
        <v>0</v>
      </c>
      <c r="V301" s="2" t="inlineStr">
        <is>
          <t>Dofttaggsvamp
Björksplintborre
Revlummer</t>
        </is>
      </c>
      <c r="W301">
        <f>HYPERLINK("https://klasma.github.io/Logging_1764/artfynd/A 34099-2026 artfynd.xlsx", "A 34099-2026")</f>
        <v/>
      </c>
      <c r="X301">
        <f>HYPERLINK("https://klasma.github.io/Logging_1764/kartor/A 34099-2026 karta.png", "A 34099-2026")</f>
        <v/>
      </c>
      <c r="Y301">
        <f>HYPERLINK("https://klasma.github.io/Logging_1764/kartor_geotiff/A 34099-2026 georefererad karta.tif", "A 34099-2026")</f>
        <v/>
      </c>
      <c r="AA301">
        <f>HYPERLINK("https://klasma.github.io/Logging_1764/klagomål/A 34099-2026 FSC-klagomål.docx", "A 34099-2026")</f>
        <v/>
      </c>
      <c r="AB301">
        <f>HYPERLINK("https://klasma.github.io/Logging_1764/klagomålsmail/A 34099-2026 FSC-klagomål mail.docx", "A 34099-2026")</f>
        <v/>
      </c>
      <c r="AC301">
        <f>HYPERLINK("https://klasma.github.io/Logging_1764/tillsyn/A 34099-2026 tillsynsbegäran.docx", "A 34099-2026")</f>
        <v/>
      </c>
      <c r="AD301">
        <f>HYPERLINK("https://klasma.github.io/Logging_1764/tillsynsmail/A 34099-2026 tillsynsbegäran mail.docx", "A 34099-2026")</f>
        <v/>
      </c>
    </row>
    <row r="302" ht="15" customHeight="1">
      <c r="A302" t="inlineStr">
        <is>
          <t>A 34684-2026</t>
        </is>
      </c>
      <c r="B302" t="inlineStr">
        <is>
          <t>avverkningsanmälan</t>
        </is>
      </c>
      <c r="C302" t="inlineStr">
        <is>
          <t>Föryngringsavverkning</t>
        </is>
      </c>
      <c r="D302" s="1" t="n">
        <v>46258</v>
      </c>
      <c r="E302" s="1" t="n">
        <v>46307</v>
      </c>
      <c r="F302" t="inlineStr">
        <is>
          <t>VÄRMLANDS LÄN</t>
        </is>
      </c>
      <c r="G302" t="inlineStr">
        <is>
          <t>FILIPSTAD</t>
        </is>
      </c>
      <c r="H302" t="inlineStr">
        <is>
          <t>Bergvik skog väst AB</t>
        </is>
      </c>
      <c r="I302" t="n">
        <v>7.2</v>
      </c>
      <c r="J302" t="n">
        <v>1</v>
      </c>
      <c r="K302" t="n">
        <v>2</v>
      </c>
      <c r="L302" t="n">
        <v>0</v>
      </c>
      <c r="M302" t="n">
        <v>0</v>
      </c>
      <c r="N302" t="n">
        <v>0</v>
      </c>
      <c r="O302" t="n">
        <v>0</v>
      </c>
      <c r="P302" t="n">
        <v>0</v>
      </c>
      <c r="Q302" t="n">
        <v>0</v>
      </c>
      <c r="R302" t="n">
        <v>0</v>
      </c>
      <c r="S302" t="n">
        <v>3</v>
      </c>
      <c r="T302" t="n">
        <v>4</v>
      </c>
      <c r="U302" t="n">
        <v>0</v>
      </c>
      <c r="V302" s="2" t="inlineStr">
        <is>
          <t>Bårdlav
Stuplav
Fläcknycklar</t>
        </is>
      </c>
      <c r="W302">
        <f>HYPERLINK("https://klasma.github.io/Logging_1782/artfynd/A 34684-2026 artfynd.xlsx", "A 34684-2026")</f>
        <v/>
      </c>
      <c r="X302">
        <f>HYPERLINK("https://klasma.github.io/Logging_1782/kartor/A 34684-2026 karta.png", "A 34684-2026")</f>
        <v/>
      </c>
      <c r="Y302">
        <f>HYPERLINK("https://klasma.github.io/Logging_1782/kartor_geotiff/A 34684-2026 georefererad karta.tif", "A 34684-2026")</f>
        <v/>
      </c>
      <c r="AA302">
        <f>HYPERLINK("https://klasma.github.io/Logging_1782/klagomål/A 34684-2026 FSC-klagomål.docx", "A 34684-2026")</f>
        <v/>
      </c>
      <c r="AB302">
        <f>HYPERLINK("https://klasma.github.io/Logging_1782/klagomålsmail/A 34684-2026 FSC-klagomål mail.docx", "A 34684-2026")</f>
        <v/>
      </c>
      <c r="AC302">
        <f>HYPERLINK("https://klasma.github.io/Logging_1782/tillsyn/A 34684-2026 tillsynsbegäran.docx", "A 34684-2026")</f>
        <v/>
      </c>
      <c r="AD302">
        <f>HYPERLINK("https://klasma.github.io/Logging_1782/tillsynsmail/A 34684-2026 tillsynsbegäran mail.docx", "A 34684-2026")</f>
        <v/>
      </c>
    </row>
    <row r="303" ht="15" customHeight="1">
      <c r="A303" t="inlineStr">
        <is>
          <t>A 35881-2026</t>
        </is>
      </c>
      <c r="B303" t="inlineStr">
        <is>
          <t>avverkningsanmälan</t>
        </is>
      </c>
      <c r="C303" t="inlineStr">
        <is>
          <t>Föryngringsavverkning</t>
        </is>
      </c>
      <c r="D303" s="1" t="n">
        <v>46265</v>
      </c>
      <c r="E303" s="1" t="n">
        <v>46307</v>
      </c>
      <c r="F303" t="inlineStr">
        <is>
          <t>VÄRMLANDS LÄN</t>
        </is>
      </c>
      <c r="G303" t="inlineStr">
        <is>
          <t>ÅRJÄNG</t>
        </is>
      </c>
      <c r="I303" t="n">
        <v>6.1</v>
      </c>
      <c r="J303" t="n">
        <v>0</v>
      </c>
      <c r="K303" t="n">
        <v>2</v>
      </c>
      <c r="L303" t="n">
        <v>1</v>
      </c>
      <c r="M303" t="n">
        <v>0</v>
      </c>
      <c r="N303" t="n">
        <v>0</v>
      </c>
      <c r="O303" t="n">
        <v>0</v>
      </c>
      <c r="P303" t="n">
        <v>0</v>
      </c>
      <c r="Q303" t="n">
        <v>1</v>
      </c>
      <c r="R303" t="n">
        <v>0</v>
      </c>
      <c r="S303" t="n">
        <v>3</v>
      </c>
      <c r="T303" t="n">
        <v>4</v>
      </c>
      <c r="U303" t="n">
        <v>0</v>
      </c>
      <c r="V303" s="2" t="inlineStr">
        <is>
          <t>Lunglav
Korallblylav
Stuplav</t>
        </is>
      </c>
      <c r="W303">
        <f>HYPERLINK("https://klasma.github.io/Logging_1765/artfynd/A 35881-2026 artfynd.xlsx", "A 35881-2026")</f>
        <v/>
      </c>
      <c r="X303">
        <f>HYPERLINK("https://klasma.github.io/Logging_1765/kartor/A 35881-2026 karta.png", "A 35881-2026")</f>
        <v/>
      </c>
      <c r="Y303">
        <f>HYPERLINK("https://klasma.github.io/Logging_1765/kartor_geotiff/A 35881-2026 georefererad karta.tif", "A 35881-2026")</f>
        <v/>
      </c>
      <c r="AA303">
        <f>HYPERLINK("https://klasma.github.io/Logging_1765/klagomål/A 35881-2026 FSC-klagomål.docx", "A 35881-2026")</f>
        <v/>
      </c>
      <c r="AB303">
        <f>HYPERLINK("https://klasma.github.io/Logging_1765/klagomålsmail/A 35881-2026 FSC-klagomål mail.docx", "A 35881-2026")</f>
        <v/>
      </c>
      <c r="AC303">
        <f>HYPERLINK("https://klasma.github.io/Logging_1765/tillsyn/A 35881-2026 tillsynsbegäran.docx", "A 35881-2026")</f>
        <v/>
      </c>
      <c r="AD303">
        <f>HYPERLINK("https://klasma.github.io/Logging_1765/tillsynsmail/A 35881-2026 tillsynsbegäran mail.docx", "A 35881-2026")</f>
        <v/>
      </c>
    </row>
    <row r="304" ht="15" customHeight="1">
      <c r="A304" t="inlineStr">
        <is>
          <t>S 2037-2023</t>
        </is>
      </c>
      <c r="B304" t="inlineStr">
        <is>
          <t>samrådsanmälan</t>
        </is>
      </c>
      <c r="C304" t="inlineStr">
        <is>
          <t>Askåterföring</t>
        </is>
      </c>
      <c r="D304" s="1" t="n">
        <v>45091</v>
      </c>
      <c r="E304" s="1" t="n">
        <v>46307</v>
      </c>
      <c r="F304" t="inlineStr">
        <is>
          <t>VÄRMLANDS LÄN</t>
        </is>
      </c>
      <c r="G304" t="inlineStr">
        <is>
          <t>KRISTINEHAMN</t>
        </is>
      </c>
      <c r="I304" t="n">
        <v>91.90000000000001</v>
      </c>
      <c r="J304" t="n">
        <v>2</v>
      </c>
      <c r="K304" t="n">
        <v>0</v>
      </c>
      <c r="L304" t="n">
        <v>2</v>
      </c>
      <c r="M304" t="n">
        <v>0</v>
      </c>
      <c r="N304" t="n">
        <v>0</v>
      </c>
      <c r="O304" t="n">
        <v>0</v>
      </c>
      <c r="P304" t="n">
        <v>0</v>
      </c>
      <c r="Q304" t="n">
        <v>2</v>
      </c>
      <c r="R304" t="n">
        <v>0</v>
      </c>
      <c r="S304" t="n">
        <v>3</v>
      </c>
      <c r="T304" t="n">
        <v>3</v>
      </c>
      <c r="U304" t="n">
        <v>2</v>
      </c>
      <c r="V304" s="2" t="inlineStr">
        <is>
          <t>Talltita
Älg
Tjäder</t>
        </is>
      </c>
      <c r="W304">
        <f>HYPERLINK("https://klasma.github.io/Logging_1781/artfynd/S 2037-2023 artfynd.xlsx", "S 2037-2023")</f>
        <v/>
      </c>
      <c r="X304">
        <f>HYPERLINK("https://klasma.github.io/Logging_1781/kartor/S 2037-2023 karta.png", "S 2037-2023")</f>
        <v/>
      </c>
      <c r="Y304">
        <f>HYPERLINK("https://klasma.github.io/Logging_1781/kartor_geotiff/S 2037-2023 georefererad karta.tif", "S 2037-2023")</f>
        <v/>
      </c>
      <c r="AA304">
        <f>HYPERLINK("https://klasma.github.io/Logging_1781/klagomål/S 2037-2023 FSC-klagomål.docx", "S 2037-2023")</f>
        <v/>
      </c>
      <c r="AB304">
        <f>HYPERLINK("https://klasma.github.io/Logging_1781/klagomålsmail/S 2037-2023 FSC-klagomål mail.docx", "S 2037-2023")</f>
        <v/>
      </c>
      <c r="AC304">
        <f>HYPERLINK("https://klasma.github.io/Logging_1781/tillsyn/S 2037-2023 tillsynsbegäran.docx", "S 2037-2023")</f>
        <v/>
      </c>
      <c r="AD304">
        <f>HYPERLINK("https://klasma.github.io/Logging_1781/tillsynsmail/S 2037-2023 tillsynsbegäran mail.docx", "S 2037-2023")</f>
        <v/>
      </c>
      <c r="AE304">
        <f>HYPERLINK("https://klasma.github.io/Logging_1781/fåglar/S 2037-2023 prioriterade fågelarter.docx", "S 2037-2023")</f>
        <v/>
      </c>
    </row>
    <row r="305" ht="15" customHeight="1">
      <c r="A305" t="inlineStr">
        <is>
          <t>S 755-2023</t>
        </is>
      </c>
      <c r="B305" t="inlineStr">
        <is>
          <t>samrådsanmälan</t>
        </is>
      </c>
      <c r="C305" t="inlineStr">
        <is>
          <t>Askåterföring</t>
        </is>
      </c>
      <c r="D305" s="1" t="n">
        <v>44981</v>
      </c>
      <c r="E305" s="1" t="n">
        <v>46307</v>
      </c>
      <c r="F305" t="inlineStr">
        <is>
          <t>VÄRMLANDS LÄN</t>
        </is>
      </c>
      <c r="G305" t="inlineStr">
        <is>
          <t>GRUMS</t>
        </is>
      </c>
      <c r="H305" t="inlineStr">
        <is>
          <t>Bergvik skog väst AB</t>
        </is>
      </c>
      <c r="I305" t="n">
        <v>79.3</v>
      </c>
      <c r="J305" t="n">
        <v>2</v>
      </c>
      <c r="K305" t="n">
        <v>0</v>
      </c>
      <c r="L305" t="n">
        <v>1</v>
      </c>
      <c r="M305" t="n">
        <v>1</v>
      </c>
      <c r="N305" t="n">
        <v>0</v>
      </c>
      <c r="O305" t="n">
        <v>0</v>
      </c>
      <c r="P305" t="n">
        <v>0</v>
      </c>
      <c r="Q305" t="n">
        <v>2</v>
      </c>
      <c r="R305" t="n">
        <v>1</v>
      </c>
      <c r="S305" t="n">
        <v>3</v>
      </c>
      <c r="T305" t="n">
        <v>4</v>
      </c>
      <c r="U305" t="n">
        <v>4</v>
      </c>
      <c r="V305" s="2" t="inlineStr">
        <is>
          <t>Knärot
Motaggsvamp
Mattlummer</t>
        </is>
      </c>
      <c r="W305">
        <f>HYPERLINK("https://klasma.github.io/Logging_1764/artfynd/S 755-2023 artfynd.xlsx", "S 755-2023")</f>
        <v/>
      </c>
      <c r="X305">
        <f>HYPERLINK("https://klasma.github.io/Logging_1764/kartor/S 755-2023 karta.png", "S 755-2023")</f>
        <v/>
      </c>
      <c r="Y305">
        <f>HYPERLINK("https://klasma.github.io/Logging_1764/kartor_geotiff/S 755-2023 georefererad karta.tif", "S 755-2023")</f>
        <v/>
      </c>
      <c r="Z305">
        <f>HYPERLINK("https://klasma.github.io/Logging_1764/knärot/S 755-2023 karta knärot.png", "S 755-2023")</f>
        <v/>
      </c>
      <c r="AA305">
        <f>HYPERLINK("https://klasma.github.io/Logging_1764/klagomål/S 755-2023 FSC-klagomål.docx", "S 755-2023")</f>
        <v/>
      </c>
      <c r="AB305">
        <f>HYPERLINK("https://klasma.github.io/Logging_1764/klagomålsmail/S 755-2023 FSC-klagomål mail.docx", "S 755-2023")</f>
        <v/>
      </c>
      <c r="AC305">
        <f>HYPERLINK("https://klasma.github.io/Logging_1764/tillsyn/S 755-2023 tillsynsbegäran.docx", "S 755-2023")</f>
        <v/>
      </c>
      <c r="AD305">
        <f>HYPERLINK("https://klasma.github.io/Logging_1764/tillsynsmail/S 755-2023 tillsynsbegäran mail.docx", "S 755-2023")</f>
        <v/>
      </c>
    </row>
    <row r="306" ht="15" customHeight="1">
      <c r="A306" t="inlineStr">
        <is>
          <t>S 2217-2023</t>
        </is>
      </c>
      <c r="B306" t="inlineStr">
        <is>
          <t>samrådsanmälan</t>
        </is>
      </c>
      <c r="C306" t="inlineStr">
        <is>
          <t>Askåterföring</t>
        </is>
      </c>
      <c r="D306" s="1" t="n">
        <v>45099</v>
      </c>
      <c r="E306" s="1" t="n">
        <v>46307</v>
      </c>
      <c r="F306" t="inlineStr">
        <is>
          <t>VÄRMLANDS LÄN</t>
        </is>
      </c>
      <c r="G306" t="inlineStr">
        <is>
          <t>GRUMS</t>
        </is>
      </c>
      <c r="H306" t="inlineStr">
        <is>
          <t>Bergvik skog väst AB</t>
        </is>
      </c>
      <c r="I306" t="n">
        <v>39.1</v>
      </c>
      <c r="J306" t="n">
        <v>3</v>
      </c>
      <c r="K306" t="n">
        <v>1</v>
      </c>
      <c r="L306" t="n">
        <v>0</v>
      </c>
      <c r="M306" t="n">
        <v>0</v>
      </c>
      <c r="N306" t="n">
        <v>0</v>
      </c>
      <c r="O306" t="n">
        <v>0</v>
      </c>
      <c r="P306" t="n">
        <v>0</v>
      </c>
      <c r="Q306" t="n">
        <v>0</v>
      </c>
      <c r="R306" t="n">
        <v>0</v>
      </c>
      <c r="S306" t="n">
        <v>3</v>
      </c>
      <c r="T306" t="n">
        <v>3</v>
      </c>
      <c r="U306" t="n">
        <v>3</v>
      </c>
      <c r="V306" s="2" t="inlineStr">
        <is>
          <t>Plattlummer
Tjäder
Lopplummer (aggregat)</t>
        </is>
      </c>
      <c r="W306">
        <f>HYPERLINK("https://klasma.github.io/Logging_1764/artfynd/S 2217-2023 artfynd.xlsx", "S 2217-2023")</f>
        <v/>
      </c>
      <c r="X306">
        <f>HYPERLINK("https://klasma.github.io/Logging_1764/kartor/S 2217-2023 karta.png", "S 2217-2023")</f>
        <v/>
      </c>
      <c r="Y306">
        <f>HYPERLINK("https://klasma.github.io/Logging_1764/kartor_geotiff/S 2217-2023 georefererad karta.tif", "S 2217-2023")</f>
        <v/>
      </c>
      <c r="AA306">
        <f>HYPERLINK("https://klasma.github.io/Logging_1764/klagomål/S 2217-2023 FSC-klagomål.docx", "S 2217-2023")</f>
        <v/>
      </c>
      <c r="AB306">
        <f>HYPERLINK("https://klasma.github.io/Logging_1764/klagomålsmail/S 2217-2023 FSC-klagomål mail.docx", "S 2217-2023")</f>
        <v/>
      </c>
      <c r="AC306">
        <f>HYPERLINK("https://klasma.github.io/Logging_1764/tillsyn/S 2217-2023 tillsynsbegäran.docx", "S 2217-2023")</f>
        <v/>
      </c>
      <c r="AD306">
        <f>HYPERLINK("https://klasma.github.io/Logging_1764/tillsynsmail/S 2217-2023 tillsynsbegäran mail.docx", "S 2217-2023")</f>
        <v/>
      </c>
      <c r="AE306">
        <f>HYPERLINK("https://klasma.github.io/Logging_1764/fåglar/S 2217-2023 prioriterade fågelarter.docx", "S 2217-2023")</f>
        <v/>
      </c>
    </row>
    <row r="307" ht="15" customHeight="1">
      <c r="A307" t="inlineStr">
        <is>
          <t>S 3886-2024</t>
        </is>
      </c>
      <c r="B307" t="inlineStr">
        <is>
          <t>samrådsanmälan</t>
        </is>
      </c>
      <c r="C307" t="inlineStr">
        <is>
          <t>Askåterföring</t>
        </is>
      </c>
      <c r="D307" s="1" t="n">
        <v>45561</v>
      </c>
      <c r="E307" s="1" t="n">
        <v>46307</v>
      </c>
      <c r="F307" t="inlineStr">
        <is>
          <t>VÄRMLANDS LÄN</t>
        </is>
      </c>
      <c r="G307" t="inlineStr">
        <is>
          <t>KRISTINEHAMN</t>
        </is>
      </c>
      <c r="I307" t="n">
        <v>93.5</v>
      </c>
      <c r="J307" t="n">
        <v>3</v>
      </c>
      <c r="K307" t="n">
        <v>0</v>
      </c>
      <c r="L307" t="n">
        <v>1</v>
      </c>
      <c r="M307" t="n">
        <v>0</v>
      </c>
      <c r="N307" t="n">
        <v>0</v>
      </c>
      <c r="O307" t="n">
        <v>0</v>
      </c>
      <c r="P307" t="n">
        <v>0</v>
      </c>
      <c r="Q307" t="n">
        <v>1</v>
      </c>
      <c r="R307" t="n">
        <v>0</v>
      </c>
      <c r="S307" t="n">
        <v>3</v>
      </c>
      <c r="T307" t="n">
        <v>3</v>
      </c>
      <c r="U307" t="n">
        <v>3</v>
      </c>
      <c r="V307" s="2" t="inlineStr">
        <is>
          <t>Nordfladdermus
Mattlummer
Vattenfladdermus</t>
        </is>
      </c>
      <c r="W307">
        <f>HYPERLINK("https://klasma.github.io/Logging_1781/artfynd/S 3886-2024 artfynd.xlsx", "S 3886-2024")</f>
        <v/>
      </c>
      <c r="X307">
        <f>HYPERLINK("https://klasma.github.io/Logging_1781/kartor/S 3886-2024 karta.png", "S 3886-2024")</f>
        <v/>
      </c>
      <c r="Y307">
        <f>HYPERLINK("https://klasma.github.io/Logging_1781/kartor_geotiff/S 3886-2024 georefererad karta.tif", "S 3886-2024")</f>
        <v/>
      </c>
      <c r="AA307">
        <f>HYPERLINK("https://klasma.github.io/Logging_1781/klagomål/S 3886-2024 FSC-klagomål.docx", "S 3886-2024")</f>
        <v/>
      </c>
      <c r="AB307">
        <f>HYPERLINK("https://klasma.github.io/Logging_1781/klagomålsmail/S 3886-2024 FSC-klagomål mail.docx", "S 3886-2024")</f>
        <v/>
      </c>
      <c r="AC307">
        <f>HYPERLINK("https://klasma.github.io/Logging_1781/tillsyn/S 3886-2024 tillsynsbegäran.docx", "S 3886-2024")</f>
        <v/>
      </c>
      <c r="AD307">
        <f>HYPERLINK("https://klasma.github.io/Logging_1781/tillsynsmail/S 3886-2024 tillsynsbegäran mail.docx", "S 3886-2024")</f>
        <v/>
      </c>
    </row>
    <row r="308" ht="15" customHeight="1">
      <c r="A308" t="inlineStr">
        <is>
          <t>S 3896-2024</t>
        </is>
      </c>
      <c r="B308" t="inlineStr">
        <is>
          <t>samrådsanmälan</t>
        </is>
      </c>
      <c r="C308" t="inlineStr">
        <is>
          <t>Skogsgödsling</t>
        </is>
      </c>
      <c r="D308" s="1" t="n">
        <v>45562</v>
      </c>
      <c r="E308" s="1" t="n">
        <v>46307</v>
      </c>
      <c r="F308" t="inlineStr">
        <is>
          <t>VÄRMLANDS LÄN</t>
        </is>
      </c>
      <c r="G308" t="inlineStr">
        <is>
          <t>KRISTINEHAMN</t>
        </is>
      </c>
      <c r="H308" t="inlineStr">
        <is>
          <t>Sveaskog</t>
        </is>
      </c>
      <c r="I308" t="n">
        <v>136.7</v>
      </c>
      <c r="J308" t="n">
        <v>2</v>
      </c>
      <c r="K308" t="n">
        <v>0</v>
      </c>
      <c r="L308" t="n">
        <v>2</v>
      </c>
      <c r="M308" t="n">
        <v>0</v>
      </c>
      <c r="N308" t="n">
        <v>0</v>
      </c>
      <c r="O308" t="n">
        <v>0</v>
      </c>
      <c r="P308" t="n">
        <v>0</v>
      </c>
      <c r="Q308" t="n">
        <v>2</v>
      </c>
      <c r="R308" t="n">
        <v>0</v>
      </c>
      <c r="S308" t="n">
        <v>3</v>
      </c>
      <c r="T308" t="n">
        <v>3</v>
      </c>
      <c r="U308" t="n">
        <v>2</v>
      </c>
      <c r="V308" s="2" t="inlineStr">
        <is>
          <t>Nordfladdermus
Rödlånke
Vanlig padda</t>
        </is>
      </c>
      <c r="W308">
        <f>HYPERLINK("https://klasma.github.io/Logging_1781/artfynd/S 3896-2024 artfynd.xlsx", "S 3896-2024")</f>
        <v/>
      </c>
      <c r="X308">
        <f>HYPERLINK("https://klasma.github.io/Logging_1781/kartor/S 3896-2024 karta.png", "S 3896-2024")</f>
        <v/>
      </c>
      <c r="Y308">
        <f>HYPERLINK("https://klasma.github.io/Logging_1781/kartor_geotiff/S 3896-2024 georefererad karta.tif", "S 3896-2024")</f>
        <v/>
      </c>
      <c r="AA308">
        <f>HYPERLINK("https://klasma.github.io/Logging_1781/klagomål/S 3896-2024 FSC-klagomål.docx", "S 3896-2024")</f>
        <v/>
      </c>
      <c r="AB308">
        <f>HYPERLINK("https://klasma.github.io/Logging_1781/klagomålsmail/S 3896-2024 FSC-klagomål mail.docx", "S 3896-2024")</f>
        <v/>
      </c>
      <c r="AC308">
        <f>HYPERLINK("https://klasma.github.io/Logging_1781/tillsyn/S 3896-2024 tillsynsbegäran.docx", "S 3896-2024")</f>
        <v/>
      </c>
      <c r="AD308">
        <f>HYPERLINK("https://klasma.github.io/Logging_1781/tillsynsmail/S 3896-2024 tillsynsbegäran mail.docx", "S 3896-2024")</f>
        <v/>
      </c>
    </row>
    <row r="309" ht="15" customHeight="1">
      <c r="A309" t="inlineStr">
        <is>
          <t>S 2300-2024</t>
        </is>
      </c>
      <c r="B309" t="inlineStr">
        <is>
          <t>samrådsanmälan</t>
        </is>
      </c>
      <c r="C309" t="inlineStr">
        <is>
          <t>Askåterföring</t>
        </is>
      </c>
      <c r="D309" s="1" t="n">
        <v>45463</v>
      </c>
      <c r="E309" s="1" t="n">
        <v>46307</v>
      </c>
      <c r="F309" t="inlineStr">
        <is>
          <t>VÄRMLANDS LÄN</t>
        </is>
      </c>
      <c r="G309" t="inlineStr">
        <is>
          <t>KARLSTAD</t>
        </is>
      </c>
      <c r="I309" t="n">
        <v>87.7</v>
      </c>
      <c r="J309" t="n">
        <v>1</v>
      </c>
      <c r="K309" t="n">
        <v>1</v>
      </c>
      <c r="L309" t="n">
        <v>1</v>
      </c>
      <c r="M309" t="n">
        <v>0</v>
      </c>
      <c r="N309" t="n">
        <v>0</v>
      </c>
      <c r="O309" t="n">
        <v>0</v>
      </c>
      <c r="P309" t="n">
        <v>0</v>
      </c>
      <c r="Q309" t="n">
        <v>1</v>
      </c>
      <c r="R309" t="n">
        <v>0</v>
      </c>
      <c r="S309" t="n">
        <v>3</v>
      </c>
      <c r="T309" t="n">
        <v>5</v>
      </c>
      <c r="U309" t="n">
        <v>1</v>
      </c>
      <c r="V309" s="2" t="inlineStr">
        <is>
          <t>Skogsklocka
Bårdlav
Nattviol</t>
        </is>
      </c>
      <c r="W309">
        <f>HYPERLINK("https://klasma.github.io/Logging_1780/artfynd/S 2300-2024 artfynd.xlsx", "S 2300-2024")</f>
        <v/>
      </c>
      <c r="X309">
        <f>HYPERLINK("https://klasma.github.io/Logging_1780/kartor/S 2300-2024 karta.png", "S 2300-2024")</f>
        <v/>
      </c>
      <c r="Y309">
        <f>HYPERLINK("https://klasma.github.io/Logging_1780/kartor_geotiff/S 2300-2024 georefererad karta.tif", "S 2300-2024")</f>
        <v/>
      </c>
      <c r="AA309">
        <f>HYPERLINK("https://klasma.github.io/Logging_1780/klagomål/S 2300-2024 FSC-klagomål.docx", "S 2300-2024")</f>
        <v/>
      </c>
      <c r="AB309">
        <f>HYPERLINK("https://klasma.github.io/Logging_1780/klagomålsmail/S 2300-2024 FSC-klagomål mail.docx", "S 2300-2024")</f>
        <v/>
      </c>
      <c r="AC309">
        <f>HYPERLINK("https://klasma.github.io/Logging_1780/tillsyn/S 2300-2024 tillsynsbegäran.docx", "S 2300-2024")</f>
        <v/>
      </c>
      <c r="AD309">
        <f>HYPERLINK("https://klasma.github.io/Logging_1780/tillsynsmail/S 2300-2024 tillsynsbegäran mail.docx", "S 2300-2024")</f>
        <v/>
      </c>
    </row>
    <row r="310" ht="15" customHeight="1">
      <c r="A310" t="inlineStr">
        <is>
          <t>S 145-2023</t>
        </is>
      </c>
      <c r="B310" t="inlineStr">
        <is>
          <t>samrådsanmälan</t>
        </is>
      </c>
      <c r="C310" t="inlineStr">
        <is>
          <t>Annan skogsbruksåtgärd</t>
        </is>
      </c>
      <c r="D310" s="1" t="n">
        <v>44942</v>
      </c>
      <c r="E310" s="1" t="n">
        <v>46307</v>
      </c>
      <c r="F310" t="inlineStr">
        <is>
          <t>VÄRMLANDS LÄN</t>
        </is>
      </c>
      <c r="G310" t="inlineStr">
        <is>
          <t>FILIPSTAD</t>
        </is>
      </c>
      <c r="I310" t="n">
        <v>3.8</v>
      </c>
      <c r="J310" t="n">
        <v>1</v>
      </c>
      <c r="K310" t="n">
        <v>1</v>
      </c>
      <c r="L310" t="n">
        <v>2</v>
      </c>
      <c r="M310" t="n">
        <v>0</v>
      </c>
      <c r="N310" t="n">
        <v>0</v>
      </c>
      <c r="O310" t="n">
        <v>0</v>
      </c>
      <c r="P310" t="n">
        <v>0</v>
      </c>
      <c r="Q310" t="n">
        <v>2</v>
      </c>
      <c r="R310" t="n">
        <v>0</v>
      </c>
      <c r="S310" t="n">
        <v>3</v>
      </c>
      <c r="T310" t="n">
        <v>4</v>
      </c>
      <c r="U310" t="n">
        <v>2</v>
      </c>
      <c r="V310" s="2" t="inlineStr">
        <is>
          <t>Loppstarr
Majviva
Guckusko</t>
        </is>
      </c>
      <c r="W310">
        <f>HYPERLINK("https://klasma.github.io/Logging_1782/artfynd/S 145-2023 artfynd.xlsx", "S 145-2023")</f>
        <v/>
      </c>
      <c r="X310">
        <f>HYPERLINK("https://klasma.github.io/Logging_1782/kartor/S 145-2023 karta.png", "S 145-2023")</f>
        <v/>
      </c>
      <c r="Y310">
        <f>HYPERLINK("https://klasma.github.io/Logging_1782/kartor_geotiff/S 145-2023 georefererad karta.tif", "S 145-2023")</f>
        <v/>
      </c>
      <c r="AA310">
        <f>HYPERLINK("https://klasma.github.io/Logging_1782/klagomål/S 145-2023 FSC-klagomål.docx", "S 145-2023")</f>
        <v/>
      </c>
      <c r="AB310">
        <f>HYPERLINK("https://klasma.github.io/Logging_1782/klagomålsmail/S 145-2023 FSC-klagomål mail.docx", "S 145-2023")</f>
        <v/>
      </c>
      <c r="AC310">
        <f>HYPERLINK("https://klasma.github.io/Logging_1782/tillsyn/S 145-2023 tillsynsbegäran.docx", "S 145-2023")</f>
        <v/>
      </c>
      <c r="AD310">
        <f>HYPERLINK("https://klasma.github.io/Logging_1782/tillsynsmail/S 145-2023 tillsynsbegäran mail.docx", "S 145-2023")</f>
        <v/>
      </c>
    </row>
    <row r="311" ht="15" customHeight="1">
      <c r="A311" t="inlineStr">
        <is>
          <t>S 1189-2023</t>
        </is>
      </c>
      <c r="B311" t="inlineStr">
        <is>
          <t>samrådsanmälan</t>
        </is>
      </c>
      <c r="C311" t="inlineStr">
        <is>
          <t>Skogsbilväg</t>
        </is>
      </c>
      <c r="D311" s="1" t="n">
        <v>45021</v>
      </c>
      <c r="E311" s="1" t="n">
        <v>46307</v>
      </c>
      <c r="F311" t="inlineStr">
        <is>
          <t>VÄRMLANDS LÄN</t>
        </is>
      </c>
      <c r="G311" t="inlineStr">
        <is>
          <t>ÅRJÄNG</t>
        </is>
      </c>
      <c r="I311" t="n">
        <v>1</v>
      </c>
      <c r="J311" t="n">
        <v>0</v>
      </c>
      <c r="K311" t="n">
        <v>0</v>
      </c>
      <c r="L311" t="n">
        <v>2</v>
      </c>
      <c r="M311" t="n">
        <v>1</v>
      </c>
      <c r="N311" t="n">
        <v>0</v>
      </c>
      <c r="O311" t="n">
        <v>0</v>
      </c>
      <c r="P311" t="n">
        <v>0</v>
      </c>
      <c r="Q311" t="n">
        <v>3</v>
      </c>
      <c r="R311" t="n">
        <v>1</v>
      </c>
      <c r="S311" t="n">
        <v>3</v>
      </c>
      <c r="T311" t="n">
        <v>3</v>
      </c>
      <c r="U311" t="n">
        <v>0</v>
      </c>
      <c r="V311" s="2" t="inlineStr">
        <is>
          <t>Grangråticka
Dropptaggsvamp
Kandelabersvamp</t>
        </is>
      </c>
      <c r="W311">
        <f>HYPERLINK("https://klasma.github.io/Logging_1765/artfynd/S 1189-2023 artfynd.xlsx", "S 1189-2023")</f>
        <v/>
      </c>
      <c r="X311">
        <f>HYPERLINK("https://klasma.github.io/Logging_1765/kartor/S 1189-2023 karta.png", "S 1189-2023")</f>
        <v/>
      </c>
      <c r="Y311">
        <f>HYPERLINK("https://klasma.github.io/Logging_1765/kartor_geotiff/S 1189-2023 georefererad karta.tif", "S 1189-2023")</f>
        <v/>
      </c>
      <c r="AA311">
        <f>HYPERLINK("https://klasma.github.io/Logging_1765/klagomål/S 1189-2023 FSC-klagomål.docx", "S 1189-2023")</f>
        <v/>
      </c>
      <c r="AB311">
        <f>HYPERLINK("https://klasma.github.io/Logging_1765/klagomålsmail/S 1189-2023 FSC-klagomål mail.docx", "S 1189-2023")</f>
        <v/>
      </c>
      <c r="AC311">
        <f>HYPERLINK("https://klasma.github.io/Logging_1765/tillsyn/S 1189-2023 tillsynsbegäran.docx", "S 1189-2023")</f>
        <v/>
      </c>
      <c r="AD311">
        <f>HYPERLINK("https://klasma.github.io/Logging_1765/tillsynsmail/S 1189-2023 tillsynsbegäran mail.docx", "S 1189-2023")</f>
        <v/>
      </c>
    </row>
    <row r="312" ht="15" customHeight="1">
      <c r="A312" t="inlineStr">
        <is>
          <t>S 115-2026</t>
        </is>
      </c>
      <c r="B312" t="inlineStr">
        <is>
          <t>samrådsanmälan</t>
        </is>
      </c>
      <c r="C312" t="inlineStr">
        <is>
          <t>Skogsgödsling</t>
        </is>
      </c>
      <c r="D312" s="1" t="n">
        <v>46037</v>
      </c>
      <c r="E312" s="1" t="n">
        <v>46307</v>
      </c>
      <c r="F312" t="inlineStr">
        <is>
          <t>VÄRMLANDS LÄN</t>
        </is>
      </c>
      <c r="G312" t="inlineStr">
        <is>
          <t>SUNNE</t>
        </is>
      </c>
      <c r="H312" t="inlineStr">
        <is>
          <t>Bergvik skog väst AB</t>
        </is>
      </c>
      <c r="I312" t="n">
        <v>86</v>
      </c>
      <c r="J312" t="n">
        <v>3</v>
      </c>
      <c r="K312" t="n">
        <v>0</v>
      </c>
      <c r="L312" t="n">
        <v>1</v>
      </c>
      <c r="M312" t="n">
        <v>0</v>
      </c>
      <c r="N312" t="n">
        <v>0</v>
      </c>
      <c r="O312" t="n">
        <v>0</v>
      </c>
      <c r="P312" t="n">
        <v>0</v>
      </c>
      <c r="Q312" t="n">
        <v>1</v>
      </c>
      <c r="R312" t="n">
        <v>0</v>
      </c>
      <c r="S312" t="n">
        <v>3</v>
      </c>
      <c r="T312" t="n">
        <v>4</v>
      </c>
      <c r="U312" t="n">
        <v>0</v>
      </c>
      <c r="V312" s="2" t="inlineStr">
        <is>
          <t>Talltita
Tjäder
Orre</t>
        </is>
      </c>
      <c r="W312">
        <f>HYPERLINK("https://klasma.github.io/Logging_1766/artfynd/S 115-2026 artfynd.xlsx", "S 115-2026")</f>
        <v/>
      </c>
      <c r="X312">
        <f>HYPERLINK("https://klasma.github.io/Logging_1766/kartor/S 115-2026 karta.png", "S 115-2026")</f>
        <v/>
      </c>
      <c r="Y312">
        <f>HYPERLINK("https://klasma.github.io/Logging_1766/kartor_geotiff/S 115-2026 georefererad karta.tif", "S 115-2026")</f>
        <v/>
      </c>
      <c r="AA312">
        <f>HYPERLINK("https://klasma.github.io/Logging_1766/klagomål/S 115-2026 FSC-klagomål.docx", "S 115-2026")</f>
        <v/>
      </c>
      <c r="AB312">
        <f>HYPERLINK("https://klasma.github.io/Logging_1766/klagomålsmail/S 115-2026 FSC-klagomål mail.docx", "S 115-2026")</f>
        <v/>
      </c>
      <c r="AC312">
        <f>HYPERLINK("https://klasma.github.io/Logging_1766/tillsyn/S 115-2026 tillsynsbegäran.docx", "S 115-2026")</f>
        <v/>
      </c>
      <c r="AD312">
        <f>HYPERLINK("https://klasma.github.io/Logging_1766/tillsynsmail/S 115-2026 tillsynsbegäran mail.docx", "S 115-2026")</f>
        <v/>
      </c>
      <c r="AE312">
        <f>HYPERLINK("https://klasma.github.io/Logging_1766/fåglar/S 115-2026 prioriterade fågelarter.docx", "S 115-2026")</f>
        <v/>
      </c>
    </row>
    <row r="313" ht="15" customHeight="1">
      <c r="A313" t="inlineStr">
        <is>
          <t>A 51253-2022</t>
        </is>
      </c>
      <c r="B313" t="inlineStr">
        <is>
          <t>avverkningsanmälan</t>
        </is>
      </c>
      <c r="C313" t="inlineStr">
        <is>
          <t>Föryngringsavverkning</t>
        </is>
      </c>
      <c r="D313" s="1" t="n">
        <v>44868</v>
      </c>
      <c r="E313" s="1" t="n">
        <v>46307</v>
      </c>
      <c r="F313" t="inlineStr">
        <is>
          <t>VÄRMLANDS LÄN</t>
        </is>
      </c>
      <c r="G313" t="inlineStr">
        <is>
          <t>EDA</t>
        </is>
      </c>
      <c r="I313" t="n">
        <v>8.9</v>
      </c>
      <c r="J313" t="n">
        <v>0</v>
      </c>
      <c r="K313" t="n">
        <v>0</v>
      </c>
      <c r="L313" t="n">
        <v>1</v>
      </c>
      <c r="M313" t="n">
        <v>1</v>
      </c>
      <c r="N313" t="n">
        <v>0</v>
      </c>
      <c r="O313" t="n">
        <v>0</v>
      </c>
      <c r="P313" t="n">
        <v>0</v>
      </c>
      <c r="Q313" t="n">
        <v>2</v>
      </c>
      <c r="R313" t="n">
        <v>1</v>
      </c>
      <c r="S313" t="n">
        <v>2</v>
      </c>
      <c r="T313" t="n">
        <v>3</v>
      </c>
      <c r="U313" t="n">
        <v>3</v>
      </c>
      <c r="V313" s="2" t="inlineStr">
        <is>
          <t>Garnlav
Dropptaggsvamp</t>
        </is>
      </c>
      <c r="W313">
        <f>HYPERLINK("https://klasma.github.io/Logging_1730/artfynd/A 51253-2022 artfynd.xlsx", "A 51253-2022")</f>
        <v/>
      </c>
      <c r="X313">
        <f>HYPERLINK("https://klasma.github.io/Logging_1730/kartor/A 51253-2022 karta.png", "A 51253-2022")</f>
        <v/>
      </c>
      <c r="Y313">
        <f>HYPERLINK("https://klasma.github.io/Logging_1730/kartor_geotiff/A 51253-2022 georefererad karta.tif", "A 51253-2022")</f>
        <v/>
      </c>
      <c r="AA313">
        <f>HYPERLINK("https://klasma.github.io/Logging_1730/klagomål/A 51253-2022 FSC-klagomål.docx", "A 51253-2022")</f>
        <v/>
      </c>
      <c r="AB313">
        <f>HYPERLINK("https://klasma.github.io/Logging_1730/klagomålsmail/A 51253-2022 FSC-klagomål mail.docx", "A 51253-2022")</f>
        <v/>
      </c>
      <c r="AC313">
        <f>HYPERLINK("https://klasma.github.io/Logging_1730/tillsyn/A 51253-2022 tillsynsbegäran.docx", "A 51253-2022")</f>
        <v/>
      </c>
      <c r="AD313">
        <f>HYPERLINK("https://klasma.github.io/Logging_1730/tillsynsmail/A 51253-2022 tillsynsbegäran mail.docx", "A 51253-2022")</f>
        <v/>
      </c>
    </row>
    <row r="314" ht="15" customHeight="1">
      <c r="A314" t="inlineStr">
        <is>
          <t>A 51171-2022</t>
        </is>
      </c>
      <c r="B314" t="inlineStr">
        <is>
          <t>avverkningsanmälan</t>
        </is>
      </c>
      <c r="C314" t="inlineStr">
        <is>
          <t>Avverkning för annat ändamål</t>
        </is>
      </c>
      <c r="D314" s="1" t="n">
        <v>44868</v>
      </c>
      <c r="E314" s="1" t="n">
        <v>46307</v>
      </c>
      <c r="F314" t="inlineStr">
        <is>
          <t>VÄRMLANDS LÄN</t>
        </is>
      </c>
      <c r="G314" t="inlineStr">
        <is>
          <t>STORFORS</t>
        </is>
      </c>
      <c r="H314" t="inlineStr">
        <is>
          <t>Kyrkan</t>
        </is>
      </c>
      <c r="I314" t="n">
        <v>0.6</v>
      </c>
      <c r="J314" t="n">
        <v>0</v>
      </c>
      <c r="K314" t="n">
        <v>0</v>
      </c>
      <c r="L314" t="n">
        <v>0</v>
      </c>
      <c r="M314" t="n">
        <v>2</v>
      </c>
      <c r="N314" t="n">
        <v>0</v>
      </c>
      <c r="O314" t="n">
        <v>0</v>
      </c>
      <c r="P314" t="n">
        <v>0</v>
      </c>
      <c r="Q314" t="n">
        <v>2</v>
      </c>
      <c r="R314" t="n">
        <v>2</v>
      </c>
      <c r="S314" t="n">
        <v>2</v>
      </c>
      <c r="T314" t="n">
        <v>2</v>
      </c>
      <c r="U314" t="n">
        <v>0</v>
      </c>
      <c r="V314" s="2" t="inlineStr">
        <is>
          <t>Brunfläckig pärlemorfjäril
Ängsblåvinge</t>
        </is>
      </c>
      <c r="W314">
        <f>HYPERLINK("https://klasma.github.io/Logging_1760/artfynd/A 51171-2022 artfynd.xlsx", "A 51171-2022")</f>
        <v/>
      </c>
      <c r="X314">
        <f>HYPERLINK("https://klasma.github.io/Logging_1760/kartor/A 51171-2022 karta.png", "A 51171-2022")</f>
        <v/>
      </c>
      <c r="Y314">
        <f>HYPERLINK("https://klasma.github.io/Logging_1760/kartor_geotiff/A 51171-2022 georefererad karta.tif", "A 51171-2022")</f>
        <v/>
      </c>
      <c r="AA314">
        <f>HYPERLINK("https://klasma.github.io/Logging_1760/klagomål/A 51171-2022 FSC-klagomål.docx", "A 51171-2022")</f>
        <v/>
      </c>
      <c r="AB314">
        <f>HYPERLINK("https://klasma.github.io/Logging_1760/klagomålsmail/A 51171-2022 FSC-klagomål mail.docx", "A 51171-2022")</f>
        <v/>
      </c>
      <c r="AC314">
        <f>HYPERLINK("https://klasma.github.io/Logging_1760/tillsyn/A 51171-2022 tillsynsbegäran.docx", "A 51171-2022")</f>
        <v/>
      </c>
      <c r="AD314">
        <f>HYPERLINK("https://klasma.github.io/Logging_1760/tillsynsmail/A 51171-2022 tillsynsbegäran mail.docx", "A 51171-2022")</f>
        <v/>
      </c>
    </row>
    <row r="315" ht="15" customHeight="1">
      <c r="A315" t="inlineStr">
        <is>
          <t>A 33802-2022</t>
        </is>
      </c>
      <c r="B315" t="inlineStr">
        <is>
          <t>avverkningsanmälan</t>
        </is>
      </c>
      <c r="C315" t="inlineStr">
        <is>
          <t>Föryngringsavverkning</t>
        </is>
      </c>
      <c r="D315" s="1" t="n">
        <v>44790</v>
      </c>
      <c r="E315" s="1" t="n">
        <v>46307</v>
      </c>
      <c r="F315" t="inlineStr">
        <is>
          <t>VÄRMLANDS LÄN</t>
        </is>
      </c>
      <c r="G315" t="inlineStr">
        <is>
          <t>TORSBY</t>
        </is>
      </c>
      <c r="H315" t="inlineStr">
        <is>
          <t>Bergvik skog väst AB</t>
        </is>
      </c>
      <c r="I315" t="n">
        <v>20.4</v>
      </c>
      <c r="J315" t="n">
        <v>0</v>
      </c>
      <c r="K315" t="n">
        <v>0</v>
      </c>
      <c r="L315" t="n">
        <v>1</v>
      </c>
      <c r="M315" t="n">
        <v>1</v>
      </c>
      <c r="N315" t="n">
        <v>0</v>
      </c>
      <c r="O315" t="n">
        <v>0</v>
      </c>
      <c r="P315" t="n">
        <v>0</v>
      </c>
      <c r="Q315" t="n">
        <v>2</v>
      </c>
      <c r="R315" t="n">
        <v>1</v>
      </c>
      <c r="S315" t="n">
        <v>2</v>
      </c>
      <c r="T315" t="n">
        <v>3</v>
      </c>
      <c r="U315" t="n">
        <v>1</v>
      </c>
      <c r="V315" s="2" t="inlineStr">
        <is>
          <t>Fältgentiana
Praktvaxing</t>
        </is>
      </c>
      <c r="W315">
        <f>HYPERLINK("https://klasma.github.io/Logging_1737/artfynd/A 33802-2022 artfynd.xlsx", "A 33802-2022")</f>
        <v/>
      </c>
      <c r="X315">
        <f>HYPERLINK("https://klasma.github.io/Logging_1737/kartor/A 33802-2022 karta.png", "A 33802-2022")</f>
        <v/>
      </c>
      <c r="Y315">
        <f>HYPERLINK("https://klasma.github.io/Logging_1737/kartor_geotiff/A 33802-2022 georefererad karta.tif", "A 33802-2022")</f>
        <v/>
      </c>
      <c r="AA315">
        <f>HYPERLINK("https://klasma.github.io/Logging_1737/klagomål/A 33802-2022 FSC-klagomål.docx", "A 33802-2022")</f>
        <v/>
      </c>
      <c r="AB315">
        <f>HYPERLINK("https://klasma.github.io/Logging_1737/klagomålsmail/A 33802-2022 FSC-klagomål mail.docx", "A 33802-2022")</f>
        <v/>
      </c>
      <c r="AC315">
        <f>HYPERLINK("https://klasma.github.io/Logging_1737/tillsyn/A 33802-2022 tillsynsbegäran.docx", "A 33802-2022")</f>
        <v/>
      </c>
      <c r="AD315">
        <f>HYPERLINK("https://klasma.github.io/Logging_1737/tillsynsmail/A 33802-2022 tillsynsbegäran mail.docx", "A 33802-2022")</f>
        <v/>
      </c>
    </row>
    <row r="316" ht="15" customHeight="1">
      <c r="A316" t="inlineStr">
        <is>
          <t>A 13548-2022</t>
        </is>
      </c>
      <c r="B316" t="inlineStr">
        <is>
          <t>avverkningsanmälan</t>
        </is>
      </c>
      <c r="C316" t="inlineStr">
        <is>
          <t>Föryngringsavverkning</t>
        </is>
      </c>
      <c r="D316" s="1" t="n">
        <v>44648</v>
      </c>
      <c r="E316" s="1" t="n">
        <v>46307</v>
      </c>
      <c r="F316" t="inlineStr">
        <is>
          <t>VÄRMLANDS LÄN</t>
        </is>
      </c>
      <c r="G316" t="inlineStr">
        <is>
          <t>KARLSTAD</t>
        </is>
      </c>
      <c r="H316" t="inlineStr">
        <is>
          <t>Bergvik skog väst AB</t>
        </is>
      </c>
      <c r="I316" t="n">
        <v>15.9</v>
      </c>
      <c r="J316" t="n">
        <v>1</v>
      </c>
      <c r="K316" t="n">
        <v>0</v>
      </c>
      <c r="L316" t="n">
        <v>1</v>
      </c>
      <c r="M316" t="n">
        <v>0</v>
      </c>
      <c r="N316" t="n">
        <v>0</v>
      </c>
      <c r="O316" t="n">
        <v>0</v>
      </c>
      <c r="P316" t="n">
        <v>0</v>
      </c>
      <c r="Q316" t="n">
        <v>1</v>
      </c>
      <c r="R316" t="n">
        <v>0</v>
      </c>
      <c r="S316" t="n">
        <v>2</v>
      </c>
      <c r="T316" t="n">
        <v>2</v>
      </c>
      <c r="U316" t="n">
        <v>1</v>
      </c>
      <c r="V316" s="2" t="inlineStr">
        <is>
          <t>Motaggsvamp
Tjäder</t>
        </is>
      </c>
      <c r="W316">
        <f>HYPERLINK("https://klasma.github.io/Logging_1780/artfynd/A 13548-2022 artfynd.xlsx", "A 13548-2022")</f>
        <v/>
      </c>
      <c r="X316">
        <f>HYPERLINK("https://klasma.github.io/Logging_1780/kartor/A 13548-2022 karta.png", "A 13548-2022")</f>
        <v/>
      </c>
      <c r="Y316">
        <f>HYPERLINK("https://klasma.github.io/Logging_1780/kartor_geotiff/A 13548-2022 georefererad karta.tif", "A 13548-2022")</f>
        <v/>
      </c>
      <c r="AA316">
        <f>HYPERLINK("https://klasma.github.io/Logging_1780/klagomål/A 13548-2022 FSC-klagomål.docx", "A 13548-2022")</f>
        <v/>
      </c>
      <c r="AB316">
        <f>HYPERLINK("https://klasma.github.io/Logging_1780/klagomålsmail/A 13548-2022 FSC-klagomål mail.docx", "A 13548-2022")</f>
        <v/>
      </c>
      <c r="AC316">
        <f>HYPERLINK("https://klasma.github.io/Logging_1780/tillsyn/A 13548-2022 tillsynsbegäran.docx", "A 13548-2022")</f>
        <v/>
      </c>
      <c r="AD316">
        <f>HYPERLINK("https://klasma.github.io/Logging_1780/tillsynsmail/A 13548-2022 tillsynsbegäran mail.docx", "A 13548-2022")</f>
        <v/>
      </c>
      <c r="AE316">
        <f>HYPERLINK("https://klasma.github.io/Logging_1780/fåglar/A 13548-2022 prioriterade fågelarter.docx", "A 13548-2022")</f>
        <v/>
      </c>
    </row>
    <row r="317" ht="15" customHeight="1">
      <c r="A317" t="inlineStr">
        <is>
          <t>A 8612-2022</t>
        </is>
      </c>
      <c r="B317" t="inlineStr">
        <is>
          <t>avverkningsanmälan</t>
        </is>
      </c>
      <c r="C317" t="inlineStr">
        <is>
          <t>Föryngringsavverkning</t>
        </is>
      </c>
      <c r="D317" s="1" t="n">
        <v>44613</v>
      </c>
      <c r="E317" s="1" t="n">
        <v>46307</v>
      </c>
      <c r="F317" t="inlineStr">
        <is>
          <t>VÄRMLANDS LÄN</t>
        </is>
      </c>
      <c r="G317" t="inlineStr">
        <is>
          <t>ARVIKA</t>
        </is>
      </c>
      <c r="I317" t="n">
        <v>0.6</v>
      </c>
      <c r="J317" t="n">
        <v>0</v>
      </c>
      <c r="K317" t="n">
        <v>0</v>
      </c>
      <c r="L317" t="n">
        <v>2</v>
      </c>
      <c r="M317" t="n">
        <v>0</v>
      </c>
      <c r="N317" t="n">
        <v>0</v>
      </c>
      <c r="O317" t="n">
        <v>0</v>
      </c>
      <c r="P317" t="n">
        <v>0</v>
      </c>
      <c r="Q317" t="n">
        <v>2</v>
      </c>
      <c r="R317" t="n">
        <v>0</v>
      </c>
      <c r="S317" t="n">
        <v>2</v>
      </c>
      <c r="T317" t="n">
        <v>2</v>
      </c>
      <c r="U317" t="n">
        <v>0</v>
      </c>
      <c r="V317" s="2" t="inlineStr">
        <is>
          <t>Dropptaggsvamp
Orange taggsvamp</t>
        </is>
      </c>
      <c r="W317">
        <f>HYPERLINK("https://klasma.github.io/Logging_1784/artfynd/A 8612-2022 artfynd.xlsx", "A 8612-2022")</f>
        <v/>
      </c>
      <c r="X317">
        <f>HYPERLINK("https://klasma.github.io/Logging_1784/kartor/A 8612-2022 karta.png", "A 8612-2022")</f>
        <v/>
      </c>
      <c r="Y317">
        <f>HYPERLINK("https://klasma.github.io/Logging_1784/kartor_geotiff/A 8612-2022 georefererad karta.tif", "A 8612-2022")</f>
        <v/>
      </c>
      <c r="AA317">
        <f>HYPERLINK("https://klasma.github.io/Logging_1784/klagomål/A 8612-2022 FSC-klagomål.docx", "A 8612-2022")</f>
        <v/>
      </c>
      <c r="AB317">
        <f>HYPERLINK("https://klasma.github.io/Logging_1784/klagomålsmail/A 8612-2022 FSC-klagomål mail.docx", "A 8612-2022")</f>
        <v/>
      </c>
      <c r="AC317">
        <f>HYPERLINK("https://klasma.github.io/Logging_1784/tillsyn/A 8612-2022 tillsynsbegäran.docx", "A 8612-2022")</f>
        <v/>
      </c>
      <c r="AD317">
        <f>HYPERLINK("https://klasma.github.io/Logging_1784/tillsynsmail/A 8612-2022 tillsynsbegäran mail.docx", "A 8612-2022")</f>
        <v/>
      </c>
    </row>
    <row r="318" ht="15" customHeight="1">
      <c r="A318" t="inlineStr">
        <is>
          <t>A 573-2022</t>
        </is>
      </c>
      <c r="B318" t="inlineStr">
        <is>
          <t>avverkningsanmälan</t>
        </is>
      </c>
      <c r="C318" t="inlineStr">
        <is>
          <t>Föryngringsavverkning</t>
        </is>
      </c>
      <c r="D318" s="1" t="n">
        <v>44566</v>
      </c>
      <c r="E318" s="1" t="n">
        <v>46307</v>
      </c>
      <c r="F318" t="inlineStr">
        <is>
          <t>VÄRMLANDS LÄN</t>
        </is>
      </c>
      <c r="G318" t="inlineStr">
        <is>
          <t>SUNNE</t>
        </is>
      </c>
      <c r="I318" t="n">
        <v>7.1</v>
      </c>
      <c r="J318" t="n">
        <v>1</v>
      </c>
      <c r="K318" t="n">
        <v>2</v>
      </c>
      <c r="L318" t="n">
        <v>0</v>
      </c>
      <c r="M318" t="n">
        <v>0</v>
      </c>
      <c r="N318" t="n">
        <v>0</v>
      </c>
      <c r="O318" t="n">
        <v>0</v>
      </c>
      <c r="P318" t="n">
        <v>0</v>
      </c>
      <c r="Q318" t="n">
        <v>0</v>
      </c>
      <c r="R318" t="n">
        <v>0</v>
      </c>
      <c r="S318" t="n">
        <v>2</v>
      </c>
      <c r="T318" t="n">
        <v>2</v>
      </c>
      <c r="U318" t="n">
        <v>0</v>
      </c>
      <c r="V318" s="2" t="inlineStr">
        <is>
          <t>Grön sköldmossa
Stubbspretmossa</t>
        </is>
      </c>
      <c r="W318">
        <f>HYPERLINK("https://klasma.github.io/Logging_1766/artfynd/A 573-2022 artfynd.xlsx", "A 573-2022")</f>
        <v/>
      </c>
      <c r="X318">
        <f>HYPERLINK("https://klasma.github.io/Logging_1766/kartor/A 573-2022 karta.png", "A 573-2022")</f>
        <v/>
      </c>
      <c r="Y318">
        <f>HYPERLINK("https://klasma.github.io/Logging_1766/kartor_geotiff/A 573-2022 georefererad karta.tif", "A 573-2022")</f>
        <v/>
      </c>
      <c r="AA318">
        <f>HYPERLINK("https://klasma.github.io/Logging_1766/klagomål/A 573-2022 FSC-klagomål.docx", "A 573-2022")</f>
        <v/>
      </c>
      <c r="AB318">
        <f>HYPERLINK("https://klasma.github.io/Logging_1766/klagomålsmail/A 573-2022 FSC-klagomål mail.docx", "A 573-2022")</f>
        <v/>
      </c>
      <c r="AC318">
        <f>HYPERLINK("https://klasma.github.io/Logging_1766/tillsyn/A 573-2022 tillsynsbegäran.docx", "A 573-2022")</f>
        <v/>
      </c>
      <c r="AD318">
        <f>HYPERLINK("https://klasma.github.io/Logging_1766/tillsynsmail/A 573-2022 tillsynsbegäran mail.docx", "A 573-2022")</f>
        <v/>
      </c>
    </row>
    <row r="319" ht="15" customHeight="1">
      <c r="A319" t="inlineStr">
        <is>
          <t>A 54439-2022</t>
        </is>
      </c>
      <c r="B319" t="inlineStr">
        <is>
          <t>avverkningsanmälan</t>
        </is>
      </c>
      <c r="C319" t="inlineStr">
        <is>
          <t>Föryngringsavverkning</t>
        </is>
      </c>
      <c r="D319" s="1" t="n">
        <v>44882</v>
      </c>
      <c r="E319" s="1" t="n">
        <v>46307</v>
      </c>
      <c r="F319" t="inlineStr">
        <is>
          <t>VÄRMLANDS LÄN</t>
        </is>
      </c>
      <c r="G319" t="inlineStr">
        <is>
          <t>KARLSTAD</t>
        </is>
      </c>
      <c r="H319" t="inlineStr">
        <is>
          <t>Kommuner</t>
        </is>
      </c>
      <c r="I319" t="n">
        <v>0.5</v>
      </c>
      <c r="J319" t="n">
        <v>2</v>
      </c>
      <c r="K319" t="n">
        <v>0</v>
      </c>
      <c r="L319" t="n">
        <v>0</v>
      </c>
      <c r="M319" t="n">
        <v>1</v>
      </c>
      <c r="N319" t="n">
        <v>0</v>
      </c>
      <c r="O319" t="n">
        <v>0</v>
      </c>
      <c r="P319" t="n">
        <v>0</v>
      </c>
      <c r="Q319" t="n">
        <v>1</v>
      </c>
      <c r="R319" t="n">
        <v>1</v>
      </c>
      <c r="S319" t="n">
        <v>2</v>
      </c>
      <c r="T319" t="n">
        <v>2</v>
      </c>
      <c r="U319" t="n">
        <v>2</v>
      </c>
      <c r="V319" s="2" t="inlineStr">
        <is>
          <t>Brun gräsfjäril
Fläcknycklar</t>
        </is>
      </c>
      <c r="W319">
        <f>HYPERLINK("https://klasma.github.io/Logging_1780/artfynd/A 54439-2022 artfynd.xlsx", "A 54439-2022")</f>
        <v/>
      </c>
      <c r="X319">
        <f>HYPERLINK("https://klasma.github.io/Logging_1780/kartor/A 54439-2022 karta.png", "A 54439-2022")</f>
        <v/>
      </c>
      <c r="Y319">
        <f>HYPERLINK("https://klasma.github.io/Logging_1780/kartor_geotiff/A 54439-2022 georefererad karta.tif", "A 54439-2022")</f>
        <v/>
      </c>
      <c r="AA319">
        <f>HYPERLINK("https://klasma.github.io/Logging_1780/klagomål/A 54439-2022 FSC-klagomål.docx", "A 54439-2022")</f>
        <v/>
      </c>
      <c r="AB319">
        <f>HYPERLINK("https://klasma.github.io/Logging_1780/klagomålsmail/A 54439-2022 FSC-klagomål mail.docx", "A 54439-2022")</f>
        <v/>
      </c>
      <c r="AC319">
        <f>HYPERLINK("https://klasma.github.io/Logging_1780/tillsyn/A 54439-2022 tillsynsbegäran.docx", "A 54439-2022")</f>
        <v/>
      </c>
      <c r="AD319">
        <f>HYPERLINK("https://klasma.github.io/Logging_1780/tillsynsmail/A 54439-2022 tillsynsbegäran mail.docx", "A 54439-2022")</f>
        <v/>
      </c>
    </row>
    <row r="320" ht="15" customHeight="1">
      <c r="A320" t="inlineStr">
        <is>
          <t>A 59466-2021</t>
        </is>
      </c>
      <c r="B320" t="inlineStr">
        <is>
          <t>avverkningsanmälan</t>
        </is>
      </c>
      <c r="C320" t="inlineStr">
        <is>
          <t>Föryngringsavverkning</t>
        </is>
      </c>
      <c r="D320" s="1" t="n">
        <v>44491</v>
      </c>
      <c r="E320" s="1" t="n">
        <v>46307</v>
      </c>
      <c r="F320" t="inlineStr">
        <is>
          <t>VÄRMLANDS LÄN</t>
        </is>
      </c>
      <c r="G320" t="inlineStr">
        <is>
          <t>ÅRJÄNG</t>
        </is>
      </c>
      <c r="I320" t="n">
        <v>2.7</v>
      </c>
      <c r="J320" t="n">
        <v>0</v>
      </c>
      <c r="K320" t="n">
        <v>0</v>
      </c>
      <c r="L320" t="n">
        <v>0</v>
      </c>
      <c r="M320" t="n">
        <v>2</v>
      </c>
      <c r="N320" t="n">
        <v>0</v>
      </c>
      <c r="O320" t="n">
        <v>0</v>
      </c>
      <c r="P320" t="n">
        <v>0</v>
      </c>
      <c r="Q320" t="n">
        <v>2</v>
      </c>
      <c r="R320" t="n">
        <v>2</v>
      </c>
      <c r="S320" t="n">
        <v>2</v>
      </c>
      <c r="T320" t="n">
        <v>5</v>
      </c>
      <c r="U320" t="n">
        <v>0</v>
      </c>
      <c r="V320" s="2" t="inlineStr">
        <is>
          <t>Garnlav
Läderlappslav</t>
        </is>
      </c>
      <c r="W320">
        <f>HYPERLINK("https://klasma.github.io/Logging_1765/artfynd/A 59466-2021 artfynd.xlsx", "A 59466-2021")</f>
        <v/>
      </c>
      <c r="X320">
        <f>HYPERLINK("https://klasma.github.io/Logging_1765/kartor/A 59466-2021 karta.png", "A 59466-2021")</f>
        <v/>
      </c>
      <c r="Y320">
        <f>HYPERLINK("https://klasma.github.io/Logging_1765/kartor_geotiff/A 59466-2021 georefererad karta.tif", "A 59466-2021")</f>
        <v/>
      </c>
      <c r="AA320">
        <f>HYPERLINK("https://klasma.github.io/Logging_1765/klagomål/A 59466-2021 FSC-klagomål.docx", "A 59466-2021")</f>
        <v/>
      </c>
      <c r="AB320">
        <f>HYPERLINK("https://klasma.github.io/Logging_1765/klagomålsmail/A 59466-2021 FSC-klagomål mail.docx", "A 59466-2021")</f>
        <v/>
      </c>
      <c r="AC320">
        <f>HYPERLINK("https://klasma.github.io/Logging_1765/tillsyn/A 59466-2021 tillsynsbegäran.docx", "A 59466-2021")</f>
        <v/>
      </c>
      <c r="AD320">
        <f>HYPERLINK("https://klasma.github.io/Logging_1765/tillsynsmail/A 59466-2021 tillsynsbegäran mail.docx", "A 59466-2021")</f>
        <v/>
      </c>
    </row>
    <row r="321" ht="15" customHeight="1">
      <c r="A321" t="inlineStr">
        <is>
          <t>A 55797-2022</t>
        </is>
      </c>
      <c r="B321" t="inlineStr">
        <is>
          <t>avverkningsanmälan</t>
        </is>
      </c>
      <c r="C321" t="inlineStr">
        <is>
          <t>Föryngringsavverkning</t>
        </is>
      </c>
      <c r="D321" s="1" t="n">
        <v>44888</v>
      </c>
      <c r="E321" s="1" t="n">
        <v>46307</v>
      </c>
      <c r="F321" t="inlineStr">
        <is>
          <t>VÄRMLANDS LÄN</t>
        </is>
      </c>
      <c r="G321" t="inlineStr">
        <is>
          <t>EDA</t>
        </is>
      </c>
      <c r="I321" t="n">
        <v>3.4</v>
      </c>
      <c r="J321" t="n">
        <v>2</v>
      </c>
      <c r="K321" t="n">
        <v>0</v>
      </c>
      <c r="L321" t="n">
        <v>1</v>
      </c>
      <c r="M321" t="n">
        <v>0</v>
      </c>
      <c r="N321" t="n">
        <v>0</v>
      </c>
      <c r="O321" t="n">
        <v>0</v>
      </c>
      <c r="P321" t="n">
        <v>0</v>
      </c>
      <c r="Q321" t="n">
        <v>1</v>
      </c>
      <c r="R321" t="n">
        <v>0</v>
      </c>
      <c r="S321" t="n">
        <v>2</v>
      </c>
      <c r="T321" t="n">
        <v>3</v>
      </c>
      <c r="U321" t="n">
        <v>3</v>
      </c>
      <c r="V321" s="2" t="inlineStr">
        <is>
          <t>Talltita
Skogsödla</t>
        </is>
      </c>
      <c r="W321">
        <f>HYPERLINK("https://klasma.github.io/Logging_1730/artfynd/A 55797-2022 artfynd.xlsx", "A 55797-2022")</f>
        <v/>
      </c>
      <c r="X321">
        <f>HYPERLINK("https://klasma.github.io/Logging_1730/kartor/A 55797-2022 karta.png", "A 55797-2022")</f>
        <v/>
      </c>
      <c r="Y321">
        <f>HYPERLINK("https://klasma.github.io/Logging_1730/kartor_geotiff/A 55797-2022 georefererad karta.tif", "A 55797-2022")</f>
        <v/>
      </c>
      <c r="AA321">
        <f>HYPERLINK("https://klasma.github.io/Logging_1730/klagomål/A 55797-2022 FSC-klagomål.docx", "A 55797-2022")</f>
        <v/>
      </c>
      <c r="AB321">
        <f>HYPERLINK("https://klasma.github.io/Logging_1730/klagomålsmail/A 55797-2022 FSC-klagomål mail.docx", "A 55797-2022")</f>
        <v/>
      </c>
      <c r="AC321">
        <f>HYPERLINK("https://klasma.github.io/Logging_1730/tillsyn/A 55797-2022 tillsynsbegäran.docx", "A 55797-2022")</f>
        <v/>
      </c>
      <c r="AD321">
        <f>HYPERLINK("https://klasma.github.io/Logging_1730/tillsynsmail/A 55797-2022 tillsynsbegäran mail.docx", "A 55797-2022")</f>
        <v/>
      </c>
      <c r="AE321">
        <f>HYPERLINK("https://klasma.github.io/Logging_1730/fåglar/A 55797-2022 prioriterade fågelarter.docx", "A 55797-2022")</f>
        <v/>
      </c>
    </row>
    <row r="322" ht="15" customHeight="1">
      <c r="A322" t="inlineStr">
        <is>
          <t>A 62039-2021</t>
        </is>
      </c>
      <c r="B322" t="inlineStr">
        <is>
          <t>avverkningsanmälan</t>
        </is>
      </c>
      <c r="C322" t="inlineStr">
        <is>
          <t>Avverkning för annat ändamål</t>
        </is>
      </c>
      <c r="D322" s="1" t="n">
        <v>44502</v>
      </c>
      <c r="E322" s="1" t="n">
        <v>46307</v>
      </c>
      <c r="F322" t="inlineStr">
        <is>
          <t>VÄRMLANDS LÄN</t>
        </is>
      </c>
      <c r="G322" t="inlineStr">
        <is>
          <t>TORSBY</t>
        </is>
      </c>
      <c r="I322" t="n">
        <v>1.5</v>
      </c>
      <c r="J322" t="n">
        <v>1</v>
      </c>
      <c r="K322" t="n">
        <v>0</v>
      </c>
      <c r="L322" t="n">
        <v>1</v>
      </c>
      <c r="M322" t="n">
        <v>0</v>
      </c>
      <c r="N322" t="n">
        <v>0</v>
      </c>
      <c r="O322" t="n">
        <v>0</v>
      </c>
      <c r="P322" t="n">
        <v>0</v>
      </c>
      <c r="Q322" t="n">
        <v>1</v>
      </c>
      <c r="R322" t="n">
        <v>0</v>
      </c>
      <c r="S322" t="n">
        <v>2</v>
      </c>
      <c r="T322" t="n">
        <v>3</v>
      </c>
      <c r="U322" t="n">
        <v>0</v>
      </c>
      <c r="V322" s="2" t="inlineStr">
        <is>
          <t>Gullpudra
Kungsfågel</t>
        </is>
      </c>
      <c r="W322">
        <f>HYPERLINK("https://klasma.github.io/Logging_1737/artfynd/A 62039-2021 artfynd.xlsx", "A 62039-2021")</f>
        <v/>
      </c>
      <c r="X322">
        <f>HYPERLINK("https://klasma.github.io/Logging_1737/kartor/A 62039-2021 karta.png", "A 62039-2021")</f>
        <v/>
      </c>
      <c r="Y322">
        <f>HYPERLINK("https://klasma.github.io/Logging_1737/kartor_geotiff/A 62039-2021 georefererad karta.tif", "A 62039-2021")</f>
        <v/>
      </c>
      <c r="AA322">
        <f>HYPERLINK("https://klasma.github.io/Logging_1737/klagomål/A 62039-2021 FSC-klagomål.docx", "A 62039-2021")</f>
        <v/>
      </c>
      <c r="AB322">
        <f>HYPERLINK("https://klasma.github.io/Logging_1737/klagomålsmail/A 62039-2021 FSC-klagomål mail.docx", "A 62039-2021")</f>
        <v/>
      </c>
      <c r="AC322">
        <f>HYPERLINK("https://klasma.github.io/Logging_1737/tillsyn/A 62039-2021 tillsynsbegäran.docx", "A 62039-2021")</f>
        <v/>
      </c>
      <c r="AD322">
        <f>HYPERLINK("https://klasma.github.io/Logging_1737/tillsynsmail/A 62039-2021 tillsynsbegäran mail.docx", "A 62039-2021")</f>
        <v/>
      </c>
    </row>
    <row r="323" ht="15" customHeight="1">
      <c r="A323" t="inlineStr">
        <is>
          <t>A 69928-2021</t>
        </is>
      </c>
      <c r="B323" t="inlineStr">
        <is>
          <t>avverkningsanmälan</t>
        </is>
      </c>
      <c r="C323" t="inlineStr">
        <is>
          <t>Föryngringsavverkning</t>
        </is>
      </c>
      <c r="D323" s="1" t="n">
        <v>44533</v>
      </c>
      <c r="E323" s="1" t="n">
        <v>46307</v>
      </c>
      <c r="F323" t="inlineStr">
        <is>
          <t>VÄRMLANDS LÄN</t>
        </is>
      </c>
      <c r="G323" t="inlineStr">
        <is>
          <t>ARVIKA</t>
        </is>
      </c>
      <c r="I323" t="n">
        <v>1.9</v>
      </c>
      <c r="J323" t="n">
        <v>0</v>
      </c>
      <c r="K323" t="n">
        <v>1</v>
      </c>
      <c r="L323" t="n">
        <v>1</v>
      </c>
      <c r="M323" t="n">
        <v>0</v>
      </c>
      <c r="N323" t="n">
        <v>0</v>
      </c>
      <c r="O323" t="n">
        <v>0</v>
      </c>
      <c r="P323" t="n">
        <v>0</v>
      </c>
      <c r="Q323" t="n">
        <v>1</v>
      </c>
      <c r="R323" t="n">
        <v>0</v>
      </c>
      <c r="S323" t="n">
        <v>2</v>
      </c>
      <c r="T323" t="n">
        <v>2</v>
      </c>
      <c r="U323" t="n">
        <v>0</v>
      </c>
      <c r="V323" s="2" t="inlineStr">
        <is>
          <t>Orange taggsvamp
Rödgul trumpetsvamp</t>
        </is>
      </c>
      <c r="W323">
        <f>HYPERLINK("https://klasma.github.io/Logging_1784/artfynd/A 69928-2021 artfynd.xlsx", "A 69928-2021")</f>
        <v/>
      </c>
      <c r="X323">
        <f>HYPERLINK("https://klasma.github.io/Logging_1784/kartor/A 69928-2021 karta.png", "A 69928-2021")</f>
        <v/>
      </c>
      <c r="Y323">
        <f>HYPERLINK("https://klasma.github.io/Logging_1784/kartor_geotiff/A 69928-2021 georefererad karta.tif", "A 69928-2021")</f>
        <v/>
      </c>
      <c r="AA323">
        <f>HYPERLINK("https://klasma.github.io/Logging_1784/klagomål/A 69928-2021 FSC-klagomål.docx", "A 69928-2021")</f>
        <v/>
      </c>
      <c r="AB323">
        <f>HYPERLINK("https://klasma.github.io/Logging_1784/klagomålsmail/A 69928-2021 FSC-klagomål mail.docx", "A 69928-2021")</f>
        <v/>
      </c>
      <c r="AC323">
        <f>HYPERLINK("https://klasma.github.io/Logging_1784/tillsyn/A 69928-2021 tillsynsbegäran.docx", "A 69928-2021")</f>
        <v/>
      </c>
      <c r="AD323">
        <f>HYPERLINK("https://klasma.github.io/Logging_1784/tillsynsmail/A 69928-2021 tillsynsbegäran mail.docx", "A 69928-2021")</f>
        <v/>
      </c>
    </row>
    <row r="324" ht="15" customHeight="1">
      <c r="A324" t="inlineStr">
        <is>
          <t>A 53155-2022</t>
        </is>
      </c>
      <c r="B324" t="inlineStr">
        <is>
          <t>avverkningsanmälan</t>
        </is>
      </c>
      <c r="C324" t="inlineStr">
        <is>
          <t>Avverkning för annat ändamål</t>
        </is>
      </c>
      <c r="D324" s="1" t="n">
        <v>44876</v>
      </c>
      <c r="E324" s="1" t="n">
        <v>46307</v>
      </c>
      <c r="F324" t="inlineStr">
        <is>
          <t>VÄRMLANDS LÄN</t>
        </is>
      </c>
      <c r="G324" t="inlineStr">
        <is>
          <t>KARLSTAD</t>
        </is>
      </c>
      <c r="I324" t="n">
        <v>32.8</v>
      </c>
      <c r="J324" t="n">
        <v>2</v>
      </c>
      <c r="K324" t="n">
        <v>0</v>
      </c>
      <c r="L324" t="n">
        <v>1</v>
      </c>
      <c r="M324" t="n">
        <v>0</v>
      </c>
      <c r="N324" t="n">
        <v>0</v>
      </c>
      <c r="O324" t="n">
        <v>0</v>
      </c>
      <c r="P324" t="n">
        <v>0</v>
      </c>
      <c r="Q324" t="n">
        <v>1</v>
      </c>
      <c r="R324" t="n">
        <v>0</v>
      </c>
      <c r="S324" t="n">
        <v>2</v>
      </c>
      <c r="T324" t="n">
        <v>3</v>
      </c>
      <c r="U324" t="n">
        <v>2</v>
      </c>
      <c r="V324" s="2" t="inlineStr">
        <is>
          <t>Gulsparv
Trana</t>
        </is>
      </c>
      <c r="W324">
        <f>HYPERLINK("https://klasma.github.io/Logging_1780/artfynd/A 53155-2022 artfynd.xlsx", "A 53155-2022")</f>
        <v/>
      </c>
      <c r="X324">
        <f>HYPERLINK("https://klasma.github.io/Logging_1780/kartor/A 53155-2022 karta.png", "A 53155-2022")</f>
        <v/>
      </c>
      <c r="Y324">
        <f>HYPERLINK("https://klasma.github.io/Logging_1780/kartor_geotiff/A 53155-2022 georefererad karta.tif", "A 53155-2022")</f>
        <v/>
      </c>
      <c r="AA324">
        <f>HYPERLINK("https://klasma.github.io/Logging_1780/klagomål/A 53155-2022 FSC-klagomål.docx", "A 53155-2022")</f>
        <v/>
      </c>
      <c r="AB324">
        <f>HYPERLINK("https://klasma.github.io/Logging_1780/klagomålsmail/A 53155-2022 FSC-klagomål mail.docx", "A 53155-2022")</f>
        <v/>
      </c>
      <c r="AC324">
        <f>HYPERLINK("https://klasma.github.io/Logging_1780/tillsyn/A 53155-2022 tillsynsbegäran.docx", "A 53155-2022")</f>
        <v/>
      </c>
      <c r="AD324">
        <f>HYPERLINK("https://klasma.github.io/Logging_1780/tillsynsmail/A 53155-2022 tillsynsbegäran mail.docx", "A 53155-2022")</f>
        <v/>
      </c>
      <c r="AE324">
        <f>HYPERLINK("https://klasma.github.io/Logging_1780/fåglar/A 53155-2022 prioriterade fågelarter.docx", "A 53155-2022")</f>
        <v/>
      </c>
    </row>
    <row r="325" ht="15" customHeight="1">
      <c r="A325" t="inlineStr">
        <is>
          <t>A 51769-2022</t>
        </is>
      </c>
      <c r="B325" t="inlineStr">
        <is>
          <t>avverkningsanmälan</t>
        </is>
      </c>
      <c r="C325" t="inlineStr">
        <is>
          <t>Föryngringsavverkning</t>
        </is>
      </c>
      <c r="D325" s="1" t="n">
        <v>44872</v>
      </c>
      <c r="E325" s="1" t="n">
        <v>46307</v>
      </c>
      <c r="F325" t="inlineStr">
        <is>
          <t>VÄRMLANDS LÄN</t>
        </is>
      </c>
      <c r="G325" t="inlineStr">
        <is>
          <t>ARVIKA</t>
        </is>
      </c>
      <c r="H325" t="inlineStr">
        <is>
          <t>Kyrkan</t>
        </is>
      </c>
      <c r="I325" t="n">
        <v>1.9</v>
      </c>
      <c r="J325" t="n">
        <v>1</v>
      </c>
      <c r="K325" t="n">
        <v>1</v>
      </c>
      <c r="L325" t="n">
        <v>0</v>
      </c>
      <c r="M325" t="n">
        <v>1</v>
      </c>
      <c r="N325" t="n">
        <v>0</v>
      </c>
      <c r="O325" t="n">
        <v>0</v>
      </c>
      <c r="P325" t="n">
        <v>0</v>
      </c>
      <c r="Q325" t="n">
        <v>1</v>
      </c>
      <c r="R325" t="n">
        <v>1</v>
      </c>
      <c r="S325" t="n">
        <v>2</v>
      </c>
      <c r="T325" t="n">
        <v>3</v>
      </c>
      <c r="U325" t="n">
        <v>1</v>
      </c>
      <c r="V325" s="2" t="inlineStr">
        <is>
          <t>Knärot
Grönpyrola</t>
        </is>
      </c>
      <c r="W325">
        <f>HYPERLINK("https://klasma.github.io/Logging_1784/artfynd/A 51769-2022 artfynd.xlsx", "A 51769-2022")</f>
        <v/>
      </c>
      <c r="X325">
        <f>HYPERLINK("https://klasma.github.io/Logging_1784/kartor/A 51769-2022 karta.png", "A 51769-2022")</f>
        <v/>
      </c>
      <c r="Y325">
        <f>HYPERLINK("https://klasma.github.io/Logging_1784/kartor_geotiff/A 51769-2022 georefererad karta.tif", "A 51769-2022")</f>
        <v/>
      </c>
      <c r="Z325">
        <f>HYPERLINK("https://klasma.github.io/Logging_1784/knärot/A 51769-2022 karta knärot.png", "A 51769-2022")</f>
        <v/>
      </c>
      <c r="AA325">
        <f>HYPERLINK("https://klasma.github.io/Logging_1784/klagomål/A 51769-2022 FSC-klagomål.docx", "A 51769-2022")</f>
        <v/>
      </c>
      <c r="AB325">
        <f>HYPERLINK("https://klasma.github.io/Logging_1784/klagomålsmail/A 51769-2022 FSC-klagomål mail.docx", "A 51769-2022")</f>
        <v/>
      </c>
      <c r="AC325">
        <f>HYPERLINK("https://klasma.github.io/Logging_1784/tillsyn/A 51769-2022 tillsynsbegäran.docx", "A 51769-2022")</f>
        <v/>
      </c>
      <c r="AD325">
        <f>HYPERLINK("https://klasma.github.io/Logging_1784/tillsynsmail/A 51769-2022 tillsynsbegäran mail.docx", "A 51769-2022")</f>
        <v/>
      </c>
    </row>
    <row r="326" ht="15" customHeight="1">
      <c r="A326" t="inlineStr">
        <is>
          <t>A 37299-2022</t>
        </is>
      </c>
      <c r="B326" t="inlineStr">
        <is>
          <t>avverkningsanmälan</t>
        </is>
      </c>
      <c r="C326" t="inlineStr">
        <is>
          <t>Föryngringsavverkning</t>
        </is>
      </c>
      <c r="D326" s="1" t="n">
        <v>44808</v>
      </c>
      <c r="E326" s="1" t="n">
        <v>46307</v>
      </c>
      <c r="F326" t="inlineStr">
        <is>
          <t>VÄRMLANDS LÄN</t>
        </is>
      </c>
      <c r="G326" t="inlineStr">
        <is>
          <t>KARLSTAD</t>
        </is>
      </c>
      <c r="I326" t="n">
        <v>14</v>
      </c>
      <c r="J326" t="n">
        <v>2</v>
      </c>
      <c r="K326" t="n">
        <v>0</v>
      </c>
      <c r="L326" t="n">
        <v>2</v>
      </c>
      <c r="M326" t="n">
        <v>0</v>
      </c>
      <c r="N326" t="n">
        <v>0</v>
      </c>
      <c r="O326" t="n">
        <v>0</v>
      </c>
      <c r="P326" t="n">
        <v>0</v>
      </c>
      <c r="Q326" t="n">
        <v>2</v>
      </c>
      <c r="R326" t="n">
        <v>0</v>
      </c>
      <c r="S326" t="n">
        <v>2</v>
      </c>
      <c r="T326" t="n">
        <v>2</v>
      </c>
      <c r="U326" t="n">
        <v>1</v>
      </c>
      <c r="V326" s="2" t="inlineStr">
        <is>
          <t>Nötkråka
Talltita</t>
        </is>
      </c>
      <c r="W326">
        <f>HYPERLINK("https://klasma.github.io/Logging_1780/artfynd/A 37299-2022 artfynd.xlsx", "A 37299-2022")</f>
        <v/>
      </c>
      <c r="X326">
        <f>HYPERLINK("https://klasma.github.io/Logging_1780/kartor/A 37299-2022 karta.png", "A 37299-2022")</f>
        <v/>
      </c>
      <c r="Y326">
        <f>HYPERLINK("https://klasma.github.io/Logging_1780/kartor_geotiff/A 37299-2022 georefererad karta.tif", "A 37299-2022")</f>
        <v/>
      </c>
      <c r="AA326">
        <f>HYPERLINK("https://klasma.github.io/Logging_1780/klagomål/A 37299-2022 FSC-klagomål.docx", "A 37299-2022")</f>
        <v/>
      </c>
      <c r="AB326">
        <f>HYPERLINK("https://klasma.github.io/Logging_1780/klagomålsmail/A 37299-2022 FSC-klagomål mail.docx", "A 37299-2022")</f>
        <v/>
      </c>
      <c r="AC326">
        <f>HYPERLINK("https://klasma.github.io/Logging_1780/tillsyn/A 37299-2022 tillsynsbegäran.docx", "A 37299-2022")</f>
        <v/>
      </c>
      <c r="AD326">
        <f>HYPERLINK("https://klasma.github.io/Logging_1780/tillsynsmail/A 37299-2022 tillsynsbegäran mail.docx", "A 37299-2022")</f>
        <v/>
      </c>
      <c r="AE326">
        <f>HYPERLINK("https://klasma.github.io/Logging_1780/fåglar/A 37299-2022 prioriterade fågelarter.docx", "A 37299-2022")</f>
        <v/>
      </c>
    </row>
    <row r="327" ht="15" customHeight="1">
      <c r="A327" t="inlineStr">
        <is>
          <t>A 42324-2022</t>
        </is>
      </c>
      <c r="B327" t="inlineStr">
        <is>
          <t>avverkningsanmälan</t>
        </is>
      </c>
      <c r="C327" t="inlineStr">
        <is>
          <t>Föryngringsavverkning</t>
        </is>
      </c>
      <c r="D327" s="1" t="n">
        <v>44831</v>
      </c>
      <c r="E327" s="1" t="n">
        <v>46307</v>
      </c>
      <c r="F327" t="inlineStr">
        <is>
          <t>VÄRMLANDS LÄN</t>
        </is>
      </c>
      <c r="G327" t="inlineStr">
        <is>
          <t>ARVIKA</t>
        </is>
      </c>
      <c r="I327" t="n">
        <v>2</v>
      </c>
      <c r="J327" t="n">
        <v>0</v>
      </c>
      <c r="K327" t="n">
        <v>2</v>
      </c>
      <c r="L327" t="n">
        <v>0</v>
      </c>
      <c r="M327" t="n">
        <v>0</v>
      </c>
      <c r="N327" t="n">
        <v>0</v>
      </c>
      <c r="O327" t="n">
        <v>0</v>
      </c>
      <c r="P327" t="n">
        <v>0</v>
      </c>
      <c r="Q327" t="n">
        <v>0</v>
      </c>
      <c r="R327" t="n">
        <v>0</v>
      </c>
      <c r="S327" t="n">
        <v>2</v>
      </c>
      <c r="T327" t="n">
        <v>2</v>
      </c>
      <c r="U327" t="n">
        <v>2</v>
      </c>
      <c r="V327" s="2" t="inlineStr">
        <is>
          <t>Bronshjon
Vågbandad barkbock</t>
        </is>
      </c>
      <c r="W327">
        <f>HYPERLINK("https://klasma.github.io/Logging_1784/artfynd/A 42324-2022 artfynd.xlsx", "A 42324-2022")</f>
        <v/>
      </c>
      <c r="X327">
        <f>HYPERLINK("https://klasma.github.io/Logging_1784/kartor/A 42324-2022 karta.png", "A 42324-2022")</f>
        <v/>
      </c>
      <c r="Y327">
        <f>HYPERLINK("https://klasma.github.io/Logging_1784/kartor_geotiff/A 42324-2022 georefererad karta.tif", "A 42324-2022")</f>
        <v/>
      </c>
      <c r="AA327">
        <f>HYPERLINK("https://klasma.github.io/Logging_1784/klagomål/A 42324-2022 FSC-klagomål.docx", "A 42324-2022")</f>
        <v/>
      </c>
      <c r="AB327">
        <f>HYPERLINK("https://klasma.github.io/Logging_1784/klagomålsmail/A 42324-2022 FSC-klagomål mail.docx", "A 42324-2022")</f>
        <v/>
      </c>
      <c r="AC327">
        <f>HYPERLINK("https://klasma.github.io/Logging_1784/tillsyn/A 42324-2022 tillsynsbegäran.docx", "A 42324-2022")</f>
        <v/>
      </c>
      <c r="AD327">
        <f>HYPERLINK("https://klasma.github.io/Logging_1784/tillsynsmail/A 42324-2022 tillsynsbegäran mail.docx", "A 42324-2022")</f>
        <v/>
      </c>
    </row>
    <row r="328" ht="15" customHeight="1">
      <c r="A328" t="inlineStr">
        <is>
          <t>A 50102-2022</t>
        </is>
      </c>
      <c r="B328" t="inlineStr">
        <is>
          <t>avverkningsanmälan</t>
        </is>
      </c>
      <c r="C328" t="inlineStr">
        <is>
          <t>Föryngringsavverkning</t>
        </is>
      </c>
      <c r="D328" s="1" t="n">
        <v>44865</v>
      </c>
      <c r="E328" s="1" t="n">
        <v>46307</v>
      </c>
      <c r="F328" t="inlineStr">
        <is>
          <t>VÄRMLANDS LÄN</t>
        </is>
      </c>
      <c r="G328" t="inlineStr">
        <is>
          <t>EDA</t>
        </is>
      </c>
      <c r="I328" t="n">
        <v>2.6</v>
      </c>
      <c r="J328" t="n">
        <v>0</v>
      </c>
      <c r="K328" t="n">
        <v>1</v>
      </c>
      <c r="L328" t="n">
        <v>1</v>
      </c>
      <c r="M328" t="n">
        <v>0</v>
      </c>
      <c r="N328" t="n">
        <v>0</v>
      </c>
      <c r="O328" t="n">
        <v>0</v>
      </c>
      <c r="P328" t="n">
        <v>0</v>
      </c>
      <c r="Q328" t="n">
        <v>1</v>
      </c>
      <c r="R328" t="n">
        <v>0</v>
      </c>
      <c r="S328" t="n">
        <v>2</v>
      </c>
      <c r="T328" t="n">
        <v>2</v>
      </c>
      <c r="U328" t="n">
        <v>2</v>
      </c>
      <c r="V328" s="2" t="inlineStr">
        <is>
          <t>Ullticka
Tibast</t>
        </is>
      </c>
      <c r="W328">
        <f>HYPERLINK("https://klasma.github.io/Logging_1730/artfynd/A 50102-2022 artfynd.xlsx", "A 50102-2022")</f>
        <v/>
      </c>
      <c r="X328">
        <f>HYPERLINK("https://klasma.github.io/Logging_1730/kartor/A 50102-2022 karta.png", "A 50102-2022")</f>
        <v/>
      </c>
      <c r="Y328">
        <f>HYPERLINK("https://klasma.github.io/Logging_1730/kartor_geotiff/A 50102-2022 georefererad karta.tif", "A 50102-2022")</f>
        <v/>
      </c>
      <c r="AA328">
        <f>HYPERLINK("https://klasma.github.io/Logging_1730/klagomål/A 50102-2022 FSC-klagomål.docx", "A 50102-2022")</f>
        <v/>
      </c>
      <c r="AB328">
        <f>HYPERLINK("https://klasma.github.io/Logging_1730/klagomålsmail/A 50102-2022 FSC-klagomål mail.docx", "A 50102-2022")</f>
        <v/>
      </c>
      <c r="AC328">
        <f>HYPERLINK("https://klasma.github.io/Logging_1730/tillsyn/A 50102-2022 tillsynsbegäran.docx", "A 50102-2022")</f>
        <v/>
      </c>
      <c r="AD328">
        <f>HYPERLINK("https://klasma.github.io/Logging_1730/tillsynsmail/A 50102-2022 tillsynsbegäran mail.docx", "A 50102-2022")</f>
        <v/>
      </c>
    </row>
    <row r="329" ht="15" customHeight="1">
      <c r="A329" t="inlineStr">
        <is>
          <t>A 56872-2021</t>
        </is>
      </c>
      <c r="B329" t="inlineStr">
        <is>
          <t>avverkningsanmälan</t>
        </is>
      </c>
      <c r="C329" t="inlineStr">
        <is>
          <t>Föryngringsavverkning</t>
        </is>
      </c>
      <c r="D329" s="1" t="n">
        <v>44481</v>
      </c>
      <c r="E329" s="1" t="n">
        <v>46307</v>
      </c>
      <c r="F329" t="inlineStr">
        <is>
          <t>VÄRMLANDS LÄN</t>
        </is>
      </c>
      <c r="G329" t="inlineStr">
        <is>
          <t>ARVIKA</t>
        </is>
      </c>
      <c r="I329" t="n">
        <v>1.4</v>
      </c>
      <c r="J329" t="n">
        <v>1</v>
      </c>
      <c r="K329" t="n">
        <v>0</v>
      </c>
      <c r="L329" t="n">
        <v>1</v>
      </c>
      <c r="M329" t="n">
        <v>1</v>
      </c>
      <c r="N329" t="n">
        <v>0</v>
      </c>
      <c r="O329" t="n">
        <v>0</v>
      </c>
      <c r="P329" t="n">
        <v>0</v>
      </c>
      <c r="Q329" t="n">
        <v>2</v>
      </c>
      <c r="R329" t="n">
        <v>1</v>
      </c>
      <c r="S329" t="n">
        <v>2</v>
      </c>
      <c r="T329" t="n">
        <v>6</v>
      </c>
      <c r="U329" t="n">
        <v>6</v>
      </c>
      <c r="V329" s="2" t="inlineStr">
        <is>
          <t>Knärot
Dropptaggsvamp</t>
        </is>
      </c>
      <c r="W329">
        <f>HYPERLINK("https://klasma.github.io/Logging_1784/artfynd/A 56872-2021 artfynd.xlsx", "A 56872-2021")</f>
        <v/>
      </c>
      <c r="X329">
        <f>HYPERLINK("https://klasma.github.io/Logging_1784/kartor/A 56872-2021 karta.png", "A 56872-2021")</f>
        <v/>
      </c>
      <c r="Y329">
        <f>HYPERLINK("https://klasma.github.io/Logging_1784/kartor_geotiff/A 56872-2021 georefererad karta.tif", "A 56872-2021")</f>
        <v/>
      </c>
      <c r="Z329">
        <f>HYPERLINK("https://klasma.github.io/Logging_1784/knärot/A 56872-2021 karta knärot.png", "A 56872-2021")</f>
        <v/>
      </c>
      <c r="AA329">
        <f>HYPERLINK("https://klasma.github.io/Logging_1784/klagomål/A 56872-2021 FSC-klagomål.docx", "A 56872-2021")</f>
        <v/>
      </c>
      <c r="AB329">
        <f>HYPERLINK("https://klasma.github.io/Logging_1784/klagomålsmail/A 56872-2021 FSC-klagomål mail.docx", "A 56872-2021")</f>
        <v/>
      </c>
      <c r="AC329">
        <f>HYPERLINK("https://klasma.github.io/Logging_1784/tillsyn/A 56872-2021 tillsynsbegäran.docx", "A 56872-2021")</f>
        <v/>
      </c>
      <c r="AD329">
        <f>HYPERLINK("https://klasma.github.io/Logging_1784/tillsynsmail/A 56872-2021 tillsynsbegäran mail.docx", "A 56872-2021")</f>
        <v/>
      </c>
    </row>
    <row r="330" ht="15" customHeight="1">
      <c r="A330" t="inlineStr">
        <is>
          <t>A 16104-2022</t>
        </is>
      </c>
      <c r="B330" t="inlineStr">
        <is>
          <t>avverkningsanmälan</t>
        </is>
      </c>
      <c r="C330" t="inlineStr">
        <is>
          <t>Föryngringsavverkning</t>
        </is>
      </c>
      <c r="D330" s="1" t="n">
        <v>44665</v>
      </c>
      <c r="E330" s="1" t="n">
        <v>46307</v>
      </c>
      <c r="F330" t="inlineStr">
        <is>
          <t>VÄRMLANDS LÄN</t>
        </is>
      </c>
      <c r="G330" t="inlineStr">
        <is>
          <t>ARVIKA</t>
        </is>
      </c>
      <c r="H330" t="inlineStr">
        <is>
          <t>Bergvik skog väst AB</t>
        </is>
      </c>
      <c r="I330" t="n">
        <v>13.2</v>
      </c>
      <c r="J330" t="n">
        <v>1</v>
      </c>
      <c r="K330" t="n">
        <v>0</v>
      </c>
      <c r="L330" t="n">
        <v>1</v>
      </c>
      <c r="M330" t="n">
        <v>0</v>
      </c>
      <c r="N330" t="n">
        <v>0</v>
      </c>
      <c r="O330" t="n">
        <v>0</v>
      </c>
      <c r="P330" t="n">
        <v>0</v>
      </c>
      <c r="Q330" t="n">
        <v>1</v>
      </c>
      <c r="R330" t="n">
        <v>0</v>
      </c>
      <c r="S330" t="n">
        <v>2</v>
      </c>
      <c r="T330" t="n">
        <v>2</v>
      </c>
      <c r="U330" t="n">
        <v>2</v>
      </c>
      <c r="V330" s="2" t="inlineStr">
        <is>
          <t>Skogsklocka
Fläcknycklar</t>
        </is>
      </c>
      <c r="W330">
        <f>HYPERLINK("https://klasma.github.io/Logging_1784/artfynd/A 16104-2022 artfynd.xlsx", "A 16104-2022")</f>
        <v/>
      </c>
      <c r="X330">
        <f>HYPERLINK("https://klasma.github.io/Logging_1784/kartor/A 16104-2022 karta.png", "A 16104-2022")</f>
        <v/>
      </c>
      <c r="Y330">
        <f>HYPERLINK("https://klasma.github.io/Logging_1784/kartor_geotiff/A 16104-2022 georefererad karta.tif", "A 16104-2022")</f>
        <v/>
      </c>
      <c r="AA330">
        <f>HYPERLINK("https://klasma.github.io/Logging_1784/klagomål/A 16104-2022 FSC-klagomål.docx", "A 16104-2022")</f>
        <v/>
      </c>
      <c r="AB330">
        <f>HYPERLINK("https://klasma.github.io/Logging_1784/klagomålsmail/A 16104-2022 FSC-klagomål mail.docx", "A 16104-2022")</f>
        <v/>
      </c>
      <c r="AC330">
        <f>HYPERLINK("https://klasma.github.io/Logging_1784/tillsyn/A 16104-2022 tillsynsbegäran.docx", "A 16104-2022")</f>
        <v/>
      </c>
      <c r="AD330">
        <f>HYPERLINK("https://klasma.github.io/Logging_1784/tillsynsmail/A 16104-2022 tillsynsbegäran mail.docx", "A 16104-2022")</f>
        <v/>
      </c>
    </row>
    <row r="331" ht="15" customHeight="1">
      <c r="A331" t="inlineStr">
        <is>
          <t>A 40235-2022</t>
        </is>
      </c>
      <c r="B331" t="inlineStr">
        <is>
          <t>avverkningsanmälan</t>
        </is>
      </c>
      <c r="C331" t="inlineStr">
        <is>
          <t>Föryngringsavverkning</t>
        </is>
      </c>
      <c r="D331" s="1" t="n">
        <v>44820</v>
      </c>
      <c r="E331" s="1" t="n">
        <v>46307</v>
      </c>
      <c r="F331" t="inlineStr">
        <is>
          <t>VÄRMLANDS LÄN</t>
        </is>
      </c>
      <c r="G331" t="inlineStr">
        <is>
          <t>SUNNE</t>
        </is>
      </c>
      <c r="I331" t="n">
        <v>6.5</v>
      </c>
      <c r="J331" t="n">
        <v>0</v>
      </c>
      <c r="K331" t="n">
        <v>0</v>
      </c>
      <c r="L331" t="n">
        <v>2</v>
      </c>
      <c r="M331" t="n">
        <v>0</v>
      </c>
      <c r="N331" t="n">
        <v>0</v>
      </c>
      <c r="O331" t="n">
        <v>0</v>
      </c>
      <c r="P331" t="n">
        <v>0</v>
      </c>
      <c r="Q331" t="n">
        <v>2</v>
      </c>
      <c r="R331" t="n">
        <v>0</v>
      </c>
      <c r="S331" t="n">
        <v>2</v>
      </c>
      <c r="T331" t="n">
        <v>2</v>
      </c>
      <c r="U331" t="n">
        <v>2</v>
      </c>
      <c r="V331" s="2" t="inlineStr">
        <is>
          <t>Dofttaggsvamp
Grantaggsvamp</t>
        </is>
      </c>
      <c r="W331">
        <f>HYPERLINK("https://klasma.github.io/Logging_1766/artfynd/A 40235-2022 artfynd.xlsx", "A 40235-2022")</f>
        <v/>
      </c>
      <c r="X331">
        <f>HYPERLINK("https://klasma.github.io/Logging_1766/kartor/A 40235-2022 karta.png", "A 40235-2022")</f>
        <v/>
      </c>
      <c r="Y331">
        <f>HYPERLINK("https://klasma.github.io/Logging_1766/kartor_geotiff/A 40235-2022 georefererad karta.tif", "A 40235-2022")</f>
        <v/>
      </c>
      <c r="AA331">
        <f>HYPERLINK("https://klasma.github.io/Logging_1766/klagomål/A 40235-2022 FSC-klagomål.docx", "A 40235-2022")</f>
        <v/>
      </c>
      <c r="AB331">
        <f>HYPERLINK("https://klasma.github.io/Logging_1766/klagomålsmail/A 40235-2022 FSC-klagomål mail.docx", "A 40235-2022")</f>
        <v/>
      </c>
      <c r="AC331">
        <f>HYPERLINK("https://klasma.github.io/Logging_1766/tillsyn/A 40235-2022 tillsynsbegäran.docx", "A 40235-2022")</f>
        <v/>
      </c>
      <c r="AD331">
        <f>HYPERLINK("https://klasma.github.io/Logging_1766/tillsynsmail/A 40235-2022 tillsynsbegäran mail.docx", "A 40235-2022")</f>
        <v/>
      </c>
    </row>
    <row r="332" ht="15" customHeight="1">
      <c r="A332" t="inlineStr">
        <is>
          <t>A 24697-2024</t>
        </is>
      </c>
      <c r="B332" t="inlineStr">
        <is>
          <t>avverkningsanmälan</t>
        </is>
      </c>
      <c r="C332" t="inlineStr">
        <is>
          <t>Föryngringsavverkning</t>
        </is>
      </c>
      <c r="D332" s="1" t="n">
        <v>45460</v>
      </c>
      <c r="E332" s="1" t="n">
        <v>46307</v>
      </c>
      <c r="F332" t="inlineStr">
        <is>
          <t>VÄRMLANDS LÄN</t>
        </is>
      </c>
      <c r="G332" t="inlineStr">
        <is>
          <t>SÄFFLE</t>
        </is>
      </c>
      <c r="I332" t="n">
        <v>16.9</v>
      </c>
      <c r="J332" t="n">
        <v>0</v>
      </c>
      <c r="K332" t="n">
        <v>1</v>
      </c>
      <c r="L332" t="n">
        <v>1</v>
      </c>
      <c r="M332" t="n">
        <v>0</v>
      </c>
      <c r="N332" t="n">
        <v>0</v>
      </c>
      <c r="O332" t="n">
        <v>0</v>
      </c>
      <c r="P332" t="n">
        <v>0</v>
      </c>
      <c r="Q332" t="n">
        <v>1</v>
      </c>
      <c r="R332" t="n">
        <v>0</v>
      </c>
      <c r="S332" t="n">
        <v>2</v>
      </c>
      <c r="T332" t="n">
        <v>3</v>
      </c>
      <c r="U332" t="n">
        <v>0</v>
      </c>
      <c r="V332" s="2" t="inlineStr">
        <is>
          <t>Dropptaggsvamp
Blåmossa</t>
        </is>
      </c>
      <c r="W332">
        <f>HYPERLINK("https://klasma.github.io/Logging_1785/artfynd/A 24697-2024 artfynd.xlsx", "A 24697-2024")</f>
        <v/>
      </c>
      <c r="X332">
        <f>HYPERLINK("https://klasma.github.io/Logging_1785/kartor/A 24697-2024 karta.png", "A 24697-2024")</f>
        <v/>
      </c>
      <c r="Y332">
        <f>HYPERLINK("https://klasma.github.io/Logging_1785/kartor_geotiff/A 24697-2024 georefererad karta.tif", "A 24697-2024")</f>
        <v/>
      </c>
      <c r="AA332">
        <f>HYPERLINK("https://klasma.github.io/Logging_1785/klagomål/A 24697-2024 FSC-klagomål.docx", "A 24697-2024")</f>
        <v/>
      </c>
      <c r="AB332">
        <f>HYPERLINK("https://klasma.github.io/Logging_1785/klagomålsmail/A 24697-2024 FSC-klagomål mail.docx", "A 24697-2024")</f>
        <v/>
      </c>
      <c r="AC332">
        <f>HYPERLINK("https://klasma.github.io/Logging_1785/tillsyn/A 24697-2024 tillsynsbegäran.docx", "A 24697-2024")</f>
        <v/>
      </c>
      <c r="AD332">
        <f>HYPERLINK("https://klasma.github.io/Logging_1785/tillsynsmail/A 24697-2024 tillsynsbegäran mail.docx", "A 24697-2024")</f>
        <v/>
      </c>
    </row>
    <row r="333" ht="15" customHeight="1">
      <c r="A333" t="inlineStr">
        <is>
          <t>A 51928-2022</t>
        </is>
      </c>
      <c r="B333" t="inlineStr">
        <is>
          <t>avverkningsanmälan</t>
        </is>
      </c>
      <c r="C333" t="inlineStr">
        <is>
          <t>Föryngringsavverkning</t>
        </is>
      </c>
      <c r="D333" s="1" t="n">
        <v>44872</v>
      </c>
      <c r="E333" s="1" t="n">
        <v>46307</v>
      </c>
      <c r="F333" t="inlineStr">
        <is>
          <t>VÄRMLANDS LÄN</t>
        </is>
      </c>
      <c r="G333" t="inlineStr">
        <is>
          <t>ÅRJÄNG</t>
        </is>
      </c>
      <c r="I333" t="n">
        <v>14.1</v>
      </c>
      <c r="J333" t="n">
        <v>1</v>
      </c>
      <c r="K333" t="n">
        <v>0</v>
      </c>
      <c r="L333" t="n">
        <v>1</v>
      </c>
      <c r="M333" t="n">
        <v>1</v>
      </c>
      <c r="N333" t="n">
        <v>0</v>
      </c>
      <c r="O333" t="n">
        <v>0</v>
      </c>
      <c r="P333" t="n">
        <v>0</v>
      </c>
      <c r="Q333" t="n">
        <v>2</v>
      </c>
      <c r="R333" t="n">
        <v>1</v>
      </c>
      <c r="S333" t="n">
        <v>2</v>
      </c>
      <c r="T333" t="n">
        <v>4</v>
      </c>
      <c r="U333" t="n">
        <v>4</v>
      </c>
      <c r="V333" s="2" t="inlineStr">
        <is>
          <t>Knärot
Dropptaggsvamp</t>
        </is>
      </c>
      <c r="W333">
        <f>HYPERLINK("https://klasma.github.io/Logging_1765/artfynd/A 51928-2022 artfynd.xlsx", "A 51928-2022")</f>
        <v/>
      </c>
      <c r="X333">
        <f>HYPERLINK("https://klasma.github.io/Logging_1765/kartor/A 51928-2022 karta.png", "A 51928-2022")</f>
        <v/>
      </c>
      <c r="Y333">
        <f>HYPERLINK("https://klasma.github.io/Logging_1765/kartor_geotiff/A 51928-2022 georefererad karta.tif", "A 51928-2022")</f>
        <v/>
      </c>
      <c r="Z333">
        <f>HYPERLINK("https://klasma.github.io/Logging_1765/knärot/A 51928-2022 karta knärot.png", "A 51928-2022")</f>
        <v/>
      </c>
      <c r="AA333">
        <f>HYPERLINK("https://klasma.github.io/Logging_1765/klagomål/A 51928-2022 FSC-klagomål.docx", "A 51928-2022")</f>
        <v/>
      </c>
      <c r="AB333">
        <f>HYPERLINK("https://klasma.github.io/Logging_1765/klagomålsmail/A 51928-2022 FSC-klagomål mail.docx", "A 51928-2022")</f>
        <v/>
      </c>
      <c r="AC333">
        <f>HYPERLINK("https://klasma.github.io/Logging_1765/tillsyn/A 51928-2022 tillsynsbegäran.docx", "A 51928-2022")</f>
        <v/>
      </c>
      <c r="AD333">
        <f>HYPERLINK("https://klasma.github.io/Logging_1765/tillsynsmail/A 51928-2022 tillsynsbegäran mail.docx", "A 51928-2022")</f>
        <v/>
      </c>
    </row>
    <row r="334" ht="15" customHeight="1">
      <c r="A334" t="inlineStr">
        <is>
          <t>A 58014-2024</t>
        </is>
      </c>
      <c r="B334" t="inlineStr">
        <is>
          <t>avverkningsanmälan</t>
        </is>
      </c>
      <c r="C334" t="inlineStr">
        <is>
          <t>Föryngringsavverkning</t>
        </is>
      </c>
      <c r="D334" s="1" t="n">
        <v>45631</v>
      </c>
      <c r="E334" s="1" t="n">
        <v>46307</v>
      </c>
      <c r="F334" t="inlineStr">
        <is>
          <t>VÄRMLANDS LÄN</t>
        </is>
      </c>
      <c r="G334" t="inlineStr">
        <is>
          <t>TORSBY</t>
        </is>
      </c>
      <c r="I334" t="n">
        <v>2.2</v>
      </c>
      <c r="J334" t="n">
        <v>0</v>
      </c>
      <c r="K334" t="n">
        <v>0</v>
      </c>
      <c r="L334" t="n">
        <v>2</v>
      </c>
      <c r="M334" t="n">
        <v>0</v>
      </c>
      <c r="N334" t="n">
        <v>0</v>
      </c>
      <c r="O334" t="n">
        <v>0</v>
      </c>
      <c r="P334" t="n">
        <v>0</v>
      </c>
      <c r="Q334" t="n">
        <v>2</v>
      </c>
      <c r="R334" t="n">
        <v>0</v>
      </c>
      <c r="S334" t="n">
        <v>2</v>
      </c>
      <c r="T334" t="n">
        <v>4</v>
      </c>
      <c r="U334" t="n">
        <v>0</v>
      </c>
      <c r="V334" s="2" t="inlineStr">
        <is>
          <t>Kattfotslav
Lunglav</t>
        </is>
      </c>
      <c r="W334">
        <f>HYPERLINK("https://klasma.github.io/Logging_1737/artfynd/A 58014-2024 artfynd.xlsx", "A 58014-2024")</f>
        <v/>
      </c>
      <c r="X334">
        <f>HYPERLINK("https://klasma.github.io/Logging_1737/kartor/A 58014-2024 karta.png", "A 58014-2024")</f>
        <v/>
      </c>
      <c r="Y334">
        <f>HYPERLINK("https://klasma.github.io/Logging_1737/kartor_geotiff/A 58014-2024 georefererad karta.tif", "A 58014-2024")</f>
        <v/>
      </c>
      <c r="AA334">
        <f>HYPERLINK("https://klasma.github.io/Logging_1737/klagomål/A 58014-2024 FSC-klagomål.docx", "A 58014-2024")</f>
        <v/>
      </c>
      <c r="AB334">
        <f>HYPERLINK("https://klasma.github.io/Logging_1737/klagomålsmail/A 58014-2024 FSC-klagomål mail.docx", "A 58014-2024")</f>
        <v/>
      </c>
      <c r="AC334">
        <f>HYPERLINK("https://klasma.github.io/Logging_1737/tillsyn/A 58014-2024 tillsynsbegäran.docx", "A 58014-2024")</f>
        <v/>
      </c>
      <c r="AD334">
        <f>HYPERLINK("https://klasma.github.io/Logging_1737/tillsynsmail/A 58014-2024 tillsynsbegäran mail.docx", "A 58014-2024")</f>
        <v/>
      </c>
    </row>
    <row r="335" ht="15" customHeight="1">
      <c r="A335" t="inlineStr">
        <is>
          <t>A 23091-2024</t>
        </is>
      </c>
      <c r="B335" t="inlineStr">
        <is>
          <t>avverkningsanmälan</t>
        </is>
      </c>
      <c r="C335" t="inlineStr">
        <is>
          <t>Föryngringsavverkning</t>
        </is>
      </c>
      <c r="D335" s="1" t="n">
        <v>45450</v>
      </c>
      <c r="E335" s="1" t="n">
        <v>46307</v>
      </c>
      <c r="F335" t="inlineStr">
        <is>
          <t>VÄRMLANDS LÄN</t>
        </is>
      </c>
      <c r="G335" t="inlineStr">
        <is>
          <t>TORSBY</t>
        </is>
      </c>
      <c r="H335" t="inlineStr">
        <is>
          <t>Bergvik skog väst AB</t>
        </is>
      </c>
      <c r="I335" t="n">
        <v>14.3</v>
      </c>
      <c r="J335" t="n">
        <v>0</v>
      </c>
      <c r="K335" t="n">
        <v>1</v>
      </c>
      <c r="L335" t="n">
        <v>1</v>
      </c>
      <c r="M335" t="n">
        <v>0</v>
      </c>
      <c r="N335" t="n">
        <v>0</v>
      </c>
      <c r="O335" t="n">
        <v>0</v>
      </c>
      <c r="P335" t="n">
        <v>0</v>
      </c>
      <c r="Q335" t="n">
        <v>1</v>
      </c>
      <c r="R335" t="n">
        <v>0</v>
      </c>
      <c r="S335" t="n">
        <v>2</v>
      </c>
      <c r="T335" t="n">
        <v>3</v>
      </c>
      <c r="U335" t="n">
        <v>0</v>
      </c>
      <c r="V335" s="2" t="inlineStr">
        <is>
          <t>Vedskivlav
Kambräken</t>
        </is>
      </c>
      <c r="W335">
        <f>HYPERLINK("https://klasma.github.io/Logging_1737/artfynd/A 23091-2024 artfynd.xlsx", "A 23091-2024")</f>
        <v/>
      </c>
      <c r="X335">
        <f>HYPERLINK("https://klasma.github.io/Logging_1737/kartor/A 23091-2024 karta.png", "A 23091-2024")</f>
        <v/>
      </c>
      <c r="Y335">
        <f>HYPERLINK("https://klasma.github.io/Logging_1737/kartor_geotiff/A 23091-2024 georefererad karta.tif", "A 23091-2024")</f>
        <v/>
      </c>
      <c r="AA335">
        <f>HYPERLINK("https://klasma.github.io/Logging_1737/klagomål/A 23091-2024 FSC-klagomål.docx", "A 23091-2024")</f>
        <v/>
      </c>
      <c r="AB335">
        <f>HYPERLINK("https://klasma.github.io/Logging_1737/klagomålsmail/A 23091-2024 FSC-klagomål mail.docx", "A 23091-2024")</f>
        <v/>
      </c>
      <c r="AC335">
        <f>HYPERLINK("https://klasma.github.io/Logging_1737/tillsyn/A 23091-2024 tillsynsbegäran.docx", "A 23091-2024")</f>
        <v/>
      </c>
      <c r="AD335">
        <f>HYPERLINK("https://klasma.github.io/Logging_1737/tillsynsmail/A 23091-2024 tillsynsbegäran mail.docx", "A 23091-2024")</f>
        <v/>
      </c>
    </row>
    <row r="336" ht="15" customHeight="1">
      <c r="A336" t="inlineStr">
        <is>
          <t>A 59330-2024</t>
        </is>
      </c>
      <c r="B336" t="inlineStr">
        <is>
          <t>avverkningsanmälan</t>
        </is>
      </c>
      <c r="C336" t="inlineStr">
        <is>
          <t>Föryngringsavverkning</t>
        </is>
      </c>
      <c r="D336" s="1" t="n">
        <v>45637</v>
      </c>
      <c r="E336" s="1" t="n">
        <v>46307</v>
      </c>
      <c r="F336" t="inlineStr">
        <is>
          <t>VÄRMLANDS LÄN</t>
        </is>
      </c>
      <c r="G336" t="inlineStr">
        <is>
          <t>HAGFORS</t>
        </is>
      </c>
      <c r="I336" t="n">
        <v>3.7</v>
      </c>
      <c r="J336" t="n">
        <v>1</v>
      </c>
      <c r="K336" t="n">
        <v>0</v>
      </c>
      <c r="L336" t="n">
        <v>0</v>
      </c>
      <c r="M336" t="n">
        <v>1</v>
      </c>
      <c r="N336" t="n">
        <v>0</v>
      </c>
      <c r="O336" t="n">
        <v>0</v>
      </c>
      <c r="P336" t="n">
        <v>0</v>
      </c>
      <c r="Q336" t="n">
        <v>1</v>
      </c>
      <c r="R336" t="n">
        <v>1</v>
      </c>
      <c r="S336" t="n">
        <v>2</v>
      </c>
      <c r="T336" t="n">
        <v>3</v>
      </c>
      <c r="U336" t="n">
        <v>0</v>
      </c>
      <c r="V336" s="2" t="inlineStr">
        <is>
          <t>Gränsticka
Utter</t>
        </is>
      </c>
      <c r="W336">
        <f>HYPERLINK("https://klasma.github.io/Logging_1783/artfynd/A 59330-2024 artfynd.xlsx", "A 59330-2024")</f>
        <v/>
      </c>
      <c r="X336">
        <f>HYPERLINK("https://klasma.github.io/Logging_1783/kartor/A 59330-2024 karta.png", "A 59330-2024")</f>
        <v/>
      </c>
      <c r="Y336">
        <f>HYPERLINK("https://klasma.github.io/Logging_1783/kartor_geotiff/A 59330-2024 georefererad karta.tif", "A 59330-2024")</f>
        <v/>
      </c>
      <c r="AA336">
        <f>HYPERLINK("https://klasma.github.io/Logging_1783/klagomål/A 59330-2024 FSC-klagomål.docx", "A 59330-2024")</f>
        <v/>
      </c>
      <c r="AB336">
        <f>HYPERLINK("https://klasma.github.io/Logging_1783/klagomålsmail/A 59330-2024 FSC-klagomål mail.docx", "A 59330-2024")</f>
        <v/>
      </c>
      <c r="AC336">
        <f>HYPERLINK("https://klasma.github.io/Logging_1783/tillsyn/A 59330-2024 tillsynsbegäran.docx", "A 59330-2024")</f>
        <v/>
      </c>
      <c r="AD336">
        <f>HYPERLINK("https://klasma.github.io/Logging_1783/tillsynsmail/A 59330-2024 tillsynsbegäran mail.docx", "A 59330-2024")</f>
        <v/>
      </c>
    </row>
    <row r="337" ht="15" customHeight="1">
      <c r="A337" t="inlineStr">
        <is>
          <t>A 43389-2023</t>
        </is>
      </c>
      <c r="B337" t="inlineStr">
        <is>
          <t>avverkningsanmälan</t>
        </is>
      </c>
      <c r="C337" t="inlineStr">
        <is>
          <t>Föryngringsavverkning</t>
        </is>
      </c>
      <c r="D337" s="1" t="n">
        <v>45183</v>
      </c>
      <c r="E337" s="1" t="n">
        <v>46307</v>
      </c>
      <c r="F337" t="inlineStr">
        <is>
          <t>VÄRMLANDS LÄN</t>
        </is>
      </c>
      <c r="G337" t="inlineStr">
        <is>
          <t>ARVIKA</t>
        </is>
      </c>
      <c r="I337" t="n">
        <v>0.9</v>
      </c>
      <c r="J337" t="n">
        <v>1</v>
      </c>
      <c r="K337" t="n">
        <v>0</v>
      </c>
      <c r="L337" t="n">
        <v>0</v>
      </c>
      <c r="M337" t="n">
        <v>1</v>
      </c>
      <c r="N337" t="n">
        <v>1</v>
      </c>
      <c r="O337" t="n">
        <v>0</v>
      </c>
      <c r="P337" t="n">
        <v>0</v>
      </c>
      <c r="Q337" t="n">
        <v>2</v>
      </c>
      <c r="R337" t="n">
        <v>2</v>
      </c>
      <c r="S337" t="n">
        <v>2</v>
      </c>
      <c r="T337" t="n">
        <v>3</v>
      </c>
      <c r="U337" t="n">
        <v>2</v>
      </c>
      <c r="V337" s="2" t="inlineStr">
        <is>
          <t>Raggtaggsvamp
Knärot</t>
        </is>
      </c>
      <c r="W337">
        <f>HYPERLINK("https://klasma.github.io/Logging_1784/artfynd/A 43389-2023 artfynd.xlsx", "A 43389-2023")</f>
        <v/>
      </c>
      <c r="X337">
        <f>HYPERLINK("https://klasma.github.io/Logging_1784/kartor/A 43389-2023 karta.png", "A 43389-2023")</f>
        <v/>
      </c>
      <c r="Y337">
        <f>HYPERLINK("https://klasma.github.io/Logging_1784/kartor_geotiff/A 43389-2023 georefererad karta.tif", "A 43389-2023")</f>
        <v/>
      </c>
      <c r="Z337">
        <f>HYPERLINK("https://klasma.github.io/Logging_1784/knärot/A 43389-2023 karta knärot.png", "A 43389-2023")</f>
        <v/>
      </c>
      <c r="AA337">
        <f>HYPERLINK("https://klasma.github.io/Logging_1784/klagomål/A 43389-2023 FSC-klagomål.docx", "A 43389-2023")</f>
        <v/>
      </c>
      <c r="AB337">
        <f>HYPERLINK("https://klasma.github.io/Logging_1784/klagomålsmail/A 43389-2023 FSC-klagomål mail.docx", "A 43389-2023")</f>
        <v/>
      </c>
      <c r="AC337">
        <f>HYPERLINK("https://klasma.github.io/Logging_1784/tillsyn/A 43389-2023 tillsynsbegäran.docx", "A 43389-2023")</f>
        <v/>
      </c>
      <c r="AD337">
        <f>HYPERLINK("https://klasma.github.io/Logging_1784/tillsynsmail/A 43389-2023 tillsynsbegäran mail.docx", "A 43389-2023")</f>
        <v/>
      </c>
    </row>
    <row r="338" ht="15" customHeight="1">
      <c r="A338" t="inlineStr">
        <is>
          <t>A 56489-2023</t>
        </is>
      </c>
      <c r="B338" t="inlineStr">
        <is>
          <t>avverkningsanmälan</t>
        </is>
      </c>
      <c r="C338" t="inlineStr">
        <is>
          <t>Föryngringsavverkning</t>
        </is>
      </c>
      <c r="D338" s="1" t="n">
        <v>45237</v>
      </c>
      <c r="E338" s="1" t="n">
        <v>46307</v>
      </c>
      <c r="F338" t="inlineStr">
        <is>
          <t>VÄRMLANDS LÄN</t>
        </is>
      </c>
      <c r="G338" t="inlineStr">
        <is>
          <t>SÄFFLE</t>
        </is>
      </c>
      <c r="I338" t="n">
        <v>2.7</v>
      </c>
      <c r="J338" t="n">
        <v>2</v>
      </c>
      <c r="K338" t="n">
        <v>0</v>
      </c>
      <c r="L338" t="n">
        <v>0</v>
      </c>
      <c r="M338" t="n">
        <v>0</v>
      </c>
      <c r="N338" t="n">
        <v>0</v>
      </c>
      <c r="O338" t="n">
        <v>0</v>
      </c>
      <c r="P338" t="n">
        <v>0</v>
      </c>
      <c r="Q338" t="n">
        <v>0</v>
      </c>
      <c r="R338" t="n">
        <v>0</v>
      </c>
      <c r="S338" t="n">
        <v>2</v>
      </c>
      <c r="T338" t="n">
        <v>2</v>
      </c>
      <c r="U338" t="n">
        <v>1</v>
      </c>
      <c r="V338" s="2" t="inlineStr">
        <is>
          <t>Tjäder
Havsörn</t>
        </is>
      </c>
      <c r="W338">
        <f>HYPERLINK("https://klasma.github.io/Logging_1785/artfynd/A 56489-2023 artfynd.xlsx", "A 56489-2023")</f>
        <v/>
      </c>
      <c r="X338">
        <f>HYPERLINK("https://klasma.github.io/Logging_1785/kartor/A 56489-2023 karta.png", "A 56489-2023")</f>
        <v/>
      </c>
      <c r="Y338">
        <f>HYPERLINK("https://klasma.github.io/Logging_1785/kartor_geotiff/A 56489-2023 georefererad karta.tif", "A 56489-2023")</f>
        <v/>
      </c>
      <c r="AA338">
        <f>HYPERLINK("https://klasma.github.io/Logging_1785/klagomål/A 56489-2023 FSC-klagomål.docx", "A 56489-2023")</f>
        <v/>
      </c>
      <c r="AB338">
        <f>HYPERLINK("https://klasma.github.io/Logging_1785/klagomålsmail/A 56489-2023 FSC-klagomål mail.docx", "A 56489-2023")</f>
        <v/>
      </c>
      <c r="AC338">
        <f>HYPERLINK("https://klasma.github.io/Logging_1785/tillsyn/A 56489-2023 tillsynsbegäran.docx", "A 56489-2023")</f>
        <v/>
      </c>
      <c r="AD338">
        <f>HYPERLINK("https://klasma.github.io/Logging_1785/tillsynsmail/A 56489-2023 tillsynsbegäran mail.docx", "A 56489-2023")</f>
        <v/>
      </c>
      <c r="AE338">
        <f>HYPERLINK("https://klasma.github.io/Logging_1785/fåglar/A 56489-2023 prioriterade fågelarter.docx", "A 56489-2023")</f>
        <v/>
      </c>
    </row>
    <row r="339" ht="15" customHeight="1">
      <c r="A339" t="inlineStr">
        <is>
          <t>A 56492-2023</t>
        </is>
      </c>
      <c r="B339" t="inlineStr">
        <is>
          <t>avverkningsanmälan</t>
        </is>
      </c>
      <c r="C339" t="inlineStr">
        <is>
          <t>Föryngringsavverkning</t>
        </is>
      </c>
      <c r="D339" s="1" t="n">
        <v>45243</v>
      </c>
      <c r="E339" s="1" t="n">
        <v>46307</v>
      </c>
      <c r="F339" t="inlineStr">
        <is>
          <t>VÄRMLANDS LÄN</t>
        </is>
      </c>
      <c r="G339" t="inlineStr">
        <is>
          <t>EDA</t>
        </is>
      </c>
      <c r="I339" t="n">
        <v>3.5</v>
      </c>
      <c r="J339" t="n">
        <v>0</v>
      </c>
      <c r="K339" t="n">
        <v>0</v>
      </c>
      <c r="L339" t="n">
        <v>2</v>
      </c>
      <c r="M339" t="n">
        <v>0</v>
      </c>
      <c r="N339" t="n">
        <v>0</v>
      </c>
      <c r="O339" t="n">
        <v>0</v>
      </c>
      <c r="P339" t="n">
        <v>0</v>
      </c>
      <c r="Q339" t="n">
        <v>2</v>
      </c>
      <c r="R339" t="n">
        <v>0</v>
      </c>
      <c r="S339" t="n">
        <v>2</v>
      </c>
      <c r="T339" t="n">
        <v>2</v>
      </c>
      <c r="U339" t="n">
        <v>0</v>
      </c>
      <c r="V339" s="2" t="inlineStr">
        <is>
          <t>Ullticka
Vedtrappmossa</t>
        </is>
      </c>
      <c r="W339">
        <f>HYPERLINK("https://klasma.github.io/Logging_1730/artfynd/A 56492-2023 artfynd.xlsx", "A 56492-2023")</f>
        <v/>
      </c>
      <c r="X339">
        <f>HYPERLINK("https://klasma.github.io/Logging_1730/kartor/A 56492-2023 karta.png", "A 56492-2023")</f>
        <v/>
      </c>
      <c r="Y339">
        <f>HYPERLINK("https://klasma.github.io/Logging_1730/kartor_geotiff/A 56492-2023 georefererad karta.tif", "A 56492-2023")</f>
        <v/>
      </c>
      <c r="AA339">
        <f>HYPERLINK("https://klasma.github.io/Logging_1730/klagomål/A 56492-2023 FSC-klagomål.docx", "A 56492-2023")</f>
        <v/>
      </c>
      <c r="AB339">
        <f>HYPERLINK("https://klasma.github.io/Logging_1730/klagomålsmail/A 56492-2023 FSC-klagomål mail.docx", "A 56492-2023")</f>
        <v/>
      </c>
      <c r="AC339">
        <f>HYPERLINK("https://klasma.github.io/Logging_1730/tillsyn/A 56492-2023 tillsynsbegäran.docx", "A 56492-2023")</f>
        <v/>
      </c>
      <c r="AD339">
        <f>HYPERLINK("https://klasma.github.io/Logging_1730/tillsynsmail/A 56492-2023 tillsynsbegäran mail.docx", "A 56492-2023")</f>
        <v/>
      </c>
    </row>
    <row r="340" ht="15" customHeight="1">
      <c r="A340" t="inlineStr">
        <is>
          <t>A 60741-2023</t>
        </is>
      </c>
      <c r="B340" t="inlineStr">
        <is>
          <t>avverkningsanmälan</t>
        </is>
      </c>
      <c r="C340" t="inlineStr">
        <is>
          <t>Föryngringsavverkning</t>
        </is>
      </c>
      <c r="D340" s="1" t="n">
        <v>45260</v>
      </c>
      <c r="E340" s="1" t="n">
        <v>46307</v>
      </c>
      <c r="F340" t="inlineStr">
        <is>
          <t>VÄRMLANDS LÄN</t>
        </is>
      </c>
      <c r="G340" t="inlineStr">
        <is>
          <t>ÅRJÄNG</t>
        </is>
      </c>
      <c r="I340" t="n">
        <v>2.7</v>
      </c>
      <c r="J340" t="n">
        <v>0</v>
      </c>
      <c r="K340" t="n">
        <v>0</v>
      </c>
      <c r="L340" t="n">
        <v>1</v>
      </c>
      <c r="M340" t="n">
        <v>1</v>
      </c>
      <c r="N340" t="n">
        <v>0</v>
      </c>
      <c r="O340" t="n">
        <v>0</v>
      </c>
      <c r="P340" t="n">
        <v>0</v>
      </c>
      <c r="Q340" t="n">
        <v>2</v>
      </c>
      <c r="R340" t="n">
        <v>1</v>
      </c>
      <c r="S340" t="n">
        <v>2</v>
      </c>
      <c r="T340" t="n">
        <v>3</v>
      </c>
      <c r="U340" t="n">
        <v>2</v>
      </c>
      <c r="V340" s="2" t="inlineStr">
        <is>
          <t>Garnlav
Vedskivlav</t>
        </is>
      </c>
      <c r="W340">
        <f>HYPERLINK("https://klasma.github.io/Logging_1765/artfynd/A 60741-2023 artfynd.xlsx", "A 60741-2023")</f>
        <v/>
      </c>
      <c r="X340">
        <f>HYPERLINK("https://klasma.github.io/Logging_1765/kartor/A 60741-2023 karta.png", "A 60741-2023")</f>
        <v/>
      </c>
      <c r="Y340">
        <f>HYPERLINK("https://klasma.github.io/Logging_1765/kartor_geotiff/A 60741-2023 georefererad karta.tif", "A 60741-2023")</f>
        <v/>
      </c>
      <c r="AA340">
        <f>HYPERLINK("https://klasma.github.io/Logging_1765/klagomål/A 60741-2023 FSC-klagomål.docx", "A 60741-2023")</f>
        <v/>
      </c>
      <c r="AB340">
        <f>HYPERLINK("https://klasma.github.io/Logging_1765/klagomålsmail/A 60741-2023 FSC-klagomål mail.docx", "A 60741-2023")</f>
        <v/>
      </c>
      <c r="AC340">
        <f>HYPERLINK("https://klasma.github.io/Logging_1765/tillsyn/A 60741-2023 tillsynsbegäran.docx", "A 60741-2023")</f>
        <v/>
      </c>
      <c r="AD340">
        <f>HYPERLINK("https://klasma.github.io/Logging_1765/tillsynsmail/A 60741-2023 tillsynsbegäran mail.docx", "A 60741-2023")</f>
        <v/>
      </c>
    </row>
    <row r="341" ht="15" customHeight="1">
      <c r="A341" t="inlineStr">
        <is>
          <t>A 31603-2022</t>
        </is>
      </c>
      <c r="B341" t="inlineStr">
        <is>
          <t>avverkningsanmälan</t>
        </is>
      </c>
      <c r="C341" t="inlineStr">
        <is>
          <t>Föryngringsavverkning</t>
        </is>
      </c>
      <c r="D341" s="1" t="n">
        <v>44775</v>
      </c>
      <c r="E341" s="1" t="n">
        <v>46307</v>
      </c>
      <c r="F341" t="inlineStr">
        <is>
          <t>VÄRMLANDS LÄN</t>
        </is>
      </c>
      <c r="G341" t="inlineStr">
        <is>
          <t>SUNNE</t>
        </is>
      </c>
      <c r="I341" t="n">
        <v>4.8</v>
      </c>
      <c r="J341" t="n">
        <v>1</v>
      </c>
      <c r="K341" t="n">
        <v>1</v>
      </c>
      <c r="L341" t="n">
        <v>0</v>
      </c>
      <c r="M341" t="n">
        <v>0</v>
      </c>
      <c r="N341" t="n">
        <v>0</v>
      </c>
      <c r="O341" t="n">
        <v>0</v>
      </c>
      <c r="P341" t="n">
        <v>0</v>
      </c>
      <c r="Q341" t="n">
        <v>0</v>
      </c>
      <c r="R341" t="n">
        <v>0</v>
      </c>
      <c r="S341" t="n">
        <v>2</v>
      </c>
      <c r="T341" t="n">
        <v>2</v>
      </c>
      <c r="U341" t="n">
        <v>0</v>
      </c>
      <c r="V341" s="2" t="inlineStr">
        <is>
          <t>Springkorn
Fläcknycklar</t>
        </is>
      </c>
      <c r="W341">
        <f>HYPERLINK("https://klasma.github.io/Logging_1766/artfynd/A 31603-2022 artfynd.xlsx", "A 31603-2022")</f>
        <v/>
      </c>
      <c r="X341">
        <f>HYPERLINK("https://klasma.github.io/Logging_1766/kartor/A 31603-2022 karta.png", "A 31603-2022")</f>
        <v/>
      </c>
      <c r="Y341">
        <f>HYPERLINK("https://klasma.github.io/Logging_1766/kartor_geotiff/A 31603-2022 georefererad karta.tif", "A 31603-2022")</f>
        <v/>
      </c>
      <c r="AA341">
        <f>HYPERLINK("https://klasma.github.io/Logging_1766/klagomål/A 31603-2022 FSC-klagomål.docx", "A 31603-2022")</f>
        <v/>
      </c>
      <c r="AB341">
        <f>HYPERLINK("https://klasma.github.io/Logging_1766/klagomålsmail/A 31603-2022 FSC-klagomål mail.docx", "A 31603-2022")</f>
        <v/>
      </c>
      <c r="AC341">
        <f>HYPERLINK("https://klasma.github.io/Logging_1766/tillsyn/A 31603-2022 tillsynsbegäran.docx", "A 31603-2022")</f>
        <v/>
      </c>
      <c r="AD341">
        <f>HYPERLINK("https://klasma.github.io/Logging_1766/tillsynsmail/A 31603-2022 tillsynsbegäran mail.docx", "A 31603-2022")</f>
        <v/>
      </c>
    </row>
    <row r="342" ht="15" customHeight="1">
      <c r="A342" t="inlineStr">
        <is>
          <t>A 7931-2025</t>
        </is>
      </c>
      <c r="B342" t="inlineStr">
        <is>
          <t>avverkningsanmälan</t>
        </is>
      </c>
      <c r="C342" t="inlineStr">
        <is>
          <t>Föryngringsavverkning</t>
        </is>
      </c>
      <c r="D342" s="1" t="n">
        <v>45706</v>
      </c>
      <c r="E342" s="1" t="n">
        <v>46307</v>
      </c>
      <c r="F342" t="inlineStr">
        <is>
          <t>VÄRMLANDS LÄN</t>
        </is>
      </c>
      <c r="G342" t="inlineStr">
        <is>
          <t>GRUMS</t>
        </is>
      </c>
      <c r="H342" t="inlineStr">
        <is>
          <t>Bergvik skog väst AB</t>
        </is>
      </c>
      <c r="I342" t="n">
        <v>13.8</v>
      </c>
      <c r="J342" t="n">
        <v>2</v>
      </c>
      <c r="K342" t="n">
        <v>0</v>
      </c>
      <c r="L342" t="n">
        <v>0</v>
      </c>
      <c r="M342" t="n">
        <v>0</v>
      </c>
      <c r="N342" t="n">
        <v>0</v>
      </c>
      <c r="O342" t="n">
        <v>0</v>
      </c>
      <c r="P342" t="n">
        <v>0</v>
      </c>
      <c r="Q342" t="n">
        <v>0</v>
      </c>
      <c r="R342" t="n">
        <v>0</v>
      </c>
      <c r="S342" t="n">
        <v>2</v>
      </c>
      <c r="T342" t="n">
        <v>2</v>
      </c>
      <c r="U342" t="n">
        <v>1</v>
      </c>
      <c r="V342" s="2" t="inlineStr">
        <is>
          <t>Blåsippa
Skogsödla</t>
        </is>
      </c>
      <c r="W342">
        <f>HYPERLINK("https://klasma.github.io/Logging_1764/artfynd/A 7931-2025 artfynd.xlsx", "A 7931-2025")</f>
        <v/>
      </c>
      <c r="X342">
        <f>HYPERLINK("https://klasma.github.io/Logging_1764/kartor/A 7931-2025 karta.png", "A 7931-2025")</f>
        <v/>
      </c>
      <c r="Y342">
        <f>HYPERLINK("https://klasma.github.io/Logging_1764/kartor_geotiff/A 7931-2025 georefererad karta.tif", "A 7931-2025")</f>
        <v/>
      </c>
      <c r="AA342">
        <f>HYPERLINK("https://klasma.github.io/Logging_1764/klagomål/A 7931-2025 FSC-klagomål.docx", "A 7931-2025")</f>
        <v/>
      </c>
      <c r="AB342">
        <f>HYPERLINK("https://klasma.github.io/Logging_1764/klagomålsmail/A 7931-2025 FSC-klagomål mail.docx", "A 7931-2025")</f>
        <v/>
      </c>
      <c r="AC342">
        <f>HYPERLINK("https://klasma.github.io/Logging_1764/tillsyn/A 7931-2025 tillsynsbegäran.docx", "A 7931-2025")</f>
        <v/>
      </c>
      <c r="AD342">
        <f>HYPERLINK("https://klasma.github.io/Logging_1764/tillsynsmail/A 7931-2025 tillsynsbegäran mail.docx", "A 7931-2025")</f>
        <v/>
      </c>
    </row>
    <row r="343" ht="15" customHeight="1">
      <c r="A343" t="inlineStr">
        <is>
          <t>A 23860-2023</t>
        </is>
      </c>
      <c r="B343" t="inlineStr">
        <is>
          <t>avverkningsanmälan</t>
        </is>
      </c>
      <c r="C343" t="inlineStr">
        <is>
          <t>Föryngringsavverkning</t>
        </is>
      </c>
      <c r="D343" s="1" t="n">
        <v>45078</v>
      </c>
      <c r="E343" s="1" t="n">
        <v>46307</v>
      </c>
      <c r="F343" t="inlineStr">
        <is>
          <t>VÄRMLANDS LÄN</t>
        </is>
      </c>
      <c r="G343" t="inlineStr">
        <is>
          <t>GRUMS</t>
        </is>
      </c>
      <c r="I343" t="n">
        <v>3.5</v>
      </c>
      <c r="J343" t="n">
        <v>1</v>
      </c>
      <c r="K343" t="n">
        <v>0</v>
      </c>
      <c r="L343" t="n">
        <v>2</v>
      </c>
      <c r="M343" t="n">
        <v>0</v>
      </c>
      <c r="N343" t="n">
        <v>0</v>
      </c>
      <c r="O343" t="n">
        <v>0</v>
      </c>
      <c r="P343" t="n">
        <v>0</v>
      </c>
      <c r="Q343" t="n">
        <v>2</v>
      </c>
      <c r="R343" t="n">
        <v>0</v>
      </c>
      <c r="S343" t="n">
        <v>2</v>
      </c>
      <c r="T343" t="n">
        <v>2</v>
      </c>
      <c r="U343" t="n">
        <v>2</v>
      </c>
      <c r="V343" s="2" t="inlineStr">
        <is>
          <t>Gullpudra
Gulsparv</t>
        </is>
      </c>
      <c r="W343">
        <f>HYPERLINK("https://klasma.github.io/Logging_1764/artfynd/A 23860-2023 artfynd.xlsx", "A 23860-2023")</f>
        <v/>
      </c>
      <c r="X343">
        <f>HYPERLINK("https://klasma.github.io/Logging_1764/kartor/A 23860-2023 karta.png", "A 23860-2023")</f>
        <v/>
      </c>
      <c r="Y343">
        <f>HYPERLINK("https://klasma.github.io/Logging_1764/kartor_geotiff/A 23860-2023 georefererad karta.tif", "A 23860-2023")</f>
        <v/>
      </c>
      <c r="AA343">
        <f>HYPERLINK("https://klasma.github.io/Logging_1764/klagomål/A 23860-2023 FSC-klagomål.docx", "A 23860-2023")</f>
        <v/>
      </c>
      <c r="AB343">
        <f>HYPERLINK("https://klasma.github.io/Logging_1764/klagomålsmail/A 23860-2023 FSC-klagomål mail.docx", "A 23860-2023")</f>
        <v/>
      </c>
      <c r="AC343">
        <f>HYPERLINK("https://klasma.github.io/Logging_1764/tillsyn/A 23860-2023 tillsynsbegäran.docx", "A 23860-2023")</f>
        <v/>
      </c>
      <c r="AD343">
        <f>HYPERLINK("https://klasma.github.io/Logging_1764/tillsynsmail/A 23860-2023 tillsynsbegäran mail.docx", "A 23860-2023")</f>
        <v/>
      </c>
      <c r="AE343">
        <f>HYPERLINK("https://klasma.github.io/Logging_1764/fåglar/A 23860-2023 prioriterade fågelarter.docx", "A 23860-2023")</f>
        <v/>
      </c>
    </row>
    <row r="344" ht="15" customHeight="1">
      <c r="A344" t="inlineStr">
        <is>
          <t>A 53611-2023</t>
        </is>
      </c>
      <c r="B344" t="inlineStr">
        <is>
          <t>avverkningsanmälan</t>
        </is>
      </c>
      <c r="C344" t="inlineStr">
        <is>
          <t>Föryngringsavverkning</t>
        </is>
      </c>
      <c r="D344" s="1" t="n">
        <v>45230</v>
      </c>
      <c r="E344" s="1" t="n">
        <v>46307</v>
      </c>
      <c r="F344" t="inlineStr">
        <is>
          <t>VÄRMLANDS LÄN</t>
        </is>
      </c>
      <c r="G344" t="inlineStr">
        <is>
          <t>ÅRJÄNG</t>
        </is>
      </c>
      <c r="I344" t="n">
        <v>12.3</v>
      </c>
      <c r="J344" t="n">
        <v>1</v>
      </c>
      <c r="K344" t="n">
        <v>1</v>
      </c>
      <c r="L344" t="n">
        <v>0</v>
      </c>
      <c r="M344" t="n">
        <v>0</v>
      </c>
      <c r="N344" t="n">
        <v>0</v>
      </c>
      <c r="O344" t="n">
        <v>0</v>
      </c>
      <c r="P344" t="n">
        <v>0</v>
      </c>
      <c r="Q344" t="n">
        <v>0</v>
      </c>
      <c r="R344" t="n">
        <v>0</v>
      </c>
      <c r="S344" t="n">
        <v>2</v>
      </c>
      <c r="T344" t="n">
        <v>2</v>
      </c>
      <c r="U344" t="n">
        <v>1</v>
      </c>
      <c r="V344" s="2" t="inlineStr">
        <is>
          <t>Purpurmylia
Smålom</t>
        </is>
      </c>
      <c r="W344">
        <f>HYPERLINK("https://klasma.github.io/Logging_1765/artfynd/A 53611-2023 artfynd.xlsx", "A 53611-2023")</f>
        <v/>
      </c>
      <c r="X344">
        <f>HYPERLINK("https://klasma.github.io/Logging_1765/kartor/A 53611-2023 karta.png", "A 53611-2023")</f>
        <v/>
      </c>
      <c r="Y344">
        <f>HYPERLINK("https://klasma.github.io/Logging_1765/kartor_geotiff/A 53611-2023 georefererad karta.tif", "A 53611-2023")</f>
        <v/>
      </c>
      <c r="AA344">
        <f>HYPERLINK("https://klasma.github.io/Logging_1765/klagomål/A 53611-2023 FSC-klagomål.docx", "A 53611-2023")</f>
        <v/>
      </c>
      <c r="AB344">
        <f>HYPERLINK("https://klasma.github.io/Logging_1765/klagomålsmail/A 53611-2023 FSC-klagomål mail.docx", "A 53611-2023")</f>
        <v/>
      </c>
      <c r="AC344">
        <f>HYPERLINK("https://klasma.github.io/Logging_1765/tillsyn/A 53611-2023 tillsynsbegäran.docx", "A 53611-2023")</f>
        <v/>
      </c>
      <c r="AD344">
        <f>HYPERLINK("https://klasma.github.io/Logging_1765/tillsynsmail/A 53611-2023 tillsynsbegäran mail.docx", "A 53611-2023")</f>
        <v/>
      </c>
      <c r="AE344">
        <f>HYPERLINK("https://klasma.github.io/Logging_1765/fåglar/A 53611-2023 prioriterade fågelarter.docx", "A 53611-2023")</f>
        <v/>
      </c>
    </row>
    <row r="345" ht="15" customHeight="1">
      <c r="A345" t="inlineStr">
        <is>
          <t>A 45178-2023</t>
        </is>
      </c>
      <c r="B345" t="inlineStr">
        <is>
          <t>avverkningsanmälan</t>
        </is>
      </c>
      <c r="C345" t="inlineStr">
        <is>
          <t>Föryngringsavverkning</t>
        </is>
      </c>
      <c r="D345" s="1" t="n">
        <v>45191</v>
      </c>
      <c r="E345" s="1" t="n">
        <v>46307</v>
      </c>
      <c r="F345" t="inlineStr">
        <is>
          <t>VÄRMLANDS LÄN</t>
        </is>
      </c>
      <c r="G345" t="inlineStr">
        <is>
          <t>ARVIKA</t>
        </is>
      </c>
      <c r="I345" t="n">
        <v>4.2</v>
      </c>
      <c r="J345" t="n">
        <v>2</v>
      </c>
      <c r="K345" t="n">
        <v>0</v>
      </c>
      <c r="L345" t="n">
        <v>0</v>
      </c>
      <c r="M345" t="n">
        <v>0</v>
      </c>
      <c r="N345" t="n">
        <v>1</v>
      </c>
      <c r="O345" t="n">
        <v>0</v>
      </c>
      <c r="P345" t="n">
        <v>0</v>
      </c>
      <c r="Q345" t="n">
        <v>1</v>
      </c>
      <c r="R345" t="n">
        <v>1</v>
      </c>
      <c r="S345" t="n">
        <v>2</v>
      </c>
      <c r="T345" t="n">
        <v>2</v>
      </c>
      <c r="U345" t="n">
        <v>2</v>
      </c>
      <c r="V345" s="2" t="inlineStr">
        <is>
          <t>Pärluggla
Spillkråka</t>
        </is>
      </c>
      <c r="W345">
        <f>HYPERLINK("https://klasma.github.io/Logging_1784/artfynd/A 45178-2023 artfynd.xlsx", "A 45178-2023")</f>
        <v/>
      </c>
      <c r="X345">
        <f>HYPERLINK("https://klasma.github.io/Logging_1784/kartor/A 45178-2023 karta.png", "A 45178-2023")</f>
        <v/>
      </c>
      <c r="Y345">
        <f>HYPERLINK("https://klasma.github.io/Logging_1784/kartor_geotiff/A 45178-2023 georefererad karta.tif", "A 45178-2023")</f>
        <v/>
      </c>
      <c r="AA345">
        <f>HYPERLINK("https://klasma.github.io/Logging_1784/klagomål/A 45178-2023 FSC-klagomål.docx", "A 45178-2023")</f>
        <v/>
      </c>
      <c r="AB345">
        <f>HYPERLINK("https://klasma.github.io/Logging_1784/klagomålsmail/A 45178-2023 FSC-klagomål mail.docx", "A 45178-2023")</f>
        <v/>
      </c>
      <c r="AC345">
        <f>HYPERLINK("https://klasma.github.io/Logging_1784/tillsyn/A 45178-2023 tillsynsbegäran.docx", "A 45178-2023")</f>
        <v/>
      </c>
      <c r="AD345">
        <f>HYPERLINK("https://klasma.github.io/Logging_1784/tillsynsmail/A 45178-2023 tillsynsbegäran mail.docx", "A 45178-2023")</f>
        <v/>
      </c>
      <c r="AE345">
        <f>HYPERLINK("https://klasma.github.io/Logging_1784/fåglar/A 45178-2023 prioriterade fågelarter.docx", "A 45178-2023")</f>
        <v/>
      </c>
    </row>
    <row r="346" ht="15" customHeight="1">
      <c r="A346" t="inlineStr">
        <is>
          <t>A 59639-2021</t>
        </is>
      </c>
      <c r="B346" t="inlineStr">
        <is>
          <t>avverkningsanmälan</t>
        </is>
      </c>
      <c r="C346" t="inlineStr">
        <is>
          <t>Föryngringsavverkning</t>
        </is>
      </c>
      <c r="D346" s="1" t="n">
        <v>44493</v>
      </c>
      <c r="E346" s="1" t="n">
        <v>46307</v>
      </c>
      <c r="F346" t="inlineStr">
        <is>
          <t>VÄRMLANDS LÄN</t>
        </is>
      </c>
      <c r="G346" t="inlineStr">
        <is>
          <t>KARLSTAD</t>
        </is>
      </c>
      <c r="I346" t="n">
        <v>4.1</v>
      </c>
      <c r="J346" t="n">
        <v>0</v>
      </c>
      <c r="K346" t="n">
        <v>1</v>
      </c>
      <c r="L346" t="n">
        <v>1</v>
      </c>
      <c r="M346" t="n">
        <v>0</v>
      </c>
      <c r="N346" t="n">
        <v>0</v>
      </c>
      <c r="O346" t="n">
        <v>0</v>
      </c>
      <c r="P346" t="n">
        <v>0</v>
      </c>
      <c r="Q346" t="n">
        <v>1</v>
      </c>
      <c r="R346" t="n">
        <v>0</v>
      </c>
      <c r="S346" t="n">
        <v>2</v>
      </c>
      <c r="T346" t="n">
        <v>2</v>
      </c>
      <c r="U346" t="n">
        <v>1</v>
      </c>
      <c r="V346" s="2" t="inlineStr">
        <is>
          <t>Gullpudra
Dvärghäxört</t>
        </is>
      </c>
      <c r="W346">
        <f>HYPERLINK("https://klasma.github.io/Logging_1780/artfynd/A 59639-2021 artfynd.xlsx", "A 59639-2021")</f>
        <v/>
      </c>
      <c r="X346">
        <f>HYPERLINK("https://klasma.github.io/Logging_1780/kartor/A 59639-2021 karta.png", "A 59639-2021")</f>
        <v/>
      </c>
      <c r="Y346">
        <f>HYPERLINK("https://klasma.github.io/Logging_1780/kartor_geotiff/A 59639-2021 georefererad karta.tif", "A 59639-2021")</f>
        <v/>
      </c>
      <c r="AA346">
        <f>HYPERLINK("https://klasma.github.io/Logging_1780/klagomål/A 59639-2021 FSC-klagomål.docx", "A 59639-2021")</f>
        <v/>
      </c>
      <c r="AB346">
        <f>HYPERLINK("https://klasma.github.io/Logging_1780/klagomålsmail/A 59639-2021 FSC-klagomål mail.docx", "A 59639-2021")</f>
        <v/>
      </c>
      <c r="AC346">
        <f>HYPERLINK("https://klasma.github.io/Logging_1780/tillsyn/A 59639-2021 tillsynsbegäran.docx", "A 59639-2021")</f>
        <v/>
      </c>
      <c r="AD346">
        <f>HYPERLINK("https://klasma.github.io/Logging_1780/tillsynsmail/A 59639-2021 tillsynsbegäran mail.docx", "A 59639-2021")</f>
        <v/>
      </c>
    </row>
    <row r="347" ht="15" customHeight="1">
      <c r="A347" t="inlineStr">
        <is>
          <t>A 2386-2024</t>
        </is>
      </c>
      <c r="B347" t="inlineStr">
        <is>
          <t>avverkningsanmälan</t>
        </is>
      </c>
      <c r="C347" t="inlineStr">
        <is>
          <t>Föryngringsavverkning</t>
        </is>
      </c>
      <c r="D347" s="1" t="n">
        <v>45310</v>
      </c>
      <c r="E347" s="1" t="n">
        <v>46307</v>
      </c>
      <c r="F347" t="inlineStr">
        <is>
          <t>VÄRMLANDS LÄN</t>
        </is>
      </c>
      <c r="G347" t="inlineStr">
        <is>
          <t>EDA</t>
        </is>
      </c>
      <c r="I347" t="n">
        <v>1.5</v>
      </c>
      <c r="J347" t="n">
        <v>1</v>
      </c>
      <c r="K347" t="n">
        <v>0</v>
      </c>
      <c r="L347" t="n">
        <v>0</v>
      </c>
      <c r="M347" t="n">
        <v>1</v>
      </c>
      <c r="N347" t="n">
        <v>0</v>
      </c>
      <c r="O347" t="n">
        <v>0</v>
      </c>
      <c r="P347" t="n">
        <v>0</v>
      </c>
      <c r="Q347" t="n">
        <v>1</v>
      </c>
      <c r="R347" t="n">
        <v>1</v>
      </c>
      <c r="S347" t="n">
        <v>2</v>
      </c>
      <c r="T347" t="n">
        <v>2</v>
      </c>
      <c r="U347" t="n">
        <v>0</v>
      </c>
      <c r="V347" s="2" t="inlineStr">
        <is>
          <t>Garnlav
Blåsippa</t>
        </is>
      </c>
      <c r="W347">
        <f>HYPERLINK("https://klasma.github.io/Logging_1730/artfynd/A 2386-2024 artfynd.xlsx", "A 2386-2024")</f>
        <v/>
      </c>
      <c r="X347">
        <f>HYPERLINK("https://klasma.github.io/Logging_1730/kartor/A 2386-2024 karta.png", "A 2386-2024")</f>
        <v/>
      </c>
      <c r="Y347">
        <f>HYPERLINK("https://klasma.github.io/Logging_1730/kartor_geotiff/A 2386-2024 georefererad karta.tif", "A 2386-2024")</f>
        <v/>
      </c>
      <c r="AA347">
        <f>HYPERLINK("https://klasma.github.io/Logging_1730/klagomål/A 2386-2024 FSC-klagomål.docx", "A 2386-2024")</f>
        <v/>
      </c>
      <c r="AB347">
        <f>HYPERLINK("https://klasma.github.io/Logging_1730/klagomålsmail/A 2386-2024 FSC-klagomål mail.docx", "A 2386-2024")</f>
        <v/>
      </c>
      <c r="AC347">
        <f>HYPERLINK("https://klasma.github.io/Logging_1730/tillsyn/A 2386-2024 tillsynsbegäran.docx", "A 2386-2024")</f>
        <v/>
      </c>
      <c r="AD347">
        <f>HYPERLINK("https://klasma.github.io/Logging_1730/tillsynsmail/A 2386-2024 tillsynsbegäran mail.docx", "A 2386-2024")</f>
        <v/>
      </c>
    </row>
    <row r="348" ht="15" customHeight="1">
      <c r="A348" t="inlineStr">
        <is>
          <t>A 33906-2025</t>
        </is>
      </c>
      <c r="B348" t="inlineStr">
        <is>
          <t>avverkningsanmälan</t>
        </is>
      </c>
      <c r="C348" t="inlineStr">
        <is>
          <t>Föryngringsavverkning</t>
        </is>
      </c>
      <c r="D348" s="1" t="n">
        <v>45842</v>
      </c>
      <c r="E348" s="1" t="n">
        <v>46307</v>
      </c>
      <c r="F348" t="inlineStr">
        <is>
          <t>VÄRMLANDS LÄN</t>
        </is>
      </c>
      <c r="G348" t="inlineStr">
        <is>
          <t>TORSBY</t>
        </is>
      </c>
      <c r="I348" t="n">
        <v>11.5</v>
      </c>
      <c r="J348" t="n">
        <v>0</v>
      </c>
      <c r="K348" t="n">
        <v>1</v>
      </c>
      <c r="L348" t="n">
        <v>0</v>
      </c>
      <c r="M348" t="n">
        <v>1</v>
      </c>
      <c r="N348" t="n">
        <v>0</v>
      </c>
      <c r="O348" t="n">
        <v>0</v>
      </c>
      <c r="P348" t="n">
        <v>0</v>
      </c>
      <c r="Q348" t="n">
        <v>1</v>
      </c>
      <c r="R348" t="n">
        <v>1</v>
      </c>
      <c r="S348" t="n">
        <v>2</v>
      </c>
      <c r="T348" t="n">
        <v>2</v>
      </c>
      <c r="U348" t="n">
        <v>0</v>
      </c>
      <c r="V348" s="2" t="inlineStr">
        <is>
          <t>Garnlav
Korallblylav</t>
        </is>
      </c>
      <c r="W348">
        <f>HYPERLINK("https://klasma.github.io/Logging_1737/artfynd/A 33906-2025 artfynd.xlsx", "A 33906-2025")</f>
        <v/>
      </c>
      <c r="X348">
        <f>HYPERLINK("https://klasma.github.io/Logging_1737/kartor/A 33906-2025 karta.png", "A 33906-2025")</f>
        <v/>
      </c>
      <c r="Y348">
        <f>HYPERLINK("https://klasma.github.io/Logging_1737/kartor_geotiff/A 33906-2025 georefererad karta.tif", "A 33906-2025")</f>
        <v/>
      </c>
      <c r="AA348">
        <f>HYPERLINK("https://klasma.github.io/Logging_1737/klagomål/A 33906-2025 FSC-klagomål.docx", "A 33906-2025")</f>
        <v/>
      </c>
      <c r="AB348">
        <f>HYPERLINK("https://klasma.github.io/Logging_1737/klagomålsmail/A 33906-2025 FSC-klagomål mail.docx", "A 33906-2025")</f>
        <v/>
      </c>
      <c r="AC348">
        <f>HYPERLINK("https://klasma.github.io/Logging_1737/tillsyn/A 33906-2025 tillsynsbegäran.docx", "A 33906-2025")</f>
        <v/>
      </c>
      <c r="AD348">
        <f>HYPERLINK("https://klasma.github.io/Logging_1737/tillsynsmail/A 33906-2025 tillsynsbegäran mail.docx", "A 33906-2025")</f>
        <v/>
      </c>
    </row>
    <row r="349" ht="15" customHeight="1">
      <c r="A349" t="inlineStr">
        <is>
          <t>A 16139-2025</t>
        </is>
      </c>
      <c r="B349" t="inlineStr">
        <is>
          <t>avverkningsanmälan</t>
        </is>
      </c>
      <c r="C349" t="inlineStr">
        <is>
          <t>Föryngringsavverkning</t>
        </is>
      </c>
      <c r="D349" s="1" t="n">
        <v>45750</v>
      </c>
      <c r="E349" s="1" t="n">
        <v>46307</v>
      </c>
      <c r="F349" t="inlineStr">
        <is>
          <t>VÄRMLANDS LÄN</t>
        </is>
      </c>
      <c r="G349" t="inlineStr">
        <is>
          <t>FILIPSTAD</t>
        </is>
      </c>
      <c r="I349" t="n">
        <v>18.2</v>
      </c>
      <c r="J349" t="n">
        <v>0</v>
      </c>
      <c r="K349" t="n">
        <v>1</v>
      </c>
      <c r="L349" t="n">
        <v>0</v>
      </c>
      <c r="M349" t="n">
        <v>1</v>
      </c>
      <c r="N349" t="n">
        <v>0</v>
      </c>
      <c r="O349" t="n">
        <v>0</v>
      </c>
      <c r="P349" t="n">
        <v>0</v>
      </c>
      <c r="Q349" t="n">
        <v>1</v>
      </c>
      <c r="R349" t="n">
        <v>1</v>
      </c>
      <c r="S349" t="n">
        <v>2</v>
      </c>
      <c r="T349" t="n">
        <v>2</v>
      </c>
      <c r="U349" t="n">
        <v>0</v>
      </c>
      <c r="V349" s="2" t="inlineStr">
        <is>
          <t>Garnlav
Bronshjon</t>
        </is>
      </c>
      <c r="W349">
        <f>HYPERLINK("https://klasma.github.io/Logging_1782/artfynd/A 16139-2025 artfynd.xlsx", "A 16139-2025")</f>
        <v/>
      </c>
      <c r="X349">
        <f>HYPERLINK("https://klasma.github.io/Logging_1782/kartor/A 16139-2025 karta.png", "A 16139-2025")</f>
        <v/>
      </c>
      <c r="Y349">
        <f>HYPERLINK("https://klasma.github.io/Logging_1782/kartor_geotiff/A 16139-2025 georefererad karta.tif", "A 16139-2025")</f>
        <v/>
      </c>
      <c r="AA349">
        <f>HYPERLINK("https://klasma.github.io/Logging_1782/klagomål/A 16139-2025 FSC-klagomål.docx", "A 16139-2025")</f>
        <v/>
      </c>
      <c r="AB349">
        <f>HYPERLINK("https://klasma.github.io/Logging_1782/klagomålsmail/A 16139-2025 FSC-klagomål mail.docx", "A 16139-2025")</f>
        <v/>
      </c>
      <c r="AC349">
        <f>HYPERLINK("https://klasma.github.io/Logging_1782/tillsyn/A 16139-2025 tillsynsbegäran.docx", "A 16139-2025")</f>
        <v/>
      </c>
      <c r="AD349">
        <f>HYPERLINK("https://klasma.github.io/Logging_1782/tillsynsmail/A 16139-2025 tillsynsbegäran mail.docx", "A 16139-2025")</f>
        <v/>
      </c>
    </row>
    <row r="350" ht="15" customHeight="1">
      <c r="A350" t="inlineStr">
        <is>
          <t>A 9499-2024</t>
        </is>
      </c>
      <c r="B350" t="inlineStr">
        <is>
          <t>avverkningsanmälan</t>
        </is>
      </c>
      <c r="C350" t="inlineStr">
        <is>
          <t>Föryngringsavverkning</t>
        </is>
      </c>
      <c r="D350" s="1" t="n">
        <v>45359</v>
      </c>
      <c r="E350" s="1" t="n">
        <v>46307</v>
      </c>
      <c r="F350" t="inlineStr">
        <is>
          <t>VÄRMLANDS LÄN</t>
        </is>
      </c>
      <c r="G350" t="inlineStr">
        <is>
          <t>KARLSTAD</t>
        </is>
      </c>
      <c r="I350" t="n">
        <v>5</v>
      </c>
      <c r="J350" t="n">
        <v>2</v>
      </c>
      <c r="K350" t="n">
        <v>0</v>
      </c>
      <c r="L350" t="n">
        <v>0</v>
      </c>
      <c r="M350" t="n">
        <v>0</v>
      </c>
      <c r="N350" t="n">
        <v>0</v>
      </c>
      <c r="O350" t="n">
        <v>0</v>
      </c>
      <c r="P350" t="n">
        <v>0</v>
      </c>
      <c r="Q350" t="n">
        <v>0</v>
      </c>
      <c r="R350" t="n">
        <v>0</v>
      </c>
      <c r="S350" t="n">
        <v>2</v>
      </c>
      <c r="T350" t="n">
        <v>4</v>
      </c>
      <c r="U350" t="n">
        <v>0</v>
      </c>
      <c r="V350" s="2" t="inlineStr">
        <is>
          <t>Grönsiska
Kungsfågel</t>
        </is>
      </c>
      <c r="W350">
        <f>HYPERLINK("https://klasma.github.io/Logging_1780/artfynd/A 9499-2024 artfynd.xlsx", "A 9499-2024")</f>
        <v/>
      </c>
      <c r="X350">
        <f>HYPERLINK("https://klasma.github.io/Logging_1780/kartor/A 9499-2024 karta.png", "A 9499-2024")</f>
        <v/>
      </c>
      <c r="Y350">
        <f>HYPERLINK("https://klasma.github.io/Logging_1780/kartor_geotiff/A 9499-2024 georefererad karta.tif", "A 9499-2024")</f>
        <v/>
      </c>
      <c r="AA350">
        <f>HYPERLINK("https://klasma.github.io/Logging_1780/klagomål/A 9499-2024 FSC-klagomål.docx", "A 9499-2024")</f>
        <v/>
      </c>
      <c r="AB350">
        <f>HYPERLINK("https://klasma.github.io/Logging_1780/klagomålsmail/A 9499-2024 FSC-klagomål mail.docx", "A 9499-2024")</f>
        <v/>
      </c>
      <c r="AC350">
        <f>HYPERLINK("https://klasma.github.io/Logging_1780/tillsyn/A 9499-2024 tillsynsbegäran.docx", "A 9499-2024")</f>
        <v/>
      </c>
      <c r="AD350">
        <f>HYPERLINK("https://klasma.github.io/Logging_1780/tillsynsmail/A 9499-2024 tillsynsbegäran mail.docx", "A 9499-2024")</f>
        <v/>
      </c>
    </row>
    <row r="351" ht="15" customHeight="1">
      <c r="A351" t="inlineStr">
        <is>
          <t>A 66053-2021</t>
        </is>
      </c>
      <c r="B351" t="inlineStr">
        <is>
          <t>avverkningsanmälan</t>
        </is>
      </c>
      <c r="C351" t="inlineStr">
        <is>
          <t>Föryngringsavverkning</t>
        </is>
      </c>
      <c r="D351" s="1" t="n">
        <v>44517</v>
      </c>
      <c r="E351" s="1" t="n">
        <v>46307</v>
      </c>
      <c r="F351" t="inlineStr">
        <is>
          <t>VÄRMLANDS LÄN</t>
        </is>
      </c>
      <c r="G351" t="inlineStr">
        <is>
          <t>GRUMS</t>
        </is>
      </c>
      <c r="I351" t="n">
        <v>1.4</v>
      </c>
      <c r="J351" t="n">
        <v>0</v>
      </c>
      <c r="K351" t="n">
        <v>2</v>
      </c>
      <c r="L351" t="n">
        <v>0</v>
      </c>
      <c r="M351" t="n">
        <v>0</v>
      </c>
      <c r="N351" t="n">
        <v>0</v>
      </c>
      <c r="O351" t="n">
        <v>0</v>
      </c>
      <c r="P351" t="n">
        <v>0</v>
      </c>
      <c r="Q351" t="n">
        <v>0</v>
      </c>
      <c r="R351" t="n">
        <v>0</v>
      </c>
      <c r="S351" t="n">
        <v>2</v>
      </c>
      <c r="T351" t="n">
        <v>6</v>
      </c>
      <c r="U351" t="n">
        <v>6</v>
      </c>
      <c r="V351" s="2" t="inlineStr">
        <is>
          <t>Björksplintborre
Bronshjon</t>
        </is>
      </c>
      <c r="W351">
        <f>HYPERLINK("https://klasma.github.io/Logging_1764/artfynd/A 66053-2021 artfynd.xlsx", "A 66053-2021")</f>
        <v/>
      </c>
      <c r="X351">
        <f>HYPERLINK("https://klasma.github.io/Logging_1764/kartor/A 66053-2021 karta.png", "A 66053-2021")</f>
        <v/>
      </c>
      <c r="Y351">
        <f>HYPERLINK("https://klasma.github.io/Logging_1764/kartor_geotiff/A 66053-2021 georefererad karta.tif", "A 66053-2021")</f>
        <v/>
      </c>
      <c r="AA351">
        <f>HYPERLINK("https://klasma.github.io/Logging_1764/klagomål/A 66053-2021 FSC-klagomål.docx", "A 66053-2021")</f>
        <v/>
      </c>
      <c r="AB351">
        <f>HYPERLINK("https://klasma.github.io/Logging_1764/klagomålsmail/A 66053-2021 FSC-klagomål mail.docx", "A 66053-2021")</f>
        <v/>
      </c>
      <c r="AC351">
        <f>HYPERLINK("https://klasma.github.io/Logging_1764/tillsyn/A 66053-2021 tillsynsbegäran.docx", "A 66053-2021")</f>
        <v/>
      </c>
      <c r="AD351">
        <f>HYPERLINK("https://klasma.github.io/Logging_1764/tillsynsmail/A 66053-2021 tillsynsbegäran mail.docx", "A 66053-2021")</f>
        <v/>
      </c>
    </row>
    <row r="352" ht="15" customHeight="1">
      <c r="A352" t="inlineStr">
        <is>
          <t>A 41113-2025</t>
        </is>
      </c>
      <c r="B352" t="inlineStr">
        <is>
          <t>avverkningsanmälan</t>
        </is>
      </c>
      <c r="C352" t="inlineStr">
        <is>
          <t>Föryngringsavverkning</t>
        </is>
      </c>
      <c r="D352" s="1" t="n">
        <v>45898</v>
      </c>
      <c r="E352" s="1" t="n">
        <v>46307</v>
      </c>
      <c r="F352" t="inlineStr">
        <is>
          <t>VÄRMLANDS LÄN</t>
        </is>
      </c>
      <c r="G352" t="inlineStr">
        <is>
          <t>GRUMS</t>
        </is>
      </c>
      <c r="I352" t="n">
        <v>4.2</v>
      </c>
      <c r="J352" t="n">
        <v>1</v>
      </c>
      <c r="K352" t="n">
        <v>0</v>
      </c>
      <c r="L352" t="n">
        <v>1</v>
      </c>
      <c r="M352" t="n">
        <v>0</v>
      </c>
      <c r="N352" t="n">
        <v>0</v>
      </c>
      <c r="O352" t="n">
        <v>0</v>
      </c>
      <c r="P352" t="n">
        <v>0</v>
      </c>
      <c r="Q352" t="n">
        <v>1</v>
      </c>
      <c r="R352" t="n">
        <v>0</v>
      </c>
      <c r="S352" t="n">
        <v>2</v>
      </c>
      <c r="T352" t="n">
        <v>3</v>
      </c>
      <c r="U352" t="n">
        <v>3</v>
      </c>
      <c r="V352" s="2" t="inlineStr">
        <is>
          <t>Violmussling
Tofsmes</t>
        </is>
      </c>
      <c r="W352">
        <f>HYPERLINK("https://klasma.github.io/Logging_1764/artfynd/A 41113-2025 artfynd.xlsx", "A 41113-2025")</f>
        <v/>
      </c>
      <c r="X352">
        <f>HYPERLINK("https://klasma.github.io/Logging_1764/kartor/A 41113-2025 karta.png", "A 41113-2025")</f>
        <v/>
      </c>
      <c r="Y352">
        <f>HYPERLINK("https://klasma.github.io/Logging_1764/kartor_geotiff/A 41113-2025 georefererad karta.tif", "A 41113-2025")</f>
        <v/>
      </c>
      <c r="AA352">
        <f>HYPERLINK("https://klasma.github.io/Logging_1764/klagomål/A 41113-2025 FSC-klagomål.docx", "A 41113-2025")</f>
        <v/>
      </c>
      <c r="AB352">
        <f>HYPERLINK("https://klasma.github.io/Logging_1764/klagomålsmail/A 41113-2025 FSC-klagomål mail.docx", "A 41113-2025")</f>
        <v/>
      </c>
      <c r="AC352">
        <f>HYPERLINK("https://klasma.github.io/Logging_1764/tillsyn/A 41113-2025 tillsynsbegäran.docx", "A 41113-2025")</f>
        <v/>
      </c>
      <c r="AD352">
        <f>HYPERLINK("https://klasma.github.io/Logging_1764/tillsynsmail/A 41113-2025 tillsynsbegäran mail.docx", "A 41113-2025")</f>
        <v/>
      </c>
    </row>
    <row r="353" ht="15" customHeight="1">
      <c r="A353" t="inlineStr">
        <is>
          <t>A 42316-2025</t>
        </is>
      </c>
      <c r="B353" t="inlineStr">
        <is>
          <t>avverkningsanmälan</t>
        </is>
      </c>
      <c r="C353" t="inlineStr">
        <is>
          <t>Föryngringsavverkning</t>
        </is>
      </c>
      <c r="D353" s="1" t="n">
        <v>45902</v>
      </c>
      <c r="E353" s="1" t="n">
        <v>46307</v>
      </c>
      <c r="F353" t="inlineStr">
        <is>
          <t>VÄRMLANDS LÄN</t>
        </is>
      </c>
      <c r="G353" t="inlineStr">
        <is>
          <t>SÄFFLE</t>
        </is>
      </c>
      <c r="I353" t="n">
        <v>11.8</v>
      </c>
      <c r="J353" t="n">
        <v>0</v>
      </c>
      <c r="K353" t="n">
        <v>0</v>
      </c>
      <c r="L353" t="n">
        <v>2</v>
      </c>
      <c r="M353" t="n">
        <v>0</v>
      </c>
      <c r="N353" t="n">
        <v>0</v>
      </c>
      <c r="O353" t="n">
        <v>0</v>
      </c>
      <c r="P353" t="n">
        <v>0</v>
      </c>
      <c r="Q353" t="n">
        <v>2</v>
      </c>
      <c r="R353" t="n">
        <v>0</v>
      </c>
      <c r="S353" t="n">
        <v>2</v>
      </c>
      <c r="T353" t="n">
        <v>2</v>
      </c>
      <c r="U353" t="n">
        <v>0</v>
      </c>
      <c r="V353" s="2" t="inlineStr">
        <is>
          <t>Gullklöver
Iller</t>
        </is>
      </c>
      <c r="W353">
        <f>HYPERLINK("https://klasma.github.io/Logging_1785/artfynd/A 42316-2025 artfynd.xlsx", "A 42316-2025")</f>
        <v/>
      </c>
      <c r="X353">
        <f>HYPERLINK("https://klasma.github.io/Logging_1785/kartor/A 42316-2025 karta.png", "A 42316-2025")</f>
        <v/>
      </c>
      <c r="Y353">
        <f>HYPERLINK("https://klasma.github.io/Logging_1785/kartor_geotiff/A 42316-2025 georefererad karta.tif", "A 42316-2025")</f>
        <v/>
      </c>
      <c r="AA353">
        <f>HYPERLINK("https://klasma.github.io/Logging_1785/klagomål/A 42316-2025 FSC-klagomål.docx", "A 42316-2025")</f>
        <v/>
      </c>
      <c r="AB353">
        <f>HYPERLINK("https://klasma.github.io/Logging_1785/klagomålsmail/A 42316-2025 FSC-klagomål mail.docx", "A 42316-2025")</f>
        <v/>
      </c>
      <c r="AC353">
        <f>HYPERLINK("https://klasma.github.io/Logging_1785/tillsyn/A 42316-2025 tillsynsbegäran.docx", "A 42316-2025")</f>
        <v/>
      </c>
      <c r="AD353">
        <f>HYPERLINK("https://klasma.github.io/Logging_1785/tillsynsmail/A 42316-2025 tillsynsbegäran mail.docx", "A 42316-2025")</f>
        <v/>
      </c>
    </row>
    <row r="354" ht="15" customHeight="1">
      <c r="A354" t="inlineStr">
        <is>
          <t>A 45523-2022</t>
        </is>
      </c>
      <c r="B354" t="inlineStr">
        <is>
          <t>avverkningsanmälan</t>
        </is>
      </c>
      <c r="C354" t="inlineStr">
        <is>
          <t>Föryngringsavverkning</t>
        </is>
      </c>
      <c r="D354" s="1" t="n">
        <v>44845</v>
      </c>
      <c r="E354" s="1" t="n">
        <v>46307</v>
      </c>
      <c r="F354" t="inlineStr">
        <is>
          <t>VÄRMLANDS LÄN</t>
        </is>
      </c>
      <c r="G354" t="inlineStr">
        <is>
          <t>FILIPSTAD</t>
        </is>
      </c>
      <c r="I354" t="n">
        <v>7.7</v>
      </c>
      <c r="J354" t="n">
        <v>0</v>
      </c>
      <c r="K354" t="n">
        <v>2</v>
      </c>
      <c r="L354" t="n">
        <v>0</v>
      </c>
      <c r="M354" t="n">
        <v>0</v>
      </c>
      <c r="N354" t="n">
        <v>0</v>
      </c>
      <c r="O354" t="n">
        <v>0</v>
      </c>
      <c r="P354" t="n">
        <v>0</v>
      </c>
      <c r="Q354" t="n">
        <v>0</v>
      </c>
      <c r="R354" t="n">
        <v>0</v>
      </c>
      <c r="S354" t="n">
        <v>2</v>
      </c>
      <c r="T354" t="n">
        <v>2</v>
      </c>
      <c r="U354" t="n">
        <v>1</v>
      </c>
      <c r="V354" s="2" t="inlineStr">
        <is>
          <t>Bronshjon
Korallblylav</t>
        </is>
      </c>
      <c r="W354">
        <f>HYPERLINK("https://klasma.github.io/Logging_1782/artfynd/A 45523-2022 artfynd.xlsx", "A 45523-2022")</f>
        <v/>
      </c>
      <c r="X354">
        <f>HYPERLINK("https://klasma.github.io/Logging_1782/kartor/A 45523-2022 karta.png", "A 45523-2022")</f>
        <v/>
      </c>
      <c r="Y354">
        <f>HYPERLINK("https://klasma.github.io/Logging_1782/kartor_geotiff/A 45523-2022 georefererad karta.tif", "A 45523-2022")</f>
        <v/>
      </c>
      <c r="AA354">
        <f>HYPERLINK("https://klasma.github.io/Logging_1782/klagomål/A 45523-2022 FSC-klagomål.docx", "A 45523-2022")</f>
        <v/>
      </c>
      <c r="AB354">
        <f>HYPERLINK("https://klasma.github.io/Logging_1782/klagomålsmail/A 45523-2022 FSC-klagomål mail.docx", "A 45523-2022")</f>
        <v/>
      </c>
      <c r="AC354">
        <f>HYPERLINK("https://klasma.github.io/Logging_1782/tillsyn/A 45523-2022 tillsynsbegäran.docx", "A 45523-2022")</f>
        <v/>
      </c>
      <c r="AD354">
        <f>HYPERLINK("https://klasma.github.io/Logging_1782/tillsynsmail/A 45523-2022 tillsynsbegäran mail.docx", "A 45523-2022")</f>
        <v/>
      </c>
    </row>
    <row r="355" ht="15" customHeight="1">
      <c r="A355" t="inlineStr">
        <is>
          <t>A 58238-2024</t>
        </is>
      </c>
      <c r="B355" t="inlineStr">
        <is>
          <t>avverkningsanmälan</t>
        </is>
      </c>
      <c r="C355" t="inlineStr">
        <is>
          <t>Föryngringsavverkning</t>
        </is>
      </c>
      <c r="D355" s="1" t="n">
        <v>45632</v>
      </c>
      <c r="E355" s="1" t="n">
        <v>46307</v>
      </c>
      <c r="F355" t="inlineStr">
        <is>
          <t>VÄRMLANDS LÄN</t>
        </is>
      </c>
      <c r="G355" t="inlineStr">
        <is>
          <t>ÅRJÄNG</t>
        </is>
      </c>
      <c r="I355" t="n">
        <v>4.1</v>
      </c>
      <c r="J355" t="n">
        <v>2</v>
      </c>
      <c r="K355" t="n">
        <v>0</v>
      </c>
      <c r="L355" t="n">
        <v>0</v>
      </c>
      <c r="M355" t="n">
        <v>0</v>
      </c>
      <c r="N355" t="n">
        <v>0</v>
      </c>
      <c r="O355" t="n">
        <v>0</v>
      </c>
      <c r="P355" t="n">
        <v>0</v>
      </c>
      <c r="Q355" t="n">
        <v>0</v>
      </c>
      <c r="R355" t="n">
        <v>0</v>
      </c>
      <c r="S355" t="n">
        <v>2</v>
      </c>
      <c r="T355" t="n">
        <v>2</v>
      </c>
      <c r="U355" t="n">
        <v>0</v>
      </c>
      <c r="V355" s="2" t="inlineStr">
        <is>
          <t>Revlummer
Äkta lopplummer</t>
        </is>
      </c>
      <c r="W355">
        <f>HYPERLINK("https://klasma.github.io/Logging_1765/artfynd/A 58238-2024 artfynd.xlsx", "A 58238-2024")</f>
        <v/>
      </c>
      <c r="X355">
        <f>HYPERLINK("https://klasma.github.io/Logging_1765/kartor/A 58238-2024 karta.png", "A 58238-2024")</f>
        <v/>
      </c>
      <c r="Y355">
        <f>HYPERLINK("https://klasma.github.io/Logging_1765/kartor_geotiff/A 58238-2024 georefererad karta.tif", "A 58238-2024")</f>
        <v/>
      </c>
      <c r="AA355">
        <f>HYPERLINK("https://klasma.github.io/Logging_1765/klagomål/A 58238-2024 FSC-klagomål.docx", "A 58238-2024")</f>
        <v/>
      </c>
      <c r="AB355">
        <f>HYPERLINK("https://klasma.github.io/Logging_1765/klagomålsmail/A 58238-2024 FSC-klagomål mail.docx", "A 58238-2024")</f>
        <v/>
      </c>
      <c r="AC355">
        <f>HYPERLINK("https://klasma.github.io/Logging_1765/tillsyn/A 58238-2024 tillsynsbegäran.docx", "A 58238-2024")</f>
        <v/>
      </c>
      <c r="AD355">
        <f>HYPERLINK("https://klasma.github.io/Logging_1765/tillsynsmail/A 58238-2024 tillsynsbegäran mail.docx", "A 58238-2024")</f>
        <v/>
      </c>
    </row>
    <row r="356" ht="15" customHeight="1">
      <c r="A356" t="inlineStr">
        <is>
          <t>A 1401-2024</t>
        </is>
      </c>
      <c r="B356" t="inlineStr">
        <is>
          <t>avverkningsanmälan</t>
        </is>
      </c>
      <c r="C356" t="inlineStr">
        <is>
          <t>Föryngringsavverkning</t>
        </is>
      </c>
      <c r="D356" s="1" t="n">
        <v>45303</v>
      </c>
      <c r="E356" s="1" t="n">
        <v>46307</v>
      </c>
      <c r="F356" t="inlineStr">
        <is>
          <t>VÄRMLANDS LÄN</t>
        </is>
      </c>
      <c r="G356" t="inlineStr">
        <is>
          <t>SÄFFLE</t>
        </is>
      </c>
      <c r="I356" t="n">
        <v>8</v>
      </c>
      <c r="J356" t="n">
        <v>0</v>
      </c>
      <c r="K356" t="n">
        <v>1</v>
      </c>
      <c r="L356" t="n">
        <v>1</v>
      </c>
      <c r="M356" t="n">
        <v>0</v>
      </c>
      <c r="N356" t="n">
        <v>0</v>
      </c>
      <c r="O356" t="n">
        <v>0</v>
      </c>
      <c r="P356" t="n">
        <v>0</v>
      </c>
      <c r="Q356" t="n">
        <v>1</v>
      </c>
      <c r="R356" t="n">
        <v>0</v>
      </c>
      <c r="S356" t="n">
        <v>2</v>
      </c>
      <c r="T356" t="n">
        <v>2</v>
      </c>
      <c r="U356" t="n">
        <v>0</v>
      </c>
      <c r="V356" s="2" t="inlineStr">
        <is>
          <t>Gullpudra
Vätteros</t>
        </is>
      </c>
      <c r="W356">
        <f>HYPERLINK("https://klasma.github.io/Logging_1785/artfynd/A 1401-2024 artfynd.xlsx", "A 1401-2024")</f>
        <v/>
      </c>
      <c r="X356">
        <f>HYPERLINK("https://klasma.github.io/Logging_1785/kartor/A 1401-2024 karta.png", "A 1401-2024")</f>
        <v/>
      </c>
      <c r="Y356">
        <f>HYPERLINK("https://klasma.github.io/Logging_1785/kartor_geotiff/A 1401-2024 georefererad karta.tif", "A 1401-2024")</f>
        <v/>
      </c>
      <c r="AA356">
        <f>HYPERLINK("https://klasma.github.io/Logging_1785/klagomål/A 1401-2024 FSC-klagomål.docx", "A 1401-2024")</f>
        <v/>
      </c>
      <c r="AB356">
        <f>HYPERLINK("https://klasma.github.io/Logging_1785/klagomålsmail/A 1401-2024 FSC-klagomål mail.docx", "A 1401-2024")</f>
        <v/>
      </c>
      <c r="AC356">
        <f>HYPERLINK("https://klasma.github.io/Logging_1785/tillsyn/A 1401-2024 tillsynsbegäran.docx", "A 1401-2024")</f>
        <v/>
      </c>
      <c r="AD356">
        <f>HYPERLINK("https://klasma.github.io/Logging_1785/tillsynsmail/A 1401-2024 tillsynsbegäran mail.docx", "A 1401-2024")</f>
        <v/>
      </c>
    </row>
    <row r="357" ht="15" customHeight="1">
      <c r="A357" t="inlineStr">
        <is>
          <t>A 56624-2022</t>
        </is>
      </c>
      <c r="B357" t="inlineStr">
        <is>
          <t>avverkningsanmälan</t>
        </is>
      </c>
      <c r="C357" t="inlineStr">
        <is>
          <t>Föryngringsavverkning</t>
        </is>
      </c>
      <c r="D357" s="1" t="n">
        <v>44893</v>
      </c>
      <c r="E357" s="1" t="n">
        <v>46307</v>
      </c>
      <c r="F357" t="inlineStr">
        <is>
          <t>VÄRMLANDS LÄN</t>
        </is>
      </c>
      <c r="G357" t="inlineStr">
        <is>
          <t>SUNNE</t>
        </is>
      </c>
      <c r="I357" t="n">
        <v>3</v>
      </c>
      <c r="J357" t="n">
        <v>0</v>
      </c>
      <c r="K357" t="n">
        <v>1</v>
      </c>
      <c r="L357" t="n">
        <v>1</v>
      </c>
      <c r="M357" t="n">
        <v>0</v>
      </c>
      <c r="N357" t="n">
        <v>0</v>
      </c>
      <c r="O357" t="n">
        <v>0</v>
      </c>
      <c r="P357" t="n">
        <v>0</v>
      </c>
      <c r="Q357" t="n">
        <v>1</v>
      </c>
      <c r="R357" t="n">
        <v>0</v>
      </c>
      <c r="S357" t="n">
        <v>2</v>
      </c>
      <c r="T357" t="n">
        <v>2</v>
      </c>
      <c r="U357" t="n">
        <v>1</v>
      </c>
      <c r="V357" s="2" t="inlineStr">
        <is>
          <t>Kattfotslav
Bronshjon</t>
        </is>
      </c>
      <c r="W357">
        <f>HYPERLINK("https://klasma.github.io/Logging_1766/artfynd/A 56624-2022 artfynd.xlsx", "A 56624-2022")</f>
        <v/>
      </c>
      <c r="X357">
        <f>HYPERLINK("https://klasma.github.io/Logging_1766/kartor/A 56624-2022 karta.png", "A 56624-2022")</f>
        <v/>
      </c>
      <c r="Y357">
        <f>HYPERLINK("https://klasma.github.io/Logging_1766/kartor_geotiff/A 56624-2022 georefererad karta.tif", "A 56624-2022")</f>
        <v/>
      </c>
      <c r="AA357">
        <f>HYPERLINK("https://klasma.github.io/Logging_1766/klagomål/A 56624-2022 FSC-klagomål.docx", "A 56624-2022")</f>
        <v/>
      </c>
      <c r="AB357">
        <f>HYPERLINK("https://klasma.github.io/Logging_1766/klagomålsmail/A 56624-2022 FSC-klagomål mail.docx", "A 56624-2022")</f>
        <v/>
      </c>
      <c r="AC357">
        <f>HYPERLINK("https://klasma.github.io/Logging_1766/tillsyn/A 56624-2022 tillsynsbegäran.docx", "A 56624-2022")</f>
        <v/>
      </c>
      <c r="AD357">
        <f>HYPERLINK("https://klasma.github.io/Logging_1766/tillsynsmail/A 56624-2022 tillsynsbegäran mail.docx", "A 56624-2022")</f>
        <v/>
      </c>
    </row>
    <row r="358" ht="15" customHeight="1">
      <c r="A358" t="inlineStr">
        <is>
          <t>A 8591-2023</t>
        </is>
      </c>
      <c r="B358" t="inlineStr">
        <is>
          <t>avverkningsanmälan</t>
        </is>
      </c>
      <c r="C358" t="inlineStr">
        <is>
          <t>Föryngringsavverkning</t>
        </is>
      </c>
      <c r="D358" s="1" t="n">
        <v>44977</v>
      </c>
      <c r="E358" s="1" t="n">
        <v>46307</v>
      </c>
      <c r="F358" t="inlineStr">
        <is>
          <t>VÄRMLANDS LÄN</t>
        </is>
      </c>
      <c r="G358" t="inlineStr">
        <is>
          <t>ARVIKA</t>
        </is>
      </c>
      <c r="I358" t="n">
        <v>6</v>
      </c>
      <c r="J358" t="n">
        <v>1</v>
      </c>
      <c r="K358" t="n">
        <v>0</v>
      </c>
      <c r="L358" t="n">
        <v>1</v>
      </c>
      <c r="M358" t="n">
        <v>1</v>
      </c>
      <c r="N358" t="n">
        <v>0</v>
      </c>
      <c r="O358" t="n">
        <v>0</v>
      </c>
      <c r="P358" t="n">
        <v>0</v>
      </c>
      <c r="Q358" t="n">
        <v>2</v>
      </c>
      <c r="R358" t="n">
        <v>1</v>
      </c>
      <c r="S358" t="n">
        <v>2</v>
      </c>
      <c r="T358" t="n">
        <v>4</v>
      </c>
      <c r="U358" t="n">
        <v>2</v>
      </c>
      <c r="V358" s="2" t="inlineStr">
        <is>
          <t>Knärot
Fjällig taggsvamp s.str.</t>
        </is>
      </c>
      <c r="W358">
        <f>HYPERLINK("https://klasma.github.io/Logging_1784/artfynd/A 8591-2023 artfynd.xlsx", "A 8591-2023")</f>
        <v/>
      </c>
      <c r="X358">
        <f>HYPERLINK("https://klasma.github.io/Logging_1784/kartor/A 8591-2023 karta.png", "A 8591-2023")</f>
        <v/>
      </c>
      <c r="Y358">
        <f>HYPERLINK("https://klasma.github.io/Logging_1784/kartor_geotiff/A 8591-2023 georefererad karta.tif", "A 8591-2023")</f>
        <v/>
      </c>
      <c r="Z358">
        <f>HYPERLINK("https://klasma.github.io/Logging_1784/knärot/A 8591-2023 karta knärot.png", "A 8591-2023")</f>
        <v/>
      </c>
      <c r="AA358">
        <f>HYPERLINK("https://klasma.github.io/Logging_1784/klagomål/A 8591-2023 FSC-klagomål.docx", "A 8591-2023")</f>
        <v/>
      </c>
      <c r="AB358">
        <f>HYPERLINK("https://klasma.github.io/Logging_1784/klagomålsmail/A 8591-2023 FSC-klagomål mail.docx", "A 8591-2023")</f>
        <v/>
      </c>
      <c r="AC358">
        <f>HYPERLINK("https://klasma.github.io/Logging_1784/tillsyn/A 8591-2023 tillsynsbegäran.docx", "A 8591-2023")</f>
        <v/>
      </c>
      <c r="AD358">
        <f>HYPERLINK("https://klasma.github.io/Logging_1784/tillsynsmail/A 8591-2023 tillsynsbegäran mail.docx", "A 8591-2023")</f>
        <v/>
      </c>
    </row>
    <row r="359" ht="15" customHeight="1">
      <c r="A359" t="inlineStr">
        <is>
          <t>A 2000-2023</t>
        </is>
      </c>
      <c r="B359" t="inlineStr">
        <is>
          <t>avverkningsanmälan</t>
        </is>
      </c>
      <c r="C359" t="inlineStr">
        <is>
          <t>Föryngringsavverkning</t>
        </is>
      </c>
      <c r="D359" s="1" t="n">
        <v>44939</v>
      </c>
      <c r="E359" s="1" t="n">
        <v>46307</v>
      </c>
      <c r="F359" t="inlineStr">
        <is>
          <t>VÄRMLANDS LÄN</t>
        </is>
      </c>
      <c r="G359" t="inlineStr">
        <is>
          <t>TORSBY</t>
        </is>
      </c>
      <c r="I359" t="n">
        <v>3.2</v>
      </c>
      <c r="J359" t="n">
        <v>2</v>
      </c>
      <c r="K359" t="n">
        <v>1</v>
      </c>
      <c r="L359" t="n">
        <v>0</v>
      </c>
      <c r="M359" t="n">
        <v>0</v>
      </c>
      <c r="N359" t="n">
        <v>0</v>
      </c>
      <c r="O359" t="n">
        <v>0</v>
      </c>
      <c r="P359" t="n">
        <v>0</v>
      </c>
      <c r="Q359" t="n">
        <v>0</v>
      </c>
      <c r="R359" t="n">
        <v>0</v>
      </c>
      <c r="S359" t="n">
        <v>2</v>
      </c>
      <c r="T359" t="n">
        <v>2</v>
      </c>
      <c r="U359" t="n">
        <v>0</v>
      </c>
      <c r="V359" s="2" t="inlineStr">
        <is>
          <t>Spindelblomster
Mattlummer</t>
        </is>
      </c>
      <c r="W359">
        <f>HYPERLINK("https://klasma.github.io/Logging_1737/artfynd/A 2000-2023 artfynd.xlsx", "A 2000-2023")</f>
        <v/>
      </c>
      <c r="X359">
        <f>HYPERLINK("https://klasma.github.io/Logging_1737/kartor/A 2000-2023 karta.png", "A 2000-2023")</f>
        <v/>
      </c>
      <c r="Y359">
        <f>HYPERLINK("https://klasma.github.io/Logging_1737/kartor_geotiff/A 2000-2023 georefererad karta.tif", "A 2000-2023")</f>
        <v/>
      </c>
      <c r="AA359">
        <f>HYPERLINK("https://klasma.github.io/Logging_1737/klagomål/A 2000-2023 FSC-klagomål.docx", "A 2000-2023")</f>
        <v/>
      </c>
      <c r="AB359">
        <f>HYPERLINK("https://klasma.github.io/Logging_1737/klagomålsmail/A 2000-2023 FSC-klagomål mail.docx", "A 2000-2023")</f>
        <v/>
      </c>
      <c r="AC359">
        <f>HYPERLINK("https://klasma.github.io/Logging_1737/tillsyn/A 2000-2023 tillsynsbegäran.docx", "A 2000-2023")</f>
        <v/>
      </c>
      <c r="AD359">
        <f>HYPERLINK("https://klasma.github.io/Logging_1737/tillsynsmail/A 2000-2023 tillsynsbegäran mail.docx", "A 2000-2023")</f>
        <v/>
      </c>
    </row>
    <row r="360" ht="15" customHeight="1">
      <c r="A360" t="inlineStr">
        <is>
          <t>A 656-2022</t>
        </is>
      </c>
      <c r="B360" t="inlineStr">
        <is>
          <t>avverkningsanmälan</t>
        </is>
      </c>
      <c r="C360" t="inlineStr">
        <is>
          <t>Föryngringsavverkning</t>
        </is>
      </c>
      <c r="D360" s="1" t="n">
        <v>44566</v>
      </c>
      <c r="E360" s="1" t="n">
        <v>46307</v>
      </c>
      <c r="F360" t="inlineStr">
        <is>
          <t>VÄRMLANDS LÄN</t>
        </is>
      </c>
      <c r="G360" t="inlineStr">
        <is>
          <t>HAGFORS</t>
        </is>
      </c>
      <c r="I360" t="n">
        <v>35.1</v>
      </c>
      <c r="J360" t="n">
        <v>0</v>
      </c>
      <c r="K360" t="n">
        <v>0</v>
      </c>
      <c r="L360" t="n">
        <v>2</v>
      </c>
      <c r="M360" t="n">
        <v>0</v>
      </c>
      <c r="N360" t="n">
        <v>0</v>
      </c>
      <c r="O360" t="n">
        <v>0</v>
      </c>
      <c r="P360" t="n">
        <v>0</v>
      </c>
      <c r="Q360" t="n">
        <v>2</v>
      </c>
      <c r="R360" t="n">
        <v>0</v>
      </c>
      <c r="S360" t="n">
        <v>2</v>
      </c>
      <c r="T360" t="n">
        <v>2</v>
      </c>
      <c r="U360" t="n">
        <v>0</v>
      </c>
      <c r="V360" s="2" t="inlineStr">
        <is>
          <t>Dvärgbägarlav
Vedskivlav</t>
        </is>
      </c>
      <c r="W360">
        <f>HYPERLINK("https://klasma.github.io/Logging_1783/artfynd/A 656-2022 artfynd.xlsx", "A 656-2022")</f>
        <v/>
      </c>
      <c r="X360">
        <f>HYPERLINK("https://klasma.github.io/Logging_1783/kartor/A 656-2022 karta.png", "A 656-2022")</f>
        <v/>
      </c>
      <c r="Y360">
        <f>HYPERLINK("https://klasma.github.io/Logging_1783/kartor_geotiff/A 656-2022 georefererad karta.tif", "A 656-2022")</f>
        <v/>
      </c>
      <c r="AA360">
        <f>HYPERLINK("https://klasma.github.io/Logging_1783/klagomål/A 656-2022 FSC-klagomål.docx", "A 656-2022")</f>
        <v/>
      </c>
      <c r="AB360">
        <f>HYPERLINK("https://klasma.github.io/Logging_1783/klagomålsmail/A 656-2022 FSC-klagomål mail.docx", "A 656-2022")</f>
        <v/>
      </c>
      <c r="AC360">
        <f>HYPERLINK("https://klasma.github.io/Logging_1783/tillsyn/A 656-2022 tillsynsbegäran.docx", "A 656-2022")</f>
        <v/>
      </c>
      <c r="AD360">
        <f>HYPERLINK("https://klasma.github.io/Logging_1783/tillsynsmail/A 656-2022 tillsynsbegäran mail.docx", "A 656-2022")</f>
        <v/>
      </c>
    </row>
    <row r="361" ht="15" customHeight="1">
      <c r="A361" t="inlineStr">
        <is>
          <t>A 44286-2025</t>
        </is>
      </c>
      <c r="B361" t="inlineStr">
        <is>
          <t>avverkningsanmälan</t>
        </is>
      </c>
      <c r="C361" t="inlineStr">
        <is>
          <t>Föryngringsavverkning</t>
        </is>
      </c>
      <c r="D361" s="1" t="n">
        <v>45916</v>
      </c>
      <c r="E361" s="1" t="n">
        <v>46307</v>
      </c>
      <c r="F361" t="inlineStr">
        <is>
          <t>VÄRMLANDS LÄN</t>
        </is>
      </c>
      <c r="G361" t="inlineStr">
        <is>
          <t>TORSBY</t>
        </is>
      </c>
      <c r="H361" t="inlineStr">
        <is>
          <t>Bergvik skog väst AB</t>
        </is>
      </c>
      <c r="I361" t="n">
        <v>13.8</v>
      </c>
      <c r="J361" t="n">
        <v>0</v>
      </c>
      <c r="K361" t="n">
        <v>2</v>
      </c>
      <c r="L361" t="n">
        <v>0</v>
      </c>
      <c r="M361" t="n">
        <v>0</v>
      </c>
      <c r="N361" t="n">
        <v>0</v>
      </c>
      <c r="O361" t="n">
        <v>0</v>
      </c>
      <c r="P361" t="n">
        <v>0</v>
      </c>
      <c r="Q361" t="n">
        <v>0</v>
      </c>
      <c r="R361" t="n">
        <v>0</v>
      </c>
      <c r="S361" t="n">
        <v>2</v>
      </c>
      <c r="T361" t="n">
        <v>2</v>
      </c>
      <c r="U361" t="n">
        <v>0</v>
      </c>
      <c r="V361" s="2" t="inlineStr">
        <is>
          <t>Kransrams
Spädstarr</t>
        </is>
      </c>
      <c r="W361">
        <f>HYPERLINK("https://klasma.github.io/Logging_1737/artfynd/A 44286-2025 artfynd.xlsx", "A 44286-2025")</f>
        <v/>
      </c>
      <c r="X361">
        <f>HYPERLINK("https://klasma.github.io/Logging_1737/kartor/A 44286-2025 karta.png", "A 44286-2025")</f>
        <v/>
      </c>
      <c r="Y361">
        <f>HYPERLINK("https://klasma.github.io/Logging_1737/kartor_geotiff/A 44286-2025 georefererad karta.tif", "A 44286-2025")</f>
        <v/>
      </c>
      <c r="AA361">
        <f>HYPERLINK("https://klasma.github.io/Logging_1737/klagomål/A 44286-2025 FSC-klagomål.docx", "A 44286-2025")</f>
        <v/>
      </c>
      <c r="AB361">
        <f>HYPERLINK("https://klasma.github.io/Logging_1737/klagomålsmail/A 44286-2025 FSC-klagomål mail.docx", "A 44286-2025")</f>
        <v/>
      </c>
      <c r="AC361">
        <f>HYPERLINK("https://klasma.github.io/Logging_1737/tillsyn/A 44286-2025 tillsynsbegäran.docx", "A 44286-2025")</f>
        <v/>
      </c>
      <c r="AD361">
        <f>HYPERLINK("https://klasma.github.io/Logging_1737/tillsynsmail/A 44286-2025 tillsynsbegäran mail.docx", "A 44286-2025")</f>
        <v/>
      </c>
    </row>
    <row r="362" ht="15" customHeight="1">
      <c r="A362" t="inlineStr">
        <is>
          <t>A 18763-2024</t>
        </is>
      </c>
      <c r="B362" t="inlineStr">
        <is>
          <t>avverkningsanmälan</t>
        </is>
      </c>
      <c r="C362" t="inlineStr">
        <is>
          <t>Föryngringsavverkning</t>
        </is>
      </c>
      <c r="D362" s="1" t="n">
        <v>45426</v>
      </c>
      <c r="E362" s="1" t="n">
        <v>46307</v>
      </c>
      <c r="F362" t="inlineStr">
        <is>
          <t>VÄRMLANDS LÄN</t>
        </is>
      </c>
      <c r="G362" t="inlineStr">
        <is>
          <t>EDA</t>
        </is>
      </c>
      <c r="I362" t="n">
        <v>2.4</v>
      </c>
      <c r="J362" t="n">
        <v>0</v>
      </c>
      <c r="K362" t="n">
        <v>1</v>
      </c>
      <c r="L362" t="n">
        <v>1</v>
      </c>
      <c r="M362" t="n">
        <v>0</v>
      </c>
      <c r="N362" t="n">
        <v>0</v>
      </c>
      <c r="O362" t="n">
        <v>0</v>
      </c>
      <c r="P362" t="n">
        <v>0</v>
      </c>
      <c r="Q362" t="n">
        <v>1</v>
      </c>
      <c r="R362" t="n">
        <v>0</v>
      </c>
      <c r="S362" t="n">
        <v>2</v>
      </c>
      <c r="T362" t="n">
        <v>2</v>
      </c>
      <c r="U362" t="n">
        <v>2</v>
      </c>
      <c r="V362" s="2" t="inlineStr">
        <is>
          <t>Ullticka
Bronshjon</t>
        </is>
      </c>
      <c r="W362">
        <f>HYPERLINK("https://klasma.github.io/Logging_1730/artfynd/A 18763-2024 artfynd.xlsx", "A 18763-2024")</f>
        <v/>
      </c>
      <c r="X362">
        <f>HYPERLINK("https://klasma.github.io/Logging_1730/kartor/A 18763-2024 karta.png", "A 18763-2024")</f>
        <v/>
      </c>
      <c r="Y362">
        <f>HYPERLINK("https://klasma.github.io/Logging_1730/kartor_geotiff/A 18763-2024 georefererad karta.tif", "A 18763-2024")</f>
        <v/>
      </c>
      <c r="AA362">
        <f>HYPERLINK("https://klasma.github.io/Logging_1730/klagomål/A 18763-2024 FSC-klagomål.docx", "A 18763-2024")</f>
        <v/>
      </c>
      <c r="AB362">
        <f>HYPERLINK("https://klasma.github.io/Logging_1730/klagomålsmail/A 18763-2024 FSC-klagomål mail.docx", "A 18763-2024")</f>
        <v/>
      </c>
      <c r="AC362">
        <f>HYPERLINK("https://klasma.github.io/Logging_1730/tillsyn/A 18763-2024 tillsynsbegäran.docx", "A 18763-2024")</f>
        <v/>
      </c>
      <c r="AD362">
        <f>HYPERLINK("https://klasma.github.io/Logging_1730/tillsynsmail/A 18763-2024 tillsynsbegäran mail.docx", "A 18763-2024")</f>
        <v/>
      </c>
    </row>
    <row r="363" ht="15" customHeight="1">
      <c r="A363" t="inlineStr">
        <is>
          <t>A 62955-2023</t>
        </is>
      </c>
      <c r="B363" t="inlineStr">
        <is>
          <t>avverkningsanmälan</t>
        </is>
      </c>
      <c r="C363" t="inlineStr">
        <is>
          <t>Föryngringsavverkning</t>
        </is>
      </c>
      <c r="D363" s="1" t="n">
        <v>45271</v>
      </c>
      <c r="E363" s="1" t="n">
        <v>46307</v>
      </c>
      <c r="F363" t="inlineStr">
        <is>
          <t>VÄRMLANDS LÄN</t>
        </is>
      </c>
      <c r="G363" t="inlineStr">
        <is>
          <t>TORSBY</t>
        </is>
      </c>
      <c r="H363" t="inlineStr">
        <is>
          <t>Övriga statliga verk och myndigheter</t>
        </is>
      </c>
      <c r="I363" t="n">
        <v>4.2</v>
      </c>
      <c r="J363" t="n">
        <v>0</v>
      </c>
      <c r="K363" t="n">
        <v>0</v>
      </c>
      <c r="L363" t="n">
        <v>1</v>
      </c>
      <c r="M363" t="n">
        <v>1</v>
      </c>
      <c r="N363" t="n">
        <v>0</v>
      </c>
      <c r="O363" t="n">
        <v>0</v>
      </c>
      <c r="P363" t="n">
        <v>0</v>
      </c>
      <c r="Q363" t="n">
        <v>2</v>
      </c>
      <c r="R363" t="n">
        <v>1</v>
      </c>
      <c r="S363" t="n">
        <v>2</v>
      </c>
      <c r="T363" t="n">
        <v>2</v>
      </c>
      <c r="U363" t="n">
        <v>0</v>
      </c>
      <c r="V363" s="2" t="inlineStr">
        <is>
          <t>Garnlav
Vedtrappmossa</t>
        </is>
      </c>
      <c r="W363">
        <f>HYPERLINK("https://klasma.github.io/Logging_1737/artfynd/A 62955-2023 artfynd.xlsx", "A 62955-2023")</f>
        <v/>
      </c>
      <c r="X363">
        <f>HYPERLINK("https://klasma.github.io/Logging_1737/kartor/A 62955-2023 karta.png", "A 62955-2023")</f>
        <v/>
      </c>
      <c r="Y363">
        <f>HYPERLINK("https://klasma.github.io/Logging_1737/kartor_geotiff/A 62955-2023 georefererad karta.tif", "A 62955-2023")</f>
        <v/>
      </c>
      <c r="AA363">
        <f>HYPERLINK("https://klasma.github.io/Logging_1737/klagomål/A 62955-2023 FSC-klagomål.docx", "A 62955-2023")</f>
        <v/>
      </c>
      <c r="AB363">
        <f>HYPERLINK("https://klasma.github.io/Logging_1737/klagomålsmail/A 62955-2023 FSC-klagomål mail.docx", "A 62955-2023")</f>
        <v/>
      </c>
      <c r="AC363">
        <f>HYPERLINK("https://klasma.github.io/Logging_1737/tillsyn/A 62955-2023 tillsynsbegäran.docx", "A 62955-2023")</f>
        <v/>
      </c>
      <c r="AD363">
        <f>HYPERLINK("https://klasma.github.io/Logging_1737/tillsynsmail/A 62955-2023 tillsynsbegäran mail.docx", "A 62955-2023")</f>
        <v/>
      </c>
    </row>
    <row r="364" ht="15" customHeight="1">
      <c r="A364" t="inlineStr">
        <is>
          <t>A 45329-2025</t>
        </is>
      </c>
      <c r="B364" t="inlineStr">
        <is>
          <t>avverkningsanmälan</t>
        </is>
      </c>
      <c r="C364" t="inlineStr">
        <is>
          <t>Föryngringsavverkning</t>
        </is>
      </c>
      <c r="D364" s="1" t="n">
        <v>45922</v>
      </c>
      <c r="E364" s="1" t="n">
        <v>46307</v>
      </c>
      <c r="F364" t="inlineStr">
        <is>
          <t>VÄRMLANDS LÄN</t>
        </is>
      </c>
      <c r="G364" t="inlineStr">
        <is>
          <t>ÅRJÄNG</t>
        </is>
      </c>
      <c r="H364" t="inlineStr">
        <is>
          <t>Bergvik skog väst AB</t>
        </is>
      </c>
      <c r="I364" t="n">
        <v>1.3</v>
      </c>
      <c r="J364" t="n">
        <v>0</v>
      </c>
      <c r="K364" t="n">
        <v>1</v>
      </c>
      <c r="L364" t="n">
        <v>1</v>
      </c>
      <c r="M364" t="n">
        <v>0</v>
      </c>
      <c r="N364" t="n">
        <v>0</v>
      </c>
      <c r="O364" t="n">
        <v>0</v>
      </c>
      <c r="P364" t="n">
        <v>0</v>
      </c>
      <c r="Q364" t="n">
        <v>1</v>
      </c>
      <c r="R364" t="n">
        <v>0</v>
      </c>
      <c r="S364" t="n">
        <v>2</v>
      </c>
      <c r="T364" t="n">
        <v>2</v>
      </c>
      <c r="U364" t="n">
        <v>0</v>
      </c>
      <c r="V364" s="2" t="inlineStr">
        <is>
          <t>Kattfotslav
Mörk husmossa</t>
        </is>
      </c>
      <c r="W364">
        <f>HYPERLINK("https://klasma.github.io/Logging_1765/artfynd/A 45329-2025 artfynd.xlsx", "A 45329-2025")</f>
        <v/>
      </c>
      <c r="X364">
        <f>HYPERLINK("https://klasma.github.io/Logging_1765/kartor/A 45329-2025 karta.png", "A 45329-2025")</f>
        <v/>
      </c>
      <c r="Y364">
        <f>HYPERLINK("https://klasma.github.io/Logging_1765/kartor_geotiff/A 45329-2025 georefererad karta.tif", "A 45329-2025")</f>
        <v/>
      </c>
      <c r="AA364">
        <f>HYPERLINK("https://klasma.github.io/Logging_1765/klagomål/A 45329-2025 FSC-klagomål.docx", "A 45329-2025")</f>
        <v/>
      </c>
      <c r="AB364">
        <f>HYPERLINK("https://klasma.github.io/Logging_1765/klagomålsmail/A 45329-2025 FSC-klagomål mail.docx", "A 45329-2025")</f>
        <v/>
      </c>
      <c r="AC364">
        <f>HYPERLINK("https://klasma.github.io/Logging_1765/tillsyn/A 45329-2025 tillsynsbegäran.docx", "A 45329-2025")</f>
        <v/>
      </c>
      <c r="AD364">
        <f>HYPERLINK("https://klasma.github.io/Logging_1765/tillsynsmail/A 45329-2025 tillsynsbegäran mail.docx", "A 45329-2025")</f>
        <v/>
      </c>
    </row>
    <row r="365" ht="15" customHeight="1">
      <c r="A365" t="inlineStr">
        <is>
          <t>A 32991-2023</t>
        </is>
      </c>
      <c r="B365" t="inlineStr">
        <is>
          <t>avverkningsanmälan</t>
        </is>
      </c>
      <c r="C365" t="inlineStr">
        <is>
          <t>Avverkning för annat ändamål</t>
        </is>
      </c>
      <c r="D365" s="1" t="n">
        <v>45113</v>
      </c>
      <c r="E365" s="1" t="n">
        <v>46307</v>
      </c>
      <c r="F365" t="inlineStr">
        <is>
          <t>VÄRMLANDS LÄN</t>
        </is>
      </c>
      <c r="G365" t="inlineStr">
        <is>
          <t>KRISTINEHAMN</t>
        </is>
      </c>
      <c r="I365" t="n">
        <v>1</v>
      </c>
      <c r="J365" t="n">
        <v>0</v>
      </c>
      <c r="K365" t="n">
        <v>1</v>
      </c>
      <c r="L365" t="n">
        <v>1</v>
      </c>
      <c r="M365" t="n">
        <v>0</v>
      </c>
      <c r="N365" t="n">
        <v>0</v>
      </c>
      <c r="O365" t="n">
        <v>0</v>
      </c>
      <c r="P365" t="n">
        <v>0</v>
      </c>
      <c r="Q365" t="n">
        <v>1</v>
      </c>
      <c r="R365" t="n">
        <v>0</v>
      </c>
      <c r="S365" t="n">
        <v>2</v>
      </c>
      <c r="T365" t="n">
        <v>3</v>
      </c>
      <c r="U365" t="n">
        <v>0</v>
      </c>
      <c r="V365" s="2" t="inlineStr">
        <is>
          <t>Stor sotdyna
Gulnål</t>
        </is>
      </c>
      <c r="W365">
        <f>HYPERLINK("https://klasma.github.io/Logging_1781/artfynd/A 32991-2023 artfynd.xlsx", "A 32991-2023")</f>
        <v/>
      </c>
      <c r="X365">
        <f>HYPERLINK("https://klasma.github.io/Logging_1781/kartor/A 32991-2023 karta.png", "A 32991-2023")</f>
        <v/>
      </c>
      <c r="Y365">
        <f>HYPERLINK("https://klasma.github.io/Logging_1781/kartor_geotiff/A 32991-2023 georefererad karta.tif", "A 32991-2023")</f>
        <v/>
      </c>
      <c r="AA365">
        <f>HYPERLINK("https://klasma.github.io/Logging_1781/klagomål/A 32991-2023 FSC-klagomål.docx", "A 32991-2023")</f>
        <v/>
      </c>
      <c r="AB365">
        <f>HYPERLINK("https://klasma.github.io/Logging_1781/klagomålsmail/A 32991-2023 FSC-klagomål mail.docx", "A 32991-2023")</f>
        <v/>
      </c>
      <c r="AC365">
        <f>HYPERLINK("https://klasma.github.io/Logging_1781/tillsyn/A 32991-2023 tillsynsbegäran.docx", "A 32991-2023")</f>
        <v/>
      </c>
      <c r="AD365">
        <f>HYPERLINK("https://klasma.github.io/Logging_1781/tillsynsmail/A 32991-2023 tillsynsbegäran mail.docx", "A 32991-2023")</f>
        <v/>
      </c>
    </row>
    <row r="366" ht="15" customHeight="1">
      <c r="A366" t="inlineStr">
        <is>
          <t>A 19945-2023</t>
        </is>
      </c>
      <c r="B366" t="inlineStr">
        <is>
          <t>avverkningsanmälan</t>
        </is>
      </c>
      <c r="C366" t="inlineStr">
        <is>
          <t>Föryngringsavverkning</t>
        </is>
      </c>
      <c r="D366" s="1" t="n">
        <v>45054</v>
      </c>
      <c r="E366" s="1" t="n">
        <v>46307</v>
      </c>
      <c r="F366" t="inlineStr">
        <is>
          <t>VÄRMLANDS LÄN</t>
        </is>
      </c>
      <c r="G366" t="inlineStr">
        <is>
          <t>FILIPSTAD</t>
        </is>
      </c>
      <c r="I366" t="n">
        <v>3.3</v>
      </c>
      <c r="J366" t="n">
        <v>1</v>
      </c>
      <c r="K366" t="n">
        <v>2</v>
      </c>
      <c r="L366" t="n">
        <v>0</v>
      </c>
      <c r="M366" t="n">
        <v>0</v>
      </c>
      <c r="N366" t="n">
        <v>0</v>
      </c>
      <c r="O366" t="n">
        <v>0</v>
      </c>
      <c r="P366" t="n">
        <v>0</v>
      </c>
      <c r="Q366" t="n">
        <v>0</v>
      </c>
      <c r="R366" t="n">
        <v>0</v>
      </c>
      <c r="S366" t="n">
        <v>2</v>
      </c>
      <c r="T366" t="n">
        <v>4</v>
      </c>
      <c r="U366" t="n">
        <v>3</v>
      </c>
      <c r="V366" s="2" t="inlineStr">
        <is>
          <t>Guckusko
Kransrams</t>
        </is>
      </c>
      <c r="W366">
        <f>HYPERLINK("https://klasma.github.io/Logging_1782/artfynd/A 19945-2023 artfynd.xlsx", "A 19945-2023")</f>
        <v/>
      </c>
      <c r="X366">
        <f>HYPERLINK("https://klasma.github.io/Logging_1782/kartor/A 19945-2023 karta.png", "A 19945-2023")</f>
        <v/>
      </c>
      <c r="Y366">
        <f>HYPERLINK("https://klasma.github.io/Logging_1782/kartor_geotiff/A 19945-2023 georefererad karta.tif", "A 19945-2023")</f>
        <v/>
      </c>
      <c r="AA366">
        <f>HYPERLINK("https://klasma.github.io/Logging_1782/klagomål/A 19945-2023 FSC-klagomål.docx", "A 19945-2023")</f>
        <v/>
      </c>
      <c r="AB366">
        <f>HYPERLINK("https://klasma.github.io/Logging_1782/klagomålsmail/A 19945-2023 FSC-klagomål mail.docx", "A 19945-2023")</f>
        <v/>
      </c>
      <c r="AC366">
        <f>HYPERLINK("https://klasma.github.io/Logging_1782/tillsyn/A 19945-2023 tillsynsbegäran.docx", "A 19945-2023")</f>
        <v/>
      </c>
      <c r="AD366">
        <f>HYPERLINK("https://klasma.github.io/Logging_1782/tillsynsmail/A 19945-2023 tillsynsbegäran mail.docx", "A 19945-2023")</f>
        <v/>
      </c>
    </row>
    <row r="367" ht="15" customHeight="1">
      <c r="A367" t="inlineStr">
        <is>
          <t>A 17274-2024</t>
        </is>
      </c>
      <c r="B367" t="inlineStr">
        <is>
          <t>avverkningsanmälan</t>
        </is>
      </c>
      <c r="C367" t="inlineStr">
        <is>
          <t>Föryngringsavverkning</t>
        </is>
      </c>
      <c r="D367" s="1" t="n">
        <v>45414</v>
      </c>
      <c r="E367" s="1" t="n">
        <v>46307</v>
      </c>
      <c r="F367" t="inlineStr">
        <is>
          <t>VÄRMLANDS LÄN</t>
        </is>
      </c>
      <c r="G367" t="inlineStr">
        <is>
          <t>FILIPSTAD</t>
        </is>
      </c>
      <c r="H367" t="inlineStr">
        <is>
          <t>Kommuner</t>
        </is>
      </c>
      <c r="I367" t="n">
        <v>5.8</v>
      </c>
      <c r="J367" t="n">
        <v>1</v>
      </c>
      <c r="K367" t="n">
        <v>0</v>
      </c>
      <c r="L367" t="n">
        <v>2</v>
      </c>
      <c r="M367" t="n">
        <v>0</v>
      </c>
      <c r="N367" t="n">
        <v>0</v>
      </c>
      <c r="O367" t="n">
        <v>0</v>
      </c>
      <c r="P367" t="n">
        <v>0</v>
      </c>
      <c r="Q367" t="n">
        <v>2</v>
      </c>
      <c r="R367" t="n">
        <v>0</v>
      </c>
      <c r="S367" t="n">
        <v>2</v>
      </c>
      <c r="T367" t="n">
        <v>2</v>
      </c>
      <c r="U367" t="n">
        <v>2</v>
      </c>
      <c r="V367" s="2" t="inlineStr">
        <is>
          <t>Dropptaggsvamp
Talltita</t>
        </is>
      </c>
      <c r="W367">
        <f>HYPERLINK("https://klasma.github.io/Logging_1782/artfynd/A 17274-2024 artfynd.xlsx", "A 17274-2024")</f>
        <v/>
      </c>
      <c r="X367">
        <f>HYPERLINK("https://klasma.github.io/Logging_1782/kartor/A 17274-2024 karta.png", "A 17274-2024")</f>
        <v/>
      </c>
      <c r="Y367">
        <f>HYPERLINK("https://klasma.github.io/Logging_1782/kartor_geotiff/A 17274-2024 georefererad karta.tif", "A 17274-2024")</f>
        <v/>
      </c>
      <c r="AA367">
        <f>HYPERLINK("https://klasma.github.io/Logging_1782/klagomål/A 17274-2024 FSC-klagomål.docx", "A 17274-2024")</f>
        <v/>
      </c>
      <c r="AB367">
        <f>HYPERLINK("https://klasma.github.io/Logging_1782/klagomålsmail/A 17274-2024 FSC-klagomål mail.docx", "A 17274-2024")</f>
        <v/>
      </c>
      <c r="AC367">
        <f>HYPERLINK("https://klasma.github.io/Logging_1782/tillsyn/A 17274-2024 tillsynsbegäran.docx", "A 17274-2024")</f>
        <v/>
      </c>
      <c r="AD367">
        <f>HYPERLINK("https://klasma.github.io/Logging_1782/tillsynsmail/A 17274-2024 tillsynsbegäran mail.docx", "A 17274-2024")</f>
        <v/>
      </c>
      <c r="AE367">
        <f>HYPERLINK("https://klasma.github.io/Logging_1782/fåglar/A 17274-2024 prioriterade fågelarter.docx", "A 17274-2024")</f>
        <v/>
      </c>
    </row>
    <row r="368" ht="15" customHeight="1">
      <c r="A368" t="inlineStr">
        <is>
          <t>A 3340-2022</t>
        </is>
      </c>
      <c r="B368" t="inlineStr">
        <is>
          <t>avverkningsanmälan</t>
        </is>
      </c>
      <c r="C368" t="inlineStr">
        <is>
          <t>Föryngringsavverkning</t>
        </is>
      </c>
      <c r="D368" s="1" t="n">
        <v>44585</v>
      </c>
      <c r="E368" s="1" t="n">
        <v>46307</v>
      </c>
      <c r="F368" t="inlineStr">
        <is>
          <t>VÄRMLANDS LÄN</t>
        </is>
      </c>
      <c r="G368" t="inlineStr">
        <is>
          <t>ARVIKA</t>
        </is>
      </c>
      <c r="I368" t="n">
        <v>5</v>
      </c>
      <c r="J368" t="n">
        <v>0</v>
      </c>
      <c r="K368" t="n">
        <v>2</v>
      </c>
      <c r="L368" t="n">
        <v>0</v>
      </c>
      <c r="M368" t="n">
        <v>0</v>
      </c>
      <c r="N368" t="n">
        <v>0</v>
      </c>
      <c r="O368" t="n">
        <v>0</v>
      </c>
      <c r="P368" t="n">
        <v>0</v>
      </c>
      <c r="Q368" t="n">
        <v>0</v>
      </c>
      <c r="R368" t="n">
        <v>0</v>
      </c>
      <c r="S368" t="n">
        <v>2</v>
      </c>
      <c r="T368" t="n">
        <v>2</v>
      </c>
      <c r="U368" t="n">
        <v>2</v>
      </c>
      <c r="V368" s="2" t="inlineStr">
        <is>
          <t>Skinnlav
Stor aspticka</t>
        </is>
      </c>
      <c r="W368">
        <f>HYPERLINK("https://klasma.github.io/Logging_1784/artfynd/A 3340-2022 artfynd.xlsx", "A 3340-2022")</f>
        <v/>
      </c>
      <c r="X368">
        <f>HYPERLINK("https://klasma.github.io/Logging_1784/kartor/A 3340-2022 karta.png", "A 3340-2022")</f>
        <v/>
      </c>
      <c r="Y368">
        <f>HYPERLINK("https://klasma.github.io/Logging_1784/kartor_geotiff/A 3340-2022 georefererad karta.tif", "A 3340-2022")</f>
        <v/>
      </c>
      <c r="AA368">
        <f>HYPERLINK("https://klasma.github.io/Logging_1784/klagomål/A 3340-2022 FSC-klagomål.docx", "A 3340-2022")</f>
        <v/>
      </c>
      <c r="AB368">
        <f>HYPERLINK("https://klasma.github.io/Logging_1784/klagomålsmail/A 3340-2022 FSC-klagomål mail.docx", "A 3340-2022")</f>
        <v/>
      </c>
      <c r="AC368">
        <f>HYPERLINK("https://klasma.github.io/Logging_1784/tillsyn/A 3340-2022 tillsynsbegäran.docx", "A 3340-2022")</f>
        <v/>
      </c>
      <c r="AD368">
        <f>HYPERLINK("https://klasma.github.io/Logging_1784/tillsynsmail/A 3340-2022 tillsynsbegäran mail.docx", "A 3340-2022")</f>
        <v/>
      </c>
    </row>
    <row r="369" ht="15" customHeight="1">
      <c r="A369" t="inlineStr">
        <is>
          <t>A 47105-2025</t>
        </is>
      </c>
      <c r="B369" t="inlineStr">
        <is>
          <t>avverkningsanmälan</t>
        </is>
      </c>
      <c r="C369" t="inlineStr">
        <is>
          <t>Föryngringsavverkning</t>
        </is>
      </c>
      <c r="D369" s="1" t="n">
        <v>45929</v>
      </c>
      <c r="E369" s="1" t="n">
        <v>46307</v>
      </c>
      <c r="F369" t="inlineStr">
        <is>
          <t>VÄRMLANDS LÄN</t>
        </is>
      </c>
      <c r="G369" t="inlineStr">
        <is>
          <t>KARLSTAD</t>
        </is>
      </c>
      <c r="I369" t="n">
        <v>0.5</v>
      </c>
      <c r="J369" t="n">
        <v>1</v>
      </c>
      <c r="K369" t="n">
        <v>0</v>
      </c>
      <c r="L369" t="n">
        <v>0</v>
      </c>
      <c r="M369" t="n">
        <v>0</v>
      </c>
      <c r="N369" t="n">
        <v>1</v>
      </c>
      <c r="O369" t="n">
        <v>0</v>
      </c>
      <c r="P369" t="n">
        <v>0</v>
      </c>
      <c r="Q369" t="n">
        <v>1</v>
      </c>
      <c r="R369" t="n">
        <v>1</v>
      </c>
      <c r="S369" t="n">
        <v>2</v>
      </c>
      <c r="T369" t="n">
        <v>2</v>
      </c>
      <c r="U369" t="n">
        <v>0</v>
      </c>
      <c r="V369" s="2" t="inlineStr">
        <is>
          <t>Ask
Gullviva</t>
        </is>
      </c>
      <c r="W369">
        <f>HYPERLINK("https://klasma.github.io/Logging_1780/artfynd/A 47105-2025 artfynd.xlsx", "A 47105-2025")</f>
        <v/>
      </c>
      <c r="X369">
        <f>HYPERLINK("https://klasma.github.io/Logging_1780/kartor/A 47105-2025 karta.png", "A 47105-2025")</f>
        <v/>
      </c>
      <c r="Y369">
        <f>HYPERLINK("https://klasma.github.io/Logging_1780/kartor_geotiff/A 47105-2025 georefererad karta.tif", "A 47105-2025")</f>
        <v/>
      </c>
      <c r="AA369">
        <f>HYPERLINK("https://klasma.github.io/Logging_1780/klagomål/A 47105-2025 FSC-klagomål.docx", "A 47105-2025")</f>
        <v/>
      </c>
      <c r="AB369">
        <f>HYPERLINK("https://klasma.github.io/Logging_1780/klagomålsmail/A 47105-2025 FSC-klagomål mail.docx", "A 47105-2025")</f>
        <v/>
      </c>
      <c r="AC369">
        <f>HYPERLINK("https://klasma.github.io/Logging_1780/tillsyn/A 47105-2025 tillsynsbegäran.docx", "A 47105-2025")</f>
        <v/>
      </c>
      <c r="AD369">
        <f>HYPERLINK("https://klasma.github.io/Logging_1780/tillsynsmail/A 47105-2025 tillsynsbegäran mail.docx", "A 47105-2025")</f>
        <v/>
      </c>
    </row>
    <row r="370" ht="15" customHeight="1">
      <c r="A370" t="inlineStr">
        <is>
          <t>A 44111-2023</t>
        </is>
      </c>
      <c r="B370" t="inlineStr">
        <is>
          <t>avverkningsanmälan</t>
        </is>
      </c>
      <c r="C370" t="inlineStr">
        <is>
          <t>Föryngringsavverkning</t>
        </is>
      </c>
      <c r="D370" s="1" t="n">
        <v>45188</v>
      </c>
      <c r="E370" s="1" t="n">
        <v>46307</v>
      </c>
      <c r="F370" t="inlineStr">
        <is>
          <t>VÄRMLANDS LÄN</t>
        </is>
      </c>
      <c r="G370" t="inlineStr">
        <is>
          <t>MUNKFORS</t>
        </is>
      </c>
      <c r="I370" t="n">
        <v>7</v>
      </c>
      <c r="J370" t="n">
        <v>0</v>
      </c>
      <c r="K370" t="n">
        <v>0</v>
      </c>
      <c r="L370" t="n">
        <v>1</v>
      </c>
      <c r="M370" t="n">
        <v>1</v>
      </c>
      <c r="N370" t="n">
        <v>0</v>
      </c>
      <c r="O370" t="n">
        <v>0</v>
      </c>
      <c r="P370" t="n">
        <v>0</v>
      </c>
      <c r="Q370" t="n">
        <v>2</v>
      </c>
      <c r="R370" t="n">
        <v>1</v>
      </c>
      <c r="S370" t="n">
        <v>2</v>
      </c>
      <c r="T370" t="n">
        <v>2</v>
      </c>
      <c r="U370" t="n">
        <v>0</v>
      </c>
      <c r="V370" s="2" t="inlineStr">
        <is>
          <t>Daggvide
Bågsäv</t>
        </is>
      </c>
      <c r="W370">
        <f>HYPERLINK("https://klasma.github.io/Logging_1762/artfynd/A 44111-2023 artfynd.xlsx", "A 44111-2023")</f>
        <v/>
      </c>
      <c r="X370">
        <f>HYPERLINK("https://klasma.github.io/Logging_1762/kartor/A 44111-2023 karta.png", "A 44111-2023")</f>
        <v/>
      </c>
      <c r="Y370">
        <f>HYPERLINK("https://klasma.github.io/Logging_1762/kartor_geotiff/A 44111-2023 georefererad karta.tif", "A 44111-2023")</f>
        <v/>
      </c>
      <c r="AA370">
        <f>HYPERLINK("https://klasma.github.io/Logging_1762/klagomål/A 44111-2023 FSC-klagomål.docx", "A 44111-2023")</f>
        <v/>
      </c>
      <c r="AB370">
        <f>HYPERLINK("https://klasma.github.io/Logging_1762/klagomålsmail/A 44111-2023 FSC-klagomål mail.docx", "A 44111-2023")</f>
        <v/>
      </c>
      <c r="AC370">
        <f>HYPERLINK("https://klasma.github.io/Logging_1762/tillsyn/A 44111-2023 tillsynsbegäran.docx", "A 44111-2023")</f>
        <v/>
      </c>
      <c r="AD370">
        <f>HYPERLINK("https://klasma.github.io/Logging_1762/tillsynsmail/A 44111-2023 tillsynsbegäran mail.docx", "A 44111-2023")</f>
        <v/>
      </c>
    </row>
    <row r="371" ht="15" customHeight="1">
      <c r="A371" t="inlineStr">
        <is>
          <t>A 23697-2025</t>
        </is>
      </c>
      <c r="B371" t="inlineStr">
        <is>
          <t>avverkningsanmälan</t>
        </is>
      </c>
      <c r="C371" t="inlineStr">
        <is>
          <t>Föryngringsavverkning</t>
        </is>
      </c>
      <c r="D371" s="1" t="n">
        <v>45793</v>
      </c>
      <c r="E371" s="1" t="n">
        <v>46307</v>
      </c>
      <c r="F371" t="inlineStr">
        <is>
          <t>VÄRMLANDS LÄN</t>
        </is>
      </c>
      <c r="G371" t="inlineStr">
        <is>
          <t>SUNNE</t>
        </is>
      </c>
      <c r="I371" t="n">
        <v>2.1</v>
      </c>
      <c r="J371" t="n">
        <v>0</v>
      </c>
      <c r="K371" t="n">
        <v>0</v>
      </c>
      <c r="L371" t="n">
        <v>1</v>
      </c>
      <c r="M371" t="n">
        <v>1</v>
      </c>
      <c r="N371" t="n">
        <v>0</v>
      </c>
      <c r="O371" t="n">
        <v>0</v>
      </c>
      <c r="P371" t="n">
        <v>0</v>
      </c>
      <c r="Q371" t="n">
        <v>2</v>
      </c>
      <c r="R371" t="n">
        <v>1</v>
      </c>
      <c r="S371" t="n">
        <v>2</v>
      </c>
      <c r="T371" t="n">
        <v>3</v>
      </c>
      <c r="U371" t="n">
        <v>3</v>
      </c>
      <c r="V371" s="2" t="inlineStr">
        <is>
          <t>Garnlav
Tallticka</t>
        </is>
      </c>
      <c r="W371">
        <f>HYPERLINK("https://klasma.github.io/Logging_1766/artfynd/A 23697-2025 artfynd.xlsx", "A 23697-2025")</f>
        <v/>
      </c>
      <c r="X371">
        <f>HYPERLINK("https://klasma.github.io/Logging_1766/kartor/A 23697-2025 karta.png", "A 23697-2025")</f>
        <v/>
      </c>
      <c r="Y371">
        <f>HYPERLINK("https://klasma.github.io/Logging_1766/kartor_geotiff/A 23697-2025 georefererad karta.tif", "A 23697-2025")</f>
        <v/>
      </c>
      <c r="AA371">
        <f>HYPERLINK("https://klasma.github.io/Logging_1766/klagomål/A 23697-2025 FSC-klagomål.docx", "A 23697-2025")</f>
        <v/>
      </c>
      <c r="AB371">
        <f>HYPERLINK("https://klasma.github.io/Logging_1766/klagomålsmail/A 23697-2025 FSC-klagomål mail.docx", "A 23697-2025")</f>
        <v/>
      </c>
      <c r="AC371">
        <f>HYPERLINK("https://klasma.github.io/Logging_1766/tillsyn/A 23697-2025 tillsynsbegäran.docx", "A 23697-2025")</f>
        <v/>
      </c>
      <c r="AD371">
        <f>HYPERLINK("https://klasma.github.io/Logging_1766/tillsynsmail/A 23697-2025 tillsynsbegäran mail.docx", "A 23697-2025")</f>
        <v/>
      </c>
    </row>
    <row r="372" ht="15" customHeight="1">
      <c r="A372" t="inlineStr">
        <is>
          <t>A 47629-2025</t>
        </is>
      </c>
      <c r="B372" t="inlineStr">
        <is>
          <t>avverkningsanmälan</t>
        </is>
      </c>
      <c r="C372" t="inlineStr">
        <is>
          <t>Föryngringsavverkning</t>
        </is>
      </c>
      <c r="D372" s="1" t="n">
        <v>45931</v>
      </c>
      <c r="E372" s="1" t="n">
        <v>46307</v>
      </c>
      <c r="F372" t="inlineStr">
        <is>
          <t>VÄRMLANDS LÄN</t>
        </is>
      </c>
      <c r="G372" t="inlineStr">
        <is>
          <t>ÅRJÄNG</t>
        </is>
      </c>
      <c r="H372" t="inlineStr">
        <is>
          <t>Bergvik skog väst AB</t>
        </is>
      </c>
      <c r="I372" t="n">
        <v>1.5</v>
      </c>
      <c r="J372" t="n">
        <v>1</v>
      </c>
      <c r="K372" t="n">
        <v>0</v>
      </c>
      <c r="L372" t="n">
        <v>0</v>
      </c>
      <c r="M372" t="n">
        <v>1</v>
      </c>
      <c r="N372" t="n">
        <v>0</v>
      </c>
      <c r="O372" t="n">
        <v>0</v>
      </c>
      <c r="P372" t="n">
        <v>0</v>
      </c>
      <c r="Q372" t="n">
        <v>1</v>
      </c>
      <c r="R372" t="n">
        <v>1</v>
      </c>
      <c r="S372" t="n">
        <v>2</v>
      </c>
      <c r="T372" t="n">
        <v>3</v>
      </c>
      <c r="U372" t="n">
        <v>0</v>
      </c>
      <c r="V372" s="2" t="inlineStr">
        <is>
          <t>Slåttergubbe
Fläcknycklar</t>
        </is>
      </c>
      <c r="W372">
        <f>HYPERLINK("https://klasma.github.io/Logging_1765/artfynd/A 47629-2025 artfynd.xlsx", "A 47629-2025")</f>
        <v/>
      </c>
      <c r="X372">
        <f>HYPERLINK("https://klasma.github.io/Logging_1765/kartor/A 47629-2025 karta.png", "A 47629-2025")</f>
        <v/>
      </c>
      <c r="Y372">
        <f>HYPERLINK("https://klasma.github.io/Logging_1765/kartor_geotiff/A 47629-2025 georefererad karta.tif", "A 47629-2025")</f>
        <v/>
      </c>
      <c r="AA372">
        <f>HYPERLINK("https://klasma.github.io/Logging_1765/klagomål/A 47629-2025 FSC-klagomål.docx", "A 47629-2025")</f>
        <v/>
      </c>
      <c r="AB372">
        <f>HYPERLINK("https://klasma.github.io/Logging_1765/klagomålsmail/A 47629-2025 FSC-klagomål mail.docx", "A 47629-2025")</f>
        <v/>
      </c>
      <c r="AC372">
        <f>HYPERLINK("https://klasma.github.io/Logging_1765/tillsyn/A 47629-2025 tillsynsbegäran.docx", "A 47629-2025")</f>
        <v/>
      </c>
      <c r="AD372">
        <f>HYPERLINK("https://klasma.github.io/Logging_1765/tillsynsmail/A 47629-2025 tillsynsbegäran mail.docx", "A 47629-2025")</f>
        <v/>
      </c>
    </row>
    <row r="373" ht="15" customHeight="1">
      <c r="A373" t="inlineStr">
        <is>
          <t>A 45093-2024</t>
        </is>
      </c>
      <c r="B373" t="inlineStr">
        <is>
          <t>avverkningsanmälan</t>
        </is>
      </c>
      <c r="C373" t="inlineStr">
        <is>
          <t>Föryngringsavverkning</t>
        </is>
      </c>
      <c r="D373" s="1" t="n">
        <v>45575</v>
      </c>
      <c r="E373" s="1" t="n">
        <v>46307</v>
      </c>
      <c r="F373" t="inlineStr">
        <is>
          <t>VÄRMLANDS LÄN</t>
        </is>
      </c>
      <c r="G373" t="inlineStr">
        <is>
          <t>EDA</t>
        </is>
      </c>
      <c r="I373" t="n">
        <v>3.6</v>
      </c>
      <c r="J373" t="n">
        <v>1</v>
      </c>
      <c r="K373" t="n">
        <v>0</v>
      </c>
      <c r="L373" t="n">
        <v>0</v>
      </c>
      <c r="M373" t="n">
        <v>1</v>
      </c>
      <c r="N373" t="n">
        <v>0</v>
      </c>
      <c r="O373" t="n">
        <v>0</v>
      </c>
      <c r="P373" t="n">
        <v>0</v>
      </c>
      <c r="Q373" t="n">
        <v>1</v>
      </c>
      <c r="R373" t="n">
        <v>1</v>
      </c>
      <c r="S373" t="n">
        <v>2</v>
      </c>
      <c r="T373" t="n">
        <v>2</v>
      </c>
      <c r="U373" t="n">
        <v>0</v>
      </c>
      <c r="V373" s="2" t="inlineStr">
        <is>
          <t>Garnlav
Svartvit flugsnappare</t>
        </is>
      </c>
      <c r="W373">
        <f>HYPERLINK("https://klasma.github.io/Logging_1730/artfynd/A 45093-2024 artfynd.xlsx", "A 45093-2024")</f>
        <v/>
      </c>
      <c r="X373">
        <f>HYPERLINK("https://klasma.github.io/Logging_1730/kartor/A 45093-2024 karta.png", "A 45093-2024")</f>
        <v/>
      </c>
      <c r="Y373">
        <f>HYPERLINK("https://klasma.github.io/Logging_1730/kartor_geotiff/A 45093-2024 georefererad karta.tif", "A 45093-2024")</f>
        <v/>
      </c>
      <c r="AA373">
        <f>HYPERLINK("https://klasma.github.io/Logging_1730/klagomål/A 45093-2024 FSC-klagomål.docx", "A 45093-2024")</f>
        <v/>
      </c>
      <c r="AB373">
        <f>HYPERLINK("https://klasma.github.io/Logging_1730/klagomålsmail/A 45093-2024 FSC-klagomål mail.docx", "A 45093-2024")</f>
        <v/>
      </c>
      <c r="AC373">
        <f>HYPERLINK("https://klasma.github.io/Logging_1730/tillsyn/A 45093-2024 tillsynsbegäran.docx", "A 45093-2024")</f>
        <v/>
      </c>
      <c r="AD373">
        <f>HYPERLINK("https://klasma.github.io/Logging_1730/tillsynsmail/A 45093-2024 tillsynsbegäran mail.docx", "A 45093-2024")</f>
        <v/>
      </c>
    </row>
    <row r="374" ht="15" customHeight="1">
      <c r="A374" t="inlineStr">
        <is>
          <t>A 7240-2023</t>
        </is>
      </c>
      <c r="B374" t="inlineStr">
        <is>
          <t>avverkningsanmälan</t>
        </is>
      </c>
      <c r="C374" t="inlineStr">
        <is>
          <t>Föryngringsavverkning</t>
        </is>
      </c>
      <c r="D374" s="1" t="n">
        <v>44970</v>
      </c>
      <c r="E374" s="1" t="n">
        <v>46307</v>
      </c>
      <c r="F374" t="inlineStr">
        <is>
          <t>VÄRMLANDS LÄN</t>
        </is>
      </c>
      <c r="G374" t="inlineStr">
        <is>
          <t>EDA</t>
        </is>
      </c>
      <c r="I374" t="n">
        <v>17.4</v>
      </c>
      <c r="J374" t="n">
        <v>1</v>
      </c>
      <c r="K374" t="n">
        <v>1</v>
      </c>
      <c r="L374" t="n">
        <v>0</v>
      </c>
      <c r="M374" t="n">
        <v>0</v>
      </c>
      <c r="N374" t="n">
        <v>0</v>
      </c>
      <c r="O374" t="n">
        <v>0</v>
      </c>
      <c r="P374" t="n">
        <v>0</v>
      </c>
      <c r="Q374" t="n">
        <v>0</v>
      </c>
      <c r="R374" t="n">
        <v>0</v>
      </c>
      <c r="S374" t="n">
        <v>2</v>
      </c>
      <c r="T374" t="n">
        <v>3</v>
      </c>
      <c r="U374" t="n">
        <v>2</v>
      </c>
      <c r="V374" s="2" t="inlineStr">
        <is>
          <t>Sotriska
Fläcknycklar</t>
        </is>
      </c>
      <c r="W374">
        <f>HYPERLINK("https://klasma.github.io/Logging_1730/artfynd/A 7240-2023 artfynd.xlsx", "A 7240-2023")</f>
        <v/>
      </c>
      <c r="X374">
        <f>HYPERLINK("https://klasma.github.io/Logging_1730/kartor/A 7240-2023 karta.png", "A 7240-2023")</f>
        <v/>
      </c>
      <c r="Y374">
        <f>HYPERLINK("https://klasma.github.io/Logging_1730/kartor_geotiff/A 7240-2023 georefererad karta.tif", "A 7240-2023")</f>
        <v/>
      </c>
      <c r="AA374">
        <f>HYPERLINK("https://klasma.github.io/Logging_1730/klagomål/A 7240-2023 FSC-klagomål.docx", "A 7240-2023")</f>
        <v/>
      </c>
      <c r="AB374">
        <f>HYPERLINK("https://klasma.github.io/Logging_1730/klagomålsmail/A 7240-2023 FSC-klagomål mail.docx", "A 7240-2023")</f>
        <v/>
      </c>
      <c r="AC374">
        <f>HYPERLINK("https://klasma.github.io/Logging_1730/tillsyn/A 7240-2023 tillsynsbegäran.docx", "A 7240-2023")</f>
        <v/>
      </c>
      <c r="AD374">
        <f>HYPERLINK("https://klasma.github.io/Logging_1730/tillsynsmail/A 7240-2023 tillsynsbegäran mail.docx", "A 7240-2023")</f>
        <v/>
      </c>
    </row>
    <row r="375" ht="15" customHeight="1">
      <c r="A375" t="inlineStr">
        <is>
          <t>A 25859-2025</t>
        </is>
      </c>
      <c r="B375" t="inlineStr">
        <is>
          <t>avverkningsanmälan</t>
        </is>
      </c>
      <c r="C375" t="inlineStr">
        <is>
          <t>Föryngringsavverkning</t>
        </is>
      </c>
      <c r="D375" s="1" t="n">
        <v>45804</v>
      </c>
      <c r="E375" s="1" t="n">
        <v>46307</v>
      </c>
      <c r="F375" t="inlineStr">
        <is>
          <t>VÄRMLANDS LÄN</t>
        </is>
      </c>
      <c r="G375" t="inlineStr">
        <is>
          <t>TORSBY</t>
        </is>
      </c>
      <c r="I375" t="n">
        <v>2.4</v>
      </c>
      <c r="J375" t="n">
        <v>1</v>
      </c>
      <c r="K375" t="n">
        <v>1</v>
      </c>
      <c r="L375" t="n">
        <v>0</v>
      </c>
      <c r="M375" t="n">
        <v>1</v>
      </c>
      <c r="N375" t="n">
        <v>0</v>
      </c>
      <c r="O375" t="n">
        <v>0</v>
      </c>
      <c r="P375" t="n">
        <v>0</v>
      </c>
      <c r="Q375" t="n">
        <v>1</v>
      </c>
      <c r="R375" t="n">
        <v>1</v>
      </c>
      <c r="S375" t="n">
        <v>2</v>
      </c>
      <c r="T375" t="n">
        <v>2</v>
      </c>
      <c r="U375" t="n">
        <v>2</v>
      </c>
      <c r="V375" s="2" t="inlineStr">
        <is>
          <t>Garnlav
Spindelblomster</t>
        </is>
      </c>
      <c r="W375">
        <f>HYPERLINK("https://klasma.github.io/Logging_1737/artfynd/A 25859-2025 artfynd.xlsx", "A 25859-2025")</f>
        <v/>
      </c>
      <c r="X375">
        <f>HYPERLINK("https://klasma.github.io/Logging_1737/kartor/A 25859-2025 karta.png", "A 25859-2025")</f>
        <v/>
      </c>
      <c r="Y375">
        <f>HYPERLINK("https://klasma.github.io/Logging_1737/kartor_geotiff/A 25859-2025 georefererad karta.tif", "A 25859-2025")</f>
        <v/>
      </c>
      <c r="AA375">
        <f>HYPERLINK("https://klasma.github.io/Logging_1737/klagomål/A 25859-2025 FSC-klagomål.docx", "A 25859-2025")</f>
        <v/>
      </c>
      <c r="AB375">
        <f>HYPERLINK("https://klasma.github.io/Logging_1737/klagomålsmail/A 25859-2025 FSC-klagomål mail.docx", "A 25859-2025")</f>
        <v/>
      </c>
      <c r="AC375">
        <f>HYPERLINK("https://klasma.github.io/Logging_1737/tillsyn/A 25859-2025 tillsynsbegäran.docx", "A 25859-2025")</f>
        <v/>
      </c>
      <c r="AD375">
        <f>HYPERLINK("https://klasma.github.io/Logging_1737/tillsynsmail/A 25859-2025 tillsynsbegäran mail.docx", "A 25859-2025")</f>
        <v/>
      </c>
    </row>
    <row r="376" ht="15" customHeight="1">
      <c r="A376" t="inlineStr">
        <is>
          <t>A 25097-2025</t>
        </is>
      </c>
      <c r="B376" t="inlineStr">
        <is>
          <t>avverkningsanmälan</t>
        </is>
      </c>
      <c r="C376" t="inlineStr">
        <is>
          <t>Avverkning för annat ändamål</t>
        </is>
      </c>
      <c r="D376" s="1" t="n">
        <v>45798</v>
      </c>
      <c r="E376" s="1" t="n">
        <v>46307</v>
      </c>
      <c r="F376" t="inlineStr">
        <is>
          <t>VÄRMLANDS LÄN</t>
        </is>
      </c>
      <c r="G376" t="inlineStr">
        <is>
          <t>KARLSTAD</t>
        </is>
      </c>
      <c r="H376" t="inlineStr">
        <is>
          <t>Kommuner</t>
        </is>
      </c>
      <c r="I376" t="n">
        <v>1.2</v>
      </c>
      <c r="J376" t="n">
        <v>0</v>
      </c>
      <c r="K376" t="n">
        <v>0</v>
      </c>
      <c r="L376" t="n">
        <v>2</v>
      </c>
      <c r="M376" t="n">
        <v>0</v>
      </c>
      <c r="N376" t="n">
        <v>0</v>
      </c>
      <c r="O376" t="n">
        <v>0</v>
      </c>
      <c r="P376" t="n">
        <v>0</v>
      </c>
      <c r="Q376" t="n">
        <v>2</v>
      </c>
      <c r="R376" t="n">
        <v>0</v>
      </c>
      <c r="S376" t="n">
        <v>2</v>
      </c>
      <c r="T376" t="n">
        <v>2</v>
      </c>
      <c r="U376" t="n">
        <v>2</v>
      </c>
      <c r="V376" s="2" t="inlineStr">
        <is>
          <t>Kandelabersvamp
Vågticka</t>
        </is>
      </c>
      <c r="W376">
        <f>HYPERLINK("https://klasma.github.io/Logging_1780/artfynd/A 25097-2025 artfynd.xlsx", "A 25097-2025")</f>
        <v/>
      </c>
      <c r="X376">
        <f>HYPERLINK("https://klasma.github.io/Logging_1780/kartor/A 25097-2025 karta.png", "A 25097-2025")</f>
        <v/>
      </c>
      <c r="Y376">
        <f>HYPERLINK("https://klasma.github.io/Logging_1780/kartor_geotiff/A 25097-2025 georefererad karta.tif", "A 25097-2025")</f>
        <v/>
      </c>
      <c r="AA376">
        <f>HYPERLINK("https://klasma.github.io/Logging_1780/klagomål/A 25097-2025 FSC-klagomål.docx", "A 25097-2025")</f>
        <v/>
      </c>
      <c r="AB376">
        <f>HYPERLINK("https://klasma.github.io/Logging_1780/klagomålsmail/A 25097-2025 FSC-klagomål mail.docx", "A 25097-2025")</f>
        <v/>
      </c>
      <c r="AC376">
        <f>HYPERLINK("https://klasma.github.io/Logging_1780/tillsyn/A 25097-2025 tillsynsbegäran.docx", "A 25097-2025")</f>
        <v/>
      </c>
      <c r="AD376">
        <f>HYPERLINK("https://klasma.github.io/Logging_1780/tillsynsmail/A 25097-2025 tillsynsbegäran mail.docx", "A 25097-2025")</f>
        <v/>
      </c>
    </row>
    <row r="377" ht="15" customHeight="1">
      <c r="A377" t="inlineStr">
        <is>
          <t>A 49823-2025</t>
        </is>
      </c>
      <c r="B377" t="inlineStr">
        <is>
          <t>avverkningsanmälan</t>
        </is>
      </c>
      <c r="C377" t="inlineStr">
        <is>
          <t>Föryngringsavverkning</t>
        </is>
      </c>
      <c r="D377" s="1" t="n">
        <v>45940</v>
      </c>
      <c r="E377" s="1" t="n">
        <v>46307</v>
      </c>
      <c r="F377" t="inlineStr">
        <is>
          <t>VÄRMLANDS LÄN</t>
        </is>
      </c>
      <c r="G377" t="inlineStr">
        <is>
          <t>SUNNE</t>
        </is>
      </c>
      <c r="H377" t="inlineStr">
        <is>
          <t>Bergvik skog väst AB</t>
        </is>
      </c>
      <c r="I377" t="n">
        <v>11.1</v>
      </c>
      <c r="J377" t="n">
        <v>2</v>
      </c>
      <c r="K377" t="n">
        <v>1</v>
      </c>
      <c r="L377" t="n">
        <v>1</v>
      </c>
      <c r="M377" t="n">
        <v>0</v>
      </c>
      <c r="N377" t="n">
        <v>0</v>
      </c>
      <c r="O377" t="n">
        <v>0</v>
      </c>
      <c r="P377" t="n">
        <v>0</v>
      </c>
      <c r="Q377" t="n">
        <v>1</v>
      </c>
      <c r="R377" t="n">
        <v>0</v>
      </c>
      <c r="S377" t="n">
        <v>2</v>
      </c>
      <c r="T377" t="n">
        <v>2</v>
      </c>
      <c r="U377" t="n">
        <v>1</v>
      </c>
      <c r="V377" s="2" t="inlineStr">
        <is>
          <t>Bivråk
Spindelblomster</t>
        </is>
      </c>
      <c r="W377">
        <f>HYPERLINK("https://klasma.github.io/Logging_1766/artfynd/A 49823-2025 artfynd.xlsx", "A 49823-2025")</f>
        <v/>
      </c>
      <c r="X377">
        <f>HYPERLINK("https://klasma.github.io/Logging_1766/kartor/A 49823-2025 karta.png", "A 49823-2025")</f>
        <v/>
      </c>
      <c r="Y377">
        <f>HYPERLINK("https://klasma.github.io/Logging_1766/kartor_geotiff/A 49823-2025 georefererad karta.tif", "A 49823-2025")</f>
        <v/>
      </c>
      <c r="AA377">
        <f>HYPERLINK("https://klasma.github.io/Logging_1766/klagomål/A 49823-2025 FSC-klagomål.docx", "A 49823-2025")</f>
        <v/>
      </c>
      <c r="AB377">
        <f>HYPERLINK("https://klasma.github.io/Logging_1766/klagomålsmail/A 49823-2025 FSC-klagomål mail.docx", "A 49823-2025")</f>
        <v/>
      </c>
      <c r="AC377">
        <f>HYPERLINK("https://klasma.github.io/Logging_1766/tillsyn/A 49823-2025 tillsynsbegäran.docx", "A 49823-2025")</f>
        <v/>
      </c>
      <c r="AD377">
        <f>HYPERLINK("https://klasma.github.io/Logging_1766/tillsynsmail/A 49823-2025 tillsynsbegäran mail.docx", "A 49823-2025")</f>
        <v/>
      </c>
      <c r="AE377">
        <f>HYPERLINK("https://klasma.github.io/Logging_1766/fåglar/A 49823-2025 prioriterade fågelarter.docx", "A 49823-2025")</f>
        <v/>
      </c>
    </row>
    <row r="378" ht="15" customHeight="1">
      <c r="A378" t="inlineStr">
        <is>
          <t>A 49817-2025</t>
        </is>
      </c>
      <c r="B378" t="inlineStr">
        <is>
          <t>avverkningsanmälan</t>
        </is>
      </c>
      <c r="C378" t="inlineStr">
        <is>
          <t>Föryngringsavverkning</t>
        </is>
      </c>
      <c r="D378" s="1" t="n">
        <v>45940</v>
      </c>
      <c r="E378" s="1" t="n">
        <v>46307</v>
      </c>
      <c r="F378" t="inlineStr">
        <is>
          <t>VÄRMLANDS LÄN</t>
        </is>
      </c>
      <c r="G378" t="inlineStr">
        <is>
          <t>SUNNE</t>
        </is>
      </c>
      <c r="H378" t="inlineStr">
        <is>
          <t>Bergvik skog väst AB</t>
        </is>
      </c>
      <c r="I378" t="n">
        <v>8.800000000000001</v>
      </c>
      <c r="J378" t="n">
        <v>2</v>
      </c>
      <c r="K378" t="n">
        <v>1</v>
      </c>
      <c r="L378" t="n">
        <v>1</v>
      </c>
      <c r="M378" t="n">
        <v>0</v>
      </c>
      <c r="N378" t="n">
        <v>0</v>
      </c>
      <c r="O378" t="n">
        <v>0</v>
      </c>
      <c r="P378" t="n">
        <v>0</v>
      </c>
      <c r="Q378" t="n">
        <v>1</v>
      </c>
      <c r="R378" t="n">
        <v>0</v>
      </c>
      <c r="S378" t="n">
        <v>2</v>
      </c>
      <c r="T378" t="n">
        <v>2</v>
      </c>
      <c r="U378" t="n">
        <v>1</v>
      </c>
      <c r="V378" s="2" t="inlineStr">
        <is>
          <t>Bivråk
Spindelblomster</t>
        </is>
      </c>
      <c r="W378">
        <f>HYPERLINK("https://klasma.github.io/Logging_1766/artfynd/A 49817-2025 artfynd.xlsx", "A 49817-2025")</f>
        <v/>
      </c>
      <c r="X378">
        <f>HYPERLINK("https://klasma.github.io/Logging_1766/kartor/A 49817-2025 karta.png", "A 49817-2025")</f>
        <v/>
      </c>
      <c r="Y378">
        <f>HYPERLINK("https://klasma.github.io/Logging_1766/kartor_geotiff/A 49817-2025 georefererad karta.tif", "A 49817-2025")</f>
        <v/>
      </c>
      <c r="AA378">
        <f>HYPERLINK("https://klasma.github.io/Logging_1766/klagomål/A 49817-2025 FSC-klagomål.docx", "A 49817-2025")</f>
        <v/>
      </c>
      <c r="AB378">
        <f>HYPERLINK("https://klasma.github.io/Logging_1766/klagomålsmail/A 49817-2025 FSC-klagomål mail.docx", "A 49817-2025")</f>
        <v/>
      </c>
      <c r="AC378">
        <f>HYPERLINK("https://klasma.github.io/Logging_1766/tillsyn/A 49817-2025 tillsynsbegäran.docx", "A 49817-2025")</f>
        <v/>
      </c>
      <c r="AD378">
        <f>HYPERLINK("https://klasma.github.io/Logging_1766/tillsynsmail/A 49817-2025 tillsynsbegäran mail.docx", "A 49817-2025")</f>
        <v/>
      </c>
      <c r="AE378">
        <f>HYPERLINK("https://klasma.github.io/Logging_1766/fåglar/A 49817-2025 prioriterade fågelarter.docx", "A 49817-2025")</f>
        <v/>
      </c>
    </row>
    <row r="379" ht="15" customHeight="1">
      <c r="A379" t="inlineStr">
        <is>
          <t>A 49892-2025</t>
        </is>
      </c>
      <c r="B379" t="inlineStr">
        <is>
          <t>avverkningsanmälan</t>
        </is>
      </c>
      <c r="C379" t="inlineStr">
        <is>
          <t>Föryngringsavverkning</t>
        </is>
      </c>
      <c r="D379" s="1" t="n">
        <v>45940</v>
      </c>
      <c r="E379" s="1" t="n">
        <v>46307</v>
      </c>
      <c r="F379" t="inlineStr">
        <is>
          <t>VÄRMLANDS LÄN</t>
        </is>
      </c>
      <c r="G379" t="inlineStr">
        <is>
          <t>SUNNE</t>
        </is>
      </c>
      <c r="H379" t="inlineStr">
        <is>
          <t>Bergvik skog väst AB</t>
        </is>
      </c>
      <c r="I379" t="n">
        <v>0.5</v>
      </c>
      <c r="J379" t="n">
        <v>2</v>
      </c>
      <c r="K379" t="n">
        <v>0</v>
      </c>
      <c r="L379" t="n">
        <v>0</v>
      </c>
      <c r="M379" t="n">
        <v>0</v>
      </c>
      <c r="N379" t="n">
        <v>0</v>
      </c>
      <c r="O379" t="n">
        <v>0</v>
      </c>
      <c r="P379" t="n">
        <v>0</v>
      </c>
      <c r="Q379" t="n">
        <v>0</v>
      </c>
      <c r="R379" t="n">
        <v>0</v>
      </c>
      <c r="S379" t="n">
        <v>2</v>
      </c>
      <c r="T379" t="n">
        <v>2</v>
      </c>
      <c r="U379" t="n">
        <v>2</v>
      </c>
      <c r="V379" s="2" t="inlineStr">
        <is>
          <t>Tjäder
Orre</t>
        </is>
      </c>
      <c r="W379">
        <f>HYPERLINK("https://klasma.github.io/Logging_1766/artfynd/A 49892-2025 artfynd.xlsx", "A 49892-2025")</f>
        <v/>
      </c>
      <c r="X379">
        <f>HYPERLINK("https://klasma.github.io/Logging_1766/kartor/A 49892-2025 karta.png", "A 49892-2025")</f>
        <v/>
      </c>
      <c r="Y379">
        <f>HYPERLINK("https://klasma.github.io/Logging_1766/kartor_geotiff/A 49892-2025 georefererad karta.tif", "A 49892-2025")</f>
        <v/>
      </c>
      <c r="AA379">
        <f>HYPERLINK("https://klasma.github.io/Logging_1766/klagomål/A 49892-2025 FSC-klagomål.docx", "A 49892-2025")</f>
        <v/>
      </c>
      <c r="AB379">
        <f>HYPERLINK("https://klasma.github.io/Logging_1766/klagomålsmail/A 49892-2025 FSC-klagomål mail.docx", "A 49892-2025")</f>
        <v/>
      </c>
      <c r="AC379">
        <f>HYPERLINK("https://klasma.github.io/Logging_1766/tillsyn/A 49892-2025 tillsynsbegäran.docx", "A 49892-2025")</f>
        <v/>
      </c>
      <c r="AD379">
        <f>HYPERLINK("https://klasma.github.io/Logging_1766/tillsynsmail/A 49892-2025 tillsynsbegäran mail.docx", "A 49892-2025")</f>
        <v/>
      </c>
      <c r="AE379">
        <f>HYPERLINK("https://klasma.github.io/Logging_1766/fåglar/A 49892-2025 prioriterade fågelarter.docx", "A 49892-2025")</f>
        <v/>
      </c>
    </row>
    <row r="380" ht="15" customHeight="1">
      <c r="A380" t="inlineStr">
        <is>
          <t>A 16766-2022</t>
        </is>
      </c>
      <c r="B380" t="inlineStr">
        <is>
          <t>avverkningsanmälan</t>
        </is>
      </c>
      <c r="C380" t="inlineStr">
        <is>
          <t>Föryngringsavverkning</t>
        </is>
      </c>
      <c r="D380" s="1" t="n">
        <v>44673</v>
      </c>
      <c r="E380" s="1" t="n">
        <v>46307</v>
      </c>
      <c r="F380" t="inlineStr">
        <is>
          <t>VÄRMLANDS LÄN</t>
        </is>
      </c>
      <c r="G380" t="inlineStr">
        <is>
          <t>SÄFFLE</t>
        </is>
      </c>
      <c r="H380" t="inlineStr">
        <is>
          <t>Kyrkan</t>
        </is>
      </c>
      <c r="I380" t="n">
        <v>5.5</v>
      </c>
      <c r="J380" t="n">
        <v>1</v>
      </c>
      <c r="K380" t="n">
        <v>1</v>
      </c>
      <c r="L380" t="n">
        <v>0</v>
      </c>
      <c r="M380" t="n">
        <v>1</v>
      </c>
      <c r="N380" t="n">
        <v>0</v>
      </c>
      <c r="O380" t="n">
        <v>0</v>
      </c>
      <c r="P380" t="n">
        <v>0</v>
      </c>
      <c r="Q380" t="n">
        <v>1</v>
      </c>
      <c r="R380" t="n">
        <v>1</v>
      </c>
      <c r="S380" t="n">
        <v>2</v>
      </c>
      <c r="T380" t="n">
        <v>3</v>
      </c>
      <c r="U380" t="n">
        <v>1</v>
      </c>
      <c r="V380" s="2" t="inlineStr">
        <is>
          <t>Slåttergubbe
Korallrot</t>
        </is>
      </c>
      <c r="W380">
        <f>HYPERLINK("https://klasma.github.io/Logging_1785/artfynd/A 16766-2022 artfynd.xlsx", "A 16766-2022")</f>
        <v/>
      </c>
      <c r="X380">
        <f>HYPERLINK("https://klasma.github.io/Logging_1785/kartor/A 16766-2022 karta.png", "A 16766-2022")</f>
        <v/>
      </c>
      <c r="Y380">
        <f>HYPERLINK("https://klasma.github.io/Logging_1785/kartor_geotiff/A 16766-2022 georefererad karta.tif", "A 16766-2022")</f>
        <v/>
      </c>
      <c r="AA380">
        <f>HYPERLINK("https://klasma.github.io/Logging_1785/klagomål/A 16766-2022 FSC-klagomål.docx", "A 16766-2022")</f>
        <v/>
      </c>
      <c r="AB380">
        <f>HYPERLINK("https://klasma.github.io/Logging_1785/klagomålsmail/A 16766-2022 FSC-klagomål mail.docx", "A 16766-2022")</f>
        <v/>
      </c>
      <c r="AC380">
        <f>HYPERLINK("https://klasma.github.io/Logging_1785/tillsyn/A 16766-2022 tillsynsbegäran.docx", "A 16766-2022")</f>
        <v/>
      </c>
      <c r="AD380">
        <f>HYPERLINK("https://klasma.github.io/Logging_1785/tillsynsmail/A 16766-2022 tillsynsbegäran mail.docx", "A 16766-2022")</f>
        <v/>
      </c>
    </row>
    <row r="381" ht="15" customHeight="1">
      <c r="A381" t="inlineStr">
        <is>
          <t>A 19133-2024</t>
        </is>
      </c>
      <c r="B381" t="inlineStr">
        <is>
          <t>avverkningsanmälan</t>
        </is>
      </c>
      <c r="C381" t="inlineStr">
        <is>
          <t>Föryngringsavverkning</t>
        </is>
      </c>
      <c r="D381" s="1" t="n">
        <v>45428</v>
      </c>
      <c r="E381" s="1" t="n">
        <v>46307</v>
      </c>
      <c r="F381" t="inlineStr">
        <is>
          <t>VÄRMLANDS LÄN</t>
        </is>
      </c>
      <c r="G381" t="inlineStr">
        <is>
          <t>KARLSTAD</t>
        </is>
      </c>
      <c r="H381" t="inlineStr">
        <is>
          <t>Kommuner</t>
        </is>
      </c>
      <c r="I381" t="n">
        <v>2.8</v>
      </c>
      <c r="J381" t="n">
        <v>1</v>
      </c>
      <c r="K381" t="n">
        <v>1</v>
      </c>
      <c r="L381" t="n">
        <v>0</v>
      </c>
      <c r="M381" t="n">
        <v>1</v>
      </c>
      <c r="N381" t="n">
        <v>0</v>
      </c>
      <c r="O381" t="n">
        <v>0</v>
      </c>
      <c r="P381" t="n">
        <v>0</v>
      </c>
      <c r="Q381" t="n">
        <v>1</v>
      </c>
      <c r="R381" t="n">
        <v>1</v>
      </c>
      <c r="S381" t="n">
        <v>2</v>
      </c>
      <c r="T381" t="n">
        <v>2</v>
      </c>
      <c r="U381" t="n">
        <v>0</v>
      </c>
      <c r="V381" s="2" t="inlineStr">
        <is>
          <t>Knärot
Blåmossa</t>
        </is>
      </c>
      <c r="W381">
        <f>HYPERLINK("https://klasma.github.io/Logging_1780/artfynd/A 19133-2024 artfynd.xlsx", "A 19133-2024")</f>
        <v/>
      </c>
      <c r="X381">
        <f>HYPERLINK("https://klasma.github.io/Logging_1780/kartor/A 19133-2024 karta.png", "A 19133-2024")</f>
        <v/>
      </c>
      <c r="Y381">
        <f>HYPERLINK("https://klasma.github.io/Logging_1780/kartor_geotiff/A 19133-2024 georefererad karta.tif", "A 19133-2024")</f>
        <v/>
      </c>
      <c r="Z381">
        <f>HYPERLINK("https://klasma.github.io/Logging_1780/knärot/A 19133-2024 karta knärot.png", "A 19133-2024")</f>
        <v/>
      </c>
      <c r="AA381">
        <f>HYPERLINK("https://klasma.github.io/Logging_1780/klagomål/A 19133-2024 FSC-klagomål.docx", "A 19133-2024")</f>
        <v/>
      </c>
      <c r="AB381">
        <f>HYPERLINK("https://klasma.github.io/Logging_1780/klagomålsmail/A 19133-2024 FSC-klagomål mail.docx", "A 19133-2024")</f>
        <v/>
      </c>
      <c r="AC381">
        <f>HYPERLINK("https://klasma.github.io/Logging_1780/tillsyn/A 19133-2024 tillsynsbegäran.docx", "A 19133-2024")</f>
        <v/>
      </c>
      <c r="AD381">
        <f>HYPERLINK("https://klasma.github.io/Logging_1780/tillsynsmail/A 19133-2024 tillsynsbegäran mail.docx", "A 19133-2024")</f>
        <v/>
      </c>
    </row>
    <row r="382" ht="15" customHeight="1">
      <c r="A382" t="inlineStr">
        <is>
          <t>A 30457-2023</t>
        </is>
      </c>
      <c r="B382" t="inlineStr">
        <is>
          <t>avverkningsanmälan</t>
        </is>
      </c>
      <c r="C382" t="inlineStr">
        <is>
          <t>Föryngringsavverkning</t>
        </is>
      </c>
      <c r="D382" s="1" t="n">
        <v>45111</v>
      </c>
      <c r="E382" s="1" t="n">
        <v>46307</v>
      </c>
      <c r="F382" t="inlineStr">
        <is>
          <t>VÄRMLANDS LÄN</t>
        </is>
      </c>
      <c r="G382" t="inlineStr">
        <is>
          <t>ARVIKA</t>
        </is>
      </c>
      <c r="I382" t="n">
        <v>0.9</v>
      </c>
      <c r="J382" t="n">
        <v>0</v>
      </c>
      <c r="K382" t="n">
        <v>1</v>
      </c>
      <c r="L382" t="n">
        <v>1</v>
      </c>
      <c r="M382" t="n">
        <v>0</v>
      </c>
      <c r="N382" t="n">
        <v>0</v>
      </c>
      <c r="O382" t="n">
        <v>0</v>
      </c>
      <c r="P382" t="n">
        <v>0</v>
      </c>
      <c r="Q382" t="n">
        <v>1</v>
      </c>
      <c r="R382" t="n">
        <v>0</v>
      </c>
      <c r="S382" t="n">
        <v>2</v>
      </c>
      <c r="T382" t="n">
        <v>5</v>
      </c>
      <c r="U382" t="n">
        <v>0</v>
      </c>
      <c r="V382" s="2" t="inlineStr">
        <is>
          <t>Älg
Guldlockmossa</t>
        </is>
      </c>
      <c r="W382">
        <f>HYPERLINK("https://klasma.github.io/Logging_1784/artfynd/A 30457-2023 artfynd.xlsx", "A 30457-2023")</f>
        <v/>
      </c>
      <c r="X382">
        <f>HYPERLINK("https://klasma.github.io/Logging_1784/kartor/A 30457-2023 karta.png", "A 30457-2023")</f>
        <v/>
      </c>
      <c r="Y382">
        <f>HYPERLINK("https://klasma.github.io/Logging_1784/kartor_geotiff/A 30457-2023 georefererad karta.tif", "A 30457-2023")</f>
        <v/>
      </c>
      <c r="AA382">
        <f>HYPERLINK("https://klasma.github.io/Logging_1784/klagomål/A 30457-2023 FSC-klagomål.docx", "A 30457-2023")</f>
        <v/>
      </c>
      <c r="AB382">
        <f>HYPERLINK("https://klasma.github.io/Logging_1784/klagomålsmail/A 30457-2023 FSC-klagomål mail.docx", "A 30457-2023")</f>
        <v/>
      </c>
      <c r="AC382">
        <f>HYPERLINK("https://klasma.github.io/Logging_1784/tillsyn/A 30457-2023 tillsynsbegäran.docx", "A 30457-2023")</f>
        <v/>
      </c>
      <c r="AD382">
        <f>HYPERLINK("https://klasma.github.io/Logging_1784/tillsynsmail/A 30457-2023 tillsynsbegäran mail.docx", "A 30457-2023")</f>
        <v/>
      </c>
    </row>
    <row r="383" ht="15" customHeight="1">
      <c r="A383" t="inlineStr">
        <is>
          <t>A 28511-2025</t>
        </is>
      </c>
      <c r="B383" t="inlineStr">
        <is>
          <t>avverkningsanmälan</t>
        </is>
      </c>
      <c r="C383" t="inlineStr">
        <is>
          <t>Avverkning för att bevara och utveckla /försöksver</t>
        </is>
      </c>
      <c r="D383" s="1" t="n">
        <v>45819</v>
      </c>
      <c r="E383" s="1" t="n">
        <v>46307</v>
      </c>
      <c r="F383" t="inlineStr">
        <is>
          <t>VÄRMLANDS LÄN</t>
        </is>
      </c>
      <c r="G383" t="inlineStr">
        <is>
          <t>TORSBY</t>
        </is>
      </c>
      <c r="H383" t="inlineStr">
        <is>
          <t>Bergvik skog väst AB</t>
        </is>
      </c>
      <c r="I383" t="n">
        <v>7.3</v>
      </c>
      <c r="J383" t="n">
        <v>1</v>
      </c>
      <c r="K383" t="n">
        <v>0</v>
      </c>
      <c r="L383" t="n">
        <v>1</v>
      </c>
      <c r="M383" t="n">
        <v>0</v>
      </c>
      <c r="N383" t="n">
        <v>0</v>
      </c>
      <c r="O383" t="n">
        <v>0</v>
      </c>
      <c r="P383" t="n">
        <v>0</v>
      </c>
      <c r="Q383" t="n">
        <v>1</v>
      </c>
      <c r="R383" t="n">
        <v>0</v>
      </c>
      <c r="S383" t="n">
        <v>2</v>
      </c>
      <c r="T383" t="n">
        <v>2</v>
      </c>
      <c r="U383" t="n">
        <v>0</v>
      </c>
      <c r="V383" s="2" t="inlineStr">
        <is>
          <t>Brokig spegellöpare
Kopparödla</t>
        </is>
      </c>
      <c r="W383">
        <f>HYPERLINK("https://klasma.github.io/Logging_1737/artfynd/A 28511-2025 artfynd.xlsx", "A 28511-2025")</f>
        <v/>
      </c>
      <c r="X383">
        <f>HYPERLINK("https://klasma.github.io/Logging_1737/kartor/A 28511-2025 karta.png", "A 28511-2025")</f>
        <v/>
      </c>
      <c r="Y383">
        <f>HYPERLINK("https://klasma.github.io/Logging_1737/kartor_geotiff/A 28511-2025 georefererad karta.tif", "A 28511-2025")</f>
        <v/>
      </c>
      <c r="AA383">
        <f>HYPERLINK("https://klasma.github.io/Logging_1737/klagomål/A 28511-2025 FSC-klagomål.docx", "A 28511-2025")</f>
        <v/>
      </c>
      <c r="AB383">
        <f>HYPERLINK("https://klasma.github.io/Logging_1737/klagomålsmail/A 28511-2025 FSC-klagomål mail.docx", "A 28511-2025")</f>
        <v/>
      </c>
      <c r="AC383">
        <f>HYPERLINK("https://klasma.github.io/Logging_1737/tillsyn/A 28511-2025 tillsynsbegäran.docx", "A 28511-2025")</f>
        <v/>
      </c>
      <c r="AD383">
        <f>HYPERLINK("https://klasma.github.io/Logging_1737/tillsynsmail/A 28511-2025 tillsynsbegäran mail.docx", "A 28511-2025")</f>
        <v/>
      </c>
    </row>
    <row r="384" ht="15" customHeight="1">
      <c r="A384" t="inlineStr">
        <is>
          <t>A 57145-2024</t>
        </is>
      </c>
      <c r="B384" t="inlineStr">
        <is>
          <t>avverkningsanmälan</t>
        </is>
      </c>
      <c r="C384" t="inlineStr">
        <is>
          <t>Föryngringsavverkning</t>
        </is>
      </c>
      <c r="D384" s="1" t="n">
        <v>45629</v>
      </c>
      <c r="E384" s="1" t="n">
        <v>46307</v>
      </c>
      <c r="F384" t="inlineStr">
        <is>
          <t>VÄRMLANDS LÄN</t>
        </is>
      </c>
      <c r="G384" t="inlineStr">
        <is>
          <t>KARLSTAD</t>
        </is>
      </c>
      <c r="I384" t="n">
        <v>16.5</v>
      </c>
      <c r="J384" t="n">
        <v>1</v>
      </c>
      <c r="K384" t="n">
        <v>1</v>
      </c>
      <c r="L384" t="n">
        <v>0</v>
      </c>
      <c r="M384" t="n">
        <v>0</v>
      </c>
      <c r="N384" t="n">
        <v>0</v>
      </c>
      <c r="O384" t="n">
        <v>0</v>
      </c>
      <c r="P384" t="n">
        <v>0</v>
      </c>
      <c r="Q384" t="n">
        <v>0</v>
      </c>
      <c r="R384" t="n">
        <v>0</v>
      </c>
      <c r="S384" t="n">
        <v>2</v>
      </c>
      <c r="T384" t="n">
        <v>3</v>
      </c>
      <c r="U384" t="n">
        <v>3</v>
      </c>
      <c r="V384" s="2" t="inlineStr">
        <is>
          <t>Bårdlav
Blåsippa</t>
        </is>
      </c>
      <c r="W384">
        <f>HYPERLINK("https://klasma.github.io/Logging_1780/artfynd/A 57145-2024 artfynd.xlsx", "A 57145-2024")</f>
        <v/>
      </c>
      <c r="X384">
        <f>HYPERLINK("https://klasma.github.io/Logging_1780/kartor/A 57145-2024 karta.png", "A 57145-2024")</f>
        <v/>
      </c>
      <c r="Y384">
        <f>HYPERLINK("https://klasma.github.io/Logging_1780/kartor_geotiff/A 57145-2024 georefererad karta.tif", "A 57145-2024")</f>
        <v/>
      </c>
      <c r="AA384">
        <f>HYPERLINK("https://klasma.github.io/Logging_1780/klagomål/A 57145-2024 FSC-klagomål.docx", "A 57145-2024")</f>
        <v/>
      </c>
      <c r="AB384">
        <f>HYPERLINK("https://klasma.github.io/Logging_1780/klagomålsmail/A 57145-2024 FSC-klagomål mail.docx", "A 57145-2024")</f>
        <v/>
      </c>
      <c r="AC384">
        <f>HYPERLINK("https://klasma.github.io/Logging_1780/tillsyn/A 57145-2024 tillsynsbegäran.docx", "A 57145-2024")</f>
        <v/>
      </c>
      <c r="AD384">
        <f>HYPERLINK("https://klasma.github.io/Logging_1780/tillsynsmail/A 57145-2024 tillsynsbegäran mail.docx", "A 57145-2024")</f>
        <v/>
      </c>
    </row>
    <row r="385" ht="15" customHeight="1">
      <c r="A385" t="inlineStr">
        <is>
          <t>A 42610-2023</t>
        </is>
      </c>
      <c r="B385" t="inlineStr">
        <is>
          <t>avverkningsanmälan</t>
        </is>
      </c>
      <c r="C385" t="inlineStr">
        <is>
          <t>Föryngringsavverkning</t>
        </is>
      </c>
      <c r="D385" s="1" t="n">
        <v>45181</v>
      </c>
      <c r="E385" s="1" t="n">
        <v>46307</v>
      </c>
      <c r="F385" t="inlineStr">
        <is>
          <t>VÄRMLANDS LÄN</t>
        </is>
      </c>
      <c r="G385" t="inlineStr">
        <is>
          <t>TORSBY</t>
        </is>
      </c>
      <c r="I385" t="n">
        <v>16.9</v>
      </c>
      <c r="J385" t="n">
        <v>1</v>
      </c>
      <c r="K385" t="n">
        <v>0</v>
      </c>
      <c r="L385" t="n">
        <v>0</v>
      </c>
      <c r="M385" t="n">
        <v>1</v>
      </c>
      <c r="N385" t="n">
        <v>0</v>
      </c>
      <c r="O385" t="n">
        <v>0</v>
      </c>
      <c r="P385" t="n">
        <v>0</v>
      </c>
      <c r="Q385" t="n">
        <v>1</v>
      </c>
      <c r="R385" t="n">
        <v>1</v>
      </c>
      <c r="S385" t="n">
        <v>2</v>
      </c>
      <c r="T385" t="n">
        <v>2</v>
      </c>
      <c r="U385" t="n">
        <v>2</v>
      </c>
      <c r="V385" s="2" t="inlineStr">
        <is>
          <t>Garnlav
Tjäder</t>
        </is>
      </c>
      <c r="W385">
        <f>HYPERLINK("https://klasma.github.io/Logging_1737/artfynd/A 42610-2023 artfynd.xlsx", "A 42610-2023")</f>
        <v/>
      </c>
      <c r="X385">
        <f>HYPERLINK("https://klasma.github.io/Logging_1737/kartor/A 42610-2023 karta.png", "A 42610-2023")</f>
        <v/>
      </c>
      <c r="Y385">
        <f>HYPERLINK("https://klasma.github.io/Logging_1737/kartor_geotiff/A 42610-2023 georefererad karta.tif", "A 42610-2023")</f>
        <v/>
      </c>
      <c r="AA385">
        <f>HYPERLINK("https://klasma.github.io/Logging_1737/klagomål/A 42610-2023 FSC-klagomål.docx", "A 42610-2023")</f>
        <v/>
      </c>
      <c r="AB385">
        <f>HYPERLINK("https://klasma.github.io/Logging_1737/klagomålsmail/A 42610-2023 FSC-klagomål mail.docx", "A 42610-2023")</f>
        <v/>
      </c>
      <c r="AC385">
        <f>HYPERLINK("https://klasma.github.io/Logging_1737/tillsyn/A 42610-2023 tillsynsbegäran.docx", "A 42610-2023")</f>
        <v/>
      </c>
      <c r="AD385">
        <f>HYPERLINK("https://klasma.github.io/Logging_1737/tillsynsmail/A 42610-2023 tillsynsbegäran mail.docx", "A 42610-2023")</f>
        <v/>
      </c>
      <c r="AE385">
        <f>HYPERLINK("https://klasma.github.io/Logging_1737/fåglar/A 42610-2023 prioriterade fågelarter.docx", "A 42610-2023")</f>
        <v/>
      </c>
    </row>
    <row r="386" ht="15" customHeight="1">
      <c r="A386" t="inlineStr">
        <is>
          <t>A 12372-2022</t>
        </is>
      </c>
      <c r="B386" t="inlineStr">
        <is>
          <t>avverkningsanmälan</t>
        </is>
      </c>
      <c r="C386" t="inlineStr">
        <is>
          <t>Föryngringsavverkning</t>
        </is>
      </c>
      <c r="D386" s="1" t="n">
        <v>44637</v>
      </c>
      <c r="E386" s="1" t="n">
        <v>46307</v>
      </c>
      <c r="F386" t="inlineStr">
        <is>
          <t>VÄRMLANDS LÄN</t>
        </is>
      </c>
      <c r="G386" t="inlineStr">
        <is>
          <t>TORSBY</t>
        </is>
      </c>
      <c r="I386" t="n">
        <v>3.4</v>
      </c>
      <c r="J386" t="n">
        <v>0</v>
      </c>
      <c r="K386" t="n">
        <v>0</v>
      </c>
      <c r="L386" t="n">
        <v>1</v>
      </c>
      <c r="M386" t="n">
        <v>1</v>
      </c>
      <c r="N386" t="n">
        <v>0</v>
      </c>
      <c r="O386" t="n">
        <v>0</v>
      </c>
      <c r="P386" t="n">
        <v>0</v>
      </c>
      <c r="Q386" t="n">
        <v>2</v>
      </c>
      <c r="R386" t="n">
        <v>1</v>
      </c>
      <c r="S386" t="n">
        <v>2</v>
      </c>
      <c r="T386" t="n">
        <v>5</v>
      </c>
      <c r="U386" t="n">
        <v>0</v>
      </c>
      <c r="V386" s="2" t="inlineStr">
        <is>
          <t>Garnlav
Gammelgransskål</t>
        </is>
      </c>
      <c r="W386">
        <f>HYPERLINK("https://klasma.github.io/Logging_1737/artfynd/A 12372-2022 artfynd.xlsx", "A 12372-2022")</f>
        <v/>
      </c>
      <c r="X386">
        <f>HYPERLINK("https://klasma.github.io/Logging_1737/kartor/A 12372-2022 karta.png", "A 12372-2022")</f>
        <v/>
      </c>
      <c r="Y386">
        <f>HYPERLINK("https://klasma.github.io/Logging_1737/kartor_geotiff/A 12372-2022 georefererad karta.tif", "A 12372-2022")</f>
        <v/>
      </c>
      <c r="AA386">
        <f>HYPERLINK("https://klasma.github.io/Logging_1737/klagomål/A 12372-2022 FSC-klagomål.docx", "A 12372-2022")</f>
        <v/>
      </c>
      <c r="AB386">
        <f>HYPERLINK("https://klasma.github.io/Logging_1737/klagomålsmail/A 12372-2022 FSC-klagomål mail.docx", "A 12372-2022")</f>
        <v/>
      </c>
      <c r="AC386">
        <f>HYPERLINK("https://klasma.github.io/Logging_1737/tillsyn/A 12372-2022 tillsynsbegäran.docx", "A 12372-2022")</f>
        <v/>
      </c>
      <c r="AD386">
        <f>HYPERLINK("https://klasma.github.io/Logging_1737/tillsynsmail/A 12372-2022 tillsynsbegäran mail.docx", "A 12372-2022")</f>
        <v/>
      </c>
    </row>
    <row r="387" ht="15" customHeight="1">
      <c r="A387" t="inlineStr">
        <is>
          <t>A 12375-2022</t>
        </is>
      </c>
      <c r="B387" t="inlineStr">
        <is>
          <t>avverkningsanmälan</t>
        </is>
      </c>
      <c r="C387" t="inlineStr">
        <is>
          <t>Föryngringsavverkning</t>
        </is>
      </c>
      <c r="D387" s="1" t="n">
        <v>44637</v>
      </c>
      <c r="E387" s="1" t="n">
        <v>46307</v>
      </c>
      <c r="F387" t="inlineStr">
        <is>
          <t>VÄRMLANDS LÄN</t>
        </is>
      </c>
      <c r="G387" t="inlineStr">
        <is>
          <t>TORSBY</t>
        </is>
      </c>
      <c r="I387" t="n">
        <v>5.8</v>
      </c>
      <c r="J387" t="n">
        <v>0</v>
      </c>
      <c r="K387" t="n">
        <v>1</v>
      </c>
      <c r="L387" t="n">
        <v>0</v>
      </c>
      <c r="M387" t="n">
        <v>1</v>
      </c>
      <c r="N387" t="n">
        <v>0</v>
      </c>
      <c r="O387" t="n">
        <v>0</v>
      </c>
      <c r="P387" t="n">
        <v>0</v>
      </c>
      <c r="Q387" t="n">
        <v>1</v>
      </c>
      <c r="R387" t="n">
        <v>1</v>
      </c>
      <c r="S387" t="n">
        <v>2</v>
      </c>
      <c r="T387" t="n">
        <v>6</v>
      </c>
      <c r="U387" t="n">
        <v>6</v>
      </c>
      <c r="V387" s="2" t="inlineStr">
        <is>
          <t>Garnlav
Nästlav</t>
        </is>
      </c>
      <c r="W387">
        <f>HYPERLINK("https://klasma.github.io/Logging_1737/artfynd/A 12375-2022 artfynd.xlsx", "A 12375-2022")</f>
        <v/>
      </c>
      <c r="X387">
        <f>HYPERLINK("https://klasma.github.io/Logging_1737/kartor/A 12375-2022 karta.png", "A 12375-2022")</f>
        <v/>
      </c>
      <c r="Y387">
        <f>HYPERLINK("https://klasma.github.io/Logging_1737/kartor_geotiff/A 12375-2022 georefererad karta.tif", "A 12375-2022")</f>
        <v/>
      </c>
      <c r="AA387">
        <f>HYPERLINK("https://klasma.github.io/Logging_1737/klagomål/A 12375-2022 FSC-klagomål.docx", "A 12375-2022")</f>
        <v/>
      </c>
      <c r="AB387">
        <f>HYPERLINK("https://klasma.github.io/Logging_1737/klagomålsmail/A 12375-2022 FSC-klagomål mail.docx", "A 12375-2022")</f>
        <v/>
      </c>
      <c r="AC387">
        <f>HYPERLINK("https://klasma.github.io/Logging_1737/tillsyn/A 12375-2022 tillsynsbegäran.docx", "A 12375-2022")</f>
        <v/>
      </c>
      <c r="AD387">
        <f>HYPERLINK("https://klasma.github.io/Logging_1737/tillsynsmail/A 12375-2022 tillsynsbegäran mail.docx", "A 12375-2022")</f>
        <v/>
      </c>
    </row>
    <row r="388" ht="15" customHeight="1">
      <c r="A388" t="inlineStr">
        <is>
          <t>A 48292-2023</t>
        </is>
      </c>
      <c r="B388" t="inlineStr">
        <is>
          <t>avverkningsanmälan</t>
        </is>
      </c>
      <c r="C388" t="inlineStr">
        <is>
          <t>Föryngringsavverkning</t>
        </is>
      </c>
      <c r="D388" s="1" t="n">
        <v>45205</v>
      </c>
      <c r="E388" s="1" t="n">
        <v>46307</v>
      </c>
      <c r="F388" t="inlineStr">
        <is>
          <t>VÄRMLANDS LÄN</t>
        </is>
      </c>
      <c r="G388" t="inlineStr">
        <is>
          <t>TORSBY</t>
        </is>
      </c>
      <c r="I388" t="n">
        <v>2.3</v>
      </c>
      <c r="J388" t="n">
        <v>0</v>
      </c>
      <c r="K388" t="n">
        <v>1</v>
      </c>
      <c r="L388" t="n">
        <v>1</v>
      </c>
      <c r="M388" t="n">
        <v>0</v>
      </c>
      <c r="N388" t="n">
        <v>0</v>
      </c>
      <c r="O388" t="n">
        <v>0</v>
      </c>
      <c r="P388" t="n">
        <v>0</v>
      </c>
      <c r="Q388" t="n">
        <v>1</v>
      </c>
      <c r="R388" t="n">
        <v>0</v>
      </c>
      <c r="S388" t="n">
        <v>2</v>
      </c>
      <c r="T388" t="n">
        <v>4</v>
      </c>
      <c r="U388" t="n">
        <v>0</v>
      </c>
      <c r="V388" s="2" t="inlineStr">
        <is>
          <t>Vedtrappmossa
Vedticka</t>
        </is>
      </c>
      <c r="W388">
        <f>HYPERLINK("https://klasma.github.io/Logging_1737/artfynd/A 48292-2023 artfynd.xlsx", "A 48292-2023")</f>
        <v/>
      </c>
      <c r="X388">
        <f>HYPERLINK("https://klasma.github.io/Logging_1737/kartor/A 48292-2023 karta.png", "A 48292-2023")</f>
        <v/>
      </c>
      <c r="Y388">
        <f>HYPERLINK("https://klasma.github.io/Logging_1737/kartor_geotiff/A 48292-2023 georefererad karta.tif", "A 48292-2023")</f>
        <v/>
      </c>
      <c r="AA388">
        <f>HYPERLINK("https://klasma.github.io/Logging_1737/klagomål/A 48292-2023 FSC-klagomål.docx", "A 48292-2023")</f>
        <v/>
      </c>
      <c r="AB388">
        <f>HYPERLINK("https://klasma.github.io/Logging_1737/klagomålsmail/A 48292-2023 FSC-klagomål mail.docx", "A 48292-2023")</f>
        <v/>
      </c>
      <c r="AC388">
        <f>HYPERLINK("https://klasma.github.io/Logging_1737/tillsyn/A 48292-2023 tillsynsbegäran.docx", "A 48292-2023")</f>
        <v/>
      </c>
      <c r="AD388">
        <f>HYPERLINK("https://klasma.github.io/Logging_1737/tillsynsmail/A 48292-2023 tillsynsbegäran mail.docx", "A 48292-2023")</f>
        <v/>
      </c>
    </row>
    <row r="389" ht="15" customHeight="1">
      <c r="A389" t="inlineStr">
        <is>
          <t>A 45401-2023</t>
        </is>
      </c>
      <c r="B389" t="inlineStr">
        <is>
          <t>avverkningsanmälan</t>
        </is>
      </c>
      <c r="C389" t="inlineStr">
        <is>
          <t>Föryngringsavverkning</t>
        </is>
      </c>
      <c r="D389" s="1" t="n">
        <v>45194</v>
      </c>
      <c r="E389" s="1" t="n">
        <v>46307</v>
      </c>
      <c r="F389" t="inlineStr">
        <is>
          <t>VÄRMLANDS LÄN</t>
        </is>
      </c>
      <c r="G389" t="inlineStr">
        <is>
          <t>ARVIKA</t>
        </is>
      </c>
      <c r="I389" t="n">
        <v>2.4</v>
      </c>
      <c r="J389" t="n">
        <v>1</v>
      </c>
      <c r="K389" t="n">
        <v>0</v>
      </c>
      <c r="L389" t="n">
        <v>1</v>
      </c>
      <c r="M389" t="n">
        <v>1</v>
      </c>
      <c r="N389" t="n">
        <v>0</v>
      </c>
      <c r="O389" t="n">
        <v>0</v>
      </c>
      <c r="P389" t="n">
        <v>0</v>
      </c>
      <c r="Q389" t="n">
        <v>2</v>
      </c>
      <c r="R389" t="n">
        <v>1</v>
      </c>
      <c r="S389" t="n">
        <v>2</v>
      </c>
      <c r="T389" t="n">
        <v>2</v>
      </c>
      <c r="U389" t="n">
        <v>0</v>
      </c>
      <c r="V389" s="2" t="inlineStr">
        <is>
          <t>Knärot
Skogsklocka</t>
        </is>
      </c>
      <c r="W389">
        <f>HYPERLINK("https://klasma.github.io/Logging_1784/artfynd/A 45401-2023 artfynd.xlsx", "A 45401-2023")</f>
        <v/>
      </c>
      <c r="X389">
        <f>HYPERLINK("https://klasma.github.io/Logging_1784/kartor/A 45401-2023 karta.png", "A 45401-2023")</f>
        <v/>
      </c>
      <c r="Y389">
        <f>HYPERLINK("https://klasma.github.io/Logging_1784/kartor_geotiff/A 45401-2023 georefererad karta.tif", "A 45401-2023")</f>
        <v/>
      </c>
      <c r="Z389">
        <f>HYPERLINK("https://klasma.github.io/Logging_1784/knärot/A 45401-2023 karta knärot.png", "A 45401-2023")</f>
        <v/>
      </c>
      <c r="AA389">
        <f>HYPERLINK("https://klasma.github.io/Logging_1784/klagomål/A 45401-2023 FSC-klagomål.docx", "A 45401-2023")</f>
        <v/>
      </c>
      <c r="AB389">
        <f>HYPERLINK("https://klasma.github.io/Logging_1784/klagomålsmail/A 45401-2023 FSC-klagomål mail.docx", "A 45401-2023")</f>
        <v/>
      </c>
      <c r="AC389">
        <f>HYPERLINK("https://klasma.github.io/Logging_1784/tillsyn/A 45401-2023 tillsynsbegäran.docx", "A 45401-2023")</f>
        <v/>
      </c>
      <c r="AD389">
        <f>HYPERLINK("https://klasma.github.io/Logging_1784/tillsynsmail/A 45401-2023 tillsynsbegäran mail.docx", "A 45401-2023")</f>
        <v/>
      </c>
    </row>
    <row r="390" ht="15" customHeight="1">
      <c r="A390" t="inlineStr">
        <is>
          <t>A 32328-2025</t>
        </is>
      </c>
      <c r="B390" t="inlineStr">
        <is>
          <t>avverkningsanmälan</t>
        </is>
      </c>
      <c r="C390" t="inlineStr">
        <is>
          <t>Föryngringsavverkning</t>
        </is>
      </c>
      <c r="D390" s="1" t="n">
        <v>45836</v>
      </c>
      <c r="E390" s="1" t="n">
        <v>46307</v>
      </c>
      <c r="F390" t="inlineStr">
        <is>
          <t>VÄRMLANDS LÄN</t>
        </is>
      </c>
      <c r="G390" t="inlineStr">
        <is>
          <t>TORSBY</t>
        </is>
      </c>
      <c r="I390" t="n">
        <v>1.1</v>
      </c>
      <c r="J390" t="n">
        <v>0</v>
      </c>
      <c r="K390" t="n">
        <v>0</v>
      </c>
      <c r="L390" t="n">
        <v>2</v>
      </c>
      <c r="M390" t="n">
        <v>0</v>
      </c>
      <c r="N390" t="n">
        <v>0</v>
      </c>
      <c r="O390" t="n">
        <v>0</v>
      </c>
      <c r="P390" t="n">
        <v>0</v>
      </c>
      <c r="Q390" t="n">
        <v>2</v>
      </c>
      <c r="R390" t="n">
        <v>0</v>
      </c>
      <c r="S390" t="n">
        <v>2</v>
      </c>
      <c r="T390" t="n">
        <v>2</v>
      </c>
      <c r="U390" t="n">
        <v>1</v>
      </c>
      <c r="V390" s="2" t="inlineStr">
        <is>
          <t>Dropptaggsvamp
Ullticka</t>
        </is>
      </c>
      <c r="W390">
        <f>HYPERLINK("https://klasma.github.io/Logging_1737/artfynd/A 32328-2025 artfynd.xlsx", "A 32328-2025")</f>
        <v/>
      </c>
      <c r="X390">
        <f>HYPERLINK("https://klasma.github.io/Logging_1737/kartor/A 32328-2025 karta.png", "A 32328-2025")</f>
        <v/>
      </c>
      <c r="Y390">
        <f>HYPERLINK("https://klasma.github.io/Logging_1737/kartor_geotiff/A 32328-2025 georefererad karta.tif", "A 32328-2025")</f>
        <v/>
      </c>
      <c r="AA390">
        <f>HYPERLINK("https://klasma.github.io/Logging_1737/klagomål/A 32328-2025 FSC-klagomål.docx", "A 32328-2025")</f>
        <v/>
      </c>
      <c r="AB390">
        <f>HYPERLINK("https://klasma.github.io/Logging_1737/klagomålsmail/A 32328-2025 FSC-klagomål mail.docx", "A 32328-2025")</f>
        <v/>
      </c>
      <c r="AC390">
        <f>HYPERLINK("https://klasma.github.io/Logging_1737/tillsyn/A 32328-2025 tillsynsbegäran.docx", "A 32328-2025")</f>
        <v/>
      </c>
      <c r="AD390">
        <f>HYPERLINK("https://klasma.github.io/Logging_1737/tillsynsmail/A 32328-2025 tillsynsbegäran mail.docx", "A 32328-2025")</f>
        <v/>
      </c>
    </row>
    <row r="391" ht="15" customHeight="1">
      <c r="A391" t="inlineStr">
        <is>
          <t>A 1161-2025</t>
        </is>
      </c>
      <c r="B391" t="inlineStr">
        <is>
          <t>avverkningsanmälan</t>
        </is>
      </c>
      <c r="C391" t="inlineStr">
        <is>
          <t>Föryngringsavverkning</t>
        </is>
      </c>
      <c r="D391" s="1" t="n">
        <v>45666</v>
      </c>
      <c r="E391" s="1" t="n">
        <v>46307</v>
      </c>
      <c r="F391" t="inlineStr">
        <is>
          <t>VÄRMLANDS LÄN</t>
        </is>
      </c>
      <c r="G391" t="inlineStr">
        <is>
          <t>TORSBY</t>
        </is>
      </c>
      <c r="I391" t="n">
        <v>1.3</v>
      </c>
      <c r="J391" t="n">
        <v>0</v>
      </c>
      <c r="K391" t="n">
        <v>0</v>
      </c>
      <c r="L391" t="n">
        <v>2</v>
      </c>
      <c r="M391" t="n">
        <v>0</v>
      </c>
      <c r="N391" t="n">
        <v>0</v>
      </c>
      <c r="O391" t="n">
        <v>0</v>
      </c>
      <c r="P391" t="n">
        <v>0</v>
      </c>
      <c r="Q391" t="n">
        <v>2</v>
      </c>
      <c r="R391" t="n">
        <v>0</v>
      </c>
      <c r="S391" t="n">
        <v>2</v>
      </c>
      <c r="T391" t="n">
        <v>2</v>
      </c>
      <c r="U391" t="n">
        <v>0</v>
      </c>
      <c r="V391" s="2" t="inlineStr">
        <is>
          <t>Gullklöver
Skogsklocka</t>
        </is>
      </c>
      <c r="W391">
        <f>HYPERLINK("https://klasma.github.io/Logging_1737/artfynd/A 1161-2025 artfynd.xlsx", "A 1161-2025")</f>
        <v/>
      </c>
      <c r="X391">
        <f>HYPERLINK("https://klasma.github.io/Logging_1737/kartor/A 1161-2025 karta.png", "A 1161-2025")</f>
        <v/>
      </c>
      <c r="Y391">
        <f>HYPERLINK("https://klasma.github.io/Logging_1737/kartor_geotiff/A 1161-2025 georefererad karta.tif", "A 1161-2025")</f>
        <v/>
      </c>
      <c r="AA391">
        <f>HYPERLINK("https://klasma.github.io/Logging_1737/klagomål/A 1161-2025 FSC-klagomål.docx", "A 1161-2025")</f>
        <v/>
      </c>
      <c r="AB391">
        <f>HYPERLINK("https://klasma.github.io/Logging_1737/klagomålsmail/A 1161-2025 FSC-klagomål mail.docx", "A 1161-2025")</f>
        <v/>
      </c>
      <c r="AC391">
        <f>HYPERLINK("https://klasma.github.io/Logging_1737/tillsyn/A 1161-2025 tillsynsbegäran.docx", "A 1161-2025")</f>
        <v/>
      </c>
      <c r="AD391">
        <f>HYPERLINK("https://klasma.github.io/Logging_1737/tillsynsmail/A 1161-2025 tillsynsbegäran mail.docx", "A 1161-2025")</f>
        <v/>
      </c>
    </row>
    <row r="392" ht="15" customHeight="1">
      <c r="A392" t="inlineStr">
        <is>
          <t>A 6134-2023</t>
        </is>
      </c>
      <c r="B392" t="inlineStr">
        <is>
          <t>avverkningsanmälan</t>
        </is>
      </c>
      <c r="C392" t="inlineStr">
        <is>
          <t>Föryngringsavverkning</t>
        </is>
      </c>
      <c r="D392" s="1" t="n">
        <v>44964</v>
      </c>
      <c r="E392" s="1" t="n">
        <v>46307</v>
      </c>
      <c r="F392" t="inlineStr">
        <is>
          <t>VÄRMLANDS LÄN</t>
        </is>
      </c>
      <c r="G392" t="inlineStr">
        <is>
          <t>ÅRJÄNG</t>
        </is>
      </c>
      <c r="I392" t="n">
        <v>5.4</v>
      </c>
      <c r="J392" t="n">
        <v>0</v>
      </c>
      <c r="K392" t="n">
        <v>1</v>
      </c>
      <c r="L392" t="n">
        <v>0</v>
      </c>
      <c r="M392" t="n">
        <v>1</v>
      </c>
      <c r="N392" t="n">
        <v>0</v>
      </c>
      <c r="O392" t="n">
        <v>0</v>
      </c>
      <c r="P392" t="n">
        <v>0</v>
      </c>
      <c r="Q392" t="n">
        <v>1</v>
      </c>
      <c r="R392" t="n">
        <v>1</v>
      </c>
      <c r="S392" t="n">
        <v>2</v>
      </c>
      <c r="T392" t="n">
        <v>3</v>
      </c>
      <c r="U392" t="n">
        <v>3</v>
      </c>
      <c r="V392" s="2" t="inlineStr">
        <is>
          <t>Garnlav
Korallblylav</t>
        </is>
      </c>
      <c r="W392">
        <f>HYPERLINK("https://klasma.github.io/Logging_1765/artfynd/A 6134-2023 artfynd.xlsx", "A 6134-2023")</f>
        <v/>
      </c>
      <c r="X392">
        <f>HYPERLINK("https://klasma.github.io/Logging_1765/kartor/A 6134-2023 karta.png", "A 6134-2023")</f>
        <v/>
      </c>
      <c r="Y392">
        <f>HYPERLINK("https://klasma.github.io/Logging_1765/kartor_geotiff/A 6134-2023 georefererad karta.tif", "A 6134-2023")</f>
        <v/>
      </c>
      <c r="AA392">
        <f>HYPERLINK("https://klasma.github.io/Logging_1765/klagomål/A 6134-2023 FSC-klagomål.docx", "A 6134-2023")</f>
        <v/>
      </c>
      <c r="AB392">
        <f>HYPERLINK("https://klasma.github.io/Logging_1765/klagomålsmail/A 6134-2023 FSC-klagomål mail.docx", "A 6134-2023")</f>
        <v/>
      </c>
      <c r="AC392">
        <f>HYPERLINK("https://klasma.github.io/Logging_1765/tillsyn/A 6134-2023 tillsynsbegäran.docx", "A 6134-2023")</f>
        <v/>
      </c>
      <c r="AD392">
        <f>HYPERLINK("https://klasma.github.io/Logging_1765/tillsynsmail/A 6134-2023 tillsynsbegäran mail.docx", "A 6134-2023")</f>
        <v/>
      </c>
    </row>
    <row r="393" ht="15" customHeight="1">
      <c r="A393" t="inlineStr">
        <is>
          <t>A 59639-2021</t>
        </is>
      </c>
      <c r="B393" t="inlineStr">
        <is>
          <t>avverkningsanmälan</t>
        </is>
      </c>
      <c r="C393" t="inlineStr">
        <is>
          <t>Föryngringsavverkning</t>
        </is>
      </c>
      <c r="D393" s="1" t="n">
        <v>44493</v>
      </c>
      <c r="E393" s="1" t="n">
        <v>46307</v>
      </c>
      <c r="F393" t="inlineStr">
        <is>
          <t>VÄRMLANDS LÄN</t>
        </is>
      </c>
      <c r="G393" t="inlineStr">
        <is>
          <t>KARLSTAD</t>
        </is>
      </c>
      <c r="I393" t="n">
        <v>4.1</v>
      </c>
      <c r="J393" t="n">
        <v>0</v>
      </c>
      <c r="K393" t="n">
        <v>1</v>
      </c>
      <c r="L393" t="n">
        <v>1</v>
      </c>
      <c r="M393" t="n">
        <v>0</v>
      </c>
      <c r="N393" t="n">
        <v>0</v>
      </c>
      <c r="O393" t="n">
        <v>0</v>
      </c>
      <c r="P393" t="n">
        <v>0</v>
      </c>
      <c r="Q393" t="n">
        <v>1</v>
      </c>
      <c r="R393" t="n">
        <v>0</v>
      </c>
      <c r="S393" t="n">
        <v>2</v>
      </c>
      <c r="T393" t="n">
        <v>2</v>
      </c>
      <c r="U393" t="n">
        <v>1</v>
      </c>
      <c r="V393" s="2" t="inlineStr">
        <is>
          <t>Gullpudra
Dvärghäxört</t>
        </is>
      </c>
      <c r="W393">
        <f>HYPERLINK("https://klasma.github.io/Logging_1780/artfynd/A 59639-2021 artfynd.xlsx", "A 59639-2021")</f>
        <v/>
      </c>
      <c r="X393">
        <f>HYPERLINK("https://klasma.github.io/Logging_1780/kartor/A 59639-2021 karta.png", "A 59639-2021")</f>
        <v/>
      </c>
      <c r="Y393">
        <f>HYPERLINK("https://klasma.github.io/Logging_1780/kartor_geotiff/A 59639-2021 georefererad karta.tif", "A 59639-2021")</f>
        <v/>
      </c>
      <c r="AA393">
        <f>HYPERLINK("https://klasma.github.io/Logging_1780/klagomål/A 59639-2021 FSC-klagomål.docx", "A 59639-2021")</f>
        <v/>
      </c>
      <c r="AB393">
        <f>HYPERLINK("https://klasma.github.io/Logging_1780/klagomålsmail/A 59639-2021 FSC-klagomål mail.docx", "A 59639-2021")</f>
        <v/>
      </c>
      <c r="AC393">
        <f>HYPERLINK("https://klasma.github.io/Logging_1780/tillsyn/A 59639-2021 tillsynsbegäran.docx", "A 59639-2021")</f>
        <v/>
      </c>
      <c r="AD393">
        <f>HYPERLINK("https://klasma.github.io/Logging_1780/tillsynsmail/A 59639-2021 tillsynsbegäran mail.docx", "A 59639-2021")</f>
        <v/>
      </c>
    </row>
    <row r="394" ht="15" customHeight="1">
      <c r="A394" t="inlineStr">
        <is>
          <t>A 13490-2025</t>
        </is>
      </c>
      <c r="B394" t="inlineStr">
        <is>
          <t>avverkningsanmälan</t>
        </is>
      </c>
      <c r="C394" t="inlineStr">
        <is>
          <t>Föryngringsavverkning</t>
        </is>
      </c>
      <c r="D394" s="1" t="n">
        <v>45736</v>
      </c>
      <c r="E394" s="1" t="n">
        <v>46307</v>
      </c>
      <c r="F394" t="inlineStr">
        <is>
          <t>VÄRMLANDS LÄN</t>
        </is>
      </c>
      <c r="G394" t="inlineStr">
        <is>
          <t>ARVIKA</t>
        </is>
      </c>
      <c r="I394" t="n">
        <v>2.5</v>
      </c>
      <c r="J394" t="n">
        <v>2</v>
      </c>
      <c r="K394" t="n">
        <v>0</v>
      </c>
      <c r="L394" t="n">
        <v>0</v>
      </c>
      <c r="M394" t="n">
        <v>0</v>
      </c>
      <c r="N394" t="n">
        <v>0</v>
      </c>
      <c r="O394" t="n">
        <v>0</v>
      </c>
      <c r="P394" t="n">
        <v>0</v>
      </c>
      <c r="Q394" t="n">
        <v>0</v>
      </c>
      <c r="R394" t="n">
        <v>0</v>
      </c>
      <c r="S394" t="n">
        <v>2</v>
      </c>
      <c r="T394" t="n">
        <v>2</v>
      </c>
      <c r="U394" t="n">
        <v>1</v>
      </c>
      <c r="V394" s="2" t="inlineStr">
        <is>
          <t>Fiskgjuse
Sångsvan</t>
        </is>
      </c>
      <c r="W394">
        <f>HYPERLINK("https://klasma.github.io/Logging_1784/artfynd/A 13490-2025 artfynd.xlsx", "A 13490-2025")</f>
        <v/>
      </c>
      <c r="X394">
        <f>HYPERLINK("https://klasma.github.io/Logging_1784/kartor/A 13490-2025 karta.png", "A 13490-2025")</f>
        <v/>
      </c>
      <c r="Y394">
        <f>HYPERLINK("https://klasma.github.io/Logging_1784/kartor_geotiff/A 13490-2025 georefererad karta.tif", "A 13490-2025")</f>
        <v/>
      </c>
      <c r="AA394">
        <f>HYPERLINK("https://klasma.github.io/Logging_1784/klagomål/A 13490-2025 FSC-klagomål.docx", "A 13490-2025")</f>
        <v/>
      </c>
      <c r="AB394">
        <f>HYPERLINK("https://klasma.github.io/Logging_1784/klagomålsmail/A 13490-2025 FSC-klagomål mail.docx", "A 13490-2025")</f>
        <v/>
      </c>
      <c r="AC394">
        <f>HYPERLINK("https://klasma.github.io/Logging_1784/tillsyn/A 13490-2025 tillsynsbegäran.docx", "A 13490-2025")</f>
        <v/>
      </c>
      <c r="AD394">
        <f>HYPERLINK("https://klasma.github.io/Logging_1784/tillsynsmail/A 13490-2025 tillsynsbegäran mail.docx", "A 13490-2025")</f>
        <v/>
      </c>
      <c r="AE394">
        <f>HYPERLINK("https://klasma.github.io/Logging_1784/fåglar/A 13490-2025 prioriterade fågelarter.docx", "A 13490-2025")</f>
        <v/>
      </c>
    </row>
    <row r="395" ht="15" customHeight="1">
      <c r="A395" t="inlineStr">
        <is>
          <t>A 25212-2025</t>
        </is>
      </c>
      <c r="B395" t="inlineStr">
        <is>
          <t>avverkningsanmälan</t>
        </is>
      </c>
      <c r="C395" t="inlineStr">
        <is>
          <t>Föryngringsavverkning</t>
        </is>
      </c>
      <c r="D395" s="1" t="n">
        <v>45800</v>
      </c>
      <c r="E395" s="1" t="n">
        <v>46307</v>
      </c>
      <c r="F395" t="inlineStr">
        <is>
          <t>VÄRMLANDS LÄN</t>
        </is>
      </c>
      <c r="G395" t="inlineStr">
        <is>
          <t>TORSBY</t>
        </is>
      </c>
      <c r="H395" t="inlineStr">
        <is>
          <t>Bergvik skog väst AB</t>
        </is>
      </c>
      <c r="I395" t="n">
        <v>6.4</v>
      </c>
      <c r="J395" t="n">
        <v>1</v>
      </c>
      <c r="K395" t="n">
        <v>1</v>
      </c>
      <c r="L395" t="n">
        <v>0</v>
      </c>
      <c r="M395" t="n">
        <v>0</v>
      </c>
      <c r="N395" t="n">
        <v>1</v>
      </c>
      <c r="O395" t="n">
        <v>0</v>
      </c>
      <c r="P395" t="n">
        <v>0</v>
      </c>
      <c r="Q395" t="n">
        <v>1</v>
      </c>
      <c r="R395" t="n">
        <v>1</v>
      </c>
      <c r="S395" t="n">
        <v>2</v>
      </c>
      <c r="T395" t="n">
        <v>8</v>
      </c>
      <c r="U395" t="n">
        <v>0</v>
      </c>
      <c r="V395" s="2" t="inlineStr">
        <is>
          <t>Bombmurkla
Vedticka</t>
        </is>
      </c>
      <c r="W395">
        <f>HYPERLINK("https://klasma.github.io/Logging_1737/artfynd/A 25212-2025 artfynd.xlsx", "A 25212-2025")</f>
        <v/>
      </c>
      <c r="X395">
        <f>HYPERLINK("https://klasma.github.io/Logging_1737/kartor/A 25212-2025 karta.png", "A 25212-2025")</f>
        <v/>
      </c>
      <c r="Y395">
        <f>HYPERLINK("https://klasma.github.io/Logging_1737/kartor_geotiff/A 25212-2025 georefererad karta.tif", "A 25212-2025")</f>
        <v/>
      </c>
      <c r="AA395">
        <f>HYPERLINK("https://klasma.github.io/Logging_1737/klagomål/A 25212-2025 FSC-klagomål.docx", "A 25212-2025")</f>
        <v/>
      </c>
      <c r="AB395">
        <f>HYPERLINK("https://klasma.github.io/Logging_1737/klagomålsmail/A 25212-2025 FSC-klagomål mail.docx", "A 25212-2025")</f>
        <v/>
      </c>
      <c r="AC395">
        <f>HYPERLINK("https://klasma.github.io/Logging_1737/tillsyn/A 25212-2025 tillsynsbegäran.docx", "A 25212-2025")</f>
        <v/>
      </c>
      <c r="AD395">
        <f>HYPERLINK("https://klasma.github.io/Logging_1737/tillsynsmail/A 25212-2025 tillsynsbegäran mail.docx", "A 25212-2025")</f>
        <v/>
      </c>
    </row>
    <row r="396" ht="15" customHeight="1">
      <c r="A396" t="inlineStr">
        <is>
          <t>A 39251-2023</t>
        </is>
      </c>
      <c r="B396" t="inlineStr">
        <is>
          <t>avverkningsanmälan</t>
        </is>
      </c>
      <c r="C396" t="inlineStr">
        <is>
          <t>Föryngringsavverkning</t>
        </is>
      </c>
      <c r="D396" s="1" t="n">
        <v>45166</v>
      </c>
      <c r="E396" s="1" t="n">
        <v>46307</v>
      </c>
      <c r="F396" t="inlineStr">
        <is>
          <t>VÄRMLANDS LÄN</t>
        </is>
      </c>
      <c r="G396" t="inlineStr">
        <is>
          <t>ÅRJÄNG</t>
        </is>
      </c>
      <c r="H396" t="inlineStr">
        <is>
          <t>Kyrkan</t>
        </is>
      </c>
      <c r="I396" t="n">
        <v>5.1</v>
      </c>
      <c r="J396" t="n">
        <v>2</v>
      </c>
      <c r="K396" t="n">
        <v>0</v>
      </c>
      <c r="L396" t="n">
        <v>1</v>
      </c>
      <c r="M396" t="n">
        <v>0</v>
      </c>
      <c r="N396" t="n">
        <v>0</v>
      </c>
      <c r="O396" t="n">
        <v>0</v>
      </c>
      <c r="P396" t="n">
        <v>0</v>
      </c>
      <c r="Q396" t="n">
        <v>1</v>
      </c>
      <c r="R396" t="n">
        <v>0</v>
      </c>
      <c r="S396" t="n">
        <v>2</v>
      </c>
      <c r="T396" t="n">
        <v>2</v>
      </c>
      <c r="U396" t="n">
        <v>2</v>
      </c>
      <c r="V396" s="2" t="inlineStr">
        <is>
          <t>Nordfladdermus
Vattenfladdermus</t>
        </is>
      </c>
      <c r="W396">
        <f>HYPERLINK("https://klasma.github.io/Logging_1765/artfynd/A 39251-2023 artfynd.xlsx", "A 39251-2023")</f>
        <v/>
      </c>
      <c r="X396">
        <f>HYPERLINK("https://klasma.github.io/Logging_1765/kartor/A 39251-2023 karta.png", "A 39251-2023")</f>
        <v/>
      </c>
      <c r="Y396">
        <f>HYPERLINK("https://klasma.github.io/Logging_1765/kartor_geotiff/A 39251-2023 georefererad karta.tif", "A 39251-2023")</f>
        <v/>
      </c>
      <c r="AA396">
        <f>HYPERLINK("https://klasma.github.io/Logging_1765/klagomål/A 39251-2023 FSC-klagomål.docx", "A 39251-2023")</f>
        <v/>
      </c>
      <c r="AB396">
        <f>HYPERLINK("https://klasma.github.io/Logging_1765/klagomålsmail/A 39251-2023 FSC-klagomål mail.docx", "A 39251-2023")</f>
        <v/>
      </c>
      <c r="AC396">
        <f>HYPERLINK("https://klasma.github.io/Logging_1765/tillsyn/A 39251-2023 tillsynsbegäran.docx", "A 39251-2023")</f>
        <v/>
      </c>
      <c r="AD396">
        <f>HYPERLINK("https://klasma.github.io/Logging_1765/tillsynsmail/A 39251-2023 tillsynsbegäran mail.docx", "A 39251-2023")</f>
        <v/>
      </c>
    </row>
    <row r="397" ht="15" customHeight="1">
      <c r="A397" t="inlineStr">
        <is>
          <t>A 1036-2025</t>
        </is>
      </c>
      <c r="B397" t="inlineStr">
        <is>
          <t>avverkningsanmälan</t>
        </is>
      </c>
      <c r="C397" t="inlineStr">
        <is>
          <t>Föryngringsavverkning</t>
        </is>
      </c>
      <c r="D397" s="1" t="n">
        <v>45665</v>
      </c>
      <c r="E397" s="1" t="n">
        <v>46307</v>
      </c>
      <c r="F397" t="inlineStr">
        <is>
          <t>VÄRMLANDS LÄN</t>
        </is>
      </c>
      <c r="G397" t="inlineStr">
        <is>
          <t>SÄFFLE</t>
        </is>
      </c>
      <c r="I397" t="n">
        <v>10.4</v>
      </c>
      <c r="J397" t="n">
        <v>0</v>
      </c>
      <c r="K397" t="n">
        <v>1</v>
      </c>
      <c r="L397" t="n">
        <v>1</v>
      </c>
      <c r="M397" t="n">
        <v>0</v>
      </c>
      <c r="N397" t="n">
        <v>0</v>
      </c>
      <c r="O397" t="n">
        <v>0</v>
      </c>
      <c r="P397" t="n">
        <v>0</v>
      </c>
      <c r="Q397" t="n">
        <v>1</v>
      </c>
      <c r="R397" t="n">
        <v>0</v>
      </c>
      <c r="S397" t="n">
        <v>2</v>
      </c>
      <c r="T397" t="n">
        <v>2</v>
      </c>
      <c r="U397" t="n">
        <v>0</v>
      </c>
      <c r="V397" s="2" t="inlineStr">
        <is>
          <t>Vedskivlav
Vedticka</t>
        </is>
      </c>
      <c r="W397">
        <f>HYPERLINK("https://klasma.github.io/Logging_1785/artfynd/A 1036-2025 artfynd.xlsx", "A 1036-2025")</f>
        <v/>
      </c>
      <c r="X397">
        <f>HYPERLINK("https://klasma.github.io/Logging_1785/kartor/A 1036-2025 karta.png", "A 1036-2025")</f>
        <v/>
      </c>
      <c r="Y397">
        <f>HYPERLINK("https://klasma.github.io/Logging_1785/kartor_geotiff/A 1036-2025 georefererad karta.tif", "A 1036-2025")</f>
        <v/>
      </c>
      <c r="AA397">
        <f>HYPERLINK("https://klasma.github.io/Logging_1785/klagomål/A 1036-2025 FSC-klagomål.docx", "A 1036-2025")</f>
        <v/>
      </c>
      <c r="AB397">
        <f>HYPERLINK("https://klasma.github.io/Logging_1785/klagomålsmail/A 1036-2025 FSC-klagomål mail.docx", "A 1036-2025")</f>
        <v/>
      </c>
      <c r="AC397">
        <f>HYPERLINK("https://klasma.github.io/Logging_1785/tillsyn/A 1036-2025 tillsynsbegäran.docx", "A 1036-2025")</f>
        <v/>
      </c>
      <c r="AD397">
        <f>HYPERLINK("https://klasma.github.io/Logging_1785/tillsynsmail/A 1036-2025 tillsynsbegäran mail.docx", "A 1036-2025")</f>
        <v/>
      </c>
    </row>
    <row r="398" ht="15" customHeight="1">
      <c r="A398" t="inlineStr">
        <is>
          <t>A 2841-2024</t>
        </is>
      </c>
      <c r="B398" t="inlineStr">
        <is>
          <t>avverkningsanmälan</t>
        </is>
      </c>
      <c r="C398" t="inlineStr">
        <is>
          <t>Föryngringsavverkning</t>
        </is>
      </c>
      <c r="D398" s="1" t="n">
        <v>45315</v>
      </c>
      <c r="E398" s="1" t="n">
        <v>46307</v>
      </c>
      <c r="F398" t="inlineStr">
        <is>
          <t>VÄRMLANDS LÄN</t>
        </is>
      </c>
      <c r="G398" t="inlineStr">
        <is>
          <t>EDA</t>
        </is>
      </c>
      <c r="I398" t="n">
        <v>2.1</v>
      </c>
      <c r="J398" t="n">
        <v>1</v>
      </c>
      <c r="K398" t="n">
        <v>0</v>
      </c>
      <c r="L398" t="n">
        <v>2</v>
      </c>
      <c r="M398" t="n">
        <v>0</v>
      </c>
      <c r="N398" t="n">
        <v>0</v>
      </c>
      <c r="O398" t="n">
        <v>0</v>
      </c>
      <c r="P398" t="n">
        <v>0</v>
      </c>
      <c r="Q398" t="n">
        <v>2</v>
      </c>
      <c r="R398" t="n">
        <v>0</v>
      </c>
      <c r="S398" t="n">
        <v>2</v>
      </c>
      <c r="T398" t="n">
        <v>2</v>
      </c>
      <c r="U398" t="n">
        <v>2</v>
      </c>
      <c r="V398" s="2" t="inlineStr">
        <is>
          <t>Talltita
Ullticka</t>
        </is>
      </c>
      <c r="W398">
        <f>HYPERLINK("https://klasma.github.io/Logging_1730/artfynd/A 2841-2024 artfynd.xlsx", "A 2841-2024")</f>
        <v/>
      </c>
      <c r="X398">
        <f>HYPERLINK("https://klasma.github.io/Logging_1730/kartor/A 2841-2024 karta.png", "A 2841-2024")</f>
        <v/>
      </c>
      <c r="Y398">
        <f>HYPERLINK("https://klasma.github.io/Logging_1730/kartor_geotiff/A 2841-2024 georefererad karta.tif", "A 2841-2024")</f>
        <v/>
      </c>
      <c r="AA398">
        <f>HYPERLINK("https://klasma.github.io/Logging_1730/klagomål/A 2841-2024 FSC-klagomål.docx", "A 2841-2024")</f>
        <v/>
      </c>
      <c r="AB398">
        <f>HYPERLINK("https://klasma.github.io/Logging_1730/klagomålsmail/A 2841-2024 FSC-klagomål mail.docx", "A 2841-2024")</f>
        <v/>
      </c>
      <c r="AC398">
        <f>HYPERLINK("https://klasma.github.io/Logging_1730/tillsyn/A 2841-2024 tillsynsbegäran.docx", "A 2841-2024")</f>
        <v/>
      </c>
      <c r="AD398">
        <f>HYPERLINK("https://klasma.github.io/Logging_1730/tillsynsmail/A 2841-2024 tillsynsbegäran mail.docx", "A 2841-2024")</f>
        <v/>
      </c>
      <c r="AE398">
        <f>HYPERLINK("https://klasma.github.io/Logging_1730/fåglar/A 2841-2024 prioriterade fågelarter.docx", "A 2841-2024")</f>
        <v/>
      </c>
    </row>
    <row r="399" ht="15" customHeight="1">
      <c r="A399" t="inlineStr">
        <is>
          <t>A 35306-2025</t>
        </is>
      </c>
      <c r="B399" t="inlineStr">
        <is>
          <t>avverkningsanmälan</t>
        </is>
      </c>
      <c r="C399" t="inlineStr">
        <is>
          <t>Föryngringsavverkning</t>
        </is>
      </c>
      <c r="D399" s="1" t="n">
        <v>45854</v>
      </c>
      <c r="E399" s="1" t="n">
        <v>46307</v>
      </c>
      <c r="F399" t="inlineStr">
        <is>
          <t>VÄRMLANDS LÄN</t>
        </is>
      </c>
      <c r="G399" t="inlineStr">
        <is>
          <t>ARVIKA</t>
        </is>
      </c>
      <c r="I399" t="n">
        <v>2.5</v>
      </c>
      <c r="J399" t="n">
        <v>1</v>
      </c>
      <c r="K399" t="n">
        <v>0</v>
      </c>
      <c r="L399" t="n">
        <v>1</v>
      </c>
      <c r="M399" t="n">
        <v>0</v>
      </c>
      <c r="N399" t="n">
        <v>0</v>
      </c>
      <c r="O399" t="n">
        <v>0</v>
      </c>
      <c r="P399" t="n">
        <v>0</v>
      </c>
      <c r="Q399" t="n">
        <v>1</v>
      </c>
      <c r="R399" t="n">
        <v>0</v>
      </c>
      <c r="S399" t="n">
        <v>2</v>
      </c>
      <c r="T399" t="n">
        <v>2</v>
      </c>
      <c r="U399" t="n">
        <v>0</v>
      </c>
      <c r="V399" s="2" t="inlineStr">
        <is>
          <t>Älg
Gröngöling</t>
        </is>
      </c>
      <c r="W399">
        <f>HYPERLINK("https://klasma.github.io/Logging_1784/artfynd/A 35306-2025 artfynd.xlsx", "A 35306-2025")</f>
        <v/>
      </c>
      <c r="X399">
        <f>HYPERLINK("https://klasma.github.io/Logging_1784/kartor/A 35306-2025 karta.png", "A 35306-2025")</f>
        <v/>
      </c>
      <c r="Y399">
        <f>HYPERLINK("https://klasma.github.io/Logging_1784/kartor_geotiff/A 35306-2025 georefererad karta.tif", "A 35306-2025")</f>
        <v/>
      </c>
      <c r="AA399">
        <f>HYPERLINK("https://klasma.github.io/Logging_1784/klagomål/A 35306-2025 FSC-klagomål.docx", "A 35306-2025")</f>
        <v/>
      </c>
      <c r="AB399">
        <f>HYPERLINK("https://klasma.github.io/Logging_1784/klagomålsmail/A 35306-2025 FSC-klagomål mail.docx", "A 35306-2025")</f>
        <v/>
      </c>
      <c r="AC399">
        <f>HYPERLINK("https://klasma.github.io/Logging_1784/tillsyn/A 35306-2025 tillsynsbegäran.docx", "A 35306-2025")</f>
        <v/>
      </c>
      <c r="AD399">
        <f>HYPERLINK("https://klasma.github.io/Logging_1784/tillsynsmail/A 35306-2025 tillsynsbegäran mail.docx", "A 35306-2025")</f>
        <v/>
      </c>
    </row>
    <row r="400" ht="15" customHeight="1">
      <c r="A400" t="inlineStr">
        <is>
          <t>A 4620-2024</t>
        </is>
      </c>
      <c r="B400" t="inlineStr">
        <is>
          <t>avverkningsanmälan</t>
        </is>
      </c>
      <c r="C400" t="inlineStr">
        <is>
          <t>Föryngringsavverkning</t>
        </is>
      </c>
      <c r="D400" s="1" t="n">
        <v>45328</v>
      </c>
      <c r="E400" s="1" t="n">
        <v>46307</v>
      </c>
      <c r="F400" t="inlineStr">
        <is>
          <t>VÄRMLANDS LÄN</t>
        </is>
      </c>
      <c r="G400" t="inlineStr">
        <is>
          <t>FILIPSTAD</t>
        </is>
      </c>
      <c r="H400" t="inlineStr">
        <is>
          <t>Bergvik skog väst AB</t>
        </is>
      </c>
      <c r="I400" t="n">
        <v>2.9</v>
      </c>
      <c r="J400" t="n">
        <v>2</v>
      </c>
      <c r="K400" t="n">
        <v>1</v>
      </c>
      <c r="L400" t="n">
        <v>0</v>
      </c>
      <c r="M400" t="n">
        <v>0</v>
      </c>
      <c r="N400" t="n">
        <v>0</v>
      </c>
      <c r="O400" t="n">
        <v>0</v>
      </c>
      <c r="P400" t="n">
        <v>0</v>
      </c>
      <c r="Q400" t="n">
        <v>0</v>
      </c>
      <c r="R400" t="n">
        <v>0</v>
      </c>
      <c r="S400" t="n">
        <v>2</v>
      </c>
      <c r="T400" t="n">
        <v>2</v>
      </c>
      <c r="U400" t="n">
        <v>2</v>
      </c>
      <c r="V400" s="2" t="inlineStr">
        <is>
          <t>Tvåblad
Brudsporre</t>
        </is>
      </c>
      <c r="W400">
        <f>HYPERLINK("https://klasma.github.io/Logging_1782/artfynd/A 4620-2024 artfynd.xlsx", "A 4620-2024")</f>
        <v/>
      </c>
      <c r="X400">
        <f>HYPERLINK("https://klasma.github.io/Logging_1782/kartor/A 4620-2024 karta.png", "A 4620-2024")</f>
        <v/>
      </c>
      <c r="Y400">
        <f>HYPERLINK("https://klasma.github.io/Logging_1782/kartor_geotiff/A 4620-2024 georefererad karta.tif", "A 4620-2024")</f>
        <v/>
      </c>
      <c r="AA400">
        <f>HYPERLINK("https://klasma.github.io/Logging_1782/klagomål/A 4620-2024 FSC-klagomål.docx", "A 4620-2024")</f>
        <v/>
      </c>
      <c r="AB400">
        <f>HYPERLINK("https://klasma.github.io/Logging_1782/klagomålsmail/A 4620-2024 FSC-klagomål mail.docx", "A 4620-2024")</f>
        <v/>
      </c>
      <c r="AC400">
        <f>HYPERLINK("https://klasma.github.io/Logging_1782/tillsyn/A 4620-2024 tillsynsbegäran.docx", "A 4620-2024")</f>
        <v/>
      </c>
      <c r="AD400">
        <f>HYPERLINK("https://klasma.github.io/Logging_1782/tillsynsmail/A 4620-2024 tillsynsbegäran mail.docx", "A 4620-2024")</f>
        <v/>
      </c>
    </row>
    <row r="401" ht="15" customHeight="1">
      <c r="A401" t="inlineStr">
        <is>
          <t>A 12294-2024</t>
        </is>
      </c>
      <c r="B401" t="inlineStr">
        <is>
          <t>avverkningsanmälan</t>
        </is>
      </c>
      <c r="C401" t="inlineStr">
        <is>
          <t>Föryngringsavverkning</t>
        </is>
      </c>
      <c r="D401" s="1" t="n">
        <v>45378</v>
      </c>
      <c r="E401" s="1" t="n">
        <v>46307</v>
      </c>
      <c r="F401" t="inlineStr">
        <is>
          <t>VÄRMLANDS LÄN</t>
        </is>
      </c>
      <c r="G401" t="inlineStr">
        <is>
          <t>SÄFFLE</t>
        </is>
      </c>
      <c r="I401" t="n">
        <v>4.5</v>
      </c>
      <c r="J401" t="n">
        <v>0</v>
      </c>
      <c r="K401" t="n">
        <v>0</v>
      </c>
      <c r="L401" t="n">
        <v>1</v>
      </c>
      <c r="M401" t="n">
        <v>1</v>
      </c>
      <c r="N401" t="n">
        <v>0</v>
      </c>
      <c r="O401" t="n">
        <v>0</v>
      </c>
      <c r="P401" t="n">
        <v>0</v>
      </c>
      <c r="Q401" t="n">
        <v>2</v>
      </c>
      <c r="R401" t="n">
        <v>1</v>
      </c>
      <c r="S401" t="n">
        <v>2</v>
      </c>
      <c r="T401" t="n">
        <v>2</v>
      </c>
      <c r="U401" t="n">
        <v>0</v>
      </c>
      <c r="V401" s="2" t="inlineStr">
        <is>
          <t>Mindre bastardsvärmare
Skogsklocka</t>
        </is>
      </c>
      <c r="W401">
        <f>HYPERLINK("https://klasma.github.io/Logging_1785/artfynd/A 12294-2024 artfynd.xlsx", "A 12294-2024")</f>
        <v/>
      </c>
      <c r="X401">
        <f>HYPERLINK("https://klasma.github.io/Logging_1785/kartor/A 12294-2024 karta.png", "A 12294-2024")</f>
        <v/>
      </c>
      <c r="Y401">
        <f>HYPERLINK("https://klasma.github.io/Logging_1785/kartor_geotiff/A 12294-2024 georefererad karta.tif", "A 12294-2024")</f>
        <v/>
      </c>
      <c r="AA401">
        <f>HYPERLINK("https://klasma.github.io/Logging_1785/klagomål/A 12294-2024 FSC-klagomål.docx", "A 12294-2024")</f>
        <v/>
      </c>
      <c r="AB401">
        <f>HYPERLINK("https://klasma.github.io/Logging_1785/klagomålsmail/A 12294-2024 FSC-klagomål mail.docx", "A 12294-2024")</f>
        <v/>
      </c>
      <c r="AC401">
        <f>HYPERLINK("https://klasma.github.io/Logging_1785/tillsyn/A 12294-2024 tillsynsbegäran.docx", "A 12294-2024")</f>
        <v/>
      </c>
      <c r="AD401">
        <f>HYPERLINK("https://klasma.github.io/Logging_1785/tillsynsmail/A 12294-2024 tillsynsbegäran mail.docx", "A 12294-2024")</f>
        <v/>
      </c>
    </row>
    <row r="402" ht="15" customHeight="1">
      <c r="A402" t="inlineStr">
        <is>
          <t>A 35585-2025</t>
        </is>
      </c>
      <c r="B402" t="inlineStr">
        <is>
          <t>avverkningsanmälan</t>
        </is>
      </c>
      <c r="C402" t="inlineStr">
        <is>
          <t>Föryngringsavverkning</t>
        </is>
      </c>
      <c r="D402" s="1" t="n">
        <v>45856</v>
      </c>
      <c r="E402" s="1" t="n">
        <v>46307</v>
      </c>
      <c r="F402" t="inlineStr">
        <is>
          <t>VÄRMLANDS LÄN</t>
        </is>
      </c>
      <c r="G402" t="inlineStr">
        <is>
          <t>EDA</t>
        </is>
      </c>
      <c r="I402" t="n">
        <v>5.3</v>
      </c>
      <c r="J402" t="n">
        <v>1</v>
      </c>
      <c r="K402" t="n">
        <v>1</v>
      </c>
      <c r="L402" t="n">
        <v>0</v>
      </c>
      <c r="M402" t="n">
        <v>0</v>
      </c>
      <c r="N402" t="n">
        <v>0</v>
      </c>
      <c r="O402" t="n">
        <v>0</v>
      </c>
      <c r="P402" t="n">
        <v>0</v>
      </c>
      <c r="Q402" t="n">
        <v>0</v>
      </c>
      <c r="R402" t="n">
        <v>0</v>
      </c>
      <c r="S402" t="n">
        <v>2</v>
      </c>
      <c r="T402" t="n">
        <v>2</v>
      </c>
      <c r="U402" t="n">
        <v>2</v>
      </c>
      <c r="V402" s="2" t="inlineStr">
        <is>
          <t>Björksplintborre
Fläcknycklar</t>
        </is>
      </c>
      <c r="W402">
        <f>HYPERLINK("https://klasma.github.io/Logging_1730/artfynd/A 35585-2025 artfynd.xlsx", "A 35585-2025")</f>
        <v/>
      </c>
      <c r="X402">
        <f>HYPERLINK("https://klasma.github.io/Logging_1730/kartor/A 35585-2025 karta.png", "A 35585-2025")</f>
        <v/>
      </c>
      <c r="Y402">
        <f>HYPERLINK("https://klasma.github.io/Logging_1730/kartor_geotiff/A 35585-2025 georefererad karta.tif", "A 35585-2025")</f>
        <v/>
      </c>
      <c r="AA402">
        <f>HYPERLINK("https://klasma.github.io/Logging_1730/klagomål/A 35585-2025 FSC-klagomål.docx", "A 35585-2025")</f>
        <v/>
      </c>
      <c r="AB402">
        <f>HYPERLINK("https://klasma.github.io/Logging_1730/klagomålsmail/A 35585-2025 FSC-klagomål mail.docx", "A 35585-2025")</f>
        <v/>
      </c>
      <c r="AC402">
        <f>HYPERLINK("https://klasma.github.io/Logging_1730/tillsyn/A 35585-2025 tillsynsbegäran.docx", "A 35585-2025")</f>
        <v/>
      </c>
      <c r="AD402">
        <f>HYPERLINK("https://klasma.github.io/Logging_1730/tillsynsmail/A 35585-2025 tillsynsbegäran mail.docx", "A 35585-2025")</f>
        <v/>
      </c>
    </row>
    <row r="403" ht="15" customHeight="1">
      <c r="A403" t="inlineStr">
        <is>
          <t>A 28156-2022</t>
        </is>
      </c>
      <c r="B403" t="inlineStr">
        <is>
          <t>avverkningsanmälan</t>
        </is>
      </c>
      <c r="C403" t="inlineStr">
        <is>
          <t>Avverkning för annat ändamål</t>
        </is>
      </c>
      <c r="D403" s="1" t="n">
        <v>44746</v>
      </c>
      <c r="E403" s="1" t="n">
        <v>46307</v>
      </c>
      <c r="F403" t="inlineStr">
        <is>
          <t>VÄRMLANDS LÄN</t>
        </is>
      </c>
      <c r="G403" t="inlineStr">
        <is>
          <t>TORSBY</t>
        </is>
      </c>
      <c r="H403" t="inlineStr">
        <is>
          <t>Bergvik skog väst AB</t>
        </is>
      </c>
      <c r="I403" t="n">
        <v>8.300000000000001</v>
      </c>
      <c r="J403" t="n">
        <v>0</v>
      </c>
      <c r="K403" t="n">
        <v>0</v>
      </c>
      <c r="L403" t="n">
        <v>1</v>
      </c>
      <c r="M403" t="n">
        <v>1</v>
      </c>
      <c r="N403" t="n">
        <v>0</v>
      </c>
      <c r="O403" t="n">
        <v>0</v>
      </c>
      <c r="P403" t="n">
        <v>0</v>
      </c>
      <c r="Q403" t="n">
        <v>2</v>
      </c>
      <c r="R403" t="n">
        <v>1</v>
      </c>
      <c r="S403" t="n">
        <v>2</v>
      </c>
      <c r="T403" t="n">
        <v>3</v>
      </c>
      <c r="U403" t="n">
        <v>0</v>
      </c>
      <c r="V403" s="2" t="inlineStr">
        <is>
          <t>Raggbock
Tallticka</t>
        </is>
      </c>
      <c r="W403">
        <f>HYPERLINK("https://klasma.github.io/Logging_1737/artfynd/A 28156-2022 artfynd.xlsx", "A 28156-2022")</f>
        <v/>
      </c>
      <c r="X403">
        <f>HYPERLINK("https://klasma.github.io/Logging_1737/kartor/A 28156-2022 karta.png", "A 28156-2022")</f>
        <v/>
      </c>
      <c r="Y403">
        <f>HYPERLINK("https://klasma.github.io/Logging_1737/kartor_geotiff/A 28156-2022 georefererad karta.tif", "A 28156-2022")</f>
        <v/>
      </c>
      <c r="AA403">
        <f>HYPERLINK("https://klasma.github.io/Logging_1737/klagomål/A 28156-2022 FSC-klagomål.docx", "A 28156-2022")</f>
        <v/>
      </c>
      <c r="AB403">
        <f>HYPERLINK("https://klasma.github.io/Logging_1737/klagomålsmail/A 28156-2022 FSC-klagomål mail.docx", "A 28156-2022")</f>
        <v/>
      </c>
      <c r="AC403">
        <f>HYPERLINK("https://klasma.github.io/Logging_1737/tillsyn/A 28156-2022 tillsynsbegäran.docx", "A 28156-2022")</f>
        <v/>
      </c>
      <c r="AD403">
        <f>HYPERLINK("https://klasma.github.io/Logging_1737/tillsynsmail/A 28156-2022 tillsynsbegäran mail.docx", "A 28156-2022")</f>
        <v/>
      </c>
    </row>
    <row r="404" ht="15" customHeight="1">
      <c r="A404" t="inlineStr">
        <is>
          <t>A 60688-2023</t>
        </is>
      </c>
      <c r="B404" t="inlineStr">
        <is>
          <t>avverkningsanmälan</t>
        </is>
      </c>
      <c r="C404" t="inlineStr">
        <is>
          <t>Föryngringsavverkning</t>
        </is>
      </c>
      <c r="D404" s="1" t="n">
        <v>45260</v>
      </c>
      <c r="E404" s="1" t="n">
        <v>46307</v>
      </c>
      <c r="F404" t="inlineStr">
        <is>
          <t>VÄRMLANDS LÄN</t>
        </is>
      </c>
      <c r="G404" t="inlineStr">
        <is>
          <t>ÅRJÄNG</t>
        </is>
      </c>
      <c r="I404" t="n">
        <v>4.2</v>
      </c>
      <c r="J404" t="n">
        <v>0</v>
      </c>
      <c r="K404" t="n">
        <v>0</v>
      </c>
      <c r="L404" t="n">
        <v>1</v>
      </c>
      <c r="M404" t="n">
        <v>1</v>
      </c>
      <c r="N404" t="n">
        <v>0</v>
      </c>
      <c r="O404" t="n">
        <v>0</v>
      </c>
      <c r="P404" t="n">
        <v>0</v>
      </c>
      <c r="Q404" t="n">
        <v>2</v>
      </c>
      <c r="R404" t="n">
        <v>1</v>
      </c>
      <c r="S404" t="n">
        <v>2</v>
      </c>
      <c r="T404" t="n">
        <v>3</v>
      </c>
      <c r="U404" t="n">
        <v>1</v>
      </c>
      <c r="V404" s="2" t="inlineStr">
        <is>
          <t>Garnlav
Vedskivlav</t>
        </is>
      </c>
      <c r="W404">
        <f>HYPERLINK("https://klasma.github.io/Logging_1765/artfynd/A 60688-2023 artfynd.xlsx", "A 60688-2023")</f>
        <v/>
      </c>
      <c r="X404">
        <f>HYPERLINK("https://klasma.github.io/Logging_1765/kartor/A 60688-2023 karta.png", "A 60688-2023")</f>
        <v/>
      </c>
      <c r="Y404">
        <f>HYPERLINK("https://klasma.github.io/Logging_1765/kartor_geotiff/A 60688-2023 georefererad karta.tif", "A 60688-2023")</f>
        <v/>
      </c>
      <c r="AA404">
        <f>HYPERLINK("https://klasma.github.io/Logging_1765/klagomål/A 60688-2023 FSC-klagomål.docx", "A 60688-2023")</f>
        <v/>
      </c>
      <c r="AB404">
        <f>HYPERLINK("https://klasma.github.io/Logging_1765/klagomålsmail/A 60688-2023 FSC-klagomål mail.docx", "A 60688-2023")</f>
        <v/>
      </c>
      <c r="AC404">
        <f>HYPERLINK("https://klasma.github.io/Logging_1765/tillsyn/A 60688-2023 tillsynsbegäran.docx", "A 60688-2023")</f>
        <v/>
      </c>
      <c r="AD404">
        <f>HYPERLINK("https://klasma.github.io/Logging_1765/tillsynsmail/A 60688-2023 tillsynsbegäran mail.docx", "A 60688-2023")</f>
        <v/>
      </c>
    </row>
    <row r="405" ht="15" customHeight="1">
      <c r="A405" t="inlineStr">
        <is>
          <t>A 26039-2023</t>
        </is>
      </c>
      <c r="B405" t="inlineStr">
        <is>
          <t>avverkningsanmälan</t>
        </is>
      </c>
      <c r="C405" t="inlineStr">
        <is>
          <t>Föryngringsavverkning</t>
        </is>
      </c>
      <c r="D405" s="1" t="n">
        <v>45091</v>
      </c>
      <c r="E405" s="1" t="n">
        <v>46307</v>
      </c>
      <c r="F405" t="inlineStr">
        <is>
          <t>VÄRMLANDS LÄN</t>
        </is>
      </c>
      <c r="G405" t="inlineStr">
        <is>
          <t>EDA</t>
        </is>
      </c>
      <c r="I405" t="n">
        <v>1.6</v>
      </c>
      <c r="J405" t="n">
        <v>2</v>
      </c>
      <c r="K405" t="n">
        <v>0</v>
      </c>
      <c r="L405" t="n">
        <v>1</v>
      </c>
      <c r="M405" t="n">
        <v>0</v>
      </c>
      <c r="N405" t="n">
        <v>0</v>
      </c>
      <c r="O405" t="n">
        <v>0</v>
      </c>
      <c r="P405" t="n">
        <v>0</v>
      </c>
      <c r="Q405" t="n">
        <v>1</v>
      </c>
      <c r="R405" t="n">
        <v>0</v>
      </c>
      <c r="S405" t="n">
        <v>2</v>
      </c>
      <c r="T405" t="n">
        <v>2</v>
      </c>
      <c r="U405" t="n">
        <v>2</v>
      </c>
      <c r="V405" s="2" t="inlineStr">
        <is>
          <t>Gulsparv
Buskskvätta</t>
        </is>
      </c>
      <c r="W405">
        <f>HYPERLINK("https://klasma.github.io/Logging_1730/artfynd/A 26039-2023 artfynd.xlsx", "A 26039-2023")</f>
        <v/>
      </c>
      <c r="X405">
        <f>HYPERLINK("https://klasma.github.io/Logging_1730/kartor/A 26039-2023 karta.png", "A 26039-2023")</f>
        <v/>
      </c>
      <c r="Y405">
        <f>HYPERLINK("https://klasma.github.io/Logging_1730/kartor_geotiff/A 26039-2023 georefererad karta.tif", "A 26039-2023")</f>
        <v/>
      </c>
      <c r="AA405">
        <f>HYPERLINK("https://klasma.github.io/Logging_1730/klagomål/A 26039-2023 FSC-klagomål.docx", "A 26039-2023")</f>
        <v/>
      </c>
      <c r="AB405">
        <f>HYPERLINK("https://klasma.github.io/Logging_1730/klagomålsmail/A 26039-2023 FSC-klagomål mail.docx", "A 26039-2023")</f>
        <v/>
      </c>
      <c r="AC405">
        <f>HYPERLINK("https://klasma.github.io/Logging_1730/tillsyn/A 26039-2023 tillsynsbegäran.docx", "A 26039-2023")</f>
        <v/>
      </c>
      <c r="AD405">
        <f>HYPERLINK("https://klasma.github.io/Logging_1730/tillsynsmail/A 26039-2023 tillsynsbegäran mail.docx", "A 26039-2023")</f>
        <v/>
      </c>
      <c r="AE405">
        <f>HYPERLINK("https://klasma.github.io/Logging_1730/fåglar/A 26039-2023 prioriterade fågelarter.docx", "A 26039-2023")</f>
        <v/>
      </c>
    </row>
    <row r="406" ht="15" customHeight="1">
      <c r="A406" t="inlineStr">
        <is>
          <t>A 49845-2024</t>
        </is>
      </c>
      <c r="B406" t="inlineStr">
        <is>
          <t>avverkningsanmälan</t>
        </is>
      </c>
      <c r="C406" t="inlineStr">
        <is>
          <t>Föryngringsavverkning</t>
        </is>
      </c>
      <c r="D406" s="1" t="n">
        <v>45597</v>
      </c>
      <c r="E406" s="1" t="n">
        <v>46307</v>
      </c>
      <c r="F406" t="inlineStr">
        <is>
          <t>VÄRMLANDS LÄN</t>
        </is>
      </c>
      <c r="G406" t="inlineStr">
        <is>
          <t>TORSBY</t>
        </is>
      </c>
      <c r="I406" t="n">
        <v>0.4</v>
      </c>
      <c r="J406" t="n">
        <v>0</v>
      </c>
      <c r="K406" t="n">
        <v>1</v>
      </c>
      <c r="L406" t="n">
        <v>1</v>
      </c>
      <c r="M406" t="n">
        <v>0</v>
      </c>
      <c r="N406" t="n">
        <v>0</v>
      </c>
      <c r="O406" t="n">
        <v>0</v>
      </c>
      <c r="P406" t="n">
        <v>0</v>
      </c>
      <c r="Q406" t="n">
        <v>1</v>
      </c>
      <c r="R406" t="n">
        <v>0</v>
      </c>
      <c r="S406" t="n">
        <v>2</v>
      </c>
      <c r="T406" t="n">
        <v>2</v>
      </c>
      <c r="U406" t="n">
        <v>0</v>
      </c>
      <c r="V406" s="2" t="inlineStr">
        <is>
          <t>Späd bäckmossa
Strutbräken</t>
        </is>
      </c>
      <c r="W406">
        <f>HYPERLINK("https://klasma.github.io/Logging_1737/artfynd/A 49845-2024 artfynd.xlsx", "A 49845-2024")</f>
        <v/>
      </c>
      <c r="X406">
        <f>HYPERLINK("https://klasma.github.io/Logging_1737/kartor/A 49845-2024 karta.png", "A 49845-2024")</f>
        <v/>
      </c>
      <c r="Y406">
        <f>HYPERLINK("https://klasma.github.io/Logging_1737/kartor_geotiff/A 49845-2024 georefererad karta.tif", "A 49845-2024")</f>
        <v/>
      </c>
      <c r="AA406">
        <f>HYPERLINK("https://klasma.github.io/Logging_1737/klagomål/A 49845-2024 FSC-klagomål.docx", "A 49845-2024")</f>
        <v/>
      </c>
      <c r="AB406">
        <f>HYPERLINK("https://klasma.github.io/Logging_1737/klagomålsmail/A 49845-2024 FSC-klagomål mail.docx", "A 49845-2024")</f>
        <v/>
      </c>
      <c r="AC406">
        <f>HYPERLINK("https://klasma.github.io/Logging_1737/tillsyn/A 49845-2024 tillsynsbegäran.docx", "A 49845-2024")</f>
        <v/>
      </c>
      <c r="AD406">
        <f>HYPERLINK("https://klasma.github.io/Logging_1737/tillsynsmail/A 49845-2024 tillsynsbegäran mail.docx", "A 49845-2024")</f>
        <v/>
      </c>
    </row>
    <row r="407" ht="15" customHeight="1">
      <c r="A407" t="inlineStr">
        <is>
          <t>A 18411-2023</t>
        </is>
      </c>
      <c r="B407" t="inlineStr">
        <is>
          <t>avverkningsanmälan</t>
        </is>
      </c>
      <c r="C407" t="inlineStr">
        <is>
          <t>Föryngringsavverkning</t>
        </is>
      </c>
      <c r="D407" s="1" t="n">
        <v>45042</v>
      </c>
      <c r="E407" s="1" t="n">
        <v>46307</v>
      </c>
      <c r="F407" t="inlineStr">
        <is>
          <t>VÄRMLANDS LÄN</t>
        </is>
      </c>
      <c r="G407" t="inlineStr">
        <is>
          <t>TORSBY</t>
        </is>
      </c>
      <c r="I407" t="n">
        <v>5.9</v>
      </c>
      <c r="J407" t="n">
        <v>0</v>
      </c>
      <c r="K407" t="n">
        <v>1</v>
      </c>
      <c r="L407" t="n">
        <v>1</v>
      </c>
      <c r="M407" t="n">
        <v>0</v>
      </c>
      <c r="N407" t="n">
        <v>0</v>
      </c>
      <c r="O407" t="n">
        <v>0</v>
      </c>
      <c r="P407" t="n">
        <v>0</v>
      </c>
      <c r="Q407" t="n">
        <v>1</v>
      </c>
      <c r="R407" t="n">
        <v>0</v>
      </c>
      <c r="S407" t="n">
        <v>2</v>
      </c>
      <c r="T407" t="n">
        <v>2</v>
      </c>
      <c r="U407" t="n">
        <v>0</v>
      </c>
      <c r="V407" s="2" t="inlineStr">
        <is>
          <t>Gullpudra
Dvärghäxört</t>
        </is>
      </c>
      <c r="W407">
        <f>HYPERLINK("https://klasma.github.io/Logging_1737/artfynd/A 18411-2023 artfynd.xlsx", "A 18411-2023")</f>
        <v/>
      </c>
      <c r="X407">
        <f>HYPERLINK("https://klasma.github.io/Logging_1737/kartor/A 18411-2023 karta.png", "A 18411-2023")</f>
        <v/>
      </c>
      <c r="Y407">
        <f>HYPERLINK("https://klasma.github.io/Logging_1737/kartor_geotiff/A 18411-2023 georefererad karta.tif", "A 18411-2023")</f>
        <v/>
      </c>
      <c r="AA407">
        <f>HYPERLINK("https://klasma.github.io/Logging_1737/klagomål/A 18411-2023 FSC-klagomål.docx", "A 18411-2023")</f>
        <v/>
      </c>
      <c r="AB407">
        <f>HYPERLINK("https://klasma.github.io/Logging_1737/klagomålsmail/A 18411-2023 FSC-klagomål mail.docx", "A 18411-2023")</f>
        <v/>
      </c>
      <c r="AC407">
        <f>HYPERLINK("https://klasma.github.io/Logging_1737/tillsyn/A 18411-2023 tillsynsbegäran.docx", "A 18411-2023")</f>
        <v/>
      </c>
      <c r="AD407">
        <f>HYPERLINK("https://klasma.github.io/Logging_1737/tillsynsmail/A 18411-2023 tillsynsbegäran mail.docx", "A 18411-2023")</f>
        <v/>
      </c>
    </row>
    <row r="408" ht="15" customHeight="1">
      <c r="A408" t="inlineStr">
        <is>
          <t>A 52591-2023</t>
        </is>
      </c>
      <c r="B408" t="inlineStr">
        <is>
          <t>avverkningsanmälan</t>
        </is>
      </c>
      <c r="C408" t="inlineStr">
        <is>
          <t>Föryngringsavverkning</t>
        </is>
      </c>
      <c r="D408" s="1" t="n">
        <v>45225</v>
      </c>
      <c r="E408" s="1" t="n">
        <v>46307</v>
      </c>
      <c r="F408" t="inlineStr">
        <is>
          <t>VÄRMLANDS LÄN</t>
        </is>
      </c>
      <c r="G408" t="inlineStr">
        <is>
          <t>TORSBY</t>
        </is>
      </c>
      <c r="I408" t="n">
        <v>1.2</v>
      </c>
      <c r="J408" t="n">
        <v>2</v>
      </c>
      <c r="K408" t="n">
        <v>0</v>
      </c>
      <c r="L408" t="n">
        <v>2</v>
      </c>
      <c r="M408" t="n">
        <v>0</v>
      </c>
      <c r="N408" t="n">
        <v>0</v>
      </c>
      <c r="O408" t="n">
        <v>0</v>
      </c>
      <c r="P408" t="n">
        <v>0</v>
      </c>
      <c r="Q408" t="n">
        <v>2</v>
      </c>
      <c r="R408" t="n">
        <v>0</v>
      </c>
      <c r="S408" t="n">
        <v>2</v>
      </c>
      <c r="T408" t="n">
        <v>2</v>
      </c>
      <c r="U408" t="n">
        <v>2</v>
      </c>
      <c r="V408" s="2" t="inlineStr">
        <is>
          <t>Rödvingetrast
Talltita</t>
        </is>
      </c>
      <c r="W408">
        <f>HYPERLINK("https://klasma.github.io/Logging_1737/artfynd/A 52591-2023 artfynd.xlsx", "A 52591-2023")</f>
        <v/>
      </c>
      <c r="X408">
        <f>HYPERLINK("https://klasma.github.io/Logging_1737/kartor/A 52591-2023 karta.png", "A 52591-2023")</f>
        <v/>
      </c>
      <c r="Y408">
        <f>HYPERLINK("https://klasma.github.io/Logging_1737/kartor_geotiff/A 52591-2023 georefererad karta.tif", "A 52591-2023")</f>
        <v/>
      </c>
      <c r="AA408">
        <f>HYPERLINK("https://klasma.github.io/Logging_1737/klagomål/A 52591-2023 FSC-klagomål.docx", "A 52591-2023")</f>
        <v/>
      </c>
      <c r="AB408">
        <f>HYPERLINK("https://klasma.github.io/Logging_1737/klagomålsmail/A 52591-2023 FSC-klagomål mail.docx", "A 52591-2023")</f>
        <v/>
      </c>
      <c r="AC408">
        <f>HYPERLINK("https://klasma.github.io/Logging_1737/tillsyn/A 52591-2023 tillsynsbegäran.docx", "A 52591-2023")</f>
        <v/>
      </c>
      <c r="AD408">
        <f>HYPERLINK("https://klasma.github.io/Logging_1737/tillsynsmail/A 52591-2023 tillsynsbegäran mail.docx", "A 52591-2023")</f>
        <v/>
      </c>
      <c r="AE408">
        <f>HYPERLINK("https://klasma.github.io/Logging_1737/fåglar/A 52591-2023 prioriterade fågelarter.docx", "A 52591-2023")</f>
        <v/>
      </c>
    </row>
    <row r="409" ht="15" customHeight="1">
      <c r="A409" t="inlineStr">
        <is>
          <t>A 37583-2025</t>
        </is>
      </c>
      <c r="B409" t="inlineStr">
        <is>
          <t>avverkningsanmälan</t>
        </is>
      </c>
      <c r="C409" t="inlineStr">
        <is>
          <t>Föryngringsavverkning</t>
        </is>
      </c>
      <c r="D409" s="1" t="n">
        <v>45880</v>
      </c>
      <c r="E409" s="1" t="n">
        <v>46307</v>
      </c>
      <c r="F409" t="inlineStr">
        <is>
          <t>VÄRMLANDS LÄN</t>
        </is>
      </c>
      <c r="G409" t="inlineStr">
        <is>
          <t>TORSBY</t>
        </is>
      </c>
      <c r="I409" t="n">
        <v>1.2</v>
      </c>
      <c r="J409" t="n">
        <v>1</v>
      </c>
      <c r="K409" t="n">
        <v>0</v>
      </c>
      <c r="L409" t="n">
        <v>1</v>
      </c>
      <c r="M409" t="n">
        <v>1</v>
      </c>
      <c r="N409" t="n">
        <v>0</v>
      </c>
      <c r="O409" t="n">
        <v>0</v>
      </c>
      <c r="P409" t="n">
        <v>0</v>
      </c>
      <c r="Q409" t="n">
        <v>2</v>
      </c>
      <c r="R409" t="n">
        <v>1</v>
      </c>
      <c r="S409" t="n">
        <v>2</v>
      </c>
      <c r="T409" t="n">
        <v>2</v>
      </c>
      <c r="U409" t="n">
        <v>2</v>
      </c>
      <c r="V409" s="2" t="inlineStr">
        <is>
          <t>Garnlav
Tretåig hackspett</t>
        </is>
      </c>
      <c r="W409">
        <f>HYPERLINK("https://klasma.github.io/Logging_1737/artfynd/A 37583-2025 artfynd.xlsx", "A 37583-2025")</f>
        <v/>
      </c>
      <c r="X409">
        <f>HYPERLINK("https://klasma.github.io/Logging_1737/kartor/A 37583-2025 karta.png", "A 37583-2025")</f>
        <v/>
      </c>
      <c r="Y409">
        <f>HYPERLINK("https://klasma.github.io/Logging_1737/kartor_geotiff/A 37583-2025 georefererad karta.tif", "A 37583-2025")</f>
        <v/>
      </c>
      <c r="AA409">
        <f>HYPERLINK("https://klasma.github.io/Logging_1737/klagomål/A 37583-2025 FSC-klagomål.docx", "A 37583-2025")</f>
        <v/>
      </c>
      <c r="AB409">
        <f>HYPERLINK("https://klasma.github.io/Logging_1737/klagomålsmail/A 37583-2025 FSC-klagomål mail.docx", "A 37583-2025")</f>
        <v/>
      </c>
      <c r="AC409">
        <f>HYPERLINK("https://klasma.github.io/Logging_1737/tillsyn/A 37583-2025 tillsynsbegäran.docx", "A 37583-2025")</f>
        <v/>
      </c>
      <c r="AD409">
        <f>HYPERLINK("https://klasma.github.io/Logging_1737/tillsynsmail/A 37583-2025 tillsynsbegäran mail.docx", "A 37583-2025")</f>
        <v/>
      </c>
      <c r="AE409">
        <f>HYPERLINK("https://klasma.github.io/Logging_1737/fåglar/A 37583-2025 prioriterade fågelarter.docx", "A 37583-2025")</f>
        <v/>
      </c>
    </row>
    <row r="410" ht="15" customHeight="1">
      <c r="A410" t="inlineStr">
        <is>
          <t>A 5280-2022</t>
        </is>
      </c>
      <c r="B410" t="inlineStr">
        <is>
          <t>avverkningsanmälan</t>
        </is>
      </c>
      <c r="C410" t="inlineStr">
        <is>
          <t>Föryngringsavverkning</t>
        </is>
      </c>
      <c r="D410" s="1" t="n">
        <v>44593</v>
      </c>
      <c r="E410" s="1" t="n">
        <v>46307</v>
      </c>
      <c r="F410" t="inlineStr">
        <is>
          <t>VÄRMLANDS LÄN</t>
        </is>
      </c>
      <c r="G410" t="inlineStr">
        <is>
          <t>GRUMS</t>
        </is>
      </c>
      <c r="H410" t="inlineStr">
        <is>
          <t>Bergvik skog väst AB</t>
        </is>
      </c>
      <c r="I410" t="n">
        <v>37.1</v>
      </c>
      <c r="J410" t="n">
        <v>1</v>
      </c>
      <c r="K410" t="n">
        <v>0</v>
      </c>
      <c r="L410" t="n">
        <v>0</v>
      </c>
      <c r="M410" t="n">
        <v>0</v>
      </c>
      <c r="N410" t="n">
        <v>1</v>
      </c>
      <c r="O410" t="n">
        <v>0</v>
      </c>
      <c r="P410" t="n">
        <v>0</v>
      </c>
      <c r="Q410" t="n">
        <v>1</v>
      </c>
      <c r="R410" t="n">
        <v>1</v>
      </c>
      <c r="S410" t="n">
        <v>2</v>
      </c>
      <c r="T410" t="n">
        <v>4</v>
      </c>
      <c r="U410" t="n">
        <v>1</v>
      </c>
      <c r="V410" s="2" t="inlineStr">
        <is>
          <t>Ask
Tjäder</t>
        </is>
      </c>
      <c r="W410">
        <f>HYPERLINK("https://klasma.github.io/Logging_1764/artfynd/A 5280-2022 artfynd.xlsx", "A 5280-2022")</f>
        <v/>
      </c>
      <c r="X410">
        <f>HYPERLINK("https://klasma.github.io/Logging_1764/kartor/A 5280-2022 karta.png", "A 5280-2022")</f>
        <v/>
      </c>
      <c r="Y410">
        <f>HYPERLINK("https://klasma.github.io/Logging_1764/kartor_geotiff/A 5280-2022 georefererad karta.tif", "A 5280-2022")</f>
        <v/>
      </c>
      <c r="AA410">
        <f>HYPERLINK("https://klasma.github.io/Logging_1764/klagomål/A 5280-2022 FSC-klagomål.docx", "A 5280-2022")</f>
        <v/>
      </c>
      <c r="AB410">
        <f>HYPERLINK("https://klasma.github.io/Logging_1764/klagomålsmail/A 5280-2022 FSC-klagomål mail.docx", "A 5280-2022")</f>
        <v/>
      </c>
      <c r="AC410">
        <f>HYPERLINK("https://klasma.github.io/Logging_1764/tillsyn/A 5280-2022 tillsynsbegäran.docx", "A 5280-2022")</f>
        <v/>
      </c>
      <c r="AD410">
        <f>HYPERLINK("https://klasma.github.io/Logging_1764/tillsynsmail/A 5280-2022 tillsynsbegäran mail.docx", "A 5280-2022")</f>
        <v/>
      </c>
      <c r="AE410">
        <f>HYPERLINK("https://klasma.github.io/Logging_1764/fåglar/A 5280-2022 prioriterade fågelarter.docx", "A 5280-2022")</f>
        <v/>
      </c>
    </row>
    <row r="411" ht="15" customHeight="1">
      <c r="A411" t="inlineStr">
        <is>
          <t>A 58537-2025</t>
        </is>
      </c>
      <c r="B411" t="inlineStr">
        <is>
          <t>avverkningsanmälan</t>
        </is>
      </c>
      <c r="C411" t="inlineStr">
        <is>
          <t>Föryngringsavverkning</t>
        </is>
      </c>
      <c r="D411" s="1" t="n">
        <v>45985</v>
      </c>
      <c r="E411" s="1" t="n">
        <v>46307</v>
      </c>
      <c r="F411" t="inlineStr">
        <is>
          <t>VÄRMLANDS LÄN</t>
        </is>
      </c>
      <c r="G411" t="inlineStr">
        <is>
          <t>TORSBY</t>
        </is>
      </c>
      <c r="H411" t="inlineStr">
        <is>
          <t>Övriga statliga verk och myndigheter</t>
        </is>
      </c>
      <c r="I411" t="n">
        <v>0.6</v>
      </c>
      <c r="J411" t="n">
        <v>1</v>
      </c>
      <c r="K411" t="n">
        <v>1</v>
      </c>
      <c r="L411" t="n">
        <v>1</v>
      </c>
      <c r="M411" t="n">
        <v>0</v>
      </c>
      <c r="N411" t="n">
        <v>0</v>
      </c>
      <c r="O411" t="n">
        <v>0</v>
      </c>
      <c r="P411" t="n">
        <v>0</v>
      </c>
      <c r="Q411" t="n">
        <v>1</v>
      </c>
      <c r="R411" t="n">
        <v>0</v>
      </c>
      <c r="S411" t="n">
        <v>2</v>
      </c>
      <c r="T411" t="n">
        <v>2</v>
      </c>
      <c r="U411" t="n">
        <v>0</v>
      </c>
      <c r="V411" s="2" t="inlineStr">
        <is>
          <t>Tretåig hackspett
Stor revmossa</t>
        </is>
      </c>
      <c r="W411">
        <f>HYPERLINK("https://klasma.github.io/Logging_1737/artfynd/A 58537-2025 artfynd.xlsx", "A 58537-2025")</f>
        <v/>
      </c>
      <c r="X411">
        <f>HYPERLINK("https://klasma.github.io/Logging_1737/kartor/A 58537-2025 karta.png", "A 58537-2025")</f>
        <v/>
      </c>
      <c r="Y411">
        <f>HYPERLINK("https://klasma.github.io/Logging_1737/kartor_geotiff/A 58537-2025 georefererad karta.tif", "A 58537-2025")</f>
        <v/>
      </c>
      <c r="AA411">
        <f>HYPERLINK("https://klasma.github.io/Logging_1737/klagomål/A 58537-2025 FSC-klagomål.docx", "A 58537-2025")</f>
        <v/>
      </c>
      <c r="AB411">
        <f>HYPERLINK("https://klasma.github.io/Logging_1737/klagomålsmail/A 58537-2025 FSC-klagomål mail.docx", "A 58537-2025")</f>
        <v/>
      </c>
      <c r="AC411">
        <f>HYPERLINK("https://klasma.github.io/Logging_1737/tillsyn/A 58537-2025 tillsynsbegäran.docx", "A 58537-2025")</f>
        <v/>
      </c>
      <c r="AD411">
        <f>HYPERLINK("https://klasma.github.io/Logging_1737/tillsynsmail/A 58537-2025 tillsynsbegäran mail.docx", "A 58537-2025")</f>
        <v/>
      </c>
      <c r="AE411">
        <f>HYPERLINK("https://klasma.github.io/Logging_1737/fåglar/A 58537-2025 prioriterade fågelarter.docx", "A 58537-2025")</f>
        <v/>
      </c>
    </row>
    <row r="412" ht="15" customHeight="1">
      <c r="A412" t="inlineStr">
        <is>
          <t>A 58911-2025</t>
        </is>
      </c>
      <c r="B412" t="inlineStr">
        <is>
          <t>avverkningsanmälan</t>
        </is>
      </c>
      <c r="C412" t="inlineStr">
        <is>
          <t>Föryngringsavverkning</t>
        </is>
      </c>
      <c r="D412" s="1" t="n">
        <v>45986</v>
      </c>
      <c r="E412" s="1" t="n">
        <v>46307</v>
      </c>
      <c r="F412" t="inlineStr">
        <is>
          <t>VÄRMLANDS LÄN</t>
        </is>
      </c>
      <c r="G412" t="inlineStr">
        <is>
          <t>KARLSTAD</t>
        </is>
      </c>
      <c r="I412" t="n">
        <v>5.6</v>
      </c>
      <c r="J412" t="n">
        <v>0</v>
      </c>
      <c r="K412" t="n">
        <v>1</v>
      </c>
      <c r="L412" t="n">
        <v>1</v>
      </c>
      <c r="M412" t="n">
        <v>0</v>
      </c>
      <c r="N412" t="n">
        <v>0</v>
      </c>
      <c r="O412" t="n">
        <v>0</v>
      </c>
      <c r="P412" t="n">
        <v>0</v>
      </c>
      <c r="Q412" t="n">
        <v>1</v>
      </c>
      <c r="R412" t="n">
        <v>0</v>
      </c>
      <c r="S412" t="n">
        <v>2</v>
      </c>
      <c r="T412" t="n">
        <v>2</v>
      </c>
      <c r="U412" t="n">
        <v>0</v>
      </c>
      <c r="V412" s="2" t="inlineStr">
        <is>
          <t>Vårärt
Svart trolldruva</t>
        </is>
      </c>
      <c r="W412">
        <f>HYPERLINK("https://klasma.github.io/Logging_1780/artfynd/A 58911-2025 artfynd.xlsx", "A 58911-2025")</f>
        <v/>
      </c>
      <c r="X412">
        <f>HYPERLINK("https://klasma.github.io/Logging_1780/kartor/A 58911-2025 karta.png", "A 58911-2025")</f>
        <v/>
      </c>
      <c r="Y412">
        <f>HYPERLINK("https://klasma.github.io/Logging_1780/kartor_geotiff/A 58911-2025 georefererad karta.tif", "A 58911-2025")</f>
        <v/>
      </c>
      <c r="AA412">
        <f>HYPERLINK("https://klasma.github.io/Logging_1780/klagomål/A 58911-2025 FSC-klagomål.docx", "A 58911-2025")</f>
        <v/>
      </c>
      <c r="AB412">
        <f>HYPERLINK("https://klasma.github.io/Logging_1780/klagomålsmail/A 58911-2025 FSC-klagomål mail.docx", "A 58911-2025")</f>
        <v/>
      </c>
      <c r="AC412">
        <f>HYPERLINK("https://klasma.github.io/Logging_1780/tillsyn/A 58911-2025 tillsynsbegäran.docx", "A 58911-2025")</f>
        <v/>
      </c>
      <c r="AD412">
        <f>HYPERLINK("https://klasma.github.io/Logging_1780/tillsynsmail/A 58911-2025 tillsynsbegäran mail.docx", "A 58911-2025")</f>
        <v/>
      </c>
    </row>
    <row r="413" ht="15" customHeight="1">
      <c r="A413" t="inlineStr">
        <is>
          <t>A 50236-2022</t>
        </is>
      </c>
      <c r="B413" t="inlineStr">
        <is>
          <t>avverkningsanmälan</t>
        </is>
      </c>
      <c r="C413" t="inlineStr">
        <is>
          <t>Föryngringsavverkning</t>
        </is>
      </c>
      <c r="D413" s="1" t="n">
        <v>44865</v>
      </c>
      <c r="E413" s="1" t="n">
        <v>46307</v>
      </c>
      <c r="F413" t="inlineStr">
        <is>
          <t>VÄRMLANDS LÄN</t>
        </is>
      </c>
      <c r="G413" t="inlineStr">
        <is>
          <t>TORSBY</t>
        </is>
      </c>
      <c r="I413" t="n">
        <v>2.3</v>
      </c>
      <c r="J413" t="n">
        <v>0</v>
      </c>
      <c r="K413" t="n">
        <v>0</v>
      </c>
      <c r="L413" t="n">
        <v>1</v>
      </c>
      <c r="M413" t="n">
        <v>1</v>
      </c>
      <c r="N413" t="n">
        <v>0</v>
      </c>
      <c r="O413" t="n">
        <v>0</v>
      </c>
      <c r="P413" t="n">
        <v>0</v>
      </c>
      <c r="Q413" t="n">
        <v>2</v>
      </c>
      <c r="R413" t="n">
        <v>1</v>
      </c>
      <c r="S413" t="n">
        <v>2</v>
      </c>
      <c r="T413" t="n">
        <v>3</v>
      </c>
      <c r="U413" t="n">
        <v>0</v>
      </c>
      <c r="V413" s="2" t="inlineStr">
        <is>
          <t>Garnlav
Vedskivlav</t>
        </is>
      </c>
      <c r="W413">
        <f>HYPERLINK("https://klasma.github.io/Logging_1737/artfynd/A 50236-2022 artfynd.xlsx", "A 50236-2022")</f>
        <v/>
      </c>
      <c r="X413">
        <f>HYPERLINK("https://klasma.github.io/Logging_1737/kartor/A 50236-2022 karta.png", "A 50236-2022")</f>
        <v/>
      </c>
      <c r="Y413">
        <f>HYPERLINK("https://klasma.github.io/Logging_1737/kartor_geotiff/A 50236-2022 georefererad karta.tif", "A 50236-2022")</f>
        <v/>
      </c>
      <c r="AA413">
        <f>HYPERLINK("https://klasma.github.io/Logging_1737/klagomål/A 50236-2022 FSC-klagomål.docx", "A 50236-2022")</f>
        <v/>
      </c>
      <c r="AB413">
        <f>HYPERLINK("https://klasma.github.io/Logging_1737/klagomålsmail/A 50236-2022 FSC-klagomål mail.docx", "A 50236-2022")</f>
        <v/>
      </c>
      <c r="AC413">
        <f>HYPERLINK("https://klasma.github.io/Logging_1737/tillsyn/A 50236-2022 tillsynsbegäran.docx", "A 50236-2022")</f>
        <v/>
      </c>
      <c r="AD413">
        <f>HYPERLINK("https://klasma.github.io/Logging_1737/tillsynsmail/A 50236-2022 tillsynsbegäran mail.docx", "A 50236-2022")</f>
        <v/>
      </c>
    </row>
    <row r="414" ht="15" customHeight="1">
      <c r="A414" t="inlineStr">
        <is>
          <t>A 3087-2024</t>
        </is>
      </c>
      <c r="B414" t="inlineStr">
        <is>
          <t>avverkningsanmälan</t>
        </is>
      </c>
      <c r="C414" t="inlineStr">
        <is>
          <t>Föryngringsavverkning</t>
        </is>
      </c>
      <c r="D414" s="1" t="n">
        <v>45316</v>
      </c>
      <c r="E414" s="1" t="n">
        <v>46307</v>
      </c>
      <c r="F414" t="inlineStr">
        <is>
          <t>VÄRMLANDS LÄN</t>
        </is>
      </c>
      <c r="G414" t="inlineStr">
        <is>
          <t>SUNNE</t>
        </is>
      </c>
      <c r="H414" t="inlineStr">
        <is>
          <t>Kommuner</t>
        </is>
      </c>
      <c r="I414" t="n">
        <v>2.9</v>
      </c>
      <c r="J414" t="n">
        <v>1</v>
      </c>
      <c r="K414" t="n">
        <v>0</v>
      </c>
      <c r="L414" t="n">
        <v>0</v>
      </c>
      <c r="M414" t="n">
        <v>0</v>
      </c>
      <c r="N414" t="n">
        <v>0</v>
      </c>
      <c r="O414" t="n">
        <v>0</v>
      </c>
      <c r="P414" t="n">
        <v>0</v>
      </c>
      <c r="Q414" t="n">
        <v>0</v>
      </c>
      <c r="R414" t="n">
        <v>0</v>
      </c>
      <c r="S414" t="n">
        <v>2</v>
      </c>
      <c r="T414" t="n">
        <v>2</v>
      </c>
      <c r="U414" t="n">
        <v>2</v>
      </c>
      <c r="V414" s="2" t="inlineStr">
        <is>
          <t>Linnea
Spillkråka</t>
        </is>
      </c>
      <c r="W414">
        <f>HYPERLINK("https://klasma.github.io/Logging_1766/artfynd/A 3087-2024 artfynd.xlsx", "A 3087-2024")</f>
        <v/>
      </c>
      <c r="X414">
        <f>HYPERLINK("https://klasma.github.io/Logging_1766/kartor/A 3087-2024 karta.png", "A 3087-2024")</f>
        <v/>
      </c>
      <c r="Y414">
        <f>HYPERLINK("https://klasma.github.io/Logging_1766/kartor_geotiff/A 3087-2024 georefererad karta.tif", "A 3087-2024")</f>
        <v/>
      </c>
      <c r="AA414">
        <f>HYPERLINK("https://klasma.github.io/Logging_1766/klagomål/A 3087-2024 FSC-klagomål.docx", "A 3087-2024")</f>
        <v/>
      </c>
      <c r="AB414">
        <f>HYPERLINK("https://klasma.github.io/Logging_1766/klagomålsmail/A 3087-2024 FSC-klagomål mail.docx", "A 3087-2024")</f>
        <v/>
      </c>
      <c r="AC414">
        <f>HYPERLINK("https://klasma.github.io/Logging_1766/tillsyn/A 3087-2024 tillsynsbegäran.docx", "A 3087-2024")</f>
        <v/>
      </c>
      <c r="AD414">
        <f>HYPERLINK("https://klasma.github.io/Logging_1766/tillsynsmail/A 3087-2024 tillsynsbegäran mail.docx", "A 3087-2024")</f>
        <v/>
      </c>
      <c r="AE414">
        <f>HYPERLINK("https://klasma.github.io/Logging_1766/fåglar/A 3087-2024 prioriterade fågelarter.docx", "A 3087-2024")</f>
        <v/>
      </c>
    </row>
    <row r="415" ht="15" customHeight="1">
      <c r="A415" t="inlineStr">
        <is>
          <t>A 58928-2025</t>
        </is>
      </c>
      <c r="B415" t="inlineStr">
        <is>
          <t>avverkningsanmälan</t>
        </is>
      </c>
      <c r="C415" t="inlineStr">
        <is>
          <t>Föryngringsavverkning</t>
        </is>
      </c>
      <c r="D415" s="1" t="n">
        <v>45987</v>
      </c>
      <c r="E415" s="1" t="n">
        <v>46307</v>
      </c>
      <c r="F415" t="inlineStr">
        <is>
          <t>VÄRMLANDS LÄN</t>
        </is>
      </c>
      <c r="G415" t="inlineStr">
        <is>
          <t>TORSBY</t>
        </is>
      </c>
      <c r="H415" t="inlineStr">
        <is>
          <t>Bergvik skog väst AB</t>
        </is>
      </c>
      <c r="I415" t="n">
        <v>1.5</v>
      </c>
      <c r="J415" t="n">
        <v>0</v>
      </c>
      <c r="K415" t="n">
        <v>0</v>
      </c>
      <c r="L415" t="n">
        <v>2</v>
      </c>
      <c r="M415" t="n">
        <v>0</v>
      </c>
      <c r="N415" t="n">
        <v>0</v>
      </c>
      <c r="O415" t="n">
        <v>0</v>
      </c>
      <c r="P415" t="n">
        <v>0</v>
      </c>
      <c r="Q415" t="n">
        <v>2</v>
      </c>
      <c r="R415" t="n">
        <v>0</v>
      </c>
      <c r="S415" t="n">
        <v>2</v>
      </c>
      <c r="T415" t="n">
        <v>2</v>
      </c>
      <c r="U415" t="n">
        <v>0</v>
      </c>
      <c r="V415" s="2" t="inlineStr">
        <is>
          <t>Lunglav
Skrovellav</t>
        </is>
      </c>
      <c r="W415">
        <f>HYPERLINK("https://klasma.github.io/Logging_1737/artfynd/A 58928-2025 artfynd.xlsx", "A 58928-2025")</f>
        <v/>
      </c>
      <c r="X415">
        <f>HYPERLINK("https://klasma.github.io/Logging_1737/kartor/A 58928-2025 karta.png", "A 58928-2025")</f>
        <v/>
      </c>
      <c r="Y415">
        <f>HYPERLINK("https://klasma.github.io/Logging_1737/kartor_geotiff/A 58928-2025 georefererad karta.tif", "A 58928-2025")</f>
        <v/>
      </c>
      <c r="AA415">
        <f>HYPERLINK("https://klasma.github.io/Logging_1737/klagomål/A 58928-2025 FSC-klagomål.docx", "A 58928-2025")</f>
        <v/>
      </c>
      <c r="AB415">
        <f>HYPERLINK("https://klasma.github.io/Logging_1737/klagomålsmail/A 58928-2025 FSC-klagomål mail.docx", "A 58928-2025")</f>
        <v/>
      </c>
      <c r="AC415">
        <f>HYPERLINK("https://klasma.github.io/Logging_1737/tillsyn/A 58928-2025 tillsynsbegäran.docx", "A 58928-2025")</f>
        <v/>
      </c>
      <c r="AD415">
        <f>HYPERLINK("https://klasma.github.io/Logging_1737/tillsynsmail/A 58928-2025 tillsynsbegäran mail.docx", "A 58928-2025")</f>
        <v/>
      </c>
    </row>
    <row r="416" ht="15" customHeight="1">
      <c r="A416" t="inlineStr">
        <is>
          <t>A 69709-2021</t>
        </is>
      </c>
      <c r="B416" t="inlineStr">
        <is>
          <t>avverkningsanmälan</t>
        </is>
      </c>
      <c r="C416" t="inlineStr">
        <is>
          <t>Föryngringsavverkning</t>
        </is>
      </c>
      <c r="D416" s="1" t="n">
        <v>44532</v>
      </c>
      <c r="E416" s="1" t="n">
        <v>46307</v>
      </c>
      <c r="F416" t="inlineStr">
        <is>
          <t>VÄRMLANDS LÄN</t>
        </is>
      </c>
      <c r="G416" t="inlineStr">
        <is>
          <t>HAGFORS</t>
        </is>
      </c>
      <c r="H416" t="inlineStr">
        <is>
          <t>Bergvik skog väst AB</t>
        </is>
      </c>
      <c r="I416" t="n">
        <v>8.9</v>
      </c>
      <c r="J416" t="n">
        <v>1</v>
      </c>
      <c r="K416" t="n">
        <v>0</v>
      </c>
      <c r="L416" t="n">
        <v>1</v>
      </c>
      <c r="M416" t="n">
        <v>0</v>
      </c>
      <c r="N416" t="n">
        <v>0</v>
      </c>
      <c r="O416" t="n">
        <v>0</v>
      </c>
      <c r="P416" t="n">
        <v>0</v>
      </c>
      <c r="Q416" t="n">
        <v>1</v>
      </c>
      <c r="R416" t="n">
        <v>0</v>
      </c>
      <c r="S416" t="n">
        <v>2</v>
      </c>
      <c r="T416" t="n">
        <v>2</v>
      </c>
      <c r="U416" t="n">
        <v>2</v>
      </c>
      <c r="V416" s="2" t="inlineStr">
        <is>
          <t>Svartvit taggsvamp
Tjäder</t>
        </is>
      </c>
      <c r="W416">
        <f>HYPERLINK("https://klasma.github.io/Logging_1783/artfynd/A 69709-2021 artfynd.xlsx", "A 69709-2021")</f>
        <v/>
      </c>
      <c r="X416">
        <f>HYPERLINK("https://klasma.github.io/Logging_1783/kartor/A 69709-2021 karta.png", "A 69709-2021")</f>
        <v/>
      </c>
      <c r="Y416">
        <f>HYPERLINK("https://klasma.github.io/Logging_1783/kartor_geotiff/A 69709-2021 georefererad karta.tif", "A 69709-2021")</f>
        <v/>
      </c>
      <c r="AA416">
        <f>HYPERLINK("https://klasma.github.io/Logging_1783/klagomål/A 69709-2021 FSC-klagomål.docx", "A 69709-2021")</f>
        <v/>
      </c>
      <c r="AB416">
        <f>HYPERLINK("https://klasma.github.io/Logging_1783/klagomålsmail/A 69709-2021 FSC-klagomål mail.docx", "A 69709-2021")</f>
        <v/>
      </c>
      <c r="AC416">
        <f>HYPERLINK("https://klasma.github.io/Logging_1783/tillsyn/A 69709-2021 tillsynsbegäran.docx", "A 69709-2021")</f>
        <v/>
      </c>
      <c r="AD416">
        <f>HYPERLINK("https://klasma.github.io/Logging_1783/tillsynsmail/A 69709-2021 tillsynsbegäran mail.docx", "A 69709-2021")</f>
        <v/>
      </c>
      <c r="AE416">
        <f>HYPERLINK("https://klasma.github.io/Logging_1783/fåglar/A 69709-2021 prioriterade fågelarter.docx", "A 69709-2021")</f>
        <v/>
      </c>
    </row>
    <row r="417" ht="15" customHeight="1">
      <c r="A417" t="inlineStr">
        <is>
          <t>A 35908-2022</t>
        </is>
      </c>
      <c r="B417" t="inlineStr">
        <is>
          <t>avverkningsanmälan</t>
        </is>
      </c>
      <c r="C417" t="inlineStr">
        <is>
          <t>Föryngringsavverkning</t>
        </is>
      </c>
      <c r="D417" s="1" t="n">
        <v>44802</v>
      </c>
      <c r="E417" s="1" t="n">
        <v>46307</v>
      </c>
      <c r="F417" t="inlineStr">
        <is>
          <t>VÄRMLANDS LÄN</t>
        </is>
      </c>
      <c r="G417" t="inlineStr">
        <is>
          <t>HAGFORS</t>
        </is>
      </c>
      <c r="I417" t="n">
        <v>2</v>
      </c>
      <c r="J417" t="n">
        <v>0</v>
      </c>
      <c r="K417" t="n">
        <v>1</v>
      </c>
      <c r="L417" t="n">
        <v>0</v>
      </c>
      <c r="M417" t="n">
        <v>1</v>
      </c>
      <c r="N417" t="n">
        <v>0</v>
      </c>
      <c r="O417" t="n">
        <v>0</v>
      </c>
      <c r="P417" t="n">
        <v>0</v>
      </c>
      <c r="Q417" t="n">
        <v>1</v>
      </c>
      <c r="R417" t="n">
        <v>1</v>
      </c>
      <c r="S417" t="n">
        <v>2</v>
      </c>
      <c r="T417" t="n">
        <v>2</v>
      </c>
      <c r="U417" t="n">
        <v>0</v>
      </c>
      <c r="V417" s="2" t="inlineStr">
        <is>
          <t>Aspgelélav
Bårdlav</t>
        </is>
      </c>
      <c r="W417">
        <f>HYPERLINK("https://klasma.github.io/Logging_1783/artfynd/A 35908-2022 artfynd.xlsx", "A 35908-2022")</f>
        <v/>
      </c>
      <c r="X417">
        <f>HYPERLINK("https://klasma.github.io/Logging_1783/kartor/A 35908-2022 karta.png", "A 35908-2022")</f>
        <v/>
      </c>
      <c r="Y417">
        <f>HYPERLINK("https://klasma.github.io/Logging_1783/kartor_geotiff/A 35908-2022 georefererad karta.tif", "A 35908-2022")</f>
        <v/>
      </c>
      <c r="AA417">
        <f>HYPERLINK("https://klasma.github.io/Logging_1783/klagomål/A 35908-2022 FSC-klagomål.docx", "A 35908-2022")</f>
        <v/>
      </c>
      <c r="AB417">
        <f>HYPERLINK("https://klasma.github.io/Logging_1783/klagomålsmail/A 35908-2022 FSC-klagomål mail.docx", "A 35908-2022")</f>
        <v/>
      </c>
      <c r="AC417">
        <f>HYPERLINK("https://klasma.github.io/Logging_1783/tillsyn/A 35908-2022 tillsynsbegäran.docx", "A 35908-2022")</f>
        <v/>
      </c>
      <c r="AD417">
        <f>HYPERLINK("https://klasma.github.io/Logging_1783/tillsynsmail/A 35908-2022 tillsynsbegäran mail.docx", "A 35908-2022")</f>
        <v/>
      </c>
    </row>
    <row r="418" ht="15" customHeight="1">
      <c r="A418" t="inlineStr">
        <is>
          <t>A 61950-2024</t>
        </is>
      </c>
      <c r="B418" t="inlineStr">
        <is>
          <t>avverkningsanmälan</t>
        </is>
      </c>
      <c r="C418" t="inlineStr">
        <is>
          <t>Föryngringsavverkning</t>
        </is>
      </c>
      <c r="D418" s="1" t="n">
        <v>45653</v>
      </c>
      <c r="E418" s="1" t="n">
        <v>46307</v>
      </c>
      <c r="F418" t="inlineStr">
        <is>
          <t>VÄRMLANDS LÄN</t>
        </is>
      </c>
      <c r="G418" t="inlineStr">
        <is>
          <t>TORSBY</t>
        </is>
      </c>
      <c r="I418" t="n">
        <v>2.1</v>
      </c>
      <c r="J418" t="n">
        <v>2</v>
      </c>
      <c r="K418" t="n">
        <v>0</v>
      </c>
      <c r="L418" t="n">
        <v>2</v>
      </c>
      <c r="M418" t="n">
        <v>0</v>
      </c>
      <c r="N418" t="n">
        <v>0</v>
      </c>
      <c r="O418" t="n">
        <v>0</v>
      </c>
      <c r="P418" t="n">
        <v>0</v>
      </c>
      <c r="Q418" t="n">
        <v>2</v>
      </c>
      <c r="R418" t="n">
        <v>0</v>
      </c>
      <c r="S418" t="n">
        <v>2</v>
      </c>
      <c r="T418" t="n">
        <v>2</v>
      </c>
      <c r="U418" t="n">
        <v>0</v>
      </c>
      <c r="V418" s="2" t="inlineStr">
        <is>
          <t>Björktrast
Rödvingetrast</t>
        </is>
      </c>
      <c r="W418">
        <f>HYPERLINK("https://klasma.github.io/Logging_1737/artfynd/A 61950-2024 artfynd.xlsx", "A 61950-2024")</f>
        <v/>
      </c>
      <c r="X418">
        <f>HYPERLINK("https://klasma.github.io/Logging_1737/kartor/A 61950-2024 karta.png", "A 61950-2024")</f>
        <v/>
      </c>
      <c r="Y418">
        <f>HYPERLINK("https://klasma.github.io/Logging_1737/kartor_geotiff/A 61950-2024 georefererad karta.tif", "A 61950-2024")</f>
        <v/>
      </c>
      <c r="AA418">
        <f>HYPERLINK("https://klasma.github.io/Logging_1737/klagomål/A 61950-2024 FSC-klagomål.docx", "A 61950-2024")</f>
        <v/>
      </c>
      <c r="AB418">
        <f>HYPERLINK("https://klasma.github.io/Logging_1737/klagomålsmail/A 61950-2024 FSC-klagomål mail.docx", "A 61950-2024")</f>
        <v/>
      </c>
      <c r="AC418">
        <f>HYPERLINK("https://klasma.github.io/Logging_1737/tillsyn/A 61950-2024 tillsynsbegäran.docx", "A 61950-2024")</f>
        <v/>
      </c>
      <c r="AD418">
        <f>HYPERLINK("https://klasma.github.io/Logging_1737/tillsynsmail/A 61950-2024 tillsynsbegäran mail.docx", "A 61950-2024")</f>
        <v/>
      </c>
      <c r="AE418">
        <f>HYPERLINK("https://klasma.github.io/Logging_1737/fåglar/A 61950-2024 prioriterade fågelarter.docx", "A 61950-2024")</f>
        <v/>
      </c>
    </row>
    <row r="419" ht="15" customHeight="1">
      <c r="A419" t="inlineStr">
        <is>
          <t>A 60586-2025</t>
        </is>
      </c>
      <c r="B419" t="inlineStr">
        <is>
          <t>avverkningsanmälan</t>
        </is>
      </c>
      <c r="C419" t="inlineStr">
        <is>
          <t>Föryngringsavverkning</t>
        </is>
      </c>
      <c r="D419" s="1" t="n">
        <v>45996</v>
      </c>
      <c r="E419" s="1" t="n">
        <v>46307</v>
      </c>
      <c r="F419" t="inlineStr">
        <is>
          <t>VÄRMLANDS LÄN</t>
        </is>
      </c>
      <c r="G419" t="inlineStr">
        <is>
          <t>ARVIKA</t>
        </is>
      </c>
      <c r="I419" t="n">
        <v>8.6</v>
      </c>
      <c r="J419" t="n">
        <v>1</v>
      </c>
      <c r="K419" t="n">
        <v>1</v>
      </c>
      <c r="L419" t="n">
        <v>0</v>
      </c>
      <c r="M419" t="n">
        <v>0</v>
      </c>
      <c r="N419" t="n">
        <v>0</v>
      </c>
      <c r="O419" t="n">
        <v>0</v>
      </c>
      <c r="P419" t="n">
        <v>0</v>
      </c>
      <c r="Q419" t="n">
        <v>0</v>
      </c>
      <c r="R419" t="n">
        <v>0</v>
      </c>
      <c r="S419" t="n">
        <v>2</v>
      </c>
      <c r="T419" t="n">
        <v>3</v>
      </c>
      <c r="U419" t="n">
        <v>0</v>
      </c>
      <c r="V419" s="2" t="inlineStr">
        <is>
          <t>Bollvitmossa
Fläcknycklar</t>
        </is>
      </c>
      <c r="W419">
        <f>HYPERLINK("https://klasma.github.io/Logging_1784/artfynd/A 60586-2025 artfynd.xlsx", "A 60586-2025")</f>
        <v/>
      </c>
      <c r="X419">
        <f>HYPERLINK("https://klasma.github.io/Logging_1784/kartor/A 60586-2025 karta.png", "A 60586-2025")</f>
        <v/>
      </c>
      <c r="Y419">
        <f>HYPERLINK("https://klasma.github.io/Logging_1784/kartor_geotiff/A 60586-2025 georefererad karta.tif", "A 60586-2025")</f>
        <v/>
      </c>
      <c r="AA419">
        <f>HYPERLINK("https://klasma.github.io/Logging_1784/klagomål/A 60586-2025 FSC-klagomål.docx", "A 60586-2025")</f>
        <v/>
      </c>
      <c r="AB419">
        <f>HYPERLINK("https://klasma.github.io/Logging_1784/klagomålsmail/A 60586-2025 FSC-klagomål mail.docx", "A 60586-2025")</f>
        <v/>
      </c>
      <c r="AC419">
        <f>HYPERLINK("https://klasma.github.io/Logging_1784/tillsyn/A 60586-2025 tillsynsbegäran.docx", "A 60586-2025")</f>
        <v/>
      </c>
      <c r="AD419">
        <f>HYPERLINK("https://klasma.github.io/Logging_1784/tillsynsmail/A 60586-2025 tillsynsbegäran mail.docx", "A 60586-2025")</f>
        <v/>
      </c>
    </row>
    <row r="420" ht="15" customHeight="1">
      <c r="A420" t="inlineStr">
        <is>
          <t>A 56386-2022</t>
        </is>
      </c>
      <c r="B420" t="inlineStr">
        <is>
          <t>avverkningsanmälan</t>
        </is>
      </c>
      <c r="C420" t="inlineStr">
        <is>
          <t>Föryngringsavverkning</t>
        </is>
      </c>
      <c r="D420" s="1" t="n">
        <v>44890</v>
      </c>
      <c r="E420" s="1" t="n">
        <v>46307</v>
      </c>
      <c r="F420" t="inlineStr">
        <is>
          <t>VÄRMLANDS LÄN</t>
        </is>
      </c>
      <c r="G420" t="inlineStr">
        <is>
          <t>GRUMS</t>
        </is>
      </c>
      <c r="I420" t="n">
        <v>4.2</v>
      </c>
      <c r="J420" t="n">
        <v>0</v>
      </c>
      <c r="K420" t="n">
        <v>0</v>
      </c>
      <c r="L420" t="n">
        <v>1</v>
      </c>
      <c r="M420" t="n">
        <v>1</v>
      </c>
      <c r="N420" t="n">
        <v>0</v>
      </c>
      <c r="O420" t="n">
        <v>0</v>
      </c>
      <c r="P420" t="n">
        <v>0</v>
      </c>
      <c r="Q420" t="n">
        <v>2</v>
      </c>
      <c r="R420" t="n">
        <v>1</v>
      </c>
      <c r="S420" t="n">
        <v>2</v>
      </c>
      <c r="T420" t="n">
        <v>2</v>
      </c>
      <c r="U420" t="n">
        <v>0</v>
      </c>
      <c r="V420" s="2" t="inlineStr">
        <is>
          <t>Vågfibbla
Rönnfibbla</t>
        </is>
      </c>
      <c r="W420">
        <f>HYPERLINK("https://klasma.github.io/Logging_1764/artfynd/A 56386-2022 artfynd.xlsx", "A 56386-2022")</f>
        <v/>
      </c>
      <c r="X420">
        <f>HYPERLINK("https://klasma.github.io/Logging_1764/kartor/A 56386-2022 karta.png", "A 56386-2022")</f>
        <v/>
      </c>
      <c r="Y420">
        <f>HYPERLINK("https://klasma.github.io/Logging_1764/kartor_geotiff/A 56386-2022 georefererad karta.tif", "A 56386-2022")</f>
        <v/>
      </c>
      <c r="AA420">
        <f>HYPERLINK("https://klasma.github.io/Logging_1764/klagomål/A 56386-2022 FSC-klagomål.docx", "A 56386-2022")</f>
        <v/>
      </c>
      <c r="AB420">
        <f>HYPERLINK("https://klasma.github.io/Logging_1764/klagomålsmail/A 56386-2022 FSC-klagomål mail.docx", "A 56386-2022")</f>
        <v/>
      </c>
      <c r="AC420">
        <f>HYPERLINK("https://klasma.github.io/Logging_1764/tillsyn/A 56386-2022 tillsynsbegäran.docx", "A 56386-2022")</f>
        <v/>
      </c>
      <c r="AD420">
        <f>HYPERLINK("https://klasma.github.io/Logging_1764/tillsynsmail/A 56386-2022 tillsynsbegäran mail.docx", "A 56386-2022")</f>
        <v/>
      </c>
    </row>
    <row r="421" ht="15" customHeight="1">
      <c r="A421" t="inlineStr">
        <is>
          <t>A 34205-2025</t>
        </is>
      </c>
      <c r="B421" t="inlineStr">
        <is>
          <t>avverkningsanmälan</t>
        </is>
      </c>
      <c r="C421" t="inlineStr">
        <is>
          <t>Föryngringsavverkning</t>
        </is>
      </c>
      <c r="D421" s="1" t="n">
        <v>45845</v>
      </c>
      <c r="E421" s="1" t="n">
        <v>46307</v>
      </c>
      <c r="F421" t="inlineStr">
        <is>
          <t>VÄRMLANDS LÄN</t>
        </is>
      </c>
      <c r="G421" t="inlineStr">
        <is>
          <t>ÅRJÄNG</t>
        </is>
      </c>
      <c r="I421" t="n">
        <v>4.4</v>
      </c>
      <c r="J421" t="n">
        <v>0</v>
      </c>
      <c r="K421" t="n">
        <v>0</v>
      </c>
      <c r="L421" t="n">
        <v>2</v>
      </c>
      <c r="M421" t="n">
        <v>0</v>
      </c>
      <c r="N421" t="n">
        <v>0</v>
      </c>
      <c r="O421" t="n">
        <v>0</v>
      </c>
      <c r="P421" t="n">
        <v>0</v>
      </c>
      <c r="Q421" t="n">
        <v>2</v>
      </c>
      <c r="R421" t="n">
        <v>0</v>
      </c>
      <c r="S421" t="n">
        <v>2</v>
      </c>
      <c r="T421" t="n">
        <v>3</v>
      </c>
      <c r="U421" t="n">
        <v>3</v>
      </c>
      <c r="V421" s="2" t="inlineStr">
        <is>
          <t>Dropptaggsvamp
Skuggblåslav</t>
        </is>
      </c>
      <c r="W421">
        <f>HYPERLINK("https://klasma.github.io/Logging_1765/artfynd/A 34205-2025 artfynd.xlsx", "A 34205-2025")</f>
        <v/>
      </c>
      <c r="X421">
        <f>HYPERLINK("https://klasma.github.io/Logging_1765/kartor/A 34205-2025 karta.png", "A 34205-2025")</f>
        <v/>
      </c>
      <c r="Y421">
        <f>HYPERLINK("https://klasma.github.io/Logging_1765/kartor_geotiff/A 34205-2025 georefererad karta.tif", "A 34205-2025")</f>
        <v/>
      </c>
      <c r="AA421">
        <f>HYPERLINK("https://klasma.github.io/Logging_1765/klagomål/A 34205-2025 FSC-klagomål.docx", "A 34205-2025")</f>
        <v/>
      </c>
      <c r="AB421">
        <f>HYPERLINK("https://klasma.github.io/Logging_1765/klagomålsmail/A 34205-2025 FSC-klagomål mail.docx", "A 34205-2025")</f>
        <v/>
      </c>
      <c r="AC421">
        <f>HYPERLINK("https://klasma.github.io/Logging_1765/tillsyn/A 34205-2025 tillsynsbegäran.docx", "A 34205-2025")</f>
        <v/>
      </c>
      <c r="AD421">
        <f>HYPERLINK("https://klasma.github.io/Logging_1765/tillsynsmail/A 34205-2025 tillsynsbegäran mail.docx", "A 34205-2025")</f>
        <v/>
      </c>
    </row>
    <row r="422" ht="15" customHeight="1">
      <c r="A422" t="inlineStr">
        <is>
          <t>A 47097-2024</t>
        </is>
      </c>
      <c r="B422" t="inlineStr">
        <is>
          <t>avverkningsanmälan</t>
        </is>
      </c>
      <c r="C422" t="inlineStr">
        <is>
          <t>Föryngringsavverkning</t>
        </is>
      </c>
      <c r="D422" s="1" t="n">
        <v>45586</v>
      </c>
      <c r="E422" s="1" t="n">
        <v>46307</v>
      </c>
      <c r="F422" t="inlineStr">
        <is>
          <t>VÄRMLANDS LÄN</t>
        </is>
      </c>
      <c r="G422" t="inlineStr">
        <is>
          <t>SUNNE</t>
        </is>
      </c>
      <c r="H422" t="inlineStr">
        <is>
          <t>Kommuner</t>
        </is>
      </c>
      <c r="I422" t="n">
        <v>0.4</v>
      </c>
      <c r="J422" t="n">
        <v>1</v>
      </c>
      <c r="K422" t="n">
        <v>0</v>
      </c>
      <c r="L422" t="n">
        <v>1</v>
      </c>
      <c r="M422" t="n">
        <v>0</v>
      </c>
      <c r="N422" t="n">
        <v>0</v>
      </c>
      <c r="O422" t="n">
        <v>0</v>
      </c>
      <c r="P422" t="n">
        <v>0</v>
      </c>
      <c r="Q422" t="n">
        <v>1</v>
      </c>
      <c r="R422" t="n">
        <v>0</v>
      </c>
      <c r="S422" t="n">
        <v>2</v>
      </c>
      <c r="T422" t="n">
        <v>2</v>
      </c>
      <c r="U422" t="n">
        <v>2</v>
      </c>
      <c r="V422" s="2" t="inlineStr">
        <is>
          <t>Gullklöver
Vanlig groda</t>
        </is>
      </c>
      <c r="W422">
        <f>HYPERLINK("https://klasma.github.io/Logging_1766/artfynd/A 47097-2024 artfynd.xlsx", "A 47097-2024")</f>
        <v/>
      </c>
      <c r="X422">
        <f>HYPERLINK("https://klasma.github.io/Logging_1766/kartor/A 47097-2024 karta.png", "A 47097-2024")</f>
        <v/>
      </c>
      <c r="Y422">
        <f>HYPERLINK("https://klasma.github.io/Logging_1766/kartor_geotiff/A 47097-2024 georefererad karta.tif", "A 47097-2024")</f>
        <v/>
      </c>
      <c r="AA422">
        <f>HYPERLINK("https://klasma.github.io/Logging_1766/klagomål/A 47097-2024 FSC-klagomål.docx", "A 47097-2024")</f>
        <v/>
      </c>
      <c r="AB422">
        <f>HYPERLINK("https://klasma.github.io/Logging_1766/klagomålsmail/A 47097-2024 FSC-klagomål mail.docx", "A 47097-2024")</f>
        <v/>
      </c>
      <c r="AC422">
        <f>HYPERLINK("https://klasma.github.io/Logging_1766/tillsyn/A 47097-2024 tillsynsbegäran.docx", "A 47097-2024")</f>
        <v/>
      </c>
      <c r="AD422">
        <f>HYPERLINK("https://klasma.github.io/Logging_1766/tillsynsmail/A 47097-2024 tillsynsbegäran mail.docx", "A 47097-2024")</f>
        <v/>
      </c>
    </row>
    <row r="423" ht="15" customHeight="1">
      <c r="A423" t="inlineStr">
        <is>
          <t>A 62690-2025</t>
        </is>
      </c>
      <c r="B423" t="inlineStr">
        <is>
          <t>avverkningsanmälan</t>
        </is>
      </c>
      <c r="C423" t="inlineStr">
        <is>
          <t>Föryngringsavverkning</t>
        </is>
      </c>
      <c r="D423" s="1" t="n">
        <v>46007</v>
      </c>
      <c r="E423" s="1" t="n">
        <v>46307</v>
      </c>
      <c r="F423" t="inlineStr">
        <is>
          <t>VÄRMLANDS LÄN</t>
        </is>
      </c>
      <c r="G423" t="inlineStr">
        <is>
          <t>TORSBY</t>
        </is>
      </c>
      <c r="I423" t="n">
        <v>2.2</v>
      </c>
      <c r="J423" t="n">
        <v>1</v>
      </c>
      <c r="K423" t="n">
        <v>0</v>
      </c>
      <c r="L423" t="n">
        <v>0</v>
      </c>
      <c r="M423" t="n">
        <v>1</v>
      </c>
      <c r="N423" t="n">
        <v>0</v>
      </c>
      <c r="O423" t="n">
        <v>0</v>
      </c>
      <c r="P423" t="n">
        <v>0</v>
      </c>
      <c r="Q423" t="n">
        <v>1</v>
      </c>
      <c r="R423" t="n">
        <v>1</v>
      </c>
      <c r="S423" t="n">
        <v>2</v>
      </c>
      <c r="T423" t="n">
        <v>2</v>
      </c>
      <c r="U423" t="n">
        <v>1</v>
      </c>
      <c r="V423" s="2" t="inlineStr">
        <is>
          <t>Grantickeporing
Utter</t>
        </is>
      </c>
      <c r="W423">
        <f>HYPERLINK("https://klasma.github.io/Logging_1737/artfynd/A 62690-2025 artfynd.xlsx", "A 62690-2025")</f>
        <v/>
      </c>
      <c r="X423">
        <f>HYPERLINK("https://klasma.github.io/Logging_1737/kartor/A 62690-2025 karta.png", "A 62690-2025")</f>
        <v/>
      </c>
      <c r="Y423">
        <f>HYPERLINK("https://klasma.github.io/Logging_1737/kartor_geotiff/A 62690-2025 georefererad karta.tif", "A 62690-2025")</f>
        <v/>
      </c>
      <c r="AA423">
        <f>HYPERLINK("https://klasma.github.io/Logging_1737/klagomål/A 62690-2025 FSC-klagomål.docx", "A 62690-2025")</f>
        <v/>
      </c>
      <c r="AB423">
        <f>HYPERLINK("https://klasma.github.io/Logging_1737/klagomålsmail/A 62690-2025 FSC-klagomål mail.docx", "A 62690-2025")</f>
        <v/>
      </c>
      <c r="AC423">
        <f>HYPERLINK("https://klasma.github.io/Logging_1737/tillsyn/A 62690-2025 tillsynsbegäran.docx", "A 62690-2025")</f>
        <v/>
      </c>
      <c r="AD423">
        <f>HYPERLINK("https://klasma.github.io/Logging_1737/tillsynsmail/A 62690-2025 tillsynsbegäran mail.docx", "A 62690-2025")</f>
        <v/>
      </c>
    </row>
    <row r="424" ht="15" customHeight="1">
      <c r="A424" t="inlineStr">
        <is>
          <t>A 51595-2025</t>
        </is>
      </c>
      <c r="B424" t="inlineStr">
        <is>
          <t>avverkningsanmälan</t>
        </is>
      </c>
      <c r="C424" t="inlineStr">
        <is>
          <t>Föryngringsavverkning</t>
        </is>
      </c>
      <c r="D424" s="1" t="n">
        <v>45951</v>
      </c>
      <c r="E424" s="1" t="n">
        <v>46307</v>
      </c>
      <c r="F424" t="inlineStr">
        <is>
          <t>VÄRMLANDS LÄN</t>
        </is>
      </c>
      <c r="G424" t="inlineStr">
        <is>
          <t>ARVIKA</t>
        </is>
      </c>
      <c r="I424" t="n">
        <v>1.8</v>
      </c>
      <c r="J424" t="n">
        <v>1</v>
      </c>
      <c r="K424" t="n">
        <v>0</v>
      </c>
      <c r="L424" t="n">
        <v>1</v>
      </c>
      <c r="M424" t="n">
        <v>0</v>
      </c>
      <c r="N424" t="n">
        <v>0</v>
      </c>
      <c r="O424" t="n">
        <v>0</v>
      </c>
      <c r="P424" t="n">
        <v>0</v>
      </c>
      <c r="Q424" t="n">
        <v>1</v>
      </c>
      <c r="R424" t="n">
        <v>0</v>
      </c>
      <c r="S424" t="n">
        <v>2</v>
      </c>
      <c r="T424" t="n">
        <v>2</v>
      </c>
      <c r="U424" t="n">
        <v>2</v>
      </c>
      <c r="V424" s="2" t="inlineStr">
        <is>
          <t>Kattfotslav
Tjäder</t>
        </is>
      </c>
      <c r="W424">
        <f>HYPERLINK("https://klasma.github.io/Logging_1784/artfynd/A 51595-2025 artfynd.xlsx", "A 51595-2025")</f>
        <v/>
      </c>
      <c r="X424">
        <f>HYPERLINK("https://klasma.github.io/Logging_1784/kartor/A 51595-2025 karta.png", "A 51595-2025")</f>
        <v/>
      </c>
      <c r="Y424">
        <f>HYPERLINK("https://klasma.github.io/Logging_1784/kartor_geotiff/A 51595-2025 georefererad karta.tif", "A 51595-2025")</f>
        <v/>
      </c>
      <c r="AA424">
        <f>HYPERLINK("https://klasma.github.io/Logging_1784/klagomål/A 51595-2025 FSC-klagomål.docx", "A 51595-2025")</f>
        <v/>
      </c>
      <c r="AB424">
        <f>HYPERLINK("https://klasma.github.io/Logging_1784/klagomålsmail/A 51595-2025 FSC-klagomål mail.docx", "A 51595-2025")</f>
        <v/>
      </c>
      <c r="AC424">
        <f>HYPERLINK("https://klasma.github.io/Logging_1784/tillsyn/A 51595-2025 tillsynsbegäran.docx", "A 51595-2025")</f>
        <v/>
      </c>
      <c r="AD424">
        <f>HYPERLINK("https://klasma.github.io/Logging_1784/tillsynsmail/A 51595-2025 tillsynsbegäran mail.docx", "A 51595-2025")</f>
        <v/>
      </c>
      <c r="AE424">
        <f>HYPERLINK("https://klasma.github.io/Logging_1784/fåglar/A 51595-2025 prioriterade fågelarter.docx", "A 51595-2025")</f>
        <v/>
      </c>
    </row>
    <row r="425" ht="15" customHeight="1">
      <c r="A425" t="inlineStr">
        <is>
          <t>A 6966-2025</t>
        </is>
      </c>
      <c r="B425" t="inlineStr">
        <is>
          <t>avverkningsanmälan</t>
        </is>
      </c>
      <c r="C425" t="inlineStr">
        <is>
          <t>Föryngringsavverkning</t>
        </is>
      </c>
      <c r="D425" s="1" t="n">
        <v>45701</v>
      </c>
      <c r="E425" s="1" t="n">
        <v>46307</v>
      </c>
      <c r="F425" t="inlineStr">
        <is>
          <t>VÄRMLANDS LÄN</t>
        </is>
      </c>
      <c r="G425" t="inlineStr">
        <is>
          <t>ARVIKA</t>
        </is>
      </c>
      <c r="I425" t="n">
        <v>1.9</v>
      </c>
      <c r="J425" t="n">
        <v>1</v>
      </c>
      <c r="K425" t="n">
        <v>1</v>
      </c>
      <c r="L425" t="n">
        <v>0</v>
      </c>
      <c r="M425" t="n">
        <v>1</v>
      </c>
      <c r="N425" t="n">
        <v>0</v>
      </c>
      <c r="O425" t="n">
        <v>0</v>
      </c>
      <c r="P425" t="n">
        <v>0</v>
      </c>
      <c r="Q425" t="n">
        <v>1</v>
      </c>
      <c r="R425" t="n">
        <v>1</v>
      </c>
      <c r="S425" t="n">
        <v>2</v>
      </c>
      <c r="T425" t="n">
        <v>12</v>
      </c>
      <c r="U425" t="n">
        <v>12</v>
      </c>
      <c r="V425" s="2" t="inlineStr">
        <is>
          <t>Knärot
Grönpyrola</t>
        </is>
      </c>
      <c r="W425">
        <f>HYPERLINK("https://klasma.github.io/Logging_1784/artfynd/A 6966-2025 artfynd.xlsx", "A 6966-2025")</f>
        <v/>
      </c>
      <c r="X425">
        <f>HYPERLINK("https://klasma.github.io/Logging_1784/kartor/A 6966-2025 karta.png", "A 6966-2025")</f>
        <v/>
      </c>
      <c r="Y425">
        <f>HYPERLINK("https://klasma.github.io/Logging_1784/kartor_geotiff/A 6966-2025 georefererad karta.tif", "A 6966-2025")</f>
        <v/>
      </c>
      <c r="Z425">
        <f>HYPERLINK("https://klasma.github.io/Logging_1784/knärot/A 6966-2025 karta knärot.png", "A 6966-2025")</f>
        <v/>
      </c>
      <c r="AA425">
        <f>HYPERLINK("https://klasma.github.io/Logging_1784/klagomål/A 6966-2025 FSC-klagomål.docx", "A 6966-2025")</f>
        <v/>
      </c>
      <c r="AB425">
        <f>HYPERLINK("https://klasma.github.io/Logging_1784/klagomålsmail/A 6966-2025 FSC-klagomål mail.docx", "A 6966-2025")</f>
        <v/>
      </c>
      <c r="AC425">
        <f>HYPERLINK("https://klasma.github.io/Logging_1784/tillsyn/A 6966-2025 tillsynsbegäran.docx", "A 6966-2025")</f>
        <v/>
      </c>
      <c r="AD425">
        <f>HYPERLINK("https://klasma.github.io/Logging_1784/tillsynsmail/A 6966-2025 tillsynsbegäran mail.docx", "A 6966-2025")</f>
        <v/>
      </c>
    </row>
    <row r="426" ht="15" customHeight="1">
      <c r="A426" t="inlineStr">
        <is>
          <t>A 63388-2025</t>
        </is>
      </c>
      <c r="B426" t="inlineStr">
        <is>
          <t>avverkningsanmälan</t>
        </is>
      </c>
      <c r="C426" t="inlineStr">
        <is>
          <t>Föryngringsavverkning</t>
        </is>
      </c>
      <c r="D426" s="1" t="n">
        <v>46011</v>
      </c>
      <c r="E426" s="1" t="n">
        <v>46307</v>
      </c>
      <c r="F426" t="inlineStr">
        <is>
          <t>VÄRMLANDS LÄN</t>
        </is>
      </c>
      <c r="G426" t="inlineStr">
        <is>
          <t>TORSBY</t>
        </is>
      </c>
      <c r="I426" t="n">
        <v>5.4</v>
      </c>
      <c r="J426" t="n">
        <v>0</v>
      </c>
      <c r="K426" t="n">
        <v>0</v>
      </c>
      <c r="L426" t="n">
        <v>2</v>
      </c>
      <c r="M426" t="n">
        <v>0</v>
      </c>
      <c r="N426" t="n">
        <v>0</v>
      </c>
      <c r="O426" t="n">
        <v>0</v>
      </c>
      <c r="P426" t="n">
        <v>0</v>
      </c>
      <c r="Q426" t="n">
        <v>2</v>
      </c>
      <c r="R426" t="n">
        <v>0</v>
      </c>
      <c r="S426" t="n">
        <v>2</v>
      </c>
      <c r="T426" t="n">
        <v>2</v>
      </c>
      <c r="U426" t="n">
        <v>0</v>
      </c>
      <c r="V426" s="2" t="inlineStr">
        <is>
          <t>Mörk kolflarnlav
Vedskivlav</t>
        </is>
      </c>
      <c r="W426">
        <f>HYPERLINK("https://klasma.github.io/Logging_1737/artfynd/A 63388-2025 artfynd.xlsx", "A 63388-2025")</f>
        <v/>
      </c>
      <c r="X426">
        <f>HYPERLINK("https://klasma.github.io/Logging_1737/kartor/A 63388-2025 karta.png", "A 63388-2025")</f>
        <v/>
      </c>
      <c r="Y426">
        <f>HYPERLINK("https://klasma.github.io/Logging_1737/kartor_geotiff/A 63388-2025 georefererad karta.tif", "A 63388-2025")</f>
        <v/>
      </c>
      <c r="AA426">
        <f>HYPERLINK("https://klasma.github.io/Logging_1737/klagomål/A 63388-2025 FSC-klagomål.docx", "A 63388-2025")</f>
        <v/>
      </c>
      <c r="AB426">
        <f>HYPERLINK("https://klasma.github.io/Logging_1737/klagomålsmail/A 63388-2025 FSC-klagomål mail.docx", "A 63388-2025")</f>
        <v/>
      </c>
      <c r="AC426">
        <f>HYPERLINK("https://klasma.github.io/Logging_1737/tillsyn/A 63388-2025 tillsynsbegäran.docx", "A 63388-2025")</f>
        <v/>
      </c>
      <c r="AD426">
        <f>HYPERLINK("https://klasma.github.io/Logging_1737/tillsynsmail/A 63388-2025 tillsynsbegäran mail.docx", "A 63388-2025")</f>
        <v/>
      </c>
    </row>
    <row r="427" ht="15" customHeight="1">
      <c r="A427" t="inlineStr">
        <is>
          <t>A 383-2026</t>
        </is>
      </c>
      <c r="B427" t="inlineStr">
        <is>
          <t>avverkningsanmälan</t>
        </is>
      </c>
      <c r="C427" t="inlineStr">
        <is>
          <t>Föryngringsavverkning</t>
        </is>
      </c>
      <c r="D427" s="1" t="n">
        <v>46027</v>
      </c>
      <c r="E427" s="1" t="n">
        <v>46307</v>
      </c>
      <c r="F427" t="inlineStr">
        <is>
          <t>VÄRMLANDS LÄN</t>
        </is>
      </c>
      <c r="G427" t="inlineStr">
        <is>
          <t>SUNNE</t>
        </is>
      </c>
      <c r="I427" t="n">
        <v>5.8</v>
      </c>
      <c r="J427" t="n">
        <v>1</v>
      </c>
      <c r="K427" t="n">
        <v>0</v>
      </c>
      <c r="L427" t="n">
        <v>1</v>
      </c>
      <c r="M427" t="n">
        <v>1</v>
      </c>
      <c r="N427" t="n">
        <v>0</v>
      </c>
      <c r="O427" t="n">
        <v>0</v>
      </c>
      <c r="P427" t="n">
        <v>0</v>
      </c>
      <c r="Q427" t="n">
        <v>2</v>
      </c>
      <c r="R427" t="n">
        <v>1</v>
      </c>
      <c r="S427" t="n">
        <v>2</v>
      </c>
      <c r="T427" t="n">
        <v>2</v>
      </c>
      <c r="U427" t="n">
        <v>1</v>
      </c>
      <c r="V427" s="2" t="inlineStr">
        <is>
          <t>Garnlav
Kungsörn</t>
        </is>
      </c>
      <c r="W427">
        <f>HYPERLINK("https://klasma.github.io/Logging_1766/artfynd/A 383-2026 artfynd.xlsx", "A 383-2026")</f>
        <v/>
      </c>
      <c r="X427">
        <f>HYPERLINK("https://klasma.github.io/Logging_1766/kartor/A 383-2026 karta.png", "A 383-2026")</f>
        <v/>
      </c>
      <c r="Y427">
        <f>HYPERLINK("https://klasma.github.io/Logging_1766/kartor_geotiff/A 383-2026 georefererad karta.tif", "A 383-2026")</f>
        <v/>
      </c>
      <c r="AA427">
        <f>HYPERLINK("https://klasma.github.io/Logging_1766/klagomål/A 383-2026 FSC-klagomål.docx", "A 383-2026")</f>
        <v/>
      </c>
      <c r="AB427">
        <f>HYPERLINK("https://klasma.github.io/Logging_1766/klagomålsmail/A 383-2026 FSC-klagomål mail.docx", "A 383-2026")</f>
        <v/>
      </c>
      <c r="AC427">
        <f>HYPERLINK("https://klasma.github.io/Logging_1766/tillsyn/A 383-2026 tillsynsbegäran.docx", "A 383-2026")</f>
        <v/>
      </c>
      <c r="AD427">
        <f>HYPERLINK("https://klasma.github.io/Logging_1766/tillsynsmail/A 383-2026 tillsynsbegäran mail.docx", "A 383-2026")</f>
        <v/>
      </c>
      <c r="AE427">
        <f>HYPERLINK("https://klasma.github.io/Logging_1766/fåglar/A 383-2026 prioriterade fågelarter.docx", "A 383-2026")</f>
        <v/>
      </c>
    </row>
    <row r="428" ht="15" customHeight="1">
      <c r="A428" t="inlineStr">
        <is>
          <t>A 57233-2023</t>
        </is>
      </c>
      <c r="B428" t="inlineStr">
        <is>
          <t>avverkningsanmälan</t>
        </is>
      </c>
      <c r="C428" t="inlineStr">
        <is>
          <t>Föryngringsavverkning</t>
        </is>
      </c>
      <c r="D428" s="1" t="n">
        <v>45245</v>
      </c>
      <c r="E428" s="1" t="n">
        <v>46307</v>
      </c>
      <c r="F428" t="inlineStr">
        <is>
          <t>VÄRMLANDS LÄN</t>
        </is>
      </c>
      <c r="G428" t="inlineStr">
        <is>
          <t>GRUMS</t>
        </is>
      </c>
      <c r="I428" t="n">
        <v>1.4</v>
      </c>
      <c r="J428" t="n">
        <v>0</v>
      </c>
      <c r="K428" t="n">
        <v>0</v>
      </c>
      <c r="L428" t="n">
        <v>2</v>
      </c>
      <c r="M428" t="n">
        <v>0</v>
      </c>
      <c r="N428" t="n">
        <v>0</v>
      </c>
      <c r="O428" t="n">
        <v>0</v>
      </c>
      <c r="P428" t="n">
        <v>0</v>
      </c>
      <c r="Q428" t="n">
        <v>2</v>
      </c>
      <c r="R428" t="n">
        <v>0</v>
      </c>
      <c r="S428" t="n">
        <v>2</v>
      </c>
      <c r="T428" t="n">
        <v>6</v>
      </c>
      <c r="U428" t="n">
        <v>6</v>
      </c>
      <c r="V428" s="2" t="inlineStr">
        <is>
          <t>Jungfrulin
Skogsklocka</t>
        </is>
      </c>
      <c r="W428">
        <f>HYPERLINK("https://klasma.github.io/Logging_1764/artfynd/A 57233-2023 artfynd.xlsx", "A 57233-2023")</f>
        <v/>
      </c>
      <c r="X428">
        <f>HYPERLINK("https://klasma.github.io/Logging_1764/kartor/A 57233-2023 karta.png", "A 57233-2023")</f>
        <v/>
      </c>
      <c r="Y428">
        <f>HYPERLINK("https://klasma.github.io/Logging_1764/kartor_geotiff/A 57233-2023 georefererad karta.tif", "A 57233-2023")</f>
        <v/>
      </c>
      <c r="AA428">
        <f>HYPERLINK("https://klasma.github.io/Logging_1764/klagomål/A 57233-2023 FSC-klagomål.docx", "A 57233-2023")</f>
        <v/>
      </c>
      <c r="AB428">
        <f>HYPERLINK("https://klasma.github.io/Logging_1764/klagomålsmail/A 57233-2023 FSC-klagomål mail.docx", "A 57233-2023")</f>
        <v/>
      </c>
      <c r="AC428">
        <f>HYPERLINK("https://klasma.github.io/Logging_1764/tillsyn/A 57233-2023 tillsynsbegäran.docx", "A 57233-2023")</f>
        <v/>
      </c>
      <c r="AD428">
        <f>HYPERLINK("https://klasma.github.io/Logging_1764/tillsynsmail/A 57233-2023 tillsynsbegäran mail.docx", "A 57233-2023")</f>
        <v/>
      </c>
    </row>
    <row r="429" ht="15" customHeight="1">
      <c r="A429" t="inlineStr">
        <is>
          <t>A 1979-2023</t>
        </is>
      </c>
      <c r="B429" t="inlineStr">
        <is>
          <t>avverkningsanmälan</t>
        </is>
      </c>
      <c r="C429" t="inlineStr">
        <is>
          <t>Föryngringsavverkning</t>
        </is>
      </c>
      <c r="D429" s="1" t="n">
        <v>44939</v>
      </c>
      <c r="E429" s="1" t="n">
        <v>46307</v>
      </c>
      <c r="F429" t="inlineStr">
        <is>
          <t>VÄRMLANDS LÄN</t>
        </is>
      </c>
      <c r="G429" t="inlineStr">
        <is>
          <t>TORSBY</t>
        </is>
      </c>
      <c r="I429" t="n">
        <v>2.2</v>
      </c>
      <c r="J429" t="n">
        <v>2</v>
      </c>
      <c r="K429" t="n">
        <v>1</v>
      </c>
      <c r="L429" t="n">
        <v>0</v>
      </c>
      <c r="M429" t="n">
        <v>0</v>
      </c>
      <c r="N429" t="n">
        <v>0</v>
      </c>
      <c r="O429" t="n">
        <v>0</v>
      </c>
      <c r="P429" t="n">
        <v>0</v>
      </c>
      <c r="Q429" t="n">
        <v>0</v>
      </c>
      <c r="R429" t="n">
        <v>0</v>
      </c>
      <c r="S429" t="n">
        <v>2</v>
      </c>
      <c r="T429" t="n">
        <v>4</v>
      </c>
      <c r="U429" t="n">
        <v>4</v>
      </c>
      <c r="V429" s="2" t="inlineStr">
        <is>
          <t>Korallrot
Fläcknycklar</t>
        </is>
      </c>
      <c r="W429">
        <f>HYPERLINK("https://klasma.github.io/Logging_1737/artfynd/A 1979-2023 artfynd.xlsx", "A 1979-2023")</f>
        <v/>
      </c>
      <c r="X429">
        <f>HYPERLINK("https://klasma.github.io/Logging_1737/kartor/A 1979-2023 karta.png", "A 1979-2023")</f>
        <v/>
      </c>
      <c r="Y429">
        <f>HYPERLINK("https://klasma.github.io/Logging_1737/kartor_geotiff/A 1979-2023 georefererad karta.tif", "A 1979-2023")</f>
        <v/>
      </c>
      <c r="AA429">
        <f>HYPERLINK("https://klasma.github.io/Logging_1737/klagomål/A 1979-2023 FSC-klagomål.docx", "A 1979-2023")</f>
        <v/>
      </c>
      <c r="AB429">
        <f>HYPERLINK("https://klasma.github.io/Logging_1737/klagomålsmail/A 1979-2023 FSC-klagomål mail.docx", "A 1979-2023")</f>
        <v/>
      </c>
      <c r="AC429">
        <f>HYPERLINK("https://klasma.github.io/Logging_1737/tillsyn/A 1979-2023 tillsynsbegäran.docx", "A 1979-2023")</f>
        <v/>
      </c>
      <c r="AD429">
        <f>HYPERLINK("https://klasma.github.io/Logging_1737/tillsynsmail/A 1979-2023 tillsynsbegäran mail.docx", "A 1979-2023")</f>
        <v/>
      </c>
    </row>
    <row r="430" ht="15" customHeight="1">
      <c r="A430" t="inlineStr">
        <is>
          <t>A 26849-2023</t>
        </is>
      </c>
      <c r="B430" t="inlineStr">
        <is>
          <t>avverkningsanmälan</t>
        </is>
      </c>
      <c r="C430" t="inlineStr">
        <is>
          <t>Föryngringsavverkning</t>
        </is>
      </c>
      <c r="D430" s="1" t="n">
        <v>45093</v>
      </c>
      <c r="E430" s="1" t="n">
        <v>46307</v>
      </c>
      <c r="F430" t="inlineStr">
        <is>
          <t>VÄRMLANDS LÄN</t>
        </is>
      </c>
      <c r="G430" t="inlineStr">
        <is>
          <t>KIL</t>
        </is>
      </c>
      <c r="I430" t="n">
        <v>2</v>
      </c>
      <c r="J430" t="n">
        <v>0</v>
      </c>
      <c r="K430" t="n">
        <v>0</v>
      </c>
      <c r="L430" t="n">
        <v>2</v>
      </c>
      <c r="M430" t="n">
        <v>0</v>
      </c>
      <c r="N430" t="n">
        <v>0</v>
      </c>
      <c r="O430" t="n">
        <v>0</v>
      </c>
      <c r="P430" t="n">
        <v>0</v>
      </c>
      <c r="Q430" t="n">
        <v>2</v>
      </c>
      <c r="R430" t="n">
        <v>0</v>
      </c>
      <c r="S430" t="n">
        <v>2</v>
      </c>
      <c r="T430" t="n">
        <v>2</v>
      </c>
      <c r="U430" t="n">
        <v>2</v>
      </c>
      <c r="V430" s="2" t="inlineStr">
        <is>
          <t>Gullklöver
Skogsklocka</t>
        </is>
      </c>
      <c r="W430">
        <f>HYPERLINK("https://klasma.github.io/Logging_1715/artfynd/A 26849-2023 artfynd.xlsx", "A 26849-2023")</f>
        <v/>
      </c>
      <c r="X430">
        <f>HYPERLINK("https://klasma.github.io/Logging_1715/kartor/A 26849-2023 karta.png", "A 26849-2023")</f>
        <v/>
      </c>
      <c r="Y430">
        <f>HYPERLINK("https://klasma.github.io/Logging_1715/kartor_geotiff/A 26849-2023 georefererad karta.tif", "A 26849-2023")</f>
        <v/>
      </c>
      <c r="AA430">
        <f>HYPERLINK("https://klasma.github.io/Logging_1715/klagomål/A 26849-2023 FSC-klagomål.docx", "A 26849-2023")</f>
        <v/>
      </c>
      <c r="AB430">
        <f>HYPERLINK("https://klasma.github.io/Logging_1715/klagomålsmail/A 26849-2023 FSC-klagomål mail.docx", "A 26849-2023")</f>
        <v/>
      </c>
      <c r="AC430">
        <f>HYPERLINK("https://klasma.github.io/Logging_1715/tillsyn/A 26849-2023 tillsynsbegäran.docx", "A 26849-2023")</f>
        <v/>
      </c>
      <c r="AD430">
        <f>HYPERLINK("https://klasma.github.io/Logging_1715/tillsynsmail/A 26849-2023 tillsynsbegäran mail.docx", "A 26849-2023")</f>
        <v/>
      </c>
    </row>
    <row r="431" ht="15" customHeight="1">
      <c r="A431" t="inlineStr">
        <is>
          <t>A 10279-2023</t>
        </is>
      </c>
      <c r="B431" t="inlineStr">
        <is>
          <t>avverkningsanmälan</t>
        </is>
      </c>
      <c r="C431" t="inlineStr">
        <is>
          <t>Föryngringsavverkning</t>
        </is>
      </c>
      <c r="D431" s="1" t="n">
        <v>44986</v>
      </c>
      <c r="E431" s="1" t="n">
        <v>46307</v>
      </c>
      <c r="F431" t="inlineStr">
        <is>
          <t>VÄRMLANDS LÄN</t>
        </is>
      </c>
      <c r="G431" t="inlineStr">
        <is>
          <t>SUNNE</t>
        </is>
      </c>
      <c r="I431" t="n">
        <v>7.1</v>
      </c>
      <c r="J431" t="n">
        <v>0</v>
      </c>
      <c r="K431" t="n">
        <v>2</v>
      </c>
      <c r="L431" t="n">
        <v>0</v>
      </c>
      <c r="M431" t="n">
        <v>0</v>
      </c>
      <c r="N431" t="n">
        <v>0</v>
      </c>
      <c r="O431" t="n">
        <v>0</v>
      </c>
      <c r="P431" t="n">
        <v>0</v>
      </c>
      <c r="Q431" t="n">
        <v>0</v>
      </c>
      <c r="R431" t="n">
        <v>0</v>
      </c>
      <c r="S431" t="n">
        <v>2</v>
      </c>
      <c r="T431" t="n">
        <v>3</v>
      </c>
      <c r="U431" t="n">
        <v>1</v>
      </c>
      <c r="V431" s="2" t="inlineStr">
        <is>
          <t>Bronshjon
Korallblylav</t>
        </is>
      </c>
      <c r="W431">
        <f>HYPERLINK("https://klasma.github.io/Logging_1766/artfynd/A 10279-2023 artfynd.xlsx", "A 10279-2023")</f>
        <v/>
      </c>
      <c r="X431">
        <f>HYPERLINK("https://klasma.github.io/Logging_1766/kartor/A 10279-2023 karta.png", "A 10279-2023")</f>
        <v/>
      </c>
      <c r="Y431">
        <f>HYPERLINK("https://klasma.github.io/Logging_1766/kartor_geotiff/A 10279-2023 georefererad karta.tif", "A 10279-2023")</f>
        <v/>
      </c>
      <c r="AA431">
        <f>HYPERLINK("https://klasma.github.io/Logging_1766/klagomål/A 10279-2023 FSC-klagomål.docx", "A 10279-2023")</f>
        <v/>
      </c>
      <c r="AB431">
        <f>HYPERLINK("https://klasma.github.io/Logging_1766/klagomålsmail/A 10279-2023 FSC-klagomål mail.docx", "A 10279-2023")</f>
        <v/>
      </c>
      <c r="AC431">
        <f>HYPERLINK("https://klasma.github.io/Logging_1766/tillsyn/A 10279-2023 tillsynsbegäran.docx", "A 10279-2023")</f>
        <v/>
      </c>
      <c r="AD431">
        <f>HYPERLINK("https://klasma.github.io/Logging_1766/tillsynsmail/A 10279-2023 tillsynsbegäran mail.docx", "A 10279-2023")</f>
        <v/>
      </c>
    </row>
    <row r="432" ht="15" customHeight="1">
      <c r="A432" t="inlineStr">
        <is>
          <t>A 51922-2024</t>
        </is>
      </c>
      <c r="B432" t="inlineStr">
        <is>
          <t>avverkningsanmälan</t>
        </is>
      </c>
      <c r="C432" t="inlineStr">
        <is>
          <t>Föryngringsavverkning</t>
        </is>
      </c>
      <c r="D432" s="1" t="n">
        <v>45607</v>
      </c>
      <c r="E432" s="1" t="n">
        <v>46307</v>
      </c>
      <c r="F432" t="inlineStr">
        <is>
          <t>VÄRMLANDS LÄN</t>
        </is>
      </c>
      <c r="G432" t="inlineStr">
        <is>
          <t>FILIPSTAD</t>
        </is>
      </c>
      <c r="H432" t="inlineStr">
        <is>
          <t>Bergvik skog väst AB</t>
        </is>
      </c>
      <c r="I432" t="n">
        <v>8</v>
      </c>
      <c r="J432" t="n">
        <v>1</v>
      </c>
      <c r="K432" t="n">
        <v>0</v>
      </c>
      <c r="L432" t="n">
        <v>0</v>
      </c>
      <c r="M432" t="n">
        <v>1</v>
      </c>
      <c r="N432" t="n">
        <v>0</v>
      </c>
      <c r="O432" t="n">
        <v>0</v>
      </c>
      <c r="P432" t="n">
        <v>0</v>
      </c>
      <c r="Q432" t="n">
        <v>1</v>
      </c>
      <c r="R432" t="n">
        <v>1</v>
      </c>
      <c r="S432" t="n">
        <v>2</v>
      </c>
      <c r="T432" t="n">
        <v>2</v>
      </c>
      <c r="U432" t="n">
        <v>0</v>
      </c>
      <c r="V432" s="2" t="inlineStr">
        <is>
          <t>Läderlappslav
Tjäder</t>
        </is>
      </c>
      <c r="W432">
        <f>HYPERLINK("https://klasma.github.io/Logging_1782/artfynd/A 51922-2024 artfynd.xlsx", "A 51922-2024")</f>
        <v/>
      </c>
      <c r="X432">
        <f>HYPERLINK("https://klasma.github.io/Logging_1782/kartor/A 51922-2024 karta.png", "A 51922-2024")</f>
        <v/>
      </c>
      <c r="Y432">
        <f>HYPERLINK("https://klasma.github.io/Logging_1782/kartor_geotiff/A 51922-2024 georefererad karta.tif", "A 51922-2024")</f>
        <v/>
      </c>
      <c r="AA432">
        <f>HYPERLINK("https://klasma.github.io/Logging_1782/klagomål/A 51922-2024 FSC-klagomål.docx", "A 51922-2024")</f>
        <v/>
      </c>
      <c r="AB432">
        <f>HYPERLINK("https://klasma.github.io/Logging_1782/klagomålsmail/A 51922-2024 FSC-klagomål mail.docx", "A 51922-2024")</f>
        <v/>
      </c>
      <c r="AC432">
        <f>HYPERLINK("https://klasma.github.io/Logging_1782/tillsyn/A 51922-2024 tillsynsbegäran.docx", "A 51922-2024")</f>
        <v/>
      </c>
      <c r="AD432">
        <f>HYPERLINK("https://klasma.github.io/Logging_1782/tillsynsmail/A 51922-2024 tillsynsbegäran mail.docx", "A 51922-2024")</f>
        <v/>
      </c>
      <c r="AE432">
        <f>HYPERLINK("https://klasma.github.io/Logging_1782/fåglar/A 51922-2024 prioriterade fågelarter.docx", "A 51922-2024")</f>
        <v/>
      </c>
    </row>
    <row r="433" ht="15" customHeight="1">
      <c r="A433" t="inlineStr">
        <is>
          <t>A 18811-2025</t>
        </is>
      </c>
      <c r="B433" t="inlineStr">
        <is>
          <t>avverkningsanmälan</t>
        </is>
      </c>
      <c r="C433" t="inlineStr">
        <is>
          <t>Föryngringsavverkning</t>
        </is>
      </c>
      <c r="D433" s="1" t="n">
        <v>45764</v>
      </c>
      <c r="E433" s="1" t="n">
        <v>46307</v>
      </c>
      <c r="F433" t="inlineStr">
        <is>
          <t>VÄRMLANDS LÄN</t>
        </is>
      </c>
      <c r="G433" t="inlineStr">
        <is>
          <t>FORSHAGA</t>
        </is>
      </c>
      <c r="I433" t="n">
        <v>2</v>
      </c>
      <c r="J433" t="n">
        <v>2</v>
      </c>
      <c r="K433" t="n">
        <v>0</v>
      </c>
      <c r="L433" t="n">
        <v>1</v>
      </c>
      <c r="M433" t="n">
        <v>0</v>
      </c>
      <c r="N433" t="n">
        <v>0</v>
      </c>
      <c r="O433" t="n">
        <v>0</v>
      </c>
      <c r="P433" t="n">
        <v>0</v>
      </c>
      <c r="Q433" t="n">
        <v>1</v>
      </c>
      <c r="R433" t="n">
        <v>0</v>
      </c>
      <c r="S433" t="n">
        <v>2</v>
      </c>
      <c r="T433" t="n">
        <v>2</v>
      </c>
      <c r="U433" t="n">
        <v>2</v>
      </c>
      <c r="V433" s="2" t="inlineStr">
        <is>
          <t>Ladusvala
Bergfink</t>
        </is>
      </c>
      <c r="W433">
        <f>HYPERLINK("https://klasma.github.io/Logging_1763/artfynd/A 18811-2025 artfynd.xlsx", "A 18811-2025")</f>
        <v/>
      </c>
      <c r="X433">
        <f>HYPERLINK("https://klasma.github.io/Logging_1763/kartor/A 18811-2025 karta.png", "A 18811-2025")</f>
        <v/>
      </c>
      <c r="Y433">
        <f>HYPERLINK("https://klasma.github.io/Logging_1763/kartor_geotiff/A 18811-2025 georefererad karta.tif", "A 18811-2025")</f>
        <v/>
      </c>
      <c r="AA433">
        <f>HYPERLINK("https://klasma.github.io/Logging_1763/klagomål/A 18811-2025 FSC-klagomål.docx", "A 18811-2025")</f>
        <v/>
      </c>
      <c r="AB433">
        <f>HYPERLINK("https://klasma.github.io/Logging_1763/klagomålsmail/A 18811-2025 FSC-klagomål mail.docx", "A 18811-2025")</f>
        <v/>
      </c>
      <c r="AC433">
        <f>HYPERLINK("https://klasma.github.io/Logging_1763/tillsyn/A 18811-2025 tillsynsbegäran.docx", "A 18811-2025")</f>
        <v/>
      </c>
      <c r="AD433">
        <f>HYPERLINK("https://klasma.github.io/Logging_1763/tillsynsmail/A 18811-2025 tillsynsbegäran mail.docx", "A 18811-2025")</f>
        <v/>
      </c>
    </row>
    <row r="434" ht="15" customHeight="1">
      <c r="A434" t="inlineStr">
        <is>
          <t>A 30974-2025</t>
        </is>
      </c>
      <c r="B434" t="inlineStr">
        <is>
          <t>avverkningsanmälan</t>
        </is>
      </c>
      <c r="C434" t="inlineStr">
        <is>
          <t>Föryngringsavverkning</t>
        </is>
      </c>
      <c r="D434" s="1" t="n">
        <v>45832</v>
      </c>
      <c r="E434" s="1" t="n">
        <v>46307</v>
      </c>
      <c r="F434" t="inlineStr">
        <is>
          <t>VÄRMLANDS LÄN</t>
        </is>
      </c>
      <c r="G434" t="inlineStr">
        <is>
          <t>TORSBY</t>
        </is>
      </c>
      <c r="I434" t="n">
        <v>29.2</v>
      </c>
      <c r="J434" t="n">
        <v>1</v>
      </c>
      <c r="K434" t="n">
        <v>1</v>
      </c>
      <c r="L434" t="n">
        <v>1</v>
      </c>
      <c r="M434" t="n">
        <v>0</v>
      </c>
      <c r="N434" t="n">
        <v>0</v>
      </c>
      <c r="O434" t="n">
        <v>0</v>
      </c>
      <c r="P434" t="n">
        <v>0</v>
      </c>
      <c r="Q434" t="n">
        <v>1</v>
      </c>
      <c r="R434" t="n">
        <v>0</v>
      </c>
      <c r="S434" t="n">
        <v>2</v>
      </c>
      <c r="T434" t="n">
        <v>2</v>
      </c>
      <c r="U434" t="n">
        <v>0</v>
      </c>
      <c r="V434" s="2" t="inlineStr">
        <is>
          <t>Lunglav
Spindelblomster</t>
        </is>
      </c>
      <c r="W434">
        <f>HYPERLINK("https://klasma.github.io/Logging_1737/artfynd/A 30974-2025 artfynd.xlsx", "A 30974-2025")</f>
        <v/>
      </c>
      <c r="X434">
        <f>HYPERLINK("https://klasma.github.io/Logging_1737/kartor/A 30974-2025 karta.png", "A 30974-2025")</f>
        <v/>
      </c>
      <c r="Y434">
        <f>HYPERLINK("https://klasma.github.io/Logging_1737/kartor_geotiff/A 30974-2025 georefererad karta.tif", "A 30974-2025")</f>
        <v/>
      </c>
      <c r="AA434">
        <f>HYPERLINK("https://klasma.github.io/Logging_1737/klagomål/A 30974-2025 FSC-klagomål.docx", "A 30974-2025")</f>
        <v/>
      </c>
      <c r="AB434">
        <f>HYPERLINK("https://klasma.github.io/Logging_1737/klagomålsmail/A 30974-2025 FSC-klagomål mail.docx", "A 30974-2025")</f>
        <v/>
      </c>
      <c r="AC434">
        <f>HYPERLINK("https://klasma.github.io/Logging_1737/tillsyn/A 30974-2025 tillsynsbegäran.docx", "A 30974-2025")</f>
        <v/>
      </c>
      <c r="AD434">
        <f>HYPERLINK("https://klasma.github.io/Logging_1737/tillsynsmail/A 30974-2025 tillsynsbegäran mail.docx", "A 30974-2025")</f>
        <v/>
      </c>
    </row>
    <row r="435" ht="15" customHeight="1">
      <c r="A435" t="inlineStr">
        <is>
          <t>A 6536-2026</t>
        </is>
      </c>
      <c r="B435" t="inlineStr">
        <is>
          <t>avverkningsanmälan</t>
        </is>
      </c>
      <c r="C435" t="inlineStr">
        <is>
          <t>Föryngringsavverkning</t>
        </is>
      </c>
      <c r="D435" s="1" t="n">
        <v>46056</v>
      </c>
      <c r="E435" s="1" t="n">
        <v>46307</v>
      </c>
      <c r="F435" t="inlineStr">
        <is>
          <t>VÄRMLANDS LÄN</t>
        </is>
      </c>
      <c r="G435" t="inlineStr">
        <is>
          <t>ARVIKA</t>
        </is>
      </c>
      <c r="I435" t="n">
        <v>1.4</v>
      </c>
      <c r="J435" t="n">
        <v>0</v>
      </c>
      <c r="K435" t="n">
        <v>0</v>
      </c>
      <c r="L435" t="n">
        <v>2</v>
      </c>
      <c r="M435" t="n">
        <v>0</v>
      </c>
      <c r="N435" t="n">
        <v>0</v>
      </c>
      <c r="O435" t="n">
        <v>0</v>
      </c>
      <c r="P435" t="n">
        <v>0</v>
      </c>
      <c r="Q435" t="n">
        <v>2</v>
      </c>
      <c r="R435" t="n">
        <v>0</v>
      </c>
      <c r="S435" t="n">
        <v>2</v>
      </c>
      <c r="T435" t="n">
        <v>2</v>
      </c>
      <c r="U435" t="n">
        <v>0</v>
      </c>
      <c r="V435" s="2" t="inlineStr">
        <is>
          <t>Hieracium arrosum
Trollfibbla</t>
        </is>
      </c>
      <c r="W435">
        <f>HYPERLINK("https://klasma.github.io/Logging_1784/artfynd/A 6536-2026 artfynd.xlsx", "A 6536-2026")</f>
        <v/>
      </c>
      <c r="X435">
        <f>HYPERLINK("https://klasma.github.io/Logging_1784/kartor/A 6536-2026 karta.png", "A 6536-2026")</f>
        <v/>
      </c>
      <c r="Y435">
        <f>HYPERLINK("https://klasma.github.io/Logging_1784/kartor_geotiff/A 6536-2026 georefererad karta.tif", "A 6536-2026")</f>
        <v/>
      </c>
      <c r="AA435">
        <f>HYPERLINK("https://klasma.github.io/Logging_1784/klagomål/A 6536-2026 FSC-klagomål.docx", "A 6536-2026")</f>
        <v/>
      </c>
      <c r="AB435">
        <f>HYPERLINK("https://klasma.github.io/Logging_1784/klagomålsmail/A 6536-2026 FSC-klagomål mail.docx", "A 6536-2026")</f>
        <v/>
      </c>
      <c r="AC435">
        <f>HYPERLINK("https://klasma.github.io/Logging_1784/tillsyn/A 6536-2026 tillsynsbegäran.docx", "A 6536-2026")</f>
        <v/>
      </c>
      <c r="AD435">
        <f>HYPERLINK("https://klasma.github.io/Logging_1784/tillsynsmail/A 6536-2026 tillsynsbegäran mail.docx", "A 6536-2026")</f>
        <v/>
      </c>
    </row>
    <row r="436" ht="15" customHeight="1">
      <c r="A436" t="inlineStr">
        <is>
          <t>A 283-2025</t>
        </is>
      </c>
      <c r="B436" t="inlineStr">
        <is>
          <t>avverkningsanmälan</t>
        </is>
      </c>
      <c r="C436" t="inlineStr">
        <is>
          <t>Föryngringsavverkning</t>
        </is>
      </c>
      <c r="D436" s="1" t="n">
        <v>45656</v>
      </c>
      <c r="E436" s="1" t="n">
        <v>46307</v>
      </c>
      <c r="F436" t="inlineStr">
        <is>
          <t>VÄRMLANDS LÄN</t>
        </is>
      </c>
      <c r="G436" t="inlineStr">
        <is>
          <t>ÅRJÄNG</t>
        </is>
      </c>
      <c r="H436" t="inlineStr">
        <is>
          <t>Övriga Aktiebolag</t>
        </is>
      </c>
      <c r="I436" t="n">
        <v>3.9</v>
      </c>
      <c r="J436" t="n">
        <v>2</v>
      </c>
      <c r="K436" t="n">
        <v>0</v>
      </c>
      <c r="L436" t="n">
        <v>1</v>
      </c>
      <c r="M436" t="n">
        <v>1</v>
      </c>
      <c r="N436" t="n">
        <v>0</v>
      </c>
      <c r="O436" t="n">
        <v>0</v>
      </c>
      <c r="P436" t="n">
        <v>0</v>
      </c>
      <c r="Q436" t="n">
        <v>2</v>
      </c>
      <c r="R436" t="n">
        <v>1</v>
      </c>
      <c r="S436" t="n">
        <v>2</v>
      </c>
      <c r="T436" t="n">
        <v>2</v>
      </c>
      <c r="U436" t="n">
        <v>2</v>
      </c>
      <c r="V436" s="2" t="inlineStr">
        <is>
          <t>Tornseglare
Ladusvala</t>
        </is>
      </c>
      <c r="W436">
        <f>HYPERLINK("https://klasma.github.io/Logging_1765/artfynd/A 283-2025 artfynd.xlsx", "A 283-2025")</f>
        <v/>
      </c>
      <c r="X436">
        <f>HYPERLINK("https://klasma.github.io/Logging_1765/kartor/A 283-2025 karta.png", "A 283-2025")</f>
        <v/>
      </c>
      <c r="Y436">
        <f>HYPERLINK("https://klasma.github.io/Logging_1765/kartor_geotiff/A 283-2025 georefererad karta.tif", "A 283-2025")</f>
        <v/>
      </c>
      <c r="AA436">
        <f>HYPERLINK("https://klasma.github.io/Logging_1765/klagomål/A 283-2025 FSC-klagomål.docx", "A 283-2025")</f>
        <v/>
      </c>
      <c r="AB436">
        <f>HYPERLINK("https://klasma.github.io/Logging_1765/klagomålsmail/A 283-2025 FSC-klagomål mail.docx", "A 283-2025")</f>
        <v/>
      </c>
      <c r="AC436">
        <f>HYPERLINK("https://klasma.github.io/Logging_1765/tillsyn/A 283-2025 tillsynsbegäran.docx", "A 283-2025")</f>
        <v/>
      </c>
      <c r="AD436">
        <f>HYPERLINK("https://klasma.github.io/Logging_1765/tillsynsmail/A 283-2025 tillsynsbegäran mail.docx", "A 283-2025")</f>
        <v/>
      </c>
      <c r="AE436">
        <f>HYPERLINK("https://klasma.github.io/Logging_1765/fåglar/A 283-2025 prioriterade fågelarter.docx", "A 283-2025")</f>
        <v/>
      </c>
    </row>
    <row r="437" ht="15" customHeight="1">
      <c r="A437" t="inlineStr">
        <is>
          <t>A 37408-2022</t>
        </is>
      </c>
      <c r="B437" t="inlineStr">
        <is>
          <t>avverkningsanmälan</t>
        </is>
      </c>
      <c r="C437" t="inlineStr">
        <is>
          <t>Föryngringsavverkning</t>
        </is>
      </c>
      <c r="D437" s="1" t="n">
        <v>44809</v>
      </c>
      <c r="E437" s="1" t="n">
        <v>46307</v>
      </c>
      <c r="F437" t="inlineStr">
        <is>
          <t>VÄRMLANDS LÄN</t>
        </is>
      </c>
      <c r="G437" t="inlineStr">
        <is>
          <t>KIL</t>
        </is>
      </c>
      <c r="I437" t="n">
        <v>2.6</v>
      </c>
      <c r="J437" t="n">
        <v>1</v>
      </c>
      <c r="K437" t="n">
        <v>0</v>
      </c>
      <c r="L437" t="n">
        <v>1</v>
      </c>
      <c r="M437" t="n">
        <v>0</v>
      </c>
      <c r="N437" t="n">
        <v>0</v>
      </c>
      <c r="O437" t="n">
        <v>0</v>
      </c>
      <c r="P437" t="n">
        <v>0</v>
      </c>
      <c r="Q437" t="n">
        <v>1</v>
      </c>
      <c r="R437" t="n">
        <v>0</v>
      </c>
      <c r="S437" t="n">
        <v>2</v>
      </c>
      <c r="T437" t="n">
        <v>2</v>
      </c>
      <c r="U437" t="n">
        <v>0</v>
      </c>
      <c r="V437" s="2" t="inlineStr">
        <is>
          <t>Dropptaggsvamp
Tjäder</t>
        </is>
      </c>
      <c r="W437">
        <f>HYPERLINK("https://klasma.github.io/Logging_1715/artfynd/A 37408-2022 artfynd.xlsx", "A 37408-2022")</f>
        <v/>
      </c>
      <c r="X437">
        <f>HYPERLINK("https://klasma.github.io/Logging_1715/kartor/A 37408-2022 karta.png", "A 37408-2022")</f>
        <v/>
      </c>
      <c r="Y437">
        <f>HYPERLINK("https://klasma.github.io/Logging_1715/kartor_geotiff/A 37408-2022 georefererad karta.tif", "A 37408-2022")</f>
        <v/>
      </c>
      <c r="AA437">
        <f>HYPERLINK("https://klasma.github.io/Logging_1715/klagomål/A 37408-2022 FSC-klagomål.docx", "A 37408-2022")</f>
        <v/>
      </c>
      <c r="AB437">
        <f>HYPERLINK("https://klasma.github.io/Logging_1715/klagomålsmail/A 37408-2022 FSC-klagomål mail.docx", "A 37408-2022")</f>
        <v/>
      </c>
      <c r="AC437">
        <f>HYPERLINK("https://klasma.github.io/Logging_1715/tillsyn/A 37408-2022 tillsynsbegäran.docx", "A 37408-2022")</f>
        <v/>
      </c>
      <c r="AD437">
        <f>HYPERLINK("https://klasma.github.io/Logging_1715/tillsynsmail/A 37408-2022 tillsynsbegäran mail.docx", "A 37408-2022")</f>
        <v/>
      </c>
      <c r="AE437">
        <f>HYPERLINK("https://klasma.github.io/Logging_1715/fåglar/A 37408-2022 prioriterade fågelarter.docx", "A 37408-2022")</f>
        <v/>
      </c>
    </row>
    <row r="438" ht="15" customHeight="1">
      <c r="A438" t="inlineStr">
        <is>
          <t>A 8386-2026</t>
        </is>
      </c>
      <c r="B438" t="inlineStr">
        <is>
          <t>avverkningsanmälan</t>
        </is>
      </c>
      <c r="C438" t="inlineStr">
        <is>
          <t>Föryngringsavverkning</t>
        </is>
      </c>
      <c r="D438" s="1" t="n">
        <v>46064</v>
      </c>
      <c r="E438" s="1" t="n">
        <v>46307</v>
      </c>
      <c r="F438" t="inlineStr">
        <is>
          <t>VÄRMLANDS LÄN</t>
        </is>
      </c>
      <c r="G438" t="inlineStr">
        <is>
          <t>SUNNE</t>
        </is>
      </c>
      <c r="I438" t="n">
        <v>5.8</v>
      </c>
      <c r="J438" t="n">
        <v>1</v>
      </c>
      <c r="K438" t="n">
        <v>0</v>
      </c>
      <c r="L438" t="n">
        <v>1</v>
      </c>
      <c r="M438" t="n">
        <v>0</v>
      </c>
      <c r="N438" t="n">
        <v>0</v>
      </c>
      <c r="O438" t="n">
        <v>0</v>
      </c>
      <c r="P438" t="n">
        <v>0</v>
      </c>
      <c r="Q438" t="n">
        <v>1</v>
      </c>
      <c r="R438" t="n">
        <v>0</v>
      </c>
      <c r="S438" t="n">
        <v>2</v>
      </c>
      <c r="T438" t="n">
        <v>2</v>
      </c>
      <c r="U438" t="n">
        <v>0</v>
      </c>
      <c r="V438" s="2" t="inlineStr">
        <is>
          <t>Svartvit taggsvamp
Fläcknycklar</t>
        </is>
      </c>
      <c r="W438">
        <f>HYPERLINK("https://klasma.github.io/Logging_1766/artfynd/A 8386-2026 artfynd.xlsx", "A 8386-2026")</f>
        <v/>
      </c>
      <c r="X438">
        <f>HYPERLINK("https://klasma.github.io/Logging_1766/kartor/A 8386-2026 karta.png", "A 8386-2026")</f>
        <v/>
      </c>
      <c r="Y438">
        <f>HYPERLINK("https://klasma.github.io/Logging_1766/kartor_geotiff/A 8386-2026 georefererad karta.tif", "A 8386-2026")</f>
        <v/>
      </c>
      <c r="AA438">
        <f>HYPERLINK("https://klasma.github.io/Logging_1766/klagomål/A 8386-2026 FSC-klagomål.docx", "A 8386-2026")</f>
        <v/>
      </c>
      <c r="AB438">
        <f>HYPERLINK("https://klasma.github.io/Logging_1766/klagomålsmail/A 8386-2026 FSC-klagomål mail.docx", "A 8386-2026")</f>
        <v/>
      </c>
      <c r="AC438">
        <f>HYPERLINK("https://klasma.github.io/Logging_1766/tillsyn/A 8386-2026 tillsynsbegäran.docx", "A 8386-2026")</f>
        <v/>
      </c>
      <c r="AD438">
        <f>HYPERLINK("https://klasma.github.io/Logging_1766/tillsynsmail/A 8386-2026 tillsynsbegäran mail.docx", "A 8386-2026")</f>
        <v/>
      </c>
    </row>
    <row r="439" ht="15" customHeight="1">
      <c r="A439" t="inlineStr">
        <is>
          <t>A 9023-2026</t>
        </is>
      </c>
      <c r="B439" t="inlineStr">
        <is>
          <t>avverkningsanmälan</t>
        </is>
      </c>
      <c r="C439" t="inlineStr">
        <is>
          <t>Föryngringsavverkning</t>
        </is>
      </c>
      <c r="D439" s="1" t="n">
        <v>46069</v>
      </c>
      <c r="E439" s="1" t="n">
        <v>46307</v>
      </c>
      <c r="F439" t="inlineStr">
        <is>
          <t>VÄRMLANDS LÄN</t>
        </is>
      </c>
      <c r="G439" t="inlineStr">
        <is>
          <t>KARLSTAD</t>
        </is>
      </c>
      <c r="I439" t="n">
        <v>2.3</v>
      </c>
      <c r="J439" t="n">
        <v>1</v>
      </c>
      <c r="K439" t="n">
        <v>0</v>
      </c>
      <c r="L439" t="n">
        <v>0</v>
      </c>
      <c r="M439" t="n">
        <v>0</v>
      </c>
      <c r="N439" t="n">
        <v>0</v>
      </c>
      <c r="O439" t="n">
        <v>0</v>
      </c>
      <c r="P439" t="n">
        <v>0</v>
      </c>
      <c r="Q439" t="n">
        <v>0</v>
      </c>
      <c r="R439" t="n">
        <v>0</v>
      </c>
      <c r="S439" t="n">
        <v>2</v>
      </c>
      <c r="T439" t="n">
        <v>2</v>
      </c>
      <c r="U439" t="n">
        <v>2</v>
      </c>
      <c r="V439" s="2" t="inlineStr">
        <is>
          <t>Linnea
Revlummer</t>
        </is>
      </c>
      <c r="W439">
        <f>HYPERLINK("https://klasma.github.io/Logging_1780/artfynd/A 9023-2026 artfynd.xlsx", "A 9023-2026")</f>
        <v/>
      </c>
      <c r="X439">
        <f>HYPERLINK("https://klasma.github.io/Logging_1780/kartor/A 9023-2026 karta.png", "A 9023-2026")</f>
        <v/>
      </c>
      <c r="Y439">
        <f>HYPERLINK("https://klasma.github.io/Logging_1780/kartor_geotiff/A 9023-2026 georefererad karta.tif", "A 9023-2026")</f>
        <v/>
      </c>
      <c r="AA439">
        <f>HYPERLINK("https://klasma.github.io/Logging_1780/klagomål/A 9023-2026 FSC-klagomål.docx", "A 9023-2026")</f>
        <v/>
      </c>
      <c r="AB439">
        <f>HYPERLINK("https://klasma.github.io/Logging_1780/klagomålsmail/A 9023-2026 FSC-klagomål mail.docx", "A 9023-2026")</f>
        <v/>
      </c>
      <c r="AC439">
        <f>HYPERLINK("https://klasma.github.io/Logging_1780/tillsyn/A 9023-2026 tillsynsbegäran.docx", "A 9023-2026")</f>
        <v/>
      </c>
      <c r="AD439">
        <f>HYPERLINK("https://klasma.github.io/Logging_1780/tillsynsmail/A 9023-2026 tillsynsbegäran mail.docx", "A 9023-2026")</f>
        <v/>
      </c>
    </row>
    <row r="440" ht="15" customHeight="1">
      <c r="A440" t="inlineStr">
        <is>
          <t>A 10836-2026</t>
        </is>
      </c>
      <c r="B440" t="inlineStr">
        <is>
          <t>avverkningsanmälan</t>
        </is>
      </c>
      <c r="C440" t="inlineStr">
        <is>
          <t>Avverkning för att bevara och utveckla /försöksver</t>
        </is>
      </c>
      <c r="D440" s="1" t="n">
        <v>46078</v>
      </c>
      <c r="E440" s="1" t="n">
        <v>46307</v>
      </c>
      <c r="F440" t="inlineStr">
        <is>
          <t>VÄRMLANDS LÄN</t>
        </is>
      </c>
      <c r="G440" t="inlineStr">
        <is>
          <t>HAGFORS</t>
        </is>
      </c>
      <c r="I440" t="n">
        <v>5.8</v>
      </c>
      <c r="J440" t="n">
        <v>2</v>
      </c>
      <c r="K440" t="n">
        <v>0</v>
      </c>
      <c r="L440" t="n">
        <v>0</v>
      </c>
      <c r="M440" t="n">
        <v>0</v>
      </c>
      <c r="N440" t="n">
        <v>0</v>
      </c>
      <c r="O440" t="n">
        <v>0</v>
      </c>
      <c r="P440" t="n">
        <v>0</v>
      </c>
      <c r="Q440" t="n">
        <v>0</v>
      </c>
      <c r="R440" t="n">
        <v>0</v>
      </c>
      <c r="S440" t="n">
        <v>2</v>
      </c>
      <c r="T440" t="n">
        <v>3</v>
      </c>
      <c r="U440" t="n">
        <v>0</v>
      </c>
      <c r="V440" s="2" t="inlineStr">
        <is>
          <t>Mattlummer
Ärtsångare</t>
        </is>
      </c>
      <c r="W440">
        <f>HYPERLINK("https://klasma.github.io/Logging_1783/artfynd/A 10836-2026 artfynd.xlsx", "A 10836-2026")</f>
        <v/>
      </c>
      <c r="X440">
        <f>HYPERLINK("https://klasma.github.io/Logging_1783/kartor/A 10836-2026 karta.png", "A 10836-2026")</f>
        <v/>
      </c>
      <c r="Y440">
        <f>HYPERLINK("https://klasma.github.io/Logging_1783/kartor_geotiff/A 10836-2026 georefererad karta.tif", "A 10836-2026")</f>
        <v/>
      </c>
      <c r="AA440">
        <f>HYPERLINK("https://klasma.github.io/Logging_1783/klagomål/A 10836-2026 FSC-klagomål.docx", "A 10836-2026")</f>
        <v/>
      </c>
      <c r="AB440">
        <f>HYPERLINK("https://klasma.github.io/Logging_1783/klagomålsmail/A 10836-2026 FSC-klagomål mail.docx", "A 10836-2026")</f>
        <v/>
      </c>
      <c r="AC440">
        <f>HYPERLINK("https://klasma.github.io/Logging_1783/tillsyn/A 10836-2026 tillsynsbegäran.docx", "A 10836-2026")</f>
        <v/>
      </c>
      <c r="AD440">
        <f>HYPERLINK("https://klasma.github.io/Logging_1783/tillsynsmail/A 10836-2026 tillsynsbegäran mail.docx", "A 10836-2026")</f>
        <v/>
      </c>
    </row>
    <row r="441" ht="15" customHeight="1">
      <c r="A441" t="inlineStr">
        <is>
          <t>A 11763-2026</t>
        </is>
      </c>
      <c r="B441" t="inlineStr">
        <is>
          <t>avverkningsanmälan</t>
        </is>
      </c>
      <c r="C441" t="inlineStr">
        <is>
          <t>Föryngringsavverkning</t>
        </is>
      </c>
      <c r="D441" s="1" t="n">
        <v>46084</v>
      </c>
      <c r="E441" s="1" t="n">
        <v>46307</v>
      </c>
      <c r="F441" t="inlineStr">
        <is>
          <t>VÄRMLANDS LÄN</t>
        </is>
      </c>
      <c r="G441" t="inlineStr">
        <is>
          <t>TORSBY</t>
        </is>
      </c>
      <c r="I441" t="n">
        <v>0.9</v>
      </c>
      <c r="J441" t="n">
        <v>0</v>
      </c>
      <c r="K441" t="n">
        <v>0</v>
      </c>
      <c r="L441" t="n">
        <v>1</v>
      </c>
      <c r="M441" t="n">
        <v>1</v>
      </c>
      <c r="N441" t="n">
        <v>0</v>
      </c>
      <c r="O441" t="n">
        <v>0</v>
      </c>
      <c r="P441" t="n">
        <v>0</v>
      </c>
      <c r="Q441" t="n">
        <v>2</v>
      </c>
      <c r="R441" t="n">
        <v>1</v>
      </c>
      <c r="S441" t="n">
        <v>2</v>
      </c>
      <c r="T441" t="n">
        <v>3</v>
      </c>
      <c r="U441" t="n">
        <v>0</v>
      </c>
      <c r="V441" s="2" t="inlineStr">
        <is>
          <t>Garnlav
Dropptaggsvamp</t>
        </is>
      </c>
      <c r="W441">
        <f>HYPERLINK("https://klasma.github.io/Logging_1737/artfynd/A 11763-2026 artfynd.xlsx", "A 11763-2026")</f>
        <v/>
      </c>
      <c r="X441">
        <f>HYPERLINK("https://klasma.github.io/Logging_1737/kartor/A 11763-2026 karta.png", "A 11763-2026")</f>
        <v/>
      </c>
      <c r="Y441">
        <f>HYPERLINK("https://klasma.github.io/Logging_1737/kartor_geotiff/A 11763-2026 georefererad karta.tif", "A 11763-2026")</f>
        <v/>
      </c>
      <c r="AA441">
        <f>HYPERLINK("https://klasma.github.io/Logging_1737/klagomål/A 11763-2026 FSC-klagomål.docx", "A 11763-2026")</f>
        <v/>
      </c>
      <c r="AB441">
        <f>HYPERLINK("https://klasma.github.io/Logging_1737/klagomålsmail/A 11763-2026 FSC-klagomål mail.docx", "A 11763-2026")</f>
        <v/>
      </c>
      <c r="AC441">
        <f>HYPERLINK("https://klasma.github.io/Logging_1737/tillsyn/A 11763-2026 tillsynsbegäran.docx", "A 11763-2026")</f>
        <v/>
      </c>
      <c r="AD441">
        <f>HYPERLINK("https://klasma.github.io/Logging_1737/tillsynsmail/A 11763-2026 tillsynsbegäran mail.docx", "A 11763-2026")</f>
        <v/>
      </c>
    </row>
    <row r="442" ht="15" customHeight="1">
      <c r="A442" t="inlineStr">
        <is>
          <t>A 25020-2026</t>
        </is>
      </c>
      <c r="B442" t="inlineStr">
        <is>
          <t>avverkningsanmälan</t>
        </is>
      </c>
      <c r="C442" t="inlineStr">
        <is>
          <t>Föryngringsavverkning</t>
        </is>
      </c>
      <c r="D442" s="1" t="n">
        <v>46174</v>
      </c>
      <c r="E442" s="1" t="n">
        <v>46307</v>
      </c>
      <c r="F442" t="inlineStr">
        <is>
          <t>VÄRMLANDS LÄN</t>
        </is>
      </c>
      <c r="G442" t="inlineStr">
        <is>
          <t>FORSHAGA</t>
        </is>
      </c>
      <c r="I442" t="n">
        <v>1.4</v>
      </c>
      <c r="J442" t="n">
        <v>2</v>
      </c>
      <c r="K442" t="n">
        <v>0</v>
      </c>
      <c r="L442" t="n">
        <v>0</v>
      </c>
      <c r="M442" t="n">
        <v>0</v>
      </c>
      <c r="N442" t="n">
        <v>0</v>
      </c>
      <c r="O442" t="n">
        <v>0</v>
      </c>
      <c r="P442" t="n">
        <v>0</v>
      </c>
      <c r="Q442" t="n">
        <v>0</v>
      </c>
      <c r="R442" t="n">
        <v>0</v>
      </c>
      <c r="S442" t="n">
        <v>2</v>
      </c>
      <c r="T442" t="n">
        <v>2</v>
      </c>
      <c r="U442" t="n">
        <v>0</v>
      </c>
      <c r="V442" s="2" t="inlineStr">
        <is>
          <t>Vanlig groda
Vanlig padda</t>
        </is>
      </c>
      <c r="W442">
        <f>HYPERLINK("https://klasma.github.io/Logging_1763/artfynd/A 25020-2026 artfynd.xlsx", "A 25020-2026")</f>
        <v/>
      </c>
      <c r="X442">
        <f>HYPERLINK("https://klasma.github.io/Logging_1763/kartor/A 25020-2026 karta.png", "A 25020-2026")</f>
        <v/>
      </c>
      <c r="Y442">
        <f>HYPERLINK("https://klasma.github.io/Logging_1763/kartor_geotiff/A 25020-2026 georefererad karta.tif", "A 25020-2026")</f>
        <v/>
      </c>
      <c r="AA442">
        <f>HYPERLINK("https://klasma.github.io/Logging_1763/klagomål/A 25020-2026 FSC-klagomål.docx", "A 25020-2026")</f>
        <v/>
      </c>
      <c r="AB442">
        <f>HYPERLINK("https://klasma.github.io/Logging_1763/klagomålsmail/A 25020-2026 FSC-klagomål mail.docx", "A 25020-2026")</f>
        <v/>
      </c>
      <c r="AC442">
        <f>HYPERLINK("https://klasma.github.io/Logging_1763/tillsyn/A 25020-2026 tillsynsbegäran.docx", "A 25020-2026")</f>
        <v/>
      </c>
      <c r="AD442">
        <f>HYPERLINK("https://klasma.github.io/Logging_1763/tillsynsmail/A 25020-2026 tillsynsbegäran mail.docx", "A 25020-2026")</f>
        <v/>
      </c>
    </row>
    <row r="443" ht="15" customHeight="1">
      <c r="A443" t="inlineStr">
        <is>
          <t>A 23042-2026</t>
        </is>
      </c>
      <c r="B443" t="inlineStr">
        <is>
          <t>avverkningsanmälan</t>
        </is>
      </c>
      <c r="C443" t="inlineStr">
        <is>
          <t>Föryngringsavverkning</t>
        </is>
      </c>
      <c r="D443" s="1" t="n">
        <v>46161</v>
      </c>
      <c r="E443" s="1" t="n">
        <v>46307</v>
      </c>
      <c r="F443" t="inlineStr">
        <is>
          <t>VÄRMLANDS LÄN</t>
        </is>
      </c>
      <c r="G443" t="inlineStr">
        <is>
          <t>SUNNE</t>
        </is>
      </c>
      <c r="I443" t="n">
        <v>2.7</v>
      </c>
      <c r="J443" t="n">
        <v>1</v>
      </c>
      <c r="K443" t="n">
        <v>1</v>
      </c>
      <c r="L443" t="n">
        <v>0</v>
      </c>
      <c r="M443" t="n">
        <v>0</v>
      </c>
      <c r="N443" t="n">
        <v>0</v>
      </c>
      <c r="O443" t="n">
        <v>0</v>
      </c>
      <c r="P443" t="n">
        <v>0</v>
      </c>
      <c r="Q443" t="n">
        <v>0</v>
      </c>
      <c r="R443" t="n">
        <v>0</v>
      </c>
      <c r="S443" t="n">
        <v>2</v>
      </c>
      <c r="T443" t="n">
        <v>2</v>
      </c>
      <c r="U443" t="n">
        <v>0</v>
      </c>
      <c r="V443" s="2" t="inlineStr">
        <is>
          <t>Springkorn
Fläcknycklar</t>
        </is>
      </c>
      <c r="W443">
        <f>HYPERLINK("https://klasma.github.io/Logging_1766/artfynd/A 23042-2026 artfynd.xlsx", "A 23042-2026")</f>
        <v/>
      </c>
      <c r="X443">
        <f>HYPERLINK("https://klasma.github.io/Logging_1766/kartor/A 23042-2026 karta.png", "A 23042-2026")</f>
        <v/>
      </c>
      <c r="Y443">
        <f>HYPERLINK("https://klasma.github.io/Logging_1766/kartor_geotiff/A 23042-2026 georefererad karta.tif", "A 23042-2026")</f>
        <v/>
      </c>
      <c r="AA443">
        <f>HYPERLINK("https://klasma.github.io/Logging_1766/klagomål/A 23042-2026 FSC-klagomål.docx", "A 23042-2026")</f>
        <v/>
      </c>
      <c r="AB443">
        <f>HYPERLINK("https://klasma.github.io/Logging_1766/klagomålsmail/A 23042-2026 FSC-klagomål mail.docx", "A 23042-2026")</f>
        <v/>
      </c>
      <c r="AC443">
        <f>HYPERLINK("https://klasma.github.io/Logging_1766/tillsyn/A 23042-2026 tillsynsbegäran.docx", "A 23042-2026")</f>
        <v/>
      </c>
      <c r="AD443">
        <f>HYPERLINK("https://klasma.github.io/Logging_1766/tillsynsmail/A 23042-2026 tillsynsbegäran mail.docx", "A 23042-2026")</f>
        <v/>
      </c>
    </row>
    <row r="444" ht="15" customHeight="1">
      <c r="A444" t="inlineStr">
        <is>
          <t>A 28743-2026</t>
        </is>
      </c>
      <c r="B444" t="inlineStr">
        <is>
          <t>avverkningsanmälan</t>
        </is>
      </c>
      <c r="C444" t="inlineStr">
        <is>
          <t>Föryngringsavverkning</t>
        </is>
      </c>
      <c r="D444" s="1" t="n">
        <v>46198</v>
      </c>
      <c r="E444" s="1" t="n">
        <v>46307</v>
      </c>
      <c r="F444" t="inlineStr">
        <is>
          <t>VÄRMLANDS LÄN</t>
        </is>
      </c>
      <c r="G444" t="inlineStr">
        <is>
          <t>ARVIKA</t>
        </is>
      </c>
      <c r="I444" t="n">
        <v>11.9</v>
      </c>
      <c r="J444" t="n">
        <v>1</v>
      </c>
      <c r="K444" t="n">
        <v>1</v>
      </c>
      <c r="L444" t="n">
        <v>0</v>
      </c>
      <c r="M444" t="n">
        <v>0</v>
      </c>
      <c r="N444" t="n">
        <v>0</v>
      </c>
      <c r="O444" t="n">
        <v>0</v>
      </c>
      <c r="P444" t="n">
        <v>0</v>
      </c>
      <c r="Q444" t="n">
        <v>0</v>
      </c>
      <c r="R444" t="n">
        <v>0</v>
      </c>
      <c r="S444" t="n">
        <v>2</v>
      </c>
      <c r="T444" t="n">
        <v>8</v>
      </c>
      <c r="U444" t="n">
        <v>0</v>
      </c>
      <c r="V444" s="2" t="inlineStr">
        <is>
          <t>Dolkstekelsglasvinge
Tjäder</t>
        </is>
      </c>
      <c r="W444">
        <f>HYPERLINK("https://klasma.github.io/Logging_1784/artfynd/A 28743-2026 artfynd.xlsx", "A 28743-2026")</f>
        <v/>
      </c>
      <c r="X444">
        <f>HYPERLINK("https://klasma.github.io/Logging_1784/kartor/A 28743-2026 karta.png", "A 28743-2026")</f>
        <v/>
      </c>
      <c r="Y444">
        <f>HYPERLINK("https://klasma.github.io/Logging_1784/kartor_geotiff/A 28743-2026 georefererad karta.tif", "A 28743-2026")</f>
        <v/>
      </c>
      <c r="AA444">
        <f>HYPERLINK("https://klasma.github.io/Logging_1784/klagomål/A 28743-2026 FSC-klagomål.docx", "A 28743-2026")</f>
        <v/>
      </c>
      <c r="AB444">
        <f>HYPERLINK("https://klasma.github.io/Logging_1784/klagomålsmail/A 28743-2026 FSC-klagomål mail.docx", "A 28743-2026")</f>
        <v/>
      </c>
      <c r="AC444">
        <f>HYPERLINK("https://klasma.github.io/Logging_1784/tillsyn/A 28743-2026 tillsynsbegäran.docx", "A 28743-2026")</f>
        <v/>
      </c>
      <c r="AD444">
        <f>HYPERLINK("https://klasma.github.io/Logging_1784/tillsynsmail/A 28743-2026 tillsynsbegäran mail.docx", "A 28743-2026")</f>
        <v/>
      </c>
      <c r="AE444">
        <f>HYPERLINK("https://klasma.github.io/Logging_1784/fåglar/A 28743-2026 prioriterade fågelarter.docx", "A 28743-2026")</f>
        <v/>
      </c>
    </row>
    <row r="445" ht="15" customHeight="1">
      <c r="A445" t="inlineStr">
        <is>
          <t>A 29469-2026</t>
        </is>
      </c>
      <c r="B445" t="inlineStr">
        <is>
          <t>avverkningsanmälan</t>
        </is>
      </c>
      <c r="C445" t="inlineStr">
        <is>
          <t>Föryngringsavverkning</t>
        </is>
      </c>
      <c r="D445" s="1" t="n">
        <v>46203</v>
      </c>
      <c r="E445" s="1" t="n">
        <v>46307</v>
      </c>
      <c r="F445" t="inlineStr">
        <is>
          <t>VÄRMLANDS LÄN</t>
        </is>
      </c>
      <c r="G445" t="inlineStr">
        <is>
          <t>FILIPSTAD</t>
        </is>
      </c>
      <c r="H445" t="inlineStr">
        <is>
          <t>Bergvik skog väst AB</t>
        </is>
      </c>
      <c r="I445" t="n">
        <v>21.6</v>
      </c>
      <c r="J445" t="n">
        <v>1</v>
      </c>
      <c r="K445" t="n">
        <v>0</v>
      </c>
      <c r="L445" t="n">
        <v>0</v>
      </c>
      <c r="M445" t="n">
        <v>1</v>
      </c>
      <c r="N445" t="n">
        <v>0</v>
      </c>
      <c r="O445" t="n">
        <v>0</v>
      </c>
      <c r="P445" t="n">
        <v>0</v>
      </c>
      <c r="Q445" t="n">
        <v>1</v>
      </c>
      <c r="R445" t="n">
        <v>1</v>
      </c>
      <c r="S445" t="n">
        <v>2</v>
      </c>
      <c r="T445" t="n">
        <v>2</v>
      </c>
      <c r="U445" t="n">
        <v>0</v>
      </c>
      <c r="V445" s="2" t="inlineStr">
        <is>
          <t>Igelkott
Fläcknycklar</t>
        </is>
      </c>
      <c r="W445">
        <f>HYPERLINK("https://klasma.github.io/Logging_1782/artfynd/A 29469-2026 artfynd.xlsx", "A 29469-2026")</f>
        <v/>
      </c>
      <c r="X445">
        <f>HYPERLINK("https://klasma.github.io/Logging_1782/kartor/A 29469-2026 karta.png", "A 29469-2026")</f>
        <v/>
      </c>
      <c r="Y445">
        <f>HYPERLINK("https://klasma.github.io/Logging_1782/kartor_geotiff/A 29469-2026 georefererad karta.tif", "A 29469-2026")</f>
        <v/>
      </c>
      <c r="AA445">
        <f>HYPERLINK("https://klasma.github.io/Logging_1782/klagomål/A 29469-2026 FSC-klagomål.docx", "A 29469-2026")</f>
        <v/>
      </c>
      <c r="AB445">
        <f>HYPERLINK("https://klasma.github.io/Logging_1782/klagomålsmail/A 29469-2026 FSC-klagomål mail.docx", "A 29469-2026")</f>
        <v/>
      </c>
      <c r="AC445">
        <f>HYPERLINK("https://klasma.github.io/Logging_1782/tillsyn/A 29469-2026 tillsynsbegäran.docx", "A 29469-2026")</f>
        <v/>
      </c>
      <c r="AD445">
        <f>HYPERLINK("https://klasma.github.io/Logging_1782/tillsynsmail/A 29469-2026 tillsynsbegäran mail.docx", "A 29469-2026")</f>
        <v/>
      </c>
    </row>
    <row r="446" ht="15" customHeight="1">
      <c r="A446" t="inlineStr">
        <is>
          <t>A 30975-2026</t>
        </is>
      </c>
      <c r="B446" t="inlineStr">
        <is>
          <t>avverkningsanmälan</t>
        </is>
      </c>
      <c r="C446" t="inlineStr">
        <is>
          <t>Föryngringsavverkning</t>
        </is>
      </c>
      <c r="D446" s="1" t="n">
        <v>46213</v>
      </c>
      <c r="E446" s="1" t="n">
        <v>46307</v>
      </c>
      <c r="F446" t="inlineStr">
        <is>
          <t>VÄRMLANDS LÄN</t>
        </is>
      </c>
      <c r="G446" t="inlineStr">
        <is>
          <t>TORSBY</t>
        </is>
      </c>
      <c r="H446" t="inlineStr">
        <is>
          <t>Bergvik skog väst AB</t>
        </is>
      </c>
      <c r="I446" t="n">
        <v>1.6</v>
      </c>
      <c r="J446" t="n">
        <v>0</v>
      </c>
      <c r="K446" t="n">
        <v>1</v>
      </c>
      <c r="L446" t="n">
        <v>1</v>
      </c>
      <c r="M446" t="n">
        <v>0</v>
      </c>
      <c r="N446" t="n">
        <v>0</v>
      </c>
      <c r="O446" t="n">
        <v>0</v>
      </c>
      <c r="P446" t="n">
        <v>0</v>
      </c>
      <c r="Q446" t="n">
        <v>1</v>
      </c>
      <c r="R446" t="n">
        <v>0</v>
      </c>
      <c r="S446" t="n">
        <v>2</v>
      </c>
      <c r="T446" t="n">
        <v>2</v>
      </c>
      <c r="U446" t="n">
        <v>0</v>
      </c>
      <c r="V446" s="2" t="inlineStr">
        <is>
          <t>Lunglav
Stuplav</t>
        </is>
      </c>
      <c r="W446">
        <f>HYPERLINK("https://klasma.github.io/Logging_1737/artfynd/A 30975-2026 artfynd.xlsx", "A 30975-2026")</f>
        <v/>
      </c>
      <c r="X446">
        <f>HYPERLINK("https://klasma.github.io/Logging_1737/kartor/A 30975-2026 karta.png", "A 30975-2026")</f>
        <v/>
      </c>
      <c r="Y446">
        <f>HYPERLINK("https://klasma.github.io/Logging_1737/kartor_geotiff/A 30975-2026 georefererad karta.tif", "A 30975-2026")</f>
        <v/>
      </c>
      <c r="AA446">
        <f>HYPERLINK("https://klasma.github.io/Logging_1737/klagomål/A 30975-2026 FSC-klagomål.docx", "A 30975-2026")</f>
        <v/>
      </c>
      <c r="AB446">
        <f>HYPERLINK("https://klasma.github.io/Logging_1737/klagomålsmail/A 30975-2026 FSC-klagomål mail.docx", "A 30975-2026")</f>
        <v/>
      </c>
      <c r="AC446">
        <f>HYPERLINK("https://klasma.github.io/Logging_1737/tillsyn/A 30975-2026 tillsynsbegäran.docx", "A 30975-2026")</f>
        <v/>
      </c>
      <c r="AD446">
        <f>HYPERLINK("https://klasma.github.io/Logging_1737/tillsynsmail/A 30975-2026 tillsynsbegäran mail.docx", "A 30975-2026")</f>
        <v/>
      </c>
    </row>
    <row r="447" ht="15" customHeight="1">
      <c r="A447" t="inlineStr">
        <is>
          <t>A 31395-2026</t>
        </is>
      </c>
      <c r="B447" t="inlineStr">
        <is>
          <t>avverkningsanmälan</t>
        </is>
      </c>
      <c r="C447" t="inlineStr">
        <is>
          <t>Föryngringsavverkning</t>
        </is>
      </c>
      <c r="D447" s="1" t="n">
        <v>46220</v>
      </c>
      <c r="E447" s="1" t="n">
        <v>46307</v>
      </c>
      <c r="F447" t="inlineStr">
        <is>
          <t>VÄRMLANDS LÄN</t>
        </is>
      </c>
      <c r="G447" t="inlineStr">
        <is>
          <t>SÄFFLE</t>
        </is>
      </c>
      <c r="I447" t="n">
        <v>3.8</v>
      </c>
      <c r="J447" t="n">
        <v>1</v>
      </c>
      <c r="K447" t="n">
        <v>0</v>
      </c>
      <c r="L447" t="n">
        <v>1</v>
      </c>
      <c r="M447" t="n">
        <v>0</v>
      </c>
      <c r="N447" t="n">
        <v>0</v>
      </c>
      <c r="O447" t="n">
        <v>0</v>
      </c>
      <c r="P447" t="n">
        <v>0</v>
      </c>
      <c r="Q447" t="n">
        <v>1</v>
      </c>
      <c r="R447" t="n">
        <v>0</v>
      </c>
      <c r="S447" t="n">
        <v>2</v>
      </c>
      <c r="T447" t="n">
        <v>2</v>
      </c>
      <c r="U447" t="n">
        <v>0</v>
      </c>
      <c r="V447" s="2" t="inlineStr">
        <is>
          <t>Skogsklocka
Fläcknycklar</t>
        </is>
      </c>
      <c r="W447">
        <f>HYPERLINK("https://klasma.github.io/Logging_1785/artfynd/A 31395-2026 artfynd.xlsx", "A 31395-2026")</f>
        <v/>
      </c>
      <c r="X447">
        <f>HYPERLINK("https://klasma.github.io/Logging_1785/kartor/A 31395-2026 karta.png", "A 31395-2026")</f>
        <v/>
      </c>
      <c r="Y447">
        <f>HYPERLINK("https://klasma.github.io/Logging_1785/kartor_geotiff/A 31395-2026 georefererad karta.tif", "A 31395-2026")</f>
        <v/>
      </c>
      <c r="AA447">
        <f>HYPERLINK("https://klasma.github.io/Logging_1785/klagomål/A 31395-2026 FSC-klagomål.docx", "A 31395-2026")</f>
        <v/>
      </c>
      <c r="AB447">
        <f>HYPERLINK("https://klasma.github.io/Logging_1785/klagomålsmail/A 31395-2026 FSC-klagomål mail.docx", "A 31395-2026")</f>
        <v/>
      </c>
      <c r="AC447">
        <f>HYPERLINK("https://klasma.github.io/Logging_1785/tillsyn/A 31395-2026 tillsynsbegäran.docx", "A 31395-2026")</f>
        <v/>
      </c>
      <c r="AD447">
        <f>HYPERLINK("https://klasma.github.io/Logging_1785/tillsynsmail/A 31395-2026 tillsynsbegäran mail.docx", "A 31395-2026")</f>
        <v/>
      </c>
    </row>
    <row r="448" ht="15" customHeight="1">
      <c r="A448" t="inlineStr">
        <is>
          <t>A 37534-2026</t>
        </is>
      </c>
      <c r="B448" t="inlineStr">
        <is>
          <t>avverkningsanmälan</t>
        </is>
      </c>
      <c r="C448" t="inlineStr">
        <is>
          <t>Föryngringsavverkning</t>
        </is>
      </c>
      <c r="D448" s="1" t="n">
        <v>46276</v>
      </c>
      <c r="E448" s="1" t="n">
        <v>46307</v>
      </c>
      <c r="F448" t="inlineStr">
        <is>
          <t>VÄRMLANDS LÄN</t>
        </is>
      </c>
      <c r="G448" t="inlineStr">
        <is>
          <t>FILIPSTAD</t>
        </is>
      </c>
      <c r="H448" t="inlineStr">
        <is>
          <t>Bergvik skog väst AB</t>
        </is>
      </c>
      <c r="I448" t="n">
        <v>2.8</v>
      </c>
      <c r="J448" t="n">
        <v>1</v>
      </c>
      <c r="K448" t="n">
        <v>0</v>
      </c>
      <c r="L448" t="n">
        <v>0</v>
      </c>
      <c r="M448" t="n">
        <v>1</v>
      </c>
      <c r="N448" t="n">
        <v>0</v>
      </c>
      <c r="O448" t="n">
        <v>0</v>
      </c>
      <c r="P448" t="n">
        <v>0</v>
      </c>
      <c r="Q448" t="n">
        <v>1</v>
      </c>
      <c r="R448" t="n">
        <v>1</v>
      </c>
      <c r="S448" t="n">
        <v>2</v>
      </c>
      <c r="T448" t="n">
        <v>8</v>
      </c>
      <c r="U448" t="n">
        <v>0</v>
      </c>
      <c r="V448" s="2" t="inlineStr">
        <is>
          <t>Garnlav
Spillkråka</t>
        </is>
      </c>
      <c r="W448">
        <f>HYPERLINK("https://klasma.github.io/Logging_1782/artfynd/A 37534-2026 artfynd.xlsx", "A 37534-2026")</f>
        <v/>
      </c>
      <c r="X448">
        <f>HYPERLINK("https://klasma.github.io/Logging_1782/kartor/A 37534-2026 karta.png", "A 37534-2026")</f>
        <v/>
      </c>
      <c r="Y448">
        <f>HYPERLINK("https://klasma.github.io/Logging_1782/kartor_geotiff/A 37534-2026 georefererad karta.tif", "A 37534-2026")</f>
        <v/>
      </c>
      <c r="AA448">
        <f>HYPERLINK("https://klasma.github.io/Logging_1782/klagomål/A 37534-2026 FSC-klagomål.docx", "A 37534-2026")</f>
        <v/>
      </c>
      <c r="AB448">
        <f>HYPERLINK("https://klasma.github.io/Logging_1782/klagomålsmail/A 37534-2026 FSC-klagomål mail.docx", "A 37534-2026")</f>
        <v/>
      </c>
      <c r="AC448">
        <f>HYPERLINK("https://klasma.github.io/Logging_1782/tillsyn/A 37534-2026 tillsynsbegäran.docx", "A 37534-2026")</f>
        <v/>
      </c>
      <c r="AD448">
        <f>HYPERLINK("https://klasma.github.io/Logging_1782/tillsynsmail/A 37534-2026 tillsynsbegäran mail.docx", "A 37534-2026")</f>
        <v/>
      </c>
      <c r="AE448">
        <f>HYPERLINK("https://klasma.github.io/Logging_1782/fåglar/A 37534-2026 prioriterade fågelarter.docx", "A 37534-2026")</f>
        <v/>
      </c>
    </row>
    <row r="449" ht="15" customHeight="1">
      <c r="A449" t="inlineStr">
        <is>
          <t>A 32438-2026</t>
        </is>
      </c>
      <c r="B449" t="inlineStr">
        <is>
          <t>avverkningsanmälan</t>
        </is>
      </c>
      <c r="C449" t="inlineStr">
        <is>
          <t>Föryngringsavverkning</t>
        </is>
      </c>
      <c r="D449" s="1" t="n">
        <v>46239</v>
      </c>
      <c r="E449" s="1" t="n">
        <v>46307</v>
      </c>
      <c r="F449" t="inlineStr">
        <is>
          <t>VÄRMLANDS LÄN</t>
        </is>
      </c>
      <c r="G449" t="inlineStr">
        <is>
          <t>FILIPSTAD</t>
        </is>
      </c>
      <c r="H449" t="inlineStr">
        <is>
          <t>Bergvik skog väst AB</t>
        </is>
      </c>
      <c r="I449" t="n">
        <v>1.1</v>
      </c>
      <c r="J449" t="n">
        <v>2</v>
      </c>
      <c r="K449" t="n">
        <v>0</v>
      </c>
      <c r="L449" t="n">
        <v>0</v>
      </c>
      <c r="M449" t="n">
        <v>0</v>
      </c>
      <c r="N449" t="n">
        <v>0</v>
      </c>
      <c r="O449" t="n">
        <v>0</v>
      </c>
      <c r="P449" t="n">
        <v>0</v>
      </c>
      <c r="Q449" t="n">
        <v>0</v>
      </c>
      <c r="R449" t="n">
        <v>0</v>
      </c>
      <c r="S449" t="n">
        <v>2</v>
      </c>
      <c r="T449" t="n">
        <v>3</v>
      </c>
      <c r="U449" t="n">
        <v>0</v>
      </c>
      <c r="V449" s="2" t="inlineStr">
        <is>
          <t>Dubbelnycklar
Ängsnycklar</t>
        </is>
      </c>
      <c r="W449">
        <f>HYPERLINK("https://klasma.github.io/Logging_1782/artfynd/A 32438-2026 artfynd.xlsx", "A 32438-2026")</f>
        <v/>
      </c>
      <c r="X449">
        <f>HYPERLINK("https://klasma.github.io/Logging_1782/kartor/A 32438-2026 karta.png", "A 32438-2026")</f>
        <v/>
      </c>
      <c r="Y449">
        <f>HYPERLINK("https://klasma.github.io/Logging_1782/kartor_geotiff/A 32438-2026 georefererad karta.tif", "A 32438-2026")</f>
        <v/>
      </c>
      <c r="AA449">
        <f>HYPERLINK("https://klasma.github.io/Logging_1782/klagomål/A 32438-2026 FSC-klagomål.docx", "A 32438-2026")</f>
        <v/>
      </c>
      <c r="AB449">
        <f>HYPERLINK("https://klasma.github.io/Logging_1782/klagomålsmail/A 32438-2026 FSC-klagomål mail.docx", "A 32438-2026")</f>
        <v/>
      </c>
      <c r="AC449">
        <f>HYPERLINK("https://klasma.github.io/Logging_1782/tillsyn/A 32438-2026 tillsynsbegäran.docx", "A 32438-2026")</f>
        <v/>
      </c>
      <c r="AD449">
        <f>HYPERLINK("https://klasma.github.io/Logging_1782/tillsynsmail/A 32438-2026 tillsynsbegäran mail.docx", "A 32438-2026")</f>
        <v/>
      </c>
    </row>
    <row r="450" ht="15" customHeight="1">
      <c r="A450" t="inlineStr">
        <is>
          <t>A 39831-2026</t>
        </is>
      </c>
      <c r="B450" t="inlineStr">
        <is>
          <t>avverkningsanmälan</t>
        </is>
      </c>
      <c r="C450" t="inlineStr">
        <is>
          <t>Föryngringsavverkning</t>
        </is>
      </c>
      <c r="D450" s="1" t="n">
        <v>46290</v>
      </c>
      <c r="E450" s="1" t="n">
        <v>46307</v>
      </c>
      <c r="F450" t="inlineStr">
        <is>
          <t>VÄRMLANDS LÄN</t>
        </is>
      </c>
      <c r="G450" t="inlineStr">
        <is>
          <t>EDA</t>
        </is>
      </c>
      <c r="I450" t="n">
        <v>5.6</v>
      </c>
      <c r="J450" t="n">
        <v>2</v>
      </c>
      <c r="K450" t="n">
        <v>0</v>
      </c>
      <c r="L450" t="n">
        <v>0</v>
      </c>
      <c r="M450" t="n">
        <v>0</v>
      </c>
      <c r="N450" t="n">
        <v>0</v>
      </c>
      <c r="O450" t="n">
        <v>0</v>
      </c>
      <c r="P450" t="n">
        <v>0</v>
      </c>
      <c r="Q450" t="n">
        <v>0</v>
      </c>
      <c r="R450" t="n">
        <v>0</v>
      </c>
      <c r="S450" t="n">
        <v>2</v>
      </c>
      <c r="T450" t="n">
        <v>2</v>
      </c>
      <c r="U450" t="n">
        <v>0</v>
      </c>
      <c r="V450" s="2" t="inlineStr">
        <is>
          <t>Grönsiska
Kungsfågel</t>
        </is>
      </c>
      <c r="W450">
        <f>HYPERLINK("https://klasma.github.io/Logging_1730/artfynd/A 39831-2026 artfynd.xlsx", "A 39831-2026")</f>
        <v/>
      </c>
      <c r="X450">
        <f>HYPERLINK("https://klasma.github.io/Logging_1730/kartor/A 39831-2026 karta.png", "A 39831-2026")</f>
        <v/>
      </c>
      <c r="Y450">
        <f>HYPERLINK("https://klasma.github.io/Logging_1730/kartor_geotiff/A 39831-2026 georefererad karta.tif", "A 39831-2026")</f>
        <v/>
      </c>
      <c r="AA450">
        <f>HYPERLINK("https://klasma.github.io/Logging_1730/klagomål/A 39831-2026 FSC-klagomål.docx", "A 39831-2026")</f>
        <v/>
      </c>
      <c r="AB450">
        <f>HYPERLINK("https://klasma.github.io/Logging_1730/klagomålsmail/A 39831-2026 FSC-klagomål mail.docx", "A 39831-2026")</f>
        <v/>
      </c>
      <c r="AC450">
        <f>HYPERLINK("https://klasma.github.io/Logging_1730/tillsyn/A 39831-2026 tillsynsbegäran.docx", "A 39831-2026")</f>
        <v/>
      </c>
      <c r="AD450">
        <f>HYPERLINK("https://klasma.github.io/Logging_1730/tillsynsmail/A 39831-2026 tillsynsbegäran mail.docx", "A 39831-2026")</f>
        <v/>
      </c>
    </row>
    <row r="451" ht="15" customHeight="1">
      <c r="A451" t="inlineStr">
        <is>
          <t>A 33583-2026</t>
        </is>
      </c>
      <c r="B451" t="inlineStr">
        <is>
          <t>avverkningsanmälan</t>
        </is>
      </c>
      <c r="C451" t="inlineStr">
        <is>
          <t>Föryngringsavverkning</t>
        </is>
      </c>
      <c r="D451" s="1" t="n">
        <v>46248</v>
      </c>
      <c r="E451" s="1" t="n">
        <v>46307</v>
      </c>
      <c r="F451" t="inlineStr">
        <is>
          <t>VÄRMLANDS LÄN</t>
        </is>
      </c>
      <c r="G451" t="inlineStr">
        <is>
          <t>FILIPSTAD</t>
        </is>
      </c>
      <c r="H451" t="inlineStr">
        <is>
          <t>Bergvik skog väst AB</t>
        </is>
      </c>
      <c r="I451" t="n">
        <v>16.4</v>
      </c>
      <c r="J451" t="n">
        <v>0</v>
      </c>
      <c r="K451" t="n">
        <v>2</v>
      </c>
      <c r="L451" t="n">
        <v>0</v>
      </c>
      <c r="M451" t="n">
        <v>0</v>
      </c>
      <c r="N451" t="n">
        <v>0</v>
      </c>
      <c r="O451" t="n">
        <v>0</v>
      </c>
      <c r="P451" t="n">
        <v>0</v>
      </c>
      <c r="Q451" t="n">
        <v>0</v>
      </c>
      <c r="R451" t="n">
        <v>0</v>
      </c>
      <c r="S451" t="n">
        <v>2</v>
      </c>
      <c r="T451" t="n">
        <v>3</v>
      </c>
      <c r="U451" t="n">
        <v>0</v>
      </c>
      <c r="V451" s="2" t="inlineStr">
        <is>
          <t>Bårdlav
Stuplav</t>
        </is>
      </c>
      <c r="W451">
        <f>HYPERLINK("https://klasma.github.io/Logging_1782/artfynd/A 33583-2026 artfynd.xlsx", "A 33583-2026")</f>
        <v/>
      </c>
      <c r="X451">
        <f>HYPERLINK("https://klasma.github.io/Logging_1782/kartor/A 33583-2026 karta.png", "A 33583-2026")</f>
        <v/>
      </c>
      <c r="Y451">
        <f>HYPERLINK("https://klasma.github.io/Logging_1782/kartor_geotiff/A 33583-2026 georefererad karta.tif", "A 33583-2026")</f>
        <v/>
      </c>
      <c r="AA451">
        <f>HYPERLINK("https://klasma.github.io/Logging_1782/klagomål/A 33583-2026 FSC-klagomål.docx", "A 33583-2026")</f>
        <v/>
      </c>
      <c r="AB451">
        <f>HYPERLINK("https://klasma.github.io/Logging_1782/klagomålsmail/A 33583-2026 FSC-klagomål mail.docx", "A 33583-2026")</f>
        <v/>
      </c>
      <c r="AC451">
        <f>HYPERLINK("https://klasma.github.io/Logging_1782/tillsyn/A 33583-2026 tillsynsbegäran.docx", "A 33583-2026")</f>
        <v/>
      </c>
      <c r="AD451">
        <f>HYPERLINK("https://klasma.github.io/Logging_1782/tillsynsmail/A 33583-2026 tillsynsbegäran mail.docx", "A 33583-2026")</f>
        <v/>
      </c>
    </row>
    <row r="452" ht="15" customHeight="1">
      <c r="A452" t="inlineStr">
        <is>
          <t>A 33770-2026</t>
        </is>
      </c>
      <c r="B452" t="inlineStr">
        <is>
          <t>avverkningsanmälan</t>
        </is>
      </c>
      <c r="C452" t="inlineStr">
        <is>
          <t>Föryngringsavverkning</t>
        </is>
      </c>
      <c r="D452" s="1" t="n">
        <v>46251</v>
      </c>
      <c r="E452" s="1" t="n">
        <v>46307</v>
      </c>
      <c r="F452" t="inlineStr">
        <is>
          <t>VÄRMLANDS LÄN</t>
        </is>
      </c>
      <c r="G452" t="inlineStr">
        <is>
          <t>TORSBY</t>
        </is>
      </c>
      <c r="I452" t="n">
        <v>2.1</v>
      </c>
      <c r="J452" t="n">
        <v>0</v>
      </c>
      <c r="K452" t="n">
        <v>0</v>
      </c>
      <c r="L452" t="n">
        <v>2</v>
      </c>
      <c r="M452" t="n">
        <v>0</v>
      </c>
      <c r="N452" t="n">
        <v>0</v>
      </c>
      <c r="O452" t="n">
        <v>0</v>
      </c>
      <c r="P452" t="n">
        <v>0</v>
      </c>
      <c r="Q452" t="n">
        <v>2</v>
      </c>
      <c r="R452" t="n">
        <v>0</v>
      </c>
      <c r="S452" t="n">
        <v>2</v>
      </c>
      <c r="T452" t="n">
        <v>4</v>
      </c>
      <c r="U452" t="n">
        <v>0</v>
      </c>
      <c r="V452" s="2" t="inlineStr">
        <is>
          <t>Kattfotslav
Lunglav</t>
        </is>
      </c>
      <c r="W452">
        <f>HYPERLINK("https://klasma.github.io/Logging_1737/artfynd/A 33770-2026 artfynd.xlsx", "A 33770-2026")</f>
        <v/>
      </c>
      <c r="X452">
        <f>HYPERLINK("https://klasma.github.io/Logging_1737/kartor/A 33770-2026 karta.png", "A 33770-2026")</f>
        <v/>
      </c>
      <c r="Y452">
        <f>HYPERLINK("https://klasma.github.io/Logging_1737/kartor_geotiff/A 33770-2026 georefererad karta.tif", "A 33770-2026")</f>
        <v/>
      </c>
      <c r="AA452">
        <f>HYPERLINK("https://klasma.github.io/Logging_1737/klagomål/A 33770-2026 FSC-klagomål.docx", "A 33770-2026")</f>
        <v/>
      </c>
      <c r="AB452">
        <f>HYPERLINK("https://klasma.github.io/Logging_1737/klagomålsmail/A 33770-2026 FSC-klagomål mail.docx", "A 33770-2026")</f>
        <v/>
      </c>
      <c r="AC452">
        <f>HYPERLINK("https://klasma.github.io/Logging_1737/tillsyn/A 33770-2026 tillsynsbegäran.docx", "A 33770-2026")</f>
        <v/>
      </c>
      <c r="AD452">
        <f>HYPERLINK("https://klasma.github.io/Logging_1737/tillsynsmail/A 33770-2026 tillsynsbegäran mail.docx", "A 33770-2026")</f>
        <v/>
      </c>
    </row>
    <row r="453" ht="15" customHeight="1">
      <c r="A453" t="inlineStr">
        <is>
          <t>A 36057-2026</t>
        </is>
      </c>
      <c r="B453" t="inlineStr">
        <is>
          <t>avverkningsanmälan</t>
        </is>
      </c>
      <c r="C453" t="inlineStr">
        <is>
          <t>Föryngringsavverkning</t>
        </is>
      </c>
      <c r="D453" s="1" t="n">
        <v>46267</v>
      </c>
      <c r="E453" s="1" t="n">
        <v>46307</v>
      </c>
      <c r="F453" t="inlineStr">
        <is>
          <t>VÄRMLANDS LÄN</t>
        </is>
      </c>
      <c r="G453" t="inlineStr">
        <is>
          <t>TORSBY</t>
        </is>
      </c>
      <c r="I453" t="n">
        <v>5.3</v>
      </c>
      <c r="J453" t="n">
        <v>0</v>
      </c>
      <c r="K453" t="n">
        <v>0</v>
      </c>
      <c r="L453" t="n">
        <v>0</v>
      </c>
      <c r="M453" t="n">
        <v>2</v>
      </c>
      <c r="N453" t="n">
        <v>0</v>
      </c>
      <c r="O453" t="n">
        <v>0</v>
      </c>
      <c r="P453" t="n">
        <v>0</v>
      </c>
      <c r="Q453" t="n">
        <v>2</v>
      </c>
      <c r="R453" t="n">
        <v>2</v>
      </c>
      <c r="S453" t="n">
        <v>2</v>
      </c>
      <c r="T453" t="n">
        <v>2</v>
      </c>
      <c r="U453" t="n">
        <v>0</v>
      </c>
      <c r="V453" s="2" t="inlineStr">
        <is>
          <t>Garnlav
Starrgräsfjäril</t>
        </is>
      </c>
      <c r="W453">
        <f>HYPERLINK("https://klasma.github.io/Logging_1737/artfynd/A 36057-2026 artfynd.xlsx", "A 36057-2026")</f>
        <v/>
      </c>
      <c r="X453">
        <f>HYPERLINK("https://klasma.github.io/Logging_1737/kartor/A 36057-2026 karta.png", "A 36057-2026")</f>
        <v/>
      </c>
      <c r="Y453">
        <f>HYPERLINK("https://klasma.github.io/Logging_1737/kartor_geotiff/A 36057-2026 georefererad karta.tif", "A 36057-2026")</f>
        <v/>
      </c>
      <c r="AA453">
        <f>HYPERLINK("https://klasma.github.io/Logging_1737/klagomål/A 36057-2026 FSC-klagomål.docx", "A 36057-2026")</f>
        <v/>
      </c>
      <c r="AB453">
        <f>HYPERLINK("https://klasma.github.io/Logging_1737/klagomålsmail/A 36057-2026 FSC-klagomål mail.docx", "A 36057-2026")</f>
        <v/>
      </c>
      <c r="AC453">
        <f>HYPERLINK("https://klasma.github.io/Logging_1737/tillsyn/A 36057-2026 tillsynsbegäran.docx", "A 36057-2026")</f>
        <v/>
      </c>
      <c r="AD453">
        <f>HYPERLINK("https://klasma.github.io/Logging_1737/tillsynsmail/A 36057-2026 tillsynsbegäran mail.docx", "A 36057-2026")</f>
        <v/>
      </c>
    </row>
    <row r="454" ht="15" customHeight="1">
      <c r="A454" t="inlineStr">
        <is>
          <t>A 35284-2026</t>
        </is>
      </c>
      <c r="B454" t="inlineStr">
        <is>
          <t>avverkningsanmälan</t>
        </is>
      </c>
      <c r="C454" t="inlineStr">
        <is>
          <t>Avverkning för att bevara och utveckla /försöksver</t>
        </is>
      </c>
      <c r="D454" s="1" t="n">
        <v>46261</v>
      </c>
      <c r="E454" s="1" t="n">
        <v>46307</v>
      </c>
      <c r="F454" t="inlineStr">
        <is>
          <t>VÄRMLANDS LÄN</t>
        </is>
      </c>
      <c r="G454" t="inlineStr">
        <is>
          <t>TORSBY</t>
        </is>
      </c>
      <c r="H454" t="inlineStr">
        <is>
          <t>Bergvik skog väst AB</t>
        </is>
      </c>
      <c r="I454" t="n">
        <v>3.1</v>
      </c>
      <c r="J454" t="n">
        <v>0</v>
      </c>
      <c r="K454" t="n">
        <v>0</v>
      </c>
      <c r="L454" t="n">
        <v>0</v>
      </c>
      <c r="M454" t="n">
        <v>2</v>
      </c>
      <c r="N454" t="n">
        <v>0</v>
      </c>
      <c r="O454" t="n">
        <v>0</v>
      </c>
      <c r="P454" t="n">
        <v>0</v>
      </c>
      <c r="Q454" t="n">
        <v>2</v>
      </c>
      <c r="R454" t="n">
        <v>2</v>
      </c>
      <c r="S454" t="n">
        <v>2</v>
      </c>
      <c r="T454" t="n">
        <v>2</v>
      </c>
      <c r="U454" t="n">
        <v>0</v>
      </c>
      <c r="V454" s="2" t="inlineStr">
        <is>
          <t>Helfibbla
Lofibbla</t>
        </is>
      </c>
      <c r="W454">
        <f>HYPERLINK("https://klasma.github.io/Logging_1737/artfynd/A 35284-2026 artfynd.xlsx", "A 35284-2026")</f>
        <v/>
      </c>
      <c r="X454">
        <f>HYPERLINK("https://klasma.github.io/Logging_1737/kartor/A 35284-2026 karta.png", "A 35284-2026")</f>
        <v/>
      </c>
      <c r="Y454">
        <f>HYPERLINK("https://klasma.github.io/Logging_1737/kartor_geotiff/A 35284-2026 georefererad karta.tif", "A 35284-2026")</f>
        <v/>
      </c>
      <c r="AA454">
        <f>HYPERLINK("https://klasma.github.io/Logging_1737/klagomål/A 35284-2026 FSC-klagomål.docx", "A 35284-2026")</f>
        <v/>
      </c>
      <c r="AB454">
        <f>HYPERLINK("https://klasma.github.io/Logging_1737/klagomålsmail/A 35284-2026 FSC-klagomål mail.docx", "A 35284-2026")</f>
        <v/>
      </c>
      <c r="AC454">
        <f>HYPERLINK("https://klasma.github.io/Logging_1737/tillsyn/A 35284-2026 tillsynsbegäran.docx", "A 35284-2026")</f>
        <v/>
      </c>
      <c r="AD454">
        <f>HYPERLINK("https://klasma.github.io/Logging_1737/tillsynsmail/A 35284-2026 tillsynsbegäran mail.docx", "A 35284-2026")</f>
        <v/>
      </c>
    </row>
    <row r="455" ht="15" customHeight="1">
      <c r="A455" t="inlineStr">
        <is>
          <t>A 39381-2026</t>
        </is>
      </c>
      <c r="B455" t="inlineStr">
        <is>
          <t>avverkningsanmälan</t>
        </is>
      </c>
      <c r="C455" t="inlineStr">
        <is>
          <t>Avverkning för att bevara och utveckla /försöksver</t>
        </is>
      </c>
      <c r="D455" s="1" t="n">
        <v>46288</v>
      </c>
      <c r="E455" s="1" t="n">
        <v>46307</v>
      </c>
      <c r="F455" t="inlineStr">
        <is>
          <t>VÄRMLANDS LÄN</t>
        </is>
      </c>
      <c r="G455" t="inlineStr">
        <is>
          <t>TORSBY</t>
        </is>
      </c>
      <c r="I455" t="n">
        <v>4.6</v>
      </c>
      <c r="J455" t="n">
        <v>0</v>
      </c>
      <c r="K455" t="n">
        <v>1</v>
      </c>
      <c r="L455" t="n">
        <v>1</v>
      </c>
      <c r="M455" t="n">
        <v>0</v>
      </c>
      <c r="N455" t="n">
        <v>0</v>
      </c>
      <c r="O455" t="n">
        <v>0</v>
      </c>
      <c r="P455" t="n">
        <v>0</v>
      </c>
      <c r="Q455" t="n">
        <v>1</v>
      </c>
      <c r="R455" t="n">
        <v>0</v>
      </c>
      <c r="S455" t="n">
        <v>2</v>
      </c>
      <c r="T455" t="n">
        <v>2</v>
      </c>
      <c r="U455" t="n">
        <v>0</v>
      </c>
      <c r="V455" s="2" t="inlineStr">
        <is>
          <t>Lunglav
Bårdlav</t>
        </is>
      </c>
      <c r="W455">
        <f>HYPERLINK("https://klasma.github.io/Logging_1737/artfynd/A 39381-2026 artfynd.xlsx", "A 39381-2026")</f>
        <v/>
      </c>
      <c r="X455">
        <f>HYPERLINK("https://klasma.github.io/Logging_1737/kartor/A 39381-2026 karta.png", "A 39381-2026")</f>
        <v/>
      </c>
      <c r="Y455">
        <f>HYPERLINK("https://klasma.github.io/Logging_1737/kartor_geotiff/A 39381-2026 georefererad karta.tif", "A 39381-2026")</f>
        <v/>
      </c>
      <c r="AA455">
        <f>HYPERLINK("https://klasma.github.io/Logging_1737/klagomål/A 39381-2026 FSC-klagomål.docx", "A 39381-2026")</f>
        <v/>
      </c>
      <c r="AB455">
        <f>HYPERLINK("https://klasma.github.io/Logging_1737/klagomålsmail/A 39381-2026 FSC-klagomål mail.docx", "A 39381-2026")</f>
        <v/>
      </c>
      <c r="AC455">
        <f>HYPERLINK("https://klasma.github.io/Logging_1737/tillsyn/A 39381-2026 tillsynsbegäran.docx", "A 39381-2026")</f>
        <v/>
      </c>
      <c r="AD455">
        <f>HYPERLINK("https://klasma.github.io/Logging_1737/tillsynsmail/A 39381-2026 tillsynsbegäran mail.docx", "A 39381-2026")</f>
        <v/>
      </c>
    </row>
    <row r="456" ht="15" customHeight="1">
      <c r="A456" t="inlineStr">
        <is>
          <t>A 66652-2021</t>
        </is>
      </c>
      <c r="B456" t="inlineStr">
        <is>
          <t>avverkningsanmälan</t>
        </is>
      </c>
      <c r="C456" t="inlineStr">
        <is>
          <t>Föryngringsavverkning</t>
        </is>
      </c>
      <c r="D456" s="1" t="n">
        <v>44519</v>
      </c>
      <c r="E456" s="1" t="n">
        <v>46307</v>
      </c>
      <c r="F456" t="inlineStr">
        <is>
          <t>VÄRMLANDS LÄN</t>
        </is>
      </c>
      <c r="G456" t="inlineStr">
        <is>
          <t>ARVIKA</t>
        </is>
      </c>
      <c r="I456" t="n">
        <v>12.3</v>
      </c>
      <c r="J456" t="n">
        <v>0</v>
      </c>
      <c r="K456" t="n">
        <v>1</v>
      </c>
      <c r="L456" t="n">
        <v>0</v>
      </c>
      <c r="M456" t="n">
        <v>1</v>
      </c>
      <c r="N456" t="n">
        <v>0</v>
      </c>
      <c r="O456" t="n">
        <v>0</v>
      </c>
      <c r="P456" t="n">
        <v>0</v>
      </c>
      <c r="Q456" t="n">
        <v>1</v>
      </c>
      <c r="R456" t="n">
        <v>1</v>
      </c>
      <c r="S456" t="n">
        <v>2</v>
      </c>
      <c r="T456" t="n">
        <v>2</v>
      </c>
      <c r="U456" t="n">
        <v>2</v>
      </c>
      <c r="V456" s="2" t="inlineStr">
        <is>
          <t>Garnlav
Korallblylav</t>
        </is>
      </c>
      <c r="W456">
        <f>HYPERLINK("https://klasma.github.io/Logging_1784/artfynd/A 66652-2021 artfynd.xlsx", "A 66652-2021")</f>
        <v/>
      </c>
      <c r="X456">
        <f>HYPERLINK("https://klasma.github.io/Logging_1784/kartor/A 66652-2021 karta.png", "A 66652-2021")</f>
        <v/>
      </c>
      <c r="Y456">
        <f>HYPERLINK("https://klasma.github.io/Logging_1784/kartor_geotiff/A 66652-2021 georefererad karta.tif", "A 66652-2021")</f>
        <v/>
      </c>
      <c r="AA456">
        <f>HYPERLINK("https://klasma.github.io/Logging_1784/klagomål/A 66652-2021 FSC-klagomål.docx", "A 66652-2021")</f>
        <v/>
      </c>
      <c r="AB456">
        <f>HYPERLINK("https://klasma.github.io/Logging_1784/klagomålsmail/A 66652-2021 FSC-klagomål mail.docx", "A 66652-2021")</f>
        <v/>
      </c>
      <c r="AC456">
        <f>HYPERLINK("https://klasma.github.io/Logging_1784/tillsyn/A 66652-2021 tillsynsbegäran.docx", "A 66652-2021")</f>
        <v/>
      </c>
      <c r="AD456">
        <f>HYPERLINK("https://klasma.github.io/Logging_1784/tillsynsmail/A 66652-2021 tillsynsbegäran mail.docx", "A 66652-2021")</f>
        <v/>
      </c>
    </row>
    <row r="457" ht="15" customHeight="1">
      <c r="A457" t="inlineStr">
        <is>
          <t>A 35428-2026</t>
        </is>
      </c>
      <c r="B457" t="inlineStr">
        <is>
          <t>avverkningsanmälan</t>
        </is>
      </c>
      <c r="C457" t="inlineStr">
        <is>
          <t>Föryngringsavverkning</t>
        </is>
      </c>
      <c r="D457" s="1" t="n">
        <v>46261</v>
      </c>
      <c r="E457" s="1" t="n">
        <v>46307</v>
      </c>
      <c r="F457" t="inlineStr">
        <is>
          <t>VÄRMLANDS LÄN</t>
        </is>
      </c>
      <c r="G457" t="inlineStr">
        <is>
          <t>TORSBY</t>
        </is>
      </c>
      <c r="I457" t="n">
        <v>0.6</v>
      </c>
      <c r="J457" t="n">
        <v>0</v>
      </c>
      <c r="K457" t="n">
        <v>0</v>
      </c>
      <c r="L457" t="n">
        <v>1</v>
      </c>
      <c r="M457" t="n">
        <v>1</v>
      </c>
      <c r="N457" t="n">
        <v>0</v>
      </c>
      <c r="O457" t="n">
        <v>0</v>
      </c>
      <c r="P457" t="n">
        <v>0</v>
      </c>
      <c r="Q457" t="n">
        <v>2</v>
      </c>
      <c r="R457" t="n">
        <v>1</v>
      </c>
      <c r="S457" t="n">
        <v>2</v>
      </c>
      <c r="T457" t="n">
        <v>2</v>
      </c>
      <c r="U457" t="n">
        <v>0</v>
      </c>
      <c r="V457" s="2" t="inlineStr">
        <is>
          <t>Garnlav
Vitgrynig nållav</t>
        </is>
      </c>
      <c r="W457">
        <f>HYPERLINK("https://klasma.github.io/Logging_1737/artfynd/A 35428-2026 artfynd.xlsx", "A 35428-2026")</f>
        <v/>
      </c>
      <c r="X457">
        <f>HYPERLINK("https://klasma.github.io/Logging_1737/kartor/A 35428-2026 karta.png", "A 35428-2026")</f>
        <v/>
      </c>
      <c r="Y457">
        <f>HYPERLINK("https://klasma.github.io/Logging_1737/kartor_geotiff/A 35428-2026 georefererad karta.tif", "A 35428-2026")</f>
        <v/>
      </c>
      <c r="AA457">
        <f>HYPERLINK("https://klasma.github.io/Logging_1737/klagomål/A 35428-2026 FSC-klagomål.docx", "A 35428-2026")</f>
        <v/>
      </c>
      <c r="AB457">
        <f>HYPERLINK("https://klasma.github.io/Logging_1737/klagomålsmail/A 35428-2026 FSC-klagomål mail.docx", "A 35428-2026")</f>
        <v/>
      </c>
      <c r="AC457">
        <f>HYPERLINK("https://klasma.github.io/Logging_1737/tillsyn/A 35428-2026 tillsynsbegäran.docx", "A 35428-2026")</f>
        <v/>
      </c>
      <c r="AD457">
        <f>HYPERLINK("https://klasma.github.io/Logging_1737/tillsynsmail/A 35428-2026 tillsynsbegäran mail.docx", "A 35428-2026")</f>
        <v/>
      </c>
    </row>
    <row r="458" ht="15" customHeight="1">
      <c r="A458" t="inlineStr">
        <is>
          <t>S 927-2022</t>
        </is>
      </c>
      <c r="B458" t="inlineStr">
        <is>
          <t>samrådsanmälan</t>
        </is>
      </c>
      <c r="C458" t="inlineStr">
        <is>
          <t>Skogsgödsling</t>
        </is>
      </c>
      <c r="D458" s="1" t="n">
        <v>44606</v>
      </c>
      <c r="E458" s="1" t="n">
        <v>46307</v>
      </c>
      <c r="F458" t="inlineStr">
        <is>
          <t>VÄRMLANDS LÄN</t>
        </is>
      </c>
      <c r="G458" t="inlineStr">
        <is>
          <t>HAGFORS</t>
        </is>
      </c>
      <c r="H458" t="inlineStr">
        <is>
          <t>Bergvik skog väst AB</t>
        </is>
      </c>
      <c r="I458" t="n">
        <v>28.3</v>
      </c>
      <c r="J458" t="n">
        <v>2</v>
      </c>
      <c r="K458" t="n">
        <v>0</v>
      </c>
      <c r="L458" t="n">
        <v>1</v>
      </c>
      <c r="M458" t="n">
        <v>0</v>
      </c>
      <c r="N458" t="n">
        <v>0</v>
      </c>
      <c r="O458" t="n">
        <v>0</v>
      </c>
      <c r="P458" t="n">
        <v>0</v>
      </c>
      <c r="Q458" t="n">
        <v>1</v>
      </c>
      <c r="R458" t="n">
        <v>0</v>
      </c>
      <c r="S458" t="n">
        <v>2</v>
      </c>
      <c r="T458" t="n">
        <v>2</v>
      </c>
      <c r="U458" t="n">
        <v>1</v>
      </c>
      <c r="V458" s="2" t="inlineStr">
        <is>
          <t>Mellanlummer
Tjäder</t>
        </is>
      </c>
      <c r="W458">
        <f>HYPERLINK("https://klasma.github.io/Logging_1783/artfynd/S 927-2022 artfynd.xlsx", "S 927-2022")</f>
        <v/>
      </c>
      <c r="X458">
        <f>HYPERLINK("https://klasma.github.io/Logging_1783/kartor/S 927-2022 karta.png", "S 927-2022")</f>
        <v/>
      </c>
      <c r="Y458">
        <f>HYPERLINK("https://klasma.github.io/Logging_1783/kartor_geotiff/S 927-2022 georefererad karta.tif", "S 927-2022")</f>
        <v/>
      </c>
      <c r="AA458">
        <f>HYPERLINK("https://klasma.github.io/Logging_1783/klagomål/S 927-2022 FSC-klagomål.docx", "S 927-2022")</f>
        <v/>
      </c>
      <c r="AB458">
        <f>HYPERLINK("https://klasma.github.io/Logging_1783/klagomålsmail/S 927-2022 FSC-klagomål mail.docx", "S 927-2022")</f>
        <v/>
      </c>
      <c r="AC458">
        <f>HYPERLINK("https://klasma.github.io/Logging_1783/tillsyn/S 927-2022 tillsynsbegäran.docx", "S 927-2022")</f>
        <v/>
      </c>
      <c r="AD458">
        <f>HYPERLINK("https://klasma.github.io/Logging_1783/tillsynsmail/S 927-2022 tillsynsbegäran mail.docx", "S 927-2022")</f>
        <v/>
      </c>
      <c r="AE458">
        <f>HYPERLINK("https://klasma.github.io/Logging_1783/fåglar/S 927-2022 prioriterade fågelarter.docx", "S 927-2022")</f>
        <v/>
      </c>
    </row>
    <row r="459" ht="15" customHeight="1">
      <c r="A459" t="inlineStr">
        <is>
          <t>S 2398-2022</t>
        </is>
      </c>
      <c r="B459" t="inlineStr">
        <is>
          <t>samrådsanmälan</t>
        </is>
      </c>
      <c r="C459" t="inlineStr">
        <is>
          <t>Askåterföring</t>
        </is>
      </c>
      <c r="D459" s="1" t="n">
        <v>44690</v>
      </c>
      <c r="E459" s="1" t="n">
        <v>46307</v>
      </c>
      <c r="F459" t="inlineStr">
        <is>
          <t>VÄRMLANDS LÄN</t>
        </is>
      </c>
      <c r="G459" t="inlineStr">
        <is>
          <t>KRISTINEHAMN</t>
        </is>
      </c>
      <c r="I459" t="n">
        <v>156.6</v>
      </c>
      <c r="J459" t="n">
        <v>1</v>
      </c>
      <c r="K459" t="n">
        <v>0</v>
      </c>
      <c r="L459" t="n">
        <v>1</v>
      </c>
      <c r="M459" t="n">
        <v>1</v>
      </c>
      <c r="N459" t="n">
        <v>0</v>
      </c>
      <c r="O459" t="n">
        <v>0</v>
      </c>
      <c r="P459" t="n">
        <v>0</v>
      </c>
      <c r="Q459" t="n">
        <v>2</v>
      </c>
      <c r="R459" t="n">
        <v>1</v>
      </c>
      <c r="S459" t="n">
        <v>2</v>
      </c>
      <c r="T459" t="n">
        <v>4</v>
      </c>
      <c r="U459" t="n">
        <v>3</v>
      </c>
      <c r="V459" s="2" t="inlineStr">
        <is>
          <t>Dvärglin
Talltita</t>
        </is>
      </c>
      <c r="W459">
        <f>HYPERLINK("https://klasma.github.io/Logging_1781/artfynd/S 2398-2022 artfynd.xlsx", "S 2398-2022")</f>
        <v/>
      </c>
      <c r="X459">
        <f>HYPERLINK("https://klasma.github.io/Logging_1781/kartor/S 2398-2022 karta.png", "S 2398-2022")</f>
        <v/>
      </c>
      <c r="Y459">
        <f>HYPERLINK("https://klasma.github.io/Logging_1781/kartor_geotiff/S 2398-2022 georefererad karta.tif", "S 2398-2022")</f>
        <v/>
      </c>
      <c r="AA459">
        <f>HYPERLINK("https://klasma.github.io/Logging_1781/klagomål/S 2398-2022 FSC-klagomål.docx", "S 2398-2022")</f>
        <v/>
      </c>
      <c r="AB459">
        <f>HYPERLINK("https://klasma.github.io/Logging_1781/klagomålsmail/S 2398-2022 FSC-klagomål mail.docx", "S 2398-2022")</f>
        <v/>
      </c>
      <c r="AC459">
        <f>HYPERLINK("https://klasma.github.io/Logging_1781/tillsyn/S 2398-2022 tillsynsbegäran.docx", "S 2398-2022")</f>
        <v/>
      </c>
      <c r="AD459">
        <f>HYPERLINK("https://klasma.github.io/Logging_1781/tillsynsmail/S 2398-2022 tillsynsbegäran mail.docx", "S 2398-2022")</f>
        <v/>
      </c>
      <c r="AE459">
        <f>HYPERLINK("https://klasma.github.io/Logging_1781/fåglar/S 2398-2022 prioriterade fågelarter.docx", "S 2398-2022")</f>
        <v/>
      </c>
    </row>
    <row r="460" ht="15" customHeight="1">
      <c r="A460" t="inlineStr">
        <is>
          <t>S 3838-2023</t>
        </is>
      </c>
      <c r="B460" t="inlineStr">
        <is>
          <t>samrådsanmälan</t>
        </is>
      </c>
      <c r="C460" t="inlineStr">
        <is>
          <t>Åtgärd i nyckelbiotop</t>
        </is>
      </c>
      <c r="D460" s="1" t="n">
        <v>45233</v>
      </c>
      <c r="E460" s="1" t="n">
        <v>46307</v>
      </c>
      <c r="F460" t="inlineStr">
        <is>
          <t>VÄRMLANDS LÄN</t>
        </is>
      </c>
      <c r="G460" t="inlineStr">
        <is>
          <t>KRISTINEHAMN</t>
        </is>
      </c>
      <c r="I460" t="n">
        <v>1.1</v>
      </c>
      <c r="J460" t="n">
        <v>2</v>
      </c>
      <c r="K460" t="n">
        <v>0</v>
      </c>
      <c r="L460" t="n">
        <v>0</v>
      </c>
      <c r="M460" t="n">
        <v>0</v>
      </c>
      <c r="N460" t="n">
        <v>0</v>
      </c>
      <c r="O460" t="n">
        <v>0</v>
      </c>
      <c r="P460" t="n">
        <v>0</v>
      </c>
      <c r="Q460" t="n">
        <v>0</v>
      </c>
      <c r="R460" t="n">
        <v>0</v>
      </c>
      <c r="S460" t="n">
        <v>2</v>
      </c>
      <c r="T460" t="n">
        <v>2</v>
      </c>
      <c r="U460" t="n">
        <v>0</v>
      </c>
      <c r="V460" s="2" t="inlineStr">
        <is>
          <t>Spillkråka
Gröngöling</t>
        </is>
      </c>
      <c r="W460">
        <f>HYPERLINK("https://klasma.github.io/Logging_1781/artfynd/S 3838-2023 artfynd.xlsx", "S 3838-2023")</f>
        <v/>
      </c>
      <c r="X460">
        <f>HYPERLINK("https://klasma.github.io/Logging_1781/kartor/S 3838-2023 karta.png", "S 3838-2023")</f>
        <v/>
      </c>
      <c r="Y460">
        <f>HYPERLINK("https://klasma.github.io/Logging_1781/kartor_geotiff/S 3838-2023 georefererad karta.tif", "S 3838-2023")</f>
        <v/>
      </c>
      <c r="AA460">
        <f>HYPERLINK("https://klasma.github.io/Logging_1781/klagomål/S 3838-2023 FSC-klagomål.docx", "S 3838-2023")</f>
        <v/>
      </c>
      <c r="AB460">
        <f>HYPERLINK("https://klasma.github.io/Logging_1781/klagomålsmail/S 3838-2023 FSC-klagomål mail.docx", "S 3838-2023")</f>
        <v/>
      </c>
      <c r="AC460">
        <f>HYPERLINK("https://klasma.github.io/Logging_1781/tillsyn/S 3838-2023 tillsynsbegäran.docx", "S 3838-2023")</f>
        <v/>
      </c>
      <c r="AD460">
        <f>HYPERLINK("https://klasma.github.io/Logging_1781/tillsynsmail/S 3838-2023 tillsynsbegäran mail.docx", "S 3838-2023")</f>
        <v/>
      </c>
      <c r="AE460">
        <f>HYPERLINK("https://klasma.github.io/Logging_1781/fåglar/S 3838-2023 prioriterade fågelarter.docx", "S 3838-2023")</f>
        <v/>
      </c>
    </row>
    <row r="461" ht="15" customHeight="1">
      <c r="A461" t="inlineStr">
        <is>
          <t>S 787-2024</t>
        </is>
      </c>
      <c r="B461" t="inlineStr">
        <is>
          <t>samrådsanmälan</t>
        </is>
      </c>
      <c r="C461" t="inlineStr">
        <is>
          <t>Skogsgödsling</t>
        </is>
      </c>
      <c r="D461" s="1" t="n">
        <v>45369</v>
      </c>
      <c r="E461" s="1" t="n">
        <v>46307</v>
      </c>
      <c r="F461" t="inlineStr">
        <is>
          <t>VÄRMLANDS LÄN</t>
        </is>
      </c>
      <c r="G461" t="inlineStr">
        <is>
          <t>TORSBY</t>
        </is>
      </c>
      <c r="I461" t="n">
        <v>58.5</v>
      </c>
      <c r="J461" t="n">
        <v>1</v>
      </c>
      <c r="K461" t="n">
        <v>0</v>
      </c>
      <c r="L461" t="n">
        <v>0</v>
      </c>
      <c r="M461" t="n">
        <v>1</v>
      </c>
      <c r="N461" t="n">
        <v>0</v>
      </c>
      <c r="O461" t="n">
        <v>0</v>
      </c>
      <c r="P461" t="n">
        <v>0</v>
      </c>
      <c r="Q461" t="n">
        <v>1</v>
      </c>
      <c r="R461" t="n">
        <v>1</v>
      </c>
      <c r="S461" t="n">
        <v>2</v>
      </c>
      <c r="T461" t="n">
        <v>3</v>
      </c>
      <c r="U461" t="n">
        <v>0</v>
      </c>
      <c r="V461" s="2" t="inlineStr">
        <is>
          <t>Garnlav
Tjäder</t>
        </is>
      </c>
      <c r="W461">
        <f>HYPERLINK("https://klasma.github.io/Logging_1737/artfynd/S 787-2024 artfynd.xlsx", "S 787-2024")</f>
        <v/>
      </c>
      <c r="X461">
        <f>HYPERLINK("https://klasma.github.io/Logging_1737/kartor/S 787-2024 karta.png", "S 787-2024")</f>
        <v/>
      </c>
      <c r="Y461">
        <f>HYPERLINK("https://klasma.github.io/Logging_1737/kartor_geotiff/S 787-2024 georefererad karta.tif", "S 787-2024")</f>
        <v/>
      </c>
      <c r="AA461">
        <f>HYPERLINK("https://klasma.github.io/Logging_1737/klagomål/S 787-2024 FSC-klagomål.docx", "S 787-2024")</f>
        <v/>
      </c>
      <c r="AB461">
        <f>HYPERLINK("https://klasma.github.io/Logging_1737/klagomålsmail/S 787-2024 FSC-klagomål mail.docx", "S 787-2024")</f>
        <v/>
      </c>
      <c r="AC461">
        <f>HYPERLINK("https://klasma.github.io/Logging_1737/tillsyn/S 787-2024 tillsynsbegäran.docx", "S 787-2024")</f>
        <v/>
      </c>
      <c r="AD461">
        <f>HYPERLINK("https://klasma.github.io/Logging_1737/tillsynsmail/S 787-2024 tillsynsbegäran mail.docx", "S 787-2024")</f>
        <v/>
      </c>
      <c r="AE461">
        <f>HYPERLINK("https://klasma.github.io/Logging_1737/fåglar/S 787-2024 prioriterade fågelarter.docx", "S 787-2024")</f>
        <v/>
      </c>
    </row>
    <row r="462" ht="15" customHeight="1">
      <c r="A462" t="inlineStr">
        <is>
          <t>S 413-2024</t>
        </is>
      </c>
      <c r="B462" t="inlineStr">
        <is>
          <t>samrådsanmälan</t>
        </is>
      </c>
      <c r="C462" t="inlineStr">
        <is>
          <t>Skogsgödsling</t>
        </is>
      </c>
      <c r="D462" s="1" t="n">
        <v>45335</v>
      </c>
      <c r="E462" s="1" t="n">
        <v>46307</v>
      </c>
      <c r="F462" t="inlineStr">
        <is>
          <t>VÄRMLANDS LÄN</t>
        </is>
      </c>
      <c r="G462" t="inlineStr">
        <is>
          <t>TORSBY</t>
        </is>
      </c>
      <c r="H462" t="inlineStr">
        <is>
          <t>Bergvik skog väst AB</t>
        </is>
      </c>
      <c r="I462" t="n">
        <v>476.2</v>
      </c>
      <c r="J462" t="n">
        <v>0</v>
      </c>
      <c r="K462" t="n">
        <v>0</v>
      </c>
      <c r="L462" t="n">
        <v>1</v>
      </c>
      <c r="M462" t="n">
        <v>1</v>
      </c>
      <c r="N462" t="n">
        <v>0</v>
      </c>
      <c r="O462" t="n">
        <v>0</v>
      </c>
      <c r="P462" t="n">
        <v>0</v>
      </c>
      <c r="Q462" t="n">
        <v>2</v>
      </c>
      <c r="R462" t="n">
        <v>1</v>
      </c>
      <c r="S462" t="n">
        <v>2</v>
      </c>
      <c r="T462" t="n">
        <v>2</v>
      </c>
      <c r="U462" t="n">
        <v>1</v>
      </c>
      <c r="V462" s="2" t="inlineStr">
        <is>
          <t>Garnlav
Blanksvart spiklav</t>
        </is>
      </c>
      <c r="W462">
        <f>HYPERLINK("https://klasma.github.io/Logging_1737/artfynd/S 413-2024 artfynd.xlsx", "S 413-2024")</f>
        <v/>
      </c>
      <c r="X462">
        <f>HYPERLINK("https://klasma.github.io/Logging_1737/kartor/S 413-2024 karta.png", "S 413-2024")</f>
        <v/>
      </c>
      <c r="Y462">
        <f>HYPERLINK("https://klasma.github.io/Logging_1737/kartor_geotiff/S 413-2024 georefererad karta.tif", "S 413-2024")</f>
        <v/>
      </c>
      <c r="AA462">
        <f>HYPERLINK("https://klasma.github.io/Logging_1737/klagomål/S 413-2024 FSC-klagomål.docx", "S 413-2024")</f>
        <v/>
      </c>
      <c r="AB462">
        <f>HYPERLINK("https://klasma.github.io/Logging_1737/klagomålsmail/S 413-2024 FSC-klagomål mail.docx", "S 413-2024")</f>
        <v/>
      </c>
      <c r="AC462">
        <f>HYPERLINK("https://klasma.github.io/Logging_1737/tillsyn/S 413-2024 tillsynsbegäran.docx", "S 413-2024")</f>
        <v/>
      </c>
      <c r="AD462">
        <f>HYPERLINK("https://klasma.github.io/Logging_1737/tillsynsmail/S 413-2024 tillsynsbegäran mail.docx", "S 413-2024")</f>
        <v/>
      </c>
    </row>
    <row r="463" ht="15" customHeight="1">
      <c r="A463" t="inlineStr">
        <is>
          <t>S 2219-2023</t>
        </is>
      </c>
      <c r="B463" t="inlineStr">
        <is>
          <t>samrådsanmälan</t>
        </is>
      </c>
      <c r="C463" t="inlineStr">
        <is>
          <t>Askåterföring</t>
        </is>
      </c>
      <c r="D463" s="1" t="n">
        <v>45099</v>
      </c>
      <c r="E463" s="1" t="n">
        <v>46307</v>
      </c>
      <c r="F463" t="inlineStr">
        <is>
          <t>VÄRMLANDS LÄN</t>
        </is>
      </c>
      <c r="G463" t="inlineStr">
        <is>
          <t>GRUMS</t>
        </is>
      </c>
      <c r="H463" t="inlineStr">
        <is>
          <t>Bergvik skog väst AB</t>
        </is>
      </c>
      <c r="I463" t="n">
        <v>51.8</v>
      </c>
      <c r="J463" t="n">
        <v>2</v>
      </c>
      <c r="K463" t="n">
        <v>0</v>
      </c>
      <c r="L463" t="n">
        <v>1</v>
      </c>
      <c r="M463" t="n">
        <v>0</v>
      </c>
      <c r="N463" t="n">
        <v>0</v>
      </c>
      <c r="O463" t="n">
        <v>0</v>
      </c>
      <c r="P463" t="n">
        <v>0</v>
      </c>
      <c r="Q463" t="n">
        <v>1</v>
      </c>
      <c r="R463" t="n">
        <v>0</v>
      </c>
      <c r="S463" t="n">
        <v>2</v>
      </c>
      <c r="T463" t="n">
        <v>3</v>
      </c>
      <c r="U463" t="n">
        <v>3</v>
      </c>
      <c r="V463" s="2" t="inlineStr">
        <is>
          <t>Göktyta
Tjäder</t>
        </is>
      </c>
      <c r="W463">
        <f>HYPERLINK("https://klasma.github.io/Logging_1764/artfynd/S 2219-2023 artfynd.xlsx", "S 2219-2023")</f>
        <v/>
      </c>
      <c r="X463">
        <f>HYPERLINK("https://klasma.github.io/Logging_1764/kartor/S 2219-2023 karta.png", "S 2219-2023")</f>
        <v/>
      </c>
      <c r="Y463">
        <f>HYPERLINK("https://klasma.github.io/Logging_1764/kartor_geotiff/S 2219-2023 georefererad karta.tif", "S 2219-2023")</f>
        <v/>
      </c>
      <c r="AA463">
        <f>HYPERLINK("https://klasma.github.io/Logging_1764/klagomål/S 2219-2023 FSC-klagomål.docx", "S 2219-2023")</f>
        <v/>
      </c>
      <c r="AB463">
        <f>HYPERLINK("https://klasma.github.io/Logging_1764/klagomålsmail/S 2219-2023 FSC-klagomål mail.docx", "S 2219-2023")</f>
        <v/>
      </c>
      <c r="AC463">
        <f>HYPERLINK("https://klasma.github.io/Logging_1764/tillsyn/S 2219-2023 tillsynsbegäran.docx", "S 2219-2023")</f>
        <v/>
      </c>
      <c r="AD463">
        <f>HYPERLINK("https://klasma.github.io/Logging_1764/tillsynsmail/S 2219-2023 tillsynsbegäran mail.docx", "S 2219-2023")</f>
        <v/>
      </c>
      <c r="AE463">
        <f>HYPERLINK("https://klasma.github.io/Logging_1764/fåglar/S 2219-2023 prioriterade fågelarter.docx", "S 2219-2023")</f>
        <v/>
      </c>
    </row>
    <row r="464" ht="15" customHeight="1">
      <c r="A464" t="inlineStr">
        <is>
          <t>S 6993-2022</t>
        </is>
      </c>
      <c r="B464" t="inlineStr">
        <is>
          <t>samrådsanmälan</t>
        </is>
      </c>
      <c r="C464" t="inlineStr">
        <is>
          <t>Askåterföring</t>
        </is>
      </c>
      <c r="D464" s="1" t="n">
        <v>44901</v>
      </c>
      <c r="E464" s="1" t="n">
        <v>46307</v>
      </c>
      <c r="F464" t="inlineStr">
        <is>
          <t>VÄRMLANDS LÄN</t>
        </is>
      </c>
      <c r="G464" t="inlineStr">
        <is>
          <t>GRUMS</t>
        </is>
      </c>
      <c r="H464" t="inlineStr">
        <is>
          <t>Bergvik skog väst AB</t>
        </is>
      </c>
      <c r="I464" t="n">
        <v>44.4</v>
      </c>
      <c r="J464" t="n">
        <v>2</v>
      </c>
      <c r="K464" t="n">
        <v>0</v>
      </c>
      <c r="L464" t="n">
        <v>0</v>
      </c>
      <c r="M464" t="n">
        <v>0</v>
      </c>
      <c r="N464" t="n">
        <v>0</v>
      </c>
      <c r="O464" t="n">
        <v>0</v>
      </c>
      <c r="P464" t="n">
        <v>0</v>
      </c>
      <c r="Q464" t="n">
        <v>0</v>
      </c>
      <c r="R464" t="n">
        <v>0</v>
      </c>
      <c r="S464" t="n">
        <v>2</v>
      </c>
      <c r="T464" t="n">
        <v>2</v>
      </c>
      <c r="U464" t="n">
        <v>2</v>
      </c>
      <c r="V464" s="2" t="inlineStr">
        <is>
          <t>Trana
Fläcknycklar</t>
        </is>
      </c>
      <c r="W464">
        <f>HYPERLINK("https://klasma.github.io/Logging_1764/artfynd/S 6993-2022 artfynd.xlsx", "S 6993-2022")</f>
        <v/>
      </c>
      <c r="X464">
        <f>HYPERLINK("https://klasma.github.io/Logging_1764/kartor/S 6993-2022 karta.png", "S 6993-2022")</f>
        <v/>
      </c>
      <c r="Y464">
        <f>HYPERLINK("https://klasma.github.io/Logging_1764/kartor_geotiff/S 6993-2022 georefererad karta.tif", "S 6993-2022")</f>
        <v/>
      </c>
      <c r="AA464">
        <f>HYPERLINK("https://klasma.github.io/Logging_1764/klagomål/S 6993-2022 FSC-klagomål.docx", "S 6993-2022")</f>
        <v/>
      </c>
      <c r="AB464">
        <f>HYPERLINK("https://klasma.github.io/Logging_1764/klagomålsmail/S 6993-2022 FSC-klagomål mail.docx", "S 6993-2022")</f>
        <v/>
      </c>
      <c r="AC464">
        <f>HYPERLINK("https://klasma.github.io/Logging_1764/tillsyn/S 6993-2022 tillsynsbegäran.docx", "S 6993-2022")</f>
        <v/>
      </c>
      <c r="AD464">
        <f>HYPERLINK("https://klasma.github.io/Logging_1764/tillsynsmail/S 6993-2022 tillsynsbegäran mail.docx", "S 6993-2022")</f>
        <v/>
      </c>
      <c r="AE464">
        <f>HYPERLINK("https://klasma.github.io/Logging_1764/fåglar/S 6993-2022 prioriterade fågelarter.docx", "S 6993-2022")</f>
        <v/>
      </c>
    </row>
    <row r="465" ht="15" customHeight="1">
      <c r="A465" t="inlineStr">
        <is>
          <t>S 3567-2024</t>
        </is>
      </c>
      <c r="B465" t="inlineStr">
        <is>
          <t>samrådsanmälan</t>
        </is>
      </c>
      <c r="C465" t="inlineStr">
        <is>
          <t>Annan skogsbruksåtgärd</t>
        </is>
      </c>
      <c r="D465" s="1" t="n">
        <v>45545</v>
      </c>
      <c r="E465" s="1" t="n">
        <v>46307</v>
      </c>
      <c r="F465" t="inlineStr">
        <is>
          <t>VÄRMLANDS LÄN</t>
        </is>
      </c>
      <c r="G465" t="inlineStr">
        <is>
          <t>EDA</t>
        </is>
      </c>
      <c r="I465" t="n">
        <v>7.5</v>
      </c>
      <c r="J465" t="n">
        <v>1</v>
      </c>
      <c r="K465" t="n">
        <v>0</v>
      </c>
      <c r="L465" t="n">
        <v>0</v>
      </c>
      <c r="M465" t="n">
        <v>1</v>
      </c>
      <c r="N465" t="n">
        <v>0</v>
      </c>
      <c r="O465" t="n">
        <v>0</v>
      </c>
      <c r="P465" t="n">
        <v>0</v>
      </c>
      <c r="Q465" t="n">
        <v>1</v>
      </c>
      <c r="R465" t="n">
        <v>1</v>
      </c>
      <c r="S465" t="n">
        <v>2</v>
      </c>
      <c r="T465" t="n">
        <v>2</v>
      </c>
      <c r="U465" t="n">
        <v>2</v>
      </c>
      <c r="V465" s="2" t="inlineStr">
        <is>
          <t>Garnlav
Buskskvätta</t>
        </is>
      </c>
      <c r="W465">
        <f>HYPERLINK("https://klasma.github.io/Logging_1730/artfynd/S 3567-2024 artfynd.xlsx", "S 3567-2024")</f>
        <v/>
      </c>
      <c r="X465">
        <f>HYPERLINK("https://klasma.github.io/Logging_1730/kartor/S 3567-2024 karta.png", "S 3567-2024")</f>
        <v/>
      </c>
      <c r="Y465">
        <f>HYPERLINK("https://klasma.github.io/Logging_1730/kartor_geotiff/S 3567-2024 georefererad karta.tif", "S 3567-2024")</f>
        <v/>
      </c>
      <c r="AA465">
        <f>HYPERLINK("https://klasma.github.io/Logging_1730/klagomål/S 3567-2024 FSC-klagomål.docx", "S 3567-2024")</f>
        <v/>
      </c>
      <c r="AB465">
        <f>HYPERLINK("https://klasma.github.io/Logging_1730/klagomålsmail/S 3567-2024 FSC-klagomål mail.docx", "S 3567-2024")</f>
        <v/>
      </c>
      <c r="AC465">
        <f>HYPERLINK("https://klasma.github.io/Logging_1730/tillsyn/S 3567-2024 tillsynsbegäran.docx", "S 3567-2024")</f>
        <v/>
      </c>
      <c r="AD465">
        <f>HYPERLINK("https://klasma.github.io/Logging_1730/tillsynsmail/S 3567-2024 tillsynsbegäran mail.docx", "S 3567-2024")</f>
        <v/>
      </c>
    </row>
    <row r="466" ht="15" customHeight="1">
      <c r="A466" t="inlineStr">
        <is>
          <t>S 4153-2023</t>
        </is>
      </c>
      <c r="B466" t="inlineStr">
        <is>
          <t>samrådsanmälan</t>
        </is>
      </c>
      <c r="C466" t="inlineStr">
        <is>
          <t>Skogsgödsling</t>
        </is>
      </c>
      <c r="D466" s="1" t="n">
        <v>45247</v>
      </c>
      <c r="E466" s="1" t="n">
        <v>46307</v>
      </c>
      <c r="F466" t="inlineStr">
        <is>
          <t>VÄRMLANDS LÄN</t>
        </is>
      </c>
      <c r="G466" t="inlineStr">
        <is>
          <t>HAGFORS</t>
        </is>
      </c>
      <c r="H466" t="inlineStr">
        <is>
          <t>Bergvik skog väst AB</t>
        </is>
      </c>
      <c r="I466" t="n">
        <v>17.2</v>
      </c>
      <c r="J466" t="n">
        <v>2</v>
      </c>
      <c r="K466" t="n">
        <v>0</v>
      </c>
      <c r="L466" t="n">
        <v>1</v>
      </c>
      <c r="M466" t="n">
        <v>0</v>
      </c>
      <c r="N466" t="n">
        <v>0</v>
      </c>
      <c r="O466" t="n">
        <v>0</v>
      </c>
      <c r="P466" t="n">
        <v>0</v>
      </c>
      <c r="Q466" t="n">
        <v>1</v>
      </c>
      <c r="R466" t="n">
        <v>0</v>
      </c>
      <c r="S466" t="n">
        <v>2</v>
      </c>
      <c r="T466" t="n">
        <v>3</v>
      </c>
      <c r="U466" t="n">
        <v>2</v>
      </c>
      <c r="V466" s="2" t="inlineStr">
        <is>
          <t>Sparvuggla
Orre</t>
        </is>
      </c>
      <c r="W466">
        <f>HYPERLINK("https://klasma.github.io/Logging_1783/artfynd/S 4153-2023 artfynd.xlsx", "S 4153-2023")</f>
        <v/>
      </c>
      <c r="X466">
        <f>HYPERLINK("https://klasma.github.io/Logging_1783/kartor/S 4153-2023 karta.png", "S 4153-2023")</f>
        <v/>
      </c>
      <c r="Y466">
        <f>HYPERLINK("https://klasma.github.io/Logging_1783/kartor_geotiff/S 4153-2023 georefererad karta.tif", "S 4153-2023")</f>
        <v/>
      </c>
      <c r="AA466">
        <f>HYPERLINK("https://klasma.github.io/Logging_1783/klagomål/S 4153-2023 FSC-klagomål.docx", "S 4153-2023")</f>
        <v/>
      </c>
      <c r="AB466">
        <f>HYPERLINK("https://klasma.github.io/Logging_1783/klagomålsmail/S 4153-2023 FSC-klagomål mail.docx", "S 4153-2023")</f>
        <v/>
      </c>
      <c r="AC466">
        <f>HYPERLINK("https://klasma.github.io/Logging_1783/tillsyn/S 4153-2023 tillsynsbegäran.docx", "S 4153-2023")</f>
        <v/>
      </c>
      <c r="AD466">
        <f>HYPERLINK("https://klasma.github.io/Logging_1783/tillsynsmail/S 4153-2023 tillsynsbegäran mail.docx", "S 4153-2023")</f>
        <v/>
      </c>
      <c r="AE466">
        <f>HYPERLINK("https://klasma.github.io/Logging_1783/fåglar/S 4153-2023 prioriterade fågelarter.docx", "S 4153-2023")</f>
        <v/>
      </c>
    </row>
    <row r="467" ht="15" customHeight="1">
      <c r="A467" t="inlineStr">
        <is>
          <t>S 1189-2025</t>
        </is>
      </c>
      <c r="B467" t="inlineStr">
        <is>
          <t>samrådsanmälan</t>
        </is>
      </c>
      <c r="C467" t="inlineStr">
        <is>
          <t>Skogsgödsling</t>
        </is>
      </c>
      <c r="D467" s="1" t="n">
        <v>45757</v>
      </c>
      <c r="E467" s="1" t="n">
        <v>46307</v>
      </c>
      <c r="F467" t="inlineStr">
        <is>
          <t>VÄRMLANDS LÄN</t>
        </is>
      </c>
      <c r="G467" t="inlineStr">
        <is>
          <t>TORSBY</t>
        </is>
      </c>
      <c r="I467" t="n">
        <v>107.5</v>
      </c>
      <c r="J467" t="n">
        <v>0</v>
      </c>
      <c r="K467" t="n">
        <v>0</v>
      </c>
      <c r="L467" t="n">
        <v>1</v>
      </c>
      <c r="M467" t="n">
        <v>1</v>
      </c>
      <c r="N467" t="n">
        <v>0</v>
      </c>
      <c r="O467" t="n">
        <v>0</v>
      </c>
      <c r="P467" t="n">
        <v>0</v>
      </c>
      <c r="Q467" t="n">
        <v>2</v>
      </c>
      <c r="R467" t="n">
        <v>1</v>
      </c>
      <c r="S467" t="n">
        <v>2</v>
      </c>
      <c r="T467" t="n">
        <v>17</v>
      </c>
      <c r="U467" t="n">
        <v>0</v>
      </c>
      <c r="V467" s="2" t="inlineStr">
        <is>
          <t>Raggbock
Bred trollknäppare</t>
        </is>
      </c>
      <c r="W467">
        <f>HYPERLINK("https://klasma.github.io/Logging_1737/artfynd/S 1189-2025 artfynd.xlsx", "S 1189-2025")</f>
        <v/>
      </c>
      <c r="X467">
        <f>HYPERLINK("https://klasma.github.io/Logging_1737/kartor/S 1189-2025 karta.png", "S 1189-2025")</f>
        <v/>
      </c>
      <c r="Y467">
        <f>HYPERLINK("https://klasma.github.io/Logging_1737/kartor_geotiff/S 1189-2025 georefererad karta.tif", "S 1189-2025")</f>
        <v/>
      </c>
      <c r="AA467">
        <f>HYPERLINK("https://klasma.github.io/Logging_1737/klagomål/S 1189-2025 FSC-klagomål.docx", "S 1189-2025")</f>
        <v/>
      </c>
      <c r="AB467">
        <f>HYPERLINK("https://klasma.github.io/Logging_1737/klagomålsmail/S 1189-2025 FSC-klagomål mail.docx", "S 1189-2025")</f>
        <v/>
      </c>
      <c r="AC467">
        <f>HYPERLINK("https://klasma.github.io/Logging_1737/tillsyn/S 1189-2025 tillsynsbegäran.docx", "S 1189-2025")</f>
        <v/>
      </c>
      <c r="AD467">
        <f>HYPERLINK("https://klasma.github.io/Logging_1737/tillsynsmail/S 1189-2025 tillsynsbegäran mail.docx", "S 1189-2025")</f>
        <v/>
      </c>
    </row>
    <row r="468" ht="15" customHeight="1">
      <c r="A468" t="inlineStr">
        <is>
          <t>S 3217-2025</t>
        </is>
      </c>
      <c r="B468" t="inlineStr">
        <is>
          <t>samrådsanmälan</t>
        </is>
      </c>
      <c r="C468" t="inlineStr">
        <is>
          <t>Annan skogsbruksåtgärd</t>
        </is>
      </c>
      <c r="D468" s="1" t="n">
        <v>45980</v>
      </c>
      <c r="E468" s="1" t="n">
        <v>46307</v>
      </c>
      <c r="F468" t="inlineStr">
        <is>
          <t>VÄRMLANDS LÄN</t>
        </is>
      </c>
      <c r="G468" t="inlineStr">
        <is>
          <t>HAMMARÖ</t>
        </is>
      </c>
      <c r="I468" t="n">
        <v>5.1</v>
      </c>
      <c r="J468" t="n">
        <v>2</v>
      </c>
      <c r="K468" t="n">
        <v>0</v>
      </c>
      <c r="L468" t="n">
        <v>0</v>
      </c>
      <c r="M468" t="n">
        <v>0</v>
      </c>
      <c r="N468" t="n">
        <v>0</v>
      </c>
      <c r="O468" t="n">
        <v>0</v>
      </c>
      <c r="P468" t="n">
        <v>0</v>
      </c>
      <c r="Q468" t="n">
        <v>0</v>
      </c>
      <c r="R468" t="n">
        <v>0</v>
      </c>
      <c r="S468" t="n">
        <v>2</v>
      </c>
      <c r="T468" t="n">
        <v>2</v>
      </c>
      <c r="U468" t="n">
        <v>0</v>
      </c>
      <c r="V468" s="2" t="inlineStr">
        <is>
          <t>Tjäder
Kungsfågel</t>
        </is>
      </c>
      <c r="W468">
        <f>HYPERLINK("https://klasma.github.io/Logging_1761/artfynd/S 3217-2025 artfynd.xlsx", "S 3217-2025")</f>
        <v/>
      </c>
      <c r="X468">
        <f>HYPERLINK("https://klasma.github.io/Logging_1761/kartor/S 3217-2025 karta.png", "S 3217-2025")</f>
        <v/>
      </c>
      <c r="Y468">
        <f>HYPERLINK("https://klasma.github.io/Logging_1761/kartor_geotiff/S 3217-2025 georefererad karta.tif", "S 3217-2025")</f>
        <v/>
      </c>
      <c r="Z468">
        <f>HYPERLINK("https://klasma.github.io/Logging_1761/knärot/S 3217-2025 karta knärot.png", "S 3217-2025")</f>
        <v/>
      </c>
      <c r="AA468">
        <f>HYPERLINK("https://klasma.github.io/Logging_1761/klagomål/S 3217-2025 FSC-klagomål.docx", "S 3217-2025")</f>
        <v/>
      </c>
      <c r="AB468">
        <f>HYPERLINK("https://klasma.github.io/Logging_1761/klagomålsmail/S 3217-2025 FSC-klagomål mail.docx", "S 3217-2025")</f>
        <v/>
      </c>
      <c r="AC468">
        <f>HYPERLINK("https://klasma.github.io/Logging_1761/tillsyn/S 3217-2025 tillsynsbegäran.docx", "S 3217-2025")</f>
        <v/>
      </c>
      <c r="AD468">
        <f>HYPERLINK("https://klasma.github.io/Logging_1761/tillsynsmail/S 3217-2025 tillsynsbegäran mail.docx", "S 3217-2025")</f>
        <v/>
      </c>
      <c r="AE468">
        <f>HYPERLINK("https://klasma.github.io/Logging_1761/fåglar/S 3217-2025 prioriterade fågelarter.docx", "S 3217-2025")</f>
        <v/>
      </c>
    </row>
    <row r="469" ht="15" customHeight="1">
      <c r="A469" t="inlineStr">
        <is>
          <t>S 24-2026</t>
        </is>
      </c>
      <c r="B469" t="inlineStr">
        <is>
          <t>samrådsanmälan</t>
        </is>
      </c>
      <c r="C469" t="inlineStr">
        <is>
          <t>Skogsgödsling</t>
        </is>
      </c>
      <c r="D469" s="1" t="n">
        <v>46009</v>
      </c>
      <c r="E469" s="1" t="n">
        <v>46307</v>
      </c>
      <c r="F469" t="inlineStr">
        <is>
          <t>VÄRMLANDS LÄN</t>
        </is>
      </c>
      <c r="G469" t="inlineStr">
        <is>
          <t>ARVIKA</t>
        </is>
      </c>
      <c r="H469" t="inlineStr">
        <is>
          <t>Bergvik skog väst AB</t>
        </is>
      </c>
      <c r="I469" t="n">
        <v>106.7</v>
      </c>
      <c r="J469" t="n">
        <v>2</v>
      </c>
      <c r="K469" t="n">
        <v>0</v>
      </c>
      <c r="L469" t="n">
        <v>0</v>
      </c>
      <c r="M469" t="n">
        <v>0</v>
      </c>
      <c r="N469" t="n">
        <v>0</v>
      </c>
      <c r="O469" t="n">
        <v>0</v>
      </c>
      <c r="P469" t="n">
        <v>0</v>
      </c>
      <c r="Q469" t="n">
        <v>0</v>
      </c>
      <c r="R469" t="n">
        <v>0</v>
      </c>
      <c r="S469" t="n">
        <v>2</v>
      </c>
      <c r="T469" t="n">
        <v>2</v>
      </c>
      <c r="U469" t="n">
        <v>0</v>
      </c>
      <c r="V469" s="2" t="inlineStr">
        <is>
          <t>Blåsippa
Havsörn</t>
        </is>
      </c>
      <c r="W469">
        <f>HYPERLINK("https://klasma.github.io/Logging_1784/artfynd/S 24-2026 artfynd.xlsx", "S 24-2026")</f>
        <v/>
      </c>
      <c r="X469">
        <f>HYPERLINK("https://klasma.github.io/Logging_1784/kartor/S 24-2026 karta.png", "S 24-2026")</f>
        <v/>
      </c>
      <c r="Y469">
        <f>HYPERLINK("https://klasma.github.io/Logging_1784/kartor_geotiff/S 24-2026 georefererad karta.tif", "S 24-2026")</f>
        <v/>
      </c>
      <c r="AA469">
        <f>HYPERLINK("https://klasma.github.io/Logging_1784/klagomål/S 24-2026 FSC-klagomål.docx", "S 24-2026")</f>
        <v/>
      </c>
      <c r="AB469">
        <f>HYPERLINK("https://klasma.github.io/Logging_1784/klagomålsmail/S 24-2026 FSC-klagomål mail.docx", "S 24-2026")</f>
        <v/>
      </c>
      <c r="AC469">
        <f>HYPERLINK("https://klasma.github.io/Logging_1784/tillsyn/S 24-2026 tillsynsbegäran.docx", "S 24-2026")</f>
        <v/>
      </c>
      <c r="AD469">
        <f>HYPERLINK("https://klasma.github.io/Logging_1784/tillsynsmail/S 24-2026 tillsynsbegäran mail.docx", "S 24-2026")</f>
        <v/>
      </c>
      <c r="AE469">
        <f>HYPERLINK("https://klasma.github.io/Logging_1784/fåglar/S 24-2026 prioriterade fågelarter.docx", "S 24-2026")</f>
        <v/>
      </c>
    </row>
    <row r="470" ht="15" customHeight="1">
      <c r="A470" t="inlineStr">
        <is>
          <t>A 49705-2022</t>
        </is>
      </c>
      <c r="B470" t="inlineStr">
        <is>
          <t>avverkningsanmälan</t>
        </is>
      </c>
      <c r="C470" t="inlineStr">
        <is>
          <t>Föryngringsavverkning</t>
        </is>
      </c>
      <c r="D470" s="1" t="n">
        <v>44859</v>
      </c>
      <c r="E470" s="1" t="n">
        <v>46307</v>
      </c>
      <c r="F470" t="inlineStr">
        <is>
          <t>VÄRMLANDS LÄN</t>
        </is>
      </c>
      <c r="G470" t="inlineStr">
        <is>
          <t>SUNNE</t>
        </is>
      </c>
      <c r="H470" t="inlineStr">
        <is>
          <t>Kyrkan</t>
        </is>
      </c>
      <c r="I470" t="n">
        <v>2.9</v>
      </c>
      <c r="J470" t="n">
        <v>0</v>
      </c>
      <c r="K470" t="n">
        <v>1</v>
      </c>
      <c r="L470" t="n">
        <v>0</v>
      </c>
      <c r="M470" t="n">
        <v>0</v>
      </c>
      <c r="N470" t="n">
        <v>0</v>
      </c>
      <c r="O470" t="n">
        <v>0</v>
      </c>
      <c r="P470" t="n">
        <v>0</v>
      </c>
      <c r="Q470" t="n">
        <v>0</v>
      </c>
      <c r="R470" t="n">
        <v>0</v>
      </c>
      <c r="S470" t="n">
        <v>1</v>
      </c>
      <c r="T470" t="n">
        <v>1</v>
      </c>
      <c r="U470" t="n">
        <v>0</v>
      </c>
      <c r="V470" s="2" t="inlineStr">
        <is>
          <t>Vedticka</t>
        </is>
      </c>
      <c r="W470">
        <f>HYPERLINK("https://klasma.github.io/Logging_1766/artfynd/A 49705-2022 artfynd.xlsx", "A 49705-2022")</f>
        <v/>
      </c>
      <c r="X470">
        <f>HYPERLINK("https://klasma.github.io/Logging_1766/kartor/A 49705-2022 karta.png", "A 49705-2022")</f>
        <v/>
      </c>
      <c r="Y470">
        <f>HYPERLINK("https://klasma.github.io/Logging_1766/kartor_geotiff/A 49705-2022 georefererad karta.tif", "A 49705-2022")</f>
        <v/>
      </c>
      <c r="AA470">
        <f>HYPERLINK("https://klasma.github.io/Logging_1766/klagomål/A 49705-2022 FSC-klagomål.docx", "A 49705-2022")</f>
        <v/>
      </c>
      <c r="AB470">
        <f>HYPERLINK("https://klasma.github.io/Logging_1766/klagomålsmail/A 49705-2022 FSC-klagomål mail.docx", "A 49705-2022")</f>
        <v/>
      </c>
      <c r="AC470">
        <f>HYPERLINK("https://klasma.github.io/Logging_1766/tillsyn/A 49705-2022 tillsynsbegäran.docx", "A 49705-2022")</f>
        <v/>
      </c>
      <c r="AD470">
        <f>HYPERLINK("https://klasma.github.io/Logging_1766/tillsynsmail/A 49705-2022 tillsynsbegäran mail.docx", "A 49705-2022")</f>
        <v/>
      </c>
    </row>
    <row r="471" ht="15" customHeight="1">
      <c r="A471" t="inlineStr">
        <is>
          <t>A 63144-2021</t>
        </is>
      </c>
      <c r="B471" t="inlineStr">
        <is>
          <t>avverkningsanmälan</t>
        </is>
      </c>
      <c r="C471" t="inlineStr">
        <is>
          <t>Föryngringsavverkning</t>
        </is>
      </c>
      <c r="D471" s="1" t="n">
        <v>44505</v>
      </c>
      <c r="E471" s="1" t="n">
        <v>46307</v>
      </c>
      <c r="F471" t="inlineStr">
        <is>
          <t>VÄRMLANDS LÄN</t>
        </is>
      </c>
      <c r="G471" t="inlineStr">
        <is>
          <t>FILIPSTAD</t>
        </is>
      </c>
      <c r="I471" t="n">
        <v>24.3</v>
      </c>
      <c r="J471" t="n">
        <v>1</v>
      </c>
      <c r="K471" t="n">
        <v>0</v>
      </c>
      <c r="L471" t="n">
        <v>1</v>
      </c>
      <c r="M471" t="n">
        <v>0</v>
      </c>
      <c r="N471" t="n">
        <v>0</v>
      </c>
      <c r="O471" t="n">
        <v>0</v>
      </c>
      <c r="P471" t="n">
        <v>0</v>
      </c>
      <c r="Q471" t="n">
        <v>1</v>
      </c>
      <c r="R471" t="n">
        <v>0</v>
      </c>
      <c r="S471" t="n">
        <v>1</v>
      </c>
      <c r="T471" t="n">
        <v>2</v>
      </c>
      <c r="U471" t="n">
        <v>2</v>
      </c>
      <c r="V471" s="2" t="inlineStr">
        <is>
          <t>Kungsörn</t>
        </is>
      </c>
      <c r="W471">
        <f>HYPERLINK("https://klasma.github.io/Logging_1782/artfynd/A 63144-2021 artfynd.xlsx", "A 63144-2021")</f>
        <v/>
      </c>
      <c r="X471">
        <f>HYPERLINK("https://klasma.github.io/Logging_1782/kartor/A 63144-2021 karta.png", "A 63144-2021")</f>
        <v/>
      </c>
      <c r="Y471">
        <f>HYPERLINK("https://klasma.github.io/Logging_1782/kartor_geotiff/A 63144-2021 georefererad karta.tif", "A 63144-2021")</f>
        <v/>
      </c>
      <c r="AA471">
        <f>HYPERLINK("https://klasma.github.io/Logging_1782/klagomål/A 63144-2021 FSC-klagomål.docx", "A 63144-2021")</f>
        <v/>
      </c>
      <c r="AB471">
        <f>HYPERLINK("https://klasma.github.io/Logging_1782/klagomålsmail/A 63144-2021 FSC-klagomål mail.docx", "A 63144-2021")</f>
        <v/>
      </c>
      <c r="AC471">
        <f>HYPERLINK("https://klasma.github.io/Logging_1782/tillsyn/A 63144-2021 tillsynsbegäran.docx", "A 63144-2021")</f>
        <v/>
      </c>
      <c r="AD471">
        <f>HYPERLINK("https://klasma.github.io/Logging_1782/tillsynsmail/A 63144-2021 tillsynsbegäran mail.docx", "A 63144-2021")</f>
        <v/>
      </c>
      <c r="AE471">
        <f>HYPERLINK("https://klasma.github.io/Logging_1782/fåglar/A 63144-2021 prioriterade fågelarter.docx", "A 63144-2021")</f>
        <v/>
      </c>
    </row>
    <row r="472" ht="15" customHeight="1">
      <c r="A472" t="inlineStr">
        <is>
          <t>A 8614-2022</t>
        </is>
      </c>
      <c r="B472" t="inlineStr">
        <is>
          <t>avverkningsanmälan</t>
        </is>
      </c>
      <c r="C472" t="inlineStr">
        <is>
          <t>Föryngringsavverkning</t>
        </is>
      </c>
      <c r="D472" s="1" t="n">
        <v>44613</v>
      </c>
      <c r="E472" s="1" t="n">
        <v>46307</v>
      </c>
      <c r="F472" t="inlineStr">
        <is>
          <t>VÄRMLANDS LÄN</t>
        </is>
      </c>
      <c r="G472" t="inlineStr">
        <is>
          <t>ARVIKA</t>
        </is>
      </c>
      <c r="I472" t="n">
        <v>1.4</v>
      </c>
      <c r="J472" t="n">
        <v>0</v>
      </c>
      <c r="K472" t="n">
        <v>1</v>
      </c>
      <c r="L472" t="n">
        <v>0</v>
      </c>
      <c r="M472" t="n">
        <v>0</v>
      </c>
      <c r="N472" t="n">
        <v>0</v>
      </c>
      <c r="O472" t="n">
        <v>0</v>
      </c>
      <c r="P472" t="n">
        <v>0</v>
      </c>
      <c r="Q472" t="n">
        <v>0</v>
      </c>
      <c r="R472" t="n">
        <v>0</v>
      </c>
      <c r="S472" t="n">
        <v>1</v>
      </c>
      <c r="T472" t="n">
        <v>1</v>
      </c>
      <c r="U472" t="n">
        <v>0</v>
      </c>
      <c r="V472" s="2" t="inlineStr">
        <is>
          <t>Tibast</t>
        </is>
      </c>
      <c r="W472">
        <f>HYPERLINK("https://klasma.github.io/Logging_1784/artfynd/A 8614-2022 artfynd.xlsx", "A 8614-2022")</f>
        <v/>
      </c>
      <c r="X472">
        <f>HYPERLINK("https://klasma.github.io/Logging_1784/kartor/A 8614-2022 karta.png", "A 8614-2022")</f>
        <v/>
      </c>
      <c r="Y472">
        <f>HYPERLINK("https://klasma.github.io/Logging_1784/kartor_geotiff/A 8614-2022 georefererad karta.tif", "A 8614-2022")</f>
        <v/>
      </c>
      <c r="AA472">
        <f>HYPERLINK("https://klasma.github.io/Logging_1784/klagomål/A 8614-2022 FSC-klagomål.docx", "A 8614-2022")</f>
        <v/>
      </c>
      <c r="AB472">
        <f>HYPERLINK("https://klasma.github.io/Logging_1784/klagomålsmail/A 8614-2022 FSC-klagomål mail.docx", "A 8614-2022")</f>
        <v/>
      </c>
      <c r="AC472">
        <f>HYPERLINK("https://klasma.github.io/Logging_1784/tillsyn/A 8614-2022 tillsynsbegäran.docx", "A 8614-2022")</f>
        <v/>
      </c>
      <c r="AD472">
        <f>HYPERLINK("https://klasma.github.io/Logging_1784/tillsynsmail/A 8614-2022 tillsynsbegäran mail.docx", "A 8614-2022")</f>
        <v/>
      </c>
    </row>
    <row r="473" ht="15" customHeight="1">
      <c r="A473" t="inlineStr">
        <is>
          <t>A 20031-2022</t>
        </is>
      </c>
      <c r="B473" t="inlineStr">
        <is>
          <t>avverkningsanmälan</t>
        </is>
      </c>
      <c r="C473" t="inlineStr">
        <is>
          <t>Föryngringsavverkning</t>
        </is>
      </c>
      <c r="D473" s="1" t="n">
        <v>44697</v>
      </c>
      <c r="E473" s="1" t="n">
        <v>46307</v>
      </c>
      <c r="F473" t="inlineStr">
        <is>
          <t>VÄRMLANDS LÄN</t>
        </is>
      </c>
      <c r="G473" t="inlineStr">
        <is>
          <t>SUNNE</t>
        </is>
      </c>
      <c r="I473" t="n">
        <v>2.8</v>
      </c>
      <c r="J473" t="n">
        <v>0</v>
      </c>
      <c r="K473" t="n">
        <v>0</v>
      </c>
      <c r="L473" t="n">
        <v>1</v>
      </c>
      <c r="M473" t="n">
        <v>0</v>
      </c>
      <c r="N473" t="n">
        <v>0</v>
      </c>
      <c r="O473" t="n">
        <v>0</v>
      </c>
      <c r="P473" t="n">
        <v>0</v>
      </c>
      <c r="Q473" t="n">
        <v>1</v>
      </c>
      <c r="R473" t="n">
        <v>0</v>
      </c>
      <c r="S473" t="n">
        <v>1</v>
      </c>
      <c r="T473" t="n">
        <v>1</v>
      </c>
      <c r="U473" t="n">
        <v>0</v>
      </c>
      <c r="V473" s="2" t="inlineStr">
        <is>
          <t>Skogshare</t>
        </is>
      </c>
      <c r="W473">
        <f>HYPERLINK("https://klasma.github.io/Logging_1766/artfynd/A 20031-2022 artfynd.xlsx", "A 20031-2022")</f>
        <v/>
      </c>
      <c r="X473">
        <f>HYPERLINK("https://klasma.github.io/Logging_1766/kartor/A 20031-2022 karta.png", "A 20031-2022")</f>
        <v/>
      </c>
      <c r="Y473">
        <f>HYPERLINK("https://klasma.github.io/Logging_1766/kartor_geotiff/A 20031-2022 georefererad karta.tif", "A 20031-2022")</f>
        <v/>
      </c>
      <c r="AA473">
        <f>HYPERLINK("https://klasma.github.io/Logging_1766/klagomål/A 20031-2022 FSC-klagomål.docx", "A 20031-2022")</f>
        <v/>
      </c>
      <c r="AB473">
        <f>HYPERLINK("https://klasma.github.io/Logging_1766/klagomålsmail/A 20031-2022 FSC-klagomål mail.docx", "A 20031-2022")</f>
        <v/>
      </c>
      <c r="AC473">
        <f>HYPERLINK("https://klasma.github.io/Logging_1766/tillsyn/A 20031-2022 tillsynsbegäran.docx", "A 20031-2022")</f>
        <v/>
      </c>
      <c r="AD473">
        <f>HYPERLINK("https://klasma.github.io/Logging_1766/tillsynsmail/A 20031-2022 tillsynsbegäran mail.docx", "A 20031-2022")</f>
        <v/>
      </c>
    </row>
    <row r="474" ht="15" customHeight="1">
      <c r="A474" t="inlineStr">
        <is>
          <t>A 51965-2022</t>
        </is>
      </c>
      <c r="B474" t="inlineStr">
        <is>
          <t>avverkningsanmälan</t>
        </is>
      </c>
      <c r="C474" t="inlineStr">
        <is>
          <t>Föryngringsavverkning</t>
        </is>
      </c>
      <c r="D474" s="1" t="n">
        <v>44872</v>
      </c>
      <c r="E474" s="1" t="n">
        <v>46307</v>
      </c>
      <c r="F474" t="inlineStr">
        <is>
          <t>VÄRMLANDS LÄN</t>
        </is>
      </c>
      <c r="G474" t="inlineStr">
        <is>
          <t>ÅRJÄNG</t>
        </is>
      </c>
      <c r="I474" t="n">
        <v>0.6</v>
      </c>
      <c r="J474" t="n">
        <v>1</v>
      </c>
      <c r="K474" t="n">
        <v>0</v>
      </c>
      <c r="L474" t="n">
        <v>0</v>
      </c>
      <c r="M474" t="n">
        <v>0</v>
      </c>
      <c r="N474" t="n">
        <v>0</v>
      </c>
      <c r="O474" t="n">
        <v>0</v>
      </c>
      <c r="P474" t="n">
        <v>0</v>
      </c>
      <c r="Q474" t="n">
        <v>0</v>
      </c>
      <c r="R474" t="n">
        <v>0</v>
      </c>
      <c r="S474" t="n">
        <v>1</v>
      </c>
      <c r="T474" t="n">
        <v>1</v>
      </c>
      <c r="U474" t="n">
        <v>1</v>
      </c>
      <c r="V474" s="2" t="inlineStr">
        <is>
          <t>Revlummer</t>
        </is>
      </c>
      <c r="W474">
        <f>HYPERLINK("https://klasma.github.io/Logging_1765/artfynd/A 51965-2022 artfynd.xlsx", "A 51965-2022")</f>
        <v/>
      </c>
      <c r="X474">
        <f>HYPERLINK("https://klasma.github.io/Logging_1765/kartor/A 51965-2022 karta.png", "A 51965-2022")</f>
        <v/>
      </c>
      <c r="Y474">
        <f>HYPERLINK("https://klasma.github.io/Logging_1765/kartor_geotiff/A 51965-2022 georefererad karta.tif", "A 51965-2022")</f>
        <v/>
      </c>
      <c r="AA474">
        <f>HYPERLINK("https://klasma.github.io/Logging_1765/klagomål/A 51965-2022 FSC-klagomål.docx", "A 51965-2022")</f>
        <v/>
      </c>
      <c r="AB474">
        <f>HYPERLINK("https://klasma.github.io/Logging_1765/klagomålsmail/A 51965-2022 FSC-klagomål mail.docx", "A 51965-2022")</f>
        <v/>
      </c>
      <c r="AC474">
        <f>HYPERLINK("https://klasma.github.io/Logging_1765/tillsyn/A 51965-2022 tillsynsbegäran.docx", "A 51965-2022")</f>
        <v/>
      </c>
      <c r="AD474">
        <f>HYPERLINK("https://klasma.github.io/Logging_1765/tillsynsmail/A 51965-2022 tillsynsbegäran mail.docx", "A 51965-2022")</f>
        <v/>
      </c>
    </row>
    <row r="475" ht="15" customHeight="1">
      <c r="A475" t="inlineStr">
        <is>
          <t>A 3404-2022</t>
        </is>
      </c>
      <c r="B475" t="inlineStr">
        <is>
          <t>avverkningsanmälan</t>
        </is>
      </c>
      <c r="C475" t="inlineStr">
        <is>
          <t>Föryngringsavverkning</t>
        </is>
      </c>
      <c r="D475" s="1" t="n">
        <v>44585</v>
      </c>
      <c r="E475" s="1" t="n">
        <v>46307</v>
      </c>
      <c r="F475" t="inlineStr">
        <is>
          <t>VÄRMLANDS LÄN</t>
        </is>
      </c>
      <c r="G475" t="inlineStr">
        <is>
          <t>TORSBY</t>
        </is>
      </c>
      <c r="I475" t="n">
        <v>1</v>
      </c>
      <c r="J475" t="n">
        <v>0</v>
      </c>
      <c r="K475" t="n">
        <v>0</v>
      </c>
      <c r="L475" t="n">
        <v>1</v>
      </c>
      <c r="M475" t="n">
        <v>0</v>
      </c>
      <c r="N475" t="n">
        <v>0</v>
      </c>
      <c r="O475" t="n">
        <v>0</v>
      </c>
      <c r="P475" t="n">
        <v>0</v>
      </c>
      <c r="Q475" t="n">
        <v>1</v>
      </c>
      <c r="R475" t="n">
        <v>0</v>
      </c>
      <c r="S475" t="n">
        <v>1</v>
      </c>
      <c r="T475" t="n">
        <v>1</v>
      </c>
      <c r="U475" t="n">
        <v>1</v>
      </c>
      <c r="V475" s="2" t="inlineStr">
        <is>
          <t>Vedtrappmossa</t>
        </is>
      </c>
      <c r="W475">
        <f>HYPERLINK("https://klasma.github.io/Logging_1737/artfynd/A 3404-2022 artfynd.xlsx", "A 3404-2022")</f>
        <v/>
      </c>
      <c r="X475">
        <f>HYPERLINK("https://klasma.github.io/Logging_1737/kartor/A 3404-2022 karta.png", "A 3404-2022")</f>
        <v/>
      </c>
      <c r="Y475">
        <f>HYPERLINK("https://klasma.github.io/Logging_1737/kartor_geotiff/A 3404-2022 georefererad karta.tif", "A 3404-2022")</f>
        <v/>
      </c>
      <c r="AA475">
        <f>HYPERLINK("https://klasma.github.io/Logging_1737/klagomål/A 3404-2022 FSC-klagomål.docx", "A 3404-2022")</f>
        <v/>
      </c>
      <c r="AB475">
        <f>HYPERLINK("https://klasma.github.io/Logging_1737/klagomålsmail/A 3404-2022 FSC-klagomål mail.docx", "A 3404-2022")</f>
        <v/>
      </c>
      <c r="AC475">
        <f>HYPERLINK("https://klasma.github.io/Logging_1737/tillsyn/A 3404-2022 tillsynsbegäran.docx", "A 3404-2022")</f>
        <v/>
      </c>
      <c r="AD475">
        <f>HYPERLINK("https://klasma.github.io/Logging_1737/tillsynsmail/A 3404-2022 tillsynsbegäran mail.docx", "A 3404-2022")</f>
        <v/>
      </c>
    </row>
    <row r="476" ht="15" customHeight="1">
      <c r="A476" t="inlineStr">
        <is>
          <t>A 54143-2022</t>
        </is>
      </c>
      <c r="B476" t="inlineStr">
        <is>
          <t>avverkningsanmälan</t>
        </is>
      </c>
      <c r="C476" t="inlineStr">
        <is>
          <t>Föryngringsavverkning</t>
        </is>
      </c>
      <c r="D476" s="1" t="n">
        <v>44881</v>
      </c>
      <c r="E476" s="1" t="n">
        <v>46307</v>
      </c>
      <c r="F476" t="inlineStr">
        <is>
          <t>VÄRMLANDS LÄN</t>
        </is>
      </c>
      <c r="G476" t="inlineStr">
        <is>
          <t>TORSBY</t>
        </is>
      </c>
      <c r="I476" t="n">
        <v>1.1</v>
      </c>
      <c r="J476" t="n">
        <v>0</v>
      </c>
      <c r="K476" t="n">
        <v>0</v>
      </c>
      <c r="L476" t="n">
        <v>1</v>
      </c>
      <c r="M476" t="n">
        <v>0</v>
      </c>
      <c r="N476" t="n">
        <v>0</v>
      </c>
      <c r="O476" t="n">
        <v>0</v>
      </c>
      <c r="P476" t="n">
        <v>0</v>
      </c>
      <c r="Q476" t="n">
        <v>1</v>
      </c>
      <c r="R476" t="n">
        <v>0</v>
      </c>
      <c r="S476" t="n">
        <v>1</v>
      </c>
      <c r="T476" t="n">
        <v>1</v>
      </c>
      <c r="U476" t="n">
        <v>0</v>
      </c>
      <c r="V476" s="2" t="inlineStr">
        <is>
          <t>Dvärgbägarlav</t>
        </is>
      </c>
      <c r="W476">
        <f>HYPERLINK("https://klasma.github.io/Logging_1737/artfynd/A 54143-2022 artfynd.xlsx", "A 54143-2022")</f>
        <v/>
      </c>
      <c r="X476">
        <f>HYPERLINK("https://klasma.github.io/Logging_1737/kartor/A 54143-2022 karta.png", "A 54143-2022")</f>
        <v/>
      </c>
      <c r="Y476">
        <f>HYPERLINK("https://klasma.github.io/Logging_1737/kartor_geotiff/A 54143-2022 georefererad karta.tif", "A 54143-2022")</f>
        <v/>
      </c>
      <c r="AA476">
        <f>HYPERLINK("https://klasma.github.io/Logging_1737/klagomål/A 54143-2022 FSC-klagomål.docx", "A 54143-2022")</f>
        <v/>
      </c>
      <c r="AB476">
        <f>HYPERLINK("https://klasma.github.io/Logging_1737/klagomålsmail/A 54143-2022 FSC-klagomål mail.docx", "A 54143-2022")</f>
        <v/>
      </c>
      <c r="AC476">
        <f>HYPERLINK("https://klasma.github.io/Logging_1737/tillsyn/A 54143-2022 tillsynsbegäran.docx", "A 54143-2022")</f>
        <v/>
      </c>
      <c r="AD476">
        <f>HYPERLINK("https://klasma.github.io/Logging_1737/tillsynsmail/A 54143-2022 tillsynsbegäran mail.docx", "A 54143-2022")</f>
        <v/>
      </c>
    </row>
    <row r="477" ht="15" customHeight="1">
      <c r="A477" t="inlineStr">
        <is>
          <t>A 2997-2022</t>
        </is>
      </c>
      <c r="B477" t="inlineStr">
        <is>
          <t>avverkningsanmälan</t>
        </is>
      </c>
      <c r="C477" t="inlineStr">
        <is>
          <t>Föryngringsavverkning</t>
        </is>
      </c>
      <c r="D477" s="1" t="n">
        <v>44581</v>
      </c>
      <c r="E477" s="1" t="n">
        <v>46307</v>
      </c>
      <c r="F477" t="inlineStr">
        <is>
          <t>VÄRMLANDS LÄN</t>
        </is>
      </c>
      <c r="G477" t="inlineStr">
        <is>
          <t>KIL</t>
        </is>
      </c>
      <c r="I477" t="n">
        <v>1.9</v>
      </c>
      <c r="J477" t="n">
        <v>1</v>
      </c>
      <c r="K477" t="n">
        <v>0</v>
      </c>
      <c r="L477" t="n">
        <v>0</v>
      </c>
      <c r="M477" t="n">
        <v>0</v>
      </c>
      <c r="N477" t="n">
        <v>0</v>
      </c>
      <c r="O477" t="n">
        <v>0</v>
      </c>
      <c r="P477" t="n">
        <v>0</v>
      </c>
      <c r="Q477" t="n">
        <v>0</v>
      </c>
      <c r="R477" t="n">
        <v>0</v>
      </c>
      <c r="S477" t="n">
        <v>1</v>
      </c>
      <c r="T477" t="n">
        <v>1</v>
      </c>
      <c r="U477" t="n">
        <v>0</v>
      </c>
      <c r="V477" s="2" t="inlineStr">
        <is>
          <t>Mindre vattensalamander</t>
        </is>
      </c>
      <c r="W477">
        <f>HYPERLINK("https://klasma.github.io/Logging_1715/artfynd/A 2997-2022 artfynd.xlsx", "A 2997-2022")</f>
        <v/>
      </c>
      <c r="X477">
        <f>HYPERLINK("https://klasma.github.io/Logging_1715/kartor/A 2997-2022 karta.png", "A 2997-2022")</f>
        <v/>
      </c>
      <c r="Y477">
        <f>HYPERLINK("https://klasma.github.io/Logging_1715/kartor_geotiff/A 2997-2022 georefererad karta.tif", "A 2997-2022")</f>
        <v/>
      </c>
      <c r="AA477">
        <f>HYPERLINK("https://klasma.github.io/Logging_1715/klagomål/A 2997-2022 FSC-klagomål.docx", "A 2997-2022")</f>
        <v/>
      </c>
      <c r="AB477">
        <f>HYPERLINK("https://klasma.github.io/Logging_1715/klagomålsmail/A 2997-2022 FSC-klagomål mail.docx", "A 2997-2022")</f>
        <v/>
      </c>
      <c r="AC477">
        <f>HYPERLINK("https://klasma.github.io/Logging_1715/tillsyn/A 2997-2022 tillsynsbegäran.docx", "A 2997-2022")</f>
        <v/>
      </c>
      <c r="AD477">
        <f>HYPERLINK("https://klasma.github.io/Logging_1715/tillsynsmail/A 2997-2022 tillsynsbegäran mail.docx", "A 2997-2022")</f>
        <v/>
      </c>
    </row>
    <row r="478" ht="15" customHeight="1">
      <c r="A478" t="inlineStr">
        <is>
          <t>A 2998-2022</t>
        </is>
      </c>
      <c r="B478" t="inlineStr">
        <is>
          <t>avverkningsanmälan</t>
        </is>
      </c>
      <c r="C478" t="inlineStr">
        <is>
          <t>Föryngringsavverkning</t>
        </is>
      </c>
      <c r="D478" s="1" t="n">
        <v>44581</v>
      </c>
      <c r="E478" s="1" t="n">
        <v>46307</v>
      </c>
      <c r="F478" t="inlineStr">
        <is>
          <t>VÄRMLANDS LÄN</t>
        </is>
      </c>
      <c r="G478" t="inlineStr">
        <is>
          <t>KIL</t>
        </is>
      </c>
      <c r="I478" t="n">
        <v>7.3</v>
      </c>
      <c r="J478" t="n">
        <v>1</v>
      </c>
      <c r="K478" t="n">
        <v>0</v>
      </c>
      <c r="L478" t="n">
        <v>0</v>
      </c>
      <c r="M478" t="n">
        <v>0</v>
      </c>
      <c r="N478" t="n">
        <v>0</v>
      </c>
      <c r="O478" t="n">
        <v>0</v>
      </c>
      <c r="P478" t="n">
        <v>0</v>
      </c>
      <c r="Q478" t="n">
        <v>0</v>
      </c>
      <c r="R478" t="n">
        <v>0</v>
      </c>
      <c r="S478" t="n">
        <v>1</v>
      </c>
      <c r="T478" t="n">
        <v>1</v>
      </c>
      <c r="U478" t="n">
        <v>0</v>
      </c>
      <c r="V478" s="2" t="inlineStr">
        <is>
          <t>Mindre vattensalamander</t>
        </is>
      </c>
      <c r="W478">
        <f>HYPERLINK("https://klasma.github.io/Logging_1715/artfynd/A 2998-2022 artfynd.xlsx", "A 2998-2022")</f>
        <v/>
      </c>
      <c r="X478">
        <f>HYPERLINK("https://klasma.github.io/Logging_1715/kartor/A 2998-2022 karta.png", "A 2998-2022")</f>
        <v/>
      </c>
      <c r="Y478">
        <f>HYPERLINK("https://klasma.github.io/Logging_1715/kartor_geotiff/A 2998-2022 georefererad karta.tif", "A 2998-2022")</f>
        <v/>
      </c>
      <c r="AA478">
        <f>HYPERLINK("https://klasma.github.io/Logging_1715/klagomål/A 2998-2022 FSC-klagomål.docx", "A 2998-2022")</f>
        <v/>
      </c>
      <c r="AB478">
        <f>HYPERLINK("https://klasma.github.io/Logging_1715/klagomålsmail/A 2998-2022 FSC-klagomål mail.docx", "A 2998-2022")</f>
        <v/>
      </c>
      <c r="AC478">
        <f>HYPERLINK("https://klasma.github.io/Logging_1715/tillsyn/A 2998-2022 tillsynsbegäran.docx", "A 2998-2022")</f>
        <v/>
      </c>
      <c r="AD478">
        <f>HYPERLINK("https://klasma.github.io/Logging_1715/tillsynsmail/A 2998-2022 tillsynsbegäran mail.docx", "A 2998-2022")</f>
        <v/>
      </c>
    </row>
    <row r="479" ht="15" customHeight="1">
      <c r="A479" t="inlineStr">
        <is>
          <t>A 19831-2022</t>
        </is>
      </c>
      <c r="B479" t="inlineStr">
        <is>
          <t>avverkningsanmälan</t>
        </is>
      </c>
      <c r="C479" t="inlineStr">
        <is>
          <t>Föryngringsavverkning</t>
        </is>
      </c>
      <c r="D479" s="1" t="n">
        <v>44695</v>
      </c>
      <c r="E479" s="1" t="n">
        <v>46307</v>
      </c>
      <c r="F479" t="inlineStr">
        <is>
          <t>VÄRMLANDS LÄN</t>
        </is>
      </c>
      <c r="G479" t="inlineStr">
        <is>
          <t>SUNNE</t>
        </is>
      </c>
      <c r="I479" t="n">
        <v>0.7</v>
      </c>
      <c r="J479" t="n">
        <v>0</v>
      </c>
      <c r="K479" t="n">
        <v>1</v>
      </c>
      <c r="L479" t="n">
        <v>0</v>
      </c>
      <c r="M479" t="n">
        <v>0</v>
      </c>
      <c r="N479" t="n">
        <v>0</v>
      </c>
      <c r="O479" t="n">
        <v>0</v>
      </c>
      <c r="P479" t="n">
        <v>0</v>
      </c>
      <c r="Q479" t="n">
        <v>0</v>
      </c>
      <c r="R479" t="n">
        <v>0</v>
      </c>
      <c r="S479" t="n">
        <v>1</v>
      </c>
      <c r="T479" t="n">
        <v>1</v>
      </c>
      <c r="U479" t="n">
        <v>1</v>
      </c>
      <c r="V479" s="2" t="inlineStr">
        <is>
          <t>Vågbandad barkbock</t>
        </is>
      </c>
      <c r="W479">
        <f>HYPERLINK("https://klasma.github.io/Logging_1766/artfynd/A 19831-2022 artfynd.xlsx", "A 19831-2022")</f>
        <v/>
      </c>
      <c r="X479">
        <f>HYPERLINK("https://klasma.github.io/Logging_1766/kartor/A 19831-2022 karta.png", "A 19831-2022")</f>
        <v/>
      </c>
      <c r="Y479">
        <f>HYPERLINK("https://klasma.github.io/Logging_1766/kartor_geotiff/A 19831-2022 georefererad karta.tif", "A 19831-2022")</f>
        <v/>
      </c>
      <c r="AA479">
        <f>HYPERLINK("https://klasma.github.io/Logging_1766/klagomål/A 19831-2022 FSC-klagomål.docx", "A 19831-2022")</f>
        <v/>
      </c>
      <c r="AB479">
        <f>HYPERLINK("https://klasma.github.io/Logging_1766/klagomålsmail/A 19831-2022 FSC-klagomål mail.docx", "A 19831-2022")</f>
        <v/>
      </c>
      <c r="AC479">
        <f>HYPERLINK("https://klasma.github.io/Logging_1766/tillsyn/A 19831-2022 tillsynsbegäran.docx", "A 19831-2022")</f>
        <v/>
      </c>
      <c r="AD479">
        <f>HYPERLINK("https://klasma.github.io/Logging_1766/tillsynsmail/A 19831-2022 tillsynsbegäran mail.docx", "A 19831-2022")</f>
        <v/>
      </c>
    </row>
    <row r="480" ht="15" customHeight="1">
      <c r="A480" t="inlineStr">
        <is>
          <t>A 2812-2022</t>
        </is>
      </c>
      <c r="B480" t="inlineStr">
        <is>
          <t>avverkningsanmälan</t>
        </is>
      </c>
      <c r="C480" t="inlineStr">
        <is>
          <t>Föryngringsavverkning</t>
        </is>
      </c>
      <c r="D480" s="1" t="n">
        <v>44581</v>
      </c>
      <c r="E480" s="1" t="n">
        <v>46307</v>
      </c>
      <c r="F480" t="inlineStr">
        <is>
          <t>VÄRMLANDS LÄN</t>
        </is>
      </c>
      <c r="G480" t="inlineStr">
        <is>
          <t>KARLSTAD</t>
        </is>
      </c>
      <c r="I480" t="n">
        <v>4.5</v>
      </c>
      <c r="J480" t="n">
        <v>0</v>
      </c>
      <c r="K480" t="n">
        <v>1</v>
      </c>
      <c r="L480" t="n">
        <v>0</v>
      </c>
      <c r="M480" t="n">
        <v>0</v>
      </c>
      <c r="N480" t="n">
        <v>0</v>
      </c>
      <c r="O480" t="n">
        <v>0</v>
      </c>
      <c r="P480" t="n">
        <v>0</v>
      </c>
      <c r="Q480" t="n">
        <v>0</v>
      </c>
      <c r="R480" t="n">
        <v>0</v>
      </c>
      <c r="S480" t="n">
        <v>1</v>
      </c>
      <c r="T480" t="n">
        <v>1</v>
      </c>
      <c r="U480" t="n">
        <v>0</v>
      </c>
      <c r="V480" s="2" t="inlineStr">
        <is>
          <t>Springkorn</t>
        </is>
      </c>
      <c r="W480">
        <f>HYPERLINK("https://klasma.github.io/Logging_1780/artfynd/A 2812-2022 artfynd.xlsx", "A 2812-2022")</f>
        <v/>
      </c>
      <c r="X480">
        <f>HYPERLINK("https://klasma.github.io/Logging_1780/kartor/A 2812-2022 karta.png", "A 2812-2022")</f>
        <v/>
      </c>
      <c r="Y480">
        <f>HYPERLINK("https://klasma.github.io/Logging_1780/kartor_geotiff/A 2812-2022 georefererad karta.tif", "A 2812-2022")</f>
        <v/>
      </c>
      <c r="AA480">
        <f>HYPERLINK("https://klasma.github.io/Logging_1780/klagomål/A 2812-2022 FSC-klagomål.docx", "A 2812-2022")</f>
        <v/>
      </c>
      <c r="AB480">
        <f>HYPERLINK("https://klasma.github.io/Logging_1780/klagomålsmail/A 2812-2022 FSC-klagomål mail.docx", "A 2812-2022")</f>
        <v/>
      </c>
      <c r="AC480">
        <f>HYPERLINK("https://klasma.github.io/Logging_1780/tillsyn/A 2812-2022 tillsynsbegäran.docx", "A 2812-2022")</f>
        <v/>
      </c>
      <c r="AD480">
        <f>HYPERLINK("https://klasma.github.io/Logging_1780/tillsynsmail/A 2812-2022 tillsynsbegäran mail.docx", "A 2812-2022")</f>
        <v/>
      </c>
    </row>
    <row r="481" ht="15" customHeight="1">
      <c r="A481" t="inlineStr">
        <is>
          <t>A 68497-2021</t>
        </is>
      </c>
      <c r="B481" t="inlineStr">
        <is>
          <t>avverkningsanmälan</t>
        </is>
      </c>
      <c r="C481" t="inlineStr">
        <is>
          <t>Föryngringsavverkning</t>
        </is>
      </c>
      <c r="D481" s="1" t="n">
        <v>44525</v>
      </c>
      <c r="E481" s="1" t="n">
        <v>46307</v>
      </c>
      <c r="F481" t="inlineStr">
        <is>
          <t>VÄRMLANDS LÄN</t>
        </is>
      </c>
      <c r="G481" t="inlineStr">
        <is>
          <t>KRISTINEHAMN</t>
        </is>
      </c>
      <c r="I481" t="n">
        <v>2</v>
      </c>
      <c r="J481" t="n">
        <v>0</v>
      </c>
      <c r="K481" t="n">
        <v>0</v>
      </c>
      <c r="L481" t="n">
        <v>0</v>
      </c>
      <c r="M481" t="n">
        <v>1</v>
      </c>
      <c r="N481" t="n">
        <v>0</v>
      </c>
      <c r="O481" t="n">
        <v>0</v>
      </c>
      <c r="P481" t="n">
        <v>0</v>
      </c>
      <c r="Q481" t="n">
        <v>1</v>
      </c>
      <c r="R481" t="n">
        <v>1</v>
      </c>
      <c r="S481" t="n">
        <v>1</v>
      </c>
      <c r="T481" t="n">
        <v>2</v>
      </c>
      <c r="U481" t="n">
        <v>1</v>
      </c>
      <c r="V481" s="2" t="inlineStr">
        <is>
          <t>Slåttergubbe</t>
        </is>
      </c>
      <c r="W481">
        <f>HYPERLINK("https://klasma.github.io/Logging_1781/artfynd/A 68497-2021 artfynd.xlsx", "A 68497-2021")</f>
        <v/>
      </c>
      <c r="X481">
        <f>HYPERLINK("https://klasma.github.io/Logging_1781/kartor/A 68497-2021 karta.png", "A 68497-2021")</f>
        <v/>
      </c>
      <c r="Y481">
        <f>HYPERLINK("https://klasma.github.io/Logging_1781/kartor_geotiff/A 68497-2021 georefererad karta.tif", "A 68497-2021")</f>
        <v/>
      </c>
      <c r="AA481">
        <f>HYPERLINK("https://klasma.github.io/Logging_1781/klagomål/A 68497-2021 FSC-klagomål.docx", "A 68497-2021")</f>
        <v/>
      </c>
      <c r="AB481">
        <f>HYPERLINK("https://klasma.github.io/Logging_1781/klagomålsmail/A 68497-2021 FSC-klagomål mail.docx", "A 68497-2021")</f>
        <v/>
      </c>
      <c r="AC481">
        <f>HYPERLINK("https://klasma.github.io/Logging_1781/tillsyn/A 68497-2021 tillsynsbegäran.docx", "A 68497-2021")</f>
        <v/>
      </c>
      <c r="AD481">
        <f>HYPERLINK("https://klasma.github.io/Logging_1781/tillsynsmail/A 68497-2021 tillsynsbegäran mail.docx", "A 68497-2021")</f>
        <v/>
      </c>
    </row>
    <row r="482" ht="15" customHeight="1">
      <c r="A482" t="inlineStr">
        <is>
          <t>A 31115-2022</t>
        </is>
      </c>
      <c r="B482" t="inlineStr">
        <is>
          <t>avverkningsanmälan</t>
        </is>
      </c>
      <c r="C482" t="inlineStr">
        <is>
          <t>Föryngringsavverkning</t>
        </is>
      </c>
      <c r="D482" s="1" t="n">
        <v>44769</v>
      </c>
      <c r="E482" s="1" t="n">
        <v>46307</v>
      </c>
      <c r="F482" t="inlineStr">
        <is>
          <t>VÄRMLANDS LÄN</t>
        </is>
      </c>
      <c r="G482" t="inlineStr">
        <is>
          <t>KRISTINEHAMN</t>
        </is>
      </c>
      <c r="I482" t="n">
        <v>0.5</v>
      </c>
      <c r="J482" t="n">
        <v>1</v>
      </c>
      <c r="K482" t="n">
        <v>0</v>
      </c>
      <c r="L482" t="n">
        <v>0</v>
      </c>
      <c r="M482" t="n">
        <v>0</v>
      </c>
      <c r="N482" t="n">
        <v>0</v>
      </c>
      <c r="O482" t="n">
        <v>0</v>
      </c>
      <c r="P482" t="n">
        <v>0</v>
      </c>
      <c r="Q482" t="n">
        <v>0</v>
      </c>
      <c r="R482" t="n">
        <v>0</v>
      </c>
      <c r="S482" t="n">
        <v>1</v>
      </c>
      <c r="T482" t="n">
        <v>1</v>
      </c>
      <c r="U482" t="n">
        <v>0</v>
      </c>
      <c r="V482" s="2" t="inlineStr">
        <is>
          <t>Vanlig padda</t>
        </is>
      </c>
      <c r="W482">
        <f>HYPERLINK("https://klasma.github.io/Logging_1781/artfynd/A 31115-2022 artfynd.xlsx", "A 31115-2022")</f>
        <v/>
      </c>
      <c r="X482">
        <f>HYPERLINK("https://klasma.github.io/Logging_1781/kartor/A 31115-2022 karta.png", "A 31115-2022")</f>
        <v/>
      </c>
      <c r="Y482">
        <f>HYPERLINK("https://klasma.github.io/Logging_1781/kartor_geotiff/A 31115-2022 georefererad karta.tif", "A 31115-2022")</f>
        <v/>
      </c>
      <c r="AA482">
        <f>HYPERLINK("https://klasma.github.io/Logging_1781/klagomål/A 31115-2022 FSC-klagomål.docx", "A 31115-2022")</f>
        <v/>
      </c>
      <c r="AB482">
        <f>HYPERLINK("https://klasma.github.io/Logging_1781/klagomålsmail/A 31115-2022 FSC-klagomål mail.docx", "A 31115-2022")</f>
        <v/>
      </c>
      <c r="AC482">
        <f>HYPERLINK("https://klasma.github.io/Logging_1781/tillsyn/A 31115-2022 tillsynsbegäran.docx", "A 31115-2022")</f>
        <v/>
      </c>
      <c r="AD482">
        <f>HYPERLINK("https://klasma.github.io/Logging_1781/tillsynsmail/A 31115-2022 tillsynsbegäran mail.docx", "A 31115-2022")</f>
        <v/>
      </c>
    </row>
    <row r="483" ht="15" customHeight="1">
      <c r="A483" t="inlineStr">
        <is>
          <t>A 33249-2022</t>
        </is>
      </c>
      <c r="B483" t="inlineStr">
        <is>
          <t>avverkningsanmälan</t>
        </is>
      </c>
      <c r="C483" t="inlineStr">
        <is>
          <t>Föryngringsavverkning</t>
        </is>
      </c>
      <c r="D483" s="1" t="n">
        <v>44787</v>
      </c>
      <c r="E483" s="1" t="n">
        <v>46307</v>
      </c>
      <c r="F483" t="inlineStr">
        <is>
          <t>VÄRMLANDS LÄN</t>
        </is>
      </c>
      <c r="G483" t="inlineStr">
        <is>
          <t>SÄFFLE</t>
        </is>
      </c>
      <c r="I483" t="n">
        <v>0.5</v>
      </c>
      <c r="J483" t="n">
        <v>0</v>
      </c>
      <c r="K483" t="n">
        <v>1</v>
      </c>
      <c r="L483" t="n">
        <v>0</v>
      </c>
      <c r="M483" t="n">
        <v>0</v>
      </c>
      <c r="N483" t="n">
        <v>0</v>
      </c>
      <c r="O483" t="n">
        <v>0</v>
      </c>
      <c r="P483" t="n">
        <v>0</v>
      </c>
      <c r="Q483" t="n">
        <v>0</v>
      </c>
      <c r="R483" t="n">
        <v>0</v>
      </c>
      <c r="S483" t="n">
        <v>1</v>
      </c>
      <c r="T483" t="n">
        <v>1</v>
      </c>
      <c r="U483" t="n">
        <v>0</v>
      </c>
      <c r="V483" s="2" t="inlineStr">
        <is>
          <t>Vätteros</t>
        </is>
      </c>
      <c r="W483">
        <f>HYPERLINK("https://klasma.github.io/Logging_1785/artfynd/A 33249-2022 artfynd.xlsx", "A 33249-2022")</f>
        <v/>
      </c>
      <c r="X483">
        <f>HYPERLINK("https://klasma.github.io/Logging_1785/kartor/A 33249-2022 karta.png", "A 33249-2022")</f>
        <v/>
      </c>
      <c r="Y483">
        <f>HYPERLINK("https://klasma.github.io/Logging_1785/kartor_geotiff/A 33249-2022 georefererad karta.tif", "A 33249-2022")</f>
        <v/>
      </c>
      <c r="AA483">
        <f>HYPERLINK("https://klasma.github.io/Logging_1785/klagomål/A 33249-2022 FSC-klagomål.docx", "A 33249-2022")</f>
        <v/>
      </c>
      <c r="AB483">
        <f>HYPERLINK("https://klasma.github.io/Logging_1785/klagomålsmail/A 33249-2022 FSC-klagomål mail.docx", "A 33249-2022")</f>
        <v/>
      </c>
      <c r="AC483">
        <f>HYPERLINK("https://klasma.github.io/Logging_1785/tillsyn/A 33249-2022 tillsynsbegäran.docx", "A 33249-2022")</f>
        <v/>
      </c>
      <c r="AD483">
        <f>HYPERLINK("https://klasma.github.io/Logging_1785/tillsynsmail/A 33249-2022 tillsynsbegäran mail.docx", "A 33249-2022")</f>
        <v/>
      </c>
    </row>
    <row r="484" ht="15" customHeight="1">
      <c r="A484" t="inlineStr">
        <is>
          <t>A 71594-2021</t>
        </is>
      </c>
      <c r="B484" t="inlineStr">
        <is>
          <t>avverkningsanmälan</t>
        </is>
      </c>
      <c r="C484" t="inlineStr">
        <is>
          <t>Föryngringsavverkning</t>
        </is>
      </c>
      <c r="D484" s="1" t="n">
        <v>44541</v>
      </c>
      <c r="E484" s="1" t="n">
        <v>46307</v>
      </c>
      <c r="F484" t="inlineStr">
        <is>
          <t>VÄRMLANDS LÄN</t>
        </is>
      </c>
      <c r="G484" t="inlineStr">
        <is>
          <t>TORSBY</t>
        </is>
      </c>
      <c r="I484" t="n">
        <v>13.1</v>
      </c>
      <c r="J484" t="n">
        <v>0</v>
      </c>
      <c r="K484" t="n">
        <v>0</v>
      </c>
      <c r="L484" t="n">
        <v>0</v>
      </c>
      <c r="M484" t="n">
        <v>1</v>
      </c>
      <c r="N484" t="n">
        <v>0</v>
      </c>
      <c r="O484" t="n">
        <v>0</v>
      </c>
      <c r="P484" t="n">
        <v>0</v>
      </c>
      <c r="Q484" t="n">
        <v>1</v>
      </c>
      <c r="R484" t="n">
        <v>1</v>
      </c>
      <c r="S484" t="n">
        <v>1</v>
      </c>
      <c r="T484" t="n">
        <v>1</v>
      </c>
      <c r="U484" t="n">
        <v>1</v>
      </c>
      <c r="V484" s="2" t="inlineStr">
        <is>
          <t>Garnlav</t>
        </is>
      </c>
      <c r="W484">
        <f>HYPERLINK("https://klasma.github.io/Logging_1737/artfynd/A 71594-2021 artfynd.xlsx", "A 71594-2021")</f>
        <v/>
      </c>
      <c r="X484">
        <f>HYPERLINK("https://klasma.github.io/Logging_1737/kartor/A 71594-2021 karta.png", "A 71594-2021")</f>
        <v/>
      </c>
      <c r="Y484">
        <f>HYPERLINK("https://klasma.github.io/Logging_1737/kartor_geotiff/A 71594-2021 georefererad karta.tif", "A 71594-2021")</f>
        <v/>
      </c>
      <c r="AA484">
        <f>HYPERLINK("https://klasma.github.io/Logging_1737/klagomål/A 71594-2021 FSC-klagomål.docx", "A 71594-2021")</f>
        <v/>
      </c>
      <c r="AB484">
        <f>HYPERLINK("https://klasma.github.io/Logging_1737/klagomålsmail/A 71594-2021 FSC-klagomål mail.docx", "A 71594-2021")</f>
        <v/>
      </c>
      <c r="AC484">
        <f>HYPERLINK("https://klasma.github.io/Logging_1737/tillsyn/A 71594-2021 tillsynsbegäran.docx", "A 71594-2021")</f>
        <v/>
      </c>
      <c r="AD484">
        <f>HYPERLINK("https://klasma.github.io/Logging_1737/tillsynsmail/A 71594-2021 tillsynsbegäran mail.docx", "A 71594-2021")</f>
        <v/>
      </c>
    </row>
    <row r="485" ht="15" customHeight="1">
      <c r="A485" t="inlineStr">
        <is>
          <t>A 1734-2022</t>
        </is>
      </c>
      <c r="B485" t="inlineStr">
        <is>
          <t>avverkningsanmälan</t>
        </is>
      </c>
      <c r="C485" t="inlineStr">
        <is>
          <t>Föryngringsavverkning</t>
        </is>
      </c>
      <c r="D485" s="1" t="n">
        <v>44574</v>
      </c>
      <c r="E485" s="1" t="n">
        <v>46307</v>
      </c>
      <c r="F485" t="inlineStr">
        <is>
          <t>VÄRMLANDS LÄN</t>
        </is>
      </c>
      <c r="G485" t="inlineStr">
        <is>
          <t>KRISTINEHAMN</t>
        </is>
      </c>
      <c r="I485" t="n">
        <v>4</v>
      </c>
      <c r="J485" t="n">
        <v>1</v>
      </c>
      <c r="K485" t="n">
        <v>0</v>
      </c>
      <c r="L485" t="n">
        <v>0</v>
      </c>
      <c r="M485" t="n">
        <v>0</v>
      </c>
      <c r="N485" t="n">
        <v>0</v>
      </c>
      <c r="O485" t="n">
        <v>0</v>
      </c>
      <c r="P485" t="n">
        <v>0</v>
      </c>
      <c r="Q485" t="n">
        <v>0</v>
      </c>
      <c r="R485" t="n">
        <v>0</v>
      </c>
      <c r="S485" t="n">
        <v>1</v>
      </c>
      <c r="T485" t="n">
        <v>1</v>
      </c>
      <c r="U485" t="n">
        <v>1</v>
      </c>
      <c r="V485" s="2" t="inlineStr">
        <is>
          <t>Hasselmus</t>
        </is>
      </c>
      <c r="W485">
        <f>HYPERLINK("https://klasma.github.io/Logging_1781/artfynd/A 1734-2022 artfynd.xlsx", "A 1734-2022")</f>
        <v/>
      </c>
      <c r="X485">
        <f>HYPERLINK("https://klasma.github.io/Logging_1781/kartor/A 1734-2022 karta.png", "A 1734-2022")</f>
        <v/>
      </c>
      <c r="Y485">
        <f>HYPERLINK("https://klasma.github.io/Logging_1781/kartor_geotiff/A 1734-2022 georefererad karta.tif", "A 1734-2022")</f>
        <v/>
      </c>
      <c r="AA485">
        <f>HYPERLINK("https://klasma.github.io/Logging_1781/klagomål/A 1734-2022 FSC-klagomål.docx", "A 1734-2022")</f>
        <v/>
      </c>
      <c r="AB485">
        <f>HYPERLINK("https://klasma.github.io/Logging_1781/klagomålsmail/A 1734-2022 FSC-klagomål mail.docx", "A 1734-2022")</f>
        <v/>
      </c>
      <c r="AC485">
        <f>HYPERLINK("https://klasma.github.io/Logging_1781/tillsyn/A 1734-2022 tillsynsbegäran.docx", "A 1734-2022")</f>
        <v/>
      </c>
      <c r="AD485">
        <f>HYPERLINK("https://klasma.github.io/Logging_1781/tillsynsmail/A 1734-2022 tillsynsbegäran mail.docx", "A 1734-2022")</f>
        <v/>
      </c>
    </row>
    <row r="486" ht="15" customHeight="1">
      <c r="A486" t="inlineStr">
        <is>
          <t>A 59760-2021</t>
        </is>
      </c>
      <c r="B486" t="inlineStr">
        <is>
          <t>avverkningsanmälan</t>
        </is>
      </c>
      <c r="C486" t="inlineStr">
        <is>
          <t>Föryngringsavverkning</t>
        </is>
      </c>
      <c r="D486" s="1" t="n">
        <v>44494</v>
      </c>
      <c r="E486" s="1" t="n">
        <v>46307</v>
      </c>
      <c r="F486" t="inlineStr">
        <is>
          <t>VÄRMLANDS LÄN</t>
        </is>
      </c>
      <c r="G486" t="inlineStr">
        <is>
          <t>GRUMS</t>
        </is>
      </c>
      <c r="I486" t="n">
        <v>1.9</v>
      </c>
      <c r="J486" t="n">
        <v>0</v>
      </c>
      <c r="K486" t="n">
        <v>1</v>
      </c>
      <c r="L486" t="n">
        <v>0</v>
      </c>
      <c r="M486" t="n">
        <v>0</v>
      </c>
      <c r="N486" t="n">
        <v>0</v>
      </c>
      <c r="O486" t="n">
        <v>0</v>
      </c>
      <c r="P486" t="n">
        <v>0</v>
      </c>
      <c r="Q486" t="n">
        <v>0</v>
      </c>
      <c r="R486" t="n">
        <v>0</v>
      </c>
      <c r="S486" t="n">
        <v>1</v>
      </c>
      <c r="T486" t="n">
        <v>1</v>
      </c>
      <c r="U486" t="n">
        <v>1</v>
      </c>
      <c r="V486" s="2" t="inlineStr">
        <is>
          <t>Bronshjon</t>
        </is>
      </c>
      <c r="W486">
        <f>HYPERLINK("https://klasma.github.io/Logging_1764/artfynd/A 59760-2021 artfynd.xlsx", "A 59760-2021")</f>
        <v/>
      </c>
      <c r="X486">
        <f>HYPERLINK("https://klasma.github.io/Logging_1764/kartor/A 59760-2021 karta.png", "A 59760-2021")</f>
        <v/>
      </c>
      <c r="Y486">
        <f>HYPERLINK("https://klasma.github.io/Logging_1764/kartor_geotiff/A 59760-2021 georefererad karta.tif", "A 59760-2021")</f>
        <v/>
      </c>
      <c r="AA486">
        <f>HYPERLINK("https://klasma.github.io/Logging_1764/klagomål/A 59760-2021 FSC-klagomål.docx", "A 59760-2021")</f>
        <v/>
      </c>
      <c r="AB486">
        <f>HYPERLINK("https://klasma.github.io/Logging_1764/klagomålsmail/A 59760-2021 FSC-klagomål mail.docx", "A 59760-2021")</f>
        <v/>
      </c>
      <c r="AC486">
        <f>HYPERLINK("https://klasma.github.io/Logging_1764/tillsyn/A 59760-2021 tillsynsbegäran.docx", "A 59760-2021")</f>
        <v/>
      </c>
      <c r="AD486">
        <f>HYPERLINK("https://klasma.github.io/Logging_1764/tillsynsmail/A 59760-2021 tillsynsbegäran mail.docx", "A 59760-2021")</f>
        <v/>
      </c>
    </row>
    <row r="487" ht="15" customHeight="1">
      <c r="A487" t="inlineStr">
        <is>
          <t>A 56532-2021</t>
        </is>
      </c>
      <c r="B487" t="inlineStr">
        <is>
          <t>avverkningsanmälan</t>
        </is>
      </c>
      <c r="C487" t="inlineStr">
        <is>
          <t>Avverkning för annat ändamål</t>
        </is>
      </c>
      <c r="D487" s="1" t="n">
        <v>44480</v>
      </c>
      <c r="E487" s="1" t="n">
        <v>46307</v>
      </c>
      <c r="F487" t="inlineStr">
        <is>
          <t>VÄRMLANDS LÄN</t>
        </is>
      </c>
      <c r="G487" t="inlineStr">
        <is>
          <t>FORSHAGA</t>
        </is>
      </c>
      <c r="I487" t="n">
        <v>0.3</v>
      </c>
      <c r="J487" t="n">
        <v>0</v>
      </c>
      <c r="K487" t="n">
        <v>0</v>
      </c>
      <c r="L487" t="n">
        <v>0</v>
      </c>
      <c r="M487" t="n">
        <v>1</v>
      </c>
      <c r="N487" t="n">
        <v>0</v>
      </c>
      <c r="O487" t="n">
        <v>0</v>
      </c>
      <c r="P487" t="n">
        <v>0</v>
      </c>
      <c r="Q487" t="n">
        <v>1</v>
      </c>
      <c r="R487" t="n">
        <v>1</v>
      </c>
      <c r="S487" t="n">
        <v>1</v>
      </c>
      <c r="T487" t="n">
        <v>1</v>
      </c>
      <c r="U487" t="n">
        <v>1</v>
      </c>
      <c r="V487" s="2" t="inlineStr">
        <is>
          <t>Igelkott</t>
        </is>
      </c>
      <c r="W487">
        <f>HYPERLINK("https://klasma.github.io/Logging_1763/artfynd/A 56532-2021 artfynd.xlsx", "A 56532-2021")</f>
        <v/>
      </c>
      <c r="X487">
        <f>HYPERLINK("https://klasma.github.io/Logging_1763/kartor/A 56532-2021 karta.png", "A 56532-2021")</f>
        <v/>
      </c>
      <c r="Y487">
        <f>HYPERLINK("https://klasma.github.io/Logging_1763/kartor_geotiff/A 56532-2021 georefererad karta.tif", "A 56532-2021")</f>
        <v/>
      </c>
      <c r="AA487">
        <f>HYPERLINK("https://klasma.github.io/Logging_1763/klagomål/A 56532-2021 FSC-klagomål.docx", "A 56532-2021")</f>
        <v/>
      </c>
      <c r="AB487">
        <f>HYPERLINK("https://klasma.github.io/Logging_1763/klagomålsmail/A 56532-2021 FSC-klagomål mail.docx", "A 56532-2021")</f>
        <v/>
      </c>
      <c r="AC487">
        <f>HYPERLINK("https://klasma.github.io/Logging_1763/tillsyn/A 56532-2021 tillsynsbegäran.docx", "A 56532-2021")</f>
        <v/>
      </c>
      <c r="AD487">
        <f>HYPERLINK("https://klasma.github.io/Logging_1763/tillsynsmail/A 56532-2021 tillsynsbegäran mail.docx", "A 56532-2021")</f>
        <v/>
      </c>
    </row>
    <row r="488" ht="15" customHeight="1">
      <c r="A488" t="inlineStr">
        <is>
          <t>A 64590-2021</t>
        </is>
      </c>
      <c r="B488" t="inlineStr">
        <is>
          <t>avverkningsanmälan</t>
        </is>
      </c>
      <c r="C488" t="inlineStr">
        <is>
          <t>Föryngringsavverkning</t>
        </is>
      </c>
      <c r="D488" s="1" t="n">
        <v>44511</v>
      </c>
      <c r="E488" s="1" t="n">
        <v>46307</v>
      </c>
      <c r="F488" t="inlineStr">
        <is>
          <t>VÄRMLANDS LÄN</t>
        </is>
      </c>
      <c r="G488" t="inlineStr">
        <is>
          <t>ARVIKA</t>
        </is>
      </c>
      <c r="I488" t="n">
        <v>4.1</v>
      </c>
      <c r="J488" t="n">
        <v>1</v>
      </c>
      <c r="K488" t="n">
        <v>0</v>
      </c>
      <c r="L488" t="n">
        <v>1</v>
      </c>
      <c r="M488" t="n">
        <v>0</v>
      </c>
      <c r="N488" t="n">
        <v>0</v>
      </c>
      <c r="O488" t="n">
        <v>0</v>
      </c>
      <c r="P488" t="n">
        <v>0</v>
      </c>
      <c r="Q488" t="n">
        <v>1</v>
      </c>
      <c r="R488" t="n">
        <v>0</v>
      </c>
      <c r="S488" t="n">
        <v>1</v>
      </c>
      <c r="T488" t="n">
        <v>1</v>
      </c>
      <c r="U488" t="n">
        <v>1</v>
      </c>
      <c r="V488" s="2" t="inlineStr">
        <is>
          <t>Tretåig hackspett</t>
        </is>
      </c>
      <c r="W488">
        <f>HYPERLINK("https://klasma.github.io/Logging_1784/artfynd/A 64590-2021 artfynd.xlsx", "A 64590-2021")</f>
        <v/>
      </c>
      <c r="X488">
        <f>HYPERLINK("https://klasma.github.io/Logging_1784/kartor/A 64590-2021 karta.png", "A 64590-2021")</f>
        <v/>
      </c>
      <c r="Y488">
        <f>HYPERLINK("https://klasma.github.io/Logging_1784/kartor_geotiff/A 64590-2021 georefererad karta.tif", "A 64590-2021")</f>
        <v/>
      </c>
      <c r="AA488">
        <f>HYPERLINK("https://klasma.github.io/Logging_1784/klagomål/A 64590-2021 FSC-klagomål.docx", "A 64590-2021")</f>
        <v/>
      </c>
      <c r="AB488">
        <f>HYPERLINK("https://klasma.github.io/Logging_1784/klagomålsmail/A 64590-2021 FSC-klagomål mail.docx", "A 64590-2021")</f>
        <v/>
      </c>
      <c r="AC488">
        <f>HYPERLINK("https://klasma.github.io/Logging_1784/tillsyn/A 64590-2021 tillsynsbegäran.docx", "A 64590-2021")</f>
        <v/>
      </c>
      <c r="AD488">
        <f>HYPERLINK("https://klasma.github.io/Logging_1784/tillsynsmail/A 64590-2021 tillsynsbegäran mail.docx", "A 64590-2021")</f>
        <v/>
      </c>
      <c r="AE488">
        <f>HYPERLINK("https://klasma.github.io/Logging_1784/fåglar/A 64590-2021 prioriterade fågelarter.docx", "A 64590-2021")</f>
        <v/>
      </c>
    </row>
    <row r="489" ht="15" customHeight="1">
      <c r="A489" t="inlineStr">
        <is>
          <t>A 8920-2022</t>
        </is>
      </c>
      <c r="B489" t="inlineStr">
        <is>
          <t>avverkningsanmälan</t>
        </is>
      </c>
      <c r="C489" t="inlineStr">
        <is>
          <t>Föryngringsavverkning</t>
        </is>
      </c>
      <c r="D489" s="1" t="n">
        <v>44614</v>
      </c>
      <c r="E489" s="1" t="n">
        <v>46307</v>
      </c>
      <c r="F489" t="inlineStr">
        <is>
          <t>VÄRMLANDS LÄN</t>
        </is>
      </c>
      <c r="G489" t="inlineStr">
        <is>
          <t>KRISTINEHAMN</t>
        </is>
      </c>
      <c r="I489" t="n">
        <v>6.2</v>
      </c>
      <c r="J489" t="n">
        <v>1</v>
      </c>
      <c r="K489" t="n">
        <v>0</v>
      </c>
      <c r="L489" t="n">
        <v>0</v>
      </c>
      <c r="M489" t="n">
        <v>0</v>
      </c>
      <c r="N489" t="n">
        <v>0</v>
      </c>
      <c r="O489" t="n">
        <v>0</v>
      </c>
      <c r="P489" t="n">
        <v>0</v>
      </c>
      <c r="Q489" t="n">
        <v>0</v>
      </c>
      <c r="R489" t="n">
        <v>0</v>
      </c>
      <c r="S489" t="n">
        <v>1</v>
      </c>
      <c r="T489" t="n">
        <v>1</v>
      </c>
      <c r="U489" t="n">
        <v>1</v>
      </c>
      <c r="V489" s="2" t="inlineStr">
        <is>
          <t>Fläcknycklar</t>
        </is>
      </c>
      <c r="W489">
        <f>HYPERLINK("https://klasma.github.io/Logging_1781/artfynd/A 8920-2022 artfynd.xlsx", "A 8920-2022")</f>
        <v/>
      </c>
      <c r="X489">
        <f>HYPERLINK("https://klasma.github.io/Logging_1781/kartor/A 8920-2022 karta.png", "A 8920-2022")</f>
        <v/>
      </c>
      <c r="Y489">
        <f>HYPERLINK("https://klasma.github.io/Logging_1781/kartor_geotiff/A 8920-2022 georefererad karta.tif", "A 8920-2022")</f>
        <v/>
      </c>
      <c r="AA489">
        <f>HYPERLINK("https://klasma.github.io/Logging_1781/klagomål/A 8920-2022 FSC-klagomål.docx", "A 8920-2022")</f>
        <v/>
      </c>
      <c r="AB489">
        <f>HYPERLINK("https://klasma.github.io/Logging_1781/klagomålsmail/A 8920-2022 FSC-klagomål mail.docx", "A 8920-2022")</f>
        <v/>
      </c>
      <c r="AC489">
        <f>HYPERLINK("https://klasma.github.io/Logging_1781/tillsyn/A 8920-2022 tillsynsbegäran.docx", "A 8920-2022")</f>
        <v/>
      </c>
      <c r="AD489">
        <f>HYPERLINK("https://klasma.github.io/Logging_1781/tillsynsmail/A 8920-2022 tillsynsbegäran mail.docx", "A 8920-2022")</f>
        <v/>
      </c>
    </row>
    <row r="490" ht="15" customHeight="1">
      <c r="A490" t="inlineStr">
        <is>
          <t>A 66274-2021</t>
        </is>
      </c>
      <c r="B490" t="inlineStr">
        <is>
          <t>avverkningsanmälan</t>
        </is>
      </c>
      <c r="C490" t="inlineStr">
        <is>
          <t>Föryngringsavverkning</t>
        </is>
      </c>
      <c r="D490" s="1" t="n">
        <v>44518</v>
      </c>
      <c r="E490" s="1" t="n">
        <v>46307</v>
      </c>
      <c r="F490" t="inlineStr">
        <is>
          <t>VÄRMLANDS LÄN</t>
        </is>
      </c>
      <c r="G490" t="inlineStr">
        <is>
          <t>KARLSTAD</t>
        </is>
      </c>
      <c r="I490" t="n">
        <v>2.5</v>
      </c>
      <c r="J490" t="n">
        <v>1</v>
      </c>
      <c r="K490" t="n">
        <v>0</v>
      </c>
      <c r="L490" t="n">
        <v>0</v>
      </c>
      <c r="M490" t="n">
        <v>0</v>
      </c>
      <c r="N490" t="n">
        <v>0</v>
      </c>
      <c r="O490" t="n">
        <v>0</v>
      </c>
      <c r="P490" t="n">
        <v>0</v>
      </c>
      <c r="Q490" t="n">
        <v>0</v>
      </c>
      <c r="R490" t="n">
        <v>0</v>
      </c>
      <c r="S490" t="n">
        <v>1</v>
      </c>
      <c r="T490" t="n">
        <v>1</v>
      </c>
      <c r="U490" t="n">
        <v>0</v>
      </c>
      <c r="V490" s="2" t="inlineStr">
        <is>
          <t>Nattviol</t>
        </is>
      </c>
      <c r="W490">
        <f>HYPERLINK("https://klasma.github.io/Logging_1780/artfynd/A 66274-2021 artfynd.xlsx", "A 66274-2021")</f>
        <v/>
      </c>
      <c r="X490">
        <f>HYPERLINK("https://klasma.github.io/Logging_1780/kartor/A 66274-2021 karta.png", "A 66274-2021")</f>
        <v/>
      </c>
      <c r="Y490">
        <f>HYPERLINK("https://klasma.github.io/Logging_1780/kartor_geotiff/A 66274-2021 georefererad karta.tif", "A 66274-2021")</f>
        <v/>
      </c>
      <c r="AA490">
        <f>HYPERLINK("https://klasma.github.io/Logging_1780/klagomål/A 66274-2021 FSC-klagomål.docx", "A 66274-2021")</f>
        <v/>
      </c>
      <c r="AB490">
        <f>HYPERLINK("https://klasma.github.io/Logging_1780/klagomålsmail/A 66274-2021 FSC-klagomål mail.docx", "A 66274-2021")</f>
        <v/>
      </c>
      <c r="AC490">
        <f>HYPERLINK("https://klasma.github.io/Logging_1780/tillsyn/A 66274-2021 tillsynsbegäran.docx", "A 66274-2021")</f>
        <v/>
      </c>
      <c r="AD490">
        <f>HYPERLINK("https://klasma.github.io/Logging_1780/tillsynsmail/A 66274-2021 tillsynsbegäran mail.docx", "A 66274-2021")</f>
        <v/>
      </c>
    </row>
    <row r="491" ht="15" customHeight="1">
      <c r="A491" t="inlineStr">
        <is>
          <t>A 31797-2022</t>
        </is>
      </c>
      <c r="B491" t="inlineStr">
        <is>
          <t>avverkningsanmälan</t>
        </is>
      </c>
      <c r="C491" t="inlineStr">
        <is>
          <t>Föryngringsavverkning</t>
        </is>
      </c>
      <c r="D491" s="1" t="n">
        <v>44776</v>
      </c>
      <c r="E491" s="1" t="n">
        <v>46307</v>
      </c>
      <c r="F491" t="inlineStr">
        <is>
          <t>VÄRMLANDS LÄN</t>
        </is>
      </c>
      <c r="G491" t="inlineStr">
        <is>
          <t>ARVIKA</t>
        </is>
      </c>
      <c r="I491" t="n">
        <v>1.2</v>
      </c>
      <c r="J491" t="n">
        <v>1</v>
      </c>
      <c r="K491" t="n">
        <v>0</v>
      </c>
      <c r="L491" t="n">
        <v>0</v>
      </c>
      <c r="M491" t="n">
        <v>0</v>
      </c>
      <c r="N491" t="n">
        <v>0</v>
      </c>
      <c r="O491" t="n">
        <v>0</v>
      </c>
      <c r="P491" t="n">
        <v>0</v>
      </c>
      <c r="Q491" t="n">
        <v>0</v>
      </c>
      <c r="R491" t="n">
        <v>0</v>
      </c>
      <c r="S491" t="n">
        <v>1</v>
      </c>
      <c r="T491" t="n">
        <v>1</v>
      </c>
      <c r="U491" t="n">
        <v>1</v>
      </c>
      <c r="V491" s="2" t="inlineStr">
        <is>
          <t>Gröngöling</t>
        </is>
      </c>
      <c r="W491">
        <f>HYPERLINK("https://klasma.github.io/Logging_1784/artfynd/A 31797-2022 artfynd.xlsx", "A 31797-2022")</f>
        <v/>
      </c>
      <c r="X491">
        <f>HYPERLINK("https://klasma.github.io/Logging_1784/kartor/A 31797-2022 karta.png", "A 31797-2022")</f>
        <v/>
      </c>
      <c r="Y491">
        <f>HYPERLINK("https://klasma.github.io/Logging_1784/kartor_geotiff/A 31797-2022 georefererad karta.tif", "A 31797-2022")</f>
        <v/>
      </c>
      <c r="AA491">
        <f>HYPERLINK("https://klasma.github.io/Logging_1784/klagomål/A 31797-2022 FSC-klagomål.docx", "A 31797-2022")</f>
        <v/>
      </c>
      <c r="AB491">
        <f>HYPERLINK("https://klasma.github.io/Logging_1784/klagomålsmail/A 31797-2022 FSC-klagomål mail.docx", "A 31797-2022")</f>
        <v/>
      </c>
      <c r="AC491">
        <f>HYPERLINK("https://klasma.github.io/Logging_1784/tillsyn/A 31797-2022 tillsynsbegäran.docx", "A 31797-2022")</f>
        <v/>
      </c>
      <c r="AD491">
        <f>HYPERLINK("https://klasma.github.io/Logging_1784/tillsynsmail/A 31797-2022 tillsynsbegäran mail.docx", "A 31797-2022")</f>
        <v/>
      </c>
    </row>
    <row r="492" ht="15" customHeight="1">
      <c r="A492" t="inlineStr">
        <is>
          <t>A 34357-2022</t>
        </is>
      </c>
      <c r="B492" t="inlineStr">
        <is>
          <t>avverkningsanmälan</t>
        </is>
      </c>
      <c r="C492" t="inlineStr">
        <is>
          <t>Avverkning för annat ändamål</t>
        </is>
      </c>
      <c r="D492" s="1" t="n">
        <v>44792</v>
      </c>
      <c r="E492" s="1" t="n">
        <v>46307</v>
      </c>
      <c r="F492" t="inlineStr">
        <is>
          <t>VÄRMLANDS LÄN</t>
        </is>
      </c>
      <c r="G492" t="inlineStr">
        <is>
          <t>GRUMS</t>
        </is>
      </c>
      <c r="I492" t="n">
        <v>15.3</v>
      </c>
      <c r="J492" t="n">
        <v>0</v>
      </c>
      <c r="K492" t="n">
        <v>0</v>
      </c>
      <c r="L492" t="n">
        <v>1</v>
      </c>
      <c r="M492" t="n">
        <v>0</v>
      </c>
      <c r="N492" t="n">
        <v>0</v>
      </c>
      <c r="O492" t="n">
        <v>0</v>
      </c>
      <c r="P492" t="n">
        <v>0</v>
      </c>
      <c r="Q492" t="n">
        <v>1</v>
      </c>
      <c r="R492" t="n">
        <v>0</v>
      </c>
      <c r="S492" t="n">
        <v>1</v>
      </c>
      <c r="T492" t="n">
        <v>1</v>
      </c>
      <c r="U492" t="n">
        <v>0</v>
      </c>
      <c r="V492" s="2" t="inlineStr">
        <is>
          <t>Skogsklocka</t>
        </is>
      </c>
      <c r="W492">
        <f>HYPERLINK("https://klasma.github.io/Logging_1764/artfynd/A 34357-2022 artfynd.xlsx", "A 34357-2022")</f>
        <v/>
      </c>
      <c r="X492">
        <f>HYPERLINK("https://klasma.github.io/Logging_1764/kartor/A 34357-2022 karta.png", "A 34357-2022")</f>
        <v/>
      </c>
      <c r="Y492">
        <f>HYPERLINK("https://klasma.github.io/Logging_1764/kartor_geotiff/A 34357-2022 georefererad karta.tif", "A 34357-2022")</f>
        <v/>
      </c>
      <c r="AA492">
        <f>HYPERLINK("https://klasma.github.io/Logging_1764/klagomål/A 34357-2022 FSC-klagomål.docx", "A 34357-2022")</f>
        <v/>
      </c>
      <c r="AB492">
        <f>HYPERLINK("https://klasma.github.io/Logging_1764/klagomålsmail/A 34357-2022 FSC-klagomål mail.docx", "A 34357-2022")</f>
        <v/>
      </c>
      <c r="AC492">
        <f>HYPERLINK("https://klasma.github.io/Logging_1764/tillsyn/A 34357-2022 tillsynsbegäran.docx", "A 34357-2022")</f>
        <v/>
      </c>
      <c r="AD492">
        <f>HYPERLINK("https://klasma.github.io/Logging_1764/tillsynsmail/A 34357-2022 tillsynsbegäran mail.docx", "A 34357-2022")</f>
        <v/>
      </c>
    </row>
    <row r="493" ht="15" customHeight="1">
      <c r="A493" t="inlineStr">
        <is>
          <t>A 6294-2022</t>
        </is>
      </c>
      <c r="B493" t="inlineStr">
        <is>
          <t>avverkningsanmälan</t>
        </is>
      </c>
      <c r="C493" t="inlineStr">
        <is>
          <t>Föryngringsavverkning</t>
        </is>
      </c>
      <c r="D493" s="1" t="n">
        <v>44601</v>
      </c>
      <c r="E493" s="1" t="n">
        <v>46307</v>
      </c>
      <c r="F493" t="inlineStr">
        <is>
          <t>VÄRMLANDS LÄN</t>
        </is>
      </c>
      <c r="G493" t="inlineStr">
        <is>
          <t>FORSHAGA</t>
        </is>
      </c>
      <c r="I493" t="n">
        <v>3.2</v>
      </c>
      <c r="J493" t="n">
        <v>1</v>
      </c>
      <c r="K493" t="n">
        <v>0</v>
      </c>
      <c r="L493" t="n">
        <v>0</v>
      </c>
      <c r="M493" t="n">
        <v>0</v>
      </c>
      <c r="N493" t="n">
        <v>0</v>
      </c>
      <c r="O493" t="n">
        <v>0</v>
      </c>
      <c r="P493" t="n">
        <v>0</v>
      </c>
      <c r="Q493" t="n">
        <v>0</v>
      </c>
      <c r="R493" t="n">
        <v>0</v>
      </c>
      <c r="S493" t="n">
        <v>1</v>
      </c>
      <c r="T493" t="n">
        <v>1</v>
      </c>
      <c r="U493" t="n">
        <v>1</v>
      </c>
      <c r="V493" s="2" t="inlineStr">
        <is>
          <t>Spillkråka</t>
        </is>
      </c>
      <c r="W493">
        <f>HYPERLINK("https://klasma.github.io/Logging_1763/artfynd/A 6294-2022 artfynd.xlsx", "A 6294-2022")</f>
        <v/>
      </c>
      <c r="X493">
        <f>HYPERLINK("https://klasma.github.io/Logging_1763/kartor/A 6294-2022 karta.png", "A 6294-2022")</f>
        <v/>
      </c>
      <c r="Y493">
        <f>HYPERLINK("https://klasma.github.io/Logging_1763/kartor_geotiff/A 6294-2022 georefererad karta.tif", "A 6294-2022")</f>
        <v/>
      </c>
      <c r="AA493">
        <f>HYPERLINK("https://klasma.github.io/Logging_1763/klagomål/A 6294-2022 FSC-klagomål.docx", "A 6294-2022")</f>
        <v/>
      </c>
      <c r="AB493">
        <f>HYPERLINK("https://klasma.github.io/Logging_1763/klagomålsmail/A 6294-2022 FSC-klagomål mail.docx", "A 6294-2022")</f>
        <v/>
      </c>
      <c r="AC493">
        <f>HYPERLINK("https://klasma.github.io/Logging_1763/tillsyn/A 6294-2022 tillsynsbegäran.docx", "A 6294-2022")</f>
        <v/>
      </c>
      <c r="AD493">
        <f>HYPERLINK("https://klasma.github.io/Logging_1763/tillsynsmail/A 6294-2022 tillsynsbegäran mail.docx", "A 6294-2022")</f>
        <v/>
      </c>
      <c r="AE493">
        <f>HYPERLINK("https://klasma.github.io/Logging_1763/fåglar/A 6294-2022 prioriterade fågelarter.docx", "A 6294-2022")</f>
        <v/>
      </c>
    </row>
    <row r="494" ht="15" customHeight="1">
      <c r="A494" t="inlineStr">
        <is>
          <t>A 68490-2021</t>
        </is>
      </c>
      <c r="B494" t="inlineStr">
        <is>
          <t>avverkningsanmälan</t>
        </is>
      </c>
      <c r="C494" t="inlineStr">
        <is>
          <t>Föryngringsavverkning</t>
        </is>
      </c>
      <c r="D494" s="1" t="n">
        <v>44525</v>
      </c>
      <c r="E494" s="1" t="n">
        <v>46307</v>
      </c>
      <c r="F494" t="inlineStr">
        <is>
          <t>VÄRMLANDS LÄN</t>
        </is>
      </c>
      <c r="G494" t="inlineStr">
        <is>
          <t>KRISTINEHAMN</t>
        </is>
      </c>
      <c r="I494" t="n">
        <v>1.8</v>
      </c>
      <c r="J494" t="n">
        <v>0</v>
      </c>
      <c r="K494" t="n">
        <v>0</v>
      </c>
      <c r="L494" t="n">
        <v>0</v>
      </c>
      <c r="M494" t="n">
        <v>1</v>
      </c>
      <c r="N494" t="n">
        <v>0</v>
      </c>
      <c r="O494" t="n">
        <v>0</v>
      </c>
      <c r="P494" t="n">
        <v>0</v>
      </c>
      <c r="Q494" t="n">
        <v>1</v>
      </c>
      <c r="R494" t="n">
        <v>1</v>
      </c>
      <c r="S494" t="n">
        <v>1</v>
      </c>
      <c r="T494" t="n">
        <v>1</v>
      </c>
      <c r="U494" t="n">
        <v>1</v>
      </c>
      <c r="V494" s="2" t="inlineStr">
        <is>
          <t>Igelkott</t>
        </is>
      </c>
      <c r="W494">
        <f>HYPERLINK("https://klasma.github.io/Logging_1781/artfynd/A 68490-2021 artfynd.xlsx", "A 68490-2021")</f>
        <v/>
      </c>
      <c r="X494">
        <f>HYPERLINK("https://klasma.github.io/Logging_1781/kartor/A 68490-2021 karta.png", "A 68490-2021")</f>
        <v/>
      </c>
      <c r="Y494">
        <f>HYPERLINK("https://klasma.github.io/Logging_1781/kartor_geotiff/A 68490-2021 georefererad karta.tif", "A 68490-2021")</f>
        <v/>
      </c>
      <c r="AA494">
        <f>HYPERLINK("https://klasma.github.io/Logging_1781/klagomål/A 68490-2021 FSC-klagomål.docx", "A 68490-2021")</f>
        <v/>
      </c>
      <c r="AB494">
        <f>HYPERLINK("https://klasma.github.io/Logging_1781/klagomålsmail/A 68490-2021 FSC-klagomål mail.docx", "A 68490-2021")</f>
        <v/>
      </c>
      <c r="AC494">
        <f>HYPERLINK("https://klasma.github.io/Logging_1781/tillsyn/A 68490-2021 tillsynsbegäran.docx", "A 68490-2021")</f>
        <v/>
      </c>
      <c r="AD494">
        <f>HYPERLINK("https://klasma.github.io/Logging_1781/tillsynsmail/A 68490-2021 tillsynsbegäran mail.docx", "A 68490-2021")</f>
        <v/>
      </c>
    </row>
    <row r="495" ht="15" customHeight="1">
      <c r="A495" t="inlineStr">
        <is>
          <t>A 45938-2022</t>
        </is>
      </c>
      <c r="B495" t="inlineStr">
        <is>
          <t>avverkningsanmälan</t>
        </is>
      </c>
      <c r="C495" t="inlineStr">
        <is>
          <t>Föryngringsavverkning</t>
        </is>
      </c>
      <c r="D495" s="1" t="n">
        <v>44846</v>
      </c>
      <c r="E495" s="1" t="n">
        <v>46307</v>
      </c>
      <c r="F495" t="inlineStr">
        <is>
          <t>VÄRMLANDS LÄN</t>
        </is>
      </c>
      <c r="G495" t="inlineStr">
        <is>
          <t>ÅRJÄNG</t>
        </is>
      </c>
      <c r="I495" t="n">
        <v>4.4</v>
      </c>
      <c r="J495" t="n">
        <v>1</v>
      </c>
      <c r="K495" t="n">
        <v>0</v>
      </c>
      <c r="L495" t="n">
        <v>0</v>
      </c>
      <c r="M495" t="n">
        <v>1</v>
      </c>
      <c r="N495" t="n">
        <v>0</v>
      </c>
      <c r="O495" t="n">
        <v>0</v>
      </c>
      <c r="P495" t="n">
        <v>0</v>
      </c>
      <c r="Q495" t="n">
        <v>1</v>
      </c>
      <c r="R495" t="n">
        <v>1</v>
      </c>
      <c r="S495" t="n">
        <v>1</v>
      </c>
      <c r="T495" t="n">
        <v>1</v>
      </c>
      <c r="U495" t="n">
        <v>1</v>
      </c>
      <c r="V495" s="2" t="inlineStr">
        <is>
          <t>Knärot</t>
        </is>
      </c>
      <c r="W495">
        <f>HYPERLINK("https://klasma.github.io/Logging_1765/artfynd/A 45938-2022 artfynd.xlsx", "A 45938-2022")</f>
        <v/>
      </c>
      <c r="X495">
        <f>HYPERLINK("https://klasma.github.io/Logging_1765/kartor/A 45938-2022 karta.png", "A 45938-2022")</f>
        <v/>
      </c>
      <c r="Y495">
        <f>HYPERLINK("https://klasma.github.io/Logging_1765/kartor_geotiff/A 45938-2022 georefererad karta.tif", "A 45938-2022")</f>
        <v/>
      </c>
      <c r="Z495">
        <f>HYPERLINK("https://klasma.github.io/Logging_1765/knärot/A 45938-2022 karta knärot.png", "A 45938-2022")</f>
        <v/>
      </c>
      <c r="AA495">
        <f>HYPERLINK("https://klasma.github.io/Logging_1765/klagomål/A 45938-2022 FSC-klagomål.docx", "A 45938-2022")</f>
        <v/>
      </c>
      <c r="AB495">
        <f>HYPERLINK("https://klasma.github.io/Logging_1765/klagomålsmail/A 45938-2022 FSC-klagomål mail.docx", "A 45938-2022")</f>
        <v/>
      </c>
      <c r="AC495">
        <f>HYPERLINK("https://klasma.github.io/Logging_1765/tillsyn/A 45938-2022 tillsynsbegäran.docx", "A 45938-2022")</f>
        <v/>
      </c>
      <c r="AD495">
        <f>HYPERLINK("https://klasma.github.io/Logging_1765/tillsynsmail/A 45938-2022 tillsynsbegäran mail.docx", "A 45938-2022")</f>
        <v/>
      </c>
    </row>
    <row r="496" ht="15" customHeight="1">
      <c r="A496" t="inlineStr">
        <is>
          <t>A 3382-2022</t>
        </is>
      </c>
      <c r="B496" t="inlineStr">
        <is>
          <t>avverkningsanmälan</t>
        </is>
      </c>
      <c r="C496" t="inlineStr">
        <is>
          <t>Föryngringsavverkning</t>
        </is>
      </c>
      <c r="D496" s="1" t="n">
        <v>44585</v>
      </c>
      <c r="E496" s="1" t="n">
        <v>46307</v>
      </c>
      <c r="F496" t="inlineStr">
        <is>
          <t>VÄRMLANDS LÄN</t>
        </is>
      </c>
      <c r="G496" t="inlineStr">
        <is>
          <t>TORSBY</t>
        </is>
      </c>
      <c r="I496" t="n">
        <v>0.6</v>
      </c>
      <c r="J496" t="n">
        <v>1</v>
      </c>
      <c r="K496" t="n">
        <v>0</v>
      </c>
      <c r="L496" t="n">
        <v>0</v>
      </c>
      <c r="M496" t="n">
        <v>0</v>
      </c>
      <c r="N496" t="n">
        <v>1</v>
      </c>
      <c r="O496" t="n">
        <v>0</v>
      </c>
      <c r="P496" t="n">
        <v>0</v>
      </c>
      <c r="Q496" t="n">
        <v>1</v>
      </c>
      <c r="R496" t="n">
        <v>1</v>
      </c>
      <c r="S496" t="n">
        <v>1</v>
      </c>
      <c r="T496" t="n">
        <v>1</v>
      </c>
      <c r="U496" t="n">
        <v>1</v>
      </c>
      <c r="V496" s="2" t="inlineStr">
        <is>
          <t>Bombmurkla</t>
        </is>
      </c>
      <c r="W496">
        <f>HYPERLINK("https://klasma.github.io/Logging_1737/artfynd/A 3382-2022 artfynd.xlsx", "A 3382-2022")</f>
        <v/>
      </c>
      <c r="X496">
        <f>HYPERLINK("https://klasma.github.io/Logging_1737/kartor/A 3382-2022 karta.png", "A 3382-2022")</f>
        <v/>
      </c>
      <c r="Y496">
        <f>HYPERLINK("https://klasma.github.io/Logging_1737/kartor_geotiff/A 3382-2022 georefererad karta.tif", "A 3382-2022")</f>
        <v/>
      </c>
      <c r="AA496">
        <f>HYPERLINK("https://klasma.github.io/Logging_1737/klagomål/A 3382-2022 FSC-klagomål.docx", "A 3382-2022")</f>
        <v/>
      </c>
      <c r="AB496">
        <f>HYPERLINK("https://klasma.github.io/Logging_1737/klagomålsmail/A 3382-2022 FSC-klagomål mail.docx", "A 3382-2022")</f>
        <v/>
      </c>
      <c r="AC496">
        <f>HYPERLINK("https://klasma.github.io/Logging_1737/tillsyn/A 3382-2022 tillsynsbegäran.docx", "A 3382-2022")</f>
        <v/>
      </c>
      <c r="AD496">
        <f>HYPERLINK("https://klasma.github.io/Logging_1737/tillsynsmail/A 3382-2022 tillsynsbegäran mail.docx", "A 3382-2022")</f>
        <v/>
      </c>
    </row>
    <row r="497" ht="15" customHeight="1">
      <c r="A497" t="inlineStr">
        <is>
          <t>A 62572-2021</t>
        </is>
      </c>
      <c r="B497" t="inlineStr">
        <is>
          <t>avverkningsanmälan</t>
        </is>
      </c>
      <c r="C497" t="inlineStr">
        <is>
          <t>Föryngringsavverkning</t>
        </is>
      </c>
      <c r="D497" s="1" t="n">
        <v>44503</v>
      </c>
      <c r="E497" s="1" t="n">
        <v>46307</v>
      </c>
      <c r="F497" t="inlineStr">
        <is>
          <t>VÄRMLANDS LÄN</t>
        </is>
      </c>
      <c r="G497" t="inlineStr">
        <is>
          <t>FILIPSTAD</t>
        </is>
      </c>
      <c r="H497" t="inlineStr">
        <is>
          <t>Bergvik skog väst AB</t>
        </is>
      </c>
      <c r="I497" t="n">
        <v>46.9</v>
      </c>
      <c r="J497" t="n">
        <v>0</v>
      </c>
      <c r="K497" t="n">
        <v>0</v>
      </c>
      <c r="L497" t="n">
        <v>0</v>
      </c>
      <c r="M497" t="n">
        <v>1</v>
      </c>
      <c r="N497" t="n">
        <v>0</v>
      </c>
      <c r="O497" t="n">
        <v>0</v>
      </c>
      <c r="P497" t="n">
        <v>0</v>
      </c>
      <c r="Q497" t="n">
        <v>1</v>
      </c>
      <c r="R497" t="n">
        <v>1</v>
      </c>
      <c r="S497" t="n">
        <v>1</v>
      </c>
      <c r="T497" t="n">
        <v>1</v>
      </c>
      <c r="U497" t="n">
        <v>1</v>
      </c>
      <c r="V497" s="2" t="inlineStr">
        <is>
          <t>Garnlav</t>
        </is>
      </c>
      <c r="W497">
        <f>HYPERLINK("https://klasma.github.io/Logging_1782/artfynd/A 62572-2021 artfynd.xlsx", "A 62572-2021")</f>
        <v/>
      </c>
      <c r="X497">
        <f>HYPERLINK("https://klasma.github.io/Logging_1782/kartor/A 62572-2021 karta.png", "A 62572-2021")</f>
        <v/>
      </c>
      <c r="Y497">
        <f>HYPERLINK("https://klasma.github.io/Logging_1782/kartor_geotiff/A 62572-2021 georefererad karta.tif", "A 62572-2021")</f>
        <v/>
      </c>
      <c r="AA497">
        <f>HYPERLINK("https://klasma.github.io/Logging_1782/klagomål/A 62572-2021 FSC-klagomål.docx", "A 62572-2021")</f>
        <v/>
      </c>
      <c r="AB497">
        <f>HYPERLINK("https://klasma.github.io/Logging_1782/klagomålsmail/A 62572-2021 FSC-klagomål mail.docx", "A 62572-2021")</f>
        <v/>
      </c>
      <c r="AC497">
        <f>HYPERLINK("https://klasma.github.io/Logging_1782/tillsyn/A 62572-2021 tillsynsbegäran.docx", "A 62572-2021")</f>
        <v/>
      </c>
      <c r="AD497">
        <f>HYPERLINK("https://klasma.github.io/Logging_1782/tillsynsmail/A 62572-2021 tillsynsbegäran mail.docx", "A 62572-2021")</f>
        <v/>
      </c>
    </row>
    <row r="498" ht="15" customHeight="1">
      <c r="A498" t="inlineStr">
        <is>
          <t>A 3199-2022</t>
        </is>
      </c>
      <c r="B498" t="inlineStr">
        <is>
          <t>avverkningsanmälan</t>
        </is>
      </c>
      <c r="C498" t="inlineStr">
        <is>
          <t>Föryngringsavverkning</t>
        </is>
      </c>
      <c r="D498" s="1" t="n">
        <v>44582</v>
      </c>
      <c r="E498" s="1" t="n">
        <v>46307</v>
      </c>
      <c r="F498" t="inlineStr">
        <is>
          <t>VÄRMLANDS LÄN</t>
        </is>
      </c>
      <c r="G498" t="inlineStr">
        <is>
          <t>HAGFORS</t>
        </is>
      </c>
      <c r="H498" t="inlineStr">
        <is>
          <t>Bergvik skog väst AB</t>
        </is>
      </c>
      <c r="I498" t="n">
        <v>5.4</v>
      </c>
      <c r="J498" t="n">
        <v>1</v>
      </c>
      <c r="K498" t="n">
        <v>0</v>
      </c>
      <c r="L498" t="n">
        <v>0</v>
      </c>
      <c r="M498" t="n">
        <v>0</v>
      </c>
      <c r="N498" t="n">
        <v>0</v>
      </c>
      <c r="O498" t="n">
        <v>0</v>
      </c>
      <c r="P498" t="n">
        <v>0</v>
      </c>
      <c r="Q498" t="n">
        <v>0</v>
      </c>
      <c r="R498" t="n">
        <v>0</v>
      </c>
      <c r="S498" t="n">
        <v>1</v>
      </c>
      <c r="T498" t="n">
        <v>1</v>
      </c>
      <c r="U498" t="n">
        <v>1</v>
      </c>
      <c r="V498" s="2" t="inlineStr">
        <is>
          <t>Tofsmes</t>
        </is>
      </c>
      <c r="W498">
        <f>HYPERLINK("https://klasma.github.io/Logging_1783/artfynd/A 3199-2022 artfynd.xlsx", "A 3199-2022")</f>
        <v/>
      </c>
      <c r="X498">
        <f>HYPERLINK("https://klasma.github.io/Logging_1783/kartor/A 3199-2022 karta.png", "A 3199-2022")</f>
        <v/>
      </c>
      <c r="Y498">
        <f>HYPERLINK("https://klasma.github.io/Logging_1783/kartor_geotiff/A 3199-2022 georefererad karta.tif", "A 3199-2022")</f>
        <v/>
      </c>
      <c r="AA498">
        <f>HYPERLINK("https://klasma.github.io/Logging_1783/klagomål/A 3199-2022 FSC-klagomål.docx", "A 3199-2022")</f>
        <v/>
      </c>
      <c r="AB498">
        <f>HYPERLINK("https://klasma.github.io/Logging_1783/klagomålsmail/A 3199-2022 FSC-klagomål mail.docx", "A 3199-2022")</f>
        <v/>
      </c>
      <c r="AC498">
        <f>HYPERLINK("https://klasma.github.io/Logging_1783/tillsyn/A 3199-2022 tillsynsbegäran.docx", "A 3199-2022")</f>
        <v/>
      </c>
      <c r="AD498">
        <f>HYPERLINK("https://klasma.github.io/Logging_1783/tillsynsmail/A 3199-2022 tillsynsbegäran mail.docx", "A 3199-2022")</f>
        <v/>
      </c>
    </row>
    <row r="499" ht="15" customHeight="1">
      <c r="A499" t="inlineStr">
        <is>
          <t>A 15738-2022</t>
        </is>
      </c>
      <c r="B499" t="inlineStr">
        <is>
          <t>avverkningsanmälan</t>
        </is>
      </c>
      <c r="C499" t="inlineStr">
        <is>
          <t>Föryngringsavverkning</t>
        </is>
      </c>
      <c r="D499" s="1" t="n">
        <v>44663</v>
      </c>
      <c r="E499" s="1" t="n">
        <v>46307</v>
      </c>
      <c r="F499" t="inlineStr">
        <is>
          <t>VÄRMLANDS LÄN</t>
        </is>
      </c>
      <c r="G499" t="inlineStr">
        <is>
          <t>HAGFORS</t>
        </is>
      </c>
      <c r="H499" t="inlineStr">
        <is>
          <t>Bergvik skog väst AB</t>
        </is>
      </c>
      <c r="I499" t="n">
        <v>4.8</v>
      </c>
      <c r="J499" t="n">
        <v>0</v>
      </c>
      <c r="K499" t="n">
        <v>1</v>
      </c>
      <c r="L499" t="n">
        <v>0</v>
      </c>
      <c r="M499" t="n">
        <v>0</v>
      </c>
      <c r="N499" t="n">
        <v>0</v>
      </c>
      <c r="O499" t="n">
        <v>0</v>
      </c>
      <c r="P499" t="n">
        <v>0</v>
      </c>
      <c r="Q499" t="n">
        <v>0</v>
      </c>
      <c r="R499" t="n">
        <v>0</v>
      </c>
      <c r="S499" t="n">
        <v>1</v>
      </c>
      <c r="T499" t="n">
        <v>1</v>
      </c>
      <c r="U499" t="n">
        <v>0</v>
      </c>
      <c r="V499" s="2" t="inlineStr">
        <is>
          <t>Trådticka</t>
        </is>
      </c>
      <c r="W499">
        <f>HYPERLINK("https://klasma.github.io/Logging_1783/artfynd/A 15738-2022 artfynd.xlsx", "A 15738-2022")</f>
        <v/>
      </c>
      <c r="X499">
        <f>HYPERLINK("https://klasma.github.io/Logging_1783/kartor/A 15738-2022 karta.png", "A 15738-2022")</f>
        <v/>
      </c>
      <c r="Y499">
        <f>HYPERLINK("https://klasma.github.io/Logging_1783/kartor_geotiff/A 15738-2022 georefererad karta.tif", "A 15738-2022")</f>
        <v/>
      </c>
      <c r="AA499">
        <f>HYPERLINK("https://klasma.github.io/Logging_1783/klagomål/A 15738-2022 FSC-klagomål.docx", "A 15738-2022")</f>
        <v/>
      </c>
      <c r="AB499">
        <f>HYPERLINK("https://klasma.github.io/Logging_1783/klagomålsmail/A 15738-2022 FSC-klagomål mail.docx", "A 15738-2022")</f>
        <v/>
      </c>
      <c r="AC499">
        <f>HYPERLINK("https://klasma.github.io/Logging_1783/tillsyn/A 15738-2022 tillsynsbegäran.docx", "A 15738-2022")</f>
        <v/>
      </c>
      <c r="AD499">
        <f>HYPERLINK("https://klasma.github.io/Logging_1783/tillsynsmail/A 15738-2022 tillsynsbegäran mail.docx", "A 15738-2022")</f>
        <v/>
      </c>
    </row>
    <row r="500" ht="15" customHeight="1">
      <c r="A500" t="inlineStr">
        <is>
          <t>A 20754-2022</t>
        </is>
      </c>
      <c r="B500" t="inlineStr">
        <is>
          <t>avverkningsanmälan</t>
        </is>
      </c>
      <c r="C500" t="inlineStr">
        <is>
          <t>Föryngringsavverkning</t>
        </is>
      </c>
      <c r="D500" s="1" t="n">
        <v>44701</v>
      </c>
      <c r="E500" s="1" t="n">
        <v>46307</v>
      </c>
      <c r="F500" t="inlineStr">
        <is>
          <t>VÄRMLANDS LÄN</t>
        </is>
      </c>
      <c r="G500" t="inlineStr">
        <is>
          <t>FILIPSTAD</t>
        </is>
      </c>
      <c r="H500" t="inlineStr">
        <is>
          <t>Bergvik skog väst AB</t>
        </is>
      </c>
      <c r="I500" t="n">
        <v>13.6</v>
      </c>
      <c r="J500" t="n">
        <v>1</v>
      </c>
      <c r="K500" t="n">
        <v>0</v>
      </c>
      <c r="L500" t="n">
        <v>0</v>
      </c>
      <c r="M500" t="n">
        <v>0</v>
      </c>
      <c r="N500" t="n">
        <v>0</v>
      </c>
      <c r="O500" t="n">
        <v>0</v>
      </c>
      <c r="P500" t="n">
        <v>0</v>
      </c>
      <c r="Q500" t="n">
        <v>0</v>
      </c>
      <c r="R500" t="n">
        <v>0</v>
      </c>
      <c r="S500" t="n">
        <v>1</v>
      </c>
      <c r="T500" t="n">
        <v>1</v>
      </c>
      <c r="U500" t="n">
        <v>0</v>
      </c>
      <c r="V500" s="2" t="inlineStr">
        <is>
          <t>Mattlummer</t>
        </is>
      </c>
      <c r="W500">
        <f>HYPERLINK("https://klasma.github.io/Logging_1782/artfynd/A 20754-2022 artfynd.xlsx", "A 20754-2022")</f>
        <v/>
      </c>
      <c r="X500">
        <f>HYPERLINK("https://klasma.github.io/Logging_1782/kartor/A 20754-2022 karta.png", "A 20754-2022")</f>
        <v/>
      </c>
      <c r="Y500">
        <f>HYPERLINK("https://klasma.github.io/Logging_1782/kartor_geotiff/A 20754-2022 georefererad karta.tif", "A 20754-2022")</f>
        <v/>
      </c>
      <c r="AA500">
        <f>HYPERLINK("https://klasma.github.io/Logging_1782/klagomål/A 20754-2022 FSC-klagomål.docx", "A 20754-2022")</f>
        <v/>
      </c>
      <c r="AB500">
        <f>HYPERLINK("https://klasma.github.io/Logging_1782/klagomålsmail/A 20754-2022 FSC-klagomål mail.docx", "A 20754-2022")</f>
        <v/>
      </c>
      <c r="AC500">
        <f>HYPERLINK("https://klasma.github.io/Logging_1782/tillsyn/A 20754-2022 tillsynsbegäran.docx", "A 20754-2022")</f>
        <v/>
      </c>
      <c r="AD500">
        <f>HYPERLINK("https://klasma.github.io/Logging_1782/tillsynsmail/A 20754-2022 tillsynsbegäran mail.docx", "A 20754-2022")</f>
        <v/>
      </c>
    </row>
    <row r="501" ht="15" customHeight="1">
      <c r="A501" t="inlineStr">
        <is>
          <t>A 4178-2022</t>
        </is>
      </c>
      <c r="B501" t="inlineStr">
        <is>
          <t>avverkningsanmälan</t>
        </is>
      </c>
      <c r="C501" t="inlineStr">
        <is>
          <t>Föryngringsavverkning</t>
        </is>
      </c>
      <c r="D501" s="1" t="n">
        <v>44588</v>
      </c>
      <c r="E501" s="1" t="n">
        <v>46307</v>
      </c>
      <c r="F501" t="inlineStr">
        <is>
          <t>VÄRMLANDS LÄN</t>
        </is>
      </c>
      <c r="G501" t="inlineStr">
        <is>
          <t>GRUMS</t>
        </is>
      </c>
      <c r="I501" t="n">
        <v>0.9</v>
      </c>
      <c r="J501" t="n">
        <v>0</v>
      </c>
      <c r="K501" t="n">
        <v>0</v>
      </c>
      <c r="L501" t="n">
        <v>1</v>
      </c>
      <c r="M501" t="n">
        <v>0</v>
      </c>
      <c r="N501" t="n">
        <v>0</v>
      </c>
      <c r="O501" t="n">
        <v>0</v>
      </c>
      <c r="P501" t="n">
        <v>0</v>
      </c>
      <c r="Q501" t="n">
        <v>1</v>
      </c>
      <c r="R501" t="n">
        <v>0</v>
      </c>
      <c r="S501" t="n">
        <v>1</v>
      </c>
      <c r="T501" t="n">
        <v>2</v>
      </c>
      <c r="U501" t="n">
        <v>2</v>
      </c>
      <c r="V501" s="2" t="inlineStr">
        <is>
          <t>Skogsklocka</t>
        </is>
      </c>
      <c r="W501">
        <f>HYPERLINK("https://klasma.github.io/Logging_1764/artfynd/A 4178-2022 artfynd.xlsx", "A 4178-2022")</f>
        <v/>
      </c>
      <c r="X501">
        <f>HYPERLINK("https://klasma.github.io/Logging_1764/kartor/A 4178-2022 karta.png", "A 4178-2022")</f>
        <v/>
      </c>
      <c r="Y501">
        <f>HYPERLINK("https://klasma.github.io/Logging_1764/kartor_geotiff/A 4178-2022 georefererad karta.tif", "A 4178-2022")</f>
        <v/>
      </c>
      <c r="AA501">
        <f>HYPERLINK("https://klasma.github.io/Logging_1764/klagomål/A 4178-2022 FSC-klagomål.docx", "A 4178-2022")</f>
        <v/>
      </c>
      <c r="AB501">
        <f>HYPERLINK("https://klasma.github.io/Logging_1764/klagomålsmail/A 4178-2022 FSC-klagomål mail.docx", "A 4178-2022")</f>
        <v/>
      </c>
      <c r="AC501">
        <f>HYPERLINK("https://klasma.github.io/Logging_1764/tillsyn/A 4178-2022 tillsynsbegäran.docx", "A 4178-2022")</f>
        <v/>
      </c>
      <c r="AD501">
        <f>HYPERLINK("https://klasma.github.io/Logging_1764/tillsynsmail/A 4178-2022 tillsynsbegäran mail.docx", "A 4178-2022")</f>
        <v/>
      </c>
    </row>
    <row r="502" ht="15" customHeight="1">
      <c r="A502" t="inlineStr">
        <is>
          <t>A 54177-2023</t>
        </is>
      </c>
      <c r="B502" t="inlineStr">
        <is>
          <t>avverkningsanmälan</t>
        </is>
      </c>
      <c r="C502" t="inlineStr">
        <is>
          <t>Föryngringsavverkning</t>
        </is>
      </c>
      <c r="D502" s="1" t="n">
        <v>45232</v>
      </c>
      <c r="E502" s="1" t="n">
        <v>46307</v>
      </c>
      <c r="F502" t="inlineStr">
        <is>
          <t>VÄRMLANDS LÄN</t>
        </is>
      </c>
      <c r="G502" t="inlineStr">
        <is>
          <t>KIL</t>
        </is>
      </c>
      <c r="I502" t="n">
        <v>3.6</v>
      </c>
      <c r="J502" t="n">
        <v>0</v>
      </c>
      <c r="K502" t="n">
        <v>1</v>
      </c>
      <c r="L502" t="n">
        <v>0</v>
      </c>
      <c r="M502" t="n">
        <v>0</v>
      </c>
      <c r="N502" t="n">
        <v>0</v>
      </c>
      <c r="O502" t="n">
        <v>0</v>
      </c>
      <c r="P502" t="n">
        <v>0</v>
      </c>
      <c r="Q502" t="n">
        <v>0</v>
      </c>
      <c r="R502" t="n">
        <v>0</v>
      </c>
      <c r="S502" t="n">
        <v>1</v>
      </c>
      <c r="T502" t="n">
        <v>1</v>
      </c>
      <c r="U502" t="n">
        <v>0</v>
      </c>
      <c r="V502" s="2" t="inlineStr">
        <is>
          <t>Strutbräken</t>
        </is>
      </c>
      <c r="W502">
        <f>HYPERLINK("https://klasma.github.io/Logging_1715/artfynd/A 54177-2023 artfynd.xlsx", "A 54177-2023")</f>
        <v/>
      </c>
      <c r="X502">
        <f>HYPERLINK("https://klasma.github.io/Logging_1715/kartor/A 54177-2023 karta.png", "A 54177-2023")</f>
        <v/>
      </c>
      <c r="Y502">
        <f>HYPERLINK("https://klasma.github.io/Logging_1715/kartor_geotiff/A 54177-2023 georefererad karta.tif", "A 54177-2023")</f>
        <v/>
      </c>
      <c r="AA502">
        <f>HYPERLINK("https://klasma.github.io/Logging_1715/klagomål/A 54177-2023 FSC-klagomål.docx", "A 54177-2023")</f>
        <v/>
      </c>
      <c r="AB502">
        <f>HYPERLINK("https://klasma.github.io/Logging_1715/klagomålsmail/A 54177-2023 FSC-klagomål mail.docx", "A 54177-2023")</f>
        <v/>
      </c>
      <c r="AC502">
        <f>HYPERLINK("https://klasma.github.io/Logging_1715/tillsyn/A 54177-2023 tillsynsbegäran.docx", "A 54177-2023")</f>
        <v/>
      </c>
      <c r="AD502">
        <f>HYPERLINK("https://klasma.github.io/Logging_1715/tillsynsmail/A 54177-2023 tillsynsbegäran mail.docx", "A 54177-2023")</f>
        <v/>
      </c>
    </row>
    <row r="503" ht="15" customHeight="1">
      <c r="A503" t="inlineStr">
        <is>
          <t>A 18622-2025</t>
        </is>
      </c>
      <c r="B503" t="inlineStr">
        <is>
          <t>avverkningsanmälan</t>
        </is>
      </c>
      <c r="C503" t="inlineStr">
        <is>
          <t>Föryngringsavverkning</t>
        </is>
      </c>
      <c r="D503" s="1" t="n">
        <v>45763</v>
      </c>
      <c r="E503" s="1" t="n">
        <v>46307</v>
      </c>
      <c r="F503" t="inlineStr">
        <is>
          <t>VÄRMLANDS LÄN</t>
        </is>
      </c>
      <c r="G503" t="inlineStr">
        <is>
          <t>SÄFFLE</t>
        </is>
      </c>
      <c r="I503" t="n">
        <v>2.5</v>
      </c>
      <c r="J503" t="n">
        <v>1</v>
      </c>
      <c r="K503" t="n">
        <v>0</v>
      </c>
      <c r="L503" t="n">
        <v>0</v>
      </c>
      <c r="M503" t="n">
        <v>0</v>
      </c>
      <c r="N503" t="n">
        <v>0</v>
      </c>
      <c r="O503" t="n">
        <v>0</v>
      </c>
      <c r="P503" t="n">
        <v>0</v>
      </c>
      <c r="Q503" t="n">
        <v>0</v>
      </c>
      <c r="R503" t="n">
        <v>0</v>
      </c>
      <c r="S503" t="n">
        <v>1</v>
      </c>
      <c r="T503" t="n">
        <v>1</v>
      </c>
      <c r="U503" t="n">
        <v>0</v>
      </c>
      <c r="V503" s="2" t="inlineStr">
        <is>
          <t>Äkta lopplummer</t>
        </is>
      </c>
      <c r="W503">
        <f>HYPERLINK("https://klasma.github.io/Logging_1785/artfynd/A 18622-2025 artfynd.xlsx", "A 18622-2025")</f>
        <v/>
      </c>
      <c r="X503">
        <f>HYPERLINK("https://klasma.github.io/Logging_1785/kartor/A 18622-2025 karta.png", "A 18622-2025")</f>
        <v/>
      </c>
      <c r="Y503">
        <f>HYPERLINK("https://klasma.github.io/Logging_1785/kartor_geotiff/A 18622-2025 georefererad karta.tif", "A 18622-2025")</f>
        <v/>
      </c>
      <c r="AA503">
        <f>HYPERLINK("https://klasma.github.io/Logging_1785/klagomål/A 18622-2025 FSC-klagomål.docx", "A 18622-2025")</f>
        <v/>
      </c>
      <c r="AB503">
        <f>HYPERLINK("https://klasma.github.io/Logging_1785/klagomålsmail/A 18622-2025 FSC-klagomål mail.docx", "A 18622-2025")</f>
        <v/>
      </c>
      <c r="AC503">
        <f>HYPERLINK("https://klasma.github.io/Logging_1785/tillsyn/A 18622-2025 tillsynsbegäran.docx", "A 18622-2025")</f>
        <v/>
      </c>
      <c r="AD503">
        <f>HYPERLINK("https://klasma.github.io/Logging_1785/tillsynsmail/A 18622-2025 tillsynsbegäran mail.docx", "A 18622-2025")</f>
        <v/>
      </c>
    </row>
    <row r="504" ht="15" customHeight="1">
      <c r="A504" t="inlineStr">
        <is>
          <t>A 63111-2021</t>
        </is>
      </c>
      <c r="B504" t="inlineStr">
        <is>
          <t>avverkningsanmälan</t>
        </is>
      </c>
      <c r="C504" t="inlineStr">
        <is>
          <t>Föryngringsavverkning</t>
        </is>
      </c>
      <c r="D504" s="1" t="n">
        <v>44505</v>
      </c>
      <c r="E504" s="1" t="n">
        <v>46307</v>
      </c>
      <c r="F504" t="inlineStr">
        <is>
          <t>VÄRMLANDS LÄN</t>
        </is>
      </c>
      <c r="G504" t="inlineStr">
        <is>
          <t>SÄFFLE</t>
        </is>
      </c>
      <c r="I504" t="n">
        <v>1.8</v>
      </c>
      <c r="J504" t="n">
        <v>0</v>
      </c>
      <c r="K504" t="n">
        <v>0</v>
      </c>
      <c r="L504" t="n">
        <v>0</v>
      </c>
      <c r="M504" t="n">
        <v>1</v>
      </c>
      <c r="N504" t="n">
        <v>0</v>
      </c>
      <c r="O504" t="n">
        <v>0</v>
      </c>
      <c r="P504" t="n">
        <v>0</v>
      </c>
      <c r="Q504" t="n">
        <v>1</v>
      </c>
      <c r="R504" t="n">
        <v>1</v>
      </c>
      <c r="S504" t="n">
        <v>1</v>
      </c>
      <c r="T504" t="n">
        <v>1</v>
      </c>
      <c r="U504" t="n">
        <v>0</v>
      </c>
      <c r="V504" s="2" t="inlineStr">
        <is>
          <t>Mindre bastardsvärmare</t>
        </is>
      </c>
      <c r="W504">
        <f>HYPERLINK("https://klasma.github.io/Logging_1785/artfynd/A 63111-2021 artfynd.xlsx", "A 63111-2021")</f>
        <v/>
      </c>
      <c r="X504">
        <f>HYPERLINK("https://klasma.github.io/Logging_1785/kartor/A 63111-2021 karta.png", "A 63111-2021")</f>
        <v/>
      </c>
      <c r="Y504">
        <f>HYPERLINK("https://klasma.github.io/Logging_1785/kartor_geotiff/A 63111-2021 georefererad karta.tif", "A 63111-2021")</f>
        <v/>
      </c>
      <c r="AA504">
        <f>HYPERLINK("https://klasma.github.io/Logging_1785/klagomål/A 63111-2021 FSC-klagomål.docx", "A 63111-2021")</f>
        <v/>
      </c>
      <c r="AB504">
        <f>HYPERLINK("https://klasma.github.io/Logging_1785/klagomålsmail/A 63111-2021 FSC-klagomål mail.docx", "A 63111-2021")</f>
        <v/>
      </c>
      <c r="AC504">
        <f>HYPERLINK("https://klasma.github.io/Logging_1785/tillsyn/A 63111-2021 tillsynsbegäran.docx", "A 63111-2021")</f>
        <v/>
      </c>
      <c r="AD504">
        <f>HYPERLINK("https://klasma.github.io/Logging_1785/tillsynsmail/A 63111-2021 tillsynsbegäran mail.docx", "A 63111-2021")</f>
        <v/>
      </c>
    </row>
    <row r="505" ht="15" customHeight="1">
      <c r="A505" t="inlineStr">
        <is>
          <t>A 57743-2021</t>
        </is>
      </c>
      <c r="B505" t="inlineStr">
        <is>
          <t>avverkningsanmälan</t>
        </is>
      </c>
      <c r="C505" t="inlineStr">
        <is>
          <t>Föryngringsavverkning</t>
        </is>
      </c>
      <c r="D505" s="1" t="n">
        <v>44484</v>
      </c>
      <c r="E505" s="1" t="n">
        <v>46307</v>
      </c>
      <c r="F505" t="inlineStr">
        <is>
          <t>VÄRMLANDS LÄN</t>
        </is>
      </c>
      <c r="G505" t="inlineStr">
        <is>
          <t>KIL</t>
        </is>
      </c>
      <c r="I505" t="n">
        <v>3.1</v>
      </c>
      <c r="J505" t="n">
        <v>1</v>
      </c>
      <c r="K505" t="n">
        <v>0</v>
      </c>
      <c r="L505" t="n">
        <v>0</v>
      </c>
      <c r="M505" t="n">
        <v>0</v>
      </c>
      <c r="N505" t="n">
        <v>0</v>
      </c>
      <c r="O505" t="n">
        <v>0</v>
      </c>
      <c r="P505" t="n">
        <v>0</v>
      </c>
      <c r="Q505" t="n">
        <v>0</v>
      </c>
      <c r="R505" t="n">
        <v>0</v>
      </c>
      <c r="S505" t="n">
        <v>1</v>
      </c>
      <c r="T505" t="n">
        <v>1</v>
      </c>
      <c r="U505" t="n">
        <v>1</v>
      </c>
      <c r="V505" s="2" t="inlineStr">
        <is>
          <t>Revlummer</t>
        </is>
      </c>
      <c r="W505">
        <f>HYPERLINK("https://klasma.github.io/Logging_1715/artfynd/A 57743-2021 artfynd.xlsx", "A 57743-2021")</f>
        <v/>
      </c>
      <c r="X505">
        <f>HYPERLINK("https://klasma.github.io/Logging_1715/kartor/A 57743-2021 karta.png", "A 57743-2021")</f>
        <v/>
      </c>
      <c r="Y505">
        <f>HYPERLINK("https://klasma.github.io/Logging_1715/kartor_geotiff/A 57743-2021 georefererad karta.tif", "A 57743-2021")</f>
        <v/>
      </c>
      <c r="AA505">
        <f>HYPERLINK("https://klasma.github.io/Logging_1715/klagomål/A 57743-2021 FSC-klagomål.docx", "A 57743-2021")</f>
        <v/>
      </c>
      <c r="AB505">
        <f>HYPERLINK("https://klasma.github.io/Logging_1715/klagomålsmail/A 57743-2021 FSC-klagomål mail.docx", "A 57743-2021")</f>
        <v/>
      </c>
      <c r="AC505">
        <f>HYPERLINK("https://klasma.github.io/Logging_1715/tillsyn/A 57743-2021 tillsynsbegäran.docx", "A 57743-2021")</f>
        <v/>
      </c>
      <c r="AD505">
        <f>HYPERLINK("https://klasma.github.io/Logging_1715/tillsynsmail/A 57743-2021 tillsynsbegäran mail.docx", "A 57743-2021")</f>
        <v/>
      </c>
    </row>
    <row r="506" ht="15" customHeight="1">
      <c r="A506" t="inlineStr">
        <is>
          <t>A 16425-2022</t>
        </is>
      </c>
      <c r="B506" t="inlineStr">
        <is>
          <t>avverkningsanmälan</t>
        </is>
      </c>
      <c r="C506" t="inlineStr">
        <is>
          <t>Föryngringsavverkning</t>
        </is>
      </c>
      <c r="D506" s="1" t="n">
        <v>44671</v>
      </c>
      <c r="E506" s="1" t="n">
        <v>46307</v>
      </c>
      <c r="F506" t="inlineStr">
        <is>
          <t>VÄRMLANDS LÄN</t>
        </is>
      </c>
      <c r="G506" t="inlineStr">
        <is>
          <t>TORSBY</t>
        </is>
      </c>
      <c r="I506" t="n">
        <v>3</v>
      </c>
      <c r="J506" t="n">
        <v>0</v>
      </c>
      <c r="K506" t="n">
        <v>0</v>
      </c>
      <c r="L506" t="n">
        <v>0</v>
      </c>
      <c r="M506" t="n">
        <v>1</v>
      </c>
      <c r="N506" t="n">
        <v>0</v>
      </c>
      <c r="O506" t="n">
        <v>0</v>
      </c>
      <c r="P506" t="n">
        <v>0</v>
      </c>
      <c r="Q506" t="n">
        <v>1</v>
      </c>
      <c r="R506" t="n">
        <v>1</v>
      </c>
      <c r="S506" t="n">
        <v>1</v>
      </c>
      <c r="T506" t="n">
        <v>1</v>
      </c>
      <c r="U506" t="n">
        <v>0</v>
      </c>
      <c r="V506" s="2" t="inlineStr">
        <is>
          <t>Stor skogsbäckmossa</t>
        </is>
      </c>
      <c r="W506">
        <f>HYPERLINK("https://klasma.github.io/Logging_1737/artfynd/A 16425-2022 artfynd.xlsx", "A 16425-2022")</f>
        <v/>
      </c>
      <c r="X506">
        <f>HYPERLINK("https://klasma.github.io/Logging_1737/kartor/A 16425-2022 karta.png", "A 16425-2022")</f>
        <v/>
      </c>
      <c r="Y506">
        <f>HYPERLINK("https://klasma.github.io/Logging_1737/kartor_geotiff/A 16425-2022 georefererad karta.tif", "A 16425-2022")</f>
        <v/>
      </c>
      <c r="AA506">
        <f>HYPERLINK("https://klasma.github.io/Logging_1737/klagomål/A 16425-2022 FSC-klagomål.docx", "A 16425-2022")</f>
        <v/>
      </c>
      <c r="AB506">
        <f>HYPERLINK("https://klasma.github.io/Logging_1737/klagomålsmail/A 16425-2022 FSC-klagomål mail.docx", "A 16425-2022")</f>
        <v/>
      </c>
      <c r="AC506">
        <f>HYPERLINK("https://klasma.github.io/Logging_1737/tillsyn/A 16425-2022 tillsynsbegäran.docx", "A 16425-2022")</f>
        <v/>
      </c>
      <c r="AD506">
        <f>HYPERLINK("https://klasma.github.io/Logging_1737/tillsynsmail/A 16425-2022 tillsynsbegäran mail.docx", "A 16425-2022")</f>
        <v/>
      </c>
    </row>
    <row r="507" ht="15" customHeight="1">
      <c r="A507" t="inlineStr">
        <is>
          <t>A 58224-2024</t>
        </is>
      </c>
      <c r="B507" t="inlineStr">
        <is>
          <t>avverkningsanmälan</t>
        </is>
      </c>
      <c r="C507" t="inlineStr">
        <is>
          <t>Föryngringsavverkning</t>
        </is>
      </c>
      <c r="D507" s="1" t="n">
        <v>45632</v>
      </c>
      <c r="E507" s="1" t="n">
        <v>46307</v>
      </c>
      <c r="F507" t="inlineStr">
        <is>
          <t>VÄRMLANDS LÄN</t>
        </is>
      </c>
      <c r="G507" t="inlineStr">
        <is>
          <t>SUNNE</t>
        </is>
      </c>
      <c r="I507" t="n">
        <v>2.4</v>
      </c>
      <c r="J507" t="n">
        <v>1</v>
      </c>
      <c r="K507" t="n">
        <v>0</v>
      </c>
      <c r="L507" t="n">
        <v>0</v>
      </c>
      <c r="M507" t="n">
        <v>0</v>
      </c>
      <c r="N507" t="n">
        <v>0</v>
      </c>
      <c r="O507" t="n">
        <v>0</v>
      </c>
      <c r="P507" t="n">
        <v>0</v>
      </c>
      <c r="Q507" t="n">
        <v>0</v>
      </c>
      <c r="R507" t="n">
        <v>0</v>
      </c>
      <c r="S507" t="n">
        <v>1</v>
      </c>
      <c r="T507" t="n">
        <v>1</v>
      </c>
      <c r="U507" t="n">
        <v>0</v>
      </c>
      <c r="V507" s="2" t="inlineStr">
        <is>
          <t>Tjäder</t>
        </is>
      </c>
      <c r="W507">
        <f>HYPERLINK("https://klasma.github.io/Logging_1766/artfynd/A 58224-2024 artfynd.xlsx", "A 58224-2024")</f>
        <v/>
      </c>
      <c r="X507">
        <f>HYPERLINK("https://klasma.github.io/Logging_1766/kartor/A 58224-2024 karta.png", "A 58224-2024")</f>
        <v/>
      </c>
      <c r="Y507">
        <f>HYPERLINK("https://klasma.github.io/Logging_1766/kartor_geotiff/A 58224-2024 georefererad karta.tif", "A 58224-2024")</f>
        <v/>
      </c>
      <c r="AA507">
        <f>HYPERLINK("https://klasma.github.io/Logging_1766/klagomål/A 58224-2024 FSC-klagomål.docx", "A 58224-2024")</f>
        <v/>
      </c>
      <c r="AB507">
        <f>HYPERLINK("https://klasma.github.io/Logging_1766/klagomålsmail/A 58224-2024 FSC-klagomål mail.docx", "A 58224-2024")</f>
        <v/>
      </c>
      <c r="AC507">
        <f>HYPERLINK("https://klasma.github.io/Logging_1766/tillsyn/A 58224-2024 tillsynsbegäran.docx", "A 58224-2024")</f>
        <v/>
      </c>
      <c r="AD507">
        <f>HYPERLINK("https://klasma.github.io/Logging_1766/tillsynsmail/A 58224-2024 tillsynsbegäran mail.docx", "A 58224-2024")</f>
        <v/>
      </c>
      <c r="AE507">
        <f>HYPERLINK("https://klasma.github.io/Logging_1766/fåglar/A 58224-2024 prioriterade fågelarter.docx", "A 58224-2024")</f>
        <v/>
      </c>
    </row>
    <row r="508" ht="15" customHeight="1">
      <c r="A508" t="inlineStr">
        <is>
          <t>A 10647-2024</t>
        </is>
      </c>
      <c r="B508" t="inlineStr">
        <is>
          <t>avverkningsanmälan</t>
        </is>
      </c>
      <c r="C508" t="inlineStr">
        <is>
          <t>Föryngringsavverkning</t>
        </is>
      </c>
      <c r="D508" s="1" t="n">
        <v>45368</v>
      </c>
      <c r="E508" s="1" t="n">
        <v>46307</v>
      </c>
      <c r="F508" t="inlineStr">
        <is>
          <t>VÄRMLANDS LÄN</t>
        </is>
      </c>
      <c r="G508" t="inlineStr">
        <is>
          <t>GRUMS</t>
        </is>
      </c>
      <c r="I508" t="n">
        <v>4.1</v>
      </c>
      <c r="J508" t="n">
        <v>1</v>
      </c>
      <c r="K508" t="n">
        <v>0</v>
      </c>
      <c r="L508" t="n">
        <v>0</v>
      </c>
      <c r="M508" t="n">
        <v>0</v>
      </c>
      <c r="N508" t="n">
        <v>0</v>
      </c>
      <c r="O508" t="n">
        <v>0</v>
      </c>
      <c r="P508" t="n">
        <v>0</v>
      </c>
      <c r="Q508" t="n">
        <v>0</v>
      </c>
      <c r="R508" t="n">
        <v>0</v>
      </c>
      <c r="S508" t="n">
        <v>1</v>
      </c>
      <c r="T508" t="n">
        <v>1</v>
      </c>
      <c r="U508" t="n">
        <v>1</v>
      </c>
      <c r="V508" s="2" t="inlineStr">
        <is>
          <t>Kråka</t>
        </is>
      </c>
      <c r="W508">
        <f>HYPERLINK("https://klasma.github.io/Logging_1764/artfynd/A 10647-2024 artfynd.xlsx", "A 10647-2024")</f>
        <v/>
      </c>
      <c r="X508">
        <f>HYPERLINK("https://klasma.github.io/Logging_1764/kartor/A 10647-2024 karta.png", "A 10647-2024")</f>
        <v/>
      </c>
      <c r="Y508">
        <f>HYPERLINK("https://klasma.github.io/Logging_1764/kartor_geotiff/A 10647-2024 georefererad karta.tif", "A 10647-2024")</f>
        <v/>
      </c>
      <c r="AA508">
        <f>HYPERLINK("https://klasma.github.io/Logging_1764/klagomål/A 10647-2024 FSC-klagomål.docx", "A 10647-2024")</f>
        <v/>
      </c>
      <c r="AB508">
        <f>HYPERLINK("https://klasma.github.io/Logging_1764/klagomålsmail/A 10647-2024 FSC-klagomål mail.docx", "A 10647-2024")</f>
        <v/>
      </c>
      <c r="AC508">
        <f>HYPERLINK("https://klasma.github.io/Logging_1764/tillsyn/A 10647-2024 tillsynsbegäran.docx", "A 10647-2024")</f>
        <v/>
      </c>
      <c r="AD508">
        <f>HYPERLINK("https://klasma.github.io/Logging_1764/tillsynsmail/A 10647-2024 tillsynsbegäran mail.docx", "A 10647-2024")</f>
        <v/>
      </c>
    </row>
    <row r="509" ht="15" customHeight="1">
      <c r="A509" t="inlineStr">
        <is>
          <t>A 39681-2023</t>
        </is>
      </c>
      <c r="B509" t="inlineStr">
        <is>
          <t>avverkningsanmälan</t>
        </is>
      </c>
      <c r="C509" t="inlineStr">
        <is>
          <t>Föryngringsavverkning</t>
        </is>
      </c>
      <c r="D509" s="1" t="n">
        <v>45167</v>
      </c>
      <c r="E509" s="1" t="n">
        <v>46307</v>
      </c>
      <c r="F509" t="inlineStr">
        <is>
          <t>VÄRMLANDS LÄN</t>
        </is>
      </c>
      <c r="G509" t="inlineStr">
        <is>
          <t>TORSBY</t>
        </is>
      </c>
      <c r="I509" t="n">
        <v>5.2</v>
      </c>
      <c r="J509" t="n">
        <v>0</v>
      </c>
      <c r="K509" t="n">
        <v>0</v>
      </c>
      <c r="L509" t="n">
        <v>0</v>
      </c>
      <c r="M509" t="n">
        <v>1</v>
      </c>
      <c r="N509" t="n">
        <v>0</v>
      </c>
      <c r="O509" t="n">
        <v>0</v>
      </c>
      <c r="P509" t="n">
        <v>0</v>
      </c>
      <c r="Q509" t="n">
        <v>1</v>
      </c>
      <c r="R509" t="n">
        <v>1</v>
      </c>
      <c r="S509" t="n">
        <v>1</v>
      </c>
      <c r="T509" t="n">
        <v>5</v>
      </c>
      <c r="U509" t="n">
        <v>5</v>
      </c>
      <c r="V509" s="2" t="inlineStr">
        <is>
          <t>Garnlav</t>
        </is>
      </c>
      <c r="W509">
        <f>HYPERLINK("https://klasma.github.io/Logging_1737/artfynd/A 39681-2023 artfynd.xlsx", "A 39681-2023")</f>
        <v/>
      </c>
      <c r="X509">
        <f>HYPERLINK("https://klasma.github.io/Logging_1737/kartor/A 39681-2023 karta.png", "A 39681-2023")</f>
        <v/>
      </c>
      <c r="Y509">
        <f>HYPERLINK("https://klasma.github.io/Logging_1737/kartor_geotiff/A 39681-2023 georefererad karta.tif", "A 39681-2023")</f>
        <v/>
      </c>
      <c r="AA509">
        <f>HYPERLINK("https://klasma.github.io/Logging_1737/klagomål/A 39681-2023 FSC-klagomål.docx", "A 39681-2023")</f>
        <v/>
      </c>
      <c r="AB509">
        <f>HYPERLINK("https://klasma.github.io/Logging_1737/klagomålsmail/A 39681-2023 FSC-klagomål mail.docx", "A 39681-2023")</f>
        <v/>
      </c>
      <c r="AC509">
        <f>HYPERLINK("https://klasma.github.io/Logging_1737/tillsyn/A 39681-2023 tillsynsbegäran.docx", "A 39681-2023")</f>
        <v/>
      </c>
      <c r="AD509">
        <f>HYPERLINK("https://klasma.github.io/Logging_1737/tillsynsmail/A 39681-2023 tillsynsbegäran mail.docx", "A 39681-2023")</f>
        <v/>
      </c>
    </row>
    <row r="510" ht="15" customHeight="1">
      <c r="A510" t="inlineStr">
        <is>
          <t>A 38987-2022</t>
        </is>
      </c>
      <c r="B510" t="inlineStr">
        <is>
          <t>avverkningsanmälan</t>
        </is>
      </c>
      <c r="C510" t="inlineStr">
        <is>
          <t>Föryngringsavverkning</t>
        </is>
      </c>
      <c r="D510" s="1" t="n">
        <v>44816</v>
      </c>
      <c r="E510" s="1" t="n">
        <v>46307</v>
      </c>
      <c r="F510" t="inlineStr">
        <is>
          <t>VÄRMLANDS LÄN</t>
        </is>
      </c>
      <c r="G510" t="inlineStr">
        <is>
          <t>ARVIKA</t>
        </is>
      </c>
      <c r="I510" t="n">
        <v>1.7</v>
      </c>
      <c r="J510" t="n">
        <v>0</v>
      </c>
      <c r="K510" t="n">
        <v>1</v>
      </c>
      <c r="L510" t="n">
        <v>0</v>
      </c>
      <c r="M510" t="n">
        <v>0</v>
      </c>
      <c r="N510" t="n">
        <v>0</v>
      </c>
      <c r="O510" t="n">
        <v>0</v>
      </c>
      <c r="P510" t="n">
        <v>0</v>
      </c>
      <c r="Q510" t="n">
        <v>0</v>
      </c>
      <c r="R510" t="n">
        <v>0</v>
      </c>
      <c r="S510" t="n">
        <v>1</v>
      </c>
      <c r="T510" t="n">
        <v>1</v>
      </c>
      <c r="U510" t="n">
        <v>1</v>
      </c>
      <c r="V510" s="2" t="inlineStr">
        <is>
          <t>Guldlockmossa</t>
        </is>
      </c>
      <c r="W510">
        <f>HYPERLINK("https://klasma.github.io/Logging_1784/artfynd/A 38987-2022 artfynd.xlsx", "A 38987-2022")</f>
        <v/>
      </c>
      <c r="X510">
        <f>HYPERLINK("https://klasma.github.io/Logging_1784/kartor/A 38987-2022 karta.png", "A 38987-2022")</f>
        <v/>
      </c>
      <c r="Y510">
        <f>HYPERLINK("https://klasma.github.io/Logging_1784/kartor_geotiff/A 38987-2022 georefererad karta.tif", "A 38987-2022")</f>
        <v/>
      </c>
      <c r="AA510">
        <f>HYPERLINK("https://klasma.github.io/Logging_1784/klagomål/A 38987-2022 FSC-klagomål.docx", "A 38987-2022")</f>
        <v/>
      </c>
      <c r="AB510">
        <f>HYPERLINK("https://klasma.github.io/Logging_1784/klagomålsmail/A 38987-2022 FSC-klagomål mail.docx", "A 38987-2022")</f>
        <v/>
      </c>
      <c r="AC510">
        <f>HYPERLINK("https://klasma.github.io/Logging_1784/tillsyn/A 38987-2022 tillsynsbegäran.docx", "A 38987-2022")</f>
        <v/>
      </c>
      <c r="AD510">
        <f>HYPERLINK("https://klasma.github.io/Logging_1784/tillsynsmail/A 38987-2022 tillsynsbegäran mail.docx", "A 38987-2022")</f>
        <v/>
      </c>
    </row>
    <row r="511" ht="15" customHeight="1">
      <c r="A511" t="inlineStr">
        <is>
          <t>A 17354-2023</t>
        </is>
      </c>
      <c r="B511" t="inlineStr">
        <is>
          <t>avverkningsanmälan</t>
        </is>
      </c>
      <c r="C511" t="inlineStr">
        <is>
          <t>Föryngringsavverkning</t>
        </is>
      </c>
      <c r="D511" s="1" t="n">
        <v>45035</v>
      </c>
      <c r="E511" s="1" t="n">
        <v>46307</v>
      </c>
      <c r="F511" t="inlineStr">
        <is>
          <t>VÄRMLANDS LÄN</t>
        </is>
      </c>
      <c r="G511" t="inlineStr">
        <is>
          <t>KARLSTAD</t>
        </is>
      </c>
      <c r="H511" t="inlineStr">
        <is>
          <t>Kommuner</t>
        </is>
      </c>
      <c r="I511" t="n">
        <v>3.1</v>
      </c>
      <c r="J511" t="n">
        <v>1</v>
      </c>
      <c r="K511" t="n">
        <v>0</v>
      </c>
      <c r="L511" t="n">
        <v>0</v>
      </c>
      <c r="M511" t="n">
        <v>0</v>
      </c>
      <c r="N511" t="n">
        <v>0</v>
      </c>
      <c r="O511" t="n">
        <v>0</v>
      </c>
      <c r="P511" t="n">
        <v>0</v>
      </c>
      <c r="Q511" t="n">
        <v>0</v>
      </c>
      <c r="R511" t="n">
        <v>0</v>
      </c>
      <c r="S511" t="n">
        <v>1</v>
      </c>
      <c r="T511" t="n">
        <v>1</v>
      </c>
      <c r="U511" t="n">
        <v>0</v>
      </c>
      <c r="V511" s="2" t="inlineStr">
        <is>
          <t>Mattlummer</t>
        </is>
      </c>
      <c r="W511">
        <f>HYPERLINK("https://klasma.github.io/Logging_1780/artfynd/A 17354-2023 artfynd.xlsx", "A 17354-2023")</f>
        <v/>
      </c>
      <c r="X511">
        <f>HYPERLINK("https://klasma.github.io/Logging_1780/kartor/A 17354-2023 karta.png", "A 17354-2023")</f>
        <v/>
      </c>
      <c r="Y511">
        <f>HYPERLINK("https://klasma.github.io/Logging_1780/kartor_geotiff/A 17354-2023 georefererad karta.tif", "A 17354-2023")</f>
        <v/>
      </c>
      <c r="AA511">
        <f>HYPERLINK("https://klasma.github.io/Logging_1780/klagomål/A 17354-2023 FSC-klagomål.docx", "A 17354-2023")</f>
        <v/>
      </c>
      <c r="AB511">
        <f>HYPERLINK("https://klasma.github.io/Logging_1780/klagomålsmail/A 17354-2023 FSC-klagomål mail.docx", "A 17354-2023")</f>
        <v/>
      </c>
      <c r="AC511">
        <f>HYPERLINK("https://klasma.github.io/Logging_1780/tillsyn/A 17354-2023 tillsynsbegäran.docx", "A 17354-2023")</f>
        <v/>
      </c>
      <c r="AD511">
        <f>HYPERLINK("https://klasma.github.io/Logging_1780/tillsynsmail/A 17354-2023 tillsynsbegäran mail.docx", "A 17354-2023")</f>
        <v/>
      </c>
    </row>
    <row r="512" ht="15" customHeight="1">
      <c r="A512" t="inlineStr">
        <is>
          <t>A 35702-2024</t>
        </is>
      </c>
      <c r="B512" t="inlineStr">
        <is>
          <t>avverkningsanmälan</t>
        </is>
      </c>
      <c r="C512" t="inlineStr">
        <is>
          <t>Föryngringsavverkning</t>
        </is>
      </c>
      <c r="D512" s="1" t="n">
        <v>45532</v>
      </c>
      <c r="E512" s="1" t="n">
        <v>46307</v>
      </c>
      <c r="F512" t="inlineStr">
        <is>
          <t>VÄRMLANDS LÄN</t>
        </is>
      </c>
      <c r="G512" t="inlineStr">
        <is>
          <t>EDA</t>
        </is>
      </c>
      <c r="I512" t="n">
        <v>2.2</v>
      </c>
      <c r="J512" t="n">
        <v>1</v>
      </c>
      <c r="K512" t="n">
        <v>0</v>
      </c>
      <c r="L512" t="n">
        <v>0</v>
      </c>
      <c r="M512" t="n">
        <v>0</v>
      </c>
      <c r="N512" t="n">
        <v>0</v>
      </c>
      <c r="O512" t="n">
        <v>0</v>
      </c>
      <c r="P512" t="n">
        <v>0</v>
      </c>
      <c r="Q512" t="n">
        <v>0</v>
      </c>
      <c r="R512" t="n">
        <v>0</v>
      </c>
      <c r="S512" t="n">
        <v>1</v>
      </c>
      <c r="T512" t="n">
        <v>2</v>
      </c>
      <c r="U512" t="n">
        <v>2</v>
      </c>
      <c r="V512" s="2" t="inlineStr">
        <is>
          <t>Fläcknycklar</t>
        </is>
      </c>
      <c r="W512">
        <f>HYPERLINK("https://klasma.github.io/Logging_1730/artfynd/A 35702-2024 artfynd.xlsx", "A 35702-2024")</f>
        <v/>
      </c>
      <c r="X512">
        <f>HYPERLINK("https://klasma.github.io/Logging_1730/kartor/A 35702-2024 karta.png", "A 35702-2024")</f>
        <v/>
      </c>
      <c r="Y512">
        <f>HYPERLINK("https://klasma.github.io/Logging_1730/kartor_geotiff/A 35702-2024 georefererad karta.tif", "A 35702-2024")</f>
        <v/>
      </c>
      <c r="AA512">
        <f>HYPERLINK("https://klasma.github.io/Logging_1730/klagomål/A 35702-2024 FSC-klagomål.docx", "A 35702-2024")</f>
        <v/>
      </c>
      <c r="AB512">
        <f>HYPERLINK("https://klasma.github.io/Logging_1730/klagomålsmail/A 35702-2024 FSC-klagomål mail.docx", "A 35702-2024")</f>
        <v/>
      </c>
      <c r="AC512">
        <f>HYPERLINK("https://klasma.github.io/Logging_1730/tillsyn/A 35702-2024 tillsynsbegäran.docx", "A 35702-2024")</f>
        <v/>
      </c>
      <c r="AD512">
        <f>HYPERLINK("https://klasma.github.io/Logging_1730/tillsynsmail/A 35702-2024 tillsynsbegäran mail.docx", "A 35702-2024")</f>
        <v/>
      </c>
    </row>
    <row r="513" ht="15" customHeight="1">
      <c r="A513" t="inlineStr">
        <is>
          <t>A 50608-2023</t>
        </is>
      </c>
      <c r="B513" t="inlineStr">
        <is>
          <t>avverkningsanmälan</t>
        </is>
      </c>
      <c r="C513" t="inlineStr">
        <is>
          <t>Föryngringsavverkning</t>
        </is>
      </c>
      <c r="D513" s="1" t="n">
        <v>45217</v>
      </c>
      <c r="E513" s="1" t="n">
        <v>46307</v>
      </c>
      <c r="F513" t="inlineStr">
        <is>
          <t>VÄRMLANDS LÄN</t>
        </is>
      </c>
      <c r="G513" t="inlineStr">
        <is>
          <t>TORSBY</t>
        </is>
      </c>
      <c r="I513" t="n">
        <v>2.9</v>
      </c>
      <c r="J513" t="n">
        <v>0</v>
      </c>
      <c r="K513" t="n">
        <v>0</v>
      </c>
      <c r="L513" t="n">
        <v>0</v>
      </c>
      <c r="M513" t="n">
        <v>1</v>
      </c>
      <c r="N513" t="n">
        <v>0</v>
      </c>
      <c r="O513" t="n">
        <v>0</v>
      </c>
      <c r="P513" t="n">
        <v>0</v>
      </c>
      <c r="Q513" t="n">
        <v>1</v>
      </c>
      <c r="R513" t="n">
        <v>1</v>
      </c>
      <c r="S513" t="n">
        <v>1</v>
      </c>
      <c r="T513" t="n">
        <v>1</v>
      </c>
      <c r="U513" t="n">
        <v>0</v>
      </c>
      <c r="V513" s="2" t="inlineStr">
        <is>
          <t>Garnlav</t>
        </is>
      </c>
      <c r="W513">
        <f>HYPERLINK("https://klasma.github.io/Logging_1737/artfynd/A 50608-2023 artfynd.xlsx", "A 50608-2023")</f>
        <v/>
      </c>
      <c r="X513">
        <f>HYPERLINK("https://klasma.github.io/Logging_1737/kartor/A 50608-2023 karta.png", "A 50608-2023")</f>
        <v/>
      </c>
      <c r="Y513">
        <f>HYPERLINK("https://klasma.github.io/Logging_1737/kartor_geotiff/A 50608-2023 georefererad karta.tif", "A 50608-2023")</f>
        <v/>
      </c>
      <c r="AA513">
        <f>HYPERLINK("https://klasma.github.io/Logging_1737/klagomål/A 50608-2023 FSC-klagomål.docx", "A 50608-2023")</f>
        <v/>
      </c>
      <c r="AB513">
        <f>HYPERLINK("https://klasma.github.io/Logging_1737/klagomålsmail/A 50608-2023 FSC-klagomål mail.docx", "A 50608-2023")</f>
        <v/>
      </c>
      <c r="AC513">
        <f>HYPERLINK("https://klasma.github.io/Logging_1737/tillsyn/A 50608-2023 tillsynsbegäran.docx", "A 50608-2023")</f>
        <v/>
      </c>
      <c r="AD513">
        <f>HYPERLINK("https://klasma.github.io/Logging_1737/tillsynsmail/A 50608-2023 tillsynsbegäran mail.docx", "A 50608-2023")</f>
        <v/>
      </c>
    </row>
    <row r="514" ht="15" customHeight="1">
      <c r="A514" t="inlineStr">
        <is>
          <t>A 5992-2023</t>
        </is>
      </c>
      <c r="B514" t="inlineStr">
        <is>
          <t>avverkningsanmälan</t>
        </is>
      </c>
      <c r="C514" t="inlineStr">
        <is>
          <t>Avverkning för annat ändamål</t>
        </is>
      </c>
      <c r="D514" s="1" t="n">
        <v>44959</v>
      </c>
      <c r="E514" s="1" t="n">
        <v>46307</v>
      </c>
      <c r="F514" t="inlineStr">
        <is>
          <t>VÄRMLANDS LÄN</t>
        </is>
      </c>
      <c r="G514" t="inlineStr">
        <is>
          <t>FILIPSTAD</t>
        </is>
      </c>
      <c r="I514" t="n">
        <v>0.6</v>
      </c>
      <c r="J514" t="n">
        <v>1</v>
      </c>
      <c r="K514" t="n">
        <v>0</v>
      </c>
      <c r="L514" t="n">
        <v>0</v>
      </c>
      <c r="M514" t="n">
        <v>0</v>
      </c>
      <c r="N514" t="n">
        <v>0</v>
      </c>
      <c r="O514" t="n">
        <v>0</v>
      </c>
      <c r="P514" t="n">
        <v>0</v>
      </c>
      <c r="Q514" t="n">
        <v>0</v>
      </c>
      <c r="R514" t="n">
        <v>0</v>
      </c>
      <c r="S514" t="n">
        <v>1</v>
      </c>
      <c r="T514" t="n">
        <v>1</v>
      </c>
      <c r="U514" t="n">
        <v>1</v>
      </c>
      <c r="V514" s="2" t="inlineStr">
        <is>
          <t>Fläcknycklar</t>
        </is>
      </c>
      <c r="W514">
        <f>HYPERLINK("https://klasma.github.io/Logging_1782/artfynd/A 5992-2023 artfynd.xlsx", "A 5992-2023")</f>
        <v/>
      </c>
      <c r="X514">
        <f>HYPERLINK("https://klasma.github.io/Logging_1782/kartor/A 5992-2023 karta.png", "A 5992-2023")</f>
        <v/>
      </c>
      <c r="Y514">
        <f>HYPERLINK("https://klasma.github.io/Logging_1782/kartor_geotiff/A 5992-2023 georefererad karta.tif", "A 5992-2023")</f>
        <v/>
      </c>
      <c r="AA514">
        <f>HYPERLINK("https://klasma.github.io/Logging_1782/klagomål/A 5992-2023 FSC-klagomål.docx", "A 5992-2023")</f>
        <v/>
      </c>
      <c r="AB514">
        <f>HYPERLINK("https://klasma.github.io/Logging_1782/klagomålsmail/A 5992-2023 FSC-klagomål mail.docx", "A 5992-2023")</f>
        <v/>
      </c>
      <c r="AC514">
        <f>HYPERLINK("https://klasma.github.io/Logging_1782/tillsyn/A 5992-2023 tillsynsbegäran.docx", "A 5992-2023")</f>
        <v/>
      </c>
      <c r="AD514">
        <f>HYPERLINK("https://klasma.github.io/Logging_1782/tillsynsmail/A 5992-2023 tillsynsbegäran mail.docx", "A 5992-2023")</f>
        <v/>
      </c>
    </row>
    <row r="515" ht="15" customHeight="1">
      <c r="A515" t="inlineStr">
        <is>
          <t>A 12673-2024</t>
        </is>
      </c>
      <c r="B515" t="inlineStr">
        <is>
          <t>avverkningsanmälan</t>
        </is>
      </c>
      <c r="C515" t="inlineStr">
        <is>
          <t>Avverkning för annat ändamål</t>
        </is>
      </c>
      <c r="D515" s="1" t="n">
        <v>45384</v>
      </c>
      <c r="E515" s="1" t="n">
        <v>46307</v>
      </c>
      <c r="F515" t="inlineStr">
        <is>
          <t>VÄRMLANDS LÄN</t>
        </is>
      </c>
      <c r="G515" t="inlineStr">
        <is>
          <t>HAGFORS</t>
        </is>
      </c>
      <c r="H515" t="inlineStr">
        <is>
          <t>Bergvik skog väst AB</t>
        </is>
      </c>
      <c r="I515" t="n">
        <v>1.2</v>
      </c>
      <c r="J515" t="n">
        <v>1</v>
      </c>
      <c r="K515" t="n">
        <v>0</v>
      </c>
      <c r="L515" t="n">
        <v>0</v>
      </c>
      <c r="M515" t="n">
        <v>0</v>
      </c>
      <c r="N515" t="n">
        <v>0</v>
      </c>
      <c r="O515" t="n">
        <v>0</v>
      </c>
      <c r="P515" t="n">
        <v>0</v>
      </c>
      <c r="Q515" t="n">
        <v>0</v>
      </c>
      <c r="R515" t="n">
        <v>0</v>
      </c>
      <c r="S515" t="n">
        <v>1</v>
      </c>
      <c r="T515" t="n">
        <v>1</v>
      </c>
      <c r="U515" t="n">
        <v>1</v>
      </c>
      <c r="V515" s="2" t="inlineStr">
        <is>
          <t>Tofsmes</t>
        </is>
      </c>
      <c r="W515">
        <f>HYPERLINK("https://klasma.github.io/Logging_1783/artfynd/A 12673-2024 artfynd.xlsx", "A 12673-2024")</f>
        <v/>
      </c>
      <c r="X515">
        <f>HYPERLINK("https://klasma.github.io/Logging_1783/kartor/A 12673-2024 karta.png", "A 12673-2024")</f>
        <v/>
      </c>
      <c r="Y515">
        <f>HYPERLINK("https://klasma.github.io/Logging_1783/kartor_geotiff/A 12673-2024 georefererad karta.tif", "A 12673-2024")</f>
        <v/>
      </c>
      <c r="AA515">
        <f>HYPERLINK("https://klasma.github.io/Logging_1783/klagomål/A 12673-2024 FSC-klagomål.docx", "A 12673-2024")</f>
        <v/>
      </c>
      <c r="AB515">
        <f>HYPERLINK("https://klasma.github.io/Logging_1783/klagomålsmail/A 12673-2024 FSC-klagomål mail.docx", "A 12673-2024")</f>
        <v/>
      </c>
      <c r="AC515">
        <f>HYPERLINK("https://klasma.github.io/Logging_1783/tillsyn/A 12673-2024 tillsynsbegäran.docx", "A 12673-2024")</f>
        <v/>
      </c>
      <c r="AD515">
        <f>HYPERLINK("https://klasma.github.io/Logging_1783/tillsynsmail/A 12673-2024 tillsynsbegäran mail.docx", "A 12673-2024")</f>
        <v/>
      </c>
    </row>
    <row r="516" ht="15" customHeight="1">
      <c r="A516" t="inlineStr">
        <is>
          <t>A 59323-2022</t>
        </is>
      </c>
      <c r="B516" t="inlineStr">
        <is>
          <t>avverkningsanmälan</t>
        </is>
      </c>
      <c r="C516" t="inlineStr">
        <is>
          <t>Föryngringsavverkning</t>
        </is>
      </c>
      <c r="D516" s="1" t="n">
        <v>44904</v>
      </c>
      <c r="E516" s="1" t="n">
        <v>46307</v>
      </c>
      <c r="F516" t="inlineStr">
        <is>
          <t>VÄRMLANDS LÄN</t>
        </is>
      </c>
      <c r="G516" t="inlineStr">
        <is>
          <t>SUNNE</t>
        </is>
      </c>
      <c r="I516" t="n">
        <v>1.6</v>
      </c>
      <c r="J516" t="n">
        <v>1</v>
      </c>
      <c r="K516" t="n">
        <v>0</v>
      </c>
      <c r="L516" t="n">
        <v>1</v>
      </c>
      <c r="M516" t="n">
        <v>0</v>
      </c>
      <c r="N516" t="n">
        <v>0</v>
      </c>
      <c r="O516" t="n">
        <v>0</v>
      </c>
      <c r="P516" t="n">
        <v>0</v>
      </c>
      <c r="Q516" t="n">
        <v>1</v>
      </c>
      <c r="R516" t="n">
        <v>0</v>
      </c>
      <c r="S516" t="n">
        <v>1</v>
      </c>
      <c r="T516" t="n">
        <v>1</v>
      </c>
      <c r="U516" t="n">
        <v>0</v>
      </c>
      <c r="V516" s="2" t="inlineStr">
        <is>
          <t>Tretåig hackspett</t>
        </is>
      </c>
      <c r="W516">
        <f>HYPERLINK("https://klasma.github.io/Logging_1766/artfynd/A 59323-2022 artfynd.xlsx", "A 59323-2022")</f>
        <v/>
      </c>
      <c r="X516">
        <f>HYPERLINK("https://klasma.github.io/Logging_1766/kartor/A 59323-2022 karta.png", "A 59323-2022")</f>
        <v/>
      </c>
      <c r="Y516">
        <f>HYPERLINK("https://klasma.github.io/Logging_1766/kartor_geotiff/A 59323-2022 georefererad karta.tif", "A 59323-2022")</f>
        <v/>
      </c>
      <c r="AA516">
        <f>HYPERLINK("https://klasma.github.io/Logging_1766/klagomål/A 59323-2022 FSC-klagomål.docx", "A 59323-2022")</f>
        <v/>
      </c>
      <c r="AB516">
        <f>HYPERLINK("https://klasma.github.io/Logging_1766/klagomålsmail/A 59323-2022 FSC-klagomål mail.docx", "A 59323-2022")</f>
        <v/>
      </c>
      <c r="AC516">
        <f>HYPERLINK("https://klasma.github.io/Logging_1766/tillsyn/A 59323-2022 tillsynsbegäran.docx", "A 59323-2022")</f>
        <v/>
      </c>
      <c r="AD516">
        <f>HYPERLINK("https://klasma.github.io/Logging_1766/tillsynsmail/A 59323-2022 tillsynsbegäran mail.docx", "A 59323-2022")</f>
        <v/>
      </c>
      <c r="AE516">
        <f>HYPERLINK("https://klasma.github.io/Logging_1766/fåglar/A 59323-2022 prioriterade fågelarter.docx", "A 59323-2022")</f>
        <v/>
      </c>
    </row>
    <row r="517" ht="15" customHeight="1">
      <c r="A517" t="inlineStr">
        <is>
          <t>A 10138-2024</t>
        </is>
      </c>
      <c r="B517" t="inlineStr">
        <is>
          <t>avverkningsanmälan</t>
        </is>
      </c>
      <c r="C517" t="inlineStr">
        <is>
          <t>Föryngringsavverkning</t>
        </is>
      </c>
      <c r="D517" s="1" t="n">
        <v>45364</v>
      </c>
      <c r="E517" s="1" t="n">
        <v>46307</v>
      </c>
      <c r="F517" t="inlineStr">
        <is>
          <t>VÄRMLANDS LÄN</t>
        </is>
      </c>
      <c r="G517" t="inlineStr">
        <is>
          <t>FILIPSTAD</t>
        </is>
      </c>
      <c r="H517" t="inlineStr">
        <is>
          <t>Kommuner</t>
        </is>
      </c>
      <c r="I517" t="n">
        <v>6.8</v>
      </c>
      <c r="J517" t="n">
        <v>1</v>
      </c>
      <c r="K517" t="n">
        <v>1</v>
      </c>
      <c r="L517" t="n">
        <v>0</v>
      </c>
      <c r="M517" t="n">
        <v>0</v>
      </c>
      <c r="N517" t="n">
        <v>0</v>
      </c>
      <c r="O517" t="n">
        <v>0</v>
      </c>
      <c r="P517" t="n">
        <v>0</v>
      </c>
      <c r="Q517" t="n">
        <v>0</v>
      </c>
      <c r="R517" t="n">
        <v>0</v>
      </c>
      <c r="S517" t="n">
        <v>1</v>
      </c>
      <c r="T517" t="n">
        <v>1</v>
      </c>
      <c r="U517" t="n">
        <v>1</v>
      </c>
      <c r="V517" s="2" t="inlineStr">
        <is>
          <t>Purpurknipprot</t>
        </is>
      </c>
      <c r="W517">
        <f>HYPERLINK("https://klasma.github.io/Logging_1782/artfynd/A 10138-2024 artfynd.xlsx", "A 10138-2024")</f>
        <v/>
      </c>
      <c r="X517">
        <f>HYPERLINK("https://klasma.github.io/Logging_1782/kartor/A 10138-2024 karta.png", "A 10138-2024")</f>
        <v/>
      </c>
      <c r="Y517">
        <f>HYPERLINK("https://klasma.github.io/Logging_1782/kartor_geotiff/A 10138-2024 georefererad karta.tif", "A 10138-2024")</f>
        <v/>
      </c>
      <c r="AA517">
        <f>HYPERLINK("https://klasma.github.io/Logging_1782/klagomål/A 10138-2024 FSC-klagomål.docx", "A 10138-2024")</f>
        <v/>
      </c>
      <c r="AB517">
        <f>HYPERLINK("https://klasma.github.io/Logging_1782/klagomålsmail/A 10138-2024 FSC-klagomål mail.docx", "A 10138-2024")</f>
        <v/>
      </c>
      <c r="AC517">
        <f>HYPERLINK("https://klasma.github.io/Logging_1782/tillsyn/A 10138-2024 tillsynsbegäran.docx", "A 10138-2024")</f>
        <v/>
      </c>
      <c r="AD517">
        <f>HYPERLINK("https://klasma.github.io/Logging_1782/tillsynsmail/A 10138-2024 tillsynsbegäran mail.docx", "A 10138-2024")</f>
        <v/>
      </c>
    </row>
    <row r="518" ht="15" customHeight="1">
      <c r="A518" t="inlineStr">
        <is>
          <t>A 47699-2022</t>
        </is>
      </c>
      <c r="B518" t="inlineStr">
        <is>
          <t>avverkningsanmälan</t>
        </is>
      </c>
      <c r="C518" t="inlineStr">
        <is>
          <t>Föryngringsavverkning</t>
        </is>
      </c>
      <c r="D518" s="1" t="n">
        <v>44854</v>
      </c>
      <c r="E518" s="1" t="n">
        <v>46307</v>
      </c>
      <c r="F518" t="inlineStr">
        <is>
          <t>VÄRMLANDS LÄN</t>
        </is>
      </c>
      <c r="G518" t="inlineStr">
        <is>
          <t>ARVIKA</t>
        </is>
      </c>
      <c r="I518" t="n">
        <v>20</v>
      </c>
      <c r="J518" t="n">
        <v>1</v>
      </c>
      <c r="K518" t="n">
        <v>0</v>
      </c>
      <c r="L518" t="n">
        <v>0</v>
      </c>
      <c r="M518" t="n">
        <v>0</v>
      </c>
      <c r="N518" t="n">
        <v>0</v>
      </c>
      <c r="O518" t="n">
        <v>0</v>
      </c>
      <c r="P518" t="n">
        <v>0</v>
      </c>
      <c r="Q518" t="n">
        <v>0</v>
      </c>
      <c r="R518" t="n">
        <v>0</v>
      </c>
      <c r="S518" t="n">
        <v>1</v>
      </c>
      <c r="T518" t="n">
        <v>1</v>
      </c>
      <c r="U518" t="n">
        <v>0</v>
      </c>
      <c r="V518" s="2" t="inlineStr">
        <is>
          <t>Blåsippa</t>
        </is>
      </c>
      <c r="W518">
        <f>HYPERLINK("https://klasma.github.io/Logging_1784/artfynd/A 47699-2022 artfynd.xlsx", "A 47699-2022")</f>
        <v/>
      </c>
      <c r="X518">
        <f>HYPERLINK("https://klasma.github.io/Logging_1784/kartor/A 47699-2022 karta.png", "A 47699-2022")</f>
        <v/>
      </c>
      <c r="Y518">
        <f>HYPERLINK("https://klasma.github.io/Logging_1784/kartor_geotiff/A 47699-2022 georefererad karta.tif", "A 47699-2022")</f>
        <v/>
      </c>
      <c r="AA518">
        <f>HYPERLINK("https://klasma.github.io/Logging_1784/klagomål/A 47699-2022 FSC-klagomål.docx", "A 47699-2022")</f>
        <v/>
      </c>
      <c r="AB518">
        <f>HYPERLINK("https://klasma.github.io/Logging_1784/klagomålsmail/A 47699-2022 FSC-klagomål mail.docx", "A 47699-2022")</f>
        <v/>
      </c>
      <c r="AC518">
        <f>HYPERLINK("https://klasma.github.io/Logging_1784/tillsyn/A 47699-2022 tillsynsbegäran.docx", "A 47699-2022")</f>
        <v/>
      </c>
      <c r="AD518">
        <f>HYPERLINK("https://klasma.github.io/Logging_1784/tillsynsmail/A 47699-2022 tillsynsbegäran mail.docx", "A 47699-2022")</f>
        <v/>
      </c>
    </row>
    <row r="519" ht="15" customHeight="1">
      <c r="A519" t="inlineStr">
        <is>
          <t>A 40033-2024</t>
        </is>
      </c>
      <c r="B519" t="inlineStr">
        <is>
          <t>avverkningsanmälan</t>
        </is>
      </c>
      <c r="C519" t="inlineStr">
        <is>
          <t>Föryngringsavverkning</t>
        </is>
      </c>
      <c r="D519" s="1" t="n">
        <v>45553</v>
      </c>
      <c r="E519" s="1" t="n">
        <v>46307</v>
      </c>
      <c r="F519" t="inlineStr">
        <is>
          <t>VÄRMLANDS LÄN</t>
        </is>
      </c>
      <c r="G519" t="inlineStr">
        <is>
          <t>TORSBY</t>
        </is>
      </c>
      <c r="I519" t="n">
        <v>6.2</v>
      </c>
      <c r="J519" t="n">
        <v>0</v>
      </c>
      <c r="K519" t="n">
        <v>0</v>
      </c>
      <c r="L519" t="n">
        <v>1</v>
      </c>
      <c r="M519" t="n">
        <v>0</v>
      </c>
      <c r="N519" t="n">
        <v>0</v>
      </c>
      <c r="O519" t="n">
        <v>0</v>
      </c>
      <c r="P519" t="n">
        <v>0</v>
      </c>
      <c r="Q519" t="n">
        <v>1</v>
      </c>
      <c r="R519" t="n">
        <v>0</v>
      </c>
      <c r="S519" t="n">
        <v>1</v>
      </c>
      <c r="T519" t="n">
        <v>1</v>
      </c>
      <c r="U519" t="n">
        <v>0</v>
      </c>
      <c r="V519" s="2" t="inlineStr">
        <is>
          <t>Violettgrå tagellav</t>
        </is>
      </c>
      <c r="W519">
        <f>HYPERLINK("https://klasma.github.io/Logging_1737/artfynd/A 40033-2024 artfynd.xlsx", "A 40033-2024")</f>
        <v/>
      </c>
      <c r="X519">
        <f>HYPERLINK("https://klasma.github.io/Logging_1737/kartor/A 40033-2024 karta.png", "A 40033-2024")</f>
        <v/>
      </c>
      <c r="Y519">
        <f>HYPERLINK("https://klasma.github.io/Logging_1737/kartor_geotiff/A 40033-2024 georefererad karta.tif", "A 40033-2024")</f>
        <v/>
      </c>
      <c r="AA519">
        <f>HYPERLINK("https://klasma.github.io/Logging_1737/klagomål/A 40033-2024 FSC-klagomål.docx", "A 40033-2024")</f>
        <v/>
      </c>
      <c r="AB519">
        <f>HYPERLINK("https://klasma.github.io/Logging_1737/klagomålsmail/A 40033-2024 FSC-klagomål mail.docx", "A 40033-2024")</f>
        <v/>
      </c>
      <c r="AC519">
        <f>HYPERLINK("https://klasma.github.io/Logging_1737/tillsyn/A 40033-2024 tillsynsbegäran.docx", "A 40033-2024")</f>
        <v/>
      </c>
      <c r="AD519">
        <f>HYPERLINK("https://klasma.github.io/Logging_1737/tillsynsmail/A 40033-2024 tillsynsbegäran mail.docx", "A 40033-2024")</f>
        <v/>
      </c>
    </row>
    <row r="520" ht="15" customHeight="1">
      <c r="A520" t="inlineStr">
        <is>
          <t>A 53276-2023</t>
        </is>
      </c>
      <c r="B520" t="inlineStr">
        <is>
          <t>avverkningsanmälan</t>
        </is>
      </c>
      <c r="C520" t="inlineStr">
        <is>
          <t>Avverkning för annat ändamål</t>
        </is>
      </c>
      <c r="D520" s="1" t="n">
        <v>45229</v>
      </c>
      <c r="E520" s="1" t="n">
        <v>46307</v>
      </c>
      <c r="F520" t="inlineStr">
        <is>
          <t>VÄRMLANDS LÄN</t>
        </is>
      </c>
      <c r="G520" t="inlineStr">
        <is>
          <t>HAMMARÖ</t>
        </is>
      </c>
      <c r="H520" t="inlineStr">
        <is>
          <t>Övriga Aktiebolag</t>
        </is>
      </c>
      <c r="I520" t="n">
        <v>0.3</v>
      </c>
      <c r="J520" t="n">
        <v>1</v>
      </c>
      <c r="K520" t="n">
        <v>0</v>
      </c>
      <c r="L520" t="n">
        <v>0</v>
      </c>
      <c r="M520" t="n">
        <v>0</v>
      </c>
      <c r="N520" t="n">
        <v>0</v>
      </c>
      <c r="O520" t="n">
        <v>0</v>
      </c>
      <c r="P520" t="n">
        <v>0</v>
      </c>
      <c r="Q520" t="n">
        <v>0</v>
      </c>
      <c r="R520" t="n">
        <v>0</v>
      </c>
      <c r="S520" t="n">
        <v>1</v>
      </c>
      <c r="T520" t="n">
        <v>1</v>
      </c>
      <c r="U520" t="n">
        <v>1</v>
      </c>
      <c r="V520" s="2" t="inlineStr">
        <is>
          <t>Vanlig groda</t>
        </is>
      </c>
      <c r="W520">
        <f>HYPERLINK("https://klasma.github.io/Logging_1761/artfynd/A 53276-2023 artfynd.xlsx", "A 53276-2023")</f>
        <v/>
      </c>
      <c r="X520">
        <f>HYPERLINK("https://klasma.github.io/Logging_1761/kartor/A 53276-2023 karta.png", "A 53276-2023")</f>
        <v/>
      </c>
      <c r="Y520">
        <f>HYPERLINK("https://klasma.github.io/Logging_1761/kartor_geotiff/A 53276-2023 georefererad karta.tif", "A 53276-2023")</f>
        <v/>
      </c>
      <c r="AA520">
        <f>HYPERLINK("https://klasma.github.io/Logging_1761/klagomål/A 53276-2023 FSC-klagomål.docx", "A 53276-2023")</f>
        <v/>
      </c>
      <c r="AB520">
        <f>HYPERLINK("https://klasma.github.io/Logging_1761/klagomålsmail/A 53276-2023 FSC-klagomål mail.docx", "A 53276-2023")</f>
        <v/>
      </c>
      <c r="AC520">
        <f>HYPERLINK("https://klasma.github.io/Logging_1761/tillsyn/A 53276-2023 tillsynsbegäran.docx", "A 53276-2023")</f>
        <v/>
      </c>
      <c r="AD520">
        <f>HYPERLINK("https://klasma.github.io/Logging_1761/tillsynsmail/A 53276-2023 tillsynsbegäran mail.docx", "A 53276-2023")</f>
        <v/>
      </c>
    </row>
    <row r="521" ht="15" customHeight="1">
      <c r="A521" t="inlineStr">
        <is>
          <t>A 1580-2025</t>
        </is>
      </c>
      <c r="B521" t="inlineStr">
        <is>
          <t>avverkningsanmälan</t>
        </is>
      </c>
      <c r="C521" t="inlineStr">
        <is>
          <t>Föryngringsavverkning</t>
        </is>
      </c>
      <c r="D521" s="1" t="n">
        <v>45670</v>
      </c>
      <c r="E521" s="1" t="n">
        <v>46307</v>
      </c>
      <c r="F521" t="inlineStr">
        <is>
          <t>VÄRMLANDS LÄN</t>
        </is>
      </c>
      <c r="G521" t="inlineStr">
        <is>
          <t>ÅRJÄNG</t>
        </is>
      </c>
      <c r="I521" t="n">
        <v>2.8</v>
      </c>
      <c r="J521" t="n">
        <v>1</v>
      </c>
      <c r="K521" t="n">
        <v>0</v>
      </c>
      <c r="L521" t="n">
        <v>0</v>
      </c>
      <c r="M521" t="n">
        <v>0</v>
      </c>
      <c r="N521" t="n">
        <v>0</v>
      </c>
      <c r="O521" t="n">
        <v>0</v>
      </c>
      <c r="P521" t="n">
        <v>0</v>
      </c>
      <c r="Q521" t="n">
        <v>0</v>
      </c>
      <c r="R521" t="n">
        <v>0</v>
      </c>
      <c r="S521" t="n">
        <v>1</v>
      </c>
      <c r="T521" t="n">
        <v>1</v>
      </c>
      <c r="U521" t="n">
        <v>0</v>
      </c>
      <c r="V521" s="2" t="inlineStr">
        <is>
          <t>Revlummer</t>
        </is>
      </c>
      <c r="W521">
        <f>HYPERLINK("https://klasma.github.io/Logging_1765/artfynd/A 1580-2025 artfynd.xlsx", "A 1580-2025")</f>
        <v/>
      </c>
      <c r="X521">
        <f>HYPERLINK("https://klasma.github.io/Logging_1765/kartor/A 1580-2025 karta.png", "A 1580-2025")</f>
        <v/>
      </c>
      <c r="Y521">
        <f>HYPERLINK("https://klasma.github.io/Logging_1765/kartor_geotiff/A 1580-2025 georefererad karta.tif", "A 1580-2025")</f>
        <v/>
      </c>
      <c r="AA521">
        <f>HYPERLINK("https://klasma.github.io/Logging_1765/klagomål/A 1580-2025 FSC-klagomål.docx", "A 1580-2025")</f>
        <v/>
      </c>
      <c r="AB521">
        <f>HYPERLINK("https://klasma.github.io/Logging_1765/klagomålsmail/A 1580-2025 FSC-klagomål mail.docx", "A 1580-2025")</f>
        <v/>
      </c>
      <c r="AC521">
        <f>HYPERLINK("https://klasma.github.io/Logging_1765/tillsyn/A 1580-2025 tillsynsbegäran.docx", "A 1580-2025")</f>
        <v/>
      </c>
      <c r="AD521">
        <f>HYPERLINK("https://klasma.github.io/Logging_1765/tillsynsmail/A 1580-2025 tillsynsbegäran mail.docx", "A 1580-2025")</f>
        <v/>
      </c>
    </row>
    <row r="522" ht="15" customHeight="1">
      <c r="A522" t="inlineStr">
        <is>
          <t>A 37339-2022</t>
        </is>
      </c>
      <c r="B522" t="inlineStr">
        <is>
          <t>avverkningsanmälan</t>
        </is>
      </c>
      <c r="C522" t="inlineStr">
        <is>
          <t>Föryngringsavverkning</t>
        </is>
      </c>
      <c r="D522" s="1" t="n">
        <v>44806</v>
      </c>
      <c r="E522" s="1" t="n">
        <v>46307</v>
      </c>
      <c r="F522" t="inlineStr">
        <is>
          <t>VÄRMLANDS LÄN</t>
        </is>
      </c>
      <c r="G522" t="inlineStr">
        <is>
          <t>GRUMS</t>
        </is>
      </c>
      <c r="I522" t="n">
        <v>1.8</v>
      </c>
      <c r="J522" t="n">
        <v>0</v>
      </c>
      <c r="K522" t="n">
        <v>0</v>
      </c>
      <c r="L522" t="n">
        <v>1</v>
      </c>
      <c r="M522" t="n">
        <v>0</v>
      </c>
      <c r="N522" t="n">
        <v>0</v>
      </c>
      <c r="O522" t="n">
        <v>0</v>
      </c>
      <c r="P522" t="n">
        <v>0</v>
      </c>
      <c r="Q522" t="n">
        <v>1</v>
      </c>
      <c r="R522" t="n">
        <v>0</v>
      </c>
      <c r="S522" t="n">
        <v>1</v>
      </c>
      <c r="T522" t="n">
        <v>1</v>
      </c>
      <c r="U522" t="n">
        <v>0</v>
      </c>
      <c r="V522" s="2" t="inlineStr">
        <is>
          <t>Skogsklocka</t>
        </is>
      </c>
      <c r="W522">
        <f>HYPERLINK("https://klasma.github.io/Logging_1764/artfynd/A 37339-2022 artfynd.xlsx", "A 37339-2022")</f>
        <v/>
      </c>
      <c r="X522">
        <f>HYPERLINK("https://klasma.github.io/Logging_1764/kartor/A 37339-2022 karta.png", "A 37339-2022")</f>
        <v/>
      </c>
      <c r="Y522">
        <f>HYPERLINK("https://klasma.github.io/Logging_1764/kartor_geotiff/A 37339-2022 georefererad karta.tif", "A 37339-2022")</f>
        <v/>
      </c>
      <c r="AA522">
        <f>HYPERLINK("https://klasma.github.io/Logging_1764/klagomål/A 37339-2022 FSC-klagomål.docx", "A 37339-2022")</f>
        <v/>
      </c>
      <c r="AB522">
        <f>HYPERLINK("https://klasma.github.io/Logging_1764/klagomålsmail/A 37339-2022 FSC-klagomål mail.docx", "A 37339-2022")</f>
        <v/>
      </c>
      <c r="AC522">
        <f>HYPERLINK("https://klasma.github.io/Logging_1764/tillsyn/A 37339-2022 tillsynsbegäran.docx", "A 37339-2022")</f>
        <v/>
      </c>
      <c r="AD522">
        <f>HYPERLINK("https://klasma.github.io/Logging_1764/tillsynsmail/A 37339-2022 tillsynsbegäran mail.docx", "A 37339-2022")</f>
        <v/>
      </c>
    </row>
    <row r="523" ht="15" customHeight="1">
      <c r="A523" t="inlineStr">
        <is>
          <t>A 53498-2023</t>
        </is>
      </c>
      <c r="B523" t="inlineStr">
        <is>
          <t>avverkningsanmälan</t>
        </is>
      </c>
      <c r="C523" t="inlineStr">
        <is>
          <t>Föryngringsavverkning</t>
        </is>
      </c>
      <c r="D523" s="1" t="n">
        <v>45230</v>
      </c>
      <c r="E523" s="1" t="n">
        <v>46307</v>
      </c>
      <c r="F523" t="inlineStr">
        <is>
          <t>VÄRMLANDS LÄN</t>
        </is>
      </c>
      <c r="G523" t="inlineStr">
        <is>
          <t>KIL</t>
        </is>
      </c>
      <c r="I523" t="n">
        <v>0.9</v>
      </c>
      <c r="J523" t="n">
        <v>0</v>
      </c>
      <c r="K523" t="n">
        <v>0</v>
      </c>
      <c r="L523" t="n">
        <v>0</v>
      </c>
      <c r="M523" t="n">
        <v>1</v>
      </c>
      <c r="N523" t="n">
        <v>0</v>
      </c>
      <c r="O523" t="n">
        <v>0</v>
      </c>
      <c r="P523" t="n">
        <v>0</v>
      </c>
      <c r="Q523" t="n">
        <v>1</v>
      </c>
      <c r="R523" t="n">
        <v>1</v>
      </c>
      <c r="S523" t="n">
        <v>1</v>
      </c>
      <c r="T523" t="n">
        <v>1</v>
      </c>
      <c r="U523" t="n">
        <v>0</v>
      </c>
      <c r="V523" s="2" t="inlineStr">
        <is>
          <t>Brunfläckig pärlemorfjäril</t>
        </is>
      </c>
      <c r="W523">
        <f>HYPERLINK("https://klasma.github.io/Logging_1715/artfynd/A 53498-2023 artfynd.xlsx", "A 53498-2023")</f>
        <v/>
      </c>
      <c r="X523">
        <f>HYPERLINK("https://klasma.github.io/Logging_1715/kartor/A 53498-2023 karta.png", "A 53498-2023")</f>
        <v/>
      </c>
      <c r="Y523">
        <f>HYPERLINK("https://klasma.github.io/Logging_1715/kartor_geotiff/A 53498-2023 georefererad karta.tif", "A 53498-2023")</f>
        <v/>
      </c>
      <c r="AA523">
        <f>HYPERLINK("https://klasma.github.io/Logging_1715/klagomål/A 53498-2023 FSC-klagomål.docx", "A 53498-2023")</f>
        <v/>
      </c>
      <c r="AB523">
        <f>HYPERLINK("https://klasma.github.io/Logging_1715/klagomålsmail/A 53498-2023 FSC-klagomål mail.docx", "A 53498-2023")</f>
        <v/>
      </c>
      <c r="AC523">
        <f>HYPERLINK("https://klasma.github.io/Logging_1715/tillsyn/A 53498-2023 tillsynsbegäran.docx", "A 53498-2023")</f>
        <v/>
      </c>
      <c r="AD523">
        <f>HYPERLINK("https://klasma.github.io/Logging_1715/tillsynsmail/A 53498-2023 tillsynsbegäran mail.docx", "A 53498-2023")</f>
        <v/>
      </c>
    </row>
    <row r="524" ht="15" customHeight="1">
      <c r="A524" t="inlineStr">
        <is>
          <t>A 62507-2023</t>
        </is>
      </c>
      <c r="B524" t="inlineStr">
        <is>
          <t>avverkningsanmälan</t>
        </is>
      </c>
      <c r="C524" t="inlineStr">
        <is>
          <t>Föryngringsavverkning</t>
        </is>
      </c>
      <c r="D524" s="1" t="n">
        <v>45267</v>
      </c>
      <c r="E524" s="1" t="n">
        <v>46307</v>
      </c>
      <c r="F524" t="inlineStr">
        <is>
          <t>VÄRMLANDS LÄN</t>
        </is>
      </c>
      <c r="G524" t="inlineStr">
        <is>
          <t>TORSBY</t>
        </is>
      </c>
      <c r="I524" t="n">
        <v>3.3</v>
      </c>
      <c r="J524" t="n">
        <v>1</v>
      </c>
      <c r="K524" t="n">
        <v>0</v>
      </c>
      <c r="L524" t="n">
        <v>0</v>
      </c>
      <c r="M524" t="n">
        <v>0</v>
      </c>
      <c r="N524" t="n">
        <v>0</v>
      </c>
      <c r="O524" t="n">
        <v>0</v>
      </c>
      <c r="P524" t="n">
        <v>0</v>
      </c>
      <c r="Q524" t="n">
        <v>0</v>
      </c>
      <c r="R524" t="n">
        <v>0</v>
      </c>
      <c r="S524" t="n">
        <v>1</v>
      </c>
      <c r="T524" t="n">
        <v>1</v>
      </c>
      <c r="U524" t="n">
        <v>1</v>
      </c>
      <c r="V524" s="2" t="inlineStr">
        <is>
          <t>Fläcknycklar</t>
        </is>
      </c>
      <c r="W524">
        <f>HYPERLINK("https://klasma.github.io/Logging_1737/artfynd/A 62507-2023 artfynd.xlsx", "A 62507-2023")</f>
        <v/>
      </c>
      <c r="X524">
        <f>HYPERLINK("https://klasma.github.io/Logging_1737/kartor/A 62507-2023 karta.png", "A 62507-2023")</f>
        <v/>
      </c>
      <c r="Y524">
        <f>HYPERLINK("https://klasma.github.io/Logging_1737/kartor_geotiff/A 62507-2023 georefererad karta.tif", "A 62507-2023")</f>
        <v/>
      </c>
      <c r="AA524">
        <f>HYPERLINK("https://klasma.github.io/Logging_1737/klagomål/A 62507-2023 FSC-klagomål.docx", "A 62507-2023")</f>
        <v/>
      </c>
      <c r="AB524">
        <f>HYPERLINK("https://klasma.github.io/Logging_1737/klagomålsmail/A 62507-2023 FSC-klagomål mail.docx", "A 62507-2023")</f>
        <v/>
      </c>
      <c r="AC524">
        <f>HYPERLINK("https://klasma.github.io/Logging_1737/tillsyn/A 62507-2023 tillsynsbegäran.docx", "A 62507-2023")</f>
        <v/>
      </c>
      <c r="AD524">
        <f>HYPERLINK("https://klasma.github.io/Logging_1737/tillsynsmail/A 62507-2023 tillsynsbegäran mail.docx", "A 62507-2023")</f>
        <v/>
      </c>
    </row>
    <row r="525" ht="15" customHeight="1">
      <c r="A525" t="inlineStr">
        <is>
          <t>A 43407-2022</t>
        </is>
      </c>
      <c r="B525" t="inlineStr">
        <is>
          <t>avverkningsanmälan</t>
        </is>
      </c>
      <c r="C525" t="inlineStr">
        <is>
          <t>Föryngringsavverkning</t>
        </is>
      </c>
      <c r="D525" s="1" t="n">
        <v>44834</v>
      </c>
      <c r="E525" s="1" t="n">
        <v>46307</v>
      </c>
      <c r="F525" t="inlineStr">
        <is>
          <t>VÄRMLANDS LÄN</t>
        </is>
      </c>
      <c r="G525" t="inlineStr">
        <is>
          <t>STORFORS</t>
        </is>
      </c>
      <c r="H525" t="inlineStr">
        <is>
          <t>Bergvik skog väst AB</t>
        </is>
      </c>
      <c r="I525" t="n">
        <v>7.1</v>
      </c>
      <c r="J525" t="n">
        <v>1</v>
      </c>
      <c r="K525" t="n">
        <v>0</v>
      </c>
      <c r="L525" t="n">
        <v>0</v>
      </c>
      <c r="M525" t="n">
        <v>0</v>
      </c>
      <c r="N525" t="n">
        <v>0</v>
      </c>
      <c r="O525" t="n">
        <v>0</v>
      </c>
      <c r="P525" t="n">
        <v>0</v>
      </c>
      <c r="Q525" t="n">
        <v>0</v>
      </c>
      <c r="R525" t="n">
        <v>0</v>
      </c>
      <c r="S525" t="n">
        <v>1</v>
      </c>
      <c r="T525" t="n">
        <v>1</v>
      </c>
      <c r="U525" t="n">
        <v>1</v>
      </c>
      <c r="V525" s="2" t="inlineStr">
        <is>
          <t>Orre</t>
        </is>
      </c>
      <c r="W525">
        <f>HYPERLINK("https://klasma.github.io/Logging_1760/artfynd/A 43407-2022 artfynd.xlsx", "A 43407-2022")</f>
        <v/>
      </c>
      <c r="X525">
        <f>HYPERLINK("https://klasma.github.io/Logging_1760/kartor/A 43407-2022 karta.png", "A 43407-2022")</f>
        <v/>
      </c>
      <c r="Y525">
        <f>HYPERLINK("https://klasma.github.io/Logging_1760/kartor_geotiff/A 43407-2022 georefererad karta.tif", "A 43407-2022")</f>
        <v/>
      </c>
      <c r="AA525">
        <f>HYPERLINK("https://klasma.github.io/Logging_1760/klagomål/A 43407-2022 FSC-klagomål.docx", "A 43407-2022")</f>
        <v/>
      </c>
      <c r="AB525">
        <f>HYPERLINK("https://klasma.github.io/Logging_1760/klagomålsmail/A 43407-2022 FSC-klagomål mail.docx", "A 43407-2022")</f>
        <v/>
      </c>
      <c r="AC525">
        <f>HYPERLINK("https://klasma.github.io/Logging_1760/tillsyn/A 43407-2022 tillsynsbegäran.docx", "A 43407-2022")</f>
        <v/>
      </c>
      <c r="AD525">
        <f>HYPERLINK("https://klasma.github.io/Logging_1760/tillsynsmail/A 43407-2022 tillsynsbegäran mail.docx", "A 43407-2022")</f>
        <v/>
      </c>
      <c r="AE525">
        <f>HYPERLINK("https://klasma.github.io/Logging_1760/fåglar/A 43407-2022 prioriterade fågelarter.docx", "A 43407-2022")</f>
        <v/>
      </c>
    </row>
    <row r="526" ht="15" customHeight="1">
      <c r="A526" t="inlineStr">
        <is>
          <t>A 61251-2024</t>
        </is>
      </c>
      <c r="B526" t="inlineStr">
        <is>
          <t>avverkningsanmälan</t>
        </is>
      </c>
      <c r="C526" t="inlineStr">
        <is>
          <t>Föryngringsavverkning</t>
        </is>
      </c>
      <c r="D526" s="1" t="n">
        <v>45645</v>
      </c>
      <c r="E526" s="1" t="n">
        <v>46307</v>
      </c>
      <c r="F526" t="inlineStr">
        <is>
          <t>VÄRMLANDS LÄN</t>
        </is>
      </c>
      <c r="G526" t="inlineStr">
        <is>
          <t>TORSBY</t>
        </is>
      </c>
      <c r="I526" t="n">
        <v>1.7</v>
      </c>
      <c r="J526" t="n">
        <v>0</v>
      </c>
      <c r="K526" t="n">
        <v>0</v>
      </c>
      <c r="L526" t="n">
        <v>1</v>
      </c>
      <c r="M526" t="n">
        <v>0</v>
      </c>
      <c r="N526" t="n">
        <v>0</v>
      </c>
      <c r="O526" t="n">
        <v>0</v>
      </c>
      <c r="P526" t="n">
        <v>0</v>
      </c>
      <c r="Q526" t="n">
        <v>1</v>
      </c>
      <c r="R526" t="n">
        <v>0</v>
      </c>
      <c r="S526" t="n">
        <v>1</v>
      </c>
      <c r="T526" t="n">
        <v>1</v>
      </c>
      <c r="U526" t="n">
        <v>0</v>
      </c>
      <c r="V526" s="2" t="inlineStr">
        <is>
          <t>Späd bäckmossa</t>
        </is>
      </c>
      <c r="W526">
        <f>HYPERLINK("https://klasma.github.io/Logging_1737/artfynd/A 61251-2024 artfynd.xlsx", "A 61251-2024")</f>
        <v/>
      </c>
      <c r="X526">
        <f>HYPERLINK("https://klasma.github.io/Logging_1737/kartor/A 61251-2024 karta.png", "A 61251-2024")</f>
        <v/>
      </c>
      <c r="Y526">
        <f>HYPERLINK("https://klasma.github.io/Logging_1737/kartor_geotiff/A 61251-2024 georefererad karta.tif", "A 61251-2024")</f>
        <v/>
      </c>
      <c r="AA526">
        <f>HYPERLINK("https://klasma.github.io/Logging_1737/klagomål/A 61251-2024 FSC-klagomål.docx", "A 61251-2024")</f>
        <v/>
      </c>
      <c r="AB526">
        <f>HYPERLINK("https://klasma.github.io/Logging_1737/klagomålsmail/A 61251-2024 FSC-klagomål mail.docx", "A 61251-2024")</f>
        <v/>
      </c>
      <c r="AC526">
        <f>HYPERLINK("https://klasma.github.io/Logging_1737/tillsyn/A 61251-2024 tillsynsbegäran.docx", "A 61251-2024")</f>
        <v/>
      </c>
      <c r="AD526">
        <f>HYPERLINK("https://klasma.github.io/Logging_1737/tillsynsmail/A 61251-2024 tillsynsbegäran mail.docx", "A 61251-2024")</f>
        <v/>
      </c>
    </row>
    <row r="527" ht="15" customHeight="1">
      <c r="A527" t="inlineStr">
        <is>
          <t>A 33017-2022</t>
        </is>
      </c>
      <c r="B527" t="inlineStr">
        <is>
          <t>avverkningsanmälan</t>
        </is>
      </c>
      <c r="C527" t="inlineStr">
        <is>
          <t>Föryngringsavverkning</t>
        </is>
      </c>
      <c r="D527" s="1" t="n">
        <v>44785</v>
      </c>
      <c r="E527" s="1" t="n">
        <v>46307</v>
      </c>
      <c r="F527" t="inlineStr">
        <is>
          <t>VÄRMLANDS LÄN</t>
        </is>
      </c>
      <c r="G527" t="inlineStr">
        <is>
          <t>ÅRJÄNG</t>
        </is>
      </c>
      <c r="H527" t="inlineStr">
        <is>
          <t>Kyrkan</t>
        </is>
      </c>
      <c r="I527" t="n">
        <v>5.9</v>
      </c>
      <c r="J527" t="n">
        <v>1</v>
      </c>
      <c r="K527" t="n">
        <v>0</v>
      </c>
      <c r="L527" t="n">
        <v>0</v>
      </c>
      <c r="M527" t="n">
        <v>0</v>
      </c>
      <c r="N527" t="n">
        <v>0</v>
      </c>
      <c r="O527" t="n">
        <v>0</v>
      </c>
      <c r="P527" t="n">
        <v>0</v>
      </c>
      <c r="Q527" t="n">
        <v>0</v>
      </c>
      <c r="R527" t="n">
        <v>0</v>
      </c>
      <c r="S527" t="n">
        <v>1</v>
      </c>
      <c r="T527" t="n">
        <v>1</v>
      </c>
      <c r="U527" t="n">
        <v>1</v>
      </c>
      <c r="V527" s="2" t="inlineStr">
        <is>
          <t>Fläcknycklar</t>
        </is>
      </c>
      <c r="W527">
        <f>HYPERLINK("https://klasma.github.io/Logging_1765/artfynd/A 33017-2022 artfynd.xlsx", "A 33017-2022")</f>
        <v/>
      </c>
      <c r="X527">
        <f>HYPERLINK("https://klasma.github.io/Logging_1765/kartor/A 33017-2022 karta.png", "A 33017-2022")</f>
        <v/>
      </c>
      <c r="Y527">
        <f>HYPERLINK("https://klasma.github.io/Logging_1765/kartor_geotiff/A 33017-2022 georefererad karta.tif", "A 33017-2022")</f>
        <v/>
      </c>
      <c r="AA527">
        <f>HYPERLINK("https://klasma.github.io/Logging_1765/klagomål/A 33017-2022 FSC-klagomål.docx", "A 33017-2022")</f>
        <v/>
      </c>
      <c r="AB527">
        <f>HYPERLINK("https://klasma.github.io/Logging_1765/klagomålsmail/A 33017-2022 FSC-klagomål mail.docx", "A 33017-2022")</f>
        <v/>
      </c>
      <c r="AC527">
        <f>HYPERLINK("https://klasma.github.io/Logging_1765/tillsyn/A 33017-2022 tillsynsbegäran.docx", "A 33017-2022")</f>
        <v/>
      </c>
      <c r="AD527">
        <f>HYPERLINK("https://klasma.github.io/Logging_1765/tillsynsmail/A 33017-2022 tillsynsbegäran mail.docx", "A 33017-2022")</f>
        <v/>
      </c>
    </row>
    <row r="528" ht="15" customHeight="1">
      <c r="A528" t="inlineStr">
        <is>
          <t>A 11923-2024</t>
        </is>
      </c>
      <c r="B528" t="inlineStr">
        <is>
          <t>avverkningsanmälan</t>
        </is>
      </c>
      <c r="C528" t="inlineStr">
        <is>
          <t>Föryngringsavverkning</t>
        </is>
      </c>
      <c r="D528" s="1" t="n">
        <v>45376</v>
      </c>
      <c r="E528" s="1" t="n">
        <v>46307</v>
      </c>
      <c r="F528" t="inlineStr">
        <is>
          <t>VÄRMLANDS LÄN</t>
        </is>
      </c>
      <c r="G528" t="inlineStr">
        <is>
          <t>EDA</t>
        </is>
      </c>
      <c r="I528" t="n">
        <v>4.3</v>
      </c>
      <c r="J528" t="n">
        <v>1</v>
      </c>
      <c r="K528" t="n">
        <v>0</v>
      </c>
      <c r="L528" t="n">
        <v>1</v>
      </c>
      <c r="M528" t="n">
        <v>0</v>
      </c>
      <c r="N528" t="n">
        <v>0</v>
      </c>
      <c r="O528" t="n">
        <v>0</v>
      </c>
      <c r="P528" t="n">
        <v>0</v>
      </c>
      <c r="Q528" t="n">
        <v>1</v>
      </c>
      <c r="R528" t="n">
        <v>0</v>
      </c>
      <c r="S528" t="n">
        <v>1</v>
      </c>
      <c r="T528" t="n">
        <v>1</v>
      </c>
      <c r="U528" t="n">
        <v>0</v>
      </c>
      <c r="V528" s="2" t="inlineStr">
        <is>
          <t>Tretåig hackspett</t>
        </is>
      </c>
      <c r="W528">
        <f>HYPERLINK("https://klasma.github.io/Logging_1730/artfynd/A 11923-2024 artfynd.xlsx", "A 11923-2024")</f>
        <v/>
      </c>
      <c r="X528">
        <f>HYPERLINK("https://klasma.github.io/Logging_1730/kartor/A 11923-2024 karta.png", "A 11923-2024")</f>
        <v/>
      </c>
      <c r="Y528">
        <f>HYPERLINK("https://klasma.github.io/Logging_1730/kartor_geotiff/A 11923-2024 georefererad karta.tif", "A 11923-2024")</f>
        <v/>
      </c>
      <c r="AA528">
        <f>HYPERLINK("https://klasma.github.io/Logging_1730/klagomål/A 11923-2024 FSC-klagomål.docx", "A 11923-2024")</f>
        <v/>
      </c>
      <c r="AB528">
        <f>HYPERLINK("https://klasma.github.io/Logging_1730/klagomålsmail/A 11923-2024 FSC-klagomål mail.docx", "A 11923-2024")</f>
        <v/>
      </c>
      <c r="AC528">
        <f>HYPERLINK("https://klasma.github.io/Logging_1730/tillsyn/A 11923-2024 tillsynsbegäran.docx", "A 11923-2024")</f>
        <v/>
      </c>
      <c r="AD528">
        <f>HYPERLINK("https://klasma.github.io/Logging_1730/tillsynsmail/A 11923-2024 tillsynsbegäran mail.docx", "A 11923-2024")</f>
        <v/>
      </c>
      <c r="AE528">
        <f>HYPERLINK("https://klasma.github.io/Logging_1730/fåglar/A 11923-2024 prioriterade fågelarter.docx", "A 11923-2024")</f>
        <v/>
      </c>
    </row>
    <row r="529" ht="15" customHeight="1">
      <c r="A529" t="inlineStr">
        <is>
          <t>A 9737-2023</t>
        </is>
      </c>
      <c r="B529" t="inlineStr">
        <is>
          <t>avverkningsanmälan</t>
        </is>
      </c>
      <c r="C529" t="inlineStr">
        <is>
          <t>Föryngringsavverkning</t>
        </is>
      </c>
      <c r="D529" s="1" t="n">
        <v>44984</v>
      </c>
      <c r="E529" s="1" t="n">
        <v>46307</v>
      </c>
      <c r="F529" t="inlineStr">
        <is>
          <t>VÄRMLANDS LÄN</t>
        </is>
      </c>
      <c r="G529" t="inlineStr">
        <is>
          <t>KARLSTAD</t>
        </is>
      </c>
      <c r="I529" t="n">
        <v>2.6</v>
      </c>
      <c r="J529" t="n">
        <v>0</v>
      </c>
      <c r="K529" t="n">
        <v>0</v>
      </c>
      <c r="L529" t="n">
        <v>1</v>
      </c>
      <c r="M529" t="n">
        <v>0</v>
      </c>
      <c r="N529" t="n">
        <v>0</v>
      </c>
      <c r="O529" t="n">
        <v>0</v>
      </c>
      <c r="P529" t="n">
        <v>0</v>
      </c>
      <c r="Q529" t="n">
        <v>1</v>
      </c>
      <c r="R529" t="n">
        <v>0</v>
      </c>
      <c r="S529" t="n">
        <v>1</v>
      </c>
      <c r="T529" t="n">
        <v>1</v>
      </c>
      <c r="U529" t="n">
        <v>1</v>
      </c>
      <c r="V529" s="2" t="inlineStr">
        <is>
          <t>Ullticka</t>
        </is>
      </c>
      <c r="W529">
        <f>HYPERLINK("https://klasma.github.io/Logging_1780/artfynd/A 9737-2023 artfynd.xlsx", "A 9737-2023")</f>
        <v/>
      </c>
      <c r="X529">
        <f>HYPERLINK("https://klasma.github.io/Logging_1780/kartor/A 9737-2023 karta.png", "A 9737-2023")</f>
        <v/>
      </c>
      <c r="Y529">
        <f>HYPERLINK("https://klasma.github.io/Logging_1780/kartor_geotiff/A 9737-2023 georefererad karta.tif", "A 9737-2023")</f>
        <v/>
      </c>
      <c r="AA529">
        <f>HYPERLINK("https://klasma.github.io/Logging_1780/klagomål/A 9737-2023 FSC-klagomål.docx", "A 9737-2023")</f>
        <v/>
      </c>
      <c r="AB529">
        <f>HYPERLINK("https://klasma.github.io/Logging_1780/klagomålsmail/A 9737-2023 FSC-klagomål mail.docx", "A 9737-2023")</f>
        <v/>
      </c>
      <c r="AC529">
        <f>HYPERLINK("https://klasma.github.io/Logging_1780/tillsyn/A 9737-2023 tillsynsbegäran.docx", "A 9737-2023")</f>
        <v/>
      </c>
      <c r="AD529">
        <f>HYPERLINK("https://klasma.github.io/Logging_1780/tillsynsmail/A 9737-2023 tillsynsbegäran mail.docx", "A 9737-2023")</f>
        <v/>
      </c>
    </row>
    <row r="530" ht="15" customHeight="1">
      <c r="A530" t="inlineStr">
        <is>
          <t>A 10461-2024</t>
        </is>
      </c>
      <c r="B530" t="inlineStr">
        <is>
          <t>avverkningsanmälan</t>
        </is>
      </c>
      <c r="C530" t="inlineStr">
        <is>
          <t>Föryngringsavverkning</t>
        </is>
      </c>
      <c r="D530" s="1" t="n">
        <v>45366</v>
      </c>
      <c r="E530" s="1" t="n">
        <v>46307</v>
      </c>
      <c r="F530" t="inlineStr">
        <is>
          <t>VÄRMLANDS LÄN</t>
        </is>
      </c>
      <c r="G530" t="inlineStr">
        <is>
          <t>KARLSTAD</t>
        </is>
      </c>
      <c r="H530" t="inlineStr">
        <is>
          <t>Övriga statliga verk och myndigheter</t>
        </is>
      </c>
      <c r="I530" t="n">
        <v>17.8</v>
      </c>
      <c r="J530" t="n">
        <v>1</v>
      </c>
      <c r="K530" t="n">
        <v>0</v>
      </c>
      <c r="L530" t="n">
        <v>1</v>
      </c>
      <c r="M530" t="n">
        <v>0</v>
      </c>
      <c r="N530" t="n">
        <v>0</v>
      </c>
      <c r="O530" t="n">
        <v>0</v>
      </c>
      <c r="P530" t="n">
        <v>0</v>
      </c>
      <c r="Q530" t="n">
        <v>1</v>
      </c>
      <c r="R530" t="n">
        <v>0</v>
      </c>
      <c r="S530" t="n">
        <v>1</v>
      </c>
      <c r="T530" t="n">
        <v>1</v>
      </c>
      <c r="U530" t="n">
        <v>0</v>
      </c>
      <c r="V530" s="2" t="inlineStr">
        <is>
          <t>Strandlummer</t>
        </is>
      </c>
      <c r="W530">
        <f>HYPERLINK("https://klasma.github.io/Logging_1780/artfynd/A 10461-2024 artfynd.xlsx", "A 10461-2024")</f>
        <v/>
      </c>
      <c r="X530">
        <f>HYPERLINK("https://klasma.github.io/Logging_1780/kartor/A 10461-2024 karta.png", "A 10461-2024")</f>
        <v/>
      </c>
      <c r="Y530">
        <f>HYPERLINK("https://klasma.github.io/Logging_1780/kartor_geotiff/A 10461-2024 georefererad karta.tif", "A 10461-2024")</f>
        <v/>
      </c>
      <c r="AA530">
        <f>HYPERLINK("https://klasma.github.io/Logging_1780/klagomål/A 10461-2024 FSC-klagomål.docx", "A 10461-2024")</f>
        <v/>
      </c>
      <c r="AB530">
        <f>HYPERLINK("https://klasma.github.io/Logging_1780/klagomålsmail/A 10461-2024 FSC-klagomål mail.docx", "A 10461-2024")</f>
        <v/>
      </c>
      <c r="AC530">
        <f>HYPERLINK("https://klasma.github.io/Logging_1780/tillsyn/A 10461-2024 tillsynsbegäran.docx", "A 10461-2024")</f>
        <v/>
      </c>
      <c r="AD530">
        <f>HYPERLINK("https://klasma.github.io/Logging_1780/tillsynsmail/A 10461-2024 tillsynsbegäran mail.docx", "A 10461-2024")</f>
        <v/>
      </c>
    </row>
    <row r="531" ht="15" customHeight="1">
      <c r="A531" t="inlineStr">
        <is>
          <t>A 1320-2023</t>
        </is>
      </c>
      <c r="B531" t="inlineStr">
        <is>
          <t>avverkningsanmälan</t>
        </is>
      </c>
      <c r="C531" t="inlineStr">
        <is>
          <t>Föryngringsavverkning</t>
        </is>
      </c>
      <c r="D531" s="1" t="n">
        <v>44936</v>
      </c>
      <c r="E531" s="1" t="n">
        <v>46307</v>
      </c>
      <c r="F531" t="inlineStr">
        <is>
          <t>VÄRMLANDS LÄN</t>
        </is>
      </c>
      <c r="G531" t="inlineStr">
        <is>
          <t>KIL</t>
        </is>
      </c>
      <c r="I531" t="n">
        <v>0.5</v>
      </c>
      <c r="J531" t="n">
        <v>1</v>
      </c>
      <c r="K531" t="n">
        <v>0</v>
      </c>
      <c r="L531" t="n">
        <v>0</v>
      </c>
      <c r="M531" t="n">
        <v>0</v>
      </c>
      <c r="N531" t="n">
        <v>0</v>
      </c>
      <c r="O531" t="n">
        <v>0</v>
      </c>
      <c r="P531" t="n">
        <v>0</v>
      </c>
      <c r="Q531" t="n">
        <v>0</v>
      </c>
      <c r="R531" t="n">
        <v>0</v>
      </c>
      <c r="S531" t="n">
        <v>1</v>
      </c>
      <c r="T531" t="n">
        <v>1</v>
      </c>
      <c r="U531" t="n">
        <v>0</v>
      </c>
      <c r="V531" s="2" t="inlineStr">
        <is>
          <t>Vanlig snok</t>
        </is>
      </c>
      <c r="W531">
        <f>HYPERLINK("https://klasma.github.io/Logging_1715/artfynd/A 1320-2023 artfynd.xlsx", "A 1320-2023")</f>
        <v/>
      </c>
      <c r="X531">
        <f>HYPERLINK("https://klasma.github.io/Logging_1715/kartor/A 1320-2023 karta.png", "A 1320-2023")</f>
        <v/>
      </c>
      <c r="Y531">
        <f>HYPERLINK("https://klasma.github.io/Logging_1715/kartor_geotiff/A 1320-2023 georefererad karta.tif", "A 1320-2023")</f>
        <v/>
      </c>
      <c r="AA531">
        <f>HYPERLINK("https://klasma.github.io/Logging_1715/klagomål/A 1320-2023 FSC-klagomål.docx", "A 1320-2023")</f>
        <v/>
      </c>
      <c r="AB531">
        <f>HYPERLINK("https://klasma.github.io/Logging_1715/klagomålsmail/A 1320-2023 FSC-klagomål mail.docx", "A 1320-2023")</f>
        <v/>
      </c>
      <c r="AC531">
        <f>HYPERLINK("https://klasma.github.io/Logging_1715/tillsyn/A 1320-2023 tillsynsbegäran.docx", "A 1320-2023")</f>
        <v/>
      </c>
      <c r="AD531">
        <f>HYPERLINK("https://klasma.github.io/Logging_1715/tillsynsmail/A 1320-2023 tillsynsbegäran mail.docx", "A 1320-2023")</f>
        <v/>
      </c>
    </row>
    <row r="532" ht="15" customHeight="1">
      <c r="A532" t="inlineStr">
        <is>
          <t>A 16572-2022</t>
        </is>
      </c>
      <c r="B532" t="inlineStr">
        <is>
          <t>avverkningsanmälan</t>
        </is>
      </c>
      <c r="C532" t="inlineStr">
        <is>
          <t>Föryngringsavverkning</t>
        </is>
      </c>
      <c r="D532" s="1" t="n">
        <v>44672</v>
      </c>
      <c r="E532" s="1" t="n">
        <v>46307</v>
      </c>
      <c r="F532" t="inlineStr">
        <is>
          <t>VÄRMLANDS LÄN</t>
        </is>
      </c>
      <c r="G532" t="inlineStr">
        <is>
          <t>TORSBY</t>
        </is>
      </c>
      <c r="I532" t="n">
        <v>2.6</v>
      </c>
      <c r="J532" t="n">
        <v>0</v>
      </c>
      <c r="K532" t="n">
        <v>0</v>
      </c>
      <c r="L532" t="n">
        <v>1</v>
      </c>
      <c r="M532" t="n">
        <v>0</v>
      </c>
      <c r="N532" t="n">
        <v>0</v>
      </c>
      <c r="O532" t="n">
        <v>0</v>
      </c>
      <c r="P532" t="n">
        <v>0</v>
      </c>
      <c r="Q532" t="n">
        <v>1</v>
      </c>
      <c r="R532" t="n">
        <v>0</v>
      </c>
      <c r="S532" t="n">
        <v>1</v>
      </c>
      <c r="T532" t="n">
        <v>1</v>
      </c>
      <c r="U532" t="n">
        <v>1</v>
      </c>
      <c r="V532" s="2" t="inlineStr">
        <is>
          <t>Skogsklocka</t>
        </is>
      </c>
      <c r="W532">
        <f>HYPERLINK("https://klasma.github.io/Logging_1737/artfynd/A 16572-2022 artfynd.xlsx", "A 16572-2022")</f>
        <v/>
      </c>
      <c r="X532">
        <f>HYPERLINK("https://klasma.github.io/Logging_1737/kartor/A 16572-2022 karta.png", "A 16572-2022")</f>
        <v/>
      </c>
      <c r="Y532">
        <f>HYPERLINK("https://klasma.github.io/Logging_1737/kartor_geotiff/A 16572-2022 georefererad karta.tif", "A 16572-2022")</f>
        <v/>
      </c>
      <c r="AA532">
        <f>HYPERLINK("https://klasma.github.io/Logging_1737/klagomål/A 16572-2022 FSC-klagomål.docx", "A 16572-2022")</f>
        <v/>
      </c>
      <c r="AB532">
        <f>HYPERLINK("https://klasma.github.io/Logging_1737/klagomålsmail/A 16572-2022 FSC-klagomål mail.docx", "A 16572-2022")</f>
        <v/>
      </c>
      <c r="AC532">
        <f>HYPERLINK("https://klasma.github.io/Logging_1737/tillsyn/A 16572-2022 tillsynsbegäran.docx", "A 16572-2022")</f>
        <v/>
      </c>
      <c r="AD532">
        <f>HYPERLINK("https://klasma.github.io/Logging_1737/tillsynsmail/A 16572-2022 tillsynsbegäran mail.docx", "A 16572-2022")</f>
        <v/>
      </c>
    </row>
    <row r="533" ht="15" customHeight="1">
      <c r="A533" t="inlineStr">
        <is>
          <t>A 22934-2023</t>
        </is>
      </c>
      <c r="B533" t="inlineStr">
        <is>
          <t>avverkningsanmälan</t>
        </is>
      </c>
      <c r="C533" t="inlineStr">
        <is>
          <t>Föryngringsavverkning</t>
        </is>
      </c>
      <c r="D533" s="1" t="n">
        <v>45072</v>
      </c>
      <c r="E533" s="1" t="n">
        <v>46307</v>
      </c>
      <c r="F533" t="inlineStr">
        <is>
          <t>VÄRMLANDS LÄN</t>
        </is>
      </c>
      <c r="G533" t="inlineStr">
        <is>
          <t>ARVIKA</t>
        </is>
      </c>
      <c r="I533" t="n">
        <v>1.1</v>
      </c>
      <c r="J533" t="n">
        <v>0</v>
      </c>
      <c r="K533" t="n">
        <v>0</v>
      </c>
      <c r="L533" t="n">
        <v>1</v>
      </c>
      <c r="M533" t="n">
        <v>0</v>
      </c>
      <c r="N533" t="n">
        <v>0</v>
      </c>
      <c r="O533" t="n">
        <v>0</v>
      </c>
      <c r="P533" t="n">
        <v>0</v>
      </c>
      <c r="Q533" t="n">
        <v>1</v>
      </c>
      <c r="R533" t="n">
        <v>0</v>
      </c>
      <c r="S533" t="n">
        <v>1</v>
      </c>
      <c r="T533" t="n">
        <v>7</v>
      </c>
      <c r="U533" t="n">
        <v>6</v>
      </c>
      <c r="V533" s="2" t="inlineStr">
        <is>
          <t>Skogsklocka</t>
        </is>
      </c>
      <c r="W533">
        <f>HYPERLINK("https://klasma.github.io/Logging_1784/artfynd/A 22934-2023 artfynd.xlsx", "A 22934-2023")</f>
        <v/>
      </c>
      <c r="X533">
        <f>HYPERLINK("https://klasma.github.io/Logging_1784/kartor/A 22934-2023 karta.png", "A 22934-2023")</f>
        <v/>
      </c>
      <c r="Y533">
        <f>HYPERLINK("https://klasma.github.io/Logging_1784/kartor_geotiff/A 22934-2023 georefererad karta.tif", "A 22934-2023")</f>
        <v/>
      </c>
      <c r="AA533">
        <f>HYPERLINK("https://klasma.github.io/Logging_1784/klagomål/A 22934-2023 FSC-klagomål.docx", "A 22934-2023")</f>
        <v/>
      </c>
      <c r="AB533">
        <f>HYPERLINK("https://klasma.github.io/Logging_1784/klagomålsmail/A 22934-2023 FSC-klagomål mail.docx", "A 22934-2023")</f>
        <v/>
      </c>
      <c r="AC533">
        <f>HYPERLINK("https://klasma.github.io/Logging_1784/tillsyn/A 22934-2023 tillsynsbegäran.docx", "A 22934-2023")</f>
        <v/>
      </c>
      <c r="AD533">
        <f>HYPERLINK("https://klasma.github.io/Logging_1784/tillsynsmail/A 22934-2023 tillsynsbegäran mail.docx", "A 22934-2023")</f>
        <v/>
      </c>
    </row>
    <row r="534" ht="15" customHeight="1">
      <c r="A534" t="inlineStr">
        <is>
          <t>A 22734-2024</t>
        </is>
      </c>
      <c r="B534" t="inlineStr">
        <is>
          <t>avverkningsanmälan</t>
        </is>
      </c>
      <c r="C534" t="inlineStr">
        <is>
          <t>Avverkning för annat ändamål</t>
        </is>
      </c>
      <c r="D534" s="1" t="n">
        <v>45448</v>
      </c>
      <c r="E534" s="1" t="n">
        <v>46307</v>
      </c>
      <c r="F534" t="inlineStr">
        <is>
          <t>VÄRMLANDS LÄN</t>
        </is>
      </c>
      <c r="G534" t="inlineStr">
        <is>
          <t>SUNNE</t>
        </is>
      </c>
      <c r="H534" t="inlineStr">
        <is>
          <t>Bergvik skog väst AB</t>
        </is>
      </c>
      <c r="I534" t="n">
        <v>1.6</v>
      </c>
      <c r="J534" t="n">
        <v>1</v>
      </c>
      <c r="K534" t="n">
        <v>0</v>
      </c>
      <c r="L534" t="n">
        <v>1</v>
      </c>
      <c r="M534" t="n">
        <v>0</v>
      </c>
      <c r="N534" t="n">
        <v>0</v>
      </c>
      <c r="O534" t="n">
        <v>0</v>
      </c>
      <c r="P534" t="n">
        <v>0</v>
      </c>
      <c r="Q534" t="n">
        <v>1</v>
      </c>
      <c r="R534" t="n">
        <v>0</v>
      </c>
      <c r="S534" t="n">
        <v>1</v>
      </c>
      <c r="T534" t="n">
        <v>1</v>
      </c>
      <c r="U534" t="n">
        <v>1</v>
      </c>
      <c r="V534" s="2" t="inlineStr">
        <is>
          <t>Bivråk</t>
        </is>
      </c>
      <c r="W534">
        <f>HYPERLINK("https://klasma.github.io/Logging_1766/artfynd/A 22734-2024 artfynd.xlsx", "A 22734-2024")</f>
        <v/>
      </c>
      <c r="X534">
        <f>HYPERLINK("https://klasma.github.io/Logging_1766/kartor/A 22734-2024 karta.png", "A 22734-2024")</f>
        <v/>
      </c>
      <c r="Y534">
        <f>HYPERLINK("https://klasma.github.io/Logging_1766/kartor_geotiff/A 22734-2024 georefererad karta.tif", "A 22734-2024")</f>
        <v/>
      </c>
      <c r="AA534">
        <f>HYPERLINK("https://klasma.github.io/Logging_1766/klagomål/A 22734-2024 FSC-klagomål.docx", "A 22734-2024")</f>
        <v/>
      </c>
      <c r="AB534">
        <f>HYPERLINK("https://klasma.github.io/Logging_1766/klagomålsmail/A 22734-2024 FSC-klagomål mail.docx", "A 22734-2024")</f>
        <v/>
      </c>
      <c r="AC534">
        <f>HYPERLINK("https://klasma.github.io/Logging_1766/tillsyn/A 22734-2024 tillsynsbegäran.docx", "A 22734-2024")</f>
        <v/>
      </c>
      <c r="AD534">
        <f>HYPERLINK("https://klasma.github.io/Logging_1766/tillsynsmail/A 22734-2024 tillsynsbegäran mail.docx", "A 22734-2024")</f>
        <v/>
      </c>
      <c r="AE534">
        <f>HYPERLINK("https://klasma.github.io/Logging_1766/fåglar/A 22734-2024 prioriterade fågelarter.docx", "A 22734-2024")</f>
        <v/>
      </c>
    </row>
    <row r="535" ht="15" customHeight="1">
      <c r="A535" t="inlineStr">
        <is>
          <t>A 59787-2023</t>
        </is>
      </c>
      <c r="B535" t="inlineStr">
        <is>
          <t>avverkningsanmälan</t>
        </is>
      </c>
      <c r="C535" t="inlineStr">
        <is>
          <t>Föryngringsavverkning</t>
        </is>
      </c>
      <c r="D535" s="1" t="n">
        <v>45257</v>
      </c>
      <c r="E535" s="1" t="n">
        <v>46307</v>
      </c>
      <c r="F535" t="inlineStr">
        <is>
          <t>VÄRMLANDS LÄN</t>
        </is>
      </c>
      <c r="G535" t="inlineStr">
        <is>
          <t>ARVIKA</t>
        </is>
      </c>
      <c r="I535" t="n">
        <v>1</v>
      </c>
      <c r="J535" t="n">
        <v>1</v>
      </c>
      <c r="K535" t="n">
        <v>0</v>
      </c>
      <c r="L535" t="n">
        <v>0</v>
      </c>
      <c r="M535" t="n">
        <v>0</v>
      </c>
      <c r="N535" t="n">
        <v>0</v>
      </c>
      <c r="O535" t="n">
        <v>0</v>
      </c>
      <c r="P535" t="n">
        <v>0</v>
      </c>
      <c r="Q535" t="n">
        <v>0</v>
      </c>
      <c r="R535" t="n">
        <v>0</v>
      </c>
      <c r="S535" t="n">
        <v>1</v>
      </c>
      <c r="T535" t="n">
        <v>1</v>
      </c>
      <c r="U535" t="n">
        <v>0</v>
      </c>
      <c r="V535" s="2" t="inlineStr">
        <is>
          <t>Havsörn</t>
        </is>
      </c>
      <c r="W535">
        <f>HYPERLINK("https://klasma.github.io/Logging_1784/artfynd/A 59787-2023 artfynd.xlsx", "A 59787-2023")</f>
        <v/>
      </c>
      <c r="X535">
        <f>HYPERLINK("https://klasma.github.io/Logging_1784/kartor/A 59787-2023 karta.png", "A 59787-2023")</f>
        <v/>
      </c>
      <c r="Y535">
        <f>HYPERLINK("https://klasma.github.io/Logging_1784/kartor_geotiff/A 59787-2023 georefererad karta.tif", "A 59787-2023")</f>
        <v/>
      </c>
      <c r="AA535">
        <f>HYPERLINK("https://klasma.github.io/Logging_1784/klagomål/A 59787-2023 FSC-klagomål.docx", "A 59787-2023")</f>
        <v/>
      </c>
      <c r="AB535">
        <f>HYPERLINK("https://klasma.github.io/Logging_1784/klagomålsmail/A 59787-2023 FSC-klagomål mail.docx", "A 59787-2023")</f>
        <v/>
      </c>
      <c r="AC535">
        <f>HYPERLINK("https://klasma.github.io/Logging_1784/tillsyn/A 59787-2023 tillsynsbegäran.docx", "A 59787-2023")</f>
        <v/>
      </c>
      <c r="AD535">
        <f>HYPERLINK("https://klasma.github.io/Logging_1784/tillsynsmail/A 59787-2023 tillsynsbegäran mail.docx", "A 59787-2023")</f>
        <v/>
      </c>
      <c r="AE535">
        <f>HYPERLINK("https://klasma.github.io/Logging_1784/fåglar/A 59787-2023 prioriterade fågelarter.docx", "A 59787-2023")</f>
        <v/>
      </c>
    </row>
    <row r="536" ht="15" customHeight="1">
      <c r="A536" t="inlineStr">
        <is>
          <t>A 13025-2023</t>
        </is>
      </c>
      <c r="B536" t="inlineStr">
        <is>
          <t>avverkningsanmälan</t>
        </is>
      </c>
      <c r="C536" t="inlineStr">
        <is>
          <t>Föryngringsavverkning</t>
        </is>
      </c>
      <c r="D536" s="1" t="n">
        <v>45002</v>
      </c>
      <c r="E536" s="1" t="n">
        <v>46307</v>
      </c>
      <c r="F536" t="inlineStr">
        <is>
          <t>VÄRMLANDS LÄN</t>
        </is>
      </c>
      <c r="G536" t="inlineStr">
        <is>
          <t>KRISTINEHAMN</t>
        </is>
      </c>
      <c r="I536" t="n">
        <v>5</v>
      </c>
      <c r="J536" t="n">
        <v>0</v>
      </c>
      <c r="K536" t="n">
        <v>1</v>
      </c>
      <c r="L536" t="n">
        <v>0</v>
      </c>
      <c r="M536" t="n">
        <v>0</v>
      </c>
      <c r="N536" t="n">
        <v>0</v>
      </c>
      <c r="O536" t="n">
        <v>0</v>
      </c>
      <c r="P536" t="n">
        <v>0</v>
      </c>
      <c r="Q536" t="n">
        <v>0</v>
      </c>
      <c r="R536" t="n">
        <v>0</v>
      </c>
      <c r="S536" t="n">
        <v>1</v>
      </c>
      <c r="T536" t="n">
        <v>1</v>
      </c>
      <c r="U536" t="n">
        <v>0</v>
      </c>
      <c r="V536" s="2" t="inlineStr">
        <is>
          <t>Kamjordstjärna</t>
        </is>
      </c>
      <c r="W536">
        <f>HYPERLINK("https://klasma.github.io/Logging_1781/artfynd/A 13025-2023 artfynd.xlsx", "A 13025-2023")</f>
        <v/>
      </c>
      <c r="X536">
        <f>HYPERLINK("https://klasma.github.io/Logging_1781/kartor/A 13025-2023 karta.png", "A 13025-2023")</f>
        <v/>
      </c>
      <c r="Y536">
        <f>HYPERLINK("https://klasma.github.io/Logging_1781/kartor_geotiff/A 13025-2023 georefererad karta.tif", "A 13025-2023")</f>
        <v/>
      </c>
      <c r="AA536">
        <f>HYPERLINK("https://klasma.github.io/Logging_1781/klagomål/A 13025-2023 FSC-klagomål.docx", "A 13025-2023")</f>
        <v/>
      </c>
      <c r="AB536">
        <f>HYPERLINK("https://klasma.github.io/Logging_1781/klagomålsmail/A 13025-2023 FSC-klagomål mail.docx", "A 13025-2023")</f>
        <v/>
      </c>
      <c r="AC536">
        <f>HYPERLINK("https://klasma.github.io/Logging_1781/tillsyn/A 13025-2023 tillsynsbegäran.docx", "A 13025-2023")</f>
        <v/>
      </c>
      <c r="AD536">
        <f>HYPERLINK("https://klasma.github.io/Logging_1781/tillsynsmail/A 13025-2023 tillsynsbegäran mail.docx", "A 13025-2023")</f>
        <v/>
      </c>
    </row>
    <row r="537" ht="15" customHeight="1">
      <c r="A537" t="inlineStr">
        <is>
          <t>A 7982-2024</t>
        </is>
      </c>
      <c r="B537" t="inlineStr">
        <is>
          <t>avverkningsanmälan</t>
        </is>
      </c>
      <c r="C537" t="inlineStr">
        <is>
          <t>Föryngringsavverkning</t>
        </is>
      </c>
      <c r="D537" s="1" t="n">
        <v>45350</v>
      </c>
      <c r="E537" s="1" t="n">
        <v>46307</v>
      </c>
      <c r="F537" t="inlineStr">
        <is>
          <t>VÄRMLANDS LÄN</t>
        </is>
      </c>
      <c r="G537" t="inlineStr">
        <is>
          <t>SUNNE</t>
        </is>
      </c>
      <c r="I537" t="n">
        <v>2.5</v>
      </c>
      <c r="J537" t="n">
        <v>1</v>
      </c>
      <c r="K537" t="n">
        <v>0</v>
      </c>
      <c r="L537" t="n">
        <v>0</v>
      </c>
      <c r="M537" t="n">
        <v>0</v>
      </c>
      <c r="N537" t="n">
        <v>0</v>
      </c>
      <c r="O537" t="n">
        <v>0</v>
      </c>
      <c r="P537" t="n">
        <v>0</v>
      </c>
      <c r="Q537" t="n">
        <v>0</v>
      </c>
      <c r="R537" t="n">
        <v>0</v>
      </c>
      <c r="S537" t="n">
        <v>1</v>
      </c>
      <c r="T537" t="n">
        <v>1</v>
      </c>
      <c r="U537" t="n">
        <v>0</v>
      </c>
      <c r="V537" s="2" t="inlineStr">
        <is>
          <t>Fläcknycklar</t>
        </is>
      </c>
      <c r="W537">
        <f>HYPERLINK("https://klasma.github.io/Logging_1766/artfynd/A 7982-2024 artfynd.xlsx", "A 7982-2024")</f>
        <v/>
      </c>
      <c r="X537">
        <f>HYPERLINK("https://klasma.github.io/Logging_1766/kartor/A 7982-2024 karta.png", "A 7982-2024")</f>
        <v/>
      </c>
      <c r="Y537">
        <f>HYPERLINK("https://klasma.github.io/Logging_1766/kartor_geotiff/A 7982-2024 georefererad karta.tif", "A 7982-2024")</f>
        <v/>
      </c>
      <c r="AA537">
        <f>HYPERLINK("https://klasma.github.io/Logging_1766/klagomål/A 7982-2024 FSC-klagomål.docx", "A 7982-2024")</f>
        <v/>
      </c>
      <c r="AB537">
        <f>HYPERLINK("https://klasma.github.io/Logging_1766/klagomålsmail/A 7982-2024 FSC-klagomål mail.docx", "A 7982-2024")</f>
        <v/>
      </c>
      <c r="AC537">
        <f>HYPERLINK("https://klasma.github.io/Logging_1766/tillsyn/A 7982-2024 tillsynsbegäran.docx", "A 7982-2024")</f>
        <v/>
      </c>
      <c r="AD537">
        <f>HYPERLINK("https://klasma.github.io/Logging_1766/tillsynsmail/A 7982-2024 tillsynsbegäran mail.docx", "A 7982-2024")</f>
        <v/>
      </c>
    </row>
    <row r="538" ht="15" customHeight="1">
      <c r="A538" t="inlineStr">
        <is>
          <t>A 56713-2022</t>
        </is>
      </c>
      <c r="B538" t="inlineStr">
        <is>
          <t>avverkningsanmälan</t>
        </is>
      </c>
      <c r="C538" t="inlineStr">
        <is>
          <t>Föryngringsavverkning</t>
        </is>
      </c>
      <c r="D538" s="1" t="n">
        <v>44893</v>
      </c>
      <c r="E538" s="1" t="n">
        <v>46307</v>
      </c>
      <c r="F538" t="inlineStr">
        <is>
          <t>VÄRMLANDS LÄN</t>
        </is>
      </c>
      <c r="G538" t="inlineStr">
        <is>
          <t>ARVIKA</t>
        </is>
      </c>
      <c r="I538" t="n">
        <v>4.9</v>
      </c>
      <c r="J538" t="n">
        <v>0</v>
      </c>
      <c r="K538" t="n">
        <v>0</v>
      </c>
      <c r="L538" t="n">
        <v>1</v>
      </c>
      <c r="M538" t="n">
        <v>0</v>
      </c>
      <c r="N538" t="n">
        <v>0</v>
      </c>
      <c r="O538" t="n">
        <v>0</v>
      </c>
      <c r="P538" t="n">
        <v>0</v>
      </c>
      <c r="Q538" t="n">
        <v>1</v>
      </c>
      <c r="R538" t="n">
        <v>0</v>
      </c>
      <c r="S538" t="n">
        <v>1</v>
      </c>
      <c r="T538" t="n">
        <v>1</v>
      </c>
      <c r="U538" t="n">
        <v>1</v>
      </c>
      <c r="V538" s="2" t="inlineStr">
        <is>
          <t>Dropptaggsvamp</t>
        </is>
      </c>
      <c r="W538">
        <f>HYPERLINK("https://klasma.github.io/Logging_1784/artfynd/A 56713-2022 artfynd.xlsx", "A 56713-2022")</f>
        <v/>
      </c>
      <c r="X538">
        <f>HYPERLINK("https://klasma.github.io/Logging_1784/kartor/A 56713-2022 karta.png", "A 56713-2022")</f>
        <v/>
      </c>
      <c r="Y538">
        <f>HYPERLINK("https://klasma.github.io/Logging_1784/kartor_geotiff/A 56713-2022 georefererad karta.tif", "A 56713-2022")</f>
        <v/>
      </c>
      <c r="AA538">
        <f>HYPERLINK("https://klasma.github.io/Logging_1784/klagomål/A 56713-2022 FSC-klagomål.docx", "A 56713-2022")</f>
        <v/>
      </c>
      <c r="AB538">
        <f>HYPERLINK("https://klasma.github.io/Logging_1784/klagomålsmail/A 56713-2022 FSC-klagomål mail.docx", "A 56713-2022")</f>
        <v/>
      </c>
      <c r="AC538">
        <f>HYPERLINK("https://klasma.github.io/Logging_1784/tillsyn/A 56713-2022 tillsynsbegäran.docx", "A 56713-2022")</f>
        <v/>
      </c>
      <c r="AD538">
        <f>HYPERLINK("https://klasma.github.io/Logging_1784/tillsynsmail/A 56713-2022 tillsynsbegäran mail.docx", "A 56713-2022")</f>
        <v/>
      </c>
    </row>
    <row r="539" ht="15" customHeight="1">
      <c r="A539" t="inlineStr">
        <is>
          <t>A 7447-2024</t>
        </is>
      </c>
      <c r="B539" t="inlineStr">
        <is>
          <t>avverkningsanmälan</t>
        </is>
      </c>
      <c r="C539" t="inlineStr">
        <is>
          <t>Avverkning för annat ändamål</t>
        </is>
      </c>
      <c r="D539" s="1" t="n">
        <v>45345</v>
      </c>
      <c r="E539" s="1" t="n">
        <v>46307</v>
      </c>
      <c r="F539" t="inlineStr">
        <is>
          <t>VÄRMLANDS LÄN</t>
        </is>
      </c>
      <c r="G539" t="inlineStr">
        <is>
          <t>ÅRJÄNG</t>
        </is>
      </c>
      <c r="I539" t="n">
        <v>1.3</v>
      </c>
      <c r="J539" t="n">
        <v>1</v>
      </c>
      <c r="K539" t="n">
        <v>0</v>
      </c>
      <c r="L539" t="n">
        <v>0</v>
      </c>
      <c r="M539" t="n">
        <v>0</v>
      </c>
      <c r="N539" t="n">
        <v>0</v>
      </c>
      <c r="O539" t="n">
        <v>0</v>
      </c>
      <c r="P539" t="n">
        <v>0</v>
      </c>
      <c r="Q539" t="n">
        <v>0</v>
      </c>
      <c r="R539" t="n">
        <v>0</v>
      </c>
      <c r="S539" t="n">
        <v>1</v>
      </c>
      <c r="T539" t="n">
        <v>5</v>
      </c>
      <c r="U539" t="n">
        <v>5</v>
      </c>
      <c r="V539" s="2" t="inlineStr">
        <is>
          <t>Tjäder</t>
        </is>
      </c>
      <c r="W539">
        <f>HYPERLINK("https://klasma.github.io/Logging_1765/artfynd/A 7447-2024 artfynd.xlsx", "A 7447-2024")</f>
        <v/>
      </c>
      <c r="X539">
        <f>HYPERLINK("https://klasma.github.io/Logging_1765/kartor/A 7447-2024 karta.png", "A 7447-2024")</f>
        <v/>
      </c>
      <c r="Y539">
        <f>HYPERLINK("https://klasma.github.io/Logging_1765/kartor_geotiff/A 7447-2024 georefererad karta.tif", "A 7447-2024")</f>
        <v/>
      </c>
      <c r="AA539">
        <f>HYPERLINK("https://klasma.github.io/Logging_1765/klagomål/A 7447-2024 FSC-klagomål.docx", "A 7447-2024")</f>
        <v/>
      </c>
      <c r="AB539">
        <f>HYPERLINK("https://klasma.github.io/Logging_1765/klagomålsmail/A 7447-2024 FSC-klagomål mail.docx", "A 7447-2024")</f>
        <v/>
      </c>
      <c r="AC539">
        <f>HYPERLINK("https://klasma.github.io/Logging_1765/tillsyn/A 7447-2024 tillsynsbegäran.docx", "A 7447-2024")</f>
        <v/>
      </c>
      <c r="AD539">
        <f>HYPERLINK("https://klasma.github.io/Logging_1765/tillsynsmail/A 7447-2024 tillsynsbegäran mail.docx", "A 7447-2024")</f>
        <v/>
      </c>
      <c r="AE539">
        <f>HYPERLINK("https://klasma.github.io/Logging_1765/fåglar/A 7447-2024 prioriterade fågelarter.docx", "A 7447-2024")</f>
        <v/>
      </c>
    </row>
    <row r="540" ht="15" customHeight="1">
      <c r="A540" t="inlineStr">
        <is>
          <t>A 21309-2023</t>
        </is>
      </c>
      <c r="B540" t="inlineStr">
        <is>
          <t>avverkningsanmälan</t>
        </is>
      </c>
      <c r="C540" t="inlineStr">
        <is>
          <t>Föryngringsavverkning</t>
        </is>
      </c>
      <c r="D540" s="1" t="n">
        <v>45062</v>
      </c>
      <c r="E540" s="1" t="n">
        <v>46307</v>
      </c>
      <c r="F540" t="inlineStr">
        <is>
          <t>VÄRMLANDS LÄN</t>
        </is>
      </c>
      <c r="G540" t="inlineStr">
        <is>
          <t>HAGFORS</t>
        </is>
      </c>
      <c r="I540" t="n">
        <v>2.4</v>
      </c>
      <c r="J540" t="n">
        <v>0</v>
      </c>
      <c r="K540" t="n">
        <v>0</v>
      </c>
      <c r="L540" t="n">
        <v>0</v>
      </c>
      <c r="M540" t="n">
        <v>0</v>
      </c>
      <c r="N540" t="n">
        <v>0</v>
      </c>
      <c r="O540" t="n">
        <v>0</v>
      </c>
      <c r="P540" t="n">
        <v>0</v>
      </c>
      <c r="Q540" t="n">
        <v>0</v>
      </c>
      <c r="R540" t="n">
        <v>0</v>
      </c>
      <c r="S540" t="n">
        <v>1</v>
      </c>
      <c r="T540" t="n">
        <v>3</v>
      </c>
      <c r="U540" t="n">
        <v>3</v>
      </c>
      <c r="V540" s="2" t="inlineStr">
        <is>
          <t>Kattfot</t>
        </is>
      </c>
      <c r="W540">
        <f>HYPERLINK("https://klasma.github.io/Logging_1783/artfynd/A 21309-2023 artfynd.xlsx", "A 21309-2023")</f>
        <v/>
      </c>
      <c r="X540">
        <f>HYPERLINK("https://klasma.github.io/Logging_1783/kartor/A 21309-2023 karta.png", "A 21309-2023")</f>
        <v/>
      </c>
      <c r="Y540">
        <f>HYPERLINK("https://klasma.github.io/Logging_1783/kartor_geotiff/A 21309-2023 georefererad karta.tif", "A 21309-2023")</f>
        <v/>
      </c>
      <c r="AA540">
        <f>HYPERLINK("https://klasma.github.io/Logging_1783/klagomål/A 21309-2023 FSC-klagomål.docx", "A 21309-2023")</f>
        <v/>
      </c>
      <c r="AB540">
        <f>HYPERLINK("https://klasma.github.io/Logging_1783/klagomålsmail/A 21309-2023 FSC-klagomål mail.docx", "A 21309-2023")</f>
        <v/>
      </c>
      <c r="AC540">
        <f>HYPERLINK("https://klasma.github.io/Logging_1783/tillsyn/A 21309-2023 tillsynsbegäran.docx", "A 21309-2023")</f>
        <v/>
      </c>
      <c r="AD540">
        <f>HYPERLINK("https://klasma.github.io/Logging_1783/tillsynsmail/A 21309-2023 tillsynsbegäran mail.docx", "A 21309-2023")</f>
        <v/>
      </c>
    </row>
    <row r="541" ht="15" customHeight="1">
      <c r="A541" t="inlineStr">
        <is>
          <t>A 24717-2024</t>
        </is>
      </c>
      <c r="B541" t="inlineStr">
        <is>
          <t>avverkningsanmälan</t>
        </is>
      </c>
      <c r="C541" t="inlineStr">
        <is>
          <t>Föryngringsavverkning</t>
        </is>
      </c>
      <c r="D541" s="1" t="n">
        <v>45460</v>
      </c>
      <c r="E541" s="1" t="n">
        <v>46307</v>
      </c>
      <c r="F541" t="inlineStr">
        <is>
          <t>VÄRMLANDS LÄN</t>
        </is>
      </c>
      <c r="G541" t="inlineStr">
        <is>
          <t>TORSBY</t>
        </is>
      </c>
      <c r="H541" t="inlineStr">
        <is>
          <t>Övriga statliga verk och myndigheter</t>
        </is>
      </c>
      <c r="I541" t="n">
        <v>2.1</v>
      </c>
      <c r="J541" t="n">
        <v>0</v>
      </c>
      <c r="K541" t="n">
        <v>0</v>
      </c>
      <c r="L541" t="n">
        <v>0</v>
      </c>
      <c r="M541" t="n">
        <v>1</v>
      </c>
      <c r="N541" t="n">
        <v>0</v>
      </c>
      <c r="O541" t="n">
        <v>0</v>
      </c>
      <c r="P541" t="n">
        <v>0</v>
      </c>
      <c r="Q541" t="n">
        <v>1</v>
      </c>
      <c r="R541" t="n">
        <v>1</v>
      </c>
      <c r="S541" t="n">
        <v>1</v>
      </c>
      <c r="T541" t="n">
        <v>1</v>
      </c>
      <c r="U541" t="n">
        <v>0</v>
      </c>
      <c r="V541" s="2" t="inlineStr">
        <is>
          <t>Garnlav</t>
        </is>
      </c>
      <c r="W541">
        <f>HYPERLINK("https://klasma.github.io/Logging_1737/artfynd/A 24717-2024 artfynd.xlsx", "A 24717-2024")</f>
        <v/>
      </c>
      <c r="X541">
        <f>HYPERLINK("https://klasma.github.io/Logging_1737/kartor/A 24717-2024 karta.png", "A 24717-2024")</f>
        <v/>
      </c>
      <c r="Y541">
        <f>HYPERLINK("https://klasma.github.io/Logging_1737/kartor_geotiff/A 24717-2024 georefererad karta.tif", "A 24717-2024")</f>
        <v/>
      </c>
      <c r="AA541">
        <f>HYPERLINK("https://klasma.github.io/Logging_1737/klagomål/A 24717-2024 FSC-klagomål.docx", "A 24717-2024")</f>
        <v/>
      </c>
      <c r="AB541">
        <f>HYPERLINK("https://klasma.github.io/Logging_1737/klagomålsmail/A 24717-2024 FSC-klagomål mail.docx", "A 24717-2024")</f>
        <v/>
      </c>
      <c r="AC541">
        <f>HYPERLINK("https://klasma.github.io/Logging_1737/tillsyn/A 24717-2024 tillsynsbegäran.docx", "A 24717-2024")</f>
        <v/>
      </c>
      <c r="AD541">
        <f>HYPERLINK("https://klasma.github.io/Logging_1737/tillsynsmail/A 24717-2024 tillsynsbegäran mail.docx", "A 24717-2024")</f>
        <v/>
      </c>
    </row>
    <row r="542" ht="15" customHeight="1">
      <c r="A542" t="inlineStr">
        <is>
          <t>A 50837-2024</t>
        </is>
      </c>
      <c r="B542" t="inlineStr">
        <is>
          <t>avverkningsanmälan</t>
        </is>
      </c>
      <c r="C542" t="inlineStr">
        <is>
          <t>Föryngringsavverkning</t>
        </is>
      </c>
      <c r="D542" s="1" t="n">
        <v>45602</v>
      </c>
      <c r="E542" s="1" t="n">
        <v>46307</v>
      </c>
      <c r="F542" t="inlineStr">
        <is>
          <t>VÄRMLANDS LÄN</t>
        </is>
      </c>
      <c r="G542" t="inlineStr">
        <is>
          <t>SUNNE</t>
        </is>
      </c>
      <c r="I542" t="n">
        <v>3.3</v>
      </c>
      <c r="J542" t="n">
        <v>0</v>
      </c>
      <c r="K542" t="n">
        <v>1</v>
      </c>
      <c r="L542" t="n">
        <v>0</v>
      </c>
      <c r="M542" t="n">
        <v>0</v>
      </c>
      <c r="N542" t="n">
        <v>0</v>
      </c>
      <c r="O542" t="n">
        <v>0</v>
      </c>
      <c r="P542" t="n">
        <v>0</v>
      </c>
      <c r="Q542" t="n">
        <v>0</v>
      </c>
      <c r="R542" t="n">
        <v>0</v>
      </c>
      <c r="S542" t="n">
        <v>1</v>
      </c>
      <c r="T542" t="n">
        <v>1</v>
      </c>
      <c r="U542" t="n">
        <v>1</v>
      </c>
      <c r="V542" s="2" t="inlineStr">
        <is>
          <t>Gräsull</t>
        </is>
      </c>
      <c r="W542">
        <f>HYPERLINK("https://klasma.github.io/Logging_1766/artfynd/A 50837-2024 artfynd.xlsx", "A 50837-2024")</f>
        <v/>
      </c>
      <c r="X542">
        <f>HYPERLINK("https://klasma.github.io/Logging_1766/kartor/A 50837-2024 karta.png", "A 50837-2024")</f>
        <v/>
      </c>
      <c r="Y542">
        <f>HYPERLINK("https://klasma.github.io/Logging_1766/kartor_geotiff/A 50837-2024 georefererad karta.tif", "A 50837-2024")</f>
        <v/>
      </c>
      <c r="AA542">
        <f>HYPERLINK("https://klasma.github.io/Logging_1766/klagomål/A 50837-2024 FSC-klagomål.docx", "A 50837-2024")</f>
        <v/>
      </c>
      <c r="AB542">
        <f>HYPERLINK("https://klasma.github.io/Logging_1766/klagomålsmail/A 50837-2024 FSC-klagomål mail.docx", "A 50837-2024")</f>
        <v/>
      </c>
      <c r="AC542">
        <f>HYPERLINK("https://klasma.github.io/Logging_1766/tillsyn/A 50837-2024 tillsynsbegäran.docx", "A 50837-2024")</f>
        <v/>
      </c>
      <c r="AD542">
        <f>HYPERLINK("https://klasma.github.io/Logging_1766/tillsynsmail/A 50837-2024 tillsynsbegäran mail.docx", "A 50837-2024")</f>
        <v/>
      </c>
    </row>
    <row r="543" ht="15" customHeight="1">
      <c r="A543" t="inlineStr">
        <is>
          <t>A 42329-2024</t>
        </is>
      </c>
      <c r="B543" t="inlineStr">
        <is>
          <t>avverkningsanmälan</t>
        </is>
      </c>
      <c r="C543" t="inlineStr">
        <is>
          <t>Föryngringsavverkning</t>
        </is>
      </c>
      <c r="D543" s="1" t="n">
        <v>45562</v>
      </c>
      <c r="E543" s="1" t="n">
        <v>46307</v>
      </c>
      <c r="F543" t="inlineStr">
        <is>
          <t>VÄRMLANDS LÄN</t>
        </is>
      </c>
      <c r="G543" t="inlineStr">
        <is>
          <t>ARVIKA</t>
        </is>
      </c>
      <c r="I543" t="n">
        <v>1.1</v>
      </c>
      <c r="J543" t="n">
        <v>1</v>
      </c>
      <c r="K543" t="n">
        <v>0</v>
      </c>
      <c r="L543" t="n">
        <v>0</v>
      </c>
      <c r="M543" t="n">
        <v>0</v>
      </c>
      <c r="N543" t="n">
        <v>0</v>
      </c>
      <c r="O543" t="n">
        <v>0</v>
      </c>
      <c r="P543" t="n">
        <v>0</v>
      </c>
      <c r="Q543" t="n">
        <v>0</v>
      </c>
      <c r="R543" t="n">
        <v>0</v>
      </c>
      <c r="S543" t="n">
        <v>1</v>
      </c>
      <c r="T543" t="n">
        <v>1</v>
      </c>
      <c r="U543" t="n">
        <v>0</v>
      </c>
      <c r="V543" s="2" t="inlineStr">
        <is>
          <t>Utter</t>
        </is>
      </c>
      <c r="W543">
        <f>HYPERLINK("https://klasma.github.io/Logging_1784/artfynd/A 42329-2024 artfynd.xlsx", "A 42329-2024")</f>
        <v/>
      </c>
      <c r="X543">
        <f>HYPERLINK("https://klasma.github.io/Logging_1784/kartor/A 42329-2024 karta.png", "A 42329-2024")</f>
        <v/>
      </c>
      <c r="Y543">
        <f>HYPERLINK("https://klasma.github.io/Logging_1784/kartor_geotiff/A 42329-2024 georefererad karta.tif", "A 42329-2024")</f>
        <v/>
      </c>
      <c r="AA543">
        <f>HYPERLINK("https://klasma.github.io/Logging_1784/klagomål/A 42329-2024 FSC-klagomål.docx", "A 42329-2024")</f>
        <v/>
      </c>
      <c r="AB543">
        <f>HYPERLINK("https://klasma.github.io/Logging_1784/klagomålsmail/A 42329-2024 FSC-klagomål mail.docx", "A 42329-2024")</f>
        <v/>
      </c>
      <c r="AC543">
        <f>HYPERLINK("https://klasma.github.io/Logging_1784/tillsyn/A 42329-2024 tillsynsbegäran.docx", "A 42329-2024")</f>
        <v/>
      </c>
      <c r="AD543">
        <f>HYPERLINK("https://klasma.github.io/Logging_1784/tillsynsmail/A 42329-2024 tillsynsbegäran mail.docx", "A 42329-2024")</f>
        <v/>
      </c>
    </row>
    <row r="544" ht="15" customHeight="1">
      <c r="A544" t="inlineStr">
        <is>
          <t>A 26747-2023</t>
        </is>
      </c>
      <c r="B544" t="inlineStr">
        <is>
          <t>avverkningsanmälan</t>
        </is>
      </c>
      <c r="C544" t="inlineStr">
        <is>
          <t>Föryngringsavverkning</t>
        </is>
      </c>
      <c r="D544" s="1" t="n">
        <v>45090</v>
      </c>
      <c r="E544" s="1" t="n">
        <v>46307</v>
      </c>
      <c r="F544" t="inlineStr">
        <is>
          <t>VÄRMLANDS LÄN</t>
        </is>
      </c>
      <c r="G544" t="inlineStr">
        <is>
          <t>TORSBY</t>
        </is>
      </c>
      <c r="H544" t="inlineStr">
        <is>
          <t>Övriga statliga verk och myndigheter</t>
        </is>
      </c>
      <c r="I544" t="n">
        <v>4.5</v>
      </c>
      <c r="J544" t="n">
        <v>0</v>
      </c>
      <c r="K544" t="n">
        <v>0</v>
      </c>
      <c r="L544" t="n">
        <v>0</v>
      </c>
      <c r="M544" t="n">
        <v>1</v>
      </c>
      <c r="N544" t="n">
        <v>0</v>
      </c>
      <c r="O544" t="n">
        <v>0</v>
      </c>
      <c r="P544" t="n">
        <v>0</v>
      </c>
      <c r="Q544" t="n">
        <v>1</v>
      </c>
      <c r="R544" t="n">
        <v>1</v>
      </c>
      <c r="S544" t="n">
        <v>1</v>
      </c>
      <c r="T544" t="n">
        <v>2</v>
      </c>
      <c r="U544" t="n">
        <v>0</v>
      </c>
      <c r="V544" s="2" t="inlineStr">
        <is>
          <t>Garnlav</t>
        </is>
      </c>
      <c r="W544">
        <f>HYPERLINK("https://klasma.github.io/Logging_1737/artfynd/A 26747-2023 artfynd.xlsx", "A 26747-2023")</f>
        <v/>
      </c>
      <c r="X544">
        <f>HYPERLINK("https://klasma.github.io/Logging_1737/kartor/A 26747-2023 karta.png", "A 26747-2023")</f>
        <v/>
      </c>
      <c r="Y544">
        <f>HYPERLINK("https://klasma.github.io/Logging_1737/kartor_geotiff/A 26747-2023 georefererad karta.tif", "A 26747-2023")</f>
        <v/>
      </c>
      <c r="AA544">
        <f>HYPERLINK("https://klasma.github.io/Logging_1737/klagomål/A 26747-2023 FSC-klagomål.docx", "A 26747-2023")</f>
        <v/>
      </c>
      <c r="AB544">
        <f>HYPERLINK("https://klasma.github.io/Logging_1737/klagomålsmail/A 26747-2023 FSC-klagomål mail.docx", "A 26747-2023")</f>
        <v/>
      </c>
      <c r="AC544">
        <f>HYPERLINK("https://klasma.github.io/Logging_1737/tillsyn/A 26747-2023 tillsynsbegäran.docx", "A 26747-2023")</f>
        <v/>
      </c>
      <c r="AD544">
        <f>HYPERLINK("https://klasma.github.io/Logging_1737/tillsynsmail/A 26747-2023 tillsynsbegäran mail.docx", "A 26747-2023")</f>
        <v/>
      </c>
    </row>
    <row r="545" ht="15" customHeight="1">
      <c r="A545" t="inlineStr">
        <is>
          <t>A 36886-2022</t>
        </is>
      </c>
      <c r="B545" t="inlineStr">
        <is>
          <t>avverkningsanmälan</t>
        </is>
      </c>
      <c r="C545" t="inlineStr">
        <is>
          <t>Föryngringsavverkning</t>
        </is>
      </c>
      <c r="D545" s="1" t="n">
        <v>44805</v>
      </c>
      <c r="E545" s="1" t="n">
        <v>46307</v>
      </c>
      <c r="F545" t="inlineStr">
        <is>
          <t>VÄRMLANDS LÄN</t>
        </is>
      </c>
      <c r="G545" t="inlineStr">
        <is>
          <t>KARLSTAD</t>
        </is>
      </c>
      <c r="I545" t="n">
        <v>1.5</v>
      </c>
      <c r="J545" t="n">
        <v>1</v>
      </c>
      <c r="K545" t="n">
        <v>0</v>
      </c>
      <c r="L545" t="n">
        <v>0</v>
      </c>
      <c r="M545" t="n">
        <v>0</v>
      </c>
      <c r="N545" t="n">
        <v>0</v>
      </c>
      <c r="O545" t="n">
        <v>0</v>
      </c>
      <c r="P545" t="n">
        <v>0</v>
      </c>
      <c r="Q545" t="n">
        <v>0</v>
      </c>
      <c r="R545" t="n">
        <v>0</v>
      </c>
      <c r="S545" t="n">
        <v>1</v>
      </c>
      <c r="T545" t="n">
        <v>1</v>
      </c>
      <c r="U545" t="n">
        <v>1</v>
      </c>
      <c r="V545" s="2" t="inlineStr">
        <is>
          <t>Gröngöling</t>
        </is>
      </c>
      <c r="W545">
        <f>HYPERLINK("https://klasma.github.io/Logging_1780/artfynd/A 36886-2022 artfynd.xlsx", "A 36886-2022")</f>
        <v/>
      </c>
      <c r="X545">
        <f>HYPERLINK("https://klasma.github.io/Logging_1780/kartor/A 36886-2022 karta.png", "A 36886-2022")</f>
        <v/>
      </c>
      <c r="Y545">
        <f>HYPERLINK("https://klasma.github.io/Logging_1780/kartor_geotiff/A 36886-2022 georefererad karta.tif", "A 36886-2022")</f>
        <v/>
      </c>
      <c r="AA545">
        <f>HYPERLINK("https://klasma.github.io/Logging_1780/klagomål/A 36886-2022 FSC-klagomål.docx", "A 36886-2022")</f>
        <v/>
      </c>
      <c r="AB545">
        <f>HYPERLINK("https://klasma.github.io/Logging_1780/klagomålsmail/A 36886-2022 FSC-klagomål mail.docx", "A 36886-2022")</f>
        <v/>
      </c>
      <c r="AC545">
        <f>HYPERLINK("https://klasma.github.io/Logging_1780/tillsyn/A 36886-2022 tillsynsbegäran.docx", "A 36886-2022")</f>
        <v/>
      </c>
      <c r="AD545">
        <f>HYPERLINK("https://klasma.github.io/Logging_1780/tillsynsmail/A 36886-2022 tillsynsbegäran mail.docx", "A 36886-2022")</f>
        <v/>
      </c>
    </row>
    <row r="546" ht="15" customHeight="1">
      <c r="A546" t="inlineStr">
        <is>
          <t>A 73209-2021</t>
        </is>
      </c>
      <c r="B546" t="inlineStr">
        <is>
          <t>avverkningsanmälan</t>
        </is>
      </c>
      <c r="C546" t="inlineStr">
        <is>
          <t>Föryngringsavverkning</t>
        </is>
      </c>
      <c r="D546" s="1" t="n">
        <v>44550</v>
      </c>
      <c r="E546" s="1" t="n">
        <v>46307</v>
      </c>
      <c r="F546" t="inlineStr">
        <is>
          <t>VÄRMLANDS LÄN</t>
        </is>
      </c>
      <c r="G546" t="inlineStr">
        <is>
          <t>SUNNE</t>
        </is>
      </c>
      <c r="I546" t="n">
        <v>6.3</v>
      </c>
      <c r="J546" t="n">
        <v>1</v>
      </c>
      <c r="K546" t="n">
        <v>0</v>
      </c>
      <c r="L546" t="n">
        <v>0</v>
      </c>
      <c r="M546" t="n">
        <v>0</v>
      </c>
      <c r="N546" t="n">
        <v>0</v>
      </c>
      <c r="O546" t="n">
        <v>0</v>
      </c>
      <c r="P546" t="n">
        <v>0</v>
      </c>
      <c r="Q546" t="n">
        <v>0</v>
      </c>
      <c r="R546" t="n">
        <v>0</v>
      </c>
      <c r="S546" t="n">
        <v>1</v>
      </c>
      <c r="T546" t="n">
        <v>1</v>
      </c>
      <c r="U546" t="n">
        <v>1</v>
      </c>
      <c r="V546" s="2" t="inlineStr">
        <is>
          <t>Buskskvätta</t>
        </is>
      </c>
      <c r="W546">
        <f>HYPERLINK("https://klasma.github.io/Logging_1766/artfynd/A 73209-2021 artfynd.xlsx", "A 73209-2021")</f>
        <v/>
      </c>
      <c r="X546">
        <f>HYPERLINK("https://klasma.github.io/Logging_1766/kartor/A 73209-2021 karta.png", "A 73209-2021")</f>
        <v/>
      </c>
      <c r="Y546">
        <f>HYPERLINK("https://klasma.github.io/Logging_1766/kartor_geotiff/A 73209-2021 georefererad karta.tif", "A 73209-2021")</f>
        <v/>
      </c>
      <c r="AA546">
        <f>HYPERLINK("https://klasma.github.io/Logging_1766/klagomål/A 73209-2021 FSC-klagomål.docx", "A 73209-2021")</f>
        <v/>
      </c>
      <c r="AB546">
        <f>HYPERLINK("https://klasma.github.io/Logging_1766/klagomålsmail/A 73209-2021 FSC-klagomål mail.docx", "A 73209-2021")</f>
        <v/>
      </c>
      <c r="AC546">
        <f>HYPERLINK("https://klasma.github.io/Logging_1766/tillsyn/A 73209-2021 tillsynsbegäran.docx", "A 73209-2021")</f>
        <v/>
      </c>
      <c r="AD546">
        <f>HYPERLINK("https://klasma.github.io/Logging_1766/tillsynsmail/A 73209-2021 tillsynsbegäran mail.docx", "A 73209-2021")</f>
        <v/>
      </c>
    </row>
    <row r="547" ht="15" customHeight="1">
      <c r="A547" t="inlineStr">
        <is>
          <t>A 58664-2024</t>
        </is>
      </c>
      <c r="B547" t="inlineStr">
        <is>
          <t>avverkningsanmälan</t>
        </is>
      </c>
      <c r="C547" t="inlineStr">
        <is>
          <t>Föryngringsavverkning</t>
        </is>
      </c>
      <c r="D547" s="1" t="n">
        <v>45635</v>
      </c>
      <c r="E547" s="1" t="n">
        <v>46307</v>
      </c>
      <c r="F547" t="inlineStr">
        <is>
          <t>VÄRMLANDS LÄN</t>
        </is>
      </c>
      <c r="G547" t="inlineStr">
        <is>
          <t>SUNNE</t>
        </is>
      </c>
      <c r="I547" t="n">
        <v>2.2</v>
      </c>
      <c r="J547" t="n">
        <v>0</v>
      </c>
      <c r="K547" t="n">
        <v>0</v>
      </c>
      <c r="L547" t="n">
        <v>0</v>
      </c>
      <c r="M547" t="n">
        <v>0</v>
      </c>
      <c r="N547" t="n">
        <v>0</v>
      </c>
      <c r="O547" t="n">
        <v>0</v>
      </c>
      <c r="P547" t="n">
        <v>0</v>
      </c>
      <c r="Q547" t="n">
        <v>0</v>
      </c>
      <c r="R547" t="n">
        <v>0</v>
      </c>
      <c r="S547" t="n">
        <v>1</v>
      </c>
      <c r="T547" t="n">
        <v>1</v>
      </c>
      <c r="U547" t="n">
        <v>1</v>
      </c>
      <c r="V547" s="2" t="inlineStr">
        <is>
          <t>Kärrviol</t>
        </is>
      </c>
      <c r="W547">
        <f>HYPERLINK("https://klasma.github.io/Logging_1766/artfynd/A 58664-2024 artfynd.xlsx", "A 58664-2024")</f>
        <v/>
      </c>
      <c r="X547">
        <f>HYPERLINK("https://klasma.github.io/Logging_1766/kartor/A 58664-2024 karta.png", "A 58664-2024")</f>
        <v/>
      </c>
      <c r="Y547">
        <f>HYPERLINK("https://klasma.github.io/Logging_1766/kartor_geotiff/A 58664-2024 georefererad karta.tif", "A 58664-2024")</f>
        <v/>
      </c>
      <c r="AA547">
        <f>HYPERLINK("https://klasma.github.io/Logging_1766/klagomål/A 58664-2024 FSC-klagomål.docx", "A 58664-2024")</f>
        <v/>
      </c>
      <c r="AB547">
        <f>HYPERLINK("https://klasma.github.io/Logging_1766/klagomålsmail/A 58664-2024 FSC-klagomål mail.docx", "A 58664-2024")</f>
        <v/>
      </c>
      <c r="AC547">
        <f>HYPERLINK("https://klasma.github.io/Logging_1766/tillsyn/A 58664-2024 tillsynsbegäran.docx", "A 58664-2024")</f>
        <v/>
      </c>
      <c r="AD547">
        <f>HYPERLINK("https://klasma.github.io/Logging_1766/tillsynsmail/A 58664-2024 tillsynsbegäran mail.docx", "A 58664-2024")</f>
        <v/>
      </c>
    </row>
    <row r="548" ht="15" customHeight="1">
      <c r="A548" t="inlineStr">
        <is>
          <t>A 45892-2024</t>
        </is>
      </c>
      <c r="B548" t="inlineStr">
        <is>
          <t>avverkningsanmälan</t>
        </is>
      </c>
      <c r="C548" t="inlineStr">
        <is>
          <t>Föryngringsavverkning</t>
        </is>
      </c>
      <c r="D548" s="1" t="n">
        <v>45580</v>
      </c>
      <c r="E548" s="1" t="n">
        <v>46307</v>
      </c>
      <c r="F548" t="inlineStr">
        <is>
          <t>VÄRMLANDS LÄN</t>
        </is>
      </c>
      <c r="G548" t="inlineStr">
        <is>
          <t>ARVIKA</t>
        </is>
      </c>
      <c r="I548" t="n">
        <v>9.199999999999999</v>
      </c>
      <c r="J548" t="n">
        <v>0</v>
      </c>
      <c r="K548" t="n">
        <v>0</v>
      </c>
      <c r="L548" t="n">
        <v>1</v>
      </c>
      <c r="M548" t="n">
        <v>0</v>
      </c>
      <c r="N548" t="n">
        <v>0</v>
      </c>
      <c r="O548" t="n">
        <v>0</v>
      </c>
      <c r="P548" t="n">
        <v>0</v>
      </c>
      <c r="Q548" t="n">
        <v>1</v>
      </c>
      <c r="R548" t="n">
        <v>0</v>
      </c>
      <c r="S548" t="n">
        <v>1</v>
      </c>
      <c r="T548" t="n">
        <v>1</v>
      </c>
      <c r="U548" t="n">
        <v>0</v>
      </c>
      <c r="V548" s="2" t="inlineStr">
        <is>
          <t>Dunmossa</t>
        </is>
      </c>
      <c r="W548">
        <f>HYPERLINK("https://klasma.github.io/Logging_1784/artfynd/A 45892-2024 artfynd.xlsx", "A 45892-2024")</f>
        <v/>
      </c>
      <c r="X548">
        <f>HYPERLINK("https://klasma.github.io/Logging_1784/kartor/A 45892-2024 karta.png", "A 45892-2024")</f>
        <v/>
      </c>
      <c r="Y548">
        <f>HYPERLINK("https://klasma.github.io/Logging_1784/kartor_geotiff/A 45892-2024 georefererad karta.tif", "A 45892-2024")</f>
        <v/>
      </c>
      <c r="AA548">
        <f>HYPERLINK("https://klasma.github.io/Logging_1784/klagomål/A 45892-2024 FSC-klagomål.docx", "A 45892-2024")</f>
        <v/>
      </c>
      <c r="AB548">
        <f>HYPERLINK("https://klasma.github.io/Logging_1784/klagomålsmail/A 45892-2024 FSC-klagomål mail.docx", "A 45892-2024")</f>
        <v/>
      </c>
      <c r="AC548">
        <f>HYPERLINK("https://klasma.github.io/Logging_1784/tillsyn/A 45892-2024 tillsynsbegäran.docx", "A 45892-2024")</f>
        <v/>
      </c>
      <c r="AD548">
        <f>HYPERLINK("https://klasma.github.io/Logging_1784/tillsynsmail/A 45892-2024 tillsynsbegäran mail.docx", "A 45892-2024")</f>
        <v/>
      </c>
    </row>
    <row r="549" ht="15" customHeight="1">
      <c r="A549" t="inlineStr">
        <is>
          <t>A 16391-2023</t>
        </is>
      </c>
      <c r="B549" t="inlineStr">
        <is>
          <t>avverkningsanmälan</t>
        </is>
      </c>
      <c r="C549" t="inlineStr">
        <is>
          <t>Föryngringsavverkning</t>
        </is>
      </c>
      <c r="D549" s="1" t="n">
        <v>45029</v>
      </c>
      <c r="E549" s="1" t="n">
        <v>46307</v>
      </c>
      <c r="F549" t="inlineStr">
        <is>
          <t>VÄRMLANDS LÄN</t>
        </is>
      </c>
      <c r="G549" t="inlineStr">
        <is>
          <t>ARVIKA</t>
        </is>
      </c>
      <c r="I549" t="n">
        <v>0.9</v>
      </c>
      <c r="J549" t="n">
        <v>0</v>
      </c>
      <c r="K549" t="n">
        <v>0</v>
      </c>
      <c r="L549" t="n">
        <v>0</v>
      </c>
      <c r="M549" t="n">
        <v>0</v>
      </c>
      <c r="N549" t="n">
        <v>1</v>
      </c>
      <c r="O549" t="n">
        <v>0</v>
      </c>
      <c r="P549" t="n">
        <v>0</v>
      </c>
      <c r="Q549" t="n">
        <v>1</v>
      </c>
      <c r="R549" t="n">
        <v>1</v>
      </c>
      <c r="S549" t="n">
        <v>1</v>
      </c>
      <c r="T549" t="n">
        <v>1</v>
      </c>
      <c r="U549" t="n">
        <v>0</v>
      </c>
      <c r="V549" s="2" t="inlineStr">
        <is>
          <t>Kulfibbla</t>
        </is>
      </c>
      <c r="W549">
        <f>HYPERLINK("https://klasma.github.io/Logging_1784/artfynd/A 16391-2023 artfynd.xlsx", "A 16391-2023")</f>
        <v/>
      </c>
      <c r="X549">
        <f>HYPERLINK("https://klasma.github.io/Logging_1784/kartor/A 16391-2023 karta.png", "A 16391-2023")</f>
        <v/>
      </c>
      <c r="Y549">
        <f>HYPERLINK("https://klasma.github.io/Logging_1784/kartor_geotiff/A 16391-2023 georefererad karta.tif", "A 16391-2023")</f>
        <v/>
      </c>
      <c r="AA549">
        <f>HYPERLINK("https://klasma.github.io/Logging_1784/klagomål/A 16391-2023 FSC-klagomål.docx", "A 16391-2023")</f>
        <v/>
      </c>
      <c r="AB549">
        <f>HYPERLINK("https://klasma.github.io/Logging_1784/klagomålsmail/A 16391-2023 FSC-klagomål mail.docx", "A 16391-2023")</f>
        <v/>
      </c>
      <c r="AC549">
        <f>HYPERLINK("https://klasma.github.io/Logging_1784/tillsyn/A 16391-2023 tillsynsbegäran.docx", "A 16391-2023")</f>
        <v/>
      </c>
      <c r="AD549">
        <f>HYPERLINK("https://klasma.github.io/Logging_1784/tillsynsmail/A 16391-2023 tillsynsbegäran mail.docx", "A 16391-2023")</f>
        <v/>
      </c>
    </row>
    <row r="550" ht="15" customHeight="1">
      <c r="A550" t="inlineStr">
        <is>
          <t>A 59770-2023</t>
        </is>
      </c>
      <c r="B550" t="inlineStr">
        <is>
          <t>avverkningsanmälan</t>
        </is>
      </c>
      <c r="C550" t="inlineStr">
        <is>
          <t>Föryngringsavverkning</t>
        </is>
      </c>
      <c r="D550" s="1" t="n">
        <v>45257</v>
      </c>
      <c r="E550" s="1" t="n">
        <v>46307</v>
      </c>
      <c r="F550" t="inlineStr">
        <is>
          <t>VÄRMLANDS LÄN</t>
        </is>
      </c>
      <c r="G550" t="inlineStr">
        <is>
          <t>EDA</t>
        </is>
      </c>
      <c r="I550" t="n">
        <v>1.4</v>
      </c>
      <c r="J550" t="n">
        <v>0</v>
      </c>
      <c r="K550" t="n">
        <v>1</v>
      </c>
      <c r="L550" t="n">
        <v>0</v>
      </c>
      <c r="M550" t="n">
        <v>0</v>
      </c>
      <c r="N550" t="n">
        <v>0</v>
      </c>
      <c r="O550" t="n">
        <v>0</v>
      </c>
      <c r="P550" t="n">
        <v>0</v>
      </c>
      <c r="Q550" t="n">
        <v>0</v>
      </c>
      <c r="R550" t="n">
        <v>0</v>
      </c>
      <c r="S550" t="n">
        <v>1</v>
      </c>
      <c r="T550" t="n">
        <v>1</v>
      </c>
      <c r="U550" t="n">
        <v>1</v>
      </c>
      <c r="V550" s="2" t="inlineStr">
        <is>
          <t>Vågbandad barkbock</t>
        </is>
      </c>
      <c r="W550">
        <f>HYPERLINK("https://klasma.github.io/Logging_1730/artfynd/A 59770-2023 artfynd.xlsx", "A 59770-2023")</f>
        <v/>
      </c>
      <c r="X550">
        <f>HYPERLINK("https://klasma.github.io/Logging_1730/kartor/A 59770-2023 karta.png", "A 59770-2023")</f>
        <v/>
      </c>
      <c r="Y550">
        <f>HYPERLINK("https://klasma.github.io/Logging_1730/kartor_geotiff/A 59770-2023 georefererad karta.tif", "A 59770-2023")</f>
        <v/>
      </c>
      <c r="AA550">
        <f>HYPERLINK("https://klasma.github.io/Logging_1730/klagomål/A 59770-2023 FSC-klagomål.docx", "A 59770-2023")</f>
        <v/>
      </c>
      <c r="AB550">
        <f>HYPERLINK("https://klasma.github.io/Logging_1730/klagomålsmail/A 59770-2023 FSC-klagomål mail.docx", "A 59770-2023")</f>
        <v/>
      </c>
      <c r="AC550">
        <f>HYPERLINK("https://klasma.github.io/Logging_1730/tillsyn/A 59770-2023 tillsynsbegäran.docx", "A 59770-2023")</f>
        <v/>
      </c>
      <c r="AD550">
        <f>HYPERLINK("https://klasma.github.io/Logging_1730/tillsynsmail/A 59770-2023 tillsynsbegäran mail.docx", "A 59770-2023")</f>
        <v/>
      </c>
    </row>
    <row r="551" ht="15" customHeight="1">
      <c r="A551" t="inlineStr">
        <is>
          <t>A 4664-2022</t>
        </is>
      </c>
      <c r="B551" t="inlineStr">
        <is>
          <t>avverkningsanmälan</t>
        </is>
      </c>
      <c r="C551" t="inlineStr">
        <is>
          <t>Föryngringsavverkning</t>
        </is>
      </c>
      <c r="D551" s="1" t="n">
        <v>44592</v>
      </c>
      <c r="E551" s="1" t="n">
        <v>46307</v>
      </c>
      <c r="F551" t="inlineStr">
        <is>
          <t>VÄRMLANDS LÄN</t>
        </is>
      </c>
      <c r="G551" t="inlineStr">
        <is>
          <t>KARLSTAD</t>
        </is>
      </c>
      <c r="H551" t="inlineStr">
        <is>
          <t>Kommuner</t>
        </is>
      </c>
      <c r="I551" t="n">
        <v>2.3</v>
      </c>
      <c r="J551" t="n">
        <v>0</v>
      </c>
      <c r="K551" t="n">
        <v>0</v>
      </c>
      <c r="L551" t="n">
        <v>1</v>
      </c>
      <c r="M551" t="n">
        <v>0</v>
      </c>
      <c r="N551" t="n">
        <v>0</v>
      </c>
      <c r="O551" t="n">
        <v>0</v>
      </c>
      <c r="P551" t="n">
        <v>0</v>
      </c>
      <c r="Q551" t="n">
        <v>1</v>
      </c>
      <c r="R551" t="n">
        <v>0</v>
      </c>
      <c r="S551" t="n">
        <v>1</v>
      </c>
      <c r="T551" t="n">
        <v>1</v>
      </c>
      <c r="U551" t="n">
        <v>1</v>
      </c>
      <c r="V551" s="2" t="inlineStr">
        <is>
          <t>Vedskivlav</t>
        </is>
      </c>
      <c r="W551">
        <f>HYPERLINK("https://klasma.github.io/Logging_1780/artfynd/A 4664-2022 artfynd.xlsx", "A 4664-2022")</f>
        <v/>
      </c>
      <c r="X551">
        <f>HYPERLINK("https://klasma.github.io/Logging_1780/kartor/A 4664-2022 karta.png", "A 4664-2022")</f>
        <v/>
      </c>
      <c r="Y551">
        <f>HYPERLINK("https://klasma.github.io/Logging_1780/kartor_geotiff/A 4664-2022 georefererad karta.tif", "A 4664-2022")</f>
        <v/>
      </c>
      <c r="AA551">
        <f>HYPERLINK("https://klasma.github.io/Logging_1780/klagomål/A 4664-2022 FSC-klagomål.docx", "A 4664-2022")</f>
        <v/>
      </c>
      <c r="AB551">
        <f>HYPERLINK("https://klasma.github.io/Logging_1780/klagomålsmail/A 4664-2022 FSC-klagomål mail.docx", "A 4664-2022")</f>
        <v/>
      </c>
      <c r="AC551">
        <f>HYPERLINK("https://klasma.github.io/Logging_1780/tillsyn/A 4664-2022 tillsynsbegäran.docx", "A 4664-2022")</f>
        <v/>
      </c>
      <c r="AD551">
        <f>HYPERLINK("https://klasma.github.io/Logging_1780/tillsynsmail/A 4664-2022 tillsynsbegäran mail.docx", "A 4664-2022")</f>
        <v/>
      </c>
    </row>
    <row r="552" ht="15" customHeight="1">
      <c r="A552" t="inlineStr">
        <is>
          <t>A 31657-2023</t>
        </is>
      </c>
      <c r="B552" t="inlineStr">
        <is>
          <t>avverkningsanmälan</t>
        </is>
      </c>
      <c r="C552" t="inlineStr">
        <is>
          <t>Föryngringsavverkning</t>
        </is>
      </c>
      <c r="D552" s="1" t="n">
        <v>45106</v>
      </c>
      <c r="E552" s="1" t="n">
        <v>46307</v>
      </c>
      <c r="F552" t="inlineStr">
        <is>
          <t>VÄRMLANDS LÄN</t>
        </is>
      </c>
      <c r="G552" t="inlineStr">
        <is>
          <t>SÄFFLE</t>
        </is>
      </c>
      <c r="I552" t="n">
        <v>2.7</v>
      </c>
      <c r="J552" t="n">
        <v>1</v>
      </c>
      <c r="K552" t="n">
        <v>0</v>
      </c>
      <c r="L552" t="n">
        <v>0</v>
      </c>
      <c r="M552" t="n">
        <v>0</v>
      </c>
      <c r="N552" t="n">
        <v>0</v>
      </c>
      <c r="O552" t="n">
        <v>0</v>
      </c>
      <c r="P552" t="n">
        <v>0</v>
      </c>
      <c r="Q552" t="n">
        <v>0</v>
      </c>
      <c r="R552" t="n">
        <v>0</v>
      </c>
      <c r="S552" t="n">
        <v>1</v>
      </c>
      <c r="T552" t="n">
        <v>2</v>
      </c>
      <c r="U552" t="n">
        <v>0</v>
      </c>
      <c r="V552" s="2" t="inlineStr">
        <is>
          <t>Vanlig groda</t>
        </is>
      </c>
      <c r="W552">
        <f>HYPERLINK("https://klasma.github.io/Logging_1785/artfynd/A 31657-2023 artfynd.xlsx", "A 31657-2023")</f>
        <v/>
      </c>
      <c r="X552">
        <f>HYPERLINK("https://klasma.github.io/Logging_1785/kartor/A 31657-2023 karta.png", "A 31657-2023")</f>
        <v/>
      </c>
      <c r="Y552">
        <f>HYPERLINK("https://klasma.github.io/Logging_1785/kartor_geotiff/A 31657-2023 georefererad karta.tif", "A 31657-2023")</f>
        <v/>
      </c>
      <c r="AA552">
        <f>HYPERLINK("https://klasma.github.io/Logging_1785/klagomål/A 31657-2023 FSC-klagomål.docx", "A 31657-2023")</f>
        <v/>
      </c>
      <c r="AB552">
        <f>HYPERLINK("https://klasma.github.io/Logging_1785/klagomålsmail/A 31657-2023 FSC-klagomål mail.docx", "A 31657-2023")</f>
        <v/>
      </c>
      <c r="AC552">
        <f>HYPERLINK("https://klasma.github.io/Logging_1785/tillsyn/A 31657-2023 tillsynsbegäran.docx", "A 31657-2023")</f>
        <v/>
      </c>
      <c r="AD552">
        <f>HYPERLINK("https://klasma.github.io/Logging_1785/tillsynsmail/A 31657-2023 tillsynsbegäran mail.docx", "A 31657-2023")</f>
        <v/>
      </c>
    </row>
    <row r="553" ht="15" customHeight="1">
      <c r="A553" t="inlineStr">
        <is>
          <t>A 56083-2022</t>
        </is>
      </c>
      <c r="B553" t="inlineStr">
        <is>
          <t>avverkningsanmälan</t>
        </is>
      </c>
      <c r="C553" t="inlineStr">
        <is>
          <t>Föryngringsavverkning</t>
        </is>
      </c>
      <c r="D553" s="1" t="n">
        <v>44889</v>
      </c>
      <c r="E553" s="1" t="n">
        <v>46307</v>
      </c>
      <c r="F553" t="inlineStr">
        <is>
          <t>VÄRMLANDS LÄN</t>
        </is>
      </c>
      <c r="G553" t="inlineStr">
        <is>
          <t>HAGFORS</t>
        </is>
      </c>
      <c r="H553" t="inlineStr">
        <is>
          <t>Bergvik skog väst AB</t>
        </is>
      </c>
      <c r="I553" t="n">
        <v>19.1</v>
      </c>
      <c r="J553" t="n">
        <v>0</v>
      </c>
      <c r="K553" t="n">
        <v>0</v>
      </c>
      <c r="L553" t="n">
        <v>1</v>
      </c>
      <c r="M553" t="n">
        <v>0</v>
      </c>
      <c r="N553" t="n">
        <v>0</v>
      </c>
      <c r="O553" t="n">
        <v>0</v>
      </c>
      <c r="P553" t="n">
        <v>0</v>
      </c>
      <c r="Q553" t="n">
        <v>1</v>
      </c>
      <c r="R553" t="n">
        <v>0</v>
      </c>
      <c r="S553" t="n">
        <v>1</v>
      </c>
      <c r="T553" t="n">
        <v>1</v>
      </c>
      <c r="U553" t="n">
        <v>0</v>
      </c>
      <c r="V553" s="2" t="inlineStr">
        <is>
          <t>Dropptaggsvamp</t>
        </is>
      </c>
      <c r="W553">
        <f>HYPERLINK("https://klasma.github.io/Logging_1783/artfynd/A 56083-2022 artfynd.xlsx", "A 56083-2022")</f>
        <v/>
      </c>
      <c r="X553">
        <f>HYPERLINK("https://klasma.github.io/Logging_1783/kartor/A 56083-2022 karta.png", "A 56083-2022")</f>
        <v/>
      </c>
      <c r="Y553">
        <f>HYPERLINK("https://klasma.github.io/Logging_1783/kartor_geotiff/A 56083-2022 georefererad karta.tif", "A 56083-2022")</f>
        <v/>
      </c>
      <c r="AA553">
        <f>HYPERLINK("https://klasma.github.io/Logging_1783/klagomål/A 56083-2022 FSC-klagomål.docx", "A 56083-2022")</f>
        <v/>
      </c>
      <c r="AB553">
        <f>HYPERLINK("https://klasma.github.io/Logging_1783/klagomålsmail/A 56083-2022 FSC-klagomål mail.docx", "A 56083-2022")</f>
        <v/>
      </c>
      <c r="AC553">
        <f>HYPERLINK("https://klasma.github.io/Logging_1783/tillsyn/A 56083-2022 tillsynsbegäran.docx", "A 56083-2022")</f>
        <v/>
      </c>
      <c r="AD553">
        <f>HYPERLINK("https://klasma.github.io/Logging_1783/tillsynsmail/A 56083-2022 tillsynsbegäran mail.docx", "A 56083-2022")</f>
        <v/>
      </c>
    </row>
    <row r="554" ht="15" customHeight="1">
      <c r="A554" t="inlineStr">
        <is>
          <t>A 57992-2023</t>
        </is>
      </c>
      <c r="B554" t="inlineStr">
        <is>
          <t>avverkningsanmälan</t>
        </is>
      </c>
      <c r="C554" t="inlineStr">
        <is>
          <t>Föryngringsavverkning</t>
        </is>
      </c>
      <c r="D554" s="1" t="n">
        <v>45244</v>
      </c>
      <c r="E554" s="1" t="n">
        <v>46307</v>
      </c>
      <c r="F554" t="inlineStr">
        <is>
          <t>VÄRMLANDS LÄN</t>
        </is>
      </c>
      <c r="G554" t="inlineStr">
        <is>
          <t>ÅRJÄNG</t>
        </is>
      </c>
      <c r="I554" t="n">
        <v>1.9</v>
      </c>
      <c r="J554" t="n">
        <v>0</v>
      </c>
      <c r="K554" t="n">
        <v>0</v>
      </c>
      <c r="L554" t="n">
        <v>1</v>
      </c>
      <c r="M554" t="n">
        <v>0</v>
      </c>
      <c r="N554" t="n">
        <v>0</v>
      </c>
      <c r="O554" t="n">
        <v>0</v>
      </c>
      <c r="P554" t="n">
        <v>0</v>
      </c>
      <c r="Q554" t="n">
        <v>1</v>
      </c>
      <c r="R554" t="n">
        <v>0</v>
      </c>
      <c r="S554" t="n">
        <v>1</v>
      </c>
      <c r="T554" t="n">
        <v>1</v>
      </c>
      <c r="U554" t="n">
        <v>1</v>
      </c>
      <c r="V554" s="2" t="inlineStr">
        <is>
          <t>Dropptaggsvamp</t>
        </is>
      </c>
      <c r="W554">
        <f>HYPERLINK("https://klasma.github.io/Logging_1765/artfynd/A 57992-2023 artfynd.xlsx", "A 57992-2023")</f>
        <v/>
      </c>
      <c r="X554">
        <f>HYPERLINK("https://klasma.github.io/Logging_1765/kartor/A 57992-2023 karta.png", "A 57992-2023")</f>
        <v/>
      </c>
      <c r="Y554">
        <f>HYPERLINK("https://klasma.github.io/Logging_1765/kartor_geotiff/A 57992-2023 georefererad karta.tif", "A 57992-2023")</f>
        <v/>
      </c>
      <c r="AA554">
        <f>HYPERLINK("https://klasma.github.io/Logging_1765/klagomål/A 57992-2023 FSC-klagomål.docx", "A 57992-2023")</f>
        <v/>
      </c>
      <c r="AB554">
        <f>HYPERLINK("https://klasma.github.io/Logging_1765/klagomålsmail/A 57992-2023 FSC-klagomål mail.docx", "A 57992-2023")</f>
        <v/>
      </c>
      <c r="AC554">
        <f>HYPERLINK("https://klasma.github.io/Logging_1765/tillsyn/A 57992-2023 tillsynsbegäran.docx", "A 57992-2023")</f>
        <v/>
      </c>
      <c r="AD554">
        <f>HYPERLINK("https://klasma.github.io/Logging_1765/tillsynsmail/A 57992-2023 tillsynsbegäran mail.docx", "A 57992-2023")</f>
        <v/>
      </c>
    </row>
    <row r="555" ht="15" customHeight="1">
      <c r="A555" t="inlineStr">
        <is>
          <t>A 51288-2022</t>
        </is>
      </c>
      <c r="B555" t="inlineStr">
        <is>
          <t>avverkningsanmälan</t>
        </is>
      </c>
      <c r="C555" t="inlineStr">
        <is>
          <t>Föryngringsavverkning</t>
        </is>
      </c>
      <c r="D555" s="1" t="n">
        <v>44868</v>
      </c>
      <c r="E555" s="1" t="n">
        <v>46307</v>
      </c>
      <c r="F555" t="inlineStr">
        <is>
          <t>VÄRMLANDS LÄN</t>
        </is>
      </c>
      <c r="G555" t="inlineStr">
        <is>
          <t>TORSBY</t>
        </is>
      </c>
      <c r="I555" t="n">
        <v>1.9</v>
      </c>
      <c r="J555" t="n">
        <v>1</v>
      </c>
      <c r="K555" t="n">
        <v>0</v>
      </c>
      <c r="L555" t="n">
        <v>0</v>
      </c>
      <c r="M555" t="n">
        <v>0</v>
      </c>
      <c r="N555" t="n">
        <v>1</v>
      </c>
      <c r="O555" t="n">
        <v>0</v>
      </c>
      <c r="P555" t="n">
        <v>0</v>
      </c>
      <c r="Q555" t="n">
        <v>1</v>
      </c>
      <c r="R555" t="n">
        <v>1</v>
      </c>
      <c r="S555" t="n">
        <v>1</v>
      </c>
      <c r="T555" t="n">
        <v>6</v>
      </c>
      <c r="U555" t="n">
        <v>5</v>
      </c>
      <c r="V555" s="2" t="inlineStr">
        <is>
          <t>Bombmurkla</t>
        </is>
      </c>
      <c r="W555">
        <f>HYPERLINK("https://klasma.github.io/Logging_1737/artfynd/A 51288-2022 artfynd.xlsx", "A 51288-2022")</f>
        <v/>
      </c>
      <c r="X555">
        <f>HYPERLINK("https://klasma.github.io/Logging_1737/kartor/A 51288-2022 karta.png", "A 51288-2022")</f>
        <v/>
      </c>
      <c r="Y555">
        <f>HYPERLINK("https://klasma.github.io/Logging_1737/kartor_geotiff/A 51288-2022 georefererad karta.tif", "A 51288-2022")</f>
        <v/>
      </c>
      <c r="AA555">
        <f>HYPERLINK("https://klasma.github.io/Logging_1737/klagomål/A 51288-2022 FSC-klagomål.docx", "A 51288-2022")</f>
        <v/>
      </c>
      <c r="AB555">
        <f>HYPERLINK("https://klasma.github.io/Logging_1737/klagomålsmail/A 51288-2022 FSC-klagomål mail.docx", "A 51288-2022")</f>
        <v/>
      </c>
      <c r="AC555">
        <f>HYPERLINK("https://klasma.github.io/Logging_1737/tillsyn/A 51288-2022 tillsynsbegäran.docx", "A 51288-2022")</f>
        <v/>
      </c>
      <c r="AD555">
        <f>HYPERLINK("https://klasma.github.io/Logging_1737/tillsynsmail/A 51288-2022 tillsynsbegäran mail.docx", "A 51288-2022")</f>
        <v/>
      </c>
    </row>
    <row r="556" ht="15" customHeight="1">
      <c r="A556" t="inlineStr">
        <is>
          <t>A 62609-2023</t>
        </is>
      </c>
      <c r="B556" t="inlineStr">
        <is>
          <t>avverkningsanmälan</t>
        </is>
      </c>
      <c r="C556" t="inlineStr">
        <is>
          <t>Föryngringsavverkning</t>
        </is>
      </c>
      <c r="D556" s="1" t="n">
        <v>45267</v>
      </c>
      <c r="E556" s="1" t="n">
        <v>46307</v>
      </c>
      <c r="F556" t="inlineStr">
        <is>
          <t>VÄRMLANDS LÄN</t>
        </is>
      </c>
      <c r="G556" t="inlineStr">
        <is>
          <t>ÅRJÄNG</t>
        </is>
      </c>
      <c r="I556" t="n">
        <v>14.4</v>
      </c>
      <c r="J556" t="n">
        <v>1</v>
      </c>
      <c r="K556" t="n">
        <v>0</v>
      </c>
      <c r="L556" t="n">
        <v>0</v>
      </c>
      <c r="M556" t="n">
        <v>0</v>
      </c>
      <c r="N556" t="n">
        <v>0</v>
      </c>
      <c r="O556" t="n">
        <v>0</v>
      </c>
      <c r="P556" t="n">
        <v>0</v>
      </c>
      <c r="Q556" t="n">
        <v>0</v>
      </c>
      <c r="R556" t="n">
        <v>0</v>
      </c>
      <c r="S556" t="n">
        <v>1</v>
      </c>
      <c r="T556" t="n">
        <v>1</v>
      </c>
      <c r="U556" t="n">
        <v>0</v>
      </c>
      <c r="V556" s="2" t="inlineStr">
        <is>
          <t>Vanlig snok</t>
        </is>
      </c>
      <c r="W556">
        <f>HYPERLINK("https://klasma.github.io/Logging_1765/artfynd/A 62609-2023 artfynd.xlsx", "A 62609-2023")</f>
        <v/>
      </c>
      <c r="X556">
        <f>HYPERLINK("https://klasma.github.io/Logging_1765/kartor/A 62609-2023 karta.png", "A 62609-2023")</f>
        <v/>
      </c>
      <c r="Y556">
        <f>HYPERLINK("https://klasma.github.io/Logging_1765/kartor_geotiff/A 62609-2023 georefererad karta.tif", "A 62609-2023")</f>
        <v/>
      </c>
      <c r="AA556">
        <f>HYPERLINK("https://klasma.github.io/Logging_1765/klagomål/A 62609-2023 FSC-klagomål.docx", "A 62609-2023")</f>
        <v/>
      </c>
      <c r="AB556">
        <f>HYPERLINK("https://klasma.github.io/Logging_1765/klagomålsmail/A 62609-2023 FSC-klagomål mail.docx", "A 62609-2023")</f>
        <v/>
      </c>
      <c r="AC556">
        <f>HYPERLINK("https://klasma.github.io/Logging_1765/tillsyn/A 62609-2023 tillsynsbegäran.docx", "A 62609-2023")</f>
        <v/>
      </c>
      <c r="AD556">
        <f>HYPERLINK("https://klasma.github.io/Logging_1765/tillsynsmail/A 62609-2023 tillsynsbegäran mail.docx", "A 62609-2023")</f>
        <v/>
      </c>
    </row>
    <row r="557" ht="15" customHeight="1">
      <c r="A557" t="inlineStr">
        <is>
          <t>A 35553-2023</t>
        </is>
      </c>
      <c r="B557" t="inlineStr">
        <is>
          <t>avverkningsanmälan</t>
        </is>
      </c>
      <c r="C557" t="inlineStr">
        <is>
          <t>Föryngringsavverkning</t>
        </is>
      </c>
      <c r="D557" s="1" t="n">
        <v>45147</v>
      </c>
      <c r="E557" s="1" t="n">
        <v>46307</v>
      </c>
      <c r="F557" t="inlineStr">
        <is>
          <t>VÄRMLANDS LÄN</t>
        </is>
      </c>
      <c r="G557" t="inlineStr">
        <is>
          <t>TORSBY</t>
        </is>
      </c>
      <c r="I557" t="n">
        <v>6.2</v>
      </c>
      <c r="J557" t="n">
        <v>1</v>
      </c>
      <c r="K557" t="n">
        <v>0</v>
      </c>
      <c r="L557" t="n">
        <v>0</v>
      </c>
      <c r="M557" t="n">
        <v>0</v>
      </c>
      <c r="N557" t="n">
        <v>0</v>
      </c>
      <c r="O557" t="n">
        <v>0</v>
      </c>
      <c r="P557" t="n">
        <v>0</v>
      </c>
      <c r="Q557" t="n">
        <v>0</v>
      </c>
      <c r="R557" t="n">
        <v>0</v>
      </c>
      <c r="S557" t="n">
        <v>1</v>
      </c>
      <c r="T557" t="n">
        <v>1</v>
      </c>
      <c r="U557" t="n">
        <v>0</v>
      </c>
      <c r="V557" s="2" t="inlineStr">
        <is>
          <t>Törnskata</t>
        </is>
      </c>
      <c r="W557">
        <f>HYPERLINK("https://klasma.github.io/Logging_1737/artfynd/A 35553-2023 artfynd.xlsx", "A 35553-2023")</f>
        <v/>
      </c>
      <c r="X557">
        <f>HYPERLINK("https://klasma.github.io/Logging_1737/kartor/A 35553-2023 karta.png", "A 35553-2023")</f>
        <v/>
      </c>
      <c r="Y557">
        <f>HYPERLINK("https://klasma.github.io/Logging_1737/kartor_geotiff/A 35553-2023 georefererad karta.tif", "A 35553-2023")</f>
        <v/>
      </c>
      <c r="AA557">
        <f>HYPERLINK("https://klasma.github.io/Logging_1737/klagomål/A 35553-2023 FSC-klagomål.docx", "A 35553-2023")</f>
        <v/>
      </c>
      <c r="AB557">
        <f>HYPERLINK("https://klasma.github.io/Logging_1737/klagomålsmail/A 35553-2023 FSC-klagomål mail.docx", "A 35553-2023")</f>
        <v/>
      </c>
      <c r="AC557">
        <f>HYPERLINK("https://klasma.github.io/Logging_1737/tillsyn/A 35553-2023 tillsynsbegäran.docx", "A 35553-2023")</f>
        <v/>
      </c>
      <c r="AD557">
        <f>HYPERLINK("https://klasma.github.io/Logging_1737/tillsynsmail/A 35553-2023 tillsynsbegäran mail.docx", "A 35553-2023")</f>
        <v/>
      </c>
      <c r="AE557">
        <f>HYPERLINK("https://klasma.github.io/Logging_1737/fåglar/A 35553-2023 prioriterade fågelarter.docx", "A 35553-2023")</f>
        <v/>
      </c>
    </row>
    <row r="558" ht="15" customHeight="1">
      <c r="A558" t="inlineStr">
        <is>
          <t>A 35573-2023</t>
        </is>
      </c>
      <c r="B558" t="inlineStr">
        <is>
          <t>avverkningsanmälan</t>
        </is>
      </c>
      <c r="C558" t="inlineStr">
        <is>
          <t>Föryngringsavverkning</t>
        </is>
      </c>
      <c r="D558" s="1" t="n">
        <v>45147</v>
      </c>
      <c r="E558" s="1" t="n">
        <v>46307</v>
      </c>
      <c r="F558" t="inlineStr">
        <is>
          <t>VÄRMLANDS LÄN</t>
        </is>
      </c>
      <c r="G558" t="inlineStr">
        <is>
          <t>FORSHAGA</t>
        </is>
      </c>
      <c r="H558" t="inlineStr">
        <is>
          <t>Kommuner</t>
        </is>
      </c>
      <c r="I558" t="n">
        <v>3</v>
      </c>
      <c r="J558" t="n">
        <v>1</v>
      </c>
      <c r="K558" t="n">
        <v>0</v>
      </c>
      <c r="L558" t="n">
        <v>0</v>
      </c>
      <c r="M558" t="n">
        <v>0</v>
      </c>
      <c r="N558" t="n">
        <v>0</v>
      </c>
      <c r="O558" t="n">
        <v>0</v>
      </c>
      <c r="P558" t="n">
        <v>0</v>
      </c>
      <c r="Q558" t="n">
        <v>0</v>
      </c>
      <c r="R558" t="n">
        <v>0</v>
      </c>
      <c r="S558" t="n">
        <v>1</v>
      </c>
      <c r="T558" t="n">
        <v>1</v>
      </c>
      <c r="U558" t="n">
        <v>1</v>
      </c>
      <c r="V558" s="2" t="inlineStr">
        <is>
          <t>Fläcknycklar</t>
        </is>
      </c>
      <c r="W558">
        <f>HYPERLINK("https://klasma.github.io/Logging_1763/artfynd/A 35573-2023 artfynd.xlsx", "A 35573-2023")</f>
        <v/>
      </c>
      <c r="X558">
        <f>HYPERLINK("https://klasma.github.io/Logging_1763/kartor/A 35573-2023 karta.png", "A 35573-2023")</f>
        <v/>
      </c>
      <c r="Y558">
        <f>HYPERLINK("https://klasma.github.io/Logging_1763/kartor_geotiff/A 35573-2023 georefererad karta.tif", "A 35573-2023")</f>
        <v/>
      </c>
      <c r="AA558">
        <f>HYPERLINK("https://klasma.github.io/Logging_1763/klagomål/A 35573-2023 FSC-klagomål.docx", "A 35573-2023")</f>
        <v/>
      </c>
      <c r="AB558">
        <f>HYPERLINK("https://klasma.github.io/Logging_1763/klagomålsmail/A 35573-2023 FSC-klagomål mail.docx", "A 35573-2023")</f>
        <v/>
      </c>
      <c r="AC558">
        <f>HYPERLINK("https://klasma.github.io/Logging_1763/tillsyn/A 35573-2023 tillsynsbegäran.docx", "A 35573-2023")</f>
        <v/>
      </c>
      <c r="AD558">
        <f>HYPERLINK("https://klasma.github.io/Logging_1763/tillsynsmail/A 35573-2023 tillsynsbegäran mail.docx", "A 35573-2023")</f>
        <v/>
      </c>
    </row>
    <row r="559" ht="15" customHeight="1">
      <c r="A559" t="inlineStr">
        <is>
          <t>A 4134-2024</t>
        </is>
      </c>
      <c r="B559" t="inlineStr">
        <is>
          <t>avverkningsanmälan</t>
        </is>
      </c>
      <c r="C559" t="inlineStr">
        <is>
          <t>Föryngringsavverkning</t>
        </is>
      </c>
      <c r="D559" s="1" t="n">
        <v>45323</v>
      </c>
      <c r="E559" s="1" t="n">
        <v>46307</v>
      </c>
      <c r="F559" t="inlineStr">
        <is>
          <t>VÄRMLANDS LÄN</t>
        </is>
      </c>
      <c r="G559" t="inlineStr">
        <is>
          <t>SÄFFLE</t>
        </is>
      </c>
      <c r="I559" t="n">
        <v>4.1</v>
      </c>
      <c r="J559" t="n">
        <v>0</v>
      </c>
      <c r="K559" t="n">
        <v>0</v>
      </c>
      <c r="L559" t="n">
        <v>0</v>
      </c>
      <c r="M559" t="n">
        <v>1</v>
      </c>
      <c r="N559" t="n">
        <v>0</v>
      </c>
      <c r="O559" t="n">
        <v>0</v>
      </c>
      <c r="P559" t="n">
        <v>0</v>
      </c>
      <c r="Q559" t="n">
        <v>1</v>
      </c>
      <c r="R559" t="n">
        <v>1</v>
      </c>
      <c r="S559" t="n">
        <v>1</v>
      </c>
      <c r="T559" t="n">
        <v>1</v>
      </c>
      <c r="U559" t="n">
        <v>0</v>
      </c>
      <c r="V559" s="2" t="inlineStr">
        <is>
          <t>Ryl</t>
        </is>
      </c>
      <c r="W559">
        <f>HYPERLINK("https://klasma.github.io/Logging_1785/artfynd/A 4134-2024 artfynd.xlsx", "A 4134-2024")</f>
        <v/>
      </c>
      <c r="X559">
        <f>HYPERLINK("https://klasma.github.io/Logging_1785/kartor/A 4134-2024 karta.png", "A 4134-2024")</f>
        <v/>
      </c>
      <c r="Y559">
        <f>HYPERLINK("https://klasma.github.io/Logging_1785/kartor_geotiff/A 4134-2024 georefererad karta.tif", "A 4134-2024")</f>
        <v/>
      </c>
      <c r="AA559">
        <f>HYPERLINK("https://klasma.github.io/Logging_1785/klagomål/A 4134-2024 FSC-klagomål.docx", "A 4134-2024")</f>
        <v/>
      </c>
      <c r="AB559">
        <f>HYPERLINK("https://klasma.github.io/Logging_1785/klagomålsmail/A 4134-2024 FSC-klagomål mail.docx", "A 4134-2024")</f>
        <v/>
      </c>
      <c r="AC559">
        <f>HYPERLINK("https://klasma.github.io/Logging_1785/tillsyn/A 4134-2024 tillsynsbegäran.docx", "A 4134-2024")</f>
        <v/>
      </c>
      <c r="AD559">
        <f>HYPERLINK("https://klasma.github.io/Logging_1785/tillsynsmail/A 4134-2024 tillsynsbegäran mail.docx", "A 4134-2024")</f>
        <v/>
      </c>
    </row>
    <row r="560" ht="15" customHeight="1">
      <c r="A560" t="inlineStr">
        <is>
          <t>A 29582-2024</t>
        </is>
      </c>
      <c r="B560" t="inlineStr">
        <is>
          <t>avverkningsanmälan</t>
        </is>
      </c>
      <c r="C560" t="inlineStr">
        <is>
          <t>Föryngringsavverkning</t>
        </is>
      </c>
      <c r="D560" s="1" t="n">
        <v>45484</v>
      </c>
      <c r="E560" s="1" t="n">
        <v>46307</v>
      </c>
      <c r="F560" t="inlineStr">
        <is>
          <t>VÄRMLANDS LÄN</t>
        </is>
      </c>
      <c r="G560" t="inlineStr">
        <is>
          <t>GRUMS</t>
        </is>
      </c>
      <c r="H560" t="inlineStr">
        <is>
          <t>Bergvik skog väst AB</t>
        </is>
      </c>
      <c r="I560" t="n">
        <v>3.1</v>
      </c>
      <c r="J560" t="n">
        <v>1</v>
      </c>
      <c r="K560" t="n">
        <v>1</v>
      </c>
      <c r="L560" t="n">
        <v>0</v>
      </c>
      <c r="M560" t="n">
        <v>0</v>
      </c>
      <c r="N560" t="n">
        <v>0</v>
      </c>
      <c r="O560" t="n">
        <v>0</v>
      </c>
      <c r="P560" t="n">
        <v>0</v>
      </c>
      <c r="Q560" t="n">
        <v>0</v>
      </c>
      <c r="R560" t="n">
        <v>0</v>
      </c>
      <c r="S560" t="n">
        <v>1</v>
      </c>
      <c r="T560" t="n">
        <v>1</v>
      </c>
      <c r="U560" t="n">
        <v>0</v>
      </c>
      <c r="V560" s="2" t="inlineStr">
        <is>
          <t>Grön sköldmossa</t>
        </is>
      </c>
      <c r="W560">
        <f>HYPERLINK("https://klasma.github.io/Logging_1764/artfynd/A 29582-2024 artfynd.xlsx", "A 29582-2024")</f>
        <v/>
      </c>
      <c r="X560">
        <f>HYPERLINK("https://klasma.github.io/Logging_1764/kartor/A 29582-2024 karta.png", "A 29582-2024")</f>
        <v/>
      </c>
      <c r="Y560">
        <f>HYPERLINK("https://klasma.github.io/Logging_1764/kartor_geotiff/A 29582-2024 georefererad karta.tif", "A 29582-2024")</f>
        <v/>
      </c>
      <c r="AA560">
        <f>HYPERLINK("https://klasma.github.io/Logging_1764/klagomål/A 29582-2024 FSC-klagomål.docx", "A 29582-2024")</f>
        <v/>
      </c>
      <c r="AB560">
        <f>HYPERLINK("https://klasma.github.io/Logging_1764/klagomålsmail/A 29582-2024 FSC-klagomål mail.docx", "A 29582-2024")</f>
        <v/>
      </c>
      <c r="AC560">
        <f>HYPERLINK("https://klasma.github.io/Logging_1764/tillsyn/A 29582-2024 tillsynsbegäran.docx", "A 29582-2024")</f>
        <v/>
      </c>
      <c r="AD560">
        <f>HYPERLINK("https://klasma.github.io/Logging_1764/tillsynsmail/A 29582-2024 tillsynsbegäran mail.docx", "A 29582-2024")</f>
        <v/>
      </c>
    </row>
    <row r="561" ht="15" customHeight="1">
      <c r="A561" t="inlineStr">
        <is>
          <t>A 38140-2024</t>
        </is>
      </c>
      <c r="B561" t="inlineStr">
        <is>
          <t>avverkningsanmälan</t>
        </is>
      </c>
      <c r="C561" t="inlineStr">
        <is>
          <t>Föryngringsavverkning</t>
        </is>
      </c>
      <c r="D561" s="1" t="n">
        <v>45545</v>
      </c>
      <c r="E561" s="1" t="n">
        <v>46307</v>
      </c>
      <c r="F561" t="inlineStr">
        <is>
          <t>VÄRMLANDS LÄN</t>
        </is>
      </c>
      <c r="G561" t="inlineStr">
        <is>
          <t>FILIPSTAD</t>
        </is>
      </c>
      <c r="H561" t="inlineStr">
        <is>
          <t>Bergvik skog väst AB</t>
        </is>
      </c>
      <c r="I561" t="n">
        <v>1.4</v>
      </c>
      <c r="J561" t="n">
        <v>0</v>
      </c>
      <c r="K561" t="n">
        <v>0</v>
      </c>
      <c r="L561" t="n">
        <v>1</v>
      </c>
      <c r="M561" t="n">
        <v>0</v>
      </c>
      <c r="N561" t="n">
        <v>0</v>
      </c>
      <c r="O561" t="n">
        <v>0</v>
      </c>
      <c r="P561" t="n">
        <v>0</v>
      </c>
      <c r="Q561" t="n">
        <v>1</v>
      </c>
      <c r="R561" t="n">
        <v>0</v>
      </c>
      <c r="S561" t="n">
        <v>1</v>
      </c>
      <c r="T561" t="n">
        <v>1</v>
      </c>
      <c r="U561" t="n">
        <v>0</v>
      </c>
      <c r="V561" s="2" t="inlineStr">
        <is>
          <t>Dropptaggsvamp</t>
        </is>
      </c>
      <c r="W561">
        <f>HYPERLINK("https://klasma.github.io/Logging_1782/artfynd/A 38140-2024 artfynd.xlsx", "A 38140-2024")</f>
        <v/>
      </c>
      <c r="X561">
        <f>HYPERLINK("https://klasma.github.io/Logging_1782/kartor/A 38140-2024 karta.png", "A 38140-2024")</f>
        <v/>
      </c>
      <c r="Y561">
        <f>HYPERLINK("https://klasma.github.io/Logging_1782/kartor_geotiff/A 38140-2024 georefererad karta.tif", "A 38140-2024")</f>
        <v/>
      </c>
      <c r="AA561">
        <f>HYPERLINK("https://klasma.github.io/Logging_1782/klagomål/A 38140-2024 FSC-klagomål.docx", "A 38140-2024")</f>
        <v/>
      </c>
      <c r="AB561">
        <f>HYPERLINK("https://klasma.github.io/Logging_1782/klagomålsmail/A 38140-2024 FSC-klagomål mail.docx", "A 38140-2024")</f>
        <v/>
      </c>
      <c r="AC561">
        <f>HYPERLINK("https://klasma.github.io/Logging_1782/tillsyn/A 38140-2024 tillsynsbegäran.docx", "A 38140-2024")</f>
        <v/>
      </c>
      <c r="AD561">
        <f>HYPERLINK("https://klasma.github.io/Logging_1782/tillsynsmail/A 38140-2024 tillsynsbegäran mail.docx", "A 38140-2024")</f>
        <v/>
      </c>
    </row>
    <row r="562" ht="15" customHeight="1">
      <c r="A562" t="inlineStr">
        <is>
          <t>A 19409-2025</t>
        </is>
      </c>
      <c r="B562" t="inlineStr">
        <is>
          <t>avverkningsanmälan</t>
        </is>
      </c>
      <c r="C562" t="inlineStr">
        <is>
          <t>Föryngringsavverkning</t>
        </is>
      </c>
      <c r="D562" s="1" t="n">
        <v>45769</v>
      </c>
      <c r="E562" s="1" t="n">
        <v>46307</v>
      </c>
      <c r="F562" t="inlineStr">
        <is>
          <t>VÄRMLANDS LÄN</t>
        </is>
      </c>
      <c r="G562" t="inlineStr">
        <is>
          <t>SUNNE</t>
        </is>
      </c>
      <c r="I562" t="n">
        <v>1.6</v>
      </c>
      <c r="J562" t="n">
        <v>0</v>
      </c>
      <c r="K562" t="n">
        <v>1</v>
      </c>
      <c r="L562" t="n">
        <v>0</v>
      </c>
      <c r="M562" t="n">
        <v>0</v>
      </c>
      <c r="N562" t="n">
        <v>0</v>
      </c>
      <c r="O562" t="n">
        <v>0</v>
      </c>
      <c r="P562" t="n">
        <v>0</v>
      </c>
      <c r="Q562" t="n">
        <v>0</v>
      </c>
      <c r="R562" t="n">
        <v>0</v>
      </c>
      <c r="S562" t="n">
        <v>1</v>
      </c>
      <c r="T562" t="n">
        <v>1</v>
      </c>
      <c r="U562" t="n">
        <v>0</v>
      </c>
      <c r="V562" s="2" t="inlineStr">
        <is>
          <t>Bronshjon</t>
        </is>
      </c>
      <c r="W562">
        <f>HYPERLINK("https://klasma.github.io/Logging_1766/artfynd/A 19409-2025 artfynd.xlsx", "A 19409-2025")</f>
        <v/>
      </c>
      <c r="X562">
        <f>HYPERLINK("https://klasma.github.io/Logging_1766/kartor/A 19409-2025 karta.png", "A 19409-2025")</f>
        <v/>
      </c>
      <c r="Y562">
        <f>HYPERLINK("https://klasma.github.io/Logging_1766/kartor_geotiff/A 19409-2025 georefererad karta.tif", "A 19409-2025")</f>
        <v/>
      </c>
      <c r="AA562">
        <f>HYPERLINK("https://klasma.github.io/Logging_1766/klagomål/A 19409-2025 FSC-klagomål.docx", "A 19409-2025")</f>
        <v/>
      </c>
      <c r="AB562">
        <f>HYPERLINK("https://klasma.github.io/Logging_1766/klagomålsmail/A 19409-2025 FSC-klagomål mail.docx", "A 19409-2025")</f>
        <v/>
      </c>
      <c r="AC562">
        <f>HYPERLINK("https://klasma.github.io/Logging_1766/tillsyn/A 19409-2025 tillsynsbegäran.docx", "A 19409-2025")</f>
        <v/>
      </c>
      <c r="AD562">
        <f>HYPERLINK("https://klasma.github.io/Logging_1766/tillsynsmail/A 19409-2025 tillsynsbegäran mail.docx", "A 19409-2025")</f>
        <v/>
      </c>
    </row>
    <row r="563" ht="15" customHeight="1">
      <c r="A563" t="inlineStr">
        <is>
          <t>A 67321-2021</t>
        </is>
      </c>
      <c r="B563" t="inlineStr">
        <is>
          <t>avverkningsanmälan</t>
        </is>
      </c>
      <c r="C563" t="inlineStr">
        <is>
          <t>Föryngringsavverkning</t>
        </is>
      </c>
      <c r="D563" s="1" t="n">
        <v>44523</v>
      </c>
      <c r="E563" s="1" t="n">
        <v>46307</v>
      </c>
      <c r="F563" t="inlineStr">
        <is>
          <t>VÄRMLANDS LÄN</t>
        </is>
      </c>
      <c r="G563" t="inlineStr">
        <is>
          <t>FORSHAGA</t>
        </is>
      </c>
      <c r="I563" t="n">
        <v>4.6</v>
      </c>
      <c r="J563" t="n">
        <v>1</v>
      </c>
      <c r="K563" t="n">
        <v>0</v>
      </c>
      <c r="L563" t="n">
        <v>0</v>
      </c>
      <c r="M563" t="n">
        <v>0</v>
      </c>
      <c r="N563" t="n">
        <v>0</v>
      </c>
      <c r="O563" t="n">
        <v>0</v>
      </c>
      <c r="P563" t="n">
        <v>0</v>
      </c>
      <c r="Q563" t="n">
        <v>0</v>
      </c>
      <c r="R563" t="n">
        <v>0</v>
      </c>
      <c r="S563" t="n">
        <v>1</v>
      </c>
      <c r="T563" t="n">
        <v>1</v>
      </c>
      <c r="U563" t="n">
        <v>0</v>
      </c>
      <c r="V563" s="2" t="inlineStr">
        <is>
          <t>Blåsippa</t>
        </is>
      </c>
      <c r="W563">
        <f>HYPERLINK("https://klasma.github.io/Logging_1763/artfynd/A 67321-2021 artfynd.xlsx", "A 67321-2021")</f>
        <v/>
      </c>
      <c r="X563">
        <f>HYPERLINK("https://klasma.github.io/Logging_1763/kartor/A 67321-2021 karta.png", "A 67321-2021")</f>
        <v/>
      </c>
      <c r="Y563">
        <f>HYPERLINK("https://klasma.github.io/Logging_1763/kartor_geotiff/A 67321-2021 georefererad karta.tif", "A 67321-2021")</f>
        <v/>
      </c>
      <c r="AA563">
        <f>HYPERLINK("https://klasma.github.io/Logging_1763/klagomål/A 67321-2021 FSC-klagomål.docx", "A 67321-2021")</f>
        <v/>
      </c>
      <c r="AB563">
        <f>HYPERLINK("https://klasma.github.io/Logging_1763/klagomålsmail/A 67321-2021 FSC-klagomål mail.docx", "A 67321-2021")</f>
        <v/>
      </c>
      <c r="AC563">
        <f>HYPERLINK("https://klasma.github.io/Logging_1763/tillsyn/A 67321-2021 tillsynsbegäran.docx", "A 67321-2021")</f>
        <v/>
      </c>
      <c r="AD563">
        <f>HYPERLINK("https://klasma.github.io/Logging_1763/tillsynsmail/A 67321-2021 tillsynsbegäran mail.docx", "A 67321-2021")</f>
        <v/>
      </c>
    </row>
    <row r="564" ht="15" customHeight="1">
      <c r="A564" t="inlineStr">
        <is>
          <t>A 3736-2023</t>
        </is>
      </c>
      <c r="B564" t="inlineStr">
        <is>
          <t>avverkningsanmälan</t>
        </is>
      </c>
      <c r="C564" t="inlineStr">
        <is>
          <t>Föryngringsavverkning</t>
        </is>
      </c>
      <c r="D564" s="1" t="n">
        <v>44949</v>
      </c>
      <c r="E564" s="1" t="n">
        <v>46307</v>
      </c>
      <c r="F564" t="inlineStr">
        <is>
          <t>VÄRMLANDS LÄN</t>
        </is>
      </c>
      <c r="G564" t="inlineStr">
        <is>
          <t>KARLSTAD</t>
        </is>
      </c>
      <c r="I564" t="n">
        <v>1.4</v>
      </c>
      <c r="J564" t="n">
        <v>0</v>
      </c>
      <c r="K564" t="n">
        <v>0</v>
      </c>
      <c r="L564" t="n">
        <v>1</v>
      </c>
      <c r="M564" t="n">
        <v>0</v>
      </c>
      <c r="N564" t="n">
        <v>0</v>
      </c>
      <c r="O564" t="n">
        <v>0</v>
      </c>
      <c r="P564" t="n">
        <v>0</v>
      </c>
      <c r="Q564" t="n">
        <v>1</v>
      </c>
      <c r="R564" t="n">
        <v>0</v>
      </c>
      <c r="S564" t="n">
        <v>1</v>
      </c>
      <c r="T564" t="n">
        <v>1</v>
      </c>
      <c r="U564" t="n">
        <v>1</v>
      </c>
      <c r="V564" s="2" t="inlineStr">
        <is>
          <t>Gullklöver</t>
        </is>
      </c>
      <c r="W564">
        <f>HYPERLINK("https://klasma.github.io/Logging_1780/artfynd/A 3736-2023 artfynd.xlsx", "A 3736-2023")</f>
        <v/>
      </c>
      <c r="X564">
        <f>HYPERLINK("https://klasma.github.io/Logging_1780/kartor/A 3736-2023 karta.png", "A 3736-2023")</f>
        <v/>
      </c>
      <c r="Y564">
        <f>HYPERLINK("https://klasma.github.io/Logging_1780/kartor_geotiff/A 3736-2023 georefererad karta.tif", "A 3736-2023")</f>
        <v/>
      </c>
      <c r="AA564">
        <f>HYPERLINK("https://klasma.github.io/Logging_1780/klagomål/A 3736-2023 FSC-klagomål.docx", "A 3736-2023")</f>
        <v/>
      </c>
      <c r="AB564">
        <f>HYPERLINK("https://klasma.github.io/Logging_1780/klagomålsmail/A 3736-2023 FSC-klagomål mail.docx", "A 3736-2023")</f>
        <v/>
      </c>
      <c r="AC564">
        <f>HYPERLINK("https://klasma.github.io/Logging_1780/tillsyn/A 3736-2023 tillsynsbegäran.docx", "A 3736-2023")</f>
        <v/>
      </c>
      <c r="AD564">
        <f>HYPERLINK("https://klasma.github.io/Logging_1780/tillsynsmail/A 3736-2023 tillsynsbegäran mail.docx", "A 3736-2023")</f>
        <v/>
      </c>
    </row>
    <row r="565" ht="15" customHeight="1">
      <c r="A565" t="inlineStr">
        <is>
          <t>A 40853-2024</t>
        </is>
      </c>
      <c r="B565" t="inlineStr">
        <is>
          <t>avverkningsanmälan</t>
        </is>
      </c>
      <c r="C565" t="inlineStr">
        <is>
          <t>Föryngringsavverkning</t>
        </is>
      </c>
      <c r="D565" s="1" t="n">
        <v>45558</v>
      </c>
      <c r="E565" s="1" t="n">
        <v>46307</v>
      </c>
      <c r="F565" t="inlineStr">
        <is>
          <t>VÄRMLANDS LÄN</t>
        </is>
      </c>
      <c r="G565" t="inlineStr">
        <is>
          <t>KIL</t>
        </is>
      </c>
      <c r="I565" t="n">
        <v>1.7</v>
      </c>
      <c r="J565" t="n">
        <v>1</v>
      </c>
      <c r="K565" t="n">
        <v>0</v>
      </c>
      <c r="L565" t="n">
        <v>0</v>
      </c>
      <c r="M565" t="n">
        <v>0</v>
      </c>
      <c r="N565" t="n">
        <v>0</v>
      </c>
      <c r="O565" t="n">
        <v>0</v>
      </c>
      <c r="P565" t="n">
        <v>0</v>
      </c>
      <c r="Q565" t="n">
        <v>0</v>
      </c>
      <c r="R565" t="n">
        <v>0</v>
      </c>
      <c r="S565" t="n">
        <v>1</v>
      </c>
      <c r="T565" t="n">
        <v>1</v>
      </c>
      <c r="U565" t="n">
        <v>1</v>
      </c>
      <c r="V565" s="2" t="inlineStr">
        <is>
          <t>Fläcknycklar</t>
        </is>
      </c>
      <c r="W565">
        <f>HYPERLINK("https://klasma.github.io/Logging_1715/artfynd/A 40853-2024 artfynd.xlsx", "A 40853-2024")</f>
        <v/>
      </c>
      <c r="X565">
        <f>HYPERLINK("https://klasma.github.io/Logging_1715/kartor/A 40853-2024 karta.png", "A 40853-2024")</f>
        <v/>
      </c>
      <c r="Y565">
        <f>HYPERLINK("https://klasma.github.io/Logging_1715/kartor_geotiff/A 40853-2024 georefererad karta.tif", "A 40853-2024")</f>
        <v/>
      </c>
      <c r="AA565">
        <f>HYPERLINK("https://klasma.github.io/Logging_1715/klagomål/A 40853-2024 FSC-klagomål.docx", "A 40853-2024")</f>
        <v/>
      </c>
      <c r="AB565">
        <f>HYPERLINK("https://klasma.github.io/Logging_1715/klagomålsmail/A 40853-2024 FSC-klagomål mail.docx", "A 40853-2024")</f>
        <v/>
      </c>
      <c r="AC565">
        <f>HYPERLINK("https://klasma.github.io/Logging_1715/tillsyn/A 40853-2024 tillsynsbegäran.docx", "A 40853-2024")</f>
        <v/>
      </c>
      <c r="AD565">
        <f>HYPERLINK("https://klasma.github.io/Logging_1715/tillsynsmail/A 40853-2024 tillsynsbegäran mail.docx", "A 40853-2024")</f>
        <v/>
      </c>
    </row>
    <row r="566" ht="15" customHeight="1">
      <c r="A566" t="inlineStr">
        <is>
          <t>A 19681-2024</t>
        </is>
      </c>
      <c r="B566" t="inlineStr">
        <is>
          <t>avverkningsanmälan</t>
        </is>
      </c>
      <c r="C566" t="inlineStr">
        <is>
          <t>Föryngringsavverkning</t>
        </is>
      </c>
      <c r="D566" s="1" t="n">
        <v>45432</v>
      </c>
      <c r="E566" s="1" t="n">
        <v>46307</v>
      </c>
      <c r="F566" t="inlineStr">
        <is>
          <t>VÄRMLANDS LÄN</t>
        </is>
      </c>
      <c r="G566" t="inlineStr">
        <is>
          <t>EDA</t>
        </is>
      </c>
      <c r="I566" t="n">
        <v>8.699999999999999</v>
      </c>
      <c r="J566" t="n">
        <v>0</v>
      </c>
      <c r="K566" t="n">
        <v>1</v>
      </c>
      <c r="L566" t="n">
        <v>0</v>
      </c>
      <c r="M566" t="n">
        <v>0</v>
      </c>
      <c r="N566" t="n">
        <v>0</v>
      </c>
      <c r="O566" t="n">
        <v>0</v>
      </c>
      <c r="P566" t="n">
        <v>0</v>
      </c>
      <c r="Q566" t="n">
        <v>0</v>
      </c>
      <c r="R566" t="n">
        <v>0</v>
      </c>
      <c r="S566" t="n">
        <v>1</v>
      </c>
      <c r="T566" t="n">
        <v>1</v>
      </c>
      <c r="U566" t="n">
        <v>0</v>
      </c>
      <c r="V566" s="2" t="inlineStr">
        <is>
          <t>Fällmossa</t>
        </is>
      </c>
      <c r="W566">
        <f>HYPERLINK("https://klasma.github.io/Logging_1730/artfynd/A 19681-2024 artfynd.xlsx", "A 19681-2024")</f>
        <v/>
      </c>
      <c r="X566">
        <f>HYPERLINK("https://klasma.github.io/Logging_1730/kartor/A 19681-2024 karta.png", "A 19681-2024")</f>
        <v/>
      </c>
      <c r="Y566">
        <f>HYPERLINK("https://klasma.github.io/Logging_1730/kartor_geotiff/A 19681-2024 georefererad karta.tif", "A 19681-2024")</f>
        <v/>
      </c>
      <c r="AA566">
        <f>HYPERLINK("https://klasma.github.io/Logging_1730/klagomål/A 19681-2024 FSC-klagomål.docx", "A 19681-2024")</f>
        <v/>
      </c>
      <c r="AB566">
        <f>HYPERLINK("https://klasma.github.io/Logging_1730/klagomålsmail/A 19681-2024 FSC-klagomål mail.docx", "A 19681-2024")</f>
        <v/>
      </c>
      <c r="AC566">
        <f>HYPERLINK("https://klasma.github.io/Logging_1730/tillsyn/A 19681-2024 tillsynsbegäran.docx", "A 19681-2024")</f>
        <v/>
      </c>
      <c r="AD566">
        <f>HYPERLINK("https://klasma.github.io/Logging_1730/tillsynsmail/A 19681-2024 tillsynsbegäran mail.docx", "A 19681-2024")</f>
        <v/>
      </c>
    </row>
    <row r="567" ht="15" customHeight="1">
      <c r="A567" t="inlineStr">
        <is>
          <t>A 12740-2024</t>
        </is>
      </c>
      <c r="B567" t="inlineStr">
        <is>
          <t>avverkningsanmälan</t>
        </is>
      </c>
      <c r="C567" t="inlineStr">
        <is>
          <t>Avverkning för annat ändamål</t>
        </is>
      </c>
      <c r="D567" s="1" t="n">
        <v>45384</v>
      </c>
      <c r="E567" s="1" t="n">
        <v>46307</v>
      </c>
      <c r="F567" t="inlineStr">
        <is>
          <t>VÄRMLANDS LÄN</t>
        </is>
      </c>
      <c r="G567" t="inlineStr">
        <is>
          <t>SÄFFLE</t>
        </is>
      </c>
      <c r="I567" t="n">
        <v>3.7</v>
      </c>
      <c r="J567" t="n">
        <v>0</v>
      </c>
      <c r="K567" t="n">
        <v>0</v>
      </c>
      <c r="L567" t="n">
        <v>1</v>
      </c>
      <c r="M567" t="n">
        <v>0</v>
      </c>
      <c r="N567" t="n">
        <v>0</v>
      </c>
      <c r="O567" t="n">
        <v>0</v>
      </c>
      <c r="P567" t="n">
        <v>0</v>
      </c>
      <c r="Q567" t="n">
        <v>1</v>
      </c>
      <c r="R567" t="n">
        <v>0</v>
      </c>
      <c r="S567" t="n">
        <v>1</v>
      </c>
      <c r="T567" t="n">
        <v>1</v>
      </c>
      <c r="U567" t="n">
        <v>1</v>
      </c>
      <c r="V567" s="2" t="inlineStr">
        <is>
          <t>Gullklöver</t>
        </is>
      </c>
      <c r="W567">
        <f>HYPERLINK("https://klasma.github.io/Logging_1785/artfynd/A 12740-2024 artfynd.xlsx", "A 12740-2024")</f>
        <v/>
      </c>
      <c r="X567">
        <f>HYPERLINK("https://klasma.github.io/Logging_1785/kartor/A 12740-2024 karta.png", "A 12740-2024")</f>
        <v/>
      </c>
      <c r="Y567">
        <f>HYPERLINK("https://klasma.github.io/Logging_1785/kartor_geotiff/A 12740-2024 georefererad karta.tif", "A 12740-2024")</f>
        <v/>
      </c>
      <c r="AA567">
        <f>HYPERLINK("https://klasma.github.io/Logging_1785/klagomål/A 12740-2024 FSC-klagomål.docx", "A 12740-2024")</f>
        <v/>
      </c>
      <c r="AB567">
        <f>HYPERLINK("https://klasma.github.io/Logging_1785/klagomålsmail/A 12740-2024 FSC-klagomål mail.docx", "A 12740-2024")</f>
        <v/>
      </c>
      <c r="AC567">
        <f>HYPERLINK("https://klasma.github.io/Logging_1785/tillsyn/A 12740-2024 tillsynsbegäran.docx", "A 12740-2024")</f>
        <v/>
      </c>
      <c r="AD567">
        <f>HYPERLINK("https://klasma.github.io/Logging_1785/tillsynsmail/A 12740-2024 tillsynsbegäran mail.docx", "A 12740-2024")</f>
        <v/>
      </c>
    </row>
    <row r="568" ht="15" customHeight="1">
      <c r="A568" t="inlineStr">
        <is>
          <t>A 51895-2024</t>
        </is>
      </c>
      <c r="B568" t="inlineStr">
        <is>
          <t>avverkningsanmälan</t>
        </is>
      </c>
      <c r="C568" t="inlineStr">
        <is>
          <t>Föryngringsavverkning</t>
        </is>
      </c>
      <c r="D568" s="1" t="n">
        <v>45607</v>
      </c>
      <c r="E568" s="1" t="n">
        <v>46307</v>
      </c>
      <c r="F568" t="inlineStr">
        <is>
          <t>VÄRMLANDS LÄN</t>
        </is>
      </c>
      <c r="G568" t="inlineStr">
        <is>
          <t>KARLSTAD</t>
        </is>
      </c>
      <c r="I568" t="n">
        <v>0.5</v>
      </c>
      <c r="J568" t="n">
        <v>0</v>
      </c>
      <c r="K568" t="n">
        <v>1</v>
      </c>
      <c r="L568" t="n">
        <v>0</v>
      </c>
      <c r="M568" t="n">
        <v>0</v>
      </c>
      <c r="N568" t="n">
        <v>0</v>
      </c>
      <c r="O568" t="n">
        <v>0</v>
      </c>
      <c r="P568" t="n">
        <v>0</v>
      </c>
      <c r="Q568" t="n">
        <v>0</v>
      </c>
      <c r="R568" t="n">
        <v>0</v>
      </c>
      <c r="S568" t="n">
        <v>1</v>
      </c>
      <c r="T568" t="n">
        <v>1</v>
      </c>
      <c r="U568" t="n">
        <v>0</v>
      </c>
      <c r="V568" s="2" t="inlineStr">
        <is>
          <t>Strutbräken</t>
        </is>
      </c>
      <c r="W568">
        <f>HYPERLINK("https://klasma.github.io/Logging_1780/artfynd/A 51895-2024 artfynd.xlsx", "A 51895-2024")</f>
        <v/>
      </c>
      <c r="X568">
        <f>HYPERLINK("https://klasma.github.io/Logging_1780/kartor/A 51895-2024 karta.png", "A 51895-2024")</f>
        <v/>
      </c>
      <c r="Y568">
        <f>HYPERLINK("https://klasma.github.io/Logging_1780/kartor_geotiff/A 51895-2024 georefererad karta.tif", "A 51895-2024")</f>
        <v/>
      </c>
      <c r="AA568">
        <f>HYPERLINK("https://klasma.github.io/Logging_1780/klagomål/A 51895-2024 FSC-klagomål.docx", "A 51895-2024")</f>
        <v/>
      </c>
      <c r="AB568">
        <f>HYPERLINK("https://klasma.github.io/Logging_1780/klagomålsmail/A 51895-2024 FSC-klagomål mail.docx", "A 51895-2024")</f>
        <v/>
      </c>
      <c r="AC568">
        <f>HYPERLINK("https://klasma.github.io/Logging_1780/tillsyn/A 51895-2024 tillsynsbegäran.docx", "A 51895-2024")</f>
        <v/>
      </c>
      <c r="AD568">
        <f>HYPERLINK("https://klasma.github.io/Logging_1780/tillsynsmail/A 51895-2024 tillsynsbegäran mail.docx", "A 51895-2024")</f>
        <v/>
      </c>
    </row>
    <row r="569" ht="15" customHeight="1">
      <c r="A569" t="inlineStr">
        <is>
          <t>A 62675-2023</t>
        </is>
      </c>
      <c r="B569" t="inlineStr">
        <is>
          <t>avverkningsanmälan</t>
        </is>
      </c>
      <c r="C569" t="inlineStr">
        <is>
          <t>Avverkning för annat ändamål</t>
        </is>
      </c>
      <c r="D569" s="1" t="n">
        <v>45271</v>
      </c>
      <c r="E569" s="1" t="n">
        <v>46307</v>
      </c>
      <c r="F569" t="inlineStr">
        <is>
          <t>VÄRMLANDS LÄN</t>
        </is>
      </c>
      <c r="G569" t="inlineStr">
        <is>
          <t>GRUMS</t>
        </is>
      </c>
      <c r="I569" t="n">
        <v>3.4</v>
      </c>
      <c r="J569" t="n">
        <v>0</v>
      </c>
      <c r="K569" t="n">
        <v>1</v>
      </c>
      <c r="L569" t="n">
        <v>0</v>
      </c>
      <c r="M569" t="n">
        <v>0</v>
      </c>
      <c r="N569" t="n">
        <v>0</v>
      </c>
      <c r="O569" t="n">
        <v>0</v>
      </c>
      <c r="P569" t="n">
        <v>0</v>
      </c>
      <c r="Q569" t="n">
        <v>0</v>
      </c>
      <c r="R569" t="n">
        <v>0</v>
      </c>
      <c r="S569" t="n">
        <v>1</v>
      </c>
      <c r="T569" t="n">
        <v>1</v>
      </c>
      <c r="U569" t="n">
        <v>0</v>
      </c>
      <c r="V569" s="2" t="inlineStr">
        <is>
          <t>Svart trolldruva</t>
        </is>
      </c>
      <c r="W569">
        <f>HYPERLINK("https://klasma.github.io/Logging_1764/artfynd/A 62675-2023 artfynd.xlsx", "A 62675-2023")</f>
        <v/>
      </c>
      <c r="X569">
        <f>HYPERLINK("https://klasma.github.io/Logging_1764/kartor/A 62675-2023 karta.png", "A 62675-2023")</f>
        <v/>
      </c>
      <c r="Y569">
        <f>HYPERLINK("https://klasma.github.io/Logging_1764/kartor_geotiff/A 62675-2023 georefererad karta.tif", "A 62675-2023")</f>
        <v/>
      </c>
      <c r="AA569">
        <f>HYPERLINK("https://klasma.github.io/Logging_1764/klagomål/A 62675-2023 FSC-klagomål.docx", "A 62675-2023")</f>
        <v/>
      </c>
      <c r="AB569">
        <f>HYPERLINK("https://klasma.github.io/Logging_1764/klagomålsmail/A 62675-2023 FSC-klagomål mail.docx", "A 62675-2023")</f>
        <v/>
      </c>
      <c r="AC569">
        <f>HYPERLINK("https://klasma.github.io/Logging_1764/tillsyn/A 62675-2023 tillsynsbegäran.docx", "A 62675-2023")</f>
        <v/>
      </c>
      <c r="AD569">
        <f>HYPERLINK("https://klasma.github.io/Logging_1764/tillsynsmail/A 62675-2023 tillsynsbegäran mail.docx", "A 62675-2023")</f>
        <v/>
      </c>
    </row>
    <row r="570" ht="15" customHeight="1">
      <c r="A570" t="inlineStr">
        <is>
          <t>A 60736-2022</t>
        </is>
      </c>
      <c r="B570" t="inlineStr">
        <is>
          <t>avverkningsanmälan</t>
        </is>
      </c>
      <c r="C570" t="inlineStr">
        <is>
          <t>Föryngringsavverkning</t>
        </is>
      </c>
      <c r="D570" s="1" t="n">
        <v>44913</v>
      </c>
      <c r="E570" s="1" t="n">
        <v>46307</v>
      </c>
      <c r="F570" t="inlineStr">
        <is>
          <t>VÄRMLANDS LÄN</t>
        </is>
      </c>
      <c r="G570" t="inlineStr">
        <is>
          <t>FORSHAGA</t>
        </is>
      </c>
      <c r="I570" t="n">
        <v>1.1</v>
      </c>
      <c r="J570" t="n">
        <v>1</v>
      </c>
      <c r="K570" t="n">
        <v>0</v>
      </c>
      <c r="L570" t="n">
        <v>1</v>
      </c>
      <c r="M570" t="n">
        <v>0</v>
      </c>
      <c r="N570" t="n">
        <v>0</v>
      </c>
      <c r="O570" t="n">
        <v>0</v>
      </c>
      <c r="P570" t="n">
        <v>0</v>
      </c>
      <c r="Q570" t="n">
        <v>1</v>
      </c>
      <c r="R570" t="n">
        <v>0</v>
      </c>
      <c r="S570" t="n">
        <v>1</v>
      </c>
      <c r="T570" t="n">
        <v>1</v>
      </c>
      <c r="U570" t="n">
        <v>1</v>
      </c>
      <c r="V570" s="2" t="inlineStr">
        <is>
          <t>Mindre hackspett</t>
        </is>
      </c>
      <c r="W570">
        <f>HYPERLINK("https://klasma.github.io/Logging_1763/artfynd/A 60736-2022 artfynd.xlsx", "A 60736-2022")</f>
        <v/>
      </c>
      <c r="X570">
        <f>HYPERLINK("https://klasma.github.io/Logging_1763/kartor/A 60736-2022 karta.png", "A 60736-2022")</f>
        <v/>
      </c>
      <c r="Y570">
        <f>HYPERLINK("https://klasma.github.io/Logging_1763/kartor_geotiff/A 60736-2022 georefererad karta.tif", "A 60736-2022")</f>
        <v/>
      </c>
      <c r="AA570">
        <f>HYPERLINK("https://klasma.github.io/Logging_1763/klagomål/A 60736-2022 FSC-klagomål.docx", "A 60736-2022")</f>
        <v/>
      </c>
      <c r="AB570">
        <f>HYPERLINK("https://klasma.github.io/Logging_1763/klagomålsmail/A 60736-2022 FSC-klagomål mail.docx", "A 60736-2022")</f>
        <v/>
      </c>
      <c r="AC570">
        <f>HYPERLINK("https://klasma.github.io/Logging_1763/tillsyn/A 60736-2022 tillsynsbegäran.docx", "A 60736-2022")</f>
        <v/>
      </c>
      <c r="AD570">
        <f>HYPERLINK("https://klasma.github.io/Logging_1763/tillsynsmail/A 60736-2022 tillsynsbegäran mail.docx", "A 60736-2022")</f>
        <v/>
      </c>
      <c r="AE570">
        <f>HYPERLINK("https://klasma.github.io/Logging_1763/fåglar/A 60736-2022 prioriterade fågelarter.docx", "A 60736-2022")</f>
        <v/>
      </c>
    </row>
    <row r="571" ht="15" customHeight="1">
      <c r="A571" t="inlineStr">
        <is>
          <t>A 6868-2024</t>
        </is>
      </c>
      <c r="B571" t="inlineStr">
        <is>
          <t>avverkningsanmälan</t>
        </is>
      </c>
      <c r="C571" t="inlineStr">
        <is>
          <t>Föryngringsavverkning</t>
        </is>
      </c>
      <c r="D571" s="1" t="n">
        <v>45342</v>
      </c>
      <c r="E571" s="1" t="n">
        <v>46307</v>
      </c>
      <c r="F571" t="inlineStr">
        <is>
          <t>VÄRMLANDS LÄN</t>
        </is>
      </c>
      <c r="G571" t="inlineStr">
        <is>
          <t>ARVIKA</t>
        </is>
      </c>
      <c r="I571" t="n">
        <v>3.6</v>
      </c>
      <c r="J571" t="n">
        <v>1</v>
      </c>
      <c r="K571" t="n">
        <v>0</v>
      </c>
      <c r="L571" t="n">
        <v>0</v>
      </c>
      <c r="M571" t="n">
        <v>1</v>
      </c>
      <c r="N571" t="n">
        <v>0</v>
      </c>
      <c r="O571" t="n">
        <v>0</v>
      </c>
      <c r="P571" t="n">
        <v>0</v>
      </c>
      <c r="Q571" t="n">
        <v>1</v>
      </c>
      <c r="R571" t="n">
        <v>1</v>
      </c>
      <c r="S571" t="n">
        <v>1</v>
      </c>
      <c r="T571" t="n">
        <v>1</v>
      </c>
      <c r="U571" t="n">
        <v>0</v>
      </c>
      <c r="V571" s="2" t="inlineStr">
        <is>
          <t>Hasselsnok</t>
        </is>
      </c>
      <c r="W571">
        <f>HYPERLINK("https://klasma.github.io/Logging_1784/artfynd/A 6868-2024 artfynd.xlsx", "A 6868-2024")</f>
        <v/>
      </c>
      <c r="X571">
        <f>HYPERLINK("https://klasma.github.io/Logging_1784/kartor/A 6868-2024 karta.png", "A 6868-2024")</f>
        <v/>
      </c>
      <c r="Y571">
        <f>HYPERLINK("https://klasma.github.io/Logging_1784/kartor_geotiff/A 6868-2024 georefererad karta.tif", "A 6868-2024")</f>
        <v/>
      </c>
      <c r="AA571">
        <f>HYPERLINK("https://klasma.github.io/Logging_1784/klagomål/A 6868-2024 FSC-klagomål.docx", "A 6868-2024")</f>
        <v/>
      </c>
      <c r="AB571">
        <f>HYPERLINK("https://klasma.github.io/Logging_1784/klagomålsmail/A 6868-2024 FSC-klagomål mail.docx", "A 6868-2024")</f>
        <v/>
      </c>
      <c r="AC571">
        <f>HYPERLINK("https://klasma.github.io/Logging_1784/tillsyn/A 6868-2024 tillsynsbegäran.docx", "A 6868-2024")</f>
        <v/>
      </c>
      <c r="AD571">
        <f>HYPERLINK("https://klasma.github.io/Logging_1784/tillsynsmail/A 6868-2024 tillsynsbegäran mail.docx", "A 6868-2024")</f>
        <v/>
      </c>
    </row>
    <row r="572" ht="15" customHeight="1">
      <c r="A572" t="inlineStr">
        <is>
          <t>A 60931-2024</t>
        </is>
      </c>
      <c r="B572" t="inlineStr">
        <is>
          <t>avverkningsanmälan</t>
        </is>
      </c>
      <c r="C572" t="inlineStr">
        <is>
          <t>Föryngringsavverkning</t>
        </is>
      </c>
      <c r="D572" s="1" t="n">
        <v>45644</v>
      </c>
      <c r="E572" s="1" t="n">
        <v>46307</v>
      </c>
      <c r="F572" t="inlineStr">
        <is>
          <t>VÄRMLANDS LÄN</t>
        </is>
      </c>
      <c r="G572" t="inlineStr">
        <is>
          <t>SÄFFLE</t>
        </is>
      </c>
      <c r="I572" t="n">
        <v>3.1</v>
      </c>
      <c r="J572" t="n">
        <v>1</v>
      </c>
      <c r="K572" t="n">
        <v>0</v>
      </c>
      <c r="L572" t="n">
        <v>0</v>
      </c>
      <c r="M572" t="n">
        <v>0</v>
      </c>
      <c r="N572" t="n">
        <v>0</v>
      </c>
      <c r="O572" t="n">
        <v>0</v>
      </c>
      <c r="P572" t="n">
        <v>0</v>
      </c>
      <c r="Q572" t="n">
        <v>0</v>
      </c>
      <c r="R572" t="n">
        <v>0</v>
      </c>
      <c r="S572" t="n">
        <v>1</v>
      </c>
      <c r="T572" t="n">
        <v>1</v>
      </c>
      <c r="U572" t="n">
        <v>0</v>
      </c>
      <c r="V572" s="2" t="inlineStr">
        <is>
          <t>Fläcknycklar</t>
        </is>
      </c>
      <c r="W572">
        <f>HYPERLINK("https://klasma.github.io/Logging_1785/artfynd/A 60931-2024 artfynd.xlsx", "A 60931-2024")</f>
        <v/>
      </c>
      <c r="X572">
        <f>HYPERLINK("https://klasma.github.io/Logging_1785/kartor/A 60931-2024 karta.png", "A 60931-2024")</f>
        <v/>
      </c>
      <c r="Y572">
        <f>HYPERLINK("https://klasma.github.io/Logging_1785/kartor_geotiff/A 60931-2024 georefererad karta.tif", "A 60931-2024")</f>
        <v/>
      </c>
      <c r="AA572">
        <f>HYPERLINK("https://klasma.github.io/Logging_1785/klagomål/A 60931-2024 FSC-klagomål.docx", "A 60931-2024")</f>
        <v/>
      </c>
      <c r="AB572">
        <f>HYPERLINK("https://klasma.github.io/Logging_1785/klagomålsmail/A 60931-2024 FSC-klagomål mail.docx", "A 60931-2024")</f>
        <v/>
      </c>
      <c r="AC572">
        <f>HYPERLINK("https://klasma.github.io/Logging_1785/tillsyn/A 60931-2024 tillsynsbegäran.docx", "A 60931-2024")</f>
        <v/>
      </c>
      <c r="AD572">
        <f>HYPERLINK("https://klasma.github.io/Logging_1785/tillsynsmail/A 60931-2024 tillsynsbegäran mail.docx", "A 60931-2024")</f>
        <v/>
      </c>
    </row>
    <row r="573" ht="15" customHeight="1">
      <c r="A573" t="inlineStr">
        <is>
          <t>A 39648-2023</t>
        </is>
      </c>
      <c r="B573" t="inlineStr">
        <is>
          <t>avverkningsanmälan</t>
        </is>
      </c>
      <c r="C573" t="inlineStr">
        <is>
          <t>Föryngringsavverkning</t>
        </is>
      </c>
      <c r="D573" s="1" t="n">
        <v>45167</v>
      </c>
      <c r="E573" s="1" t="n">
        <v>46307</v>
      </c>
      <c r="F573" t="inlineStr">
        <is>
          <t>VÄRMLANDS LÄN</t>
        </is>
      </c>
      <c r="G573" t="inlineStr">
        <is>
          <t>TORSBY</t>
        </is>
      </c>
      <c r="I573" t="n">
        <v>1.9</v>
      </c>
      <c r="J573" t="n">
        <v>0</v>
      </c>
      <c r="K573" t="n">
        <v>0</v>
      </c>
      <c r="L573" t="n">
        <v>1</v>
      </c>
      <c r="M573" t="n">
        <v>0</v>
      </c>
      <c r="N573" t="n">
        <v>0</v>
      </c>
      <c r="O573" t="n">
        <v>0</v>
      </c>
      <c r="P573" t="n">
        <v>0</v>
      </c>
      <c r="Q573" t="n">
        <v>1</v>
      </c>
      <c r="R573" t="n">
        <v>0</v>
      </c>
      <c r="S573" t="n">
        <v>1</v>
      </c>
      <c r="T573" t="n">
        <v>1</v>
      </c>
      <c r="U573" t="n">
        <v>0</v>
      </c>
      <c r="V573" s="2" t="inlineStr">
        <is>
          <t>Lunglav</t>
        </is>
      </c>
      <c r="W573">
        <f>HYPERLINK("https://klasma.github.io/Logging_1737/artfynd/A 39648-2023 artfynd.xlsx", "A 39648-2023")</f>
        <v/>
      </c>
      <c r="X573">
        <f>HYPERLINK("https://klasma.github.io/Logging_1737/kartor/A 39648-2023 karta.png", "A 39648-2023")</f>
        <v/>
      </c>
      <c r="Y573">
        <f>HYPERLINK("https://klasma.github.io/Logging_1737/kartor_geotiff/A 39648-2023 georefererad karta.tif", "A 39648-2023")</f>
        <v/>
      </c>
      <c r="AA573">
        <f>HYPERLINK("https://klasma.github.io/Logging_1737/klagomål/A 39648-2023 FSC-klagomål.docx", "A 39648-2023")</f>
        <v/>
      </c>
      <c r="AB573">
        <f>HYPERLINK("https://klasma.github.io/Logging_1737/klagomålsmail/A 39648-2023 FSC-klagomål mail.docx", "A 39648-2023")</f>
        <v/>
      </c>
      <c r="AC573">
        <f>HYPERLINK("https://klasma.github.io/Logging_1737/tillsyn/A 39648-2023 tillsynsbegäran.docx", "A 39648-2023")</f>
        <v/>
      </c>
      <c r="AD573">
        <f>HYPERLINK("https://klasma.github.io/Logging_1737/tillsynsmail/A 39648-2023 tillsynsbegäran mail.docx", "A 39648-2023")</f>
        <v/>
      </c>
    </row>
    <row r="574" ht="15" customHeight="1">
      <c r="A574" t="inlineStr">
        <is>
          <t>A 2740-2023</t>
        </is>
      </c>
      <c r="B574" t="inlineStr">
        <is>
          <t>avverkningsanmälan</t>
        </is>
      </c>
      <c r="C574" t="inlineStr">
        <is>
          <t>Föryngringsavverkning</t>
        </is>
      </c>
      <c r="D574" s="1" t="n">
        <v>44943</v>
      </c>
      <c r="E574" s="1" t="n">
        <v>46307</v>
      </c>
      <c r="F574" t="inlineStr">
        <is>
          <t>VÄRMLANDS LÄN</t>
        </is>
      </c>
      <c r="G574" t="inlineStr">
        <is>
          <t>SÄFFLE</t>
        </is>
      </c>
      <c r="I574" t="n">
        <v>6</v>
      </c>
      <c r="J574" t="n">
        <v>1</v>
      </c>
      <c r="K574" t="n">
        <v>0</v>
      </c>
      <c r="L574" t="n">
        <v>0</v>
      </c>
      <c r="M574" t="n">
        <v>0</v>
      </c>
      <c r="N574" t="n">
        <v>0</v>
      </c>
      <c r="O574" t="n">
        <v>0</v>
      </c>
      <c r="P574" t="n">
        <v>0</v>
      </c>
      <c r="Q574" t="n">
        <v>0</v>
      </c>
      <c r="R574" t="n">
        <v>0</v>
      </c>
      <c r="S574" t="n">
        <v>1</v>
      </c>
      <c r="T574" t="n">
        <v>1</v>
      </c>
      <c r="U574" t="n">
        <v>1</v>
      </c>
      <c r="V574" s="2" t="inlineStr">
        <is>
          <t>Fläcknycklar</t>
        </is>
      </c>
      <c r="W574">
        <f>HYPERLINK("https://klasma.github.io/Logging_1785/artfynd/A 2740-2023 artfynd.xlsx", "A 2740-2023")</f>
        <v/>
      </c>
      <c r="X574">
        <f>HYPERLINK("https://klasma.github.io/Logging_1785/kartor/A 2740-2023 karta.png", "A 2740-2023")</f>
        <v/>
      </c>
      <c r="Y574">
        <f>HYPERLINK("https://klasma.github.io/Logging_1785/kartor_geotiff/A 2740-2023 georefererad karta.tif", "A 2740-2023")</f>
        <v/>
      </c>
      <c r="AA574">
        <f>HYPERLINK("https://klasma.github.io/Logging_1785/klagomål/A 2740-2023 FSC-klagomål.docx", "A 2740-2023")</f>
        <v/>
      </c>
      <c r="AB574">
        <f>HYPERLINK("https://klasma.github.io/Logging_1785/klagomålsmail/A 2740-2023 FSC-klagomål mail.docx", "A 2740-2023")</f>
        <v/>
      </c>
      <c r="AC574">
        <f>HYPERLINK("https://klasma.github.io/Logging_1785/tillsyn/A 2740-2023 tillsynsbegäran.docx", "A 2740-2023")</f>
        <v/>
      </c>
      <c r="AD574">
        <f>HYPERLINK("https://klasma.github.io/Logging_1785/tillsynsmail/A 2740-2023 tillsynsbegäran mail.docx", "A 2740-2023")</f>
        <v/>
      </c>
    </row>
    <row r="575" ht="15" customHeight="1">
      <c r="A575" t="inlineStr">
        <is>
          <t>A 48883-2023</t>
        </is>
      </c>
      <c r="B575" t="inlineStr">
        <is>
          <t>avverkningsanmälan</t>
        </is>
      </c>
      <c r="C575" t="inlineStr">
        <is>
          <t>Föryngringsavverkning</t>
        </is>
      </c>
      <c r="D575" s="1" t="n">
        <v>45203</v>
      </c>
      <c r="E575" s="1" t="n">
        <v>46307</v>
      </c>
      <c r="F575" t="inlineStr">
        <is>
          <t>VÄRMLANDS LÄN</t>
        </is>
      </c>
      <c r="G575" t="inlineStr">
        <is>
          <t>SÄFFLE</t>
        </is>
      </c>
      <c r="I575" t="n">
        <v>12.1</v>
      </c>
      <c r="J575" t="n">
        <v>1</v>
      </c>
      <c r="K575" t="n">
        <v>0</v>
      </c>
      <c r="L575" t="n">
        <v>1</v>
      </c>
      <c r="M575" t="n">
        <v>0</v>
      </c>
      <c r="N575" t="n">
        <v>0</v>
      </c>
      <c r="O575" t="n">
        <v>0</v>
      </c>
      <c r="P575" t="n">
        <v>0</v>
      </c>
      <c r="Q575" t="n">
        <v>1</v>
      </c>
      <c r="R575" t="n">
        <v>0</v>
      </c>
      <c r="S575" t="n">
        <v>1</v>
      </c>
      <c r="T575" t="n">
        <v>1</v>
      </c>
      <c r="U575" t="n">
        <v>1</v>
      </c>
      <c r="V575" s="2" t="inlineStr">
        <is>
          <t>Talltita</t>
        </is>
      </c>
      <c r="W575">
        <f>HYPERLINK("https://klasma.github.io/Logging_1785/artfynd/A 48883-2023 artfynd.xlsx", "A 48883-2023")</f>
        <v/>
      </c>
      <c r="X575">
        <f>HYPERLINK("https://klasma.github.io/Logging_1785/kartor/A 48883-2023 karta.png", "A 48883-2023")</f>
        <v/>
      </c>
      <c r="Y575">
        <f>HYPERLINK("https://klasma.github.io/Logging_1785/kartor_geotiff/A 48883-2023 georefererad karta.tif", "A 48883-2023")</f>
        <v/>
      </c>
      <c r="AA575">
        <f>HYPERLINK("https://klasma.github.io/Logging_1785/klagomål/A 48883-2023 FSC-klagomål.docx", "A 48883-2023")</f>
        <v/>
      </c>
      <c r="AB575">
        <f>HYPERLINK("https://klasma.github.io/Logging_1785/klagomålsmail/A 48883-2023 FSC-klagomål mail.docx", "A 48883-2023")</f>
        <v/>
      </c>
      <c r="AC575">
        <f>HYPERLINK("https://klasma.github.io/Logging_1785/tillsyn/A 48883-2023 tillsynsbegäran.docx", "A 48883-2023")</f>
        <v/>
      </c>
      <c r="AD575">
        <f>HYPERLINK("https://klasma.github.io/Logging_1785/tillsynsmail/A 48883-2023 tillsynsbegäran mail.docx", "A 48883-2023")</f>
        <v/>
      </c>
      <c r="AE575">
        <f>HYPERLINK("https://klasma.github.io/Logging_1785/fåglar/A 48883-2023 prioriterade fågelarter.docx", "A 48883-2023")</f>
        <v/>
      </c>
    </row>
    <row r="576" ht="15" customHeight="1">
      <c r="A576" t="inlineStr">
        <is>
          <t>A 36273-2024</t>
        </is>
      </c>
      <c r="B576" t="inlineStr">
        <is>
          <t>avverkningsanmälan</t>
        </is>
      </c>
      <c r="C576" t="inlineStr">
        <is>
          <t>Föryngringsavverkning</t>
        </is>
      </c>
      <c r="D576" s="1" t="n">
        <v>45534</v>
      </c>
      <c r="E576" s="1" t="n">
        <v>46307</v>
      </c>
      <c r="F576" t="inlineStr">
        <is>
          <t>VÄRMLANDS LÄN</t>
        </is>
      </c>
      <c r="G576" t="inlineStr">
        <is>
          <t>SÄFFLE</t>
        </is>
      </c>
      <c r="I576" t="n">
        <v>4.8</v>
      </c>
      <c r="J576" t="n">
        <v>0</v>
      </c>
      <c r="K576" t="n">
        <v>1</v>
      </c>
      <c r="L576" t="n">
        <v>0</v>
      </c>
      <c r="M576" t="n">
        <v>0</v>
      </c>
      <c r="N576" t="n">
        <v>0</v>
      </c>
      <c r="O576" t="n">
        <v>0</v>
      </c>
      <c r="P576" t="n">
        <v>0</v>
      </c>
      <c r="Q576" t="n">
        <v>0</v>
      </c>
      <c r="R576" t="n">
        <v>0</v>
      </c>
      <c r="S576" t="n">
        <v>1</v>
      </c>
      <c r="T576" t="n">
        <v>1</v>
      </c>
      <c r="U576" t="n">
        <v>0</v>
      </c>
      <c r="V576" s="2" t="inlineStr">
        <is>
          <t>Vätteros</t>
        </is>
      </c>
      <c r="W576">
        <f>HYPERLINK("https://klasma.github.io/Logging_1785/artfynd/A 36273-2024 artfynd.xlsx", "A 36273-2024")</f>
        <v/>
      </c>
      <c r="X576">
        <f>HYPERLINK("https://klasma.github.io/Logging_1785/kartor/A 36273-2024 karta.png", "A 36273-2024")</f>
        <v/>
      </c>
      <c r="Y576">
        <f>HYPERLINK("https://klasma.github.io/Logging_1785/kartor_geotiff/A 36273-2024 georefererad karta.tif", "A 36273-2024")</f>
        <v/>
      </c>
      <c r="AA576">
        <f>HYPERLINK("https://klasma.github.io/Logging_1785/klagomål/A 36273-2024 FSC-klagomål.docx", "A 36273-2024")</f>
        <v/>
      </c>
      <c r="AB576">
        <f>HYPERLINK("https://klasma.github.io/Logging_1785/klagomålsmail/A 36273-2024 FSC-klagomål mail.docx", "A 36273-2024")</f>
        <v/>
      </c>
      <c r="AC576">
        <f>HYPERLINK("https://klasma.github.io/Logging_1785/tillsyn/A 36273-2024 tillsynsbegäran.docx", "A 36273-2024")</f>
        <v/>
      </c>
      <c r="AD576">
        <f>HYPERLINK("https://klasma.github.io/Logging_1785/tillsynsmail/A 36273-2024 tillsynsbegäran mail.docx", "A 36273-2024")</f>
        <v/>
      </c>
    </row>
    <row r="577" ht="15" customHeight="1">
      <c r="A577" t="inlineStr">
        <is>
          <t>A 5494-2025</t>
        </is>
      </c>
      <c r="B577" t="inlineStr">
        <is>
          <t>avverkningsanmälan</t>
        </is>
      </c>
      <c r="C577" t="inlineStr">
        <is>
          <t>Föryngringsavverkning</t>
        </is>
      </c>
      <c r="D577" s="1" t="n">
        <v>45693</v>
      </c>
      <c r="E577" s="1" t="n">
        <v>46307</v>
      </c>
      <c r="F577" t="inlineStr">
        <is>
          <t>VÄRMLANDS LÄN</t>
        </is>
      </c>
      <c r="G577" t="inlineStr">
        <is>
          <t>KRISTINEHAMN</t>
        </is>
      </c>
      <c r="I577" t="n">
        <v>8.699999999999999</v>
      </c>
      <c r="J577" t="n">
        <v>0</v>
      </c>
      <c r="K577" t="n">
        <v>0</v>
      </c>
      <c r="L577" t="n">
        <v>1</v>
      </c>
      <c r="M577" t="n">
        <v>0</v>
      </c>
      <c r="N577" t="n">
        <v>0</v>
      </c>
      <c r="O577" t="n">
        <v>0</v>
      </c>
      <c r="P577" t="n">
        <v>0</v>
      </c>
      <c r="Q577" t="n">
        <v>1</v>
      </c>
      <c r="R577" t="n">
        <v>0</v>
      </c>
      <c r="S577" t="n">
        <v>1</v>
      </c>
      <c r="T577" t="n">
        <v>1</v>
      </c>
      <c r="U577" t="n">
        <v>1</v>
      </c>
      <c r="V577" s="2" t="inlineStr">
        <is>
          <t>Jungfrulin</t>
        </is>
      </c>
      <c r="W577">
        <f>HYPERLINK("https://klasma.github.io/Logging_1781/artfynd/A 5494-2025 artfynd.xlsx", "A 5494-2025")</f>
        <v/>
      </c>
      <c r="X577">
        <f>HYPERLINK("https://klasma.github.io/Logging_1781/kartor/A 5494-2025 karta.png", "A 5494-2025")</f>
        <v/>
      </c>
      <c r="Y577">
        <f>HYPERLINK("https://klasma.github.io/Logging_1781/kartor_geotiff/A 5494-2025 georefererad karta.tif", "A 5494-2025")</f>
        <v/>
      </c>
      <c r="AA577">
        <f>HYPERLINK("https://klasma.github.io/Logging_1781/klagomål/A 5494-2025 FSC-klagomål.docx", "A 5494-2025")</f>
        <v/>
      </c>
      <c r="AB577">
        <f>HYPERLINK("https://klasma.github.io/Logging_1781/klagomålsmail/A 5494-2025 FSC-klagomål mail.docx", "A 5494-2025")</f>
        <v/>
      </c>
      <c r="AC577">
        <f>HYPERLINK("https://klasma.github.io/Logging_1781/tillsyn/A 5494-2025 tillsynsbegäran.docx", "A 5494-2025")</f>
        <v/>
      </c>
      <c r="AD577">
        <f>HYPERLINK("https://klasma.github.io/Logging_1781/tillsynsmail/A 5494-2025 tillsynsbegäran mail.docx", "A 5494-2025")</f>
        <v/>
      </c>
    </row>
    <row r="578" ht="15" customHeight="1">
      <c r="A578" t="inlineStr">
        <is>
          <t>A 59685-2022</t>
        </is>
      </c>
      <c r="B578" t="inlineStr">
        <is>
          <t>avverkningsanmälan</t>
        </is>
      </c>
      <c r="C578" t="inlineStr">
        <is>
          <t>Föryngringsavverkning</t>
        </is>
      </c>
      <c r="D578" s="1" t="n">
        <v>44908</v>
      </c>
      <c r="E578" s="1" t="n">
        <v>46307</v>
      </c>
      <c r="F578" t="inlineStr">
        <is>
          <t>VÄRMLANDS LÄN</t>
        </is>
      </c>
      <c r="G578" t="inlineStr">
        <is>
          <t>SUNNE</t>
        </is>
      </c>
      <c r="I578" t="n">
        <v>1.7</v>
      </c>
      <c r="J578" t="n">
        <v>1</v>
      </c>
      <c r="K578" t="n">
        <v>0</v>
      </c>
      <c r="L578" t="n">
        <v>0</v>
      </c>
      <c r="M578" t="n">
        <v>0</v>
      </c>
      <c r="N578" t="n">
        <v>0</v>
      </c>
      <c r="O578" t="n">
        <v>0</v>
      </c>
      <c r="P578" t="n">
        <v>0</v>
      </c>
      <c r="Q578" t="n">
        <v>0</v>
      </c>
      <c r="R578" t="n">
        <v>0</v>
      </c>
      <c r="S578" t="n">
        <v>1</v>
      </c>
      <c r="T578" t="n">
        <v>1</v>
      </c>
      <c r="U578" t="n">
        <v>1</v>
      </c>
      <c r="V578" s="2" t="inlineStr">
        <is>
          <t>Fläcknycklar</t>
        </is>
      </c>
      <c r="W578">
        <f>HYPERLINK("https://klasma.github.io/Logging_1766/artfynd/A 59685-2022 artfynd.xlsx", "A 59685-2022")</f>
        <v/>
      </c>
      <c r="X578">
        <f>HYPERLINK("https://klasma.github.io/Logging_1766/kartor/A 59685-2022 karta.png", "A 59685-2022")</f>
        <v/>
      </c>
      <c r="Y578">
        <f>HYPERLINK("https://klasma.github.io/Logging_1766/kartor_geotiff/A 59685-2022 georefererad karta.tif", "A 59685-2022")</f>
        <v/>
      </c>
      <c r="AA578">
        <f>HYPERLINK("https://klasma.github.io/Logging_1766/klagomål/A 59685-2022 FSC-klagomål.docx", "A 59685-2022")</f>
        <v/>
      </c>
      <c r="AB578">
        <f>HYPERLINK("https://klasma.github.io/Logging_1766/klagomålsmail/A 59685-2022 FSC-klagomål mail.docx", "A 59685-2022")</f>
        <v/>
      </c>
      <c r="AC578">
        <f>HYPERLINK("https://klasma.github.io/Logging_1766/tillsyn/A 59685-2022 tillsynsbegäran.docx", "A 59685-2022")</f>
        <v/>
      </c>
      <c r="AD578">
        <f>HYPERLINK("https://klasma.github.io/Logging_1766/tillsynsmail/A 59685-2022 tillsynsbegäran mail.docx", "A 59685-2022")</f>
        <v/>
      </c>
    </row>
    <row r="579" ht="15" customHeight="1">
      <c r="A579" t="inlineStr">
        <is>
          <t>A 36479-2024</t>
        </is>
      </c>
      <c r="B579" t="inlineStr">
        <is>
          <t>avverkningsanmälan</t>
        </is>
      </c>
      <c r="C579" t="inlineStr">
        <is>
          <t>Föryngringsavverkning</t>
        </is>
      </c>
      <c r="D579" s="1" t="n">
        <v>45537</v>
      </c>
      <c r="E579" s="1" t="n">
        <v>46307</v>
      </c>
      <c r="F579" t="inlineStr">
        <is>
          <t>VÄRMLANDS LÄN</t>
        </is>
      </c>
      <c r="G579" t="inlineStr">
        <is>
          <t>ARVIKA</t>
        </is>
      </c>
      <c r="I579" t="n">
        <v>1.7</v>
      </c>
      <c r="J579" t="n">
        <v>0</v>
      </c>
      <c r="K579" t="n">
        <v>1</v>
      </c>
      <c r="L579" t="n">
        <v>0</v>
      </c>
      <c r="M579" t="n">
        <v>0</v>
      </c>
      <c r="N579" t="n">
        <v>0</v>
      </c>
      <c r="O579" t="n">
        <v>0</v>
      </c>
      <c r="P579" t="n">
        <v>0</v>
      </c>
      <c r="Q579" t="n">
        <v>0</v>
      </c>
      <c r="R579" t="n">
        <v>0</v>
      </c>
      <c r="S579" t="n">
        <v>1</v>
      </c>
      <c r="T579" t="n">
        <v>1</v>
      </c>
      <c r="U579" t="n">
        <v>0</v>
      </c>
      <c r="V579" s="2" t="inlineStr">
        <is>
          <t>Svart trolldruva</t>
        </is>
      </c>
      <c r="W579">
        <f>HYPERLINK("https://klasma.github.io/Logging_1784/artfynd/A 36479-2024 artfynd.xlsx", "A 36479-2024")</f>
        <v/>
      </c>
      <c r="X579">
        <f>HYPERLINK("https://klasma.github.io/Logging_1784/kartor/A 36479-2024 karta.png", "A 36479-2024")</f>
        <v/>
      </c>
      <c r="Y579">
        <f>HYPERLINK("https://klasma.github.io/Logging_1784/kartor_geotiff/A 36479-2024 georefererad karta.tif", "A 36479-2024")</f>
        <v/>
      </c>
      <c r="AA579">
        <f>HYPERLINK("https://klasma.github.io/Logging_1784/klagomål/A 36479-2024 FSC-klagomål.docx", "A 36479-2024")</f>
        <v/>
      </c>
      <c r="AB579">
        <f>HYPERLINK("https://klasma.github.io/Logging_1784/klagomålsmail/A 36479-2024 FSC-klagomål mail.docx", "A 36479-2024")</f>
        <v/>
      </c>
      <c r="AC579">
        <f>HYPERLINK("https://klasma.github.io/Logging_1784/tillsyn/A 36479-2024 tillsynsbegäran.docx", "A 36479-2024")</f>
        <v/>
      </c>
      <c r="AD579">
        <f>HYPERLINK("https://klasma.github.io/Logging_1784/tillsynsmail/A 36479-2024 tillsynsbegäran mail.docx", "A 36479-2024")</f>
        <v/>
      </c>
    </row>
    <row r="580" ht="15" customHeight="1">
      <c r="A580" t="inlineStr">
        <is>
          <t>A 38267-2024</t>
        </is>
      </c>
      <c r="B580" t="inlineStr">
        <is>
          <t>avverkningsanmälan</t>
        </is>
      </c>
      <c r="C580" t="inlineStr">
        <is>
          <t>Föryngringsavverkning</t>
        </is>
      </c>
      <c r="D580" s="1" t="n">
        <v>45545</v>
      </c>
      <c r="E580" s="1" t="n">
        <v>46307</v>
      </c>
      <c r="F580" t="inlineStr">
        <is>
          <t>VÄRMLANDS LÄN</t>
        </is>
      </c>
      <c r="G580" t="inlineStr">
        <is>
          <t>HAGFORS</t>
        </is>
      </c>
      <c r="H580" t="inlineStr">
        <is>
          <t>Bergvik skog väst AB</t>
        </is>
      </c>
      <c r="I580" t="n">
        <v>4.3</v>
      </c>
      <c r="J580" t="n">
        <v>0</v>
      </c>
      <c r="K580" t="n">
        <v>0</v>
      </c>
      <c r="L580" t="n">
        <v>1</v>
      </c>
      <c r="M580" t="n">
        <v>0</v>
      </c>
      <c r="N580" t="n">
        <v>0</v>
      </c>
      <c r="O580" t="n">
        <v>0</v>
      </c>
      <c r="P580" t="n">
        <v>0</v>
      </c>
      <c r="Q580" t="n">
        <v>1</v>
      </c>
      <c r="R580" t="n">
        <v>0</v>
      </c>
      <c r="S580" t="n">
        <v>1</v>
      </c>
      <c r="T580" t="n">
        <v>1</v>
      </c>
      <c r="U580" t="n">
        <v>1</v>
      </c>
      <c r="V580" s="2" t="inlineStr">
        <is>
          <t>Tallticka</t>
        </is>
      </c>
      <c r="W580">
        <f>HYPERLINK("https://klasma.github.io/Logging_1783/artfynd/A 38267-2024 artfynd.xlsx", "A 38267-2024")</f>
        <v/>
      </c>
      <c r="X580">
        <f>HYPERLINK("https://klasma.github.io/Logging_1783/kartor/A 38267-2024 karta.png", "A 38267-2024")</f>
        <v/>
      </c>
      <c r="Y580">
        <f>HYPERLINK("https://klasma.github.io/Logging_1783/kartor_geotiff/A 38267-2024 georefererad karta.tif", "A 38267-2024")</f>
        <v/>
      </c>
      <c r="AA580">
        <f>HYPERLINK("https://klasma.github.io/Logging_1783/klagomål/A 38267-2024 FSC-klagomål.docx", "A 38267-2024")</f>
        <v/>
      </c>
      <c r="AB580">
        <f>HYPERLINK("https://klasma.github.io/Logging_1783/klagomålsmail/A 38267-2024 FSC-klagomål mail.docx", "A 38267-2024")</f>
        <v/>
      </c>
      <c r="AC580">
        <f>HYPERLINK("https://klasma.github.io/Logging_1783/tillsyn/A 38267-2024 tillsynsbegäran.docx", "A 38267-2024")</f>
        <v/>
      </c>
      <c r="AD580">
        <f>HYPERLINK("https://klasma.github.io/Logging_1783/tillsynsmail/A 38267-2024 tillsynsbegäran mail.docx", "A 38267-2024")</f>
        <v/>
      </c>
    </row>
    <row r="581" ht="15" customHeight="1">
      <c r="A581" t="inlineStr">
        <is>
          <t>A 6986-2022</t>
        </is>
      </c>
      <c r="B581" t="inlineStr">
        <is>
          <t>avverkningsanmälan</t>
        </is>
      </c>
      <c r="C581" t="inlineStr">
        <is>
          <t>Föryngringsavverkning</t>
        </is>
      </c>
      <c r="D581" s="1" t="n">
        <v>44603</v>
      </c>
      <c r="E581" s="1" t="n">
        <v>46307</v>
      </c>
      <c r="F581" t="inlineStr">
        <is>
          <t>VÄRMLANDS LÄN</t>
        </is>
      </c>
      <c r="G581" t="inlineStr">
        <is>
          <t>HAGFORS</t>
        </is>
      </c>
      <c r="I581" t="n">
        <v>2</v>
      </c>
      <c r="J581" t="n">
        <v>0</v>
      </c>
      <c r="K581" t="n">
        <v>1</v>
      </c>
      <c r="L581" t="n">
        <v>0</v>
      </c>
      <c r="M581" t="n">
        <v>0</v>
      </c>
      <c r="N581" t="n">
        <v>0</v>
      </c>
      <c r="O581" t="n">
        <v>0</v>
      </c>
      <c r="P581" t="n">
        <v>0</v>
      </c>
      <c r="Q581" t="n">
        <v>0</v>
      </c>
      <c r="R581" t="n">
        <v>0</v>
      </c>
      <c r="S581" t="n">
        <v>1</v>
      </c>
      <c r="T581" t="n">
        <v>1</v>
      </c>
      <c r="U581" t="n">
        <v>0</v>
      </c>
      <c r="V581" s="2" t="inlineStr">
        <is>
          <t>Vedticka</t>
        </is>
      </c>
      <c r="W581">
        <f>HYPERLINK("https://klasma.github.io/Logging_1783/artfynd/A 6986-2022 artfynd.xlsx", "A 6986-2022")</f>
        <v/>
      </c>
      <c r="X581">
        <f>HYPERLINK("https://klasma.github.io/Logging_1783/kartor/A 6986-2022 karta.png", "A 6986-2022")</f>
        <v/>
      </c>
      <c r="Y581">
        <f>HYPERLINK("https://klasma.github.io/Logging_1783/kartor_geotiff/A 6986-2022 georefererad karta.tif", "A 6986-2022")</f>
        <v/>
      </c>
      <c r="AA581">
        <f>HYPERLINK("https://klasma.github.io/Logging_1783/klagomål/A 6986-2022 FSC-klagomål.docx", "A 6986-2022")</f>
        <v/>
      </c>
      <c r="AB581">
        <f>HYPERLINK("https://klasma.github.io/Logging_1783/klagomålsmail/A 6986-2022 FSC-klagomål mail.docx", "A 6986-2022")</f>
        <v/>
      </c>
      <c r="AC581">
        <f>HYPERLINK("https://klasma.github.io/Logging_1783/tillsyn/A 6986-2022 tillsynsbegäran.docx", "A 6986-2022")</f>
        <v/>
      </c>
      <c r="AD581">
        <f>HYPERLINK("https://klasma.github.io/Logging_1783/tillsynsmail/A 6986-2022 tillsynsbegäran mail.docx", "A 6986-2022")</f>
        <v/>
      </c>
    </row>
    <row r="582" ht="15" customHeight="1">
      <c r="A582" t="inlineStr">
        <is>
          <t>A 42668-2025</t>
        </is>
      </c>
      <c r="B582" t="inlineStr">
        <is>
          <t>avverkningsanmälan</t>
        </is>
      </c>
      <c r="C582" t="inlineStr">
        <is>
          <t>Föryngringsavverkning</t>
        </is>
      </c>
      <c r="D582" s="1" t="n">
        <v>45907</v>
      </c>
      <c r="E582" s="1" t="n">
        <v>46307</v>
      </c>
      <c r="F582" t="inlineStr">
        <is>
          <t>VÄRMLANDS LÄN</t>
        </is>
      </c>
      <c r="G582" t="inlineStr">
        <is>
          <t>KIL</t>
        </is>
      </c>
      <c r="H582" t="inlineStr">
        <is>
          <t>Kyrkan</t>
        </is>
      </c>
      <c r="I582" t="n">
        <v>11</v>
      </c>
      <c r="J582" t="n">
        <v>0</v>
      </c>
      <c r="K582" t="n">
        <v>1</v>
      </c>
      <c r="L582" t="n">
        <v>0</v>
      </c>
      <c r="M582" t="n">
        <v>0</v>
      </c>
      <c r="N582" t="n">
        <v>0</v>
      </c>
      <c r="O582" t="n">
        <v>0</v>
      </c>
      <c r="P582" t="n">
        <v>0</v>
      </c>
      <c r="Q582" t="n">
        <v>0</v>
      </c>
      <c r="R582" t="n">
        <v>0</v>
      </c>
      <c r="S582" t="n">
        <v>1</v>
      </c>
      <c r="T582" t="n">
        <v>2</v>
      </c>
      <c r="U582" t="n">
        <v>0</v>
      </c>
      <c r="V582" s="2" t="inlineStr">
        <is>
          <t>Kambräken</t>
        </is>
      </c>
      <c r="W582">
        <f>HYPERLINK("https://klasma.github.io/Logging_1715/artfynd/A 42668-2025 artfynd.xlsx", "A 42668-2025")</f>
        <v/>
      </c>
      <c r="X582">
        <f>HYPERLINK("https://klasma.github.io/Logging_1715/kartor/A 42668-2025 karta.png", "A 42668-2025")</f>
        <v/>
      </c>
      <c r="Y582">
        <f>HYPERLINK("https://klasma.github.io/Logging_1715/kartor_geotiff/A 42668-2025 georefererad karta.tif", "A 42668-2025")</f>
        <v/>
      </c>
      <c r="AA582">
        <f>HYPERLINK("https://klasma.github.io/Logging_1715/klagomål/A 42668-2025 FSC-klagomål.docx", "A 42668-2025")</f>
        <v/>
      </c>
      <c r="AB582">
        <f>HYPERLINK("https://klasma.github.io/Logging_1715/klagomålsmail/A 42668-2025 FSC-klagomål mail.docx", "A 42668-2025")</f>
        <v/>
      </c>
      <c r="AC582">
        <f>HYPERLINK("https://klasma.github.io/Logging_1715/tillsyn/A 42668-2025 tillsynsbegäran.docx", "A 42668-2025")</f>
        <v/>
      </c>
      <c r="AD582">
        <f>HYPERLINK("https://klasma.github.io/Logging_1715/tillsynsmail/A 42668-2025 tillsynsbegäran mail.docx", "A 42668-2025")</f>
        <v/>
      </c>
    </row>
    <row r="583" ht="15" customHeight="1">
      <c r="A583" t="inlineStr">
        <is>
          <t>A 62010-2022</t>
        </is>
      </c>
      <c r="B583" t="inlineStr">
        <is>
          <t>avverkningsanmälan</t>
        </is>
      </c>
      <c r="C583" t="inlineStr">
        <is>
          <t>Föryngringsavverkning</t>
        </is>
      </c>
      <c r="D583" s="1" t="n">
        <v>44914</v>
      </c>
      <c r="E583" s="1" t="n">
        <v>46307</v>
      </c>
      <c r="F583" t="inlineStr">
        <is>
          <t>VÄRMLANDS LÄN</t>
        </is>
      </c>
      <c r="G583" t="inlineStr">
        <is>
          <t>KIL</t>
        </is>
      </c>
      <c r="I583" t="n">
        <v>7.8</v>
      </c>
      <c r="J583" t="n">
        <v>0</v>
      </c>
      <c r="K583" t="n">
        <v>1</v>
      </c>
      <c r="L583" t="n">
        <v>0</v>
      </c>
      <c r="M583" t="n">
        <v>0</v>
      </c>
      <c r="N583" t="n">
        <v>0</v>
      </c>
      <c r="O583" t="n">
        <v>0</v>
      </c>
      <c r="P583" t="n">
        <v>0</v>
      </c>
      <c r="Q583" t="n">
        <v>0</v>
      </c>
      <c r="R583" t="n">
        <v>0</v>
      </c>
      <c r="S583" t="n">
        <v>1</v>
      </c>
      <c r="T583" t="n">
        <v>1</v>
      </c>
      <c r="U583" t="n">
        <v>0</v>
      </c>
      <c r="V583" s="2" t="inlineStr">
        <is>
          <t>Ögonpyrola</t>
        </is>
      </c>
      <c r="W583">
        <f>HYPERLINK("https://klasma.github.io/Logging_1715/artfynd/A 62010-2022 artfynd.xlsx", "A 62010-2022")</f>
        <v/>
      </c>
      <c r="X583">
        <f>HYPERLINK("https://klasma.github.io/Logging_1715/kartor/A 62010-2022 karta.png", "A 62010-2022")</f>
        <v/>
      </c>
      <c r="Y583">
        <f>HYPERLINK("https://klasma.github.io/Logging_1715/kartor_geotiff/A 62010-2022 georefererad karta.tif", "A 62010-2022")</f>
        <v/>
      </c>
      <c r="AA583">
        <f>HYPERLINK("https://klasma.github.io/Logging_1715/klagomål/A 62010-2022 FSC-klagomål.docx", "A 62010-2022")</f>
        <v/>
      </c>
      <c r="AB583">
        <f>HYPERLINK("https://klasma.github.io/Logging_1715/klagomålsmail/A 62010-2022 FSC-klagomål mail.docx", "A 62010-2022")</f>
        <v/>
      </c>
      <c r="AC583">
        <f>HYPERLINK("https://klasma.github.io/Logging_1715/tillsyn/A 62010-2022 tillsynsbegäran.docx", "A 62010-2022")</f>
        <v/>
      </c>
      <c r="AD583">
        <f>HYPERLINK("https://klasma.github.io/Logging_1715/tillsynsmail/A 62010-2022 tillsynsbegäran mail.docx", "A 62010-2022")</f>
        <v/>
      </c>
    </row>
    <row r="584" ht="15" customHeight="1">
      <c r="A584" t="inlineStr">
        <is>
          <t>A 58470-2021</t>
        </is>
      </c>
      <c r="B584" t="inlineStr">
        <is>
          <t>avverkningsanmälan</t>
        </is>
      </c>
      <c r="C584" t="inlineStr">
        <is>
          <t>Föryngringsavverkning</t>
        </is>
      </c>
      <c r="D584" s="1" t="n">
        <v>44488</v>
      </c>
      <c r="E584" s="1" t="n">
        <v>46307</v>
      </c>
      <c r="F584" t="inlineStr">
        <is>
          <t>VÄRMLANDS LÄN</t>
        </is>
      </c>
      <c r="G584" t="inlineStr">
        <is>
          <t>TORSBY</t>
        </is>
      </c>
      <c r="I584" t="n">
        <v>8.699999999999999</v>
      </c>
      <c r="J584" t="n">
        <v>0</v>
      </c>
      <c r="K584" t="n">
        <v>0</v>
      </c>
      <c r="L584" t="n">
        <v>1</v>
      </c>
      <c r="M584" t="n">
        <v>0</v>
      </c>
      <c r="N584" t="n">
        <v>0</v>
      </c>
      <c r="O584" t="n">
        <v>0</v>
      </c>
      <c r="P584" t="n">
        <v>0</v>
      </c>
      <c r="Q584" t="n">
        <v>1</v>
      </c>
      <c r="R584" t="n">
        <v>0</v>
      </c>
      <c r="S584" t="n">
        <v>1</v>
      </c>
      <c r="T584" t="n">
        <v>1</v>
      </c>
      <c r="U584" t="n">
        <v>0</v>
      </c>
      <c r="V584" s="2" t="inlineStr">
        <is>
          <t>Dropptaggsvamp</t>
        </is>
      </c>
      <c r="W584">
        <f>HYPERLINK("https://klasma.github.io/Logging_1737/artfynd/A 58470-2021 artfynd.xlsx", "A 58470-2021")</f>
        <v/>
      </c>
      <c r="X584">
        <f>HYPERLINK("https://klasma.github.io/Logging_1737/kartor/A 58470-2021 karta.png", "A 58470-2021")</f>
        <v/>
      </c>
      <c r="Y584">
        <f>HYPERLINK("https://klasma.github.io/Logging_1737/kartor_geotiff/A 58470-2021 georefererad karta.tif", "A 58470-2021")</f>
        <v/>
      </c>
      <c r="AA584">
        <f>HYPERLINK("https://klasma.github.io/Logging_1737/klagomål/A 58470-2021 FSC-klagomål.docx", "A 58470-2021")</f>
        <v/>
      </c>
      <c r="AB584">
        <f>HYPERLINK("https://klasma.github.io/Logging_1737/klagomålsmail/A 58470-2021 FSC-klagomål mail.docx", "A 58470-2021")</f>
        <v/>
      </c>
      <c r="AC584">
        <f>HYPERLINK("https://klasma.github.io/Logging_1737/tillsyn/A 58470-2021 tillsynsbegäran.docx", "A 58470-2021")</f>
        <v/>
      </c>
      <c r="AD584">
        <f>HYPERLINK("https://klasma.github.io/Logging_1737/tillsynsmail/A 58470-2021 tillsynsbegäran mail.docx", "A 58470-2021")</f>
        <v/>
      </c>
    </row>
    <row r="585" ht="15" customHeight="1">
      <c r="A585" t="inlineStr">
        <is>
          <t>A 46620-2024</t>
        </is>
      </c>
      <c r="B585" t="inlineStr">
        <is>
          <t>avverkningsanmälan</t>
        </is>
      </c>
      <c r="C585" t="inlineStr">
        <is>
          <t>Föryngringsavverkning</t>
        </is>
      </c>
      <c r="D585" s="1" t="n">
        <v>45583</v>
      </c>
      <c r="E585" s="1" t="n">
        <v>46307</v>
      </c>
      <c r="F585" t="inlineStr">
        <is>
          <t>VÄRMLANDS LÄN</t>
        </is>
      </c>
      <c r="G585" t="inlineStr">
        <is>
          <t>FORSHAGA</t>
        </is>
      </c>
      <c r="I585" t="n">
        <v>2.5</v>
      </c>
      <c r="J585" t="n">
        <v>1</v>
      </c>
      <c r="K585" t="n">
        <v>0</v>
      </c>
      <c r="L585" t="n">
        <v>0</v>
      </c>
      <c r="M585" t="n">
        <v>0</v>
      </c>
      <c r="N585" t="n">
        <v>0</v>
      </c>
      <c r="O585" t="n">
        <v>0</v>
      </c>
      <c r="P585" t="n">
        <v>0</v>
      </c>
      <c r="Q585" t="n">
        <v>0</v>
      </c>
      <c r="R585" t="n">
        <v>0</v>
      </c>
      <c r="S585" t="n">
        <v>1</v>
      </c>
      <c r="T585" t="n">
        <v>2</v>
      </c>
      <c r="U585" t="n">
        <v>0</v>
      </c>
      <c r="V585" s="2" t="inlineStr">
        <is>
          <t>Mattlummer</t>
        </is>
      </c>
      <c r="W585">
        <f>HYPERLINK("https://klasma.github.io/Logging_1763/artfynd/A 46620-2024 artfynd.xlsx", "A 46620-2024")</f>
        <v/>
      </c>
      <c r="X585">
        <f>HYPERLINK("https://klasma.github.io/Logging_1763/kartor/A 46620-2024 karta.png", "A 46620-2024")</f>
        <v/>
      </c>
      <c r="Y585">
        <f>HYPERLINK("https://klasma.github.io/Logging_1763/kartor_geotiff/A 46620-2024 georefererad karta.tif", "A 46620-2024")</f>
        <v/>
      </c>
      <c r="AA585">
        <f>HYPERLINK("https://klasma.github.io/Logging_1763/klagomål/A 46620-2024 FSC-klagomål.docx", "A 46620-2024")</f>
        <v/>
      </c>
      <c r="AB585">
        <f>HYPERLINK("https://klasma.github.io/Logging_1763/klagomålsmail/A 46620-2024 FSC-klagomål mail.docx", "A 46620-2024")</f>
        <v/>
      </c>
      <c r="AC585">
        <f>HYPERLINK("https://klasma.github.io/Logging_1763/tillsyn/A 46620-2024 tillsynsbegäran.docx", "A 46620-2024")</f>
        <v/>
      </c>
      <c r="AD585">
        <f>HYPERLINK("https://klasma.github.io/Logging_1763/tillsynsmail/A 46620-2024 tillsynsbegäran mail.docx", "A 46620-2024")</f>
        <v/>
      </c>
    </row>
    <row r="586" ht="15" customHeight="1">
      <c r="A586" t="inlineStr">
        <is>
          <t>A 63796-2021</t>
        </is>
      </c>
      <c r="B586" t="inlineStr">
        <is>
          <t>avverkningsanmälan</t>
        </is>
      </c>
      <c r="C586" t="inlineStr">
        <is>
          <t>Föryngringsavverkning</t>
        </is>
      </c>
      <c r="D586" s="1" t="n">
        <v>44509</v>
      </c>
      <c r="E586" s="1" t="n">
        <v>46307</v>
      </c>
      <c r="F586" t="inlineStr">
        <is>
          <t>VÄRMLANDS LÄN</t>
        </is>
      </c>
      <c r="G586" t="inlineStr">
        <is>
          <t>ÅRJÄNG</t>
        </is>
      </c>
      <c r="I586" t="n">
        <v>2.1</v>
      </c>
      <c r="J586" t="n">
        <v>1</v>
      </c>
      <c r="K586" t="n">
        <v>0</v>
      </c>
      <c r="L586" t="n">
        <v>1</v>
      </c>
      <c r="M586" t="n">
        <v>0</v>
      </c>
      <c r="N586" t="n">
        <v>0</v>
      </c>
      <c r="O586" t="n">
        <v>0</v>
      </c>
      <c r="P586" t="n">
        <v>0</v>
      </c>
      <c r="Q586" t="n">
        <v>1</v>
      </c>
      <c r="R586" t="n">
        <v>0</v>
      </c>
      <c r="S586" t="n">
        <v>1</v>
      </c>
      <c r="T586" t="n">
        <v>1</v>
      </c>
      <c r="U586" t="n">
        <v>1</v>
      </c>
      <c r="V586" s="2" t="inlineStr">
        <is>
          <t>Enkelbeckasin</t>
        </is>
      </c>
      <c r="W586">
        <f>HYPERLINK("https://klasma.github.io/Logging_1765/artfynd/A 63796-2021 artfynd.xlsx", "A 63796-2021")</f>
        <v/>
      </c>
      <c r="X586">
        <f>HYPERLINK("https://klasma.github.io/Logging_1765/kartor/A 63796-2021 karta.png", "A 63796-2021")</f>
        <v/>
      </c>
      <c r="Y586">
        <f>HYPERLINK("https://klasma.github.io/Logging_1765/kartor_geotiff/A 63796-2021 georefererad karta.tif", "A 63796-2021")</f>
        <v/>
      </c>
      <c r="AA586">
        <f>HYPERLINK("https://klasma.github.io/Logging_1765/klagomål/A 63796-2021 FSC-klagomål.docx", "A 63796-2021")</f>
        <v/>
      </c>
      <c r="AB586">
        <f>HYPERLINK("https://klasma.github.io/Logging_1765/klagomålsmail/A 63796-2021 FSC-klagomål mail.docx", "A 63796-2021")</f>
        <v/>
      </c>
      <c r="AC586">
        <f>HYPERLINK("https://klasma.github.io/Logging_1765/tillsyn/A 63796-2021 tillsynsbegäran.docx", "A 63796-2021")</f>
        <v/>
      </c>
      <c r="AD586">
        <f>HYPERLINK("https://klasma.github.io/Logging_1765/tillsynsmail/A 63796-2021 tillsynsbegäran mail.docx", "A 63796-2021")</f>
        <v/>
      </c>
      <c r="AE586">
        <f>HYPERLINK("https://klasma.github.io/Logging_1765/fåglar/A 63796-2021 prioriterade fågelarter.docx", "A 63796-2021")</f>
        <v/>
      </c>
    </row>
    <row r="587" ht="15" customHeight="1">
      <c r="A587" t="inlineStr">
        <is>
          <t>A 38541-2023</t>
        </is>
      </c>
      <c r="B587" t="inlineStr">
        <is>
          <t>avverkningsanmälan</t>
        </is>
      </c>
      <c r="C587" t="inlineStr">
        <is>
          <t>Föryngringsavverkning</t>
        </is>
      </c>
      <c r="D587" s="1" t="n">
        <v>45162</v>
      </c>
      <c r="E587" s="1" t="n">
        <v>46307</v>
      </c>
      <c r="F587" t="inlineStr">
        <is>
          <t>VÄRMLANDS LÄN</t>
        </is>
      </c>
      <c r="G587" t="inlineStr">
        <is>
          <t>TORSBY</t>
        </is>
      </c>
      <c r="I587" t="n">
        <v>2</v>
      </c>
      <c r="J587" t="n">
        <v>0</v>
      </c>
      <c r="K587" t="n">
        <v>0</v>
      </c>
      <c r="L587" t="n">
        <v>1</v>
      </c>
      <c r="M587" t="n">
        <v>0</v>
      </c>
      <c r="N587" t="n">
        <v>0</v>
      </c>
      <c r="O587" t="n">
        <v>0</v>
      </c>
      <c r="P587" t="n">
        <v>0</v>
      </c>
      <c r="Q587" t="n">
        <v>1</v>
      </c>
      <c r="R587" t="n">
        <v>0</v>
      </c>
      <c r="S587" t="n">
        <v>1</v>
      </c>
      <c r="T587" t="n">
        <v>1</v>
      </c>
      <c r="U587" t="n">
        <v>0</v>
      </c>
      <c r="V587" s="2" t="inlineStr">
        <is>
          <t>Lunglav</t>
        </is>
      </c>
      <c r="W587">
        <f>HYPERLINK("https://klasma.github.io/Logging_1737/artfynd/A 38541-2023 artfynd.xlsx", "A 38541-2023")</f>
        <v/>
      </c>
      <c r="X587">
        <f>HYPERLINK("https://klasma.github.io/Logging_1737/kartor/A 38541-2023 karta.png", "A 38541-2023")</f>
        <v/>
      </c>
      <c r="Y587">
        <f>HYPERLINK("https://klasma.github.io/Logging_1737/kartor_geotiff/A 38541-2023 georefererad karta.tif", "A 38541-2023")</f>
        <v/>
      </c>
      <c r="AA587">
        <f>HYPERLINK("https://klasma.github.io/Logging_1737/klagomål/A 38541-2023 FSC-klagomål.docx", "A 38541-2023")</f>
        <v/>
      </c>
      <c r="AB587">
        <f>HYPERLINK("https://klasma.github.io/Logging_1737/klagomålsmail/A 38541-2023 FSC-klagomål mail.docx", "A 38541-2023")</f>
        <v/>
      </c>
      <c r="AC587">
        <f>HYPERLINK("https://klasma.github.io/Logging_1737/tillsyn/A 38541-2023 tillsynsbegäran.docx", "A 38541-2023")</f>
        <v/>
      </c>
      <c r="AD587">
        <f>HYPERLINK("https://klasma.github.io/Logging_1737/tillsynsmail/A 38541-2023 tillsynsbegäran mail.docx", "A 38541-2023")</f>
        <v/>
      </c>
    </row>
    <row r="588" ht="15" customHeight="1">
      <c r="A588" t="inlineStr">
        <is>
          <t>A 23046-2023</t>
        </is>
      </c>
      <c r="B588" t="inlineStr">
        <is>
          <t>avverkningsanmälan</t>
        </is>
      </c>
      <c r="C588" t="inlineStr">
        <is>
          <t>Föryngringsavverkning</t>
        </is>
      </c>
      <c r="D588" s="1" t="n">
        <v>45075</v>
      </c>
      <c r="E588" s="1" t="n">
        <v>46307</v>
      </c>
      <c r="F588" t="inlineStr">
        <is>
          <t>VÄRMLANDS LÄN</t>
        </is>
      </c>
      <c r="G588" t="inlineStr">
        <is>
          <t>FILIPSTAD</t>
        </is>
      </c>
      <c r="H588" t="inlineStr">
        <is>
          <t>Bergvik skog väst AB</t>
        </is>
      </c>
      <c r="I588" t="n">
        <v>1.7</v>
      </c>
      <c r="J588" t="n">
        <v>1</v>
      </c>
      <c r="K588" t="n">
        <v>0</v>
      </c>
      <c r="L588" t="n">
        <v>0</v>
      </c>
      <c r="M588" t="n">
        <v>1</v>
      </c>
      <c r="N588" t="n">
        <v>0</v>
      </c>
      <c r="O588" t="n">
        <v>0</v>
      </c>
      <c r="P588" t="n">
        <v>0</v>
      </c>
      <c r="Q588" t="n">
        <v>1</v>
      </c>
      <c r="R588" t="n">
        <v>1</v>
      </c>
      <c r="S588" t="n">
        <v>1</v>
      </c>
      <c r="T588" t="n">
        <v>1</v>
      </c>
      <c r="U588" t="n">
        <v>0</v>
      </c>
      <c r="V588" s="2" t="inlineStr">
        <is>
          <t>Knärot</t>
        </is>
      </c>
      <c r="W588">
        <f>HYPERLINK("https://klasma.github.io/Logging_1782/artfynd/A 23046-2023 artfynd.xlsx", "A 23046-2023")</f>
        <v/>
      </c>
      <c r="X588">
        <f>HYPERLINK("https://klasma.github.io/Logging_1782/kartor/A 23046-2023 karta.png", "A 23046-2023")</f>
        <v/>
      </c>
      <c r="Y588">
        <f>HYPERLINK("https://klasma.github.io/Logging_1782/kartor_geotiff/A 23046-2023 georefererad karta.tif", "A 23046-2023")</f>
        <v/>
      </c>
      <c r="Z588">
        <f>HYPERLINK("https://klasma.github.io/Logging_1782/knärot/A 23046-2023 karta knärot.png", "A 23046-2023")</f>
        <v/>
      </c>
      <c r="AA588">
        <f>HYPERLINK("https://klasma.github.io/Logging_1782/klagomål/A 23046-2023 FSC-klagomål.docx", "A 23046-2023")</f>
        <v/>
      </c>
      <c r="AB588">
        <f>HYPERLINK("https://klasma.github.io/Logging_1782/klagomålsmail/A 23046-2023 FSC-klagomål mail.docx", "A 23046-2023")</f>
        <v/>
      </c>
      <c r="AC588">
        <f>HYPERLINK("https://klasma.github.io/Logging_1782/tillsyn/A 23046-2023 tillsynsbegäran.docx", "A 23046-2023")</f>
        <v/>
      </c>
      <c r="AD588">
        <f>HYPERLINK("https://klasma.github.io/Logging_1782/tillsynsmail/A 23046-2023 tillsynsbegäran mail.docx", "A 23046-2023")</f>
        <v/>
      </c>
    </row>
    <row r="589" ht="15" customHeight="1">
      <c r="A589" t="inlineStr">
        <is>
          <t>A 28317-2023</t>
        </is>
      </c>
      <c r="B589" t="inlineStr">
        <is>
          <t>avverkningsanmälan</t>
        </is>
      </c>
      <c r="C589" t="inlineStr">
        <is>
          <t>Föryngringsavverkning</t>
        </is>
      </c>
      <c r="D589" s="1" t="n">
        <v>45099</v>
      </c>
      <c r="E589" s="1" t="n">
        <v>46307</v>
      </c>
      <c r="F589" t="inlineStr">
        <is>
          <t>VÄRMLANDS LÄN</t>
        </is>
      </c>
      <c r="G589" t="inlineStr">
        <is>
          <t>ÅRJÄNG</t>
        </is>
      </c>
      <c r="I589" t="n">
        <v>10.2</v>
      </c>
      <c r="J589" t="n">
        <v>1</v>
      </c>
      <c r="K589" t="n">
        <v>0</v>
      </c>
      <c r="L589" t="n">
        <v>1</v>
      </c>
      <c r="M589" t="n">
        <v>0</v>
      </c>
      <c r="N589" t="n">
        <v>0</v>
      </c>
      <c r="O589" t="n">
        <v>0</v>
      </c>
      <c r="P589" t="n">
        <v>0</v>
      </c>
      <c r="Q589" t="n">
        <v>1</v>
      </c>
      <c r="R589" t="n">
        <v>0</v>
      </c>
      <c r="S589" t="n">
        <v>1</v>
      </c>
      <c r="T589" t="n">
        <v>1</v>
      </c>
      <c r="U589" t="n">
        <v>1</v>
      </c>
      <c r="V589" s="2" t="inlineStr">
        <is>
          <t>Duvhök</t>
        </is>
      </c>
      <c r="W589">
        <f>HYPERLINK("https://klasma.github.io/Logging_1765/artfynd/A 28317-2023 artfynd.xlsx", "A 28317-2023")</f>
        <v/>
      </c>
      <c r="X589">
        <f>HYPERLINK("https://klasma.github.io/Logging_1765/kartor/A 28317-2023 karta.png", "A 28317-2023")</f>
        <v/>
      </c>
      <c r="Y589">
        <f>HYPERLINK("https://klasma.github.io/Logging_1765/kartor_geotiff/A 28317-2023 georefererad karta.tif", "A 28317-2023")</f>
        <v/>
      </c>
      <c r="AA589">
        <f>HYPERLINK("https://klasma.github.io/Logging_1765/klagomål/A 28317-2023 FSC-klagomål.docx", "A 28317-2023")</f>
        <v/>
      </c>
      <c r="AB589">
        <f>HYPERLINK("https://klasma.github.io/Logging_1765/klagomålsmail/A 28317-2023 FSC-klagomål mail.docx", "A 28317-2023")</f>
        <v/>
      </c>
      <c r="AC589">
        <f>HYPERLINK("https://klasma.github.io/Logging_1765/tillsyn/A 28317-2023 tillsynsbegäran.docx", "A 28317-2023")</f>
        <v/>
      </c>
      <c r="AD589">
        <f>HYPERLINK("https://klasma.github.io/Logging_1765/tillsynsmail/A 28317-2023 tillsynsbegäran mail.docx", "A 28317-2023")</f>
        <v/>
      </c>
      <c r="AE589">
        <f>HYPERLINK("https://klasma.github.io/Logging_1765/fåglar/A 28317-2023 prioriterade fågelarter.docx", "A 28317-2023")</f>
        <v/>
      </c>
    </row>
    <row r="590" ht="15" customHeight="1">
      <c r="A590" t="inlineStr">
        <is>
          <t>A 20898-2025</t>
        </is>
      </c>
      <c r="B590" t="inlineStr">
        <is>
          <t>avverkningsanmälan</t>
        </is>
      </c>
      <c r="C590" t="inlineStr">
        <is>
          <t>Föryngringsavverkning</t>
        </is>
      </c>
      <c r="D590" s="1" t="n">
        <v>45777</v>
      </c>
      <c r="E590" s="1" t="n">
        <v>46307</v>
      </c>
      <c r="F590" t="inlineStr">
        <is>
          <t>VÄRMLANDS LÄN</t>
        </is>
      </c>
      <c r="G590" t="inlineStr">
        <is>
          <t>EDA</t>
        </is>
      </c>
      <c r="H590" t="inlineStr">
        <is>
          <t>Bergvik skog väst AB</t>
        </is>
      </c>
      <c r="I590" t="n">
        <v>10</v>
      </c>
      <c r="J590" t="n">
        <v>1</v>
      </c>
      <c r="K590" t="n">
        <v>0</v>
      </c>
      <c r="L590" t="n">
        <v>1</v>
      </c>
      <c r="M590" t="n">
        <v>0</v>
      </c>
      <c r="N590" t="n">
        <v>0</v>
      </c>
      <c r="O590" t="n">
        <v>0</v>
      </c>
      <c r="P590" t="n">
        <v>0</v>
      </c>
      <c r="Q590" t="n">
        <v>1</v>
      </c>
      <c r="R590" t="n">
        <v>0</v>
      </c>
      <c r="S590" t="n">
        <v>1</v>
      </c>
      <c r="T590" t="n">
        <v>1</v>
      </c>
      <c r="U590" t="n">
        <v>0</v>
      </c>
      <c r="V590" s="2" t="inlineStr">
        <is>
          <t>Grönsångare</t>
        </is>
      </c>
      <c r="W590">
        <f>HYPERLINK("https://klasma.github.io/Logging_1730/artfynd/A 20898-2025 artfynd.xlsx", "A 20898-2025")</f>
        <v/>
      </c>
      <c r="X590">
        <f>HYPERLINK("https://klasma.github.io/Logging_1730/kartor/A 20898-2025 karta.png", "A 20898-2025")</f>
        <v/>
      </c>
      <c r="Y590">
        <f>HYPERLINK("https://klasma.github.io/Logging_1730/kartor_geotiff/A 20898-2025 georefererad karta.tif", "A 20898-2025")</f>
        <v/>
      </c>
      <c r="AA590">
        <f>HYPERLINK("https://klasma.github.io/Logging_1730/klagomål/A 20898-2025 FSC-klagomål.docx", "A 20898-2025")</f>
        <v/>
      </c>
      <c r="AB590">
        <f>HYPERLINK("https://klasma.github.io/Logging_1730/klagomålsmail/A 20898-2025 FSC-klagomål mail.docx", "A 20898-2025")</f>
        <v/>
      </c>
      <c r="AC590">
        <f>HYPERLINK("https://klasma.github.io/Logging_1730/tillsyn/A 20898-2025 tillsynsbegäran.docx", "A 20898-2025")</f>
        <v/>
      </c>
      <c r="AD590">
        <f>HYPERLINK("https://klasma.github.io/Logging_1730/tillsynsmail/A 20898-2025 tillsynsbegäran mail.docx", "A 20898-2025")</f>
        <v/>
      </c>
      <c r="AE590">
        <f>HYPERLINK("https://klasma.github.io/Logging_1730/fåglar/A 20898-2025 prioriterade fågelarter.docx", "A 20898-2025")</f>
        <v/>
      </c>
    </row>
    <row r="591" ht="15" customHeight="1">
      <c r="A591" t="inlineStr">
        <is>
          <t>A 43852-2025</t>
        </is>
      </c>
      <c r="B591" t="inlineStr">
        <is>
          <t>avverkningsanmälan</t>
        </is>
      </c>
      <c r="C591" t="inlineStr">
        <is>
          <t>Föryngringsavverkning</t>
        </is>
      </c>
      <c r="D591" s="1" t="n">
        <v>45912</v>
      </c>
      <c r="E591" s="1" t="n">
        <v>46307</v>
      </c>
      <c r="F591" t="inlineStr">
        <is>
          <t>VÄRMLANDS LÄN</t>
        </is>
      </c>
      <c r="G591" t="inlineStr">
        <is>
          <t>SÄFFLE</t>
        </is>
      </c>
      <c r="I591" t="n">
        <v>1.2</v>
      </c>
      <c r="J591" t="n">
        <v>0</v>
      </c>
      <c r="K591" t="n">
        <v>1</v>
      </c>
      <c r="L591" t="n">
        <v>0</v>
      </c>
      <c r="M591" t="n">
        <v>0</v>
      </c>
      <c r="N591" t="n">
        <v>0</v>
      </c>
      <c r="O591" t="n">
        <v>0</v>
      </c>
      <c r="P591" t="n">
        <v>0</v>
      </c>
      <c r="Q591" t="n">
        <v>0</v>
      </c>
      <c r="R591" t="n">
        <v>0</v>
      </c>
      <c r="S591" t="n">
        <v>1</v>
      </c>
      <c r="T591" t="n">
        <v>1</v>
      </c>
      <c r="U591" t="n">
        <v>0</v>
      </c>
      <c r="V591" s="2" t="inlineStr">
        <is>
          <t>Springkorn</t>
        </is>
      </c>
      <c r="W591">
        <f>HYPERLINK("https://klasma.github.io/Logging_1785/artfynd/A 43852-2025 artfynd.xlsx", "A 43852-2025")</f>
        <v/>
      </c>
      <c r="X591">
        <f>HYPERLINK("https://klasma.github.io/Logging_1785/kartor/A 43852-2025 karta.png", "A 43852-2025")</f>
        <v/>
      </c>
      <c r="Y591">
        <f>HYPERLINK("https://klasma.github.io/Logging_1785/kartor_geotiff/A 43852-2025 georefererad karta.tif", "A 43852-2025")</f>
        <v/>
      </c>
      <c r="AA591">
        <f>HYPERLINK("https://klasma.github.io/Logging_1785/klagomål/A 43852-2025 FSC-klagomål.docx", "A 43852-2025")</f>
        <v/>
      </c>
      <c r="AB591">
        <f>HYPERLINK("https://klasma.github.io/Logging_1785/klagomålsmail/A 43852-2025 FSC-klagomål mail.docx", "A 43852-2025")</f>
        <v/>
      </c>
      <c r="AC591">
        <f>HYPERLINK("https://klasma.github.io/Logging_1785/tillsyn/A 43852-2025 tillsynsbegäran.docx", "A 43852-2025")</f>
        <v/>
      </c>
      <c r="AD591">
        <f>HYPERLINK("https://klasma.github.io/Logging_1785/tillsynsmail/A 43852-2025 tillsynsbegäran mail.docx", "A 43852-2025")</f>
        <v/>
      </c>
    </row>
    <row r="592" ht="15" customHeight="1">
      <c r="A592" t="inlineStr">
        <is>
          <t>A 12593-2024</t>
        </is>
      </c>
      <c r="B592" t="inlineStr">
        <is>
          <t>avverkningsanmälan</t>
        </is>
      </c>
      <c r="C592" t="inlineStr">
        <is>
          <t>Föryngringsavverkning</t>
        </is>
      </c>
      <c r="D592" s="1" t="n">
        <v>45380</v>
      </c>
      <c r="E592" s="1" t="n">
        <v>46307</v>
      </c>
      <c r="F592" t="inlineStr">
        <is>
          <t>VÄRMLANDS LÄN</t>
        </is>
      </c>
      <c r="G592" t="inlineStr">
        <is>
          <t>KRISTINEHAMN</t>
        </is>
      </c>
      <c r="I592" t="n">
        <v>5.9</v>
      </c>
      <c r="J592" t="n">
        <v>1</v>
      </c>
      <c r="K592" t="n">
        <v>0</v>
      </c>
      <c r="L592" t="n">
        <v>0</v>
      </c>
      <c r="M592" t="n">
        <v>0</v>
      </c>
      <c r="N592" t="n">
        <v>1</v>
      </c>
      <c r="O592" t="n">
        <v>0</v>
      </c>
      <c r="P592" t="n">
        <v>0</v>
      </c>
      <c r="Q592" t="n">
        <v>1</v>
      </c>
      <c r="R592" t="n">
        <v>1</v>
      </c>
      <c r="S592" t="n">
        <v>1</v>
      </c>
      <c r="T592" t="n">
        <v>2</v>
      </c>
      <c r="U592" t="n">
        <v>0</v>
      </c>
      <c r="V592" s="2" t="inlineStr">
        <is>
          <t>Bombmurkla</t>
        </is>
      </c>
      <c r="W592">
        <f>HYPERLINK("https://klasma.github.io/Logging_1781/artfynd/A 12593-2024 artfynd.xlsx", "A 12593-2024")</f>
        <v/>
      </c>
      <c r="X592">
        <f>HYPERLINK("https://klasma.github.io/Logging_1781/kartor/A 12593-2024 karta.png", "A 12593-2024")</f>
        <v/>
      </c>
      <c r="Y592">
        <f>HYPERLINK("https://klasma.github.io/Logging_1781/kartor_geotiff/A 12593-2024 georefererad karta.tif", "A 12593-2024")</f>
        <v/>
      </c>
      <c r="AA592">
        <f>HYPERLINK("https://klasma.github.io/Logging_1781/klagomål/A 12593-2024 FSC-klagomål.docx", "A 12593-2024")</f>
        <v/>
      </c>
      <c r="AB592">
        <f>HYPERLINK("https://klasma.github.io/Logging_1781/klagomålsmail/A 12593-2024 FSC-klagomål mail.docx", "A 12593-2024")</f>
        <v/>
      </c>
      <c r="AC592">
        <f>HYPERLINK("https://klasma.github.io/Logging_1781/tillsyn/A 12593-2024 tillsynsbegäran.docx", "A 12593-2024")</f>
        <v/>
      </c>
      <c r="AD592">
        <f>HYPERLINK("https://klasma.github.io/Logging_1781/tillsynsmail/A 12593-2024 tillsynsbegäran mail.docx", "A 12593-2024")</f>
        <v/>
      </c>
    </row>
    <row r="593" ht="15" customHeight="1">
      <c r="A593" t="inlineStr">
        <is>
          <t>A 15219-2025</t>
        </is>
      </c>
      <c r="B593" t="inlineStr">
        <is>
          <t>avverkningsanmälan</t>
        </is>
      </c>
      <c r="C593" t="inlineStr">
        <is>
          <t>Föryngringsavverkning</t>
        </is>
      </c>
      <c r="D593" s="1" t="n">
        <v>45744</v>
      </c>
      <c r="E593" s="1" t="n">
        <v>46307</v>
      </c>
      <c r="F593" t="inlineStr">
        <is>
          <t>VÄRMLANDS LÄN</t>
        </is>
      </c>
      <c r="G593" t="inlineStr">
        <is>
          <t>HAGFORS</t>
        </is>
      </c>
      <c r="H593" t="inlineStr">
        <is>
          <t>Bergvik skog väst AB</t>
        </is>
      </c>
      <c r="I593" t="n">
        <v>15.8</v>
      </c>
      <c r="J593" t="n">
        <v>0</v>
      </c>
      <c r="K593" t="n">
        <v>0</v>
      </c>
      <c r="L593" t="n">
        <v>0</v>
      </c>
      <c r="M593" t="n">
        <v>1</v>
      </c>
      <c r="N593" t="n">
        <v>0</v>
      </c>
      <c r="O593" t="n">
        <v>0</v>
      </c>
      <c r="P593" t="n">
        <v>0</v>
      </c>
      <c r="Q593" t="n">
        <v>1</v>
      </c>
      <c r="R593" t="n">
        <v>1</v>
      </c>
      <c r="S593" t="n">
        <v>1</v>
      </c>
      <c r="T593" t="n">
        <v>2</v>
      </c>
      <c r="U593" t="n">
        <v>2</v>
      </c>
      <c r="V593" s="2" t="inlineStr">
        <is>
          <t>Borsttagging</t>
        </is>
      </c>
      <c r="W593">
        <f>HYPERLINK("https://klasma.github.io/Logging_1783/artfynd/A 15219-2025 artfynd.xlsx", "A 15219-2025")</f>
        <v/>
      </c>
      <c r="X593">
        <f>HYPERLINK("https://klasma.github.io/Logging_1783/kartor/A 15219-2025 karta.png", "A 15219-2025")</f>
        <v/>
      </c>
      <c r="Y593">
        <f>HYPERLINK("https://klasma.github.io/Logging_1783/kartor_geotiff/A 15219-2025 georefererad karta.tif", "A 15219-2025")</f>
        <v/>
      </c>
      <c r="AA593">
        <f>HYPERLINK("https://klasma.github.io/Logging_1783/klagomål/A 15219-2025 FSC-klagomål.docx", "A 15219-2025")</f>
        <v/>
      </c>
      <c r="AB593">
        <f>HYPERLINK("https://klasma.github.io/Logging_1783/klagomålsmail/A 15219-2025 FSC-klagomål mail.docx", "A 15219-2025")</f>
        <v/>
      </c>
      <c r="AC593">
        <f>HYPERLINK("https://klasma.github.io/Logging_1783/tillsyn/A 15219-2025 tillsynsbegäran.docx", "A 15219-2025")</f>
        <v/>
      </c>
      <c r="AD593">
        <f>HYPERLINK("https://klasma.github.io/Logging_1783/tillsynsmail/A 15219-2025 tillsynsbegäran mail.docx", "A 15219-2025")</f>
        <v/>
      </c>
    </row>
    <row r="594" ht="15" customHeight="1">
      <c r="A594" t="inlineStr">
        <is>
          <t>A 44220-2025</t>
        </is>
      </c>
      <c r="B594" t="inlineStr">
        <is>
          <t>avverkningsanmälan</t>
        </is>
      </c>
      <c r="C594" t="inlineStr">
        <is>
          <t>Föryngringsavverkning</t>
        </is>
      </c>
      <c r="D594" s="1" t="n">
        <v>45915</v>
      </c>
      <c r="E594" s="1" t="n">
        <v>46307</v>
      </c>
      <c r="F594" t="inlineStr">
        <is>
          <t>VÄRMLANDS LÄN</t>
        </is>
      </c>
      <c r="G594" t="inlineStr">
        <is>
          <t>TORSBY</t>
        </is>
      </c>
      <c r="H594" t="inlineStr">
        <is>
          <t>Kommuner</t>
        </is>
      </c>
      <c r="I594" t="n">
        <v>4.9</v>
      </c>
      <c r="J594" t="n">
        <v>0</v>
      </c>
      <c r="K594" t="n">
        <v>1</v>
      </c>
      <c r="L594" t="n">
        <v>0</v>
      </c>
      <c r="M594" t="n">
        <v>0</v>
      </c>
      <c r="N594" t="n">
        <v>0</v>
      </c>
      <c r="O594" t="n">
        <v>0</v>
      </c>
      <c r="P594" t="n">
        <v>0</v>
      </c>
      <c r="Q594" t="n">
        <v>0</v>
      </c>
      <c r="R594" t="n">
        <v>0</v>
      </c>
      <c r="S594" t="n">
        <v>1</v>
      </c>
      <c r="T594" t="n">
        <v>1</v>
      </c>
      <c r="U594" t="n">
        <v>0</v>
      </c>
      <c r="V594" s="2" t="inlineStr">
        <is>
          <t>Ögonpyrola</t>
        </is>
      </c>
      <c r="W594">
        <f>HYPERLINK("https://klasma.github.io/Logging_1737/artfynd/A 44220-2025 artfynd.xlsx", "A 44220-2025")</f>
        <v/>
      </c>
      <c r="X594">
        <f>HYPERLINK("https://klasma.github.io/Logging_1737/kartor/A 44220-2025 karta.png", "A 44220-2025")</f>
        <v/>
      </c>
      <c r="Y594">
        <f>HYPERLINK("https://klasma.github.io/Logging_1737/kartor_geotiff/A 44220-2025 georefererad karta.tif", "A 44220-2025")</f>
        <v/>
      </c>
      <c r="AA594">
        <f>HYPERLINK("https://klasma.github.io/Logging_1737/klagomål/A 44220-2025 FSC-klagomål.docx", "A 44220-2025")</f>
        <v/>
      </c>
      <c r="AB594">
        <f>HYPERLINK("https://klasma.github.io/Logging_1737/klagomålsmail/A 44220-2025 FSC-klagomål mail.docx", "A 44220-2025")</f>
        <v/>
      </c>
      <c r="AC594">
        <f>HYPERLINK("https://klasma.github.io/Logging_1737/tillsyn/A 44220-2025 tillsynsbegäran.docx", "A 44220-2025")</f>
        <v/>
      </c>
      <c r="AD594">
        <f>HYPERLINK("https://klasma.github.io/Logging_1737/tillsynsmail/A 44220-2025 tillsynsbegäran mail.docx", "A 44220-2025")</f>
        <v/>
      </c>
    </row>
    <row r="595" ht="15" customHeight="1">
      <c r="A595" t="inlineStr">
        <is>
          <t>A 3302-2022</t>
        </is>
      </c>
      <c r="B595" t="inlineStr">
        <is>
          <t>avverkningsanmälan</t>
        </is>
      </c>
      <c r="C595" t="inlineStr">
        <is>
          <t>Föryngringsavverkning</t>
        </is>
      </c>
      <c r="D595" s="1" t="n">
        <v>44584</v>
      </c>
      <c r="E595" s="1" t="n">
        <v>46307</v>
      </c>
      <c r="F595" t="inlineStr">
        <is>
          <t>VÄRMLANDS LÄN</t>
        </is>
      </c>
      <c r="G595" t="inlineStr">
        <is>
          <t>KRISTINEHAMN</t>
        </is>
      </c>
      <c r="I595" t="n">
        <v>1.1</v>
      </c>
      <c r="J595" t="n">
        <v>1</v>
      </c>
      <c r="K595" t="n">
        <v>0</v>
      </c>
      <c r="L595" t="n">
        <v>0</v>
      </c>
      <c r="M595" t="n">
        <v>0</v>
      </c>
      <c r="N595" t="n">
        <v>1</v>
      </c>
      <c r="O595" t="n">
        <v>0</v>
      </c>
      <c r="P595" t="n">
        <v>0</v>
      </c>
      <c r="Q595" t="n">
        <v>1</v>
      </c>
      <c r="R595" t="n">
        <v>1</v>
      </c>
      <c r="S595" t="n">
        <v>1</v>
      </c>
      <c r="T595" t="n">
        <v>1</v>
      </c>
      <c r="U595" t="n">
        <v>0</v>
      </c>
      <c r="V595" s="2" t="inlineStr">
        <is>
          <t>Bombmurkla</t>
        </is>
      </c>
      <c r="W595">
        <f>HYPERLINK("https://klasma.github.io/Logging_1781/artfynd/A 3302-2022 artfynd.xlsx", "A 3302-2022")</f>
        <v/>
      </c>
      <c r="X595">
        <f>HYPERLINK("https://klasma.github.io/Logging_1781/kartor/A 3302-2022 karta.png", "A 3302-2022")</f>
        <v/>
      </c>
      <c r="Y595">
        <f>HYPERLINK("https://klasma.github.io/Logging_1781/kartor_geotiff/A 3302-2022 georefererad karta.tif", "A 3302-2022")</f>
        <v/>
      </c>
      <c r="AA595">
        <f>HYPERLINK("https://klasma.github.io/Logging_1781/klagomål/A 3302-2022 FSC-klagomål.docx", "A 3302-2022")</f>
        <v/>
      </c>
      <c r="AB595">
        <f>HYPERLINK("https://klasma.github.io/Logging_1781/klagomålsmail/A 3302-2022 FSC-klagomål mail.docx", "A 3302-2022")</f>
        <v/>
      </c>
      <c r="AC595">
        <f>HYPERLINK("https://klasma.github.io/Logging_1781/tillsyn/A 3302-2022 tillsynsbegäran.docx", "A 3302-2022")</f>
        <v/>
      </c>
      <c r="AD595">
        <f>HYPERLINK("https://klasma.github.io/Logging_1781/tillsynsmail/A 3302-2022 tillsynsbegäran mail.docx", "A 3302-2022")</f>
        <v/>
      </c>
    </row>
    <row r="596" ht="15" customHeight="1">
      <c r="A596" t="inlineStr">
        <is>
          <t>A 59105-2022</t>
        </is>
      </c>
      <c r="B596" t="inlineStr">
        <is>
          <t>avverkningsanmälan</t>
        </is>
      </c>
      <c r="C596" t="inlineStr">
        <is>
          <t>Föryngringsavverkning</t>
        </is>
      </c>
      <c r="D596" s="1" t="n">
        <v>44904</v>
      </c>
      <c r="E596" s="1" t="n">
        <v>46307</v>
      </c>
      <c r="F596" t="inlineStr">
        <is>
          <t>VÄRMLANDS LÄN</t>
        </is>
      </c>
      <c r="G596" t="inlineStr">
        <is>
          <t>ARVIKA</t>
        </is>
      </c>
      <c r="H596" t="inlineStr">
        <is>
          <t>Kommuner</t>
        </is>
      </c>
      <c r="I596" t="n">
        <v>0.2</v>
      </c>
      <c r="J596" t="n">
        <v>1</v>
      </c>
      <c r="K596" t="n">
        <v>0</v>
      </c>
      <c r="L596" t="n">
        <v>0</v>
      </c>
      <c r="M596" t="n">
        <v>1</v>
      </c>
      <c r="N596" t="n">
        <v>0</v>
      </c>
      <c r="O596" t="n">
        <v>0</v>
      </c>
      <c r="P596" t="n">
        <v>0</v>
      </c>
      <c r="Q596" t="n">
        <v>1</v>
      </c>
      <c r="R596" t="n">
        <v>1</v>
      </c>
      <c r="S596" t="n">
        <v>1</v>
      </c>
      <c r="T596" t="n">
        <v>1</v>
      </c>
      <c r="U596" t="n">
        <v>1</v>
      </c>
      <c r="V596" s="2" t="inlineStr">
        <is>
          <t>Brun gräsfjäril</t>
        </is>
      </c>
      <c r="W596">
        <f>HYPERLINK("https://klasma.github.io/Logging_1784/artfynd/A 59105-2022 artfynd.xlsx", "A 59105-2022")</f>
        <v/>
      </c>
      <c r="X596">
        <f>HYPERLINK("https://klasma.github.io/Logging_1784/kartor/A 59105-2022 karta.png", "A 59105-2022")</f>
        <v/>
      </c>
      <c r="Y596">
        <f>HYPERLINK("https://klasma.github.io/Logging_1784/kartor_geotiff/A 59105-2022 georefererad karta.tif", "A 59105-2022")</f>
        <v/>
      </c>
      <c r="AA596">
        <f>HYPERLINK("https://klasma.github.io/Logging_1784/klagomål/A 59105-2022 FSC-klagomål.docx", "A 59105-2022")</f>
        <v/>
      </c>
      <c r="AB596">
        <f>HYPERLINK("https://klasma.github.io/Logging_1784/klagomålsmail/A 59105-2022 FSC-klagomål mail.docx", "A 59105-2022")</f>
        <v/>
      </c>
      <c r="AC596">
        <f>HYPERLINK("https://klasma.github.io/Logging_1784/tillsyn/A 59105-2022 tillsynsbegäran.docx", "A 59105-2022")</f>
        <v/>
      </c>
      <c r="AD596">
        <f>HYPERLINK("https://klasma.github.io/Logging_1784/tillsynsmail/A 59105-2022 tillsynsbegäran mail.docx", "A 59105-2022")</f>
        <v/>
      </c>
    </row>
    <row r="597" ht="15" customHeight="1">
      <c r="A597" t="inlineStr">
        <is>
          <t>A 37152-2023</t>
        </is>
      </c>
      <c r="B597" t="inlineStr">
        <is>
          <t>avverkningsanmälan</t>
        </is>
      </c>
      <c r="C597" t="inlineStr">
        <is>
          <t>Föryngringsavverkning</t>
        </is>
      </c>
      <c r="D597" s="1" t="n">
        <v>45155</v>
      </c>
      <c r="E597" s="1" t="n">
        <v>46307</v>
      </c>
      <c r="F597" t="inlineStr">
        <is>
          <t>VÄRMLANDS LÄN</t>
        </is>
      </c>
      <c r="G597" t="inlineStr">
        <is>
          <t>HAGFORS</t>
        </is>
      </c>
      <c r="H597" t="inlineStr">
        <is>
          <t>Bergvik skog väst AB</t>
        </is>
      </c>
      <c r="I597" t="n">
        <v>0.5</v>
      </c>
      <c r="J597" t="n">
        <v>1</v>
      </c>
      <c r="K597" t="n">
        <v>0</v>
      </c>
      <c r="L597" t="n">
        <v>0</v>
      </c>
      <c r="M597" t="n">
        <v>1</v>
      </c>
      <c r="N597" t="n">
        <v>0</v>
      </c>
      <c r="O597" t="n">
        <v>0</v>
      </c>
      <c r="P597" t="n">
        <v>0</v>
      </c>
      <c r="Q597" t="n">
        <v>1</v>
      </c>
      <c r="R597" t="n">
        <v>1</v>
      </c>
      <c r="S597" t="n">
        <v>1</v>
      </c>
      <c r="T597" t="n">
        <v>1</v>
      </c>
      <c r="U597" t="n">
        <v>0</v>
      </c>
      <c r="V597" s="2" t="inlineStr">
        <is>
          <t>Hökuggla</t>
        </is>
      </c>
      <c r="W597">
        <f>HYPERLINK("https://klasma.github.io/Logging_1783/artfynd/A 37152-2023 artfynd.xlsx", "A 37152-2023")</f>
        <v/>
      </c>
      <c r="X597">
        <f>HYPERLINK("https://klasma.github.io/Logging_1783/kartor/A 37152-2023 karta.png", "A 37152-2023")</f>
        <v/>
      </c>
      <c r="Y597">
        <f>HYPERLINK("https://klasma.github.io/Logging_1783/kartor_geotiff/A 37152-2023 georefererad karta.tif", "A 37152-2023")</f>
        <v/>
      </c>
      <c r="AA597">
        <f>HYPERLINK("https://klasma.github.io/Logging_1783/klagomål/A 37152-2023 FSC-klagomål.docx", "A 37152-2023")</f>
        <v/>
      </c>
      <c r="AB597">
        <f>HYPERLINK("https://klasma.github.io/Logging_1783/klagomålsmail/A 37152-2023 FSC-klagomål mail.docx", "A 37152-2023")</f>
        <v/>
      </c>
      <c r="AC597">
        <f>HYPERLINK("https://klasma.github.io/Logging_1783/tillsyn/A 37152-2023 tillsynsbegäran.docx", "A 37152-2023")</f>
        <v/>
      </c>
      <c r="AD597">
        <f>HYPERLINK("https://klasma.github.io/Logging_1783/tillsynsmail/A 37152-2023 tillsynsbegäran mail.docx", "A 37152-2023")</f>
        <v/>
      </c>
      <c r="AE597">
        <f>HYPERLINK("https://klasma.github.io/Logging_1783/fåglar/A 37152-2023 prioriterade fågelarter.docx", "A 37152-2023")</f>
        <v/>
      </c>
    </row>
    <row r="598" ht="15" customHeight="1">
      <c r="A598" t="inlineStr">
        <is>
          <t>A 54029-2024</t>
        </is>
      </c>
      <c r="B598" t="inlineStr">
        <is>
          <t>avverkningsanmälan</t>
        </is>
      </c>
      <c r="C598" t="inlineStr">
        <is>
          <t>Föryngringsavverkning</t>
        </is>
      </c>
      <c r="D598" s="1" t="n">
        <v>45616</v>
      </c>
      <c r="E598" s="1" t="n">
        <v>46307</v>
      </c>
      <c r="F598" t="inlineStr">
        <is>
          <t>VÄRMLANDS LÄN</t>
        </is>
      </c>
      <c r="G598" t="inlineStr">
        <is>
          <t>TORSBY</t>
        </is>
      </c>
      <c r="I598" t="n">
        <v>10.2</v>
      </c>
      <c r="J598" t="n">
        <v>0</v>
      </c>
      <c r="K598" t="n">
        <v>1</v>
      </c>
      <c r="L598" t="n">
        <v>0</v>
      </c>
      <c r="M598" t="n">
        <v>0</v>
      </c>
      <c r="N598" t="n">
        <v>0</v>
      </c>
      <c r="O598" t="n">
        <v>0</v>
      </c>
      <c r="P598" t="n">
        <v>0</v>
      </c>
      <c r="Q598" t="n">
        <v>0</v>
      </c>
      <c r="R598" t="n">
        <v>0</v>
      </c>
      <c r="S598" t="n">
        <v>1</v>
      </c>
      <c r="T598" t="n">
        <v>2</v>
      </c>
      <c r="U598" t="n">
        <v>0</v>
      </c>
      <c r="V598" s="2" t="inlineStr">
        <is>
          <t>Vedticka</t>
        </is>
      </c>
      <c r="W598">
        <f>HYPERLINK("https://klasma.github.io/Logging_1737/artfynd/A 54029-2024 artfynd.xlsx", "A 54029-2024")</f>
        <v/>
      </c>
      <c r="X598">
        <f>HYPERLINK("https://klasma.github.io/Logging_1737/kartor/A 54029-2024 karta.png", "A 54029-2024")</f>
        <v/>
      </c>
      <c r="Y598">
        <f>HYPERLINK("https://klasma.github.io/Logging_1737/kartor_geotiff/A 54029-2024 georefererad karta.tif", "A 54029-2024")</f>
        <v/>
      </c>
      <c r="AA598">
        <f>HYPERLINK("https://klasma.github.io/Logging_1737/klagomål/A 54029-2024 FSC-klagomål.docx", "A 54029-2024")</f>
        <v/>
      </c>
      <c r="AB598">
        <f>HYPERLINK("https://klasma.github.io/Logging_1737/klagomålsmail/A 54029-2024 FSC-klagomål mail.docx", "A 54029-2024")</f>
        <v/>
      </c>
      <c r="AC598">
        <f>HYPERLINK("https://klasma.github.io/Logging_1737/tillsyn/A 54029-2024 tillsynsbegäran.docx", "A 54029-2024")</f>
        <v/>
      </c>
      <c r="AD598">
        <f>HYPERLINK("https://klasma.github.io/Logging_1737/tillsynsmail/A 54029-2024 tillsynsbegäran mail.docx", "A 54029-2024")</f>
        <v/>
      </c>
    </row>
    <row r="599" ht="15" customHeight="1">
      <c r="A599" t="inlineStr">
        <is>
          <t>A 4394-2022</t>
        </is>
      </c>
      <c r="B599" t="inlineStr">
        <is>
          <t>avverkningsanmälan</t>
        </is>
      </c>
      <c r="C599" t="inlineStr">
        <is>
          <t>Föryngringsavverkning</t>
        </is>
      </c>
      <c r="D599" s="1" t="n">
        <v>44589</v>
      </c>
      <c r="E599" s="1" t="n">
        <v>46307</v>
      </c>
      <c r="F599" t="inlineStr">
        <is>
          <t>VÄRMLANDS LÄN</t>
        </is>
      </c>
      <c r="G599" t="inlineStr">
        <is>
          <t>SÄFFLE</t>
        </is>
      </c>
      <c r="I599" t="n">
        <v>2.2</v>
      </c>
      <c r="J599" t="n">
        <v>0</v>
      </c>
      <c r="K599" t="n">
        <v>1</v>
      </c>
      <c r="L599" t="n">
        <v>0</v>
      </c>
      <c r="M599" t="n">
        <v>0</v>
      </c>
      <c r="N599" t="n">
        <v>0</v>
      </c>
      <c r="O599" t="n">
        <v>0</v>
      </c>
      <c r="P599" t="n">
        <v>0</v>
      </c>
      <c r="Q599" t="n">
        <v>0</v>
      </c>
      <c r="R599" t="n">
        <v>0</v>
      </c>
      <c r="S599" t="n">
        <v>1</v>
      </c>
      <c r="T599" t="n">
        <v>1</v>
      </c>
      <c r="U599" t="n">
        <v>0</v>
      </c>
      <c r="V599" s="2" t="inlineStr">
        <is>
          <t>Vätteros</t>
        </is>
      </c>
      <c r="W599">
        <f>HYPERLINK("https://klasma.github.io/Logging_1785/artfynd/A 4394-2022 artfynd.xlsx", "A 4394-2022")</f>
        <v/>
      </c>
      <c r="X599">
        <f>HYPERLINK("https://klasma.github.io/Logging_1785/kartor/A 4394-2022 karta.png", "A 4394-2022")</f>
        <v/>
      </c>
      <c r="Y599">
        <f>HYPERLINK("https://klasma.github.io/Logging_1785/kartor_geotiff/A 4394-2022 georefererad karta.tif", "A 4394-2022")</f>
        <v/>
      </c>
      <c r="AA599">
        <f>HYPERLINK("https://klasma.github.io/Logging_1785/klagomål/A 4394-2022 FSC-klagomål.docx", "A 4394-2022")</f>
        <v/>
      </c>
      <c r="AB599">
        <f>HYPERLINK("https://klasma.github.io/Logging_1785/klagomålsmail/A 4394-2022 FSC-klagomål mail.docx", "A 4394-2022")</f>
        <v/>
      </c>
      <c r="AC599">
        <f>HYPERLINK("https://klasma.github.io/Logging_1785/tillsyn/A 4394-2022 tillsynsbegäran.docx", "A 4394-2022")</f>
        <v/>
      </c>
      <c r="AD599">
        <f>HYPERLINK("https://klasma.github.io/Logging_1785/tillsynsmail/A 4394-2022 tillsynsbegäran mail.docx", "A 4394-2022")</f>
        <v/>
      </c>
    </row>
    <row r="600" ht="15" customHeight="1">
      <c r="A600" t="inlineStr">
        <is>
          <t>A 47141-2023</t>
        </is>
      </c>
      <c r="B600" t="inlineStr">
        <is>
          <t>avverkningsanmälan</t>
        </is>
      </c>
      <c r="C600" t="inlineStr">
        <is>
          <t>Föryngringsavverkning</t>
        </is>
      </c>
      <c r="D600" s="1" t="n">
        <v>45201</v>
      </c>
      <c r="E600" s="1" t="n">
        <v>46307</v>
      </c>
      <c r="F600" t="inlineStr">
        <is>
          <t>VÄRMLANDS LÄN</t>
        </is>
      </c>
      <c r="G600" t="inlineStr">
        <is>
          <t>ARVIKA</t>
        </is>
      </c>
      <c r="I600" t="n">
        <v>3.7</v>
      </c>
      <c r="J600" t="n">
        <v>1</v>
      </c>
      <c r="K600" t="n">
        <v>0</v>
      </c>
      <c r="L600" t="n">
        <v>0</v>
      </c>
      <c r="M600" t="n">
        <v>1</v>
      </c>
      <c r="N600" t="n">
        <v>0</v>
      </c>
      <c r="O600" t="n">
        <v>0</v>
      </c>
      <c r="P600" t="n">
        <v>0</v>
      </c>
      <c r="Q600" t="n">
        <v>1</v>
      </c>
      <c r="R600" t="n">
        <v>1</v>
      </c>
      <c r="S600" t="n">
        <v>1</v>
      </c>
      <c r="T600" t="n">
        <v>1</v>
      </c>
      <c r="U600" t="n">
        <v>0</v>
      </c>
      <c r="V600" s="2" t="inlineStr">
        <is>
          <t>Knärot</t>
        </is>
      </c>
      <c r="W600">
        <f>HYPERLINK("https://klasma.github.io/Logging_1784/artfynd/A 47141-2023 artfynd.xlsx", "A 47141-2023")</f>
        <v/>
      </c>
      <c r="X600">
        <f>HYPERLINK("https://klasma.github.io/Logging_1784/kartor/A 47141-2023 karta.png", "A 47141-2023")</f>
        <v/>
      </c>
      <c r="Y600">
        <f>HYPERLINK("https://klasma.github.io/Logging_1784/kartor_geotiff/A 47141-2023 georefererad karta.tif", "A 47141-2023")</f>
        <v/>
      </c>
      <c r="Z600">
        <f>HYPERLINK("https://klasma.github.io/Logging_1784/knärot/A 47141-2023 karta knärot.png", "A 47141-2023")</f>
        <v/>
      </c>
      <c r="AA600">
        <f>HYPERLINK("https://klasma.github.io/Logging_1784/klagomål/A 47141-2023 FSC-klagomål.docx", "A 47141-2023")</f>
        <v/>
      </c>
      <c r="AB600">
        <f>HYPERLINK("https://klasma.github.io/Logging_1784/klagomålsmail/A 47141-2023 FSC-klagomål mail.docx", "A 47141-2023")</f>
        <v/>
      </c>
      <c r="AC600">
        <f>HYPERLINK("https://klasma.github.io/Logging_1784/tillsyn/A 47141-2023 tillsynsbegäran.docx", "A 47141-2023")</f>
        <v/>
      </c>
      <c r="AD600">
        <f>HYPERLINK("https://klasma.github.io/Logging_1784/tillsynsmail/A 47141-2023 tillsynsbegäran mail.docx", "A 47141-2023")</f>
        <v/>
      </c>
    </row>
    <row r="601" ht="15" customHeight="1">
      <c r="A601" t="inlineStr">
        <is>
          <t>A 46876-2024</t>
        </is>
      </c>
      <c r="B601" t="inlineStr">
        <is>
          <t>avverkningsanmälan</t>
        </is>
      </c>
      <c r="C601" t="inlineStr">
        <is>
          <t>Föryngringsavverkning</t>
        </is>
      </c>
      <c r="D601" s="1" t="n">
        <v>45583</v>
      </c>
      <c r="E601" s="1" t="n">
        <v>46307</v>
      </c>
      <c r="F601" t="inlineStr">
        <is>
          <t>VÄRMLANDS LÄN</t>
        </is>
      </c>
      <c r="G601" t="inlineStr">
        <is>
          <t>SUNNE</t>
        </is>
      </c>
      <c r="H601" t="inlineStr">
        <is>
          <t>Kommuner</t>
        </is>
      </c>
      <c r="I601" t="n">
        <v>1</v>
      </c>
      <c r="J601" t="n">
        <v>1</v>
      </c>
      <c r="K601" t="n">
        <v>0</v>
      </c>
      <c r="L601" t="n">
        <v>0</v>
      </c>
      <c r="M601" t="n">
        <v>0</v>
      </c>
      <c r="N601" t="n">
        <v>0</v>
      </c>
      <c r="O601" t="n">
        <v>0</v>
      </c>
      <c r="P601" t="n">
        <v>0</v>
      </c>
      <c r="Q601" t="n">
        <v>0</v>
      </c>
      <c r="R601" t="n">
        <v>0</v>
      </c>
      <c r="S601" t="n">
        <v>1</v>
      </c>
      <c r="T601" t="n">
        <v>1</v>
      </c>
      <c r="U601" t="n">
        <v>0</v>
      </c>
      <c r="V601" s="2" t="inlineStr">
        <is>
          <t>Huggorm</t>
        </is>
      </c>
      <c r="W601">
        <f>HYPERLINK("https://klasma.github.io/Logging_1766/artfynd/A 46876-2024 artfynd.xlsx", "A 46876-2024")</f>
        <v/>
      </c>
      <c r="X601">
        <f>HYPERLINK("https://klasma.github.io/Logging_1766/kartor/A 46876-2024 karta.png", "A 46876-2024")</f>
        <v/>
      </c>
      <c r="Y601">
        <f>HYPERLINK("https://klasma.github.io/Logging_1766/kartor_geotiff/A 46876-2024 georefererad karta.tif", "A 46876-2024")</f>
        <v/>
      </c>
      <c r="AA601">
        <f>HYPERLINK("https://klasma.github.io/Logging_1766/klagomål/A 46876-2024 FSC-klagomål.docx", "A 46876-2024")</f>
        <v/>
      </c>
      <c r="AB601">
        <f>HYPERLINK("https://klasma.github.io/Logging_1766/klagomålsmail/A 46876-2024 FSC-klagomål mail.docx", "A 46876-2024")</f>
        <v/>
      </c>
      <c r="AC601">
        <f>HYPERLINK("https://klasma.github.io/Logging_1766/tillsyn/A 46876-2024 tillsynsbegäran.docx", "A 46876-2024")</f>
        <v/>
      </c>
      <c r="AD601">
        <f>HYPERLINK("https://klasma.github.io/Logging_1766/tillsynsmail/A 46876-2024 tillsynsbegäran mail.docx", "A 46876-2024")</f>
        <v/>
      </c>
    </row>
    <row r="602" ht="15" customHeight="1">
      <c r="A602" t="inlineStr">
        <is>
          <t>A 52185-2024</t>
        </is>
      </c>
      <c r="B602" t="inlineStr">
        <is>
          <t>avverkningsanmälan</t>
        </is>
      </c>
      <c r="C602" t="inlineStr">
        <is>
          <t>Föryngringsavverkning</t>
        </is>
      </c>
      <c r="D602" s="1" t="n">
        <v>45608</v>
      </c>
      <c r="E602" s="1" t="n">
        <v>46307</v>
      </c>
      <c r="F602" t="inlineStr">
        <is>
          <t>VÄRMLANDS LÄN</t>
        </is>
      </c>
      <c r="G602" t="inlineStr">
        <is>
          <t>ARVIKA</t>
        </is>
      </c>
      <c r="H602" t="inlineStr">
        <is>
          <t>Bergvik skog väst AB</t>
        </is>
      </c>
      <c r="I602" t="n">
        <v>1.4</v>
      </c>
      <c r="J602" t="n">
        <v>0</v>
      </c>
      <c r="K602" t="n">
        <v>0</v>
      </c>
      <c r="L602" t="n">
        <v>1</v>
      </c>
      <c r="M602" t="n">
        <v>0</v>
      </c>
      <c r="N602" t="n">
        <v>0</v>
      </c>
      <c r="O602" t="n">
        <v>0</v>
      </c>
      <c r="P602" t="n">
        <v>0</v>
      </c>
      <c r="Q602" t="n">
        <v>1</v>
      </c>
      <c r="R602" t="n">
        <v>0</v>
      </c>
      <c r="S602" t="n">
        <v>1</v>
      </c>
      <c r="T602" t="n">
        <v>2</v>
      </c>
      <c r="U602" t="n">
        <v>1</v>
      </c>
      <c r="V602" s="2" t="inlineStr">
        <is>
          <t>Lunglav</t>
        </is>
      </c>
      <c r="W602">
        <f>HYPERLINK("https://klasma.github.io/Logging_1784/artfynd/A 52185-2024 artfynd.xlsx", "A 52185-2024")</f>
        <v/>
      </c>
      <c r="X602">
        <f>HYPERLINK("https://klasma.github.io/Logging_1784/kartor/A 52185-2024 karta.png", "A 52185-2024")</f>
        <v/>
      </c>
      <c r="Y602">
        <f>HYPERLINK("https://klasma.github.io/Logging_1784/kartor_geotiff/A 52185-2024 georefererad karta.tif", "A 52185-2024")</f>
        <v/>
      </c>
      <c r="AA602">
        <f>HYPERLINK("https://klasma.github.io/Logging_1784/klagomål/A 52185-2024 FSC-klagomål.docx", "A 52185-2024")</f>
        <v/>
      </c>
      <c r="AB602">
        <f>HYPERLINK("https://klasma.github.io/Logging_1784/klagomålsmail/A 52185-2024 FSC-klagomål mail.docx", "A 52185-2024")</f>
        <v/>
      </c>
      <c r="AC602">
        <f>HYPERLINK("https://klasma.github.io/Logging_1784/tillsyn/A 52185-2024 tillsynsbegäran.docx", "A 52185-2024")</f>
        <v/>
      </c>
      <c r="AD602">
        <f>HYPERLINK("https://klasma.github.io/Logging_1784/tillsynsmail/A 52185-2024 tillsynsbegäran mail.docx", "A 52185-2024")</f>
        <v/>
      </c>
    </row>
    <row r="603" ht="15" customHeight="1">
      <c r="A603" t="inlineStr">
        <is>
          <t>A 24708-2024</t>
        </is>
      </c>
      <c r="B603" t="inlineStr">
        <is>
          <t>avverkningsanmälan</t>
        </is>
      </c>
      <c r="C603" t="inlineStr">
        <is>
          <t>Föryngringsavverkning</t>
        </is>
      </c>
      <c r="D603" s="1" t="n">
        <v>45460</v>
      </c>
      <c r="E603" s="1" t="n">
        <v>46307</v>
      </c>
      <c r="F603" t="inlineStr">
        <is>
          <t>VÄRMLANDS LÄN</t>
        </is>
      </c>
      <c r="G603" t="inlineStr">
        <is>
          <t>TORSBY</t>
        </is>
      </c>
      <c r="I603" t="n">
        <v>3.9</v>
      </c>
      <c r="J603" t="n">
        <v>0</v>
      </c>
      <c r="K603" t="n">
        <v>0</v>
      </c>
      <c r="L603" t="n">
        <v>0</v>
      </c>
      <c r="M603" t="n">
        <v>1</v>
      </c>
      <c r="N603" t="n">
        <v>0</v>
      </c>
      <c r="O603" t="n">
        <v>0</v>
      </c>
      <c r="P603" t="n">
        <v>0</v>
      </c>
      <c r="Q603" t="n">
        <v>1</v>
      </c>
      <c r="R603" t="n">
        <v>1</v>
      </c>
      <c r="S603" t="n">
        <v>1</v>
      </c>
      <c r="T603" t="n">
        <v>1</v>
      </c>
      <c r="U603" t="n">
        <v>0</v>
      </c>
      <c r="V603" s="2" t="inlineStr">
        <is>
          <t>Garnlav</t>
        </is>
      </c>
      <c r="W603">
        <f>HYPERLINK("https://klasma.github.io/Logging_1737/artfynd/A 24708-2024 artfynd.xlsx", "A 24708-2024")</f>
        <v/>
      </c>
      <c r="X603">
        <f>HYPERLINK("https://klasma.github.io/Logging_1737/kartor/A 24708-2024 karta.png", "A 24708-2024")</f>
        <v/>
      </c>
      <c r="Y603">
        <f>HYPERLINK("https://klasma.github.io/Logging_1737/kartor_geotiff/A 24708-2024 georefererad karta.tif", "A 24708-2024")</f>
        <v/>
      </c>
      <c r="AA603">
        <f>HYPERLINK("https://klasma.github.io/Logging_1737/klagomål/A 24708-2024 FSC-klagomål.docx", "A 24708-2024")</f>
        <v/>
      </c>
      <c r="AB603">
        <f>HYPERLINK("https://klasma.github.io/Logging_1737/klagomålsmail/A 24708-2024 FSC-klagomål mail.docx", "A 24708-2024")</f>
        <v/>
      </c>
      <c r="AC603">
        <f>HYPERLINK("https://klasma.github.io/Logging_1737/tillsyn/A 24708-2024 tillsynsbegäran.docx", "A 24708-2024")</f>
        <v/>
      </c>
      <c r="AD603">
        <f>HYPERLINK("https://klasma.github.io/Logging_1737/tillsynsmail/A 24708-2024 tillsynsbegäran mail.docx", "A 24708-2024")</f>
        <v/>
      </c>
    </row>
    <row r="604" ht="15" customHeight="1">
      <c r="A604" t="inlineStr">
        <is>
          <t>A 46099-2023</t>
        </is>
      </c>
      <c r="B604" t="inlineStr">
        <is>
          <t>avverkningsanmälan</t>
        </is>
      </c>
      <c r="C604" t="inlineStr">
        <is>
          <t>Föryngringsavverkning</t>
        </is>
      </c>
      <c r="D604" s="1" t="n">
        <v>45196</v>
      </c>
      <c r="E604" s="1" t="n">
        <v>46307</v>
      </c>
      <c r="F604" t="inlineStr">
        <is>
          <t>VÄRMLANDS LÄN</t>
        </is>
      </c>
      <c r="G604" t="inlineStr">
        <is>
          <t>TORSBY</t>
        </is>
      </c>
      <c r="I604" t="n">
        <v>8.4</v>
      </c>
      <c r="J604" t="n">
        <v>0</v>
      </c>
      <c r="K604" t="n">
        <v>0</v>
      </c>
      <c r="L604" t="n">
        <v>1</v>
      </c>
      <c r="M604" t="n">
        <v>0</v>
      </c>
      <c r="N604" t="n">
        <v>0</v>
      </c>
      <c r="O604" t="n">
        <v>0</v>
      </c>
      <c r="P604" t="n">
        <v>0</v>
      </c>
      <c r="Q604" t="n">
        <v>1</v>
      </c>
      <c r="R604" t="n">
        <v>0</v>
      </c>
      <c r="S604" t="n">
        <v>1</v>
      </c>
      <c r="T604" t="n">
        <v>1</v>
      </c>
      <c r="U604" t="n">
        <v>0</v>
      </c>
      <c r="V604" s="2" t="inlineStr">
        <is>
          <t>Gammelgransskål</t>
        </is>
      </c>
      <c r="W604">
        <f>HYPERLINK("https://klasma.github.io/Logging_1737/artfynd/A 46099-2023 artfynd.xlsx", "A 46099-2023")</f>
        <v/>
      </c>
      <c r="X604">
        <f>HYPERLINK("https://klasma.github.io/Logging_1737/kartor/A 46099-2023 karta.png", "A 46099-2023")</f>
        <v/>
      </c>
      <c r="Y604">
        <f>HYPERLINK("https://klasma.github.io/Logging_1737/kartor_geotiff/A 46099-2023 georefererad karta.tif", "A 46099-2023")</f>
        <v/>
      </c>
      <c r="AA604">
        <f>HYPERLINK("https://klasma.github.io/Logging_1737/klagomål/A 46099-2023 FSC-klagomål.docx", "A 46099-2023")</f>
        <v/>
      </c>
      <c r="AB604">
        <f>HYPERLINK("https://klasma.github.io/Logging_1737/klagomålsmail/A 46099-2023 FSC-klagomål mail.docx", "A 46099-2023")</f>
        <v/>
      </c>
      <c r="AC604">
        <f>HYPERLINK("https://klasma.github.io/Logging_1737/tillsyn/A 46099-2023 tillsynsbegäran.docx", "A 46099-2023")</f>
        <v/>
      </c>
      <c r="AD604">
        <f>HYPERLINK("https://klasma.github.io/Logging_1737/tillsynsmail/A 46099-2023 tillsynsbegäran mail.docx", "A 46099-2023")</f>
        <v/>
      </c>
    </row>
    <row r="605" ht="15" customHeight="1">
      <c r="A605" t="inlineStr">
        <is>
          <t>A 1346-2025</t>
        </is>
      </c>
      <c r="B605" t="inlineStr">
        <is>
          <t>avverkningsanmälan</t>
        </is>
      </c>
      <c r="C605" t="inlineStr">
        <is>
          <t>Föryngringsavverkning</t>
        </is>
      </c>
      <c r="D605" s="1" t="n">
        <v>45667</v>
      </c>
      <c r="E605" s="1" t="n">
        <v>46307</v>
      </c>
      <c r="F605" t="inlineStr">
        <is>
          <t>VÄRMLANDS LÄN</t>
        </is>
      </c>
      <c r="G605" t="inlineStr">
        <is>
          <t>FILIPSTAD</t>
        </is>
      </c>
      <c r="H605" t="inlineStr">
        <is>
          <t>Kommuner</t>
        </is>
      </c>
      <c r="I605" t="n">
        <v>6.9</v>
      </c>
      <c r="J605" t="n">
        <v>1</v>
      </c>
      <c r="K605" t="n">
        <v>0</v>
      </c>
      <c r="L605" t="n">
        <v>0</v>
      </c>
      <c r="M605" t="n">
        <v>0</v>
      </c>
      <c r="N605" t="n">
        <v>0</v>
      </c>
      <c r="O605" t="n">
        <v>0</v>
      </c>
      <c r="P605" t="n">
        <v>0</v>
      </c>
      <c r="Q605" t="n">
        <v>0</v>
      </c>
      <c r="R605" t="n">
        <v>0</v>
      </c>
      <c r="S605" t="n">
        <v>1</v>
      </c>
      <c r="T605" t="n">
        <v>3</v>
      </c>
      <c r="U605" t="n">
        <v>3</v>
      </c>
      <c r="V605" s="2" t="inlineStr">
        <is>
          <t>Fläcknycklar</t>
        </is>
      </c>
      <c r="W605">
        <f>HYPERLINK("https://klasma.github.io/Logging_1782/artfynd/A 1346-2025 artfynd.xlsx", "A 1346-2025")</f>
        <v/>
      </c>
      <c r="X605">
        <f>HYPERLINK("https://klasma.github.io/Logging_1782/kartor/A 1346-2025 karta.png", "A 1346-2025")</f>
        <v/>
      </c>
      <c r="Y605">
        <f>HYPERLINK("https://klasma.github.io/Logging_1782/kartor_geotiff/A 1346-2025 georefererad karta.tif", "A 1346-2025")</f>
        <v/>
      </c>
      <c r="AA605">
        <f>HYPERLINK("https://klasma.github.io/Logging_1782/klagomål/A 1346-2025 FSC-klagomål.docx", "A 1346-2025")</f>
        <v/>
      </c>
      <c r="AB605">
        <f>HYPERLINK("https://klasma.github.io/Logging_1782/klagomålsmail/A 1346-2025 FSC-klagomål mail.docx", "A 1346-2025")</f>
        <v/>
      </c>
      <c r="AC605">
        <f>HYPERLINK("https://klasma.github.io/Logging_1782/tillsyn/A 1346-2025 tillsynsbegäran.docx", "A 1346-2025")</f>
        <v/>
      </c>
      <c r="AD605">
        <f>HYPERLINK("https://klasma.github.io/Logging_1782/tillsynsmail/A 1346-2025 tillsynsbegäran mail.docx", "A 1346-2025")</f>
        <v/>
      </c>
    </row>
    <row r="606" ht="15" customHeight="1">
      <c r="A606" t="inlineStr">
        <is>
          <t>A 8818-2022</t>
        </is>
      </c>
      <c r="B606" t="inlineStr">
        <is>
          <t>avverkningsanmälan</t>
        </is>
      </c>
      <c r="C606" t="inlineStr">
        <is>
          <t>Föryngringsavverkning</t>
        </is>
      </c>
      <c r="D606" s="1" t="n">
        <v>44614</v>
      </c>
      <c r="E606" s="1" t="n">
        <v>46307</v>
      </c>
      <c r="F606" t="inlineStr">
        <is>
          <t>VÄRMLANDS LÄN</t>
        </is>
      </c>
      <c r="G606" t="inlineStr">
        <is>
          <t>ÅRJÄNG</t>
        </is>
      </c>
      <c r="I606" t="n">
        <v>8.199999999999999</v>
      </c>
      <c r="J606" t="n">
        <v>1</v>
      </c>
      <c r="K606" t="n">
        <v>0</v>
      </c>
      <c r="L606" t="n">
        <v>1</v>
      </c>
      <c r="M606" t="n">
        <v>0</v>
      </c>
      <c r="N606" t="n">
        <v>0</v>
      </c>
      <c r="O606" t="n">
        <v>0</v>
      </c>
      <c r="P606" t="n">
        <v>0</v>
      </c>
      <c r="Q606" t="n">
        <v>1</v>
      </c>
      <c r="R606" t="n">
        <v>0</v>
      </c>
      <c r="S606" t="n">
        <v>1</v>
      </c>
      <c r="T606" t="n">
        <v>1</v>
      </c>
      <c r="U606" t="n">
        <v>1</v>
      </c>
      <c r="V606" s="2" t="inlineStr">
        <is>
          <t>Talltita</t>
        </is>
      </c>
      <c r="W606">
        <f>HYPERLINK("https://klasma.github.io/Logging_1765/artfynd/A 8818-2022 artfynd.xlsx", "A 8818-2022")</f>
        <v/>
      </c>
      <c r="X606">
        <f>HYPERLINK("https://klasma.github.io/Logging_1765/kartor/A 8818-2022 karta.png", "A 8818-2022")</f>
        <v/>
      </c>
      <c r="Y606">
        <f>HYPERLINK("https://klasma.github.io/Logging_1765/kartor_geotiff/A 8818-2022 georefererad karta.tif", "A 8818-2022")</f>
        <v/>
      </c>
      <c r="AA606">
        <f>HYPERLINK("https://klasma.github.io/Logging_1765/klagomål/A 8818-2022 FSC-klagomål.docx", "A 8818-2022")</f>
        <v/>
      </c>
      <c r="AB606">
        <f>HYPERLINK("https://klasma.github.io/Logging_1765/klagomålsmail/A 8818-2022 FSC-klagomål mail.docx", "A 8818-2022")</f>
        <v/>
      </c>
      <c r="AC606">
        <f>HYPERLINK("https://klasma.github.io/Logging_1765/tillsyn/A 8818-2022 tillsynsbegäran.docx", "A 8818-2022")</f>
        <v/>
      </c>
      <c r="AD606">
        <f>HYPERLINK("https://klasma.github.io/Logging_1765/tillsynsmail/A 8818-2022 tillsynsbegäran mail.docx", "A 8818-2022")</f>
        <v/>
      </c>
      <c r="AE606">
        <f>HYPERLINK("https://klasma.github.io/Logging_1765/fåglar/A 8818-2022 prioriterade fågelarter.docx", "A 8818-2022")</f>
        <v/>
      </c>
    </row>
    <row r="607" ht="15" customHeight="1">
      <c r="A607" t="inlineStr">
        <is>
          <t>A 1511-2025</t>
        </is>
      </c>
      <c r="B607" t="inlineStr">
        <is>
          <t>avverkningsanmälan</t>
        </is>
      </c>
      <c r="C607" t="inlineStr">
        <is>
          <t>Föryngringsavverkning</t>
        </is>
      </c>
      <c r="D607" s="1" t="n">
        <v>45670</v>
      </c>
      <c r="E607" s="1" t="n">
        <v>46307</v>
      </c>
      <c r="F607" t="inlineStr">
        <is>
          <t>VÄRMLANDS LÄN</t>
        </is>
      </c>
      <c r="G607" t="inlineStr">
        <is>
          <t>ARVIKA</t>
        </is>
      </c>
      <c r="I607" t="n">
        <v>3.1</v>
      </c>
      <c r="J607" t="n">
        <v>1</v>
      </c>
      <c r="K607" t="n">
        <v>0</v>
      </c>
      <c r="L607" t="n">
        <v>0</v>
      </c>
      <c r="M607" t="n">
        <v>0</v>
      </c>
      <c r="N607" t="n">
        <v>0</v>
      </c>
      <c r="O607" t="n">
        <v>0</v>
      </c>
      <c r="P607" t="n">
        <v>0</v>
      </c>
      <c r="Q607" t="n">
        <v>0</v>
      </c>
      <c r="R607" t="n">
        <v>0</v>
      </c>
      <c r="S607" t="n">
        <v>1</v>
      </c>
      <c r="T607" t="n">
        <v>1</v>
      </c>
      <c r="U607" t="n">
        <v>0</v>
      </c>
      <c r="V607" s="2" t="inlineStr">
        <is>
          <t>Mindre vattensalamander</t>
        </is>
      </c>
      <c r="W607">
        <f>HYPERLINK("https://klasma.github.io/Logging_1784/artfynd/A 1511-2025 artfynd.xlsx", "A 1511-2025")</f>
        <v/>
      </c>
      <c r="X607">
        <f>HYPERLINK("https://klasma.github.io/Logging_1784/kartor/A 1511-2025 karta.png", "A 1511-2025")</f>
        <v/>
      </c>
      <c r="Y607">
        <f>HYPERLINK("https://klasma.github.io/Logging_1784/kartor_geotiff/A 1511-2025 georefererad karta.tif", "A 1511-2025")</f>
        <v/>
      </c>
      <c r="AA607">
        <f>HYPERLINK("https://klasma.github.io/Logging_1784/klagomål/A 1511-2025 FSC-klagomål.docx", "A 1511-2025")</f>
        <v/>
      </c>
      <c r="AB607">
        <f>HYPERLINK("https://klasma.github.io/Logging_1784/klagomålsmail/A 1511-2025 FSC-klagomål mail.docx", "A 1511-2025")</f>
        <v/>
      </c>
      <c r="AC607">
        <f>HYPERLINK("https://klasma.github.io/Logging_1784/tillsyn/A 1511-2025 tillsynsbegäran.docx", "A 1511-2025")</f>
        <v/>
      </c>
      <c r="AD607">
        <f>HYPERLINK("https://klasma.github.io/Logging_1784/tillsynsmail/A 1511-2025 tillsynsbegäran mail.docx", "A 1511-2025")</f>
        <v/>
      </c>
    </row>
    <row r="608" ht="15" customHeight="1">
      <c r="A608" t="inlineStr">
        <is>
          <t>A 37561-2024</t>
        </is>
      </c>
      <c r="B608" t="inlineStr">
        <is>
          <t>avverkningsanmälan</t>
        </is>
      </c>
      <c r="C608" t="inlineStr">
        <is>
          <t>Föryngringsavverkning</t>
        </is>
      </c>
      <c r="D608" s="1" t="n">
        <v>45541</v>
      </c>
      <c r="E608" s="1" t="n">
        <v>46307</v>
      </c>
      <c r="F608" t="inlineStr">
        <is>
          <t>VÄRMLANDS LÄN</t>
        </is>
      </c>
      <c r="G608" t="inlineStr">
        <is>
          <t>ARVIKA</t>
        </is>
      </c>
      <c r="I608" t="n">
        <v>8.699999999999999</v>
      </c>
      <c r="J608" t="n">
        <v>1</v>
      </c>
      <c r="K608" t="n">
        <v>0</v>
      </c>
      <c r="L608" t="n">
        <v>1</v>
      </c>
      <c r="M608" t="n">
        <v>0</v>
      </c>
      <c r="N608" t="n">
        <v>0</v>
      </c>
      <c r="O608" t="n">
        <v>0</v>
      </c>
      <c r="P608" t="n">
        <v>0</v>
      </c>
      <c r="Q608" t="n">
        <v>1</v>
      </c>
      <c r="R608" t="n">
        <v>0</v>
      </c>
      <c r="S608" t="n">
        <v>1</v>
      </c>
      <c r="T608" t="n">
        <v>1</v>
      </c>
      <c r="U608" t="n">
        <v>0</v>
      </c>
      <c r="V608" s="2" t="inlineStr">
        <is>
          <t>Sparvuggla</t>
        </is>
      </c>
      <c r="W608">
        <f>HYPERLINK("https://klasma.github.io/Logging_1784/artfynd/A 37561-2024 artfynd.xlsx", "A 37561-2024")</f>
        <v/>
      </c>
      <c r="X608">
        <f>HYPERLINK("https://klasma.github.io/Logging_1784/kartor/A 37561-2024 karta.png", "A 37561-2024")</f>
        <v/>
      </c>
      <c r="Y608">
        <f>HYPERLINK("https://klasma.github.io/Logging_1784/kartor_geotiff/A 37561-2024 georefererad karta.tif", "A 37561-2024")</f>
        <v/>
      </c>
      <c r="AA608">
        <f>HYPERLINK("https://klasma.github.io/Logging_1784/klagomål/A 37561-2024 FSC-klagomål.docx", "A 37561-2024")</f>
        <v/>
      </c>
      <c r="AB608">
        <f>HYPERLINK("https://klasma.github.io/Logging_1784/klagomålsmail/A 37561-2024 FSC-klagomål mail.docx", "A 37561-2024")</f>
        <v/>
      </c>
      <c r="AC608">
        <f>HYPERLINK("https://klasma.github.io/Logging_1784/tillsyn/A 37561-2024 tillsynsbegäran.docx", "A 37561-2024")</f>
        <v/>
      </c>
      <c r="AD608">
        <f>HYPERLINK("https://klasma.github.io/Logging_1784/tillsynsmail/A 37561-2024 tillsynsbegäran mail.docx", "A 37561-2024")</f>
        <v/>
      </c>
      <c r="AE608">
        <f>HYPERLINK("https://klasma.github.io/Logging_1784/fåglar/A 37561-2024 prioriterade fågelarter.docx", "A 37561-2024")</f>
        <v/>
      </c>
    </row>
    <row r="609" ht="15" customHeight="1">
      <c r="A609" t="inlineStr">
        <is>
          <t>A 22484-2025</t>
        </is>
      </c>
      <c r="B609" t="inlineStr">
        <is>
          <t>avverkningsanmälan</t>
        </is>
      </c>
      <c r="C609" t="inlineStr">
        <is>
          <t>Föryngringsavverkning</t>
        </is>
      </c>
      <c r="D609" s="1" t="n">
        <v>45786</v>
      </c>
      <c r="E609" s="1" t="n">
        <v>46307</v>
      </c>
      <c r="F609" t="inlineStr">
        <is>
          <t>VÄRMLANDS LÄN</t>
        </is>
      </c>
      <c r="G609" t="inlineStr">
        <is>
          <t>HAGFORS</t>
        </is>
      </c>
      <c r="I609" t="n">
        <v>4.5</v>
      </c>
      <c r="J609" t="n">
        <v>0</v>
      </c>
      <c r="K609" t="n">
        <v>0</v>
      </c>
      <c r="L609" t="n">
        <v>1</v>
      </c>
      <c r="M609" t="n">
        <v>0</v>
      </c>
      <c r="N609" t="n">
        <v>0</v>
      </c>
      <c r="O609" t="n">
        <v>0</v>
      </c>
      <c r="P609" t="n">
        <v>0</v>
      </c>
      <c r="Q609" t="n">
        <v>1</v>
      </c>
      <c r="R609" t="n">
        <v>0</v>
      </c>
      <c r="S609" t="n">
        <v>1</v>
      </c>
      <c r="T609" t="n">
        <v>1</v>
      </c>
      <c r="U609" t="n">
        <v>0</v>
      </c>
      <c r="V609" s="2" t="inlineStr">
        <is>
          <t>Rödlånke</t>
        </is>
      </c>
      <c r="W609">
        <f>HYPERLINK("https://klasma.github.io/Logging_1783/artfynd/A 22484-2025 artfynd.xlsx", "A 22484-2025")</f>
        <v/>
      </c>
      <c r="X609">
        <f>HYPERLINK("https://klasma.github.io/Logging_1783/kartor/A 22484-2025 karta.png", "A 22484-2025")</f>
        <v/>
      </c>
      <c r="Y609">
        <f>HYPERLINK("https://klasma.github.io/Logging_1783/kartor_geotiff/A 22484-2025 georefererad karta.tif", "A 22484-2025")</f>
        <v/>
      </c>
      <c r="AA609">
        <f>HYPERLINK("https://klasma.github.io/Logging_1783/klagomål/A 22484-2025 FSC-klagomål.docx", "A 22484-2025")</f>
        <v/>
      </c>
      <c r="AB609">
        <f>HYPERLINK("https://klasma.github.io/Logging_1783/klagomålsmail/A 22484-2025 FSC-klagomål mail.docx", "A 22484-2025")</f>
        <v/>
      </c>
      <c r="AC609">
        <f>HYPERLINK("https://klasma.github.io/Logging_1783/tillsyn/A 22484-2025 tillsynsbegäran.docx", "A 22484-2025")</f>
        <v/>
      </c>
      <c r="AD609">
        <f>HYPERLINK("https://klasma.github.io/Logging_1783/tillsynsmail/A 22484-2025 tillsynsbegäran mail.docx", "A 22484-2025")</f>
        <v/>
      </c>
    </row>
    <row r="610" ht="15" customHeight="1">
      <c r="A610" t="inlineStr">
        <is>
          <t>A 40541-2024</t>
        </is>
      </c>
      <c r="B610" t="inlineStr">
        <is>
          <t>avverkningsanmälan</t>
        </is>
      </c>
      <c r="C610" t="inlineStr">
        <is>
          <t>Föryngringsavverkning</t>
        </is>
      </c>
      <c r="D610" s="1" t="n">
        <v>45555</v>
      </c>
      <c r="E610" s="1" t="n">
        <v>46307</v>
      </c>
      <c r="F610" t="inlineStr">
        <is>
          <t>VÄRMLANDS LÄN</t>
        </is>
      </c>
      <c r="G610" t="inlineStr">
        <is>
          <t>TORSBY</t>
        </is>
      </c>
      <c r="H610" t="inlineStr">
        <is>
          <t>Bergvik skog väst AB</t>
        </is>
      </c>
      <c r="I610" t="n">
        <v>1.5</v>
      </c>
      <c r="J610" t="n">
        <v>0</v>
      </c>
      <c r="K610" t="n">
        <v>0</v>
      </c>
      <c r="L610" t="n">
        <v>1</v>
      </c>
      <c r="M610" t="n">
        <v>0</v>
      </c>
      <c r="N610" t="n">
        <v>0</v>
      </c>
      <c r="O610" t="n">
        <v>0</v>
      </c>
      <c r="P610" t="n">
        <v>0</v>
      </c>
      <c r="Q610" t="n">
        <v>1</v>
      </c>
      <c r="R610" t="n">
        <v>0</v>
      </c>
      <c r="S610" t="n">
        <v>1</v>
      </c>
      <c r="T610" t="n">
        <v>2</v>
      </c>
      <c r="U610" t="n">
        <v>2</v>
      </c>
      <c r="V610" s="2" t="inlineStr">
        <is>
          <t>Lunglav</t>
        </is>
      </c>
      <c r="W610">
        <f>HYPERLINK("https://klasma.github.io/Logging_1737/artfynd/A 40541-2024 artfynd.xlsx", "A 40541-2024")</f>
        <v/>
      </c>
      <c r="X610">
        <f>HYPERLINK("https://klasma.github.io/Logging_1737/kartor/A 40541-2024 karta.png", "A 40541-2024")</f>
        <v/>
      </c>
      <c r="Y610">
        <f>HYPERLINK("https://klasma.github.io/Logging_1737/kartor_geotiff/A 40541-2024 georefererad karta.tif", "A 40541-2024")</f>
        <v/>
      </c>
      <c r="AA610">
        <f>HYPERLINK("https://klasma.github.io/Logging_1737/klagomål/A 40541-2024 FSC-klagomål.docx", "A 40541-2024")</f>
        <v/>
      </c>
      <c r="AB610">
        <f>HYPERLINK("https://klasma.github.io/Logging_1737/klagomålsmail/A 40541-2024 FSC-klagomål mail.docx", "A 40541-2024")</f>
        <v/>
      </c>
      <c r="AC610">
        <f>HYPERLINK("https://klasma.github.io/Logging_1737/tillsyn/A 40541-2024 tillsynsbegäran.docx", "A 40541-2024")</f>
        <v/>
      </c>
      <c r="AD610">
        <f>HYPERLINK("https://klasma.github.io/Logging_1737/tillsynsmail/A 40541-2024 tillsynsbegäran mail.docx", "A 40541-2024")</f>
        <v/>
      </c>
    </row>
    <row r="611" ht="15" customHeight="1">
      <c r="A611" t="inlineStr">
        <is>
          <t>A 45781-2025</t>
        </is>
      </c>
      <c r="B611" t="inlineStr">
        <is>
          <t>avverkningsanmälan</t>
        </is>
      </c>
      <c r="C611" t="inlineStr">
        <is>
          <t>Föryngringsavverkning</t>
        </is>
      </c>
      <c r="D611" s="1" t="n">
        <v>45923</v>
      </c>
      <c r="E611" s="1" t="n">
        <v>46307</v>
      </c>
      <c r="F611" t="inlineStr">
        <is>
          <t>VÄRMLANDS LÄN</t>
        </is>
      </c>
      <c r="G611" t="inlineStr">
        <is>
          <t>FILIPSTAD</t>
        </is>
      </c>
      <c r="H611" t="inlineStr">
        <is>
          <t>Bergvik skog väst AB</t>
        </is>
      </c>
      <c r="I611" t="n">
        <v>2.6</v>
      </c>
      <c r="J611" t="n">
        <v>0</v>
      </c>
      <c r="K611" t="n">
        <v>0</v>
      </c>
      <c r="L611" t="n">
        <v>1</v>
      </c>
      <c r="M611" t="n">
        <v>0</v>
      </c>
      <c r="N611" t="n">
        <v>0</v>
      </c>
      <c r="O611" t="n">
        <v>0</v>
      </c>
      <c r="P611" t="n">
        <v>0</v>
      </c>
      <c r="Q611" t="n">
        <v>1</v>
      </c>
      <c r="R611" t="n">
        <v>0</v>
      </c>
      <c r="S611" t="n">
        <v>1</v>
      </c>
      <c r="T611" t="n">
        <v>1</v>
      </c>
      <c r="U611" t="n">
        <v>0</v>
      </c>
      <c r="V611" s="2" t="inlineStr">
        <is>
          <t>Brunklöver</t>
        </is>
      </c>
      <c r="W611">
        <f>HYPERLINK("https://klasma.github.io/Logging_1782/artfynd/A 45781-2025 artfynd.xlsx", "A 45781-2025")</f>
        <v/>
      </c>
      <c r="X611">
        <f>HYPERLINK("https://klasma.github.io/Logging_1782/kartor/A 45781-2025 karta.png", "A 45781-2025")</f>
        <v/>
      </c>
      <c r="Y611">
        <f>HYPERLINK("https://klasma.github.io/Logging_1782/kartor_geotiff/A 45781-2025 georefererad karta.tif", "A 45781-2025")</f>
        <v/>
      </c>
      <c r="AA611">
        <f>HYPERLINK("https://klasma.github.io/Logging_1782/klagomål/A 45781-2025 FSC-klagomål.docx", "A 45781-2025")</f>
        <v/>
      </c>
      <c r="AB611">
        <f>HYPERLINK("https://klasma.github.io/Logging_1782/klagomålsmail/A 45781-2025 FSC-klagomål mail.docx", "A 45781-2025")</f>
        <v/>
      </c>
      <c r="AC611">
        <f>HYPERLINK("https://klasma.github.io/Logging_1782/tillsyn/A 45781-2025 tillsynsbegäran.docx", "A 45781-2025")</f>
        <v/>
      </c>
      <c r="AD611">
        <f>HYPERLINK("https://klasma.github.io/Logging_1782/tillsynsmail/A 45781-2025 tillsynsbegäran mail.docx", "A 45781-2025")</f>
        <v/>
      </c>
    </row>
    <row r="612" ht="15" customHeight="1">
      <c r="A612" t="inlineStr">
        <is>
          <t>A 41878-2024</t>
        </is>
      </c>
      <c r="B612" t="inlineStr">
        <is>
          <t>avverkningsanmälan</t>
        </is>
      </c>
      <c r="C612" t="inlineStr">
        <is>
          <t>Föryngringsavverkning</t>
        </is>
      </c>
      <c r="D612" s="1" t="n">
        <v>45561</v>
      </c>
      <c r="E612" s="1" t="n">
        <v>46307</v>
      </c>
      <c r="F612" t="inlineStr">
        <is>
          <t>VÄRMLANDS LÄN</t>
        </is>
      </c>
      <c r="G612" t="inlineStr">
        <is>
          <t>GRUMS</t>
        </is>
      </c>
      <c r="H612" t="inlineStr">
        <is>
          <t>Bergvik skog väst AB</t>
        </is>
      </c>
      <c r="I612" t="n">
        <v>15.9</v>
      </c>
      <c r="J612" t="n">
        <v>1</v>
      </c>
      <c r="K612" t="n">
        <v>0</v>
      </c>
      <c r="L612" t="n">
        <v>1</v>
      </c>
      <c r="M612" t="n">
        <v>0</v>
      </c>
      <c r="N612" t="n">
        <v>0</v>
      </c>
      <c r="O612" t="n">
        <v>0</v>
      </c>
      <c r="P612" t="n">
        <v>0</v>
      </c>
      <c r="Q612" t="n">
        <v>1</v>
      </c>
      <c r="R612" t="n">
        <v>0</v>
      </c>
      <c r="S612" t="n">
        <v>1</v>
      </c>
      <c r="T612" t="n">
        <v>1</v>
      </c>
      <c r="U612" t="n">
        <v>0</v>
      </c>
      <c r="V612" s="2" t="inlineStr">
        <is>
          <t>Göktyta</t>
        </is>
      </c>
      <c r="W612">
        <f>HYPERLINK("https://klasma.github.io/Logging_1764/artfynd/A 41878-2024 artfynd.xlsx", "A 41878-2024")</f>
        <v/>
      </c>
      <c r="X612">
        <f>HYPERLINK("https://klasma.github.io/Logging_1764/kartor/A 41878-2024 karta.png", "A 41878-2024")</f>
        <v/>
      </c>
      <c r="Y612">
        <f>HYPERLINK("https://klasma.github.io/Logging_1764/kartor_geotiff/A 41878-2024 georefererad karta.tif", "A 41878-2024")</f>
        <v/>
      </c>
      <c r="AA612">
        <f>HYPERLINK("https://klasma.github.io/Logging_1764/klagomål/A 41878-2024 FSC-klagomål.docx", "A 41878-2024")</f>
        <v/>
      </c>
      <c r="AB612">
        <f>HYPERLINK("https://klasma.github.io/Logging_1764/klagomålsmail/A 41878-2024 FSC-klagomål mail.docx", "A 41878-2024")</f>
        <v/>
      </c>
      <c r="AC612">
        <f>HYPERLINK("https://klasma.github.io/Logging_1764/tillsyn/A 41878-2024 tillsynsbegäran.docx", "A 41878-2024")</f>
        <v/>
      </c>
      <c r="AD612">
        <f>HYPERLINK("https://klasma.github.io/Logging_1764/tillsynsmail/A 41878-2024 tillsynsbegäran mail.docx", "A 41878-2024")</f>
        <v/>
      </c>
      <c r="AE612">
        <f>HYPERLINK("https://klasma.github.io/Logging_1764/fåglar/A 41878-2024 prioriterade fågelarter.docx", "A 41878-2024")</f>
        <v/>
      </c>
    </row>
    <row r="613" ht="15" customHeight="1">
      <c r="A613" t="inlineStr">
        <is>
          <t>A 53706-2022</t>
        </is>
      </c>
      <c r="B613" t="inlineStr">
        <is>
          <t>avverkningsanmälan</t>
        </is>
      </c>
      <c r="C613" t="inlineStr">
        <is>
          <t>Föryngringsavverkning</t>
        </is>
      </c>
      <c r="D613" s="1" t="n">
        <v>44880</v>
      </c>
      <c r="E613" s="1" t="n">
        <v>46307</v>
      </c>
      <c r="F613" t="inlineStr">
        <is>
          <t>VÄRMLANDS LÄN</t>
        </is>
      </c>
      <c r="G613" t="inlineStr">
        <is>
          <t>FORSHAGA</t>
        </is>
      </c>
      <c r="H613" t="inlineStr">
        <is>
          <t>Bergvik skog väst AB</t>
        </is>
      </c>
      <c r="I613" t="n">
        <v>17.7</v>
      </c>
      <c r="J613" t="n">
        <v>0</v>
      </c>
      <c r="K613" t="n">
        <v>0</v>
      </c>
      <c r="L613" t="n">
        <v>1</v>
      </c>
      <c r="M613" t="n">
        <v>0</v>
      </c>
      <c r="N613" t="n">
        <v>0</v>
      </c>
      <c r="O613" t="n">
        <v>0</v>
      </c>
      <c r="P613" t="n">
        <v>0</v>
      </c>
      <c r="Q613" t="n">
        <v>1</v>
      </c>
      <c r="R613" t="n">
        <v>0</v>
      </c>
      <c r="S613" t="n">
        <v>1</v>
      </c>
      <c r="T613" t="n">
        <v>1</v>
      </c>
      <c r="U613" t="n">
        <v>0</v>
      </c>
      <c r="V613" s="2" t="inlineStr">
        <is>
          <t>Gullpudra</t>
        </is>
      </c>
      <c r="W613">
        <f>HYPERLINK("https://klasma.github.io/Logging_1763/artfynd/A 53706-2022 artfynd.xlsx", "A 53706-2022")</f>
        <v/>
      </c>
      <c r="X613">
        <f>HYPERLINK("https://klasma.github.io/Logging_1763/kartor/A 53706-2022 karta.png", "A 53706-2022")</f>
        <v/>
      </c>
      <c r="Y613">
        <f>HYPERLINK("https://klasma.github.io/Logging_1763/kartor_geotiff/A 53706-2022 georefererad karta.tif", "A 53706-2022")</f>
        <v/>
      </c>
      <c r="AA613">
        <f>HYPERLINK("https://klasma.github.io/Logging_1763/klagomål/A 53706-2022 FSC-klagomål.docx", "A 53706-2022")</f>
        <v/>
      </c>
      <c r="AB613">
        <f>HYPERLINK("https://klasma.github.io/Logging_1763/klagomålsmail/A 53706-2022 FSC-klagomål mail.docx", "A 53706-2022")</f>
        <v/>
      </c>
      <c r="AC613">
        <f>HYPERLINK("https://klasma.github.io/Logging_1763/tillsyn/A 53706-2022 tillsynsbegäran.docx", "A 53706-2022")</f>
        <v/>
      </c>
      <c r="AD613">
        <f>HYPERLINK("https://klasma.github.io/Logging_1763/tillsynsmail/A 53706-2022 tillsynsbegäran mail.docx", "A 53706-2022")</f>
        <v/>
      </c>
    </row>
    <row r="614" ht="15" customHeight="1">
      <c r="A614" t="inlineStr">
        <is>
          <t>A 4135-2025</t>
        </is>
      </c>
      <c r="B614" t="inlineStr">
        <is>
          <t>avverkningsanmälan</t>
        </is>
      </c>
      <c r="C614" t="inlineStr">
        <is>
          <t>Föryngringsavverkning</t>
        </is>
      </c>
      <c r="D614" s="1" t="n">
        <v>45685</v>
      </c>
      <c r="E614" s="1" t="n">
        <v>46307</v>
      </c>
      <c r="F614" t="inlineStr">
        <is>
          <t>VÄRMLANDS LÄN</t>
        </is>
      </c>
      <c r="G614" t="inlineStr">
        <is>
          <t>ÅRJÄNG</t>
        </is>
      </c>
      <c r="I614" t="n">
        <v>4.4</v>
      </c>
      <c r="J614" t="n">
        <v>1</v>
      </c>
      <c r="K614" t="n">
        <v>0</v>
      </c>
      <c r="L614" t="n">
        <v>0</v>
      </c>
      <c r="M614" t="n">
        <v>0</v>
      </c>
      <c r="N614" t="n">
        <v>0</v>
      </c>
      <c r="O614" t="n">
        <v>0</v>
      </c>
      <c r="P614" t="n">
        <v>0</v>
      </c>
      <c r="Q614" t="n">
        <v>0</v>
      </c>
      <c r="R614" t="n">
        <v>0</v>
      </c>
      <c r="S614" t="n">
        <v>1</v>
      </c>
      <c r="T614" t="n">
        <v>1</v>
      </c>
      <c r="U614" t="n">
        <v>0</v>
      </c>
      <c r="V614" s="2" t="inlineStr">
        <is>
          <t>Tjäder</t>
        </is>
      </c>
      <c r="W614">
        <f>HYPERLINK("https://klasma.github.io/Logging_1765/artfynd/A 4135-2025 artfynd.xlsx", "A 4135-2025")</f>
        <v/>
      </c>
      <c r="X614">
        <f>HYPERLINK("https://klasma.github.io/Logging_1765/kartor/A 4135-2025 karta.png", "A 4135-2025")</f>
        <v/>
      </c>
      <c r="Y614">
        <f>HYPERLINK("https://klasma.github.io/Logging_1765/kartor_geotiff/A 4135-2025 georefererad karta.tif", "A 4135-2025")</f>
        <v/>
      </c>
      <c r="AA614">
        <f>HYPERLINK("https://klasma.github.io/Logging_1765/klagomål/A 4135-2025 FSC-klagomål.docx", "A 4135-2025")</f>
        <v/>
      </c>
      <c r="AB614">
        <f>HYPERLINK("https://klasma.github.io/Logging_1765/klagomålsmail/A 4135-2025 FSC-klagomål mail.docx", "A 4135-2025")</f>
        <v/>
      </c>
      <c r="AC614">
        <f>HYPERLINK("https://klasma.github.io/Logging_1765/tillsyn/A 4135-2025 tillsynsbegäran.docx", "A 4135-2025")</f>
        <v/>
      </c>
      <c r="AD614">
        <f>HYPERLINK("https://klasma.github.io/Logging_1765/tillsynsmail/A 4135-2025 tillsynsbegäran mail.docx", "A 4135-2025")</f>
        <v/>
      </c>
      <c r="AE614">
        <f>HYPERLINK("https://klasma.github.io/Logging_1765/fåglar/A 4135-2025 prioriterade fågelarter.docx", "A 4135-2025")</f>
        <v/>
      </c>
    </row>
    <row r="615" ht="15" customHeight="1">
      <c r="A615" t="inlineStr">
        <is>
          <t>A 6661-2023</t>
        </is>
      </c>
      <c r="B615" t="inlineStr">
        <is>
          <t>avverkningsanmälan</t>
        </is>
      </c>
      <c r="C615" t="inlineStr">
        <is>
          <t>Föryngringsavverkning</t>
        </is>
      </c>
      <c r="D615" s="1" t="n">
        <v>44963</v>
      </c>
      <c r="E615" s="1" t="n">
        <v>46307</v>
      </c>
      <c r="F615" t="inlineStr">
        <is>
          <t>VÄRMLANDS LÄN</t>
        </is>
      </c>
      <c r="G615" t="inlineStr">
        <is>
          <t>SUNNE</t>
        </is>
      </c>
      <c r="I615" t="n">
        <v>8.800000000000001</v>
      </c>
      <c r="J615" t="n">
        <v>0</v>
      </c>
      <c r="K615" t="n">
        <v>1</v>
      </c>
      <c r="L615" t="n">
        <v>0</v>
      </c>
      <c r="M615" t="n">
        <v>0</v>
      </c>
      <c r="N615" t="n">
        <v>0</v>
      </c>
      <c r="O615" t="n">
        <v>0</v>
      </c>
      <c r="P615" t="n">
        <v>0</v>
      </c>
      <c r="Q615" t="n">
        <v>0</v>
      </c>
      <c r="R615" t="n">
        <v>0</v>
      </c>
      <c r="S615" t="n">
        <v>1</v>
      </c>
      <c r="T615" t="n">
        <v>1</v>
      </c>
      <c r="U615" t="n">
        <v>1</v>
      </c>
      <c r="V615" s="2" t="inlineStr">
        <is>
          <t>Bronshjon</t>
        </is>
      </c>
      <c r="W615">
        <f>HYPERLINK("https://klasma.github.io/Logging_1766/artfynd/A 6661-2023 artfynd.xlsx", "A 6661-2023")</f>
        <v/>
      </c>
      <c r="X615">
        <f>HYPERLINK("https://klasma.github.io/Logging_1766/kartor/A 6661-2023 karta.png", "A 6661-2023")</f>
        <v/>
      </c>
      <c r="Y615">
        <f>HYPERLINK("https://klasma.github.io/Logging_1766/kartor_geotiff/A 6661-2023 georefererad karta.tif", "A 6661-2023")</f>
        <v/>
      </c>
      <c r="AA615">
        <f>HYPERLINK("https://klasma.github.io/Logging_1766/klagomål/A 6661-2023 FSC-klagomål.docx", "A 6661-2023")</f>
        <v/>
      </c>
      <c r="AB615">
        <f>HYPERLINK("https://klasma.github.io/Logging_1766/klagomålsmail/A 6661-2023 FSC-klagomål mail.docx", "A 6661-2023")</f>
        <v/>
      </c>
      <c r="AC615">
        <f>HYPERLINK("https://klasma.github.io/Logging_1766/tillsyn/A 6661-2023 tillsynsbegäran.docx", "A 6661-2023")</f>
        <v/>
      </c>
      <c r="AD615">
        <f>HYPERLINK("https://klasma.github.io/Logging_1766/tillsynsmail/A 6661-2023 tillsynsbegäran mail.docx", "A 6661-2023")</f>
        <v/>
      </c>
    </row>
    <row r="616" ht="15" customHeight="1">
      <c r="A616" t="inlineStr">
        <is>
          <t>A 19694-2024</t>
        </is>
      </c>
      <c r="B616" t="inlineStr">
        <is>
          <t>avverkningsanmälan</t>
        </is>
      </c>
      <c r="C616" t="inlineStr">
        <is>
          <t>Föryngringsavverkning</t>
        </is>
      </c>
      <c r="D616" s="1" t="n">
        <v>45432</v>
      </c>
      <c r="E616" s="1" t="n">
        <v>46307</v>
      </c>
      <c r="F616" t="inlineStr">
        <is>
          <t>VÄRMLANDS LÄN</t>
        </is>
      </c>
      <c r="G616" t="inlineStr">
        <is>
          <t>SÄFFLE</t>
        </is>
      </c>
      <c r="I616" t="n">
        <v>0.7</v>
      </c>
      <c r="J616" t="n">
        <v>1</v>
      </c>
      <c r="K616" t="n">
        <v>0</v>
      </c>
      <c r="L616" t="n">
        <v>0</v>
      </c>
      <c r="M616" t="n">
        <v>0</v>
      </c>
      <c r="N616" t="n">
        <v>0</v>
      </c>
      <c r="O616" t="n">
        <v>0</v>
      </c>
      <c r="P616" t="n">
        <v>0</v>
      </c>
      <c r="Q616" t="n">
        <v>0</v>
      </c>
      <c r="R616" t="n">
        <v>0</v>
      </c>
      <c r="S616" t="n">
        <v>1</v>
      </c>
      <c r="T616" t="n">
        <v>1</v>
      </c>
      <c r="U616" t="n">
        <v>0</v>
      </c>
      <c r="V616" s="2" t="inlineStr">
        <is>
          <t>Fläcknycklar</t>
        </is>
      </c>
      <c r="W616">
        <f>HYPERLINK("https://klasma.github.io/Logging_1785/artfynd/A 19694-2024 artfynd.xlsx", "A 19694-2024")</f>
        <v/>
      </c>
      <c r="X616">
        <f>HYPERLINK("https://klasma.github.io/Logging_1785/kartor/A 19694-2024 karta.png", "A 19694-2024")</f>
        <v/>
      </c>
      <c r="Y616">
        <f>HYPERLINK("https://klasma.github.io/Logging_1785/kartor_geotiff/A 19694-2024 georefererad karta.tif", "A 19694-2024")</f>
        <v/>
      </c>
      <c r="AA616">
        <f>HYPERLINK("https://klasma.github.io/Logging_1785/klagomål/A 19694-2024 FSC-klagomål.docx", "A 19694-2024")</f>
        <v/>
      </c>
      <c r="AB616">
        <f>HYPERLINK("https://klasma.github.io/Logging_1785/klagomålsmail/A 19694-2024 FSC-klagomål mail.docx", "A 19694-2024")</f>
        <v/>
      </c>
      <c r="AC616">
        <f>HYPERLINK("https://klasma.github.io/Logging_1785/tillsyn/A 19694-2024 tillsynsbegäran.docx", "A 19694-2024")</f>
        <v/>
      </c>
      <c r="AD616">
        <f>HYPERLINK("https://klasma.github.io/Logging_1785/tillsynsmail/A 19694-2024 tillsynsbegäran mail.docx", "A 19694-2024")</f>
        <v/>
      </c>
    </row>
    <row r="617" ht="15" customHeight="1">
      <c r="A617" t="inlineStr">
        <is>
          <t>A 1811-2024</t>
        </is>
      </c>
      <c r="B617" t="inlineStr">
        <is>
          <t>avverkningsanmälan</t>
        </is>
      </c>
      <c r="C617" t="inlineStr">
        <is>
          <t>Föryngringsavverkning</t>
        </is>
      </c>
      <c r="D617" s="1" t="n">
        <v>45307</v>
      </c>
      <c r="E617" s="1" t="n">
        <v>46307</v>
      </c>
      <c r="F617" t="inlineStr">
        <is>
          <t>VÄRMLANDS LÄN</t>
        </is>
      </c>
      <c r="G617" t="inlineStr">
        <is>
          <t>TORSBY</t>
        </is>
      </c>
      <c r="I617" t="n">
        <v>12.1</v>
      </c>
      <c r="J617" t="n">
        <v>1</v>
      </c>
      <c r="K617" t="n">
        <v>0</v>
      </c>
      <c r="L617" t="n">
        <v>0</v>
      </c>
      <c r="M617" t="n">
        <v>0</v>
      </c>
      <c r="N617" t="n">
        <v>0</v>
      </c>
      <c r="O617" t="n">
        <v>0</v>
      </c>
      <c r="P617" t="n">
        <v>0</v>
      </c>
      <c r="Q617" t="n">
        <v>0</v>
      </c>
      <c r="R617" t="n">
        <v>0</v>
      </c>
      <c r="S617" t="n">
        <v>1</v>
      </c>
      <c r="T617" t="n">
        <v>1</v>
      </c>
      <c r="U617" t="n">
        <v>0</v>
      </c>
      <c r="V617" s="2" t="inlineStr">
        <is>
          <t>Revlummer</t>
        </is>
      </c>
      <c r="W617">
        <f>HYPERLINK("https://klasma.github.io/Logging_1737/artfynd/A 1811-2024 artfynd.xlsx", "A 1811-2024")</f>
        <v/>
      </c>
      <c r="X617">
        <f>HYPERLINK("https://klasma.github.io/Logging_1737/kartor/A 1811-2024 karta.png", "A 1811-2024")</f>
        <v/>
      </c>
      <c r="Y617">
        <f>HYPERLINK("https://klasma.github.io/Logging_1737/kartor_geotiff/A 1811-2024 georefererad karta.tif", "A 1811-2024")</f>
        <v/>
      </c>
      <c r="AA617">
        <f>HYPERLINK("https://klasma.github.io/Logging_1737/klagomål/A 1811-2024 FSC-klagomål.docx", "A 1811-2024")</f>
        <v/>
      </c>
      <c r="AB617">
        <f>HYPERLINK("https://klasma.github.io/Logging_1737/klagomålsmail/A 1811-2024 FSC-klagomål mail.docx", "A 1811-2024")</f>
        <v/>
      </c>
      <c r="AC617">
        <f>HYPERLINK("https://klasma.github.io/Logging_1737/tillsyn/A 1811-2024 tillsynsbegäran.docx", "A 1811-2024")</f>
        <v/>
      </c>
      <c r="AD617">
        <f>HYPERLINK("https://klasma.github.io/Logging_1737/tillsynsmail/A 1811-2024 tillsynsbegäran mail.docx", "A 1811-2024")</f>
        <v/>
      </c>
    </row>
    <row r="618" ht="15" customHeight="1">
      <c r="A618" t="inlineStr">
        <is>
          <t>A 56676-2022</t>
        </is>
      </c>
      <c r="B618" t="inlineStr">
        <is>
          <t>avverkningsanmälan</t>
        </is>
      </c>
      <c r="C618" t="inlineStr">
        <is>
          <t>Föryngringsavverkning</t>
        </is>
      </c>
      <c r="D618" s="1" t="n">
        <v>44893</v>
      </c>
      <c r="E618" s="1" t="n">
        <v>46307</v>
      </c>
      <c r="F618" t="inlineStr">
        <is>
          <t>VÄRMLANDS LÄN</t>
        </is>
      </c>
      <c r="G618" t="inlineStr">
        <is>
          <t>ARVIKA</t>
        </is>
      </c>
      <c r="H618" t="inlineStr">
        <is>
          <t>Övriga Aktiebolag</t>
        </is>
      </c>
      <c r="I618" t="n">
        <v>5.2</v>
      </c>
      <c r="J618" t="n">
        <v>1</v>
      </c>
      <c r="K618" t="n">
        <v>0</v>
      </c>
      <c r="L618" t="n">
        <v>0</v>
      </c>
      <c r="M618" t="n">
        <v>1</v>
      </c>
      <c r="N618" t="n">
        <v>0</v>
      </c>
      <c r="O618" t="n">
        <v>0</v>
      </c>
      <c r="P618" t="n">
        <v>0</v>
      </c>
      <c r="Q618" t="n">
        <v>1</v>
      </c>
      <c r="R618" t="n">
        <v>1</v>
      </c>
      <c r="S618" t="n">
        <v>1</v>
      </c>
      <c r="T618" t="n">
        <v>8</v>
      </c>
      <c r="U618" t="n">
        <v>7</v>
      </c>
      <c r="V618" s="2" t="inlineStr">
        <is>
          <t>Knärot</t>
        </is>
      </c>
      <c r="W618">
        <f>HYPERLINK("https://klasma.github.io/Logging_1784/artfynd/A 56676-2022 artfynd.xlsx", "A 56676-2022")</f>
        <v/>
      </c>
      <c r="X618">
        <f>HYPERLINK("https://klasma.github.io/Logging_1784/kartor/A 56676-2022 karta.png", "A 56676-2022")</f>
        <v/>
      </c>
      <c r="Y618">
        <f>HYPERLINK("https://klasma.github.io/Logging_1784/kartor_geotiff/A 56676-2022 georefererad karta.tif", "A 56676-2022")</f>
        <v/>
      </c>
      <c r="Z618">
        <f>HYPERLINK("https://klasma.github.io/Logging_1784/knärot/A 56676-2022 karta knärot.png", "A 56676-2022")</f>
        <v/>
      </c>
      <c r="AA618">
        <f>HYPERLINK("https://klasma.github.io/Logging_1784/klagomål/A 56676-2022 FSC-klagomål.docx", "A 56676-2022")</f>
        <v/>
      </c>
      <c r="AB618">
        <f>HYPERLINK("https://klasma.github.io/Logging_1784/klagomålsmail/A 56676-2022 FSC-klagomål mail.docx", "A 56676-2022")</f>
        <v/>
      </c>
      <c r="AC618">
        <f>HYPERLINK("https://klasma.github.io/Logging_1784/tillsyn/A 56676-2022 tillsynsbegäran.docx", "A 56676-2022")</f>
        <v/>
      </c>
      <c r="AD618">
        <f>HYPERLINK("https://klasma.github.io/Logging_1784/tillsynsmail/A 56676-2022 tillsynsbegäran mail.docx", "A 56676-2022")</f>
        <v/>
      </c>
    </row>
    <row r="619" ht="15" customHeight="1">
      <c r="A619" t="inlineStr">
        <is>
          <t>A 17122-2024</t>
        </is>
      </c>
      <c r="B619" t="inlineStr">
        <is>
          <t>avverkningsanmälan</t>
        </is>
      </c>
      <c r="C619" t="inlineStr">
        <is>
          <t>Avverkning för annat ändamål</t>
        </is>
      </c>
      <c r="D619" s="1" t="n">
        <v>45412</v>
      </c>
      <c r="E619" s="1" t="n">
        <v>46307</v>
      </c>
      <c r="F619" t="inlineStr">
        <is>
          <t>VÄRMLANDS LÄN</t>
        </is>
      </c>
      <c r="G619" t="inlineStr">
        <is>
          <t>GRUMS</t>
        </is>
      </c>
      <c r="I619" t="n">
        <v>1.7</v>
      </c>
      <c r="J619" t="n">
        <v>0</v>
      </c>
      <c r="K619" t="n">
        <v>0</v>
      </c>
      <c r="L619" t="n">
        <v>1</v>
      </c>
      <c r="M619" t="n">
        <v>0</v>
      </c>
      <c r="N619" t="n">
        <v>0</v>
      </c>
      <c r="O619" t="n">
        <v>0</v>
      </c>
      <c r="P619" t="n">
        <v>0</v>
      </c>
      <c r="Q619" t="n">
        <v>1</v>
      </c>
      <c r="R619" t="n">
        <v>0</v>
      </c>
      <c r="S619" t="n">
        <v>1</v>
      </c>
      <c r="T619" t="n">
        <v>1</v>
      </c>
      <c r="U619" t="n">
        <v>0</v>
      </c>
      <c r="V619" s="2" t="inlineStr">
        <is>
          <t>Skogsklocka</t>
        </is>
      </c>
      <c r="W619">
        <f>HYPERLINK("https://klasma.github.io/Logging_1764/artfynd/A 17122-2024 artfynd.xlsx", "A 17122-2024")</f>
        <v/>
      </c>
      <c r="X619">
        <f>HYPERLINK("https://klasma.github.io/Logging_1764/kartor/A 17122-2024 karta.png", "A 17122-2024")</f>
        <v/>
      </c>
      <c r="Y619">
        <f>HYPERLINK("https://klasma.github.io/Logging_1764/kartor_geotiff/A 17122-2024 georefererad karta.tif", "A 17122-2024")</f>
        <v/>
      </c>
      <c r="AA619">
        <f>HYPERLINK("https://klasma.github.io/Logging_1764/klagomål/A 17122-2024 FSC-klagomål.docx", "A 17122-2024")</f>
        <v/>
      </c>
      <c r="AB619">
        <f>HYPERLINK("https://klasma.github.io/Logging_1764/klagomålsmail/A 17122-2024 FSC-klagomål mail.docx", "A 17122-2024")</f>
        <v/>
      </c>
      <c r="AC619">
        <f>HYPERLINK("https://klasma.github.io/Logging_1764/tillsyn/A 17122-2024 tillsynsbegäran.docx", "A 17122-2024")</f>
        <v/>
      </c>
      <c r="AD619">
        <f>HYPERLINK("https://klasma.github.io/Logging_1764/tillsynsmail/A 17122-2024 tillsynsbegäran mail.docx", "A 17122-2024")</f>
        <v/>
      </c>
    </row>
    <row r="620" ht="15" customHeight="1">
      <c r="A620" t="inlineStr">
        <is>
          <t>A 38621-2023</t>
        </is>
      </c>
      <c r="B620" t="inlineStr">
        <is>
          <t>avverkningsanmälan</t>
        </is>
      </c>
      <c r="C620" t="inlineStr">
        <is>
          <t>Föryngringsavverkning</t>
        </is>
      </c>
      <c r="D620" s="1" t="n">
        <v>45162</v>
      </c>
      <c r="E620" s="1" t="n">
        <v>46307</v>
      </c>
      <c r="F620" t="inlineStr">
        <is>
          <t>VÄRMLANDS LÄN</t>
        </is>
      </c>
      <c r="G620" t="inlineStr">
        <is>
          <t>SÄFFLE</t>
        </is>
      </c>
      <c r="I620" t="n">
        <v>2.5</v>
      </c>
      <c r="J620" t="n">
        <v>0</v>
      </c>
      <c r="K620" t="n">
        <v>0</v>
      </c>
      <c r="L620" t="n">
        <v>1</v>
      </c>
      <c r="M620" t="n">
        <v>0</v>
      </c>
      <c r="N620" t="n">
        <v>0</v>
      </c>
      <c r="O620" t="n">
        <v>0</v>
      </c>
      <c r="P620" t="n">
        <v>0</v>
      </c>
      <c r="Q620" t="n">
        <v>1</v>
      </c>
      <c r="R620" t="n">
        <v>0</v>
      </c>
      <c r="S620" t="n">
        <v>1</v>
      </c>
      <c r="T620" t="n">
        <v>1</v>
      </c>
      <c r="U620" t="n">
        <v>1</v>
      </c>
      <c r="V620" s="2" t="inlineStr">
        <is>
          <t>Åkerkulla</t>
        </is>
      </c>
      <c r="W620">
        <f>HYPERLINK("https://klasma.github.io/Logging_1785/artfynd/A 38621-2023 artfynd.xlsx", "A 38621-2023")</f>
        <v/>
      </c>
      <c r="X620">
        <f>HYPERLINK("https://klasma.github.io/Logging_1785/kartor/A 38621-2023 karta.png", "A 38621-2023")</f>
        <v/>
      </c>
      <c r="Y620">
        <f>HYPERLINK("https://klasma.github.io/Logging_1785/kartor_geotiff/A 38621-2023 georefererad karta.tif", "A 38621-2023")</f>
        <v/>
      </c>
      <c r="AA620">
        <f>HYPERLINK("https://klasma.github.io/Logging_1785/klagomål/A 38621-2023 FSC-klagomål.docx", "A 38621-2023")</f>
        <v/>
      </c>
      <c r="AB620">
        <f>HYPERLINK("https://klasma.github.io/Logging_1785/klagomålsmail/A 38621-2023 FSC-klagomål mail.docx", "A 38621-2023")</f>
        <v/>
      </c>
      <c r="AC620">
        <f>HYPERLINK("https://klasma.github.io/Logging_1785/tillsyn/A 38621-2023 tillsynsbegäran.docx", "A 38621-2023")</f>
        <v/>
      </c>
      <c r="AD620">
        <f>HYPERLINK("https://klasma.github.io/Logging_1785/tillsynsmail/A 38621-2023 tillsynsbegäran mail.docx", "A 38621-2023")</f>
        <v/>
      </c>
    </row>
    <row r="621" ht="15" customHeight="1">
      <c r="A621" t="inlineStr">
        <is>
          <t>A 47476-2025</t>
        </is>
      </c>
      <c r="B621" t="inlineStr">
        <is>
          <t>avverkningsanmälan</t>
        </is>
      </c>
      <c r="C621" t="inlineStr">
        <is>
          <t>Föryngringsavverkning</t>
        </is>
      </c>
      <c r="D621" s="1" t="n">
        <v>45930</v>
      </c>
      <c r="E621" s="1" t="n">
        <v>46307</v>
      </c>
      <c r="F621" t="inlineStr">
        <is>
          <t>VÄRMLANDS LÄN</t>
        </is>
      </c>
      <c r="G621" t="inlineStr">
        <is>
          <t>ÅRJÄNG</t>
        </is>
      </c>
      <c r="H621" t="inlineStr">
        <is>
          <t>Kyrkan</t>
        </is>
      </c>
      <c r="I621" t="n">
        <v>6.5</v>
      </c>
      <c r="J621" t="n">
        <v>1</v>
      </c>
      <c r="K621" t="n">
        <v>0</v>
      </c>
      <c r="L621" t="n">
        <v>0</v>
      </c>
      <c r="M621" t="n">
        <v>0</v>
      </c>
      <c r="N621" t="n">
        <v>0</v>
      </c>
      <c r="O621" t="n">
        <v>0</v>
      </c>
      <c r="P621" t="n">
        <v>0</v>
      </c>
      <c r="Q621" t="n">
        <v>0</v>
      </c>
      <c r="R621" t="n">
        <v>0</v>
      </c>
      <c r="S621" t="n">
        <v>1</v>
      </c>
      <c r="T621" t="n">
        <v>1</v>
      </c>
      <c r="U621" t="n">
        <v>0</v>
      </c>
      <c r="V621" s="2" t="inlineStr">
        <is>
          <t>Fläcknycklar</t>
        </is>
      </c>
      <c r="W621">
        <f>HYPERLINK("https://klasma.github.io/Logging_1765/artfynd/A 47476-2025 artfynd.xlsx", "A 47476-2025")</f>
        <v/>
      </c>
      <c r="X621">
        <f>HYPERLINK("https://klasma.github.io/Logging_1765/kartor/A 47476-2025 karta.png", "A 47476-2025")</f>
        <v/>
      </c>
      <c r="Y621">
        <f>HYPERLINK("https://klasma.github.io/Logging_1765/kartor_geotiff/A 47476-2025 georefererad karta.tif", "A 47476-2025")</f>
        <v/>
      </c>
      <c r="AA621">
        <f>HYPERLINK("https://klasma.github.io/Logging_1765/klagomål/A 47476-2025 FSC-klagomål.docx", "A 47476-2025")</f>
        <v/>
      </c>
      <c r="AB621">
        <f>HYPERLINK("https://klasma.github.io/Logging_1765/klagomålsmail/A 47476-2025 FSC-klagomål mail.docx", "A 47476-2025")</f>
        <v/>
      </c>
      <c r="AC621">
        <f>HYPERLINK("https://klasma.github.io/Logging_1765/tillsyn/A 47476-2025 tillsynsbegäran.docx", "A 47476-2025")</f>
        <v/>
      </c>
      <c r="AD621">
        <f>HYPERLINK("https://klasma.github.io/Logging_1765/tillsynsmail/A 47476-2025 tillsynsbegäran mail.docx", "A 47476-2025")</f>
        <v/>
      </c>
    </row>
    <row r="622" ht="15" customHeight="1">
      <c r="A622" t="inlineStr">
        <is>
          <t>A 21111-2025</t>
        </is>
      </c>
      <c r="B622" t="inlineStr">
        <is>
          <t>avverkningsanmälan</t>
        </is>
      </c>
      <c r="C622" t="inlineStr">
        <is>
          <t>Föryngringsavverkning</t>
        </is>
      </c>
      <c r="D622" s="1" t="n">
        <v>45777</v>
      </c>
      <c r="E622" s="1" t="n">
        <v>46307</v>
      </c>
      <c r="F622" t="inlineStr">
        <is>
          <t>VÄRMLANDS LÄN</t>
        </is>
      </c>
      <c r="G622" t="inlineStr">
        <is>
          <t>STORFORS</t>
        </is>
      </c>
      <c r="I622" t="n">
        <v>1.9</v>
      </c>
      <c r="J622" t="n">
        <v>0</v>
      </c>
      <c r="K622" t="n">
        <v>1</v>
      </c>
      <c r="L622" t="n">
        <v>0</v>
      </c>
      <c r="M622" t="n">
        <v>0</v>
      </c>
      <c r="N622" t="n">
        <v>0</v>
      </c>
      <c r="O622" t="n">
        <v>0</v>
      </c>
      <c r="P622" t="n">
        <v>0</v>
      </c>
      <c r="Q622" t="n">
        <v>0</v>
      </c>
      <c r="R622" t="n">
        <v>0</v>
      </c>
      <c r="S622" t="n">
        <v>1</v>
      </c>
      <c r="T622" t="n">
        <v>1</v>
      </c>
      <c r="U622" t="n">
        <v>0</v>
      </c>
      <c r="V622" s="2" t="inlineStr">
        <is>
          <t>Korallblylav</t>
        </is>
      </c>
      <c r="W622">
        <f>HYPERLINK("https://klasma.github.io/Logging_1760/artfynd/A 21111-2025 artfynd.xlsx", "A 21111-2025")</f>
        <v/>
      </c>
      <c r="X622">
        <f>HYPERLINK("https://klasma.github.io/Logging_1760/kartor/A 21111-2025 karta.png", "A 21111-2025")</f>
        <v/>
      </c>
      <c r="Y622">
        <f>HYPERLINK("https://klasma.github.io/Logging_1760/kartor_geotiff/A 21111-2025 georefererad karta.tif", "A 21111-2025")</f>
        <v/>
      </c>
      <c r="AA622">
        <f>HYPERLINK("https://klasma.github.io/Logging_1760/klagomål/A 21111-2025 FSC-klagomål.docx", "A 21111-2025")</f>
        <v/>
      </c>
      <c r="AB622">
        <f>HYPERLINK("https://klasma.github.io/Logging_1760/klagomålsmail/A 21111-2025 FSC-klagomål mail.docx", "A 21111-2025")</f>
        <v/>
      </c>
      <c r="AC622">
        <f>HYPERLINK("https://klasma.github.io/Logging_1760/tillsyn/A 21111-2025 tillsynsbegäran.docx", "A 21111-2025")</f>
        <v/>
      </c>
      <c r="AD622">
        <f>HYPERLINK("https://klasma.github.io/Logging_1760/tillsynsmail/A 21111-2025 tillsynsbegäran mail.docx", "A 21111-2025")</f>
        <v/>
      </c>
    </row>
    <row r="623" ht="15" customHeight="1">
      <c r="A623" t="inlineStr">
        <is>
          <t>A 47146-2025</t>
        </is>
      </c>
      <c r="B623" t="inlineStr">
        <is>
          <t>avverkningsanmälan</t>
        </is>
      </c>
      <c r="C623" t="inlineStr">
        <is>
          <t>Föryngringsavverkning</t>
        </is>
      </c>
      <c r="D623" s="1" t="n">
        <v>45929</v>
      </c>
      <c r="E623" s="1" t="n">
        <v>46307</v>
      </c>
      <c r="F623" t="inlineStr">
        <is>
          <t>VÄRMLANDS LÄN</t>
        </is>
      </c>
      <c r="G623" t="inlineStr">
        <is>
          <t>GRUMS</t>
        </is>
      </c>
      <c r="H623" t="inlineStr">
        <is>
          <t>Bergvik skog väst AB</t>
        </is>
      </c>
      <c r="I623" t="n">
        <v>7</v>
      </c>
      <c r="J623" t="n">
        <v>1</v>
      </c>
      <c r="K623" t="n">
        <v>0</v>
      </c>
      <c r="L623" t="n">
        <v>1</v>
      </c>
      <c r="M623" t="n">
        <v>0</v>
      </c>
      <c r="N623" t="n">
        <v>0</v>
      </c>
      <c r="O623" t="n">
        <v>0</v>
      </c>
      <c r="P623" t="n">
        <v>0</v>
      </c>
      <c r="Q623" t="n">
        <v>1</v>
      </c>
      <c r="R623" t="n">
        <v>0</v>
      </c>
      <c r="S623" t="n">
        <v>1</v>
      </c>
      <c r="T623" t="n">
        <v>1</v>
      </c>
      <c r="U623" t="n">
        <v>1</v>
      </c>
      <c r="V623" s="2" t="inlineStr">
        <is>
          <t>Duvhök</t>
        </is>
      </c>
      <c r="W623">
        <f>HYPERLINK("https://klasma.github.io/Logging_1764/artfynd/A 47146-2025 artfynd.xlsx", "A 47146-2025")</f>
        <v/>
      </c>
      <c r="X623">
        <f>HYPERLINK("https://klasma.github.io/Logging_1764/kartor/A 47146-2025 karta.png", "A 47146-2025")</f>
        <v/>
      </c>
      <c r="Y623">
        <f>HYPERLINK("https://klasma.github.io/Logging_1764/kartor_geotiff/A 47146-2025 georefererad karta.tif", "A 47146-2025")</f>
        <v/>
      </c>
      <c r="AA623">
        <f>HYPERLINK("https://klasma.github.io/Logging_1764/klagomål/A 47146-2025 FSC-klagomål.docx", "A 47146-2025")</f>
        <v/>
      </c>
      <c r="AB623">
        <f>HYPERLINK("https://klasma.github.io/Logging_1764/klagomålsmail/A 47146-2025 FSC-klagomål mail.docx", "A 47146-2025")</f>
        <v/>
      </c>
      <c r="AC623">
        <f>HYPERLINK("https://klasma.github.io/Logging_1764/tillsyn/A 47146-2025 tillsynsbegäran.docx", "A 47146-2025")</f>
        <v/>
      </c>
      <c r="AD623">
        <f>HYPERLINK("https://klasma.github.io/Logging_1764/tillsynsmail/A 47146-2025 tillsynsbegäran mail.docx", "A 47146-2025")</f>
        <v/>
      </c>
      <c r="AE623">
        <f>HYPERLINK("https://klasma.github.io/Logging_1764/fåglar/A 47146-2025 prioriterade fågelarter.docx", "A 47146-2025")</f>
        <v/>
      </c>
    </row>
    <row r="624" ht="15" customHeight="1">
      <c r="A624" t="inlineStr">
        <is>
          <t>A 14002-2022</t>
        </is>
      </c>
      <c r="B624" t="inlineStr">
        <is>
          <t>avverkningsanmälan</t>
        </is>
      </c>
      <c r="C624" t="inlineStr">
        <is>
          <t>Föryngringsavverkning</t>
        </is>
      </c>
      <c r="D624" s="1" t="n">
        <v>44650</v>
      </c>
      <c r="E624" s="1" t="n">
        <v>46307</v>
      </c>
      <c r="F624" t="inlineStr">
        <is>
          <t>VÄRMLANDS LÄN</t>
        </is>
      </c>
      <c r="G624" t="inlineStr">
        <is>
          <t>KARLSTAD</t>
        </is>
      </c>
      <c r="I624" t="n">
        <v>2.3</v>
      </c>
      <c r="J624" t="n">
        <v>1</v>
      </c>
      <c r="K624" t="n">
        <v>0</v>
      </c>
      <c r="L624" t="n">
        <v>0</v>
      </c>
      <c r="M624" t="n">
        <v>1</v>
      </c>
      <c r="N624" t="n">
        <v>0</v>
      </c>
      <c r="O624" t="n">
        <v>0</v>
      </c>
      <c r="P624" t="n">
        <v>0</v>
      </c>
      <c r="Q624" t="n">
        <v>1</v>
      </c>
      <c r="R624" t="n">
        <v>1</v>
      </c>
      <c r="S624" t="n">
        <v>1</v>
      </c>
      <c r="T624" t="n">
        <v>3</v>
      </c>
      <c r="U624" t="n">
        <v>3</v>
      </c>
      <c r="V624" s="2" t="inlineStr">
        <is>
          <t>Knärot</t>
        </is>
      </c>
      <c r="W624">
        <f>HYPERLINK("https://klasma.github.io/Logging_1780/artfynd/A 14002-2022 artfynd.xlsx", "A 14002-2022")</f>
        <v/>
      </c>
      <c r="X624">
        <f>HYPERLINK("https://klasma.github.io/Logging_1780/kartor/A 14002-2022 karta.png", "A 14002-2022")</f>
        <v/>
      </c>
      <c r="Y624">
        <f>HYPERLINK("https://klasma.github.io/Logging_1780/kartor_geotiff/A 14002-2022 georefererad karta.tif", "A 14002-2022")</f>
        <v/>
      </c>
      <c r="Z624">
        <f>HYPERLINK("https://klasma.github.io/Logging_1780/knärot/A 14002-2022 karta knärot.png", "A 14002-2022")</f>
        <v/>
      </c>
      <c r="AA624">
        <f>HYPERLINK("https://klasma.github.io/Logging_1780/klagomål/A 14002-2022 FSC-klagomål.docx", "A 14002-2022")</f>
        <v/>
      </c>
      <c r="AB624">
        <f>HYPERLINK("https://klasma.github.io/Logging_1780/klagomålsmail/A 14002-2022 FSC-klagomål mail.docx", "A 14002-2022")</f>
        <v/>
      </c>
      <c r="AC624">
        <f>HYPERLINK("https://klasma.github.io/Logging_1780/tillsyn/A 14002-2022 tillsynsbegäran.docx", "A 14002-2022")</f>
        <v/>
      </c>
      <c r="AD624">
        <f>HYPERLINK("https://klasma.github.io/Logging_1780/tillsynsmail/A 14002-2022 tillsynsbegäran mail.docx", "A 14002-2022")</f>
        <v/>
      </c>
    </row>
    <row r="625" ht="15" customHeight="1">
      <c r="A625" t="inlineStr">
        <is>
          <t>A 47631-2025</t>
        </is>
      </c>
      <c r="B625" t="inlineStr">
        <is>
          <t>avverkningsanmälan</t>
        </is>
      </c>
      <c r="C625" t="inlineStr">
        <is>
          <t>Föryngringsavverkning</t>
        </is>
      </c>
      <c r="D625" s="1" t="n">
        <v>45931</v>
      </c>
      <c r="E625" s="1" t="n">
        <v>46307</v>
      </c>
      <c r="F625" t="inlineStr">
        <is>
          <t>VÄRMLANDS LÄN</t>
        </is>
      </c>
      <c r="G625" t="inlineStr">
        <is>
          <t>ÅRJÄNG</t>
        </is>
      </c>
      <c r="H625" t="inlineStr">
        <is>
          <t>Bergvik skog väst AB</t>
        </is>
      </c>
      <c r="I625" t="n">
        <v>6.6</v>
      </c>
      <c r="J625" t="n">
        <v>0</v>
      </c>
      <c r="K625" t="n">
        <v>0</v>
      </c>
      <c r="L625" t="n">
        <v>0</v>
      </c>
      <c r="M625" t="n">
        <v>1</v>
      </c>
      <c r="N625" t="n">
        <v>0</v>
      </c>
      <c r="O625" t="n">
        <v>0</v>
      </c>
      <c r="P625" t="n">
        <v>0</v>
      </c>
      <c r="Q625" t="n">
        <v>1</v>
      </c>
      <c r="R625" t="n">
        <v>1</v>
      </c>
      <c r="S625" t="n">
        <v>1</v>
      </c>
      <c r="T625" t="n">
        <v>1</v>
      </c>
      <c r="U625" t="n">
        <v>0</v>
      </c>
      <c r="V625" s="2" t="inlineStr">
        <is>
          <t>Slåttergubbe</t>
        </is>
      </c>
      <c r="W625">
        <f>HYPERLINK("https://klasma.github.io/Logging_1765/artfynd/A 47631-2025 artfynd.xlsx", "A 47631-2025")</f>
        <v/>
      </c>
      <c r="X625">
        <f>HYPERLINK("https://klasma.github.io/Logging_1765/kartor/A 47631-2025 karta.png", "A 47631-2025")</f>
        <v/>
      </c>
      <c r="Y625">
        <f>HYPERLINK("https://klasma.github.io/Logging_1765/kartor_geotiff/A 47631-2025 georefererad karta.tif", "A 47631-2025")</f>
        <v/>
      </c>
      <c r="AA625">
        <f>HYPERLINK("https://klasma.github.io/Logging_1765/klagomål/A 47631-2025 FSC-klagomål.docx", "A 47631-2025")</f>
        <v/>
      </c>
      <c r="AB625">
        <f>HYPERLINK("https://klasma.github.io/Logging_1765/klagomålsmail/A 47631-2025 FSC-klagomål mail.docx", "A 47631-2025")</f>
        <v/>
      </c>
      <c r="AC625">
        <f>HYPERLINK("https://klasma.github.io/Logging_1765/tillsyn/A 47631-2025 tillsynsbegäran.docx", "A 47631-2025")</f>
        <v/>
      </c>
      <c r="AD625">
        <f>HYPERLINK("https://klasma.github.io/Logging_1765/tillsynsmail/A 47631-2025 tillsynsbegäran mail.docx", "A 47631-2025")</f>
        <v/>
      </c>
    </row>
    <row r="626" ht="15" customHeight="1">
      <c r="A626" t="inlineStr">
        <is>
          <t>A 11453-2025</t>
        </is>
      </c>
      <c r="B626" t="inlineStr">
        <is>
          <t>avverkningsanmälan</t>
        </is>
      </c>
      <c r="C626" t="inlineStr">
        <is>
          <t>Föryngringsavverkning</t>
        </is>
      </c>
      <c r="D626" s="1" t="n">
        <v>45726</v>
      </c>
      <c r="E626" s="1" t="n">
        <v>46307</v>
      </c>
      <c r="F626" t="inlineStr">
        <is>
          <t>VÄRMLANDS LÄN</t>
        </is>
      </c>
      <c r="G626" t="inlineStr">
        <is>
          <t>FILIPSTAD</t>
        </is>
      </c>
      <c r="I626" t="n">
        <v>7</v>
      </c>
      <c r="J626" t="n">
        <v>1</v>
      </c>
      <c r="K626" t="n">
        <v>1</v>
      </c>
      <c r="L626" t="n">
        <v>0</v>
      </c>
      <c r="M626" t="n">
        <v>0</v>
      </c>
      <c r="N626" t="n">
        <v>0</v>
      </c>
      <c r="O626" t="n">
        <v>0</v>
      </c>
      <c r="P626" t="n">
        <v>0</v>
      </c>
      <c r="Q626" t="n">
        <v>0</v>
      </c>
      <c r="R626" t="n">
        <v>0</v>
      </c>
      <c r="S626" t="n">
        <v>1</v>
      </c>
      <c r="T626" t="n">
        <v>1</v>
      </c>
      <c r="U626" t="n">
        <v>0</v>
      </c>
      <c r="V626" s="2" t="inlineStr">
        <is>
          <t>Purpurknipprot</t>
        </is>
      </c>
      <c r="W626">
        <f>HYPERLINK("https://klasma.github.io/Logging_1782/artfynd/A 11453-2025 artfynd.xlsx", "A 11453-2025")</f>
        <v/>
      </c>
      <c r="X626">
        <f>HYPERLINK("https://klasma.github.io/Logging_1782/kartor/A 11453-2025 karta.png", "A 11453-2025")</f>
        <v/>
      </c>
      <c r="Y626">
        <f>HYPERLINK("https://klasma.github.io/Logging_1782/kartor_geotiff/A 11453-2025 georefererad karta.tif", "A 11453-2025")</f>
        <v/>
      </c>
      <c r="AA626">
        <f>HYPERLINK("https://klasma.github.io/Logging_1782/klagomål/A 11453-2025 FSC-klagomål.docx", "A 11453-2025")</f>
        <v/>
      </c>
      <c r="AB626">
        <f>HYPERLINK("https://klasma.github.io/Logging_1782/klagomålsmail/A 11453-2025 FSC-klagomål mail.docx", "A 11453-2025")</f>
        <v/>
      </c>
      <c r="AC626">
        <f>HYPERLINK("https://klasma.github.io/Logging_1782/tillsyn/A 11453-2025 tillsynsbegäran.docx", "A 11453-2025")</f>
        <v/>
      </c>
      <c r="AD626">
        <f>HYPERLINK("https://klasma.github.io/Logging_1782/tillsynsmail/A 11453-2025 tillsynsbegäran mail.docx", "A 11453-2025")</f>
        <v/>
      </c>
    </row>
    <row r="627" ht="15" customHeight="1">
      <c r="A627" t="inlineStr">
        <is>
          <t>A 52411-2024</t>
        </is>
      </c>
      <c r="B627" t="inlineStr">
        <is>
          <t>avverkningsanmälan</t>
        </is>
      </c>
      <c r="C627" t="inlineStr">
        <is>
          <t>Avverkning för annat ändamål</t>
        </is>
      </c>
      <c r="D627" s="1" t="n">
        <v>45608</v>
      </c>
      <c r="E627" s="1" t="n">
        <v>46307</v>
      </c>
      <c r="F627" t="inlineStr">
        <is>
          <t>VÄRMLANDS LÄN</t>
        </is>
      </c>
      <c r="G627" t="inlineStr">
        <is>
          <t>SUNNE</t>
        </is>
      </c>
      <c r="I627" t="n">
        <v>0.9</v>
      </c>
      <c r="J627" t="n">
        <v>0</v>
      </c>
      <c r="K627" t="n">
        <v>0</v>
      </c>
      <c r="L627" t="n">
        <v>1</v>
      </c>
      <c r="M627" t="n">
        <v>0</v>
      </c>
      <c r="N627" t="n">
        <v>0</v>
      </c>
      <c r="O627" t="n">
        <v>0</v>
      </c>
      <c r="P627" t="n">
        <v>0</v>
      </c>
      <c r="Q627" t="n">
        <v>1</v>
      </c>
      <c r="R627" t="n">
        <v>0</v>
      </c>
      <c r="S627" t="n">
        <v>1</v>
      </c>
      <c r="T627" t="n">
        <v>1</v>
      </c>
      <c r="U627" t="n">
        <v>1</v>
      </c>
      <c r="V627" s="2" t="inlineStr">
        <is>
          <t>Gullklöver</t>
        </is>
      </c>
      <c r="W627">
        <f>HYPERLINK("https://klasma.github.io/Logging_1766/artfynd/A 52411-2024 artfynd.xlsx", "A 52411-2024")</f>
        <v/>
      </c>
      <c r="X627">
        <f>HYPERLINK("https://klasma.github.io/Logging_1766/kartor/A 52411-2024 karta.png", "A 52411-2024")</f>
        <v/>
      </c>
      <c r="Y627">
        <f>HYPERLINK("https://klasma.github.io/Logging_1766/kartor_geotiff/A 52411-2024 georefererad karta.tif", "A 52411-2024")</f>
        <v/>
      </c>
      <c r="AA627">
        <f>HYPERLINK("https://klasma.github.io/Logging_1766/klagomål/A 52411-2024 FSC-klagomål.docx", "A 52411-2024")</f>
        <v/>
      </c>
      <c r="AB627">
        <f>HYPERLINK("https://klasma.github.io/Logging_1766/klagomålsmail/A 52411-2024 FSC-klagomål mail.docx", "A 52411-2024")</f>
        <v/>
      </c>
      <c r="AC627">
        <f>HYPERLINK("https://klasma.github.io/Logging_1766/tillsyn/A 52411-2024 tillsynsbegäran.docx", "A 52411-2024")</f>
        <v/>
      </c>
      <c r="AD627">
        <f>HYPERLINK("https://klasma.github.io/Logging_1766/tillsynsmail/A 52411-2024 tillsynsbegäran mail.docx", "A 52411-2024")</f>
        <v/>
      </c>
    </row>
    <row r="628" ht="15" customHeight="1">
      <c r="A628" t="inlineStr">
        <is>
          <t>A 60965-2024</t>
        </is>
      </c>
      <c r="B628" t="inlineStr">
        <is>
          <t>avverkningsanmälan</t>
        </is>
      </c>
      <c r="C628" t="inlineStr">
        <is>
          <t>Föryngringsavverkning</t>
        </is>
      </c>
      <c r="D628" s="1" t="n">
        <v>45644</v>
      </c>
      <c r="E628" s="1" t="n">
        <v>46307</v>
      </c>
      <c r="F628" t="inlineStr">
        <is>
          <t>VÄRMLANDS LÄN</t>
        </is>
      </c>
      <c r="G628" t="inlineStr">
        <is>
          <t>SÄFFLE</t>
        </is>
      </c>
      <c r="I628" t="n">
        <v>2.9</v>
      </c>
      <c r="J628" t="n">
        <v>0</v>
      </c>
      <c r="K628" t="n">
        <v>0</v>
      </c>
      <c r="L628" t="n">
        <v>1</v>
      </c>
      <c r="M628" t="n">
        <v>0</v>
      </c>
      <c r="N628" t="n">
        <v>0</v>
      </c>
      <c r="O628" t="n">
        <v>0</v>
      </c>
      <c r="P628" t="n">
        <v>0</v>
      </c>
      <c r="Q628" t="n">
        <v>1</v>
      </c>
      <c r="R628" t="n">
        <v>0</v>
      </c>
      <c r="S628" t="n">
        <v>1</v>
      </c>
      <c r="T628" t="n">
        <v>1</v>
      </c>
      <c r="U628" t="n">
        <v>0</v>
      </c>
      <c r="V628" s="2" t="inlineStr">
        <is>
          <t>Skogsklocka</t>
        </is>
      </c>
      <c r="W628">
        <f>HYPERLINK("https://klasma.github.io/Logging_1785/artfynd/A 60965-2024 artfynd.xlsx", "A 60965-2024")</f>
        <v/>
      </c>
      <c r="X628">
        <f>HYPERLINK("https://klasma.github.io/Logging_1785/kartor/A 60965-2024 karta.png", "A 60965-2024")</f>
        <v/>
      </c>
      <c r="Y628">
        <f>HYPERLINK("https://klasma.github.io/Logging_1785/kartor_geotiff/A 60965-2024 georefererad karta.tif", "A 60965-2024")</f>
        <v/>
      </c>
      <c r="AA628">
        <f>HYPERLINK("https://klasma.github.io/Logging_1785/klagomål/A 60965-2024 FSC-klagomål.docx", "A 60965-2024")</f>
        <v/>
      </c>
      <c r="AB628">
        <f>HYPERLINK("https://klasma.github.io/Logging_1785/klagomålsmail/A 60965-2024 FSC-klagomål mail.docx", "A 60965-2024")</f>
        <v/>
      </c>
      <c r="AC628">
        <f>HYPERLINK("https://klasma.github.io/Logging_1785/tillsyn/A 60965-2024 tillsynsbegäran.docx", "A 60965-2024")</f>
        <v/>
      </c>
      <c r="AD628">
        <f>HYPERLINK("https://klasma.github.io/Logging_1785/tillsynsmail/A 60965-2024 tillsynsbegäran mail.docx", "A 60965-2024")</f>
        <v/>
      </c>
    </row>
    <row r="629" ht="15" customHeight="1">
      <c r="A629" t="inlineStr">
        <is>
          <t>A 47695-2025</t>
        </is>
      </c>
      <c r="B629" t="inlineStr">
        <is>
          <t>avverkningsanmälan</t>
        </is>
      </c>
      <c r="C629" t="inlineStr">
        <is>
          <t>Föryngringsavverkning</t>
        </is>
      </c>
      <c r="D629" s="1" t="n">
        <v>45931</v>
      </c>
      <c r="E629" s="1" t="n">
        <v>46307</v>
      </c>
      <c r="F629" t="inlineStr">
        <is>
          <t>VÄRMLANDS LÄN</t>
        </is>
      </c>
      <c r="G629" t="inlineStr">
        <is>
          <t>ÅRJÄNG</t>
        </is>
      </c>
      <c r="I629" t="n">
        <v>8.300000000000001</v>
      </c>
      <c r="J629" t="n">
        <v>0</v>
      </c>
      <c r="K629" t="n">
        <v>0</v>
      </c>
      <c r="L629" t="n">
        <v>0</v>
      </c>
      <c r="M629" t="n">
        <v>1</v>
      </c>
      <c r="N629" t="n">
        <v>0</v>
      </c>
      <c r="O629" t="n">
        <v>0</v>
      </c>
      <c r="P629" t="n">
        <v>0</v>
      </c>
      <c r="Q629" t="n">
        <v>1</v>
      </c>
      <c r="R629" t="n">
        <v>1</v>
      </c>
      <c r="S629" t="n">
        <v>1</v>
      </c>
      <c r="T629" t="n">
        <v>2</v>
      </c>
      <c r="U629" t="n">
        <v>0</v>
      </c>
      <c r="V629" s="2" t="inlineStr">
        <is>
          <t>Slåttergubbe</t>
        </is>
      </c>
      <c r="W629">
        <f>HYPERLINK("https://klasma.github.io/Logging_1765/artfynd/A 47695-2025 artfynd.xlsx", "A 47695-2025")</f>
        <v/>
      </c>
      <c r="X629">
        <f>HYPERLINK("https://klasma.github.io/Logging_1765/kartor/A 47695-2025 karta.png", "A 47695-2025")</f>
        <v/>
      </c>
      <c r="Y629">
        <f>HYPERLINK("https://klasma.github.io/Logging_1765/kartor_geotiff/A 47695-2025 georefererad karta.tif", "A 47695-2025")</f>
        <v/>
      </c>
      <c r="AA629">
        <f>HYPERLINK("https://klasma.github.io/Logging_1765/klagomål/A 47695-2025 FSC-klagomål.docx", "A 47695-2025")</f>
        <v/>
      </c>
      <c r="AB629">
        <f>HYPERLINK("https://klasma.github.io/Logging_1765/klagomålsmail/A 47695-2025 FSC-klagomål mail.docx", "A 47695-2025")</f>
        <v/>
      </c>
      <c r="AC629">
        <f>HYPERLINK("https://klasma.github.io/Logging_1765/tillsyn/A 47695-2025 tillsynsbegäran.docx", "A 47695-2025")</f>
        <v/>
      </c>
      <c r="AD629">
        <f>HYPERLINK("https://klasma.github.io/Logging_1765/tillsynsmail/A 47695-2025 tillsynsbegäran mail.docx", "A 47695-2025")</f>
        <v/>
      </c>
    </row>
    <row r="630" ht="15" customHeight="1">
      <c r="A630" t="inlineStr">
        <is>
          <t>A 14738-2024</t>
        </is>
      </c>
      <c r="B630" t="inlineStr">
        <is>
          <t>avverkningsanmälan</t>
        </is>
      </c>
      <c r="C630" t="inlineStr">
        <is>
          <t>Föryngringsavverkning</t>
        </is>
      </c>
      <c r="D630" s="1" t="n">
        <v>45397</v>
      </c>
      <c r="E630" s="1" t="n">
        <v>46307</v>
      </c>
      <c r="F630" t="inlineStr">
        <is>
          <t>VÄRMLANDS LÄN</t>
        </is>
      </c>
      <c r="G630" t="inlineStr">
        <is>
          <t>SÄFFLE</t>
        </is>
      </c>
      <c r="I630" t="n">
        <v>3.7</v>
      </c>
      <c r="J630" t="n">
        <v>0</v>
      </c>
      <c r="K630" t="n">
        <v>0</v>
      </c>
      <c r="L630" t="n">
        <v>1</v>
      </c>
      <c r="M630" t="n">
        <v>0</v>
      </c>
      <c r="N630" t="n">
        <v>0</v>
      </c>
      <c r="O630" t="n">
        <v>0</v>
      </c>
      <c r="P630" t="n">
        <v>0</v>
      </c>
      <c r="Q630" t="n">
        <v>1</v>
      </c>
      <c r="R630" t="n">
        <v>0</v>
      </c>
      <c r="S630" t="n">
        <v>1</v>
      </c>
      <c r="T630" t="n">
        <v>1</v>
      </c>
      <c r="U630" t="n">
        <v>0</v>
      </c>
      <c r="V630" s="2" t="inlineStr">
        <is>
          <t>Kortskaftad ärgspik</t>
        </is>
      </c>
      <c r="W630">
        <f>HYPERLINK("https://klasma.github.io/Logging_1785/artfynd/A 14738-2024 artfynd.xlsx", "A 14738-2024")</f>
        <v/>
      </c>
      <c r="X630">
        <f>HYPERLINK("https://klasma.github.io/Logging_1785/kartor/A 14738-2024 karta.png", "A 14738-2024")</f>
        <v/>
      </c>
      <c r="Y630">
        <f>HYPERLINK("https://klasma.github.io/Logging_1785/kartor_geotiff/A 14738-2024 georefererad karta.tif", "A 14738-2024")</f>
        <v/>
      </c>
      <c r="AA630">
        <f>HYPERLINK("https://klasma.github.io/Logging_1785/klagomål/A 14738-2024 FSC-klagomål.docx", "A 14738-2024")</f>
        <v/>
      </c>
      <c r="AB630">
        <f>HYPERLINK("https://klasma.github.io/Logging_1785/klagomålsmail/A 14738-2024 FSC-klagomål mail.docx", "A 14738-2024")</f>
        <v/>
      </c>
      <c r="AC630">
        <f>HYPERLINK("https://klasma.github.io/Logging_1785/tillsyn/A 14738-2024 tillsynsbegäran.docx", "A 14738-2024")</f>
        <v/>
      </c>
      <c r="AD630">
        <f>HYPERLINK("https://klasma.github.io/Logging_1785/tillsynsmail/A 14738-2024 tillsynsbegäran mail.docx", "A 14738-2024")</f>
        <v/>
      </c>
    </row>
    <row r="631" ht="15" customHeight="1">
      <c r="A631" t="inlineStr">
        <is>
          <t>A 2406-2025</t>
        </is>
      </c>
      <c r="B631" t="inlineStr">
        <is>
          <t>avverkningsanmälan</t>
        </is>
      </c>
      <c r="C631" t="inlineStr">
        <is>
          <t>Föryngringsavverkning</t>
        </is>
      </c>
      <c r="D631" s="1" t="n">
        <v>45674</v>
      </c>
      <c r="E631" s="1" t="n">
        <v>46307</v>
      </c>
      <c r="F631" t="inlineStr">
        <is>
          <t>VÄRMLANDS LÄN</t>
        </is>
      </c>
      <c r="G631" t="inlineStr">
        <is>
          <t>KRISTINEHAMN</t>
        </is>
      </c>
      <c r="I631" t="n">
        <v>9.699999999999999</v>
      </c>
      <c r="J631" t="n">
        <v>1</v>
      </c>
      <c r="K631" t="n">
        <v>0</v>
      </c>
      <c r="L631" t="n">
        <v>0</v>
      </c>
      <c r="M631" t="n">
        <v>0</v>
      </c>
      <c r="N631" t="n">
        <v>0</v>
      </c>
      <c r="O631" t="n">
        <v>0</v>
      </c>
      <c r="P631" t="n">
        <v>0</v>
      </c>
      <c r="Q631" t="n">
        <v>0</v>
      </c>
      <c r="R631" t="n">
        <v>0</v>
      </c>
      <c r="S631" t="n">
        <v>1</v>
      </c>
      <c r="T631" t="n">
        <v>1</v>
      </c>
      <c r="U631" t="n">
        <v>1</v>
      </c>
      <c r="V631" s="2" t="inlineStr">
        <is>
          <t>Fläcknycklar</t>
        </is>
      </c>
      <c r="W631">
        <f>HYPERLINK("https://klasma.github.io/Logging_1781/artfynd/A 2406-2025 artfynd.xlsx", "A 2406-2025")</f>
        <v/>
      </c>
      <c r="X631">
        <f>HYPERLINK("https://klasma.github.io/Logging_1781/kartor/A 2406-2025 karta.png", "A 2406-2025")</f>
        <v/>
      </c>
      <c r="Y631">
        <f>HYPERLINK("https://klasma.github.io/Logging_1781/kartor_geotiff/A 2406-2025 georefererad karta.tif", "A 2406-2025")</f>
        <v/>
      </c>
      <c r="AA631">
        <f>HYPERLINK("https://klasma.github.io/Logging_1781/klagomål/A 2406-2025 FSC-klagomål.docx", "A 2406-2025")</f>
        <v/>
      </c>
      <c r="AB631">
        <f>HYPERLINK("https://klasma.github.io/Logging_1781/klagomålsmail/A 2406-2025 FSC-klagomål mail.docx", "A 2406-2025")</f>
        <v/>
      </c>
      <c r="AC631">
        <f>HYPERLINK("https://klasma.github.io/Logging_1781/tillsyn/A 2406-2025 tillsynsbegäran.docx", "A 2406-2025")</f>
        <v/>
      </c>
      <c r="AD631">
        <f>HYPERLINK("https://klasma.github.io/Logging_1781/tillsynsmail/A 2406-2025 tillsynsbegäran mail.docx", "A 2406-2025")</f>
        <v/>
      </c>
    </row>
    <row r="632" ht="15" customHeight="1">
      <c r="A632" t="inlineStr">
        <is>
          <t>A 10602-2025</t>
        </is>
      </c>
      <c r="B632" t="inlineStr">
        <is>
          <t>avverkningsanmälan</t>
        </is>
      </c>
      <c r="C632" t="inlineStr">
        <is>
          <t>Föryngringsavverkning</t>
        </is>
      </c>
      <c r="D632" s="1" t="n">
        <v>45721</v>
      </c>
      <c r="E632" s="1" t="n">
        <v>46307</v>
      </c>
      <c r="F632" t="inlineStr">
        <is>
          <t>VÄRMLANDS LÄN</t>
        </is>
      </c>
      <c r="G632" t="inlineStr">
        <is>
          <t>EDA</t>
        </is>
      </c>
      <c r="I632" t="n">
        <v>1.8</v>
      </c>
      <c r="J632" t="n">
        <v>1</v>
      </c>
      <c r="K632" t="n">
        <v>0</v>
      </c>
      <c r="L632" t="n">
        <v>0</v>
      </c>
      <c r="M632" t="n">
        <v>0</v>
      </c>
      <c r="N632" t="n">
        <v>0</v>
      </c>
      <c r="O632" t="n">
        <v>0</v>
      </c>
      <c r="P632" t="n">
        <v>0</v>
      </c>
      <c r="Q632" t="n">
        <v>0</v>
      </c>
      <c r="R632" t="n">
        <v>0</v>
      </c>
      <c r="S632" t="n">
        <v>1</v>
      </c>
      <c r="T632" t="n">
        <v>1</v>
      </c>
      <c r="U632" t="n">
        <v>1</v>
      </c>
      <c r="V632" s="2" t="inlineStr">
        <is>
          <t>Fläcknycklar</t>
        </is>
      </c>
      <c r="W632">
        <f>HYPERLINK("https://klasma.github.io/Logging_1730/artfynd/A 10602-2025 artfynd.xlsx", "A 10602-2025")</f>
        <v/>
      </c>
      <c r="X632">
        <f>HYPERLINK("https://klasma.github.io/Logging_1730/kartor/A 10602-2025 karta.png", "A 10602-2025")</f>
        <v/>
      </c>
      <c r="Y632">
        <f>HYPERLINK("https://klasma.github.io/Logging_1730/kartor_geotiff/A 10602-2025 georefererad karta.tif", "A 10602-2025")</f>
        <v/>
      </c>
      <c r="AA632">
        <f>HYPERLINK("https://klasma.github.io/Logging_1730/klagomål/A 10602-2025 FSC-klagomål.docx", "A 10602-2025")</f>
        <v/>
      </c>
      <c r="AB632">
        <f>HYPERLINK("https://klasma.github.io/Logging_1730/klagomålsmail/A 10602-2025 FSC-klagomål mail.docx", "A 10602-2025")</f>
        <v/>
      </c>
      <c r="AC632">
        <f>HYPERLINK("https://klasma.github.io/Logging_1730/tillsyn/A 10602-2025 tillsynsbegäran.docx", "A 10602-2025")</f>
        <v/>
      </c>
      <c r="AD632">
        <f>HYPERLINK("https://klasma.github.io/Logging_1730/tillsynsmail/A 10602-2025 tillsynsbegäran mail.docx", "A 10602-2025")</f>
        <v/>
      </c>
    </row>
    <row r="633" ht="15" customHeight="1">
      <c r="A633" t="inlineStr">
        <is>
          <t>A 60844-2024</t>
        </is>
      </c>
      <c r="B633" t="inlineStr">
        <is>
          <t>avverkningsanmälan</t>
        </is>
      </c>
      <c r="C633" t="inlineStr">
        <is>
          <t>Föryngringsavverkning</t>
        </is>
      </c>
      <c r="D633" s="1" t="n">
        <v>45644</v>
      </c>
      <c r="E633" s="1" t="n">
        <v>46307</v>
      </c>
      <c r="F633" t="inlineStr">
        <is>
          <t>VÄRMLANDS LÄN</t>
        </is>
      </c>
      <c r="G633" t="inlineStr">
        <is>
          <t>ARVIKA</t>
        </is>
      </c>
      <c r="I633" t="n">
        <v>3.8</v>
      </c>
      <c r="J633" t="n">
        <v>1</v>
      </c>
      <c r="K633" t="n">
        <v>0</v>
      </c>
      <c r="L633" t="n">
        <v>0</v>
      </c>
      <c r="M633" t="n">
        <v>0</v>
      </c>
      <c r="N633" t="n">
        <v>0</v>
      </c>
      <c r="O633" t="n">
        <v>0</v>
      </c>
      <c r="P633" t="n">
        <v>0</v>
      </c>
      <c r="Q633" t="n">
        <v>0</v>
      </c>
      <c r="R633" t="n">
        <v>0</v>
      </c>
      <c r="S633" t="n">
        <v>1</v>
      </c>
      <c r="T633" t="n">
        <v>1</v>
      </c>
      <c r="U633" t="n">
        <v>0</v>
      </c>
      <c r="V633" s="2" t="inlineStr">
        <is>
          <t>Fiskgjuse</t>
        </is>
      </c>
      <c r="W633">
        <f>HYPERLINK("https://klasma.github.io/Logging_1784/artfynd/A 60844-2024 artfynd.xlsx", "A 60844-2024")</f>
        <v/>
      </c>
      <c r="X633">
        <f>HYPERLINK("https://klasma.github.io/Logging_1784/kartor/A 60844-2024 karta.png", "A 60844-2024")</f>
        <v/>
      </c>
      <c r="Y633">
        <f>HYPERLINK("https://klasma.github.io/Logging_1784/kartor_geotiff/A 60844-2024 georefererad karta.tif", "A 60844-2024")</f>
        <v/>
      </c>
      <c r="AA633">
        <f>HYPERLINK("https://klasma.github.io/Logging_1784/klagomål/A 60844-2024 FSC-klagomål.docx", "A 60844-2024")</f>
        <v/>
      </c>
      <c r="AB633">
        <f>HYPERLINK("https://klasma.github.io/Logging_1784/klagomålsmail/A 60844-2024 FSC-klagomål mail.docx", "A 60844-2024")</f>
        <v/>
      </c>
      <c r="AC633">
        <f>HYPERLINK("https://klasma.github.io/Logging_1784/tillsyn/A 60844-2024 tillsynsbegäran.docx", "A 60844-2024")</f>
        <v/>
      </c>
      <c r="AD633">
        <f>HYPERLINK("https://klasma.github.io/Logging_1784/tillsynsmail/A 60844-2024 tillsynsbegäran mail.docx", "A 60844-2024")</f>
        <v/>
      </c>
      <c r="AE633">
        <f>HYPERLINK("https://klasma.github.io/Logging_1784/fåglar/A 60844-2024 prioriterade fågelarter.docx", "A 60844-2024")</f>
        <v/>
      </c>
    </row>
    <row r="634" ht="15" customHeight="1">
      <c r="A634" t="inlineStr">
        <is>
          <t>A 21365-2022</t>
        </is>
      </c>
      <c r="B634" t="inlineStr">
        <is>
          <t>avverkningsanmälan</t>
        </is>
      </c>
      <c r="C634" t="inlineStr">
        <is>
          <t>Föryngringsavverkning</t>
        </is>
      </c>
      <c r="D634" s="1" t="n">
        <v>44705</v>
      </c>
      <c r="E634" s="1" t="n">
        <v>46307</v>
      </c>
      <c r="F634" t="inlineStr">
        <is>
          <t>VÄRMLANDS LÄN</t>
        </is>
      </c>
      <c r="G634" t="inlineStr">
        <is>
          <t>ÅRJÄNG</t>
        </is>
      </c>
      <c r="I634" t="n">
        <v>1.8</v>
      </c>
      <c r="J634" t="n">
        <v>0</v>
      </c>
      <c r="K634" t="n">
        <v>0</v>
      </c>
      <c r="L634" t="n">
        <v>0</v>
      </c>
      <c r="M634" t="n">
        <v>0</v>
      </c>
      <c r="N634" t="n">
        <v>1</v>
      </c>
      <c r="O634" t="n">
        <v>0</v>
      </c>
      <c r="P634" t="n">
        <v>0</v>
      </c>
      <c r="Q634" t="n">
        <v>1</v>
      </c>
      <c r="R634" t="n">
        <v>1</v>
      </c>
      <c r="S634" t="n">
        <v>1</v>
      </c>
      <c r="T634" t="n">
        <v>1</v>
      </c>
      <c r="U634" t="n">
        <v>0</v>
      </c>
      <c r="V634" s="2" t="inlineStr">
        <is>
          <t>Ask</t>
        </is>
      </c>
      <c r="W634">
        <f>HYPERLINK("https://klasma.github.io/Logging_1765/artfynd/A 21365-2022 artfynd.xlsx", "A 21365-2022")</f>
        <v/>
      </c>
      <c r="X634">
        <f>HYPERLINK("https://klasma.github.io/Logging_1765/kartor/A 21365-2022 karta.png", "A 21365-2022")</f>
        <v/>
      </c>
      <c r="Y634">
        <f>HYPERLINK("https://klasma.github.io/Logging_1765/kartor_geotiff/A 21365-2022 georefererad karta.tif", "A 21365-2022")</f>
        <v/>
      </c>
      <c r="AA634">
        <f>HYPERLINK("https://klasma.github.io/Logging_1765/klagomål/A 21365-2022 FSC-klagomål.docx", "A 21365-2022")</f>
        <v/>
      </c>
      <c r="AB634">
        <f>HYPERLINK("https://klasma.github.io/Logging_1765/klagomålsmail/A 21365-2022 FSC-klagomål mail.docx", "A 21365-2022")</f>
        <v/>
      </c>
      <c r="AC634">
        <f>HYPERLINK("https://klasma.github.io/Logging_1765/tillsyn/A 21365-2022 tillsynsbegäran.docx", "A 21365-2022")</f>
        <v/>
      </c>
      <c r="AD634">
        <f>HYPERLINK("https://klasma.github.io/Logging_1765/tillsynsmail/A 21365-2022 tillsynsbegäran mail.docx", "A 21365-2022")</f>
        <v/>
      </c>
    </row>
    <row r="635" ht="15" customHeight="1">
      <c r="A635" t="inlineStr">
        <is>
          <t>A 2046-2023</t>
        </is>
      </c>
      <c r="B635" t="inlineStr">
        <is>
          <t>avverkningsanmälan</t>
        </is>
      </c>
      <c r="C635" t="inlineStr">
        <is>
          <t>Avverkning för annat ändamål</t>
        </is>
      </c>
      <c r="D635" s="1" t="n">
        <v>44938</v>
      </c>
      <c r="E635" s="1" t="n">
        <v>46307</v>
      </c>
      <c r="F635" t="inlineStr">
        <is>
          <t>VÄRMLANDS LÄN</t>
        </is>
      </c>
      <c r="G635" t="inlineStr">
        <is>
          <t>ARVIKA</t>
        </is>
      </c>
      <c r="I635" t="n">
        <v>0.6</v>
      </c>
      <c r="J635" t="n">
        <v>0</v>
      </c>
      <c r="K635" t="n">
        <v>0</v>
      </c>
      <c r="L635" t="n">
        <v>1</v>
      </c>
      <c r="M635" t="n">
        <v>0</v>
      </c>
      <c r="N635" t="n">
        <v>0</v>
      </c>
      <c r="O635" t="n">
        <v>0</v>
      </c>
      <c r="P635" t="n">
        <v>0</v>
      </c>
      <c r="Q635" t="n">
        <v>1</v>
      </c>
      <c r="R635" t="n">
        <v>0</v>
      </c>
      <c r="S635" t="n">
        <v>1</v>
      </c>
      <c r="T635" t="n">
        <v>1</v>
      </c>
      <c r="U635" t="n">
        <v>1</v>
      </c>
      <c r="V635" s="2" t="inlineStr">
        <is>
          <t>Skogsklocka</t>
        </is>
      </c>
      <c r="W635">
        <f>HYPERLINK("https://klasma.github.io/Logging_1784/artfynd/A 2046-2023 artfynd.xlsx", "A 2046-2023")</f>
        <v/>
      </c>
      <c r="X635">
        <f>HYPERLINK("https://klasma.github.io/Logging_1784/kartor/A 2046-2023 karta.png", "A 2046-2023")</f>
        <v/>
      </c>
      <c r="Y635">
        <f>HYPERLINK("https://klasma.github.io/Logging_1784/kartor_geotiff/A 2046-2023 georefererad karta.tif", "A 2046-2023")</f>
        <v/>
      </c>
      <c r="AA635">
        <f>HYPERLINK("https://klasma.github.io/Logging_1784/klagomål/A 2046-2023 FSC-klagomål.docx", "A 2046-2023")</f>
        <v/>
      </c>
      <c r="AB635">
        <f>HYPERLINK("https://klasma.github.io/Logging_1784/klagomålsmail/A 2046-2023 FSC-klagomål mail.docx", "A 2046-2023")</f>
        <v/>
      </c>
      <c r="AC635">
        <f>HYPERLINK("https://klasma.github.io/Logging_1784/tillsyn/A 2046-2023 tillsynsbegäran.docx", "A 2046-2023")</f>
        <v/>
      </c>
      <c r="AD635">
        <f>HYPERLINK("https://klasma.github.io/Logging_1784/tillsynsmail/A 2046-2023 tillsynsbegäran mail.docx", "A 2046-2023")</f>
        <v/>
      </c>
    </row>
    <row r="636" ht="15" customHeight="1">
      <c r="A636" t="inlineStr">
        <is>
          <t>A 59096-2024</t>
        </is>
      </c>
      <c r="B636" t="inlineStr">
        <is>
          <t>avverkningsanmälan</t>
        </is>
      </c>
      <c r="C636" t="inlineStr">
        <is>
          <t>Föryngringsavverkning</t>
        </is>
      </c>
      <c r="D636" s="1" t="n">
        <v>45637</v>
      </c>
      <c r="E636" s="1" t="n">
        <v>46307</v>
      </c>
      <c r="F636" t="inlineStr">
        <is>
          <t>VÄRMLANDS LÄN</t>
        </is>
      </c>
      <c r="G636" t="inlineStr">
        <is>
          <t>KRISTINEHAMN</t>
        </is>
      </c>
      <c r="I636" t="n">
        <v>4.4</v>
      </c>
      <c r="J636" t="n">
        <v>1</v>
      </c>
      <c r="K636" t="n">
        <v>0</v>
      </c>
      <c r="L636" t="n">
        <v>0</v>
      </c>
      <c r="M636" t="n">
        <v>0</v>
      </c>
      <c r="N636" t="n">
        <v>1</v>
      </c>
      <c r="O636" t="n">
        <v>0</v>
      </c>
      <c r="P636" t="n">
        <v>0</v>
      </c>
      <c r="Q636" t="n">
        <v>1</v>
      </c>
      <c r="R636" t="n">
        <v>1</v>
      </c>
      <c r="S636" t="n">
        <v>1</v>
      </c>
      <c r="T636" t="n">
        <v>3</v>
      </c>
      <c r="U636" t="n">
        <v>0</v>
      </c>
      <c r="V636" s="2" t="inlineStr">
        <is>
          <t>Bombmurkla</t>
        </is>
      </c>
      <c r="W636">
        <f>HYPERLINK("https://klasma.github.io/Logging_1781/artfynd/A 59096-2024 artfynd.xlsx", "A 59096-2024")</f>
        <v/>
      </c>
      <c r="X636">
        <f>HYPERLINK("https://klasma.github.io/Logging_1781/kartor/A 59096-2024 karta.png", "A 59096-2024")</f>
        <v/>
      </c>
      <c r="Y636">
        <f>HYPERLINK("https://klasma.github.io/Logging_1781/kartor_geotiff/A 59096-2024 georefererad karta.tif", "A 59096-2024")</f>
        <v/>
      </c>
      <c r="AA636">
        <f>HYPERLINK("https://klasma.github.io/Logging_1781/klagomål/A 59096-2024 FSC-klagomål.docx", "A 59096-2024")</f>
        <v/>
      </c>
      <c r="AB636">
        <f>HYPERLINK("https://klasma.github.io/Logging_1781/klagomålsmail/A 59096-2024 FSC-klagomål mail.docx", "A 59096-2024")</f>
        <v/>
      </c>
      <c r="AC636">
        <f>HYPERLINK("https://klasma.github.io/Logging_1781/tillsyn/A 59096-2024 tillsynsbegäran.docx", "A 59096-2024")</f>
        <v/>
      </c>
      <c r="AD636">
        <f>HYPERLINK("https://klasma.github.io/Logging_1781/tillsynsmail/A 59096-2024 tillsynsbegäran mail.docx", "A 59096-2024")</f>
        <v/>
      </c>
    </row>
    <row r="637" ht="15" customHeight="1">
      <c r="A637" t="inlineStr">
        <is>
          <t>A 30550-2023</t>
        </is>
      </c>
      <c r="B637" t="inlineStr">
        <is>
          <t>avverkningsanmälan</t>
        </is>
      </c>
      <c r="C637" t="inlineStr">
        <is>
          <t>Föryngringsavverkning</t>
        </is>
      </c>
      <c r="D637" s="1" t="n">
        <v>45111</v>
      </c>
      <c r="E637" s="1" t="n">
        <v>46307</v>
      </c>
      <c r="F637" t="inlineStr">
        <is>
          <t>VÄRMLANDS LÄN</t>
        </is>
      </c>
      <c r="G637" t="inlineStr">
        <is>
          <t>ÅRJÄNG</t>
        </is>
      </c>
      <c r="I637" t="n">
        <v>3</v>
      </c>
      <c r="J637" t="n">
        <v>0</v>
      </c>
      <c r="K637" t="n">
        <v>0</v>
      </c>
      <c r="L637" t="n">
        <v>1</v>
      </c>
      <c r="M637" t="n">
        <v>0</v>
      </c>
      <c r="N637" t="n">
        <v>0</v>
      </c>
      <c r="O637" t="n">
        <v>0</v>
      </c>
      <c r="P637" t="n">
        <v>0</v>
      </c>
      <c r="Q637" t="n">
        <v>1</v>
      </c>
      <c r="R637" t="n">
        <v>0</v>
      </c>
      <c r="S637" t="n">
        <v>1</v>
      </c>
      <c r="T637" t="n">
        <v>1</v>
      </c>
      <c r="U637" t="n">
        <v>0</v>
      </c>
      <c r="V637" s="2" t="inlineStr">
        <is>
          <t>Lunglav</t>
        </is>
      </c>
      <c r="W637">
        <f>HYPERLINK("https://klasma.github.io/Logging_1765/artfynd/A 30550-2023 artfynd.xlsx", "A 30550-2023")</f>
        <v/>
      </c>
      <c r="X637">
        <f>HYPERLINK("https://klasma.github.io/Logging_1765/kartor/A 30550-2023 karta.png", "A 30550-2023")</f>
        <v/>
      </c>
      <c r="Y637">
        <f>HYPERLINK("https://klasma.github.io/Logging_1765/kartor_geotiff/A 30550-2023 georefererad karta.tif", "A 30550-2023")</f>
        <v/>
      </c>
      <c r="AA637">
        <f>HYPERLINK("https://klasma.github.io/Logging_1765/klagomål/A 30550-2023 FSC-klagomål.docx", "A 30550-2023")</f>
        <v/>
      </c>
      <c r="AB637">
        <f>HYPERLINK("https://klasma.github.io/Logging_1765/klagomålsmail/A 30550-2023 FSC-klagomål mail.docx", "A 30550-2023")</f>
        <v/>
      </c>
      <c r="AC637">
        <f>HYPERLINK("https://klasma.github.io/Logging_1765/tillsyn/A 30550-2023 tillsynsbegäran.docx", "A 30550-2023")</f>
        <v/>
      </c>
      <c r="AD637">
        <f>HYPERLINK("https://klasma.github.io/Logging_1765/tillsynsmail/A 30550-2023 tillsynsbegäran mail.docx", "A 30550-2023")</f>
        <v/>
      </c>
    </row>
    <row r="638" ht="15" customHeight="1">
      <c r="A638" t="inlineStr">
        <is>
          <t>A 24885-2025</t>
        </is>
      </c>
      <c r="B638" t="inlineStr">
        <is>
          <t>avverkningsanmälan</t>
        </is>
      </c>
      <c r="C638" t="inlineStr">
        <is>
          <t>Föryngringsavverkning</t>
        </is>
      </c>
      <c r="D638" s="1" t="n">
        <v>45799</v>
      </c>
      <c r="E638" s="1" t="n">
        <v>46307</v>
      </c>
      <c r="F638" t="inlineStr">
        <is>
          <t>VÄRMLANDS LÄN</t>
        </is>
      </c>
      <c r="G638" t="inlineStr">
        <is>
          <t>HAGFORS</t>
        </is>
      </c>
      <c r="H638" t="inlineStr">
        <is>
          <t>Bergvik skog väst AB</t>
        </is>
      </c>
      <c r="I638" t="n">
        <v>2</v>
      </c>
      <c r="J638" t="n">
        <v>0</v>
      </c>
      <c r="K638" t="n">
        <v>1</v>
      </c>
      <c r="L638" t="n">
        <v>0</v>
      </c>
      <c r="M638" t="n">
        <v>0</v>
      </c>
      <c r="N638" t="n">
        <v>0</v>
      </c>
      <c r="O638" t="n">
        <v>0</v>
      </c>
      <c r="P638" t="n">
        <v>0</v>
      </c>
      <c r="Q638" t="n">
        <v>0</v>
      </c>
      <c r="R638" t="n">
        <v>0</v>
      </c>
      <c r="S638" t="n">
        <v>1</v>
      </c>
      <c r="T638" t="n">
        <v>1</v>
      </c>
      <c r="U638" t="n">
        <v>0</v>
      </c>
      <c r="V638" s="2" t="inlineStr">
        <is>
          <t>Mörk husmossa</t>
        </is>
      </c>
      <c r="W638">
        <f>HYPERLINK("https://klasma.github.io/Logging_1783/artfynd/A 24885-2025 artfynd.xlsx", "A 24885-2025")</f>
        <v/>
      </c>
      <c r="X638">
        <f>HYPERLINK("https://klasma.github.io/Logging_1783/kartor/A 24885-2025 karta.png", "A 24885-2025")</f>
        <v/>
      </c>
      <c r="Y638">
        <f>HYPERLINK("https://klasma.github.io/Logging_1783/kartor_geotiff/A 24885-2025 georefererad karta.tif", "A 24885-2025")</f>
        <v/>
      </c>
      <c r="AA638">
        <f>HYPERLINK("https://klasma.github.io/Logging_1783/klagomål/A 24885-2025 FSC-klagomål.docx", "A 24885-2025")</f>
        <v/>
      </c>
      <c r="AB638">
        <f>HYPERLINK("https://klasma.github.io/Logging_1783/klagomålsmail/A 24885-2025 FSC-klagomål mail.docx", "A 24885-2025")</f>
        <v/>
      </c>
      <c r="AC638">
        <f>HYPERLINK("https://klasma.github.io/Logging_1783/tillsyn/A 24885-2025 tillsynsbegäran.docx", "A 24885-2025")</f>
        <v/>
      </c>
      <c r="AD638">
        <f>HYPERLINK("https://klasma.github.io/Logging_1783/tillsynsmail/A 24885-2025 tillsynsbegäran mail.docx", "A 24885-2025")</f>
        <v/>
      </c>
    </row>
    <row r="639" ht="15" customHeight="1">
      <c r="A639" t="inlineStr">
        <is>
          <t>A 17079-2022</t>
        </is>
      </c>
      <c r="B639" t="inlineStr">
        <is>
          <t>avverkningsanmälan</t>
        </is>
      </c>
      <c r="C639" t="inlineStr">
        <is>
          <t>Föryngringsavverkning</t>
        </is>
      </c>
      <c r="D639" s="1" t="n">
        <v>44677</v>
      </c>
      <c r="E639" s="1" t="n">
        <v>46307</v>
      </c>
      <c r="F639" t="inlineStr">
        <is>
          <t>VÄRMLANDS LÄN</t>
        </is>
      </c>
      <c r="G639" t="inlineStr">
        <is>
          <t>ARVIKA</t>
        </is>
      </c>
      <c r="H639" t="inlineStr">
        <is>
          <t>Bergvik skog väst AB</t>
        </is>
      </c>
      <c r="I639" t="n">
        <v>6</v>
      </c>
      <c r="J639" t="n">
        <v>0</v>
      </c>
      <c r="K639" t="n">
        <v>0</v>
      </c>
      <c r="L639" t="n">
        <v>1</v>
      </c>
      <c r="M639" t="n">
        <v>0</v>
      </c>
      <c r="N639" t="n">
        <v>0</v>
      </c>
      <c r="O639" t="n">
        <v>0</v>
      </c>
      <c r="P639" t="n">
        <v>0</v>
      </c>
      <c r="Q639" t="n">
        <v>1</v>
      </c>
      <c r="R639" t="n">
        <v>0</v>
      </c>
      <c r="S639" t="n">
        <v>1</v>
      </c>
      <c r="T639" t="n">
        <v>1</v>
      </c>
      <c r="U639" t="n">
        <v>1</v>
      </c>
      <c r="V639" s="2" t="inlineStr">
        <is>
          <t>Skogsklocka</t>
        </is>
      </c>
      <c r="W639">
        <f>HYPERLINK("https://klasma.github.io/Logging_1784/artfynd/A 17079-2022 artfynd.xlsx", "A 17079-2022")</f>
        <v/>
      </c>
      <c r="X639">
        <f>HYPERLINK("https://klasma.github.io/Logging_1784/kartor/A 17079-2022 karta.png", "A 17079-2022")</f>
        <v/>
      </c>
      <c r="Y639">
        <f>HYPERLINK("https://klasma.github.io/Logging_1784/kartor_geotiff/A 17079-2022 georefererad karta.tif", "A 17079-2022")</f>
        <v/>
      </c>
      <c r="AA639">
        <f>HYPERLINK("https://klasma.github.io/Logging_1784/klagomål/A 17079-2022 FSC-klagomål.docx", "A 17079-2022")</f>
        <v/>
      </c>
      <c r="AB639">
        <f>HYPERLINK("https://klasma.github.io/Logging_1784/klagomålsmail/A 17079-2022 FSC-klagomål mail.docx", "A 17079-2022")</f>
        <v/>
      </c>
      <c r="AC639">
        <f>HYPERLINK("https://klasma.github.io/Logging_1784/tillsyn/A 17079-2022 tillsynsbegäran.docx", "A 17079-2022")</f>
        <v/>
      </c>
      <c r="AD639">
        <f>HYPERLINK("https://klasma.github.io/Logging_1784/tillsynsmail/A 17079-2022 tillsynsbegäran mail.docx", "A 17079-2022")</f>
        <v/>
      </c>
    </row>
    <row r="640" ht="15" customHeight="1">
      <c r="A640" t="inlineStr">
        <is>
          <t>A 25888-2025</t>
        </is>
      </c>
      <c r="B640" t="inlineStr">
        <is>
          <t>avverkningsanmälan</t>
        </is>
      </c>
      <c r="C640" t="inlineStr">
        <is>
          <t>Föryngringsavverkning</t>
        </is>
      </c>
      <c r="D640" s="1" t="n">
        <v>45804</v>
      </c>
      <c r="E640" s="1" t="n">
        <v>46307</v>
      </c>
      <c r="F640" t="inlineStr">
        <is>
          <t>VÄRMLANDS LÄN</t>
        </is>
      </c>
      <c r="G640" t="inlineStr">
        <is>
          <t>KRISTINEHAMN</t>
        </is>
      </c>
      <c r="I640" t="n">
        <v>5.9</v>
      </c>
      <c r="J640" t="n">
        <v>1</v>
      </c>
      <c r="K640" t="n">
        <v>0</v>
      </c>
      <c r="L640" t="n">
        <v>0</v>
      </c>
      <c r="M640" t="n">
        <v>0</v>
      </c>
      <c r="N640" t="n">
        <v>0</v>
      </c>
      <c r="O640" t="n">
        <v>0</v>
      </c>
      <c r="P640" t="n">
        <v>0</v>
      </c>
      <c r="Q640" t="n">
        <v>0</v>
      </c>
      <c r="R640" t="n">
        <v>0</v>
      </c>
      <c r="S640" t="n">
        <v>1</v>
      </c>
      <c r="T640" t="n">
        <v>1</v>
      </c>
      <c r="U640" t="n">
        <v>0</v>
      </c>
      <c r="V640" s="2" t="inlineStr">
        <is>
          <t>Trana</t>
        </is>
      </c>
      <c r="W640">
        <f>HYPERLINK("https://klasma.github.io/Logging_1781/artfynd/A 25888-2025 artfynd.xlsx", "A 25888-2025")</f>
        <v/>
      </c>
      <c r="X640">
        <f>HYPERLINK("https://klasma.github.io/Logging_1781/kartor/A 25888-2025 karta.png", "A 25888-2025")</f>
        <v/>
      </c>
      <c r="Y640">
        <f>HYPERLINK("https://klasma.github.io/Logging_1781/kartor_geotiff/A 25888-2025 georefererad karta.tif", "A 25888-2025")</f>
        <v/>
      </c>
      <c r="AA640">
        <f>HYPERLINK("https://klasma.github.io/Logging_1781/klagomål/A 25888-2025 FSC-klagomål.docx", "A 25888-2025")</f>
        <v/>
      </c>
      <c r="AB640">
        <f>HYPERLINK("https://klasma.github.io/Logging_1781/klagomålsmail/A 25888-2025 FSC-klagomål mail.docx", "A 25888-2025")</f>
        <v/>
      </c>
      <c r="AC640">
        <f>HYPERLINK("https://klasma.github.io/Logging_1781/tillsyn/A 25888-2025 tillsynsbegäran.docx", "A 25888-2025")</f>
        <v/>
      </c>
      <c r="AD640">
        <f>HYPERLINK("https://klasma.github.io/Logging_1781/tillsynsmail/A 25888-2025 tillsynsbegäran mail.docx", "A 25888-2025")</f>
        <v/>
      </c>
      <c r="AE640">
        <f>HYPERLINK("https://klasma.github.io/Logging_1781/fåglar/A 25888-2025 prioriterade fågelarter.docx", "A 25888-2025")</f>
        <v/>
      </c>
    </row>
    <row r="641" ht="15" customHeight="1">
      <c r="A641" t="inlineStr">
        <is>
          <t>A 8714-2024</t>
        </is>
      </c>
      <c r="B641" t="inlineStr">
        <is>
          <t>avverkningsanmälan</t>
        </is>
      </c>
      <c r="C641" t="inlineStr">
        <is>
          <t>Föryngringsavverkning</t>
        </is>
      </c>
      <c r="D641" s="1" t="n">
        <v>45356</v>
      </c>
      <c r="E641" s="1" t="n">
        <v>46307</v>
      </c>
      <c r="F641" t="inlineStr">
        <is>
          <t>VÄRMLANDS LÄN</t>
        </is>
      </c>
      <c r="G641" t="inlineStr">
        <is>
          <t>KRISTINEHAMN</t>
        </is>
      </c>
      <c r="I641" t="n">
        <v>0.5</v>
      </c>
      <c r="J641" t="n">
        <v>1</v>
      </c>
      <c r="K641" t="n">
        <v>0</v>
      </c>
      <c r="L641" t="n">
        <v>0</v>
      </c>
      <c r="M641" t="n">
        <v>0</v>
      </c>
      <c r="N641" t="n">
        <v>1</v>
      </c>
      <c r="O641" t="n">
        <v>0</v>
      </c>
      <c r="P641" t="n">
        <v>0</v>
      </c>
      <c r="Q641" t="n">
        <v>1</v>
      </c>
      <c r="R641" t="n">
        <v>1</v>
      </c>
      <c r="S641" t="n">
        <v>1</v>
      </c>
      <c r="T641" t="n">
        <v>1</v>
      </c>
      <c r="U641" t="n">
        <v>0</v>
      </c>
      <c r="V641" s="2" t="inlineStr">
        <is>
          <t>Bombmurkla</t>
        </is>
      </c>
      <c r="W641">
        <f>HYPERLINK("https://klasma.github.io/Logging_1781/artfynd/A 8714-2024 artfynd.xlsx", "A 8714-2024")</f>
        <v/>
      </c>
      <c r="X641">
        <f>HYPERLINK("https://klasma.github.io/Logging_1781/kartor/A 8714-2024 karta.png", "A 8714-2024")</f>
        <v/>
      </c>
      <c r="Y641">
        <f>HYPERLINK("https://klasma.github.io/Logging_1781/kartor_geotiff/A 8714-2024 georefererad karta.tif", "A 8714-2024")</f>
        <v/>
      </c>
      <c r="AA641">
        <f>HYPERLINK("https://klasma.github.io/Logging_1781/klagomål/A 8714-2024 FSC-klagomål.docx", "A 8714-2024")</f>
        <v/>
      </c>
      <c r="AB641">
        <f>HYPERLINK("https://klasma.github.io/Logging_1781/klagomålsmail/A 8714-2024 FSC-klagomål mail.docx", "A 8714-2024")</f>
        <v/>
      </c>
      <c r="AC641">
        <f>HYPERLINK("https://klasma.github.io/Logging_1781/tillsyn/A 8714-2024 tillsynsbegäran.docx", "A 8714-2024")</f>
        <v/>
      </c>
      <c r="AD641">
        <f>HYPERLINK("https://klasma.github.io/Logging_1781/tillsynsmail/A 8714-2024 tillsynsbegäran mail.docx", "A 8714-2024")</f>
        <v/>
      </c>
    </row>
    <row r="642" ht="15" customHeight="1">
      <c r="A642" t="inlineStr">
        <is>
          <t>A 11330-2024</t>
        </is>
      </c>
      <c r="B642" t="inlineStr">
        <is>
          <t>avverkningsanmälan</t>
        </is>
      </c>
      <c r="C642" t="inlineStr">
        <is>
          <t>Föryngringsavverkning</t>
        </is>
      </c>
      <c r="D642" s="1" t="n">
        <v>45371</v>
      </c>
      <c r="E642" s="1" t="n">
        <v>46307</v>
      </c>
      <c r="F642" t="inlineStr">
        <is>
          <t>VÄRMLANDS LÄN</t>
        </is>
      </c>
      <c r="G642" t="inlineStr">
        <is>
          <t>KIL</t>
        </is>
      </c>
      <c r="H642" t="inlineStr">
        <is>
          <t>Kyrkan</t>
        </is>
      </c>
      <c r="I642" t="n">
        <v>6.9</v>
      </c>
      <c r="J642" t="n">
        <v>1</v>
      </c>
      <c r="K642" t="n">
        <v>0</v>
      </c>
      <c r="L642" t="n">
        <v>0</v>
      </c>
      <c r="M642" t="n">
        <v>0</v>
      </c>
      <c r="N642" t="n">
        <v>0</v>
      </c>
      <c r="O642" t="n">
        <v>0</v>
      </c>
      <c r="P642" t="n">
        <v>0</v>
      </c>
      <c r="Q642" t="n">
        <v>0</v>
      </c>
      <c r="R642" t="n">
        <v>0</v>
      </c>
      <c r="S642" t="n">
        <v>1</v>
      </c>
      <c r="T642" t="n">
        <v>1</v>
      </c>
      <c r="U642" t="n">
        <v>0</v>
      </c>
      <c r="V642" s="2" t="inlineStr">
        <is>
          <t>Vanlig groda</t>
        </is>
      </c>
      <c r="W642">
        <f>HYPERLINK("https://klasma.github.io/Logging_1715/artfynd/A 11330-2024 artfynd.xlsx", "A 11330-2024")</f>
        <v/>
      </c>
      <c r="X642">
        <f>HYPERLINK("https://klasma.github.io/Logging_1715/kartor/A 11330-2024 karta.png", "A 11330-2024")</f>
        <v/>
      </c>
      <c r="Y642">
        <f>HYPERLINK("https://klasma.github.io/Logging_1715/kartor_geotiff/A 11330-2024 georefererad karta.tif", "A 11330-2024")</f>
        <v/>
      </c>
      <c r="AA642">
        <f>HYPERLINK("https://klasma.github.io/Logging_1715/klagomål/A 11330-2024 FSC-klagomål.docx", "A 11330-2024")</f>
        <v/>
      </c>
      <c r="AB642">
        <f>HYPERLINK("https://klasma.github.io/Logging_1715/klagomålsmail/A 11330-2024 FSC-klagomål mail.docx", "A 11330-2024")</f>
        <v/>
      </c>
      <c r="AC642">
        <f>HYPERLINK("https://klasma.github.io/Logging_1715/tillsyn/A 11330-2024 tillsynsbegäran.docx", "A 11330-2024")</f>
        <v/>
      </c>
      <c r="AD642">
        <f>HYPERLINK("https://klasma.github.io/Logging_1715/tillsynsmail/A 11330-2024 tillsynsbegäran mail.docx", "A 11330-2024")</f>
        <v/>
      </c>
    </row>
    <row r="643" ht="15" customHeight="1">
      <c r="A643" t="inlineStr">
        <is>
          <t>A 25916-2025</t>
        </is>
      </c>
      <c r="B643" t="inlineStr">
        <is>
          <t>avverkningsanmälan</t>
        </is>
      </c>
      <c r="C643" t="inlineStr">
        <is>
          <t>Föryngringsavverkning</t>
        </is>
      </c>
      <c r="D643" s="1" t="n">
        <v>45804</v>
      </c>
      <c r="E643" s="1" t="n">
        <v>46307</v>
      </c>
      <c r="F643" t="inlineStr">
        <is>
          <t>VÄRMLANDS LÄN</t>
        </is>
      </c>
      <c r="G643" t="inlineStr">
        <is>
          <t>FILIPSTAD</t>
        </is>
      </c>
      <c r="H643" t="inlineStr">
        <is>
          <t>Bergvik skog väst AB</t>
        </is>
      </c>
      <c r="I643" t="n">
        <v>26.4</v>
      </c>
      <c r="J643" t="n">
        <v>0</v>
      </c>
      <c r="K643" t="n">
        <v>0</v>
      </c>
      <c r="L643" t="n">
        <v>1</v>
      </c>
      <c r="M643" t="n">
        <v>0</v>
      </c>
      <c r="N643" t="n">
        <v>0</v>
      </c>
      <c r="O643" t="n">
        <v>0</v>
      </c>
      <c r="P643" t="n">
        <v>0</v>
      </c>
      <c r="Q643" t="n">
        <v>1</v>
      </c>
      <c r="R643" t="n">
        <v>0</v>
      </c>
      <c r="S643" t="n">
        <v>1</v>
      </c>
      <c r="T643" t="n">
        <v>1</v>
      </c>
      <c r="U643" t="n">
        <v>0</v>
      </c>
      <c r="V643" s="2" t="inlineStr">
        <is>
          <t>Lunglav</t>
        </is>
      </c>
      <c r="W643">
        <f>HYPERLINK("https://klasma.github.io/Logging_1782/artfynd/A 25916-2025 artfynd.xlsx", "A 25916-2025")</f>
        <v/>
      </c>
      <c r="X643">
        <f>HYPERLINK("https://klasma.github.io/Logging_1782/kartor/A 25916-2025 karta.png", "A 25916-2025")</f>
        <v/>
      </c>
      <c r="Y643">
        <f>HYPERLINK("https://klasma.github.io/Logging_1782/kartor_geotiff/A 25916-2025 georefererad karta.tif", "A 25916-2025")</f>
        <v/>
      </c>
      <c r="AA643">
        <f>HYPERLINK("https://klasma.github.io/Logging_1782/klagomål/A 25916-2025 FSC-klagomål.docx", "A 25916-2025")</f>
        <v/>
      </c>
      <c r="AB643">
        <f>HYPERLINK("https://klasma.github.io/Logging_1782/klagomålsmail/A 25916-2025 FSC-klagomål mail.docx", "A 25916-2025")</f>
        <v/>
      </c>
      <c r="AC643">
        <f>HYPERLINK("https://klasma.github.io/Logging_1782/tillsyn/A 25916-2025 tillsynsbegäran.docx", "A 25916-2025")</f>
        <v/>
      </c>
      <c r="AD643">
        <f>HYPERLINK("https://klasma.github.io/Logging_1782/tillsynsmail/A 25916-2025 tillsynsbegäran mail.docx", "A 25916-2025")</f>
        <v/>
      </c>
    </row>
    <row r="644" ht="15" customHeight="1">
      <c r="A644" t="inlineStr">
        <is>
          <t>A 25802-2025</t>
        </is>
      </c>
      <c r="B644" t="inlineStr">
        <is>
          <t>avverkningsanmälan</t>
        </is>
      </c>
      <c r="C644" t="inlineStr">
        <is>
          <t>Föryngringsavverkning</t>
        </is>
      </c>
      <c r="D644" s="1" t="n">
        <v>45804</v>
      </c>
      <c r="E644" s="1" t="n">
        <v>46307</v>
      </c>
      <c r="F644" t="inlineStr">
        <is>
          <t>VÄRMLANDS LÄN</t>
        </is>
      </c>
      <c r="G644" t="inlineStr">
        <is>
          <t>TORSBY</t>
        </is>
      </c>
      <c r="I644" t="n">
        <v>2.3</v>
      </c>
      <c r="J644" t="n">
        <v>0</v>
      </c>
      <c r="K644" t="n">
        <v>0</v>
      </c>
      <c r="L644" t="n">
        <v>1</v>
      </c>
      <c r="M644" t="n">
        <v>0</v>
      </c>
      <c r="N644" t="n">
        <v>0</v>
      </c>
      <c r="O644" t="n">
        <v>0</v>
      </c>
      <c r="P644" t="n">
        <v>0</v>
      </c>
      <c r="Q644" t="n">
        <v>1</v>
      </c>
      <c r="R644" t="n">
        <v>0</v>
      </c>
      <c r="S644" t="n">
        <v>1</v>
      </c>
      <c r="T644" t="n">
        <v>1</v>
      </c>
      <c r="U644" t="n">
        <v>0</v>
      </c>
      <c r="V644" s="2" t="inlineStr">
        <is>
          <t>Tallticka</t>
        </is>
      </c>
      <c r="W644">
        <f>HYPERLINK("https://klasma.github.io/Logging_1737/artfynd/A 25802-2025 artfynd.xlsx", "A 25802-2025")</f>
        <v/>
      </c>
      <c r="X644">
        <f>HYPERLINK("https://klasma.github.io/Logging_1737/kartor/A 25802-2025 karta.png", "A 25802-2025")</f>
        <v/>
      </c>
      <c r="Y644">
        <f>HYPERLINK("https://klasma.github.io/Logging_1737/kartor_geotiff/A 25802-2025 georefererad karta.tif", "A 25802-2025")</f>
        <v/>
      </c>
      <c r="AA644">
        <f>HYPERLINK("https://klasma.github.io/Logging_1737/klagomål/A 25802-2025 FSC-klagomål.docx", "A 25802-2025")</f>
        <v/>
      </c>
      <c r="AB644">
        <f>HYPERLINK("https://klasma.github.io/Logging_1737/klagomålsmail/A 25802-2025 FSC-klagomål mail.docx", "A 25802-2025")</f>
        <v/>
      </c>
      <c r="AC644">
        <f>HYPERLINK("https://klasma.github.io/Logging_1737/tillsyn/A 25802-2025 tillsynsbegäran.docx", "A 25802-2025")</f>
        <v/>
      </c>
      <c r="AD644">
        <f>HYPERLINK("https://klasma.github.io/Logging_1737/tillsynsmail/A 25802-2025 tillsynsbegäran mail.docx", "A 25802-2025")</f>
        <v/>
      </c>
    </row>
    <row r="645" ht="15" customHeight="1">
      <c r="A645" t="inlineStr">
        <is>
          <t>A 30524-2022</t>
        </is>
      </c>
      <c r="B645" t="inlineStr">
        <is>
          <t>avverkningsanmälan</t>
        </is>
      </c>
      <c r="C645" t="inlineStr">
        <is>
          <t>Föryngringsavverkning</t>
        </is>
      </c>
      <c r="D645" s="1" t="n">
        <v>44762</v>
      </c>
      <c r="E645" s="1" t="n">
        <v>46307</v>
      </c>
      <c r="F645" t="inlineStr">
        <is>
          <t>VÄRMLANDS LÄN</t>
        </is>
      </c>
      <c r="G645" t="inlineStr">
        <is>
          <t>HAGFORS</t>
        </is>
      </c>
      <c r="H645" t="inlineStr">
        <is>
          <t>Bergvik skog väst AB</t>
        </is>
      </c>
      <c r="I645" t="n">
        <v>12</v>
      </c>
      <c r="J645" t="n">
        <v>0</v>
      </c>
      <c r="K645" t="n">
        <v>0</v>
      </c>
      <c r="L645" t="n">
        <v>1</v>
      </c>
      <c r="M645" t="n">
        <v>0</v>
      </c>
      <c r="N645" t="n">
        <v>0</v>
      </c>
      <c r="O645" t="n">
        <v>0</v>
      </c>
      <c r="P645" t="n">
        <v>0</v>
      </c>
      <c r="Q645" t="n">
        <v>1</v>
      </c>
      <c r="R645" t="n">
        <v>0</v>
      </c>
      <c r="S645" t="n">
        <v>1</v>
      </c>
      <c r="T645" t="n">
        <v>1</v>
      </c>
      <c r="U645" t="n">
        <v>1</v>
      </c>
      <c r="V645" s="2" t="inlineStr">
        <is>
          <t>Kolflarnlav</t>
        </is>
      </c>
      <c r="W645">
        <f>HYPERLINK("https://klasma.github.io/Logging_1783/artfynd/A 30524-2022 artfynd.xlsx", "A 30524-2022")</f>
        <v/>
      </c>
      <c r="X645">
        <f>HYPERLINK("https://klasma.github.io/Logging_1783/kartor/A 30524-2022 karta.png", "A 30524-2022")</f>
        <v/>
      </c>
      <c r="Y645">
        <f>HYPERLINK("https://klasma.github.io/Logging_1783/kartor_geotiff/A 30524-2022 georefererad karta.tif", "A 30524-2022")</f>
        <v/>
      </c>
      <c r="AA645">
        <f>HYPERLINK("https://klasma.github.io/Logging_1783/klagomål/A 30524-2022 FSC-klagomål.docx", "A 30524-2022")</f>
        <v/>
      </c>
      <c r="AB645">
        <f>HYPERLINK("https://klasma.github.io/Logging_1783/klagomålsmail/A 30524-2022 FSC-klagomål mail.docx", "A 30524-2022")</f>
        <v/>
      </c>
      <c r="AC645">
        <f>HYPERLINK("https://klasma.github.io/Logging_1783/tillsyn/A 30524-2022 tillsynsbegäran.docx", "A 30524-2022")</f>
        <v/>
      </c>
      <c r="AD645">
        <f>HYPERLINK("https://klasma.github.io/Logging_1783/tillsynsmail/A 30524-2022 tillsynsbegäran mail.docx", "A 30524-2022")</f>
        <v/>
      </c>
    </row>
    <row r="646" ht="15" customHeight="1">
      <c r="A646" t="inlineStr">
        <is>
          <t>A 26079-2025</t>
        </is>
      </c>
      <c r="B646" t="inlineStr">
        <is>
          <t>avverkningsanmälan</t>
        </is>
      </c>
      <c r="C646" t="inlineStr">
        <is>
          <t>Föryngringsavverkning</t>
        </is>
      </c>
      <c r="D646" s="1" t="n">
        <v>45805</v>
      </c>
      <c r="E646" s="1" t="n">
        <v>46307</v>
      </c>
      <c r="F646" t="inlineStr">
        <is>
          <t>VÄRMLANDS LÄN</t>
        </is>
      </c>
      <c r="G646" t="inlineStr">
        <is>
          <t>ARVIKA</t>
        </is>
      </c>
      <c r="H646" t="inlineStr">
        <is>
          <t>Bergvik skog väst AB</t>
        </is>
      </c>
      <c r="I646" t="n">
        <v>2.2</v>
      </c>
      <c r="J646" t="n">
        <v>0</v>
      </c>
      <c r="K646" t="n">
        <v>1</v>
      </c>
      <c r="L646" t="n">
        <v>0</v>
      </c>
      <c r="M646" t="n">
        <v>0</v>
      </c>
      <c r="N646" t="n">
        <v>0</v>
      </c>
      <c r="O646" t="n">
        <v>0</v>
      </c>
      <c r="P646" t="n">
        <v>0</v>
      </c>
      <c r="Q646" t="n">
        <v>0</v>
      </c>
      <c r="R646" t="n">
        <v>0</v>
      </c>
      <c r="S646" t="n">
        <v>1</v>
      </c>
      <c r="T646" t="n">
        <v>1</v>
      </c>
      <c r="U646" t="n">
        <v>1</v>
      </c>
      <c r="V646" s="2" t="inlineStr">
        <is>
          <t>Svart trolldruva</t>
        </is>
      </c>
      <c r="W646">
        <f>HYPERLINK("https://klasma.github.io/Logging_1784/artfynd/A 26079-2025 artfynd.xlsx", "A 26079-2025")</f>
        <v/>
      </c>
      <c r="X646">
        <f>HYPERLINK("https://klasma.github.io/Logging_1784/kartor/A 26079-2025 karta.png", "A 26079-2025")</f>
        <v/>
      </c>
      <c r="Y646">
        <f>HYPERLINK("https://klasma.github.io/Logging_1784/kartor_geotiff/A 26079-2025 georefererad karta.tif", "A 26079-2025")</f>
        <v/>
      </c>
      <c r="AA646">
        <f>HYPERLINK("https://klasma.github.io/Logging_1784/klagomål/A 26079-2025 FSC-klagomål.docx", "A 26079-2025")</f>
        <v/>
      </c>
      <c r="AB646">
        <f>HYPERLINK("https://klasma.github.io/Logging_1784/klagomålsmail/A 26079-2025 FSC-klagomål mail.docx", "A 26079-2025")</f>
        <v/>
      </c>
      <c r="AC646">
        <f>HYPERLINK("https://klasma.github.io/Logging_1784/tillsyn/A 26079-2025 tillsynsbegäran.docx", "A 26079-2025")</f>
        <v/>
      </c>
      <c r="AD646">
        <f>HYPERLINK("https://klasma.github.io/Logging_1784/tillsynsmail/A 26079-2025 tillsynsbegäran mail.docx", "A 26079-2025")</f>
        <v/>
      </c>
    </row>
    <row r="647" ht="15" customHeight="1">
      <c r="A647" t="inlineStr">
        <is>
          <t>A 45484-2023</t>
        </is>
      </c>
      <c r="B647" t="inlineStr">
        <is>
          <t>avverkningsanmälan</t>
        </is>
      </c>
      <c r="C647" t="inlineStr">
        <is>
          <t>Föryngringsavverkning</t>
        </is>
      </c>
      <c r="D647" s="1" t="n">
        <v>45188</v>
      </c>
      <c r="E647" s="1" t="n">
        <v>46307</v>
      </c>
      <c r="F647" t="inlineStr">
        <is>
          <t>VÄRMLANDS LÄN</t>
        </is>
      </c>
      <c r="G647" t="inlineStr">
        <is>
          <t>FORSHAGA</t>
        </is>
      </c>
      <c r="I647" t="n">
        <v>2.7</v>
      </c>
      <c r="J647" t="n">
        <v>0</v>
      </c>
      <c r="K647" t="n">
        <v>1</v>
      </c>
      <c r="L647" t="n">
        <v>0</v>
      </c>
      <c r="M647" t="n">
        <v>0</v>
      </c>
      <c r="N647" t="n">
        <v>0</v>
      </c>
      <c r="O647" t="n">
        <v>0</v>
      </c>
      <c r="P647" t="n">
        <v>0</v>
      </c>
      <c r="Q647" t="n">
        <v>0</v>
      </c>
      <c r="R647" t="n">
        <v>0</v>
      </c>
      <c r="S647" t="n">
        <v>1</v>
      </c>
      <c r="T647" t="n">
        <v>1</v>
      </c>
      <c r="U647" t="n">
        <v>0</v>
      </c>
      <c r="V647" s="2" t="inlineStr">
        <is>
          <t>Scharlakansvårskål agg.</t>
        </is>
      </c>
      <c r="W647">
        <f>HYPERLINK("https://klasma.github.io/Logging_1763/artfynd/A 45484-2023 artfynd.xlsx", "A 45484-2023")</f>
        <v/>
      </c>
      <c r="X647">
        <f>HYPERLINK("https://klasma.github.io/Logging_1763/kartor/A 45484-2023 karta.png", "A 45484-2023")</f>
        <v/>
      </c>
      <c r="Y647">
        <f>HYPERLINK("https://klasma.github.io/Logging_1763/kartor_geotiff/A 45484-2023 georefererad karta.tif", "A 45484-2023")</f>
        <v/>
      </c>
      <c r="AA647">
        <f>HYPERLINK("https://klasma.github.io/Logging_1763/klagomål/A 45484-2023 FSC-klagomål.docx", "A 45484-2023")</f>
        <v/>
      </c>
      <c r="AB647">
        <f>HYPERLINK("https://klasma.github.io/Logging_1763/klagomålsmail/A 45484-2023 FSC-klagomål mail.docx", "A 45484-2023")</f>
        <v/>
      </c>
      <c r="AC647">
        <f>HYPERLINK("https://klasma.github.io/Logging_1763/tillsyn/A 45484-2023 tillsynsbegäran.docx", "A 45484-2023")</f>
        <v/>
      </c>
      <c r="AD647">
        <f>HYPERLINK("https://klasma.github.io/Logging_1763/tillsynsmail/A 45484-2023 tillsynsbegäran mail.docx", "A 45484-2023")</f>
        <v/>
      </c>
    </row>
    <row r="648" ht="15" customHeight="1">
      <c r="A648" t="inlineStr">
        <is>
          <t>A 19524-2024</t>
        </is>
      </c>
      <c r="B648" t="inlineStr">
        <is>
          <t>avverkningsanmälan</t>
        </is>
      </c>
      <c r="C648" t="inlineStr">
        <is>
          <t>Föryngringsavverkning</t>
        </is>
      </c>
      <c r="D648" s="1" t="n">
        <v>45429</v>
      </c>
      <c r="E648" s="1" t="n">
        <v>46307</v>
      </c>
      <c r="F648" t="inlineStr">
        <is>
          <t>VÄRMLANDS LÄN</t>
        </is>
      </c>
      <c r="G648" t="inlineStr">
        <is>
          <t>GRUMS</t>
        </is>
      </c>
      <c r="I648" t="n">
        <v>3</v>
      </c>
      <c r="J648" t="n">
        <v>1</v>
      </c>
      <c r="K648" t="n">
        <v>0</v>
      </c>
      <c r="L648" t="n">
        <v>1</v>
      </c>
      <c r="M648" t="n">
        <v>0</v>
      </c>
      <c r="N648" t="n">
        <v>0</v>
      </c>
      <c r="O648" t="n">
        <v>0</v>
      </c>
      <c r="P648" t="n">
        <v>0</v>
      </c>
      <c r="Q648" t="n">
        <v>1</v>
      </c>
      <c r="R648" t="n">
        <v>0</v>
      </c>
      <c r="S648" t="n">
        <v>1</v>
      </c>
      <c r="T648" t="n">
        <v>1</v>
      </c>
      <c r="U648" t="n">
        <v>1</v>
      </c>
      <c r="V648" s="2" t="inlineStr">
        <is>
          <t>Sädesärla</t>
        </is>
      </c>
      <c r="W648">
        <f>HYPERLINK("https://klasma.github.io/Logging_1764/artfynd/A 19524-2024 artfynd.xlsx", "A 19524-2024")</f>
        <v/>
      </c>
      <c r="X648">
        <f>HYPERLINK("https://klasma.github.io/Logging_1764/kartor/A 19524-2024 karta.png", "A 19524-2024")</f>
        <v/>
      </c>
      <c r="Y648">
        <f>HYPERLINK("https://klasma.github.io/Logging_1764/kartor_geotiff/A 19524-2024 georefererad karta.tif", "A 19524-2024")</f>
        <v/>
      </c>
      <c r="AA648">
        <f>HYPERLINK("https://klasma.github.io/Logging_1764/klagomål/A 19524-2024 FSC-klagomål.docx", "A 19524-2024")</f>
        <v/>
      </c>
      <c r="AB648">
        <f>HYPERLINK("https://klasma.github.io/Logging_1764/klagomålsmail/A 19524-2024 FSC-klagomål mail.docx", "A 19524-2024")</f>
        <v/>
      </c>
      <c r="AC648">
        <f>HYPERLINK("https://klasma.github.io/Logging_1764/tillsyn/A 19524-2024 tillsynsbegäran.docx", "A 19524-2024")</f>
        <v/>
      </c>
      <c r="AD648">
        <f>HYPERLINK("https://klasma.github.io/Logging_1764/tillsynsmail/A 19524-2024 tillsynsbegäran mail.docx", "A 19524-2024")</f>
        <v/>
      </c>
      <c r="AE648">
        <f>HYPERLINK("https://klasma.github.io/Logging_1764/fåglar/A 19524-2024 prioriterade fågelarter.docx", "A 19524-2024")</f>
        <v/>
      </c>
    </row>
    <row r="649" ht="15" customHeight="1">
      <c r="A649" t="inlineStr">
        <is>
          <t>A 14917-2024</t>
        </is>
      </c>
      <c r="B649" t="inlineStr">
        <is>
          <t>avverkningsanmälan</t>
        </is>
      </c>
      <c r="C649" t="inlineStr">
        <is>
          <t>Föryngringsavverkning</t>
        </is>
      </c>
      <c r="D649" s="1" t="n">
        <v>45398</v>
      </c>
      <c r="E649" s="1" t="n">
        <v>46307</v>
      </c>
      <c r="F649" t="inlineStr">
        <is>
          <t>VÄRMLANDS LÄN</t>
        </is>
      </c>
      <c r="G649" t="inlineStr">
        <is>
          <t>ÅRJÄNG</t>
        </is>
      </c>
      <c r="I649" t="n">
        <v>19.9</v>
      </c>
      <c r="J649" t="n">
        <v>0</v>
      </c>
      <c r="K649" t="n">
        <v>0</v>
      </c>
      <c r="L649" t="n">
        <v>0</v>
      </c>
      <c r="M649" t="n">
        <v>1</v>
      </c>
      <c r="N649" t="n">
        <v>0</v>
      </c>
      <c r="O649" t="n">
        <v>0</v>
      </c>
      <c r="P649" t="n">
        <v>0</v>
      </c>
      <c r="Q649" t="n">
        <v>1</v>
      </c>
      <c r="R649" t="n">
        <v>1</v>
      </c>
      <c r="S649" t="n">
        <v>1</v>
      </c>
      <c r="T649" t="n">
        <v>1</v>
      </c>
      <c r="U649" t="n">
        <v>0</v>
      </c>
      <c r="V649" s="2" t="inlineStr">
        <is>
          <t>Slåttergubbe</t>
        </is>
      </c>
      <c r="W649">
        <f>HYPERLINK("https://klasma.github.io/Logging_1765/artfynd/A 14917-2024 artfynd.xlsx", "A 14917-2024")</f>
        <v/>
      </c>
      <c r="X649">
        <f>HYPERLINK("https://klasma.github.io/Logging_1765/kartor/A 14917-2024 karta.png", "A 14917-2024")</f>
        <v/>
      </c>
      <c r="Y649">
        <f>HYPERLINK("https://klasma.github.io/Logging_1765/kartor_geotiff/A 14917-2024 georefererad karta.tif", "A 14917-2024")</f>
        <v/>
      </c>
      <c r="AA649">
        <f>HYPERLINK("https://klasma.github.io/Logging_1765/klagomål/A 14917-2024 FSC-klagomål.docx", "A 14917-2024")</f>
        <v/>
      </c>
      <c r="AB649">
        <f>HYPERLINK("https://klasma.github.io/Logging_1765/klagomålsmail/A 14917-2024 FSC-klagomål mail.docx", "A 14917-2024")</f>
        <v/>
      </c>
      <c r="AC649">
        <f>HYPERLINK("https://klasma.github.io/Logging_1765/tillsyn/A 14917-2024 tillsynsbegäran.docx", "A 14917-2024")</f>
        <v/>
      </c>
      <c r="AD649">
        <f>HYPERLINK("https://klasma.github.io/Logging_1765/tillsynsmail/A 14917-2024 tillsynsbegäran mail.docx", "A 14917-2024")</f>
        <v/>
      </c>
    </row>
    <row r="650" ht="15" customHeight="1">
      <c r="A650" t="inlineStr">
        <is>
          <t>A 35453-2024</t>
        </is>
      </c>
      <c r="B650" t="inlineStr">
        <is>
          <t>avverkningsanmälan</t>
        </is>
      </c>
      <c r="C650" t="inlineStr">
        <is>
          <t>Föryngringsavverkning</t>
        </is>
      </c>
      <c r="D650" s="1" t="n">
        <v>45531</v>
      </c>
      <c r="E650" s="1" t="n">
        <v>46307</v>
      </c>
      <c r="F650" t="inlineStr">
        <is>
          <t>VÄRMLANDS LÄN</t>
        </is>
      </c>
      <c r="G650" t="inlineStr">
        <is>
          <t>KIL</t>
        </is>
      </c>
      <c r="I650" t="n">
        <v>4</v>
      </c>
      <c r="J650" t="n">
        <v>1</v>
      </c>
      <c r="K650" t="n">
        <v>0</v>
      </c>
      <c r="L650" t="n">
        <v>0</v>
      </c>
      <c r="M650" t="n">
        <v>0</v>
      </c>
      <c r="N650" t="n">
        <v>0</v>
      </c>
      <c r="O650" t="n">
        <v>0</v>
      </c>
      <c r="P650" t="n">
        <v>0</v>
      </c>
      <c r="Q650" t="n">
        <v>0</v>
      </c>
      <c r="R650" t="n">
        <v>0</v>
      </c>
      <c r="S650" t="n">
        <v>1</v>
      </c>
      <c r="T650" t="n">
        <v>1</v>
      </c>
      <c r="U650" t="n">
        <v>0</v>
      </c>
      <c r="V650" s="2" t="inlineStr">
        <is>
          <t>Trana</t>
        </is>
      </c>
      <c r="W650">
        <f>HYPERLINK("https://klasma.github.io/Logging_1715/artfynd/A 35453-2024 artfynd.xlsx", "A 35453-2024")</f>
        <v/>
      </c>
      <c r="X650">
        <f>HYPERLINK("https://klasma.github.io/Logging_1715/kartor/A 35453-2024 karta.png", "A 35453-2024")</f>
        <v/>
      </c>
      <c r="Y650">
        <f>HYPERLINK("https://klasma.github.io/Logging_1715/kartor_geotiff/A 35453-2024 georefererad karta.tif", "A 35453-2024")</f>
        <v/>
      </c>
      <c r="AA650">
        <f>HYPERLINK("https://klasma.github.io/Logging_1715/klagomål/A 35453-2024 FSC-klagomål.docx", "A 35453-2024")</f>
        <v/>
      </c>
      <c r="AB650">
        <f>HYPERLINK("https://klasma.github.io/Logging_1715/klagomålsmail/A 35453-2024 FSC-klagomål mail.docx", "A 35453-2024")</f>
        <v/>
      </c>
      <c r="AC650">
        <f>HYPERLINK("https://klasma.github.io/Logging_1715/tillsyn/A 35453-2024 tillsynsbegäran.docx", "A 35453-2024")</f>
        <v/>
      </c>
      <c r="AD650">
        <f>HYPERLINK("https://klasma.github.io/Logging_1715/tillsynsmail/A 35453-2024 tillsynsbegäran mail.docx", "A 35453-2024")</f>
        <v/>
      </c>
      <c r="AE650">
        <f>HYPERLINK("https://klasma.github.io/Logging_1715/fåglar/A 35453-2024 prioriterade fågelarter.docx", "A 35453-2024")</f>
        <v/>
      </c>
    </row>
    <row r="651" ht="15" customHeight="1">
      <c r="A651" t="inlineStr">
        <is>
          <t>A 36475-2024</t>
        </is>
      </c>
      <c r="B651" t="inlineStr">
        <is>
          <t>avverkningsanmälan</t>
        </is>
      </c>
      <c r="C651" t="inlineStr">
        <is>
          <t>Föryngringsavverkning</t>
        </is>
      </c>
      <c r="D651" s="1" t="n">
        <v>45537</v>
      </c>
      <c r="E651" s="1" t="n">
        <v>46307</v>
      </c>
      <c r="F651" t="inlineStr">
        <is>
          <t>VÄRMLANDS LÄN</t>
        </is>
      </c>
      <c r="G651" t="inlineStr">
        <is>
          <t>ARVIKA</t>
        </is>
      </c>
      <c r="H651" t="inlineStr">
        <is>
          <t>Kommuner</t>
        </is>
      </c>
      <c r="I651" t="n">
        <v>2.2</v>
      </c>
      <c r="J651" t="n">
        <v>0</v>
      </c>
      <c r="K651" t="n">
        <v>0</v>
      </c>
      <c r="L651" t="n">
        <v>0</v>
      </c>
      <c r="M651" t="n">
        <v>1</v>
      </c>
      <c r="N651" t="n">
        <v>0</v>
      </c>
      <c r="O651" t="n">
        <v>0</v>
      </c>
      <c r="P651" t="n">
        <v>0</v>
      </c>
      <c r="Q651" t="n">
        <v>1</v>
      </c>
      <c r="R651" t="n">
        <v>1</v>
      </c>
      <c r="S651" t="n">
        <v>1</v>
      </c>
      <c r="T651" t="n">
        <v>1</v>
      </c>
      <c r="U651" t="n">
        <v>0</v>
      </c>
      <c r="V651" s="2" t="inlineStr">
        <is>
          <t>Slåttergubbemal</t>
        </is>
      </c>
      <c r="W651">
        <f>HYPERLINK("https://klasma.github.io/Logging_1784/artfynd/A 36475-2024 artfynd.xlsx", "A 36475-2024")</f>
        <v/>
      </c>
      <c r="X651">
        <f>HYPERLINK("https://klasma.github.io/Logging_1784/kartor/A 36475-2024 karta.png", "A 36475-2024")</f>
        <v/>
      </c>
      <c r="Y651">
        <f>HYPERLINK("https://klasma.github.io/Logging_1784/kartor_geotiff/A 36475-2024 georefererad karta.tif", "A 36475-2024")</f>
        <v/>
      </c>
      <c r="AA651">
        <f>HYPERLINK("https://klasma.github.io/Logging_1784/klagomål/A 36475-2024 FSC-klagomål.docx", "A 36475-2024")</f>
        <v/>
      </c>
      <c r="AB651">
        <f>HYPERLINK("https://klasma.github.io/Logging_1784/klagomålsmail/A 36475-2024 FSC-klagomål mail.docx", "A 36475-2024")</f>
        <v/>
      </c>
      <c r="AC651">
        <f>HYPERLINK("https://klasma.github.io/Logging_1784/tillsyn/A 36475-2024 tillsynsbegäran.docx", "A 36475-2024")</f>
        <v/>
      </c>
      <c r="AD651">
        <f>HYPERLINK("https://klasma.github.io/Logging_1784/tillsynsmail/A 36475-2024 tillsynsbegäran mail.docx", "A 36475-2024")</f>
        <v/>
      </c>
    </row>
    <row r="652" ht="15" customHeight="1">
      <c r="A652" t="inlineStr">
        <is>
          <t>A 18470-2022</t>
        </is>
      </c>
      <c r="B652" t="inlineStr">
        <is>
          <t>avverkningsanmälan</t>
        </is>
      </c>
      <c r="C652" t="inlineStr">
        <is>
          <t>Föryngringsavverkning</t>
        </is>
      </c>
      <c r="D652" s="1" t="n">
        <v>44686</v>
      </c>
      <c r="E652" s="1" t="n">
        <v>46307</v>
      </c>
      <c r="F652" t="inlineStr">
        <is>
          <t>VÄRMLANDS LÄN</t>
        </is>
      </c>
      <c r="G652" t="inlineStr">
        <is>
          <t>KARLSTAD</t>
        </is>
      </c>
      <c r="I652" t="n">
        <v>0.9</v>
      </c>
      <c r="J652" t="n">
        <v>1</v>
      </c>
      <c r="K652" t="n">
        <v>0</v>
      </c>
      <c r="L652" t="n">
        <v>1</v>
      </c>
      <c r="M652" t="n">
        <v>0</v>
      </c>
      <c r="N652" t="n">
        <v>0</v>
      </c>
      <c r="O652" t="n">
        <v>0</v>
      </c>
      <c r="P652" t="n">
        <v>0</v>
      </c>
      <c r="Q652" t="n">
        <v>1</v>
      </c>
      <c r="R652" t="n">
        <v>0</v>
      </c>
      <c r="S652" t="n">
        <v>1</v>
      </c>
      <c r="T652" t="n">
        <v>1</v>
      </c>
      <c r="U652" t="n">
        <v>1</v>
      </c>
      <c r="V652" s="2" t="inlineStr">
        <is>
          <t>Sparvuggla</t>
        </is>
      </c>
      <c r="W652">
        <f>HYPERLINK("https://klasma.github.io/Logging_1780/artfynd/A 18470-2022 artfynd.xlsx", "A 18470-2022")</f>
        <v/>
      </c>
      <c r="X652">
        <f>HYPERLINK("https://klasma.github.io/Logging_1780/kartor/A 18470-2022 karta.png", "A 18470-2022")</f>
        <v/>
      </c>
      <c r="Y652">
        <f>HYPERLINK("https://klasma.github.io/Logging_1780/kartor_geotiff/A 18470-2022 georefererad karta.tif", "A 18470-2022")</f>
        <v/>
      </c>
      <c r="AA652">
        <f>HYPERLINK("https://klasma.github.io/Logging_1780/klagomål/A 18470-2022 FSC-klagomål.docx", "A 18470-2022")</f>
        <v/>
      </c>
      <c r="AB652">
        <f>HYPERLINK("https://klasma.github.io/Logging_1780/klagomålsmail/A 18470-2022 FSC-klagomål mail.docx", "A 18470-2022")</f>
        <v/>
      </c>
      <c r="AC652">
        <f>HYPERLINK("https://klasma.github.io/Logging_1780/tillsyn/A 18470-2022 tillsynsbegäran.docx", "A 18470-2022")</f>
        <v/>
      </c>
      <c r="AD652">
        <f>HYPERLINK("https://klasma.github.io/Logging_1780/tillsynsmail/A 18470-2022 tillsynsbegäran mail.docx", "A 18470-2022")</f>
        <v/>
      </c>
      <c r="AE652">
        <f>HYPERLINK("https://klasma.github.io/Logging_1780/fåglar/A 18470-2022 prioriterade fågelarter.docx", "A 18470-2022")</f>
        <v/>
      </c>
    </row>
    <row r="653" ht="15" customHeight="1">
      <c r="A653" t="inlineStr">
        <is>
          <t>A 13761-2025</t>
        </is>
      </c>
      <c r="B653" t="inlineStr">
        <is>
          <t>avverkningsanmälan</t>
        </is>
      </c>
      <c r="C653" t="inlineStr">
        <is>
          <t>Föryngringsavverkning</t>
        </is>
      </c>
      <c r="D653" s="1" t="n">
        <v>45737</v>
      </c>
      <c r="E653" s="1" t="n">
        <v>46307</v>
      </c>
      <c r="F653" t="inlineStr">
        <is>
          <t>VÄRMLANDS LÄN</t>
        </is>
      </c>
      <c r="G653" t="inlineStr">
        <is>
          <t>ARVIKA</t>
        </is>
      </c>
      <c r="I653" t="n">
        <v>1.8</v>
      </c>
      <c r="J653" t="n">
        <v>0</v>
      </c>
      <c r="K653" t="n">
        <v>0</v>
      </c>
      <c r="L653" t="n">
        <v>1</v>
      </c>
      <c r="M653" t="n">
        <v>0</v>
      </c>
      <c r="N653" t="n">
        <v>0</v>
      </c>
      <c r="O653" t="n">
        <v>0</v>
      </c>
      <c r="P653" t="n">
        <v>0</v>
      </c>
      <c r="Q653" t="n">
        <v>1</v>
      </c>
      <c r="R653" t="n">
        <v>0</v>
      </c>
      <c r="S653" t="n">
        <v>1</v>
      </c>
      <c r="T653" t="n">
        <v>1</v>
      </c>
      <c r="U653" t="n">
        <v>1</v>
      </c>
      <c r="V653" s="2" t="inlineStr">
        <is>
          <t>Hjeltfibbla</t>
        </is>
      </c>
      <c r="W653">
        <f>HYPERLINK("https://klasma.github.io/Logging_1784/artfynd/A 13761-2025 artfynd.xlsx", "A 13761-2025")</f>
        <v/>
      </c>
      <c r="X653">
        <f>HYPERLINK("https://klasma.github.io/Logging_1784/kartor/A 13761-2025 karta.png", "A 13761-2025")</f>
        <v/>
      </c>
      <c r="Y653">
        <f>HYPERLINK("https://klasma.github.io/Logging_1784/kartor_geotiff/A 13761-2025 georefererad karta.tif", "A 13761-2025")</f>
        <v/>
      </c>
      <c r="AA653">
        <f>HYPERLINK("https://klasma.github.io/Logging_1784/klagomål/A 13761-2025 FSC-klagomål.docx", "A 13761-2025")</f>
        <v/>
      </c>
      <c r="AB653">
        <f>HYPERLINK("https://klasma.github.io/Logging_1784/klagomålsmail/A 13761-2025 FSC-klagomål mail.docx", "A 13761-2025")</f>
        <v/>
      </c>
      <c r="AC653">
        <f>HYPERLINK("https://klasma.github.io/Logging_1784/tillsyn/A 13761-2025 tillsynsbegäran.docx", "A 13761-2025")</f>
        <v/>
      </c>
      <c r="AD653">
        <f>HYPERLINK("https://klasma.github.io/Logging_1784/tillsynsmail/A 13761-2025 tillsynsbegäran mail.docx", "A 13761-2025")</f>
        <v/>
      </c>
    </row>
    <row r="654" ht="15" customHeight="1">
      <c r="A654" t="inlineStr">
        <is>
          <t>A 26624-2025</t>
        </is>
      </c>
      <c r="B654" t="inlineStr">
        <is>
          <t>avverkningsanmälan</t>
        </is>
      </c>
      <c r="C654" t="inlineStr">
        <is>
          <t>Avverkning för annat ändamål</t>
        </is>
      </c>
      <c r="D654" s="1" t="n">
        <v>45810</v>
      </c>
      <c r="E654" s="1" t="n">
        <v>46307</v>
      </c>
      <c r="F654" t="inlineStr">
        <is>
          <t>VÄRMLANDS LÄN</t>
        </is>
      </c>
      <c r="G654" t="inlineStr">
        <is>
          <t>HAGFORS</t>
        </is>
      </c>
      <c r="H654" t="inlineStr">
        <is>
          <t>Bergvik skog väst AB</t>
        </is>
      </c>
      <c r="I654" t="n">
        <v>1.4</v>
      </c>
      <c r="J654" t="n">
        <v>1</v>
      </c>
      <c r="K654" t="n">
        <v>0</v>
      </c>
      <c r="L654" t="n">
        <v>0</v>
      </c>
      <c r="M654" t="n">
        <v>0</v>
      </c>
      <c r="N654" t="n">
        <v>0</v>
      </c>
      <c r="O654" t="n">
        <v>0</v>
      </c>
      <c r="P654" t="n">
        <v>0</v>
      </c>
      <c r="Q654" t="n">
        <v>0</v>
      </c>
      <c r="R654" t="n">
        <v>0</v>
      </c>
      <c r="S654" t="n">
        <v>1</v>
      </c>
      <c r="T654" t="n">
        <v>1</v>
      </c>
      <c r="U654" t="n">
        <v>0</v>
      </c>
      <c r="V654" s="2" t="inlineStr">
        <is>
          <t>Mattlummer</t>
        </is>
      </c>
      <c r="W654">
        <f>HYPERLINK("https://klasma.github.io/Logging_1783/artfynd/A 26624-2025 artfynd.xlsx", "A 26624-2025")</f>
        <v/>
      </c>
      <c r="X654">
        <f>HYPERLINK("https://klasma.github.io/Logging_1783/kartor/A 26624-2025 karta.png", "A 26624-2025")</f>
        <v/>
      </c>
      <c r="Y654">
        <f>HYPERLINK("https://klasma.github.io/Logging_1783/kartor_geotiff/A 26624-2025 georefererad karta.tif", "A 26624-2025")</f>
        <v/>
      </c>
      <c r="AA654">
        <f>HYPERLINK("https://klasma.github.io/Logging_1783/klagomål/A 26624-2025 FSC-klagomål.docx", "A 26624-2025")</f>
        <v/>
      </c>
      <c r="AB654">
        <f>HYPERLINK("https://klasma.github.io/Logging_1783/klagomålsmail/A 26624-2025 FSC-klagomål mail.docx", "A 26624-2025")</f>
        <v/>
      </c>
      <c r="AC654">
        <f>HYPERLINK("https://klasma.github.io/Logging_1783/tillsyn/A 26624-2025 tillsynsbegäran.docx", "A 26624-2025")</f>
        <v/>
      </c>
      <c r="AD654">
        <f>HYPERLINK("https://klasma.github.io/Logging_1783/tillsynsmail/A 26624-2025 tillsynsbegäran mail.docx", "A 26624-2025")</f>
        <v/>
      </c>
    </row>
    <row r="655" ht="15" customHeight="1">
      <c r="A655" t="inlineStr">
        <is>
          <t>A 49825-2025</t>
        </is>
      </c>
      <c r="B655" t="inlineStr">
        <is>
          <t>avverkningsanmälan</t>
        </is>
      </c>
      <c r="C655" t="inlineStr">
        <is>
          <t>Föryngringsavverkning</t>
        </is>
      </c>
      <c r="D655" s="1" t="n">
        <v>45940</v>
      </c>
      <c r="E655" s="1" t="n">
        <v>46307</v>
      </c>
      <c r="F655" t="inlineStr">
        <is>
          <t>VÄRMLANDS LÄN</t>
        </is>
      </c>
      <c r="G655" t="inlineStr">
        <is>
          <t>SUNNE</t>
        </is>
      </c>
      <c r="H655" t="inlineStr">
        <is>
          <t>Bergvik skog väst AB</t>
        </is>
      </c>
      <c r="I655" t="n">
        <v>7.3</v>
      </c>
      <c r="J655" t="n">
        <v>1</v>
      </c>
      <c r="K655" t="n">
        <v>0</v>
      </c>
      <c r="L655" t="n">
        <v>1</v>
      </c>
      <c r="M655" t="n">
        <v>0</v>
      </c>
      <c r="N655" t="n">
        <v>0</v>
      </c>
      <c r="O655" t="n">
        <v>0</v>
      </c>
      <c r="P655" t="n">
        <v>0</v>
      </c>
      <c r="Q655" t="n">
        <v>1</v>
      </c>
      <c r="R655" t="n">
        <v>0</v>
      </c>
      <c r="S655" t="n">
        <v>1</v>
      </c>
      <c r="T655" t="n">
        <v>1</v>
      </c>
      <c r="U655" t="n">
        <v>1</v>
      </c>
      <c r="V655" s="2" t="inlineStr">
        <is>
          <t>Bivråk</t>
        </is>
      </c>
      <c r="W655">
        <f>HYPERLINK("https://klasma.github.io/Logging_1766/artfynd/A 49825-2025 artfynd.xlsx", "A 49825-2025")</f>
        <v/>
      </c>
      <c r="X655">
        <f>HYPERLINK("https://klasma.github.io/Logging_1766/kartor/A 49825-2025 karta.png", "A 49825-2025")</f>
        <v/>
      </c>
      <c r="Y655">
        <f>HYPERLINK("https://klasma.github.io/Logging_1766/kartor_geotiff/A 49825-2025 georefererad karta.tif", "A 49825-2025")</f>
        <v/>
      </c>
      <c r="AA655">
        <f>HYPERLINK("https://klasma.github.io/Logging_1766/klagomål/A 49825-2025 FSC-klagomål.docx", "A 49825-2025")</f>
        <v/>
      </c>
      <c r="AB655">
        <f>HYPERLINK("https://klasma.github.io/Logging_1766/klagomålsmail/A 49825-2025 FSC-klagomål mail.docx", "A 49825-2025")</f>
        <v/>
      </c>
      <c r="AC655">
        <f>HYPERLINK("https://klasma.github.io/Logging_1766/tillsyn/A 49825-2025 tillsynsbegäran.docx", "A 49825-2025")</f>
        <v/>
      </c>
      <c r="AD655">
        <f>HYPERLINK("https://klasma.github.io/Logging_1766/tillsynsmail/A 49825-2025 tillsynsbegäran mail.docx", "A 49825-2025")</f>
        <v/>
      </c>
      <c r="AE655">
        <f>HYPERLINK("https://klasma.github.io/Logging_1766/fåglar/A 49825-2025 prioriterade fågelarter.docx", "A 49825-2025")</f>
        <v/>
      </c>
    </row>
    <row r="656" ht="15" customHeight="1">
      <c r="A656" t="inlineStr">
        <is>
          <t>A 27301-2025</t>
        </is>
      </c>
      <c r="B656" t="inlineStr">
        <is>
          <t>avverkningsanmälan</t>
        </is>
      </c>
      <c r="C656" t="inlineStr">
        <is>
          <t>Föryngringsavverkning</t>
        </is>
      </c>
      <c r="D656" s="1" t="n">
        <v>45812</v>
      </c>
      <c r="E656" s="1" t="n">
        <v>46307</v>
      </c>
      <c r="F656" t="inlineStr">
        <is>
          <t>VÄRMLANDS LÄN</t>
        </is>
      </c>
      <c r="G656" t="inlineStr">
        <is>
          <t>TORSBY</t>
        </is>
      </c>
      <c r="I656" t="n">
        <v>2.7</v>
      </c>
      <c r="J656" t="n">
        <v>1</v>
      </c>
      <c r="K656" t="n">
        <v>0</v>
      </c>
      <c r="L656" t="n">
        <v>1</v>
      </c>
      <c r="M656" t="n">
        <v>0</v>
      </c>
      <c r="N656" t="n">
        <v>0</v>
      </c>
      <c r="O656" t="n">
        <v>0</v>
      </c>
      <c r="P656" t="n">
        <v>0</v>
      </c>
      <c r="Q656" t="n">
        <v>1</v>
      </c>
      <c r="R656" t="n">
        <v>0</v>
      </c>
      <c r="S656" t="n">
        <v>1</v>
      </c>
      <c r="T656" t="n">
        <v>1</v>
      </c>
      <c r="U656" t="n">
        <v>0</v>
      </c>
      <c r="V656" s="2" t="inlineStr">
        <is>
          <t>Nordfladdermus</t>
        </is>
      </c>
      <c r="W656">
        <f>HYPERLINK("https://klasma.github.io/Logging_1737/artfynd/A 27301-2025 artfynd.xlsx", "A 27301-2025")</f>
        <v/>
      </c>
      <c r="X656">
        <f>HYPERLINK("https://klasma.github.io/Logging_1737/kartor/A 27301-2025 karta.png", "A 27301-2025")</f>
        <v/>
      </c>
      <c r="Y656">
        <f>HYPERLINK("https://klasma.github.io/Logging_1737/kartor_geotiff/A 27301-2025 georefererad karta.tif", "A 27301-2025")</f>
        <v/>
      </c>
      <c r="AA656">
        <f>HYPERLINK("https://klasma.github.io/Logging_1737/klagomål/A 27301-2025 FSC-klagomål.docx", "A 27301-2025")</f>
        <v/>
      </c>
      <c r="AB656">
        <f>HYPERLINK("https://klasma.github.io/Logging_1737/klagomålsmail/A 27301-2025 FSC-klagomål mail.docx", "A 27301-2025")</f>
        <v/>
      </c>
      <c r="AC656">
        <f>HYPERLINK("https://klasma.github.io/Logging_1737/tillsyn/A 27301-2025 tillsynsbegäran.docx", "A 27301-2025")</f>
        <v/>
      </c>
      <c r="AD656">
        <f>HYPERLINK("https://klasma.github.io/Logging_1737/tillsynsmail/A 27301-2025 tillsynsbegäran mail.docx", "A 27301-2025")</f>
        <v/>
      </c>
    </row>
    <row r="657" ht="15" customHeight="1">
      <c r="A657" t="inlineStr">
        <is>
          <t>A 43388-2023</t>
        </is>
      </c>
      <c r="B657" t="inlineStr">
        <is>
          <t>avverkningsanmälan</t>
        </is>
      </c>
      <c r="C657" t="inlineStr">
        <is>
          <t>Föryngringsavverkning</t>
        </is>
      </c>
      <c r="D657" s="1" t="n">
        <v>45183</v>
      </c>
      <c r="E657" s="1" t="n">
        <v>46307</v>
      </c>
      <c r="F657" t="inlineStr">
        <is>
          <t>VÄRMLANDS LÄN</t>
        </is>
      </c>
      <c r="G657" t="inlineStr">
        <is>
          <t>ARVIKA</t>
        </is>
      </c>
      <c r="I657" t="n">
        <v>0.7</v>
      </c>
      <c r="J657" t="n">
        <v>1</v>
      </c>
      <c r="K657" t="n">
        <v>0</v>
      </c>
      <c r="L657" t="n">
        <v>0</v>
      </c>
      <c r="M657" t="n">
        <v>1</v>
      </c>
      <c r="N657" t="n">
        <v>0</v>
      </c>
      <c r="O657" t="n">
        <v>0</v>
      </c>
      <c r="P657" t="n">
        <v>0</v>
      </c>
      <c r="Q657" t="n">
        <v>1</v>
      </c>
      <c r="R657" t="n">
        <v>1</v>
      </c>
      <c r="S657" t="n">
        <v>1</v>
      </c>
      <c r="T657" t="n">
        <v>1</v>
      </c>
      <c r="U657" t="n">
        <v>0</v>
      </c>
      <c r="V657" s="2" t="inlineStr">
        <is>
          <t>Knärot</t>
        </is>
      </c>
      <c r="W657">
        <f>HYPERLINK("https://klasma.github.io/Logging_1784/artfynd/A 43388-2023 artfynd.xlsx", "A 43388-2023")</f>
        <v/>
      </c>
      <c r="X657">
        <f>HYPERLINK("https://klasma.github.io/Logging_1784/kartor/A 43388-2023 karta.png", "A 43388-2023")</f>
        <v/>
      </c>
      <c r="Y657">
        <f>HYPERLINK("https://klasma.github.io/Logging_1784/kartor_geotiff/A 43388-2023 georefererad karta.tif", "A 43388-2023")</f>
        <v/>
      </c>
      <c r="Z657">
        <f>HYPERLINK("https://klasma.github.io/Logging_1784/knärot/A 43388-2023 karta knärot.png", "A 43388-2023")</f>
        <v/>
      </c>
      <c r="AA657">
        <f>HYPERLINK("https://klasma.github.io/Logging_1784/klagomål/A 43388-2023 FSC-klagomål.docx", "A 43388-2023")</f>
        <v/>
      </c>
      <c r="AB657">
        <f>HYPERLINK("https://klasma.github.io/Logging_1784/klagomålsmail/A 43388-2023 FSC-klagomål mail.docx", "A 43388-2023")</f>
        <v/>
      </c>
      <c r="AC657">
        <f>HYPERLINK("https://klasma.github.io/Logging_1784/tillsyn/A 43388-2023 tillsynsbegäran.docx", "A 43388-2023")</f>
        <v/>
      </c>
      <c r="AD657">
        <f>HYPERLINK("https://klasma.github.io/Logging_1784/tillsynsmail/A 43388-2023 tillsynsbegäran mail.docx", "A 43388-2023")</f>
        <v/>
      </c>
    </row>
    <row r="658" ht="15" customHeight="1">
      <c r="A658" t="inlineStr">
        <is>
          <t>A 44095-2023</t>
        </is>
      </c>
      <c r="B658" t="inlineStr">
        <is>
          <t>avverkningsanmälan</t>
        </is>
      </c>
      <c r="C658" t="inlineStr">
        <is>
          <t>Föryngringsavverkning</t>
        </is>
      </c>
      <c r="D658" s="1" t="n">
        <v>45188</v>
      </c>
      <c r="E658" s="1" t="n">
        <v>46307</v>
      </c>
      <c r="F658" t="inlineStr">
        <is>
          <t>VÄRMLANDS LÄN</t>
        </is>
      </c>
      <c r="G658" t="inlineStr">
        <is>
          <t>HAGFORS</t>
        </is>
      </c>
      <c r="I658" t="n">
        <v>3.6</v>
      </c>
      <c r="J658" t="n">
        <v>1</v>
      </c>
      <c r="K658" t="n">
        <v>0</v>
      </c>
      <c r="L658" t="n">
        <v>0</v>
      </c>
      <c r="M658" t="n">
        <v>0</v>
      </c>
      <c r="N658" t="n">
        <v>0</v>
      </c>
      <c r="O658" t="n">
        <v>0</v>
      </c>
      <c r="P658" t="n">
        <v>0</v>
      </c>
      <c r="Q658" t="n">
        <v>0</v>
      </c>
      <c r="R658" t="n">
        <v>0</v>
      </c>
      <c r="S658" t="n">
        <v>1</v>
      </c>
      <c r="T658" t="n">
        <v>1</v>
      </c>
      <c r="U658" t="n">
        <v>0</v>
      </c>
      <c r="V658" s="2" t="inlineStr">
        <is>
          <t>Utter</t>
        </is>
      </c>
      <c r="W658">
        <f>HYPERLINK("https://klasma.github.io/Logging_1783/artfynd/A 44095-2023 artfynd.xlsx", "A 44095-2023")</f>
        <v/>
      </c>
      <c r="X658">
        <f>HYPERLINK("https://klasma.github.io/Logging_1783/kartor/A 44095-2023 karta.png", "A 44095-2023")</f>
        <v/>
      </c>
      <c r="Y658">
        <f>HYPERLINK("https://klasma.github.io/Logging_1783/kartor_geotiff/A 44095-2023 georefererad karta.tif", "A 44095-2023")</f>
        <v/>
      </c>
      <c r="AA658">
        <f>HYPERLINK("https://klasma.github.io/Logging_1783/klagomål/A 44095-2023 FSC-klagomål.docx", "A 44095-2023")</f>
        <v/>
      </c>
      <c r="AB658">
        <f>HYPERLINK("https://klasma.github.io/Logging_1783/klagomålsmail/A 44095-2023 FSC-klagomål mail.docx", "A 44095-2023")</f>
        <v/>
      </c>
      <c r="AC658">
        <f>HYPERLINK("https://klasma.github.io/Logging_1783/tillsyn/A 44095-2023 tillsynsbegäran.docx", "A 44095-2023")</f>
        <v/>
      </c>
      <c r="AD658">
        <f>HYPERLINK("https://klasma.github.io/Logging_1783/tillsynsmail/A 44095-2023 tillsynsbegäran mail.docx", "A 44095-2023")</f>
        <v/>
      </c>
    </row>
    <row r="659" ht="15" customHeight="1">
      <c r="A659" t="inlineStr">
        <is>
          <t>A 50030-2025</t>
        </is>
      </c>
      <c r="B659" t="inlineStr">
        <is>
          <t>avverkningsanmälan</t>
        </is>
      </c>
      <c r="C659" t="inlineStr">
        <is>
          <t>Föryngringsavverkning</t>
        </is>
      </c>
      <c r="D659" s="1" t="n">
        <v>45943</v>
      </c>
      <c r="E659" s="1" t="n">
        <v>46307</v>
      </c>
      <c r="F659" t="inlineStr">
        <is>
          <t>VÄRMLANDS LÄN</t>
        </is>
      </c>
      <c r="G659" t="inlineStr">
        <is>
          <t>HAGFORS</t>
        </is>
      </c>
      <c r="H659" t="inlineStr">
        <is>
          <t>Bergvik skog väst AB</t>
        </is>
      </c>
      <c r="I659" t="n">
        <v>9.9</v>
      </c>
      <c r="J659" t="n">
        <v>0</v>
      </c>
      <c r="K659" t="n">
        <v>1</v>
      </c>
      <c r="L659" t="n">
        <v>0</v>
      </c>
      <c r="M659" t="n">
        <v>0</v>
      </c>
      <c r="N659" t="n">
        <v>0</v>
      </c>
      <c r="O659" t="n">
        <v>0</v>
      </c>
      <c r="P659" t="n">
        <v>0</v>
      </c>
      <c r="Q659" t="n">
        <v>0</v>
      </c>
      <c r="R659" t="n">
        <v>0</v>
      </c>
      <c r="S659" t="n">
        <v>1</v>
      </c>
      <c r="T659" t="n">
        <v>1</v>
      </c>
      <c r="U659" t="n">
        <v>0</v>
      </c>
      <c r="V659" s="2" t="inlineStr">
        <is>
          <t>Svart trolldruva</t>
        </is>
      </c>
      <c r="W659">
        <f>HYPERLINK("https://klasma.github.io/Logging_1783/artfynd/A 50030-2025 artfynd.xlsx", "A 50030-2025")</f>
        <v/>
      </c>
      <c r="X659">
        <f>HYPERLINK("https://klasma.github.io/Logging_1783/kartor/A 50030-2025 karta.png", "A 50030-2025")</f>
        <v/>
      </c>
      <c r="Y659">
        <f>HYPERLINK("https://klasma.github.io/Logging_1783/kartor_geotiff/A 50030-2025 georefererad karta.tif", "A 50030-2025")</f>
        <v/>
      </c>
      <c r="AA659">
        <f>HYPERLINK("https://klasma.github.io/Logging_1783/klagomål/A 50030-2025 FSC-klagomål.docx", "A 50030-2025")</f>
        <v/>
      </c>
      <c r="AB659">
        <f>HYPERLINK("https://klasma.github.io/Logging_1783/klagomålsmail/A 50030-2025 FSC-klagomål mail.docx", "A 50030-2025")</f>
        <v/>
      </c>
      <c r="AC659">
        <f>HYPERLINK("https://klasma.github.io/Logging_1783/tillsyn/A 50030-2025 tillsynsbegäran.docx", "A 50030-2025")</f>
        <v/>
      </c>
      <c r="AD659">
        <f>HYPERLINK("https://klasma.github.io/Logging_1783/tillsynsmail/A 50030-2025 tillsynsbegäran mail.docx", "A 50030-2025")</f>
        <v/>
      </c>
    </row>
    <row r="660" ht="15" customHeight="1">
      <c r="A660" t="inlineStr">
        <is>
          <t>A 27116-2025</t>
        </is>
      </c>
      <c r="B660" t="inlineStr">
        <is>
          <t>avverkningsanmälan</t>
        </is>
      </c>
      <c r="C660" t="inlineStr">
        <is>
          <t>Föryngringsavverkning</t>
        </is>
      </c>
      <c r="D660" s="1" t="n">
        <v>45811</v>
      </c>
      <c r="E660" s="1" t="n">
        <v>46307</v>
      </c>
      <c r="F660" t="inlineStr">
        <is>
          <t>VÄRMLANDS LÄN</t>
        </is>
      </c>
      <c r="G660" t="inlineStr">
        <is>
          <t>TORSBY</t>
        </is>
      </c>
      <c r="I660" t="n">
        <v>6.2</v>
      </c>
      <c r="J660" t="n">
        <v>0</v>
      </c>
      <c r="K660" t="n">
        <v>0</v>
      </c>
      <c r="L660" t="n">
        <v>1</v>
      </c>
      <c r="M660" t="n">
        <v>0</v>
      </c>
      <c r="N660" t="n">
        <v>0</v>
      </c>
      <c r="O660" t="n">
        <v>0</v>
      </c>
      <c r="P660" t="n">
        <v>0</v>
      </c>
      <c r="Q660" t="n">
        <v>1</v>
      </c>
      <c r="R660" t="n">
        <v>0</v>
      </c>
      <c r="S660" t="n">
        <v>1</v>
      </c>
      <c r="T660" t="n">
        <v>1</v>
      </c>
      <c r="U660" t="n">
        <v>0</v>
      </c>
      <c r="V660" s="2" t="inlineStr">
        <is>
          <t>Bred trollknäppare</t>
        </is>
      </c>
      <c r="W660">
        <f>HYPERLINK("https://klasma.github.io/Logging_1737/artfynd/A 27116-2025 artfynd.xlsx", "A 27116-2025")</f>
        <v/>
      </c>
      <c r="X660">
        <f>HYPERLINK("https://klasma.github.io/Logging_1737/kartor/A 27116-2025 karta.png", "A 27116-2025")</f>
        <v/>
      </c>
      <c r="Y660">
        <f>HYPERLINK("https://klasma.github.io/Logging_1737/kartor_geotiff/A 27116-2025 georefererad karta.tif", "A 27116-2025")</f>
        <v/>
      </c>
      <c r="AA660">
        <f>HYPERLINK("https://klasma.github.io/Logging_1737/klagomål/A 27116-2025 FSC-klagomål.docx", "A 27116-2025")</f>
        <v/>
      </c>
      <c r="AB660">
        <f>HYPERLINK("https://klasma.github.io/Logging_1737/klagomålsmail/A 27116-2025 FSC-klagomål mail.docx", "A 27116-2025")</f>
        <v/>
      </c>
      <c r="AC660">
        <f>HYPERLINK("https://klasma.github.io/Logging_1737/tillsyn/A 27116-2025 tillsynsbegäran.docx", "A 27116-2025")</f>
        <v/>
      </c>
      <c r="AD660">
        <f>HYPERLINK("https://klasma.github.io/Logging_1737/tillsynsmail/A 27116-2025 tillsynsbegäran mail.docx", "A 27116-2025")</f>
        <v/>
      </c>
    </row>
    <row r="661" ht="15" customHeight="1">
      <c r="A661" t="inlineStr">
        <is>
          <t>A 8630-2025</t>
        </is>
      </c>
      <c r="B661" t="inlineStr">
        <is>
          <t>avverkningsanmälan</t>
        </is>
      </c>
      <c r="C661" t="inlineStr">
        <is>
          <t>Föryngringsavverkning</t>
        </is>
      </c>
      <c r="D661" s="1" t="n">
        <v>45711</v>
      </c>
      <c r="E661" s="1" t="n">
        <v>46307</v>
      </c>
      <c r="F661" t="inlineStr">
        <is>
          <t>VÄRMLANDS LÄN</t>
        </is>
      </c>
      <c r="G661" t="inlineStr">
        <is>
          <t>ÅRJÄNG</t>
        </is>
      </c>
      <c r="I661" t="n">
        <v>3.1</v>
      </c>
      <c r="J661" t="n">
        <v>0</v>
      </c>
      <c r="K661" t="n">
        <v>0</v>
      </c>
      <c r="L661" t="n">
        <v>1</v>
      </c>
      <c r="M661" t="n">
        <v>0</v>
      </c>
      <c r="N661" t="n">
        <v>0</v>
      </c>
      <c r="O661" t="n">
        <v>0</v>
      </c>
      <c r="P661" t="n">
        <v>0</v>
      </c>
      <c r="Q661" t="n">
        <v>1</v>
      </c>
      <c r="R661" t="n">
        <v>0</v>
      </c>
      <c r="S661" t="n">
        <v>1</v>
      </c>
      <c r="T661" t="n">
        <v>1</v>
      </c>
      <c r="U661" t="n">
        <v>0</v>
      </c>
      <c r="V661" s="2" t="inlineStr">
        <is>
          <t>Dropptaggsvamp</t>
        </is>
      </c>
      <c r="W661">
        <f>HYPERLINK("https://klasma.github.io/Logging_1765/artfynd/A 8630-2025 artfynd.xlsx", "A 8630-2025")</f>
        <v/>
      </c>
      <c r="X661">
        <f>HYPERLINK("https://klasma.github.io/Logging_1765/kartor/A 8630-2025 karta.png", "A 8630-2025")</f>
        <v/>
      </c>
      <c r="Y661">
        <f>HYPERLINK("https://klasma.github.io/Logging_1765/kartor_geotiff/A 8630-2025 georefererad karta.tif", "A 8630-2025")</f>
        <v/>
      </c>
      <c r="AA661">
        <f>HYPERLINK("https://klasma.github.io/Logging_1765/klagomål/A 8630-2025 FSC-klagomål.docx", "A 8630-2025")</f>
        <v/>
      </c>
      <c r="AB661">
        <f>HYPERLINK("https://klasma.github.io/Logging_1765/klagomålsmail/A 8630-2025 FSC-klagomål mail.docx", "A 8630-2025")</f>
        <v/>
      </c>
      <c r="AC661">
        <f>HYPERLINK("https://klasma.github.io/Logging_1765/tillsyn/A 8630-2025 tillsynsbegäran.docx", "A 8630-2025")</f>
        <v/>
      </c>
      <c r="AD661">
        <f>HYPERLINK("https://klasma.github.io/Logging_1765/tillsynsmail/A 8630-2025 tillsynsbegäran mail.docx", "A 8630-2025")</f>
        <v/>
      </c>
    </row>
    <row r="662" ht="15" customHeight="1">
      <c r="A662" t="inlineStr">
        <is>
          <t>A 12137-2025</t>
        </is>
      </c>
      <c r="B662" t="inlineStr">
        <is>
          <t>avverkningsanmälan</t>
        </is>
      </c>
      <c r="C662" t="inlineStr">
        <is>
          <t>Föryngringsavverkning</t>
        </is>
      </c>
      <c r="D662" s="1" t="n">
        <v>45729</v>
      </c>
      <c r="E662" s="1" t="n">
        <v>46307</v>
      </c>
      <c r="F662" t="inlineStr">
        <is>
          <t>VÄRMLANDS LÄN</t>
        </is>
      </c>
      <c r="G662" t="inlineStr">
        <is>
          <t>ÅRJÄNG</t>
        </is>
      </c>
      <c r="I662" t="n">
        <v>12.6</v>
      </c>
      <c r="J662" t="n">
        <v>1</v>
      </c>
      <c r="K662" t="n">
        <v>0</v>
      </c>
      <c r="L662" t="n">
        <v>0</v>
      </c>
      <c r="M662" t="n">
        <v>0</v>
      </c>
      <c r="N662" t="n">
        <v>0</v>
      </c>
      <c r="O662" t="n">
        <v>0</v>
      </c>
      <c r="P662" t="n">
        <v>0</v>
      </c>
      <c r="Q662" t="n">
        <v>0</v>
      </c>
      <c r="R662" t="n">
        <v>0</v>
      </c>
      <c r="S662" t="n">
        <v>1</v>
      </c>
      <c r="T662" t="n">
        <v>3</v>
      </c>
      <c r="U662" t="n">
        <v>3</v>
      </c>
      <c r="V662" s="2" t="inlineStr">
        <is>
          <t>Fläcknycklar</t>
        </is>
      </c>
      <c r="W662">
        <f>HYPERLINK("https://klasma.github.io/Logging_1765/artfynd/A 12137-2025 artfynd.xlsx", "A 12137-2025")</f>
        <v/>
      </c>
      <c r="X662">
        <f>HYPERLINK("https://klasma.github.io/Logging_1765/kartor/A 12137-2025 karta.png", "A 12137-2025")</f>
        <v/>
      </c>
      <c r="Y662">
        <f>HYPERLINK("https://klasma.github.io/Logging_1765/kartor_geotiff/A 12137-2025 georefererad karta.tif", "A 12137-2025")</f>
        <v/>
      </c>
      <c r="AA662">
        <f>HYPERLINK("https://klasma.github.io/Logging_1765/klagomål/A 12137-2025 FSC-klagomål.docx", "A 12137-2025")</f>
        <v/>
      </c>
      <c r="AB662">
        <f>HYPERLINK("https://klasma.github.io/Logging_1765/klagomålsmail/A 12137-2025 FSC-klagomål mail.docx", "A 12137-2025")</f>
        <v/>
      </c>
      <c r="AC662">
        <f>HYPERLINK("https://klasma.github.io/Logging_1765/tillsyn/A 12137-2025 tillsynsbegäran.docx", "A 12137-2025")</f>
        <v/>
      </c>
      <c r="AD662">
        <f>HYPERLINK("https://klasma.github.io/Logging_1765/tillsynsmail/A 12137-2025 tillsynsbegäran mail.docx", "A 12137-2025")</f>
        <v/>
      </c>
    </row>
    <row r="663" ht="15" customHeight="1">
      <c r="A663" t="inlineStr">
        <is>
          <t>A 61612-2024</t>
        </is>
      </c>
      <c r="B663" t="inlineStr">
        <is>
          <t>avverkningsanmälan</t>
        </is>
      </c>
      <c r="C663" t="inlineStr">
        <is>
          <t>Föryngringsavverkning</t>
        </is>
      </c>
      <c r="D663" s="1" t="n">
        <v>45646</v>
      </c>
      <c r="E663" s="1" t="n">
        <v>46307</v>
      </c>
      <c r="F663" t="inlineStr">
        <is>
          <t>VÄRMLANDS LÄN</t>
        </is>
      </c>
      <c r="G663" t="inlineStr">
        <is>
          <t>SÄFFLE</t>
        </is>
      </c>
      <c r="I663" t="n">
        <v>2.9</v>
      </c>
      <c r="J663" t="n">
        <v>0</v>
      </c>
      <c r="K663" t="n">
        <v>0</v>
      </c>
      <c r="L663" t="n">
        <v>1</v>
      </c>
      <c r="M663" t="n">
        <v>0</v>
      </c>
      <c r="N663" t="n">
        <v>0</v>
      </c>
      <c r="O663" t="n">
        <v>0</v>
      </c>
      <c r="P663" t="n">
        <v>0</v>
      </c>
      <c r="Q663" t="n">
        <v>1</v>
      </c>
      <c r="R663" t="n">
        <v>0</v>
      </c>
      <c r="S663" t="n">
        <v>1</v>
      </c>
      <c r="T663" t="n">
        <v>1</v>
      </c>
      <c r="U663" t="n">
        <v>0</v>
      </c>
      <c r="V663" s="2" t="inlineStr">
        <is>
          <t>Jungfrulin</t>
        </is>
      </c>
      <c r="W663">
        <f>HYPERLINK("https://klasma.github.io/Logging_1785/artfynd/A 61612-2024 artfynd.xlsx", "A 61612-2024")</f>
        <v/>
      </c>
      <c r="X663">
        <f>HYPERLINK("https://klasma.github.io/Logging_1785/kartor/A 61612-2024 karta.png", "A 61612-2024")</f>
        <v/>
      </c>
      <c r="Y663">
        <f>HYPERLINK("https://klasma.github.io/Logging_1785/kartor_geotiff/A 61612-2024 georefererad karta.tif", "A 61612-2024")</f>
        <v/>
      </c>
      <c r="AA663">
        <f>HYPERLINK("https://klasma.github.io/Logging_1785/klagomål/A 61612-2024 FSC-klagomål.docx", "A 61612-2024")</f>
        <v/>
      </c>
      <c r="AB663">
        <f>HYPERLINK("https://klasma.github.io/Logging_1785/klagomålsmail/A 61612-2024 FSC-klagomål mail.docx", "A 61612-2024")</f>
        <v/>
      </c>
      <c r="AC663">
        <f>HYPERLINK("https://klasma.github.io/Logging_1785/tillsyn/A 61612-2024 tillsynsbegäran.docx", "A 61612-2024")</f>
        <v/>
      </c>
      <c r="AD663">
        <f>HYPERLINK("https://klasma.github.io/Logging_1785/tillsynsmail/A 61612-2024 tillsynsbegäran mail.docx", "A 61612-2024")</f>
        <v/>
      </c>
    </row>
    <row r="664" ht="15" customHeight="1">
      <c r="A664" t="inlineStr">
        <is>
          <t>A 13359-2023</t>
        </is>
      </c>
      <c r="B664" t="inlineStr">
        <is>
          <t>avverkningsanmälan</t>
        </is>
      </c>
      <c r="C664" t="inlineStr">
        <is>
          <t>Föryngringsavverkning</t>
        </is>
      </c>
      <c r="D664" s="1" t="n">
        <v>45005</v>
      </c>
      <c r="E664" s="1" t="n">
        <v>46307</v>
      </c>
      <c r="F664" t="inlineStr">
        <is>
          <t>VÄRMLANDS LÄN</t>
        </is>
      </c>
      <c r="G664" t="inlineStr">
        <is>
          <t>TORSBY</t>
        </is>
      </c>
      <c r="I664" t="n">
        <v>12.9</v>
      </c>
      <c r="J664" t="n">
        <v>0</v>
      </c>
      <c r="K664" t="n">
        <v>0</v>
      </c>
      <c r="L664" t="n">
        <v>1</v>
      </c>
      <c r="M664" t="n">
        <v>0</v>
      </c>
      <c r="N664" t="n">
        <v>0</v>
      </c>
      <c r="O664" t="n">
        <v>0</v>
      </c>
      <c r="P664" t="n">
        <v>0</v>
      </c>
      <c r="Q664" t="n">
        <v>1</v>
      </c>
      <c r="R664" t="n">
        <v>0</v>
      </c>
      <c r="S664" t="n">
        <v>1</v>
      </c>
      <c r="T664" t="n">
        <v>1</v>
      </c>
      <c r="U664" t="n">
        <v>0</v>
      </c>
      <c r="V664" s="2" t="inlineStr">
        <is>
          <t>Dropptaggsvamp</t>
        </is>
      </c>
      <c r="W664">
        <f>HYPERLINK("https://klasma.github.io/Logging_1737/artfynd/A 13359-2023 artfynd.xlsx", "A 13359-2023")</f>
        <v/>
      </c>
      <c r="X664">
        <f>HYPERLINK("https://klasma.github.io/Logging_1737/kartor/A 13359-2023 karta.png", "A 13359-2023")</f>
        <v/>
      </c>
      <c r="Y664">
        <f>HYPERLINK("https://klasma.github.io/Logging_1737/kartor_geotiff/A 13359-2023 georefererad karta.tif", "A 13359-2023")</f>
        <v/>
      </c>
      <c r="AA664">
        <f>HYPERLINK("https://klasma.github.io/Logging_1737/klagomål/A 13359-2023 FSC-klagomål.docx", "A 13359-2023")</f>
        <v/>
      </c>
      <c r="AB664">
        <f>HYPERLINK("https://klasma.github.io/Logging_1737/klagomålsmail/A 13359-2023 FSC-klagomål mail.docx", "A 13359-2023")</f>
        <v/>
      </c>
      <c r="AC664">
        <f>HYPERLINK("https://klasma.github.io/Logging_1737/tillsyn/A 13359-2023 tillsynsbegäran.docx", "A 13359-2023")</f>
        <v/>
      </c>
      <c r="AD664">
        <f>HYPERLINK("https://klasma.github.io/Logging_1737/tillsynsmail/A 13359-2023 tillsynsbegäran mail.docx", "A 13359-2023")</f>
        <v/>
      </c>
    </row>
    <row r="665" ht="15" customHeight="1">
      <c r="A665" t="inlineStr">
        <is>
          <t>A 13361-2023</t>
        </is>
      </c>
      <c r="B665" t="inlineStr">
        <is>
          <t>avverkningsanmälan</t>
        </is>
      </c>
      <c r="C665" t="inlineStr">
        <is>
          <t>Föryngringsavverkning</t>
        </is>
      </c>
      <c r="D665" s="1" t="n">
        <v>45005</v>
      </c>
      <c r="E665" s="1" t="n">
        <v>46307</v>
      </c>
      <c r="F665" t="inlineStr">
        <is>
          <t>VÄRMLANDS LÄN</t>
        </is>
      </c>
      <c r="G665" t="inlineStr">
        <is>
          <t>TORSBY</t>
        </is>
      </c>
      <c r="I665" t="n">
        <v>8.5</v>
      </c>
      <c r="J665" t="n">
        <v>0</v>
      </c>
      <c r="K665" t="n">
        <v>0</v>
      </c>
      <c r="L665" t="n">
        <v>1</v>
      </c>
      <c r="M665" t="n">
        <v>0</v>
      </c>
      <c r="N665" t="n">
        <v>0</v>
      </c>
      <c r="O665" t="n">
        <v>0</v>
      </c>
      <c r="P665" t="n">
        <v>0</v>
      </c>
      <c r="Q665" t="n">
        <v>1</v>
      </c>
      <c r="R665" t="n">
        <v>0</v>
      </c>
      <c r="S665" t="n">
        <v>1</v>
      </c>
      <c r="T665" t="n">
        <v>1</v>
      </c>
      <c r="U665" t="n">
        <v>0</v>
      </c>
      <c r="V665" s="2" t="inlineStr">
        <is>
          <t>Dropptaggsvamp</t>
        </is>
      </c>
      <c r="W665">
        <f>HYPERLINK("https://klasma.github.io/Logging_1737/artfynd/A 13361-2023 artfynd.xlsx", "A 13361-2023")</f>
        <v/>
      </c>
      <c r="X665">
        <f>HYPERLINK("https://klasma.github.io/Logging_1737/kartor/A 13361-2023 karta.png", "A 13361-2023")</f>
        <v/>
      </c>
      <c r="Y665">
        <f>HYPERLINK("https://klasma.github.io/Logging_1737/kartor_geotiff/A 13361-2023 georefererad karta.tif", "A 13361-2023")</f>
        <v/>
      </c>
      <c r="AA665">
        <f>HYPERLINK("https://klasma.github.io/Logging_1737/klagomål/A 13361-2023 FSC-klagomål.docx", "A 13361-2023")</f>
        <v/>
      </c>
      <c r="AB665">
        <f>HYPERLINK("https://klasma.github.io/Logging_1737/klagomålsmail/A 13361-2023 FSC-klagomål mail.docx", "A 13361-2023")</f>
        <v/>
      </c>
      <c r="AC665">
        <f>HYPERLINK("https://klasma.github.io/Logging_1737/tillsyn/A 13361-2023 tillsynsbegäran.docx", "A 13361-2023")</f>
        <v/>
      </c>
      <c r="AD665">
        <f>HYPERLINK("https://klasma.github.io/Logging_1737/tillsynsmail/A 13361-2023 tillsynsbegäran mail.docx", "A 13361-2023")</f>
        <v/>
      </c>
    </row>
    <row r="666" ht="15" customHeight="1">
      <c r="A666" t="inlineStr">
        <is>
          <t>A 56783-2023</t>
        </is>
      </c>
      <c r="B666" t="inlineStr">
        <is>
          <t>avverkningsanmälan</t>
        </is>
      </c>
      <c r="C666" t="inlineStr">
        <is>
          <t>Föryngringsavverkning</t>
        </is>
      </c>
      <c r="D666" s="1" t="n">
        <v>45244</v>
      </c>
      <c r="E666" s="1" t="n">
        <v>46307</v>
      </c>
      <c r="F666" t="inlineStr">
        <is>
          <t>VÄRMLANDS LÄN</t>
        </is>
      </c>
      <c r="G666" t="inlineStr">
        <is>
          <t>EDA</t>
        </is>
      </c>
      <c r="I666" t="n">
        <v>1</v>
      </c>
      <c r="J666" t="n">
        <v>1</v>
      </c>
      <c r="K666" t="n">
        <v>0</v>
      </c>
      <c r="L666" t="n">
        <v>0</v>
      </c>
      <c r="M666" t="n">
        <v>0</v>
      </c>
      <c r="N666" t="n">
        <v>0</v>
      </c>
      <c r="O666" t="n">
        <v>0</v>
      </c>
      <c r="P666" t="n">
        <v>0</v>
      </c>
      <c r="Q666" t="n">
        <v>0</v>
      </c>
      <c r="R666" t="n">
        <v>0</v>
      </c>
      <c r="S666" t="n">
        <v>1</v>
      </c>
      <c r="T666" t="n">
        <v>1</v>
      </c>
      <c r="U666" t="n">
        <v>0</v>
      </c>
      <c r="V666" s="2" t="inlineStr">
        <is>
          <t>Gröngöling</t>
        </is>
      </c>
      <c r="W666">
        <f>HYPERLINK("https://klasma.github.io/Logging_1730/artfynd/A 56783-2023 artfynd.xlsx", "A 56783-2023")</f>
        <v/>
      </c>
      <c r="X666">
        <f>HYPERLINK("https://klasma.github.io/Logging_1730/kartor/A 56783-2023 karta.png", "A 56783-2023")</f>
        <v/>
      </c>
      <c r="Y666">
        <f>HYPERLINK("https://klasma.github.io/Logging_1730/kartor_geotiff/A 56783-2023 georefererad karta.tif", "A 56783-2023")</f>
        <v/>
      </c>
      <c r="AA666">
        <f>HYPERLINK("https://klasma.github.io/Logging_1730/klagomål/A 56783-2023 FSC-klagomål.docx", "A 56783-2023")</f>
        <v/>
      </c>
      <c r="AB666">
        <f>HYPERLINK("https://klasma.github.io/Logging_1730/klagomålsmail/A 56783-2023 FSC-klagomål mail.docx", "A 56783-2023")</f>
        <v/>
      </c>
      <c r="AC666">
        <f>HYPERLINK("https://klasma.github.io/Logging_1730/tillsyn/A 56783-2023 tillsynsbegäran.docx", "A 56783-2023")</f>
        <v/>
      </c>
      <c r="AD666">
        <f>HYPERLINK("https://klasma.github.io/Logging_1730/tillsynsmail/A 56783-2023 tillsynsbegäran mail.docx", "A 56783-2023")</f>
        <v/>
      </c>
    </row>
    <row r="667" ht="15" customHeight="1">
      <c r="A667" t="inlineStr">
        <is>
          <t>A 28394-2025</t>
        </is>
      </c>
      <c r="B667" t="inlineStr">
        <is>
          <t>avverkningsanmälan</t>
        </is>
      </c>
      <c r="C667" t="inlineStr">
        <is>
          <t>Föryngringsavverkning</t>
        </is>
      </c>
      <c r="D667" s="1" t="n">
        <v>45819</v>
      </c>
      <c r="E667" s="1" t="n">
        <v>46307</v>
      </c>
      <c r="F667" t="inlineStr">
        <is>
          <t>VÄRMLANDS LÄN</t>
        </is>
      </c>
      <c r="G667" t="inlineStr">
        <is>
          <t>KRISTINEHAMN</t>
        </is>
      </c>
      <c r="I667" t="n">
        <v>1.4</v>
      </c>
      <c r="J667" t="n">
        <v>0</v>
      </c>
      <c r="K667" t="n">
        <v>0</v>
      </c>
      <c r="L667" t="n">
        <v>1</v>
      </c>
      <c r="M667" t="n">
        <v>0</v>
      </c>
      <c r="N667" t="n">
        <v>0</v>
      </c>
      <c r="O667" t="n">
        <v>0</v>
      </c>
      <c r="P667" t="n">
        <v>0</v>
      </c>
      <c r="Q667" t="n">
        <v>1</v>
      </c>
      <c r="R667" t="n">
        <v>0</v>
      </c>
      <c r="S667" t="n">
        <v>1</v>
      </c>
      <c r="T667" t="n">
        <v>1</v>
      </c>
      <c r="U667" t="n">
        <v>0</v>
      </c>
      <c r="V667" s="2" t="inlineStr">
        <is>
          <t>Stor vårtrattskivling</t>
        </is>
      </c>
      <c r="W667">
        <f>HYPERLINK("https://klasma.github.io/Logging_1781/artfynd/A 28394-2025 artfynd.xlsx", "A 28394-2025")</f>
        <v/>
      </c>
      <c r="X667">
        <f>HYPERLINK("https://klasma.github.io/Logging_1781/kartor/A 28394-2025 karta.png", "A 28394-2025")</f>
        <v/>
      </c>
      <c r="Y667">
        <f>HYPERLINK("https://klasma.github.io/Logging_1781/kartor_geotiff/A 28394-2025 georefererad karta.tif", "A 28394-2025")</f>
        <v/>
      </c>
      <c r="AA667">
        <f>HYPERLINK("https://klasma.github.io/Logging_1781/klagomål/A 28394-2025 FSC-klagomål.docx", "A 28394-2025")</f>
        <v/>
      </c>
      <c r="AB667">
        <f>HYPERLINK("https://klasma.github.io/Logging_1781/klagomålsmail/A 28394-2025 FSC-klagomål mail.docx", "A 28394-2025")</f>
        <v/>
      </c>
      <c r="AC667">
        <f>HYPERLINK("https://klasma.github.io/Logging_1781/tillsyn/A 28394-2025 tillsynsbegäran.docx", "A 28394-2025")</f>
        <v/>
      </c>
      <c r="AD667">
        <f>HYPERLINK("https://klasma.github.io/Logging_1781/tillsynsmail/A 28394-2025 tillsynsbegäran mail.docx", "A 28394-2025")</f>
        <v/>
      </c>
    </row>
    <row r="668" ht="15" customHeight="1">
      <c r="A668" t="inlineStr">
        <is>
          <t>A 51537-2025</t>
        </is>
      </c>
      <c r="B668" t="inlineStr">
        <is>
          <t>avverkningsanmälan</t>
        </is>
      </c>
      <c r="C668" t="inlineStr">
        <is>
          <t>Föryngringsavverkning</t>
        </is>
      </c>
      <c r="D668" s="1" t="n">
        <v>45950</v>
      </c>
      <c r="E668" s="1" t="n">
        <v>46307</v>
      </c>
      <c r="F668" t="inlineStr">
        <is>
          <t>VÄRMLANDS LÄN</t>
        </is>
      </c>
      <c r="G668" t="inlineStr">
        <is>
          <t>ARVIKA</t>
        </is>
      </c>
      <c r="I668" t="n">
        <v>1.7</v>
      </c>
      <c r="J668" t="n">
        <v>1</v>
      </c>
      <c r="K668" t="n">
        <v>0</v>
      </c>
      <c r="L668" t="n">
        <v>0</v>
      </c>
      <c r="M668" t="n">
        <v>1</v>
      </c>
      <c r="N668" t="n">
        <v>0</v>
      </c>
      <c r="O668" t="n">
        <v>0</v>
      </c>
      <c r="P668" t="n">
        <v>0</v>
      </c>
      <c r="Q668" t="n">
        <v>1</v>
      </c>
      <c r="R668" t="n">
        <v>1</v>
      </c>
      <c r="S668" t="n">
        <v>1</v>
      </c>
      <c r="T668" t="n">
        <v>1</v>
      </c>
      <c r="U668" t="n">
        <v>0</v>
      </c>
      <c r="V668" s="2" t="inlineStr">
        <is>
          <t>Knärot</t>
        </is>
      </c>
      <c r="W668">
        <f>HYPERLINK("https://klasma.github.io/Logging_1784/artfynd/A 51537-2025 artfynd.xlsx", "A 51537-2025")</f>
        <v/>
      </c>
      <c r="X668">
        <f>HYPERLINK("https://klasma.github.io/Logging_1784/kartor/A 51537-2025 karta.png", "A 51537-2025")</f>
        <v/>
      </c>
      <c r="Y668">
        <f>HYPERLINK("https://klasma.github.io/Logging_1784/kartor_geotiff/A 51537-2025 georefererad karta.tif", "A 51537-2025")</f>
        <v/>
      </c>
      <c r="Z668">
        <f>HYPERLINK("https://klasma.github.io/Logging_1784/knärot/A 51537-2025 karta knärot.png", "A 51537-2025")</f>
        <v/>
      </c>
      <c r="AA668">
        <f>HYPERLINK("https://klasma.github.io/Logging_1784/klagomål/A 51537-2025 FSC-klagomål.docx", "A 51537-2025")</f>
        <v/>
      </c>
      <c r="AB668">
        <f>HYPERLINK("https://klasma.github.io/Logging_1784/klagomålsmail/A 51537-2025 FSC-klagomål mail.docx", "A 51537-2025")</f>
        <v/>
      </c>
      <c r="AC668">
        <f>HYPERLINK("https://klasma.github.io/Logging_1784/tillsyn/A 51537-2025 tillsynsbegäran.docx", "A 51537-2025")</f>
        <v/>
      </c>
      <c r="AD668">
        <f>HYPERLINK("https://klasma.github.io/Logging_1784/tillsynsmail/A 51537-2025 tillsynsbegäran mail.docx", "A 51537-2025")</f>
        <v/>
      </c>
    </row>
    <row r="669" ht="15" customHeight="1">
      <c r="A669" t="inlineStr">
        <is>
          <t>A 56133-2024</t>
        </is>
      </c>
      <c r="B669" t="inlineStr">
        <is>
          <t>avverkningsanmälan</t>
        </is>
      </c>
      <c r="C669" t="inlineStr">
        <is>
          <t>Föryngringsavverkning</t>
        </is>
      </c>
      <c r="D669" s="1" t="n">
        <v>45624</v>
      </c>
      <c r="E669" s="1" t="n">
        <v>46307</v>
      </c>
      <c r="F669" t="inlineStr">
        <is>
          <t>VÄRMLANDS LÄN</t>
        </is>
      </c>
      <c r="G669" t="inlineStr">
        <is>
          <t>TORSBY</t>
        </is>
      </c>
      <c r="I669" t="n">
        <v>2.4</v>
      </c>
      <c r="J669" t="n">
        <v>0</v>
      </c>
      <c r="K669" t="n">
        <v>1</v>
      </c>
      <c r="L669" t="n">
        <v>0</v>
      </c>
      <c r="M669" t="n">
        <v>0</v>
      </c>
      <c r="N669" t="n">
        <v>0</v>
      </c>
      <c r="O669" t="n">
        <v>0</v>
      </c>
      <c r="P669" t="n">
        <v>0</v>
      </c>
      <c r="Q669" t="n">
        <v>0</v>
      </c>
      <c r="R669" t="n">
        <v>0</v>
      </c>
      <c r="S669" t="n">
        <v>1</v>
      </c>
      <c r="T669" t="n">
        <v>1</v>
      </c>
      <c r="U669" t="n">
        <v>0</v>
      </c>
      <c r="V669" s="2" t="inlineStr">
        <is>
          <t>Vedticka</t>
        </is>
      </c>
      <c r="W669">
        <f>HYPERLINK("https://klasma.github.io/Logging_1737/artfynd/A 56133-2024 artfynd.xlsx", "A 56133-2024")</f>
        <v/>
      </c>
      <c r="X669">
        <f>HYPERLINK("https://klasma.github.io/Logging_1737/kartor/A 56133-2024 karta.png", "A 56133-2024")</f>
        <v/>
      </c>
      <c r="Y669">
        <f>HYPERLINK("https://klasma.github.io/Logging_1737/kartor_geotiff/A 56133-2024 georefererad karta.tif", "A 56133-2024")</f>
        <v/>
      </c>
      <c r="AA669">
        <f>HYPERLINK("https://klasma.github.io/Logging_1737/klagomål/A 56133-2024 FSC-klagomål.docx", "A 56133-2024")</f>
        <v/>
      </c>
      <c r="AB669">
        <f>HYPERLINK("https://klasma.github.io/Logging_1737/klagomålsmail/A 56133-2024 FSC-klagomål mail.docx", "A 56133-2024")</f>
        <v/>
      </c>
      <c r="AC669">
        <f>HYPERLINK("https://klasma.github.io/Logging_1737/tillsyn/A 56133-2024 tillsynsbegäran.docx", "A 56133-2024")</f>
        <v/>
      </c>
      <c r="AD669">
        <f>HYPERLINK("https://klasma.github.io/Logging_1737/tillsynsmail/A 56133-2024 tillsynsbegäran mail.docx", "A 56133-2024")</f>
        <v/>
      </c>
    </row>
    <row r="670" ht="15" customHeight="1">
      <c r="A670" t="inlineStr">
        <is>
          <t>A 30071-2025</t>
        </is>
      </c>
      <c r="B670" t="inlineStr">
        <is>
          <t>avverkningsanmälan</t>
        </is>
      </c>
      <c r="C670" t="inlineStr">
        <is>
          <t>Föryngringsavverkning</t>
        </is>
      </c>
      <c r="D670" s="1" t="n">
        <v>45826</v>
      </c>
      <c r="E670" s="1" t="n">
        <v>46307</v>
      </c>
      <c r="F670" t="inlineStr">
        <is>
          <t>VÄRMLANDS LÄN</t>
        </is>
      </c>
      <c r="G670" t="inlineStr">
        <is>
          <t>ARVIKA</t>
        </is>
      </c>
      <c r="H670" t="inlineStr">
        <is>
          <t>Bergvik skog väst AB</t>
        </is>
      </c>
      <c r="I670" t="n">
        <v>5.7</v>
      </c>
      <c r="J670" t="n">
        <v>0</v>
      </c>
      <c r="K670" t="n">
        <v>1</v>
      </c>
      <c r="L670" t="n">
        <v>0</v>
      </c>
      <c r="M670" t="n">
        <v>0</v>
      </c>
      <c r="N670" t="n">
        <v>0</v>
      </c>
      <c r="O670" t="n">
        <v>0</v>
      </c>
      <c r="P670" t="n">
        <v>0</v>
      </c>
      <c r="Q670" t="n">
        <v>0</v>
      </c>
      <c r="R670" t="n">
        <v>0</v>
      </c>
      <c r="S670" t="n">
        <v>1</v>
      </c>
      <c r="T670" t="n">
        <v>1</v>
      </c>
      <c r="U670" t="n">
        <v>0</v>
      </c>
      <c r="V670" s="2" t="inlineStr">
        <is>
          <t>Svart trolldruva</t>
        </is>
      </c>
      <c r="W670">
        <f>HYPERLINK("https://klasma.github.io/Logging_1784/artfynd/A 30071-2025 artfynd.xlsx", "A 30071-2025")</f>
        <v/>
      </c>
      <c r="X670">
        <f>HYPERLINK("https://klasma.github.io/Logging_1784/kartor/A 30071-2025 karta.png", "A 30071-2025")</f>
        <v/>
      </c>
      <c r="Y670">
        <f>HYPERLINK("https://klasma.github.io/Logging_1784/kartor_geotiff/A 30071-2025 georefererad karta.tif", "A 30071-2025")</f>
        <v/>
      </c>
      <c r="AA670">
        <f>HYPERLINK("https://klasma.github.io/Logging_1784/klagomål/A 30071-2025 FSC-klagomål.docx", "A 30071-2025")</f>
        <v/>
      </c>
      <c r="AB670">
        <f>HYPERLINK("https://klasma.github.io/Logging_1784/klagomålsmail/A 30071-2025 FSC-klagomål mail.docx", "A 30071-2025")</f>
        <v/>
      </c>
      <c r="AC670">
        <f>HYPERLINK("https://klasma.github.io/Logging_1784/tillsyn/A 30071-2025 tillsynsbegäran.docx", "A 30071-2025")</f>
        <v/>
      </c>
      <c r="AD670">
        <f>HYPERLINK("https://klasma.github.io/Logging_1784/tillsynsmail/A 30071-2025 tillsynsbegäran mail.docx", "A 30071-2025")</f>
        <v/>
      </c>
    </row>
    <row r="671" ht="15" customHeight="1">
      <c r="A671" t="inlineStr">
        <is>
          <t>A 29937-2025</t>
        </is>
      </c>
      <c r="B671" t="inlineStr">
        <is>
          <t>avverkningsanmälan</t>
        </is>
      </c>
      <c r="C671" t="inlineStr">
        <is>
          <t>Föryngringsavverkning</t>
        </is>
      </c>
      <c r="D671" s="1" t="n">
        <v>45826</v>
      </c>
      <c r="E671" s="1" t="n">
        <v>46307</v>
      </c>
      <c r="F671" t="inlineStr">
        <is>
          <t>VÄRMLANDS LÄN</t>
        </is>
      </c>
      <c r="G671" t="inlineStr">
        <is>
          <t>ARVIKA</t>
        </is>
      </c>
      <c r="H671" t="inlineStr">
        <is>
          <t>Bergvik skog väst AB</t>
        </is>
      </c>
      <c r="I671" t="n">
        <v>2.6</v>
      </c>
      <c r="J671" t="n">
        <v>1</v>
      </c>
      <c r="K671" t="n">
        <v>0</v>
      </c>
      <c r="L671" t="n">
        <v>1</v>
      </c>
      <c r="M671" t="n">
        <v>0</v>
      </c>
      <c r="N671" t="n">
        <v>0</v>
      </c>
      <c r="O671" t="n">
        <v>0</v>
      </c>
      <c r="P671" t="n">
        <v>0</v>
      </c>
      <c r="Q671" t="n">
        <v>1</v>
      </c>
      <c r="R671" t="n">
        <v>0</v>
      </c>
      <c r="S671" t="n">
        <v>1</v>
      </c>
      <c r="T671" t="n">
        <v>1</v>
      </c>
      <c r="U671" t="n">
        <v>1</v>
      </c>
      <c r="V671" s="2" t="inlineStr">
        <is>
          <t>Duvhök</t>
        </is>
      </c>
      <c r="W671">
        <f>HYPERLINK("https://klasma.github.io/Logging_1784/artfynd/A 29937-2025 artfynd.xlsx", "A 29937-2025")</f>
        <v/>
      </c>
      <c r="X671">
        <f>HYPERLINK("https://klasma.github.io/Logging_1784/kartor/A 29937-2025 karta.png", "A 29937-2025")</f>
        <v/>
      </c>
      <c r="Y671">
        <f>HYPERLINK("https://klasma.github.io/Logging_1784/kartor_geotiff/A 29937-2025 georefererad karta.tif", "A 29937-2025")</f>
        <v/>
      </c>
      <c r="AA671">
        <f>HYPERLINK("https://klasma.github.io/Logging_1784/klagomål/A 29937-2025 FSC-klagomål.docx", "A 29937-2025")</f>
        <v/>
      </c>
      <c r="AB671">
        <f>HYPERLINK("https://klasma.github.io/Logging_1784/klagomålsmail/A 29937-2025 FSC-klagomål mail.docx", "A 29937-2025")</f>
        <v/>
      </c>
      <c r="AC671">
        <f>HYPERLINK("https://klasma.github.io/Logging_1784/tillsyn/A 29937-2025 tillsynsbegäran.docx", "A 29937-2025")</f>
        <v/>
      </c>
      <c r="AD671">
        <f>HYPERLINK("https://klasma.github.io/Logging_1784/tillsynsmail/A 29937-2025 tillsynsbegäran mail.docx", "A 29937-2025")</f>
        <v/>
      </c>
      <c r="AE671">
        <f>HYPERLINK("https://klasma.github.io/Logging_1784/fåglar/A 29937-2025 prioriterade fågelarter.docx", "A 29937-2025")</f>
        <v/>
      </c>
    </row>
    <row r="672" ht="15" customHeight="1">
      <c r="A672" t="inlineStr">
        <is>
          <t>A 874-2025</t>
        </is>
      </c>
      <c r="B672" t="inlineStr">
        <is>
          <t>avverkningsanmälan</t>
        </is>
      </c>
      <c r="C672" t="inlineStr">
        <is>
          <t>Föryngringsavverkning</t>
        </is>
      </c>
      <c r="D672" s="1" t="n">
        <v>45665</v>
      </c>
      <c r="E672" s="1" t="n">
        <v>46307</v>
      </c>
      <c r="F672" t="inlineStr">
        <is>
          <t>VÄRMLANDS LÄN</t>
        </is>
      </c>
      <c r="G672" t="inlineStr">
        <is>
          <t>FILIPSTAD</t>
        </is>
      </c>
      <c r="H672" t="inlineStr">
        <is>
          <t>Kyrkan</t>
        </is>
      </c>
      <c r="I672" t="n">
        <v>4.8</v>
      </c>
      <c r="J672" t="n">
        <v>0</v>
      </c>
      <c r="K672" t="n">
        <v>1</v>
      </c>
      <c r="L672" t="n">
        <v>0</v>
      </c>
      <c r="M672" t="n">
        <v>0</v>
      </c>
      <c r="N672" t="n">
        <v>0</v>
      </c>
      <c r="O672" t="n">
        <v>0</v>
      </c>
      <c r="P672" t="n">
        <v>0</v>
      </c>
      <c r="Q672" t="n">
        <v>0</v>
      </c>
      <c r="R672" t="n">
        <v>0</v>
      </c>
      <c r="S672" t="n">
        <v>1</v>
      </c>
      <c r="T672" t="n">
        <v>1</v>
      </c>
      <c r="U672" t="n">
        <v>0</v>
      </c>
      <c r="V672" s="2" t="inlineStr">
        <is>
          <t>Kamjordstjärna</t>
        </is>
      </c>
      <c r="W672">
        <f>HYPERLINK("https://klasma.github.io/Logging_1782/artfynd/A 874-2025 artfynd.xlsx", "A 874-2025")</f>
        <v/>
      </c>
      <c r="X672">
        <f>HYPERLINK("https://klasma.github.io/Logging_1782/kartor/A 874-2025 karta.png", "A 874-2025")</f>
        <v/>
      </c>
      <c r="Y672">
        <f>HYPERLINK("https://klasma.github.io/Logging_1782/kartor_geotiff/A 874-2025 georefererad karta.tif", "A 874-2025")</f>
        <v/>
      </c>
      <c r="AA672">
        <f>HYPERLINK("https://klasma.github.io/Logging_1782/klagomål/A 874-2025 FSC-klagomål.docx", "A 874-2025")</f>
        <v/>
      </c>
      <c r="AB672">
        <f>HYPERLINK("https://klasma.github.io/Logging_1782/klagomålsmail/A 874-2025 FSC-klagomål mail.docx", "A 874-2025")</f>
        <v/>
      </c>
      <c r="AC672">
        <f>HYPERLINK("https://klasma.github.io/Logging_1782/tillsyn/A 874-2025 tillsynsbegäran.docx", "A 874-2025")</f>
        <v/>
      </c>
      <c r="AD672">
        <f>HYPERLINK("https://klasma.github.io/Logging_1782/tillsynsmail/A 874-2025 tillsynsbegäran mail.docx", "A 874-2025")</f>
        <v/>
      </c>
    </row>
    <row r="673" ht="15" customHeight="1">
      <c r="A673" t="inlineStr">
        <is>
          <t>A 31980-2023</t>
        </is>
      </c>
      <c r="B673" t="inlineStr">
        <is>
          <t>avverkningsanmälan</t>
        </is>
      </c>
      <c r="C673" t="inlineStr">
        <is>
          <t>Avverkning för annat ändamål</t>
        </is>
      </c>
      <c r="D673" s="1" t="n">
        <v>45119</v>
      </c>
      <c r="E673" s="1" t="n">
        <v>46307</v>
      </c>
      <c r="F673" t="inlineStr">
        <is>
          <t>VÄRMLANDS LÄN</t>
        </is>
      </c>
      <c r="G673" t="inlineStr">
        <is>
          <t>FORSHAGA</t>
        </is>
      </c>
      <c r="H673" t="inlineStr">
        <is>
          <t>Bergvik skog väst AB</t>
        </is>
      </c>
      <c r="I673" t="n">
        <v>2.3</v>
      </c>
      <c r="J673" t="n">
        <v>0</v>
      </c>
      <c r="K673" t="n">
        <v>1</v>
      </c>
      <c r="L673" t="n">
        <v>0</v>
      </c>
      <c r="M673" t="n">
        <v>0</v>
      </c>
      <c r="N673" t="n">
        <v>0</v>
      </c>
      <c r="O673" t="n">
        <v>0</v>
      </c>
      <c r="P673" t="n">
        <v>0</v>
      </c>
      <c r="Q673" t="n">
        <v>0</v>
      </c>
      <c r="R673" t="n">
        <v>0</v>
      </c>
      <c r="S673" t="n">
        <v>1</v>
      </c>
      <c r="T673" t="n">
        <v>1</v>
      </c>
      <c r="U673" t="n">
        <v>0</v>
      </c>
      <c r="V673" s="2" t="inlineStr">
        <is>
          <t>Springkorn</t>
        </is>
      </c>
      <c r="W673">
        <f>HYPERLINK("https://klasma.github.io/Logging_1763/artfynd/A 31980-2023 artfynd.xlsx", "A 31980-2023")</f>
        <v/>
      </c>
      <c r="X673">
        <f>HYPERLINK("https://klasma.github.io/Logging_1763/kartor/A 31980-2023 karta.png", "A 31980-2023")</f>
        <v/>
      </c>
      <c r="Y673">
        <f>HYPERLINK("https://klasma.github.io/Logging_1763/kartor_geotiff/A 31980-2023 georefererad karta.tif", "A 31980-2023")</f>
        <v/>
      </c>
      <c r="AA673">
        <f>HYPERLINK("https://klasma.github.io/Logging_1763/klagomål/A 31980-2023 FSC-klagomål.docx", "A 31980-2023")</f>
        <v/>
      </c>
      <c r="AB673">
        <f>HYPERLINK("https://klasma.github.io/Logging_1763/klagomålsmail/A 31980-2023 FSC-klagomål mail.docx", "A 31980-2023")</f>
        <v/>
      </c>
      <c r="AC673">
        <f>HYPERLINK("https://klasma.github.io/Logging_1763/tillsyn/A 31980-2023 tillsynsbegäran.docx", "A 31980-2023")</f>
        <v/>
      </c>
      <c r="AD673">
        <f>HYPERLINK("https://klasma.github.io/Logging_1763/tillsynsmail/A 31980-2023 tillsynsbegäran mail.docx", "A 31980-2023")</f>
        <v/>
      </c>
    </row>
    <row r="674" ht="15" customHeight="1">
      <c r="A674" t="inlineStr">
        <is>
          <t>A 61004-2023</t>
        </is>
      </c>
      <c r="B674" t="inlineStr">
        <is>
          <t>avverkningsanmälan</t>
        </is>
      </c>
      <c r="C674" t="inlineStr">
        <is>
          <t>Föryngringsavverkning</t>
        </is>
      </c>
      <c r="D674" s="1" t="n">
        <v>45261</v>
      </c>
      <c r="E674" s="1" t="n">
        <v>46307</v>
      </c>
      <c r="F674" t="inlineStr">
        <is>
          <t>VÄRMLANDS LÄN</t>
        </is>
      </c>
      <c r="G674" t="inlineStr">
        <is>
          <t>ARVIKA</t>
        </is>
      </c>
      <c r="I674" t="n">
        <v>3.6</v>
      </c>
      <c r="J674" t="n">
        <v>1</v>
      </c>
      <c r="K674" t="n">
        <v>0</v>
      </c>
      <c r="L674" t="n">
        <v>0</v>
      </c>
      <c r="M674" t="n">
        <v>1</v>
      </c>
      <c r="N674" t="n">
        <v>0</v>
      </c>
      <c r="O674" t="n">
        <v>0</v>
      </c>
      <c r="P674" t="n">
        <v>0</v>
      </c>
      <c r="Q674" t="n">
        <v>1</v>
      </c>
      <c r="R674" t="n">
        <v>1</v>
      </c>
      <c r="S674" t="n">
        <v>1</v>
      </c>
      <c r="T674" t="n">
        <v>1</v>
      </c>
      <c r="U674" t="n">
        <v>0</v>
      </c>
      <c r="V674" s="2" t="inlineStr">
        <is>
          <t>Knärot</t>
        </is>
      </c>
      <c r="W674">
        <f>HYPERLINK("https://klasma.github.io/Logging_1784/artfynd/A 61004-2023 artfynd.xlsx", "A 61004-2023")</f>
        <v/>
      </c>
      <c r="X674">
        <f>HYPERLINK("https://klasma.github.io/Logging_1784/kartor/A 61004-2023 karta.png", "A 61004-2023")</f>
        <v/>
      </c>
      <c r="Y674">
        <f>HYPERLINK("https://klasma.github.io/Logging_1784/kartor_geotiff/A 61004-2023 georefererad karta.tif", "A 61004-2023")</f>
        <v/>
      </c>
      <c r="Z674">
        <f>HYPERLINK("https://klasma.github.io/Logging_1784/knärot/A 61004-2023 karta knärot.png", "A 61004-2023")</f>
        <v/>
      </c>
      <c r="AA674">
        <f>HYPERLINK("https://klasma.github.io/Logging_1784/klagomål/A 61004-2023 FSC-klagomål.docx", "A 61004-2023")</f>
        <v/>
      </c>
      <c r="AB674">
        <f>HYPERLINK("https://klasma.github.io/Logging_1784/klagomålsmail/A 61004-2023 FSC-klagomål mail.docx", "A 61004-2023")</f>
        <v/>
      </c>
      <c r="AC674">
        <f>HYPERLINK("https://klasma.github.io/Logging_1784/tillsyn/A 61004-2023 tillsynsbegäran.docx", "A 61004-2023")</f>
        <v/>
      </c>
      <c r="AD674">
        <f>HYPERLINK("https://klasma.github.io/Logging_1784/tillsynsmail/A 61004-2023 tillsynsbegäran mail.docx", "A 61004-2023")</f>
        <v/>
      </c>
    </row>
    <row r="675" ht="15" customHeight="1">
      <c r="A675" t="inlineStr">
        <is>
          <t>A 55068-2023</t>
        </is>
      </c>
      <c r="B675" t="inlineStr">
        <is>
          <t>avverkningsanmälan</t>
        </is>
      </c>
      <c r="C675" t="inlineStr">
        <is>
          <t>Föryngringsavverkning</t>
        </is>
      </c>
      <c r="D675" s="1" t="n">
        <v>45237</v>
      </c>
      <c r="E675" s="1" t="n">
        <v>46307</v>
      </c>
      <c r="F675" t="inlineStr">
        <is>
          <t>VÄRMLANDS LÄN</t>
        </is>
      </c>
      <c r="G675" t="inlineStr">
        <is>
          <t>HAMMARÖ</t>
        </is>
      </c>
      <c r="H675" t="inlineStr">
        <is>
          <t>Kommuner</t>
        </is>
      </c>
      <c r="I675" t="n">
        <v>2.4</v>
      </c>
      <c r="J675" t="n">
        <v>0</v>
      </c>
      <c r="K675" t="n">
        <v>0</v>
      </c>
      <c r="L675" t="n">
        <v>1</v>
      </c>
      <c r="M675" t="n">
        <v>0</v>
      </c>
      <c r="N675" t="n">
        <v>0</v>
      </c>
      <c r="O675" t="n">
        <v>0</v>
      </c>
      <c r="P675" t="n">
        <v>0</v>
      </c>
      <c r="Q675" t="n">
        <v>1</v>
      </c>
      <c r="R675" t="n">
        <v>0</v>
      </c>
      <c r="S675" t="n">
        <v>1</v>
      </c>
      <c r="T675" t="n">
        <v>1</v>
      </c>
      <c r="U675" t="n">
        <v>1</v>
      </c>
      <c r="V675" s="2" t="inlineStr">
        <is>
          <t>Motaggsvamp</t>
        </is>
      </c>
      <c r="W675">
        <f>HYPERLINK("https://klasma.github.io/Logging_1761/artfynd/A 55068-2023 artfynd.xlsx", "A 55068-2023")</f>
        <v/>
      </c>
      <c r="X675">
        <f>HYPERLINK("https://klasma.github.io/Logging_1761/kartor/A 55068-2023 karta.png", "A 55068-2023")</f>
        <v/>
      </c>
      <c r="Y675">
        <f>HYPERLINK("https://klasma.github.io/Logging_1761/kartor_geotiff/A 55068-2023 georefererad karta.tif", "A 55068-2023")</f>
        <v/>
      </c>
      <c r="AA675">
        <f>HYPERLINK("https://klasma.github.io/Logging_1761/klagomål/A 55068-2023 FSC-klagomål.docx", "A 55068-2023")</f>
        <v/>
      </c>
      <c r="AB675">
        <f>HYPERLINK("https://klasma.github.io/Logging_1761/klagomålsmail/A 55068-2023 FSC-klagomål mail.docx", "A 55068-2023")</f>
        <v/>
      </c>
      <c r="AC675">
        <f>HYPERLINK("https://klasma.github.io/Logging_1761/tillsyn/A 55068-2023 tillsynsbegäran.docx", "A 55068-2023")</f>
        <v/>
      </c>
      <c r="AD675">
        <f>HYPERLINK("https://klasma.github.io/Logging_1761/tillsynsmail/A 55068-2023 tillsynsbegäran mail.docx", "A 55068-2023")</f>
        <v/>
      </c>
    </row>
    <row r="676" ht="15" customHeight="1">
      <c r="A676" t="inlineStr">
        <is>
          <t>A 30777-2025</t>
        </is>
      </c>
      <c r="B676" t="inlineStr">
        <is>
          <t>avverkningsanmälan</t>
        </is>
      </c>
      <c r="C676" t="inlineStr">
        <is>
          <t>Föryngringsavverkning</t>
        </is>
      </c>
      <c r="D676" s="1" t="n">
        <v>45831</v>
      </c>
      <c r="E676" s="1" t="n">
        <v>46307</v>
      </c>
      <c r="F676" t="inlineStr">
        <is>
          <t>VÄRMLANDS LÄN</t>
        </is>
      </c>
      <c r="G676" t="inlineStr">
        <is>
          <t>ARVIKA</t>
        </is>
      </c>
      <c r="I676" t="n">
        <v>2.6</v>
      </c>
      <c r="J676" t="n">
        <v>1</v>
      </c>
      <c r="K676" t="n">
        <v>0</v>
      </c>
      <c r="L676" t="n">
        <v>0</v>
      </c>
      <c r="M676" t="n">
        <v>0</v>
      </c>
      <c r="N676" t="n">
        <v>0</v>
      </c>
      <c r="O676" t="n">
        <v>0</v>
      </c>
      <c r="P676" t="n">
        <v>0</v>
      </c>
      <c r="Q676" t="n">
        <v>0</v>
      </c>
      <c r="R676" t="n">
        <v>0</v>
      </c>
      <c r="S676" t="n">
        <v>1</v>
      </c>
      <c r="T676" t="n">
        <v>1</v>
      </c>
      <c r="U676" t="n">
        <v>1</v>
      </c>
      <c r="V676" s="2" t="inlineStr">
        <is>
          <t>Sångsvan</t>
        </is>
      </c>
      <c r="W676">
        <f>HYPERLINK("https://klasma.github.io/Logging_1784/artfynd/A 30777-2025 artfynd.xlsx", "A 30777-2025")</f>
        <v/>
      </c>
      <c r="X676">
        <f>HYPERLINK("https://klasma.github.io/Logging_1784/kartor/A 30777-2025 karta.png", "A 30777-2025")</f>
        <v/>
      </c>
      <c r="Y676">
        <f>HYPERLINK("https://klasma.github.io/Logging_1784/kartor_geotiff/A 30777-2025 georefererad karta.tif", "A 30777-2025")</f>
        <v/>
      </c>
      <c r="AA676">
        <f>HYPERLINK("https://klasma.github.io/Logging_1784/klagomål/A 30777-2025 FSC-klagomål.docx", "A 30777-2025")</f>
        <v/>
      </c>
      <c r="AB676">
        <f>HYPERLINK("https://klasma.github.io/Logging_1784/klagomålsmail/A 30777-2025 FSC-klagomål mail.docx", "A 30777-2025")</f>
        <v/>
      </c>
      <c r="AC676">
        <f>HYPERLINK("https://klasma.github.io/Logging_1784/tillsyn/A 30777-2025 tillsynsbegäran.docx", "A 30777-2025")</f>
        <v/>
      </c>
      <c r="AD676">
        <f>HYPERLINK("https://klasma.github.io/Logging_1784/tillsynsmail/A 30777-2025 tillsynsbegäran mail.docx", "A 30777-2025")</f>
        <v/>
      </c>
      <c r="AE676">
        <f>HYPERLINK("https://klasma.github.io/Logging_1784/fåglar/A 30777-2025 prioriterade fågelarter.docx", "A 30777-2025")</f>
        <v/>
      </c>
    </row>
    <row r="677" ht="15" customHeight="1">
      <c r="A677" t="inlineStr">
        <is>
          <t>A 30652-2025</t>
        </is>
      </c>
      <c r="B677" t="inlineStr">
        <is>
          <t>avverkningsanmälan</t>
        </is>
      </c>
      <c r="C677" t="inlineStr">
        <is>
          <t>Föryngringsavverkning</t>
        </is>
      </c>
      <c r="D677" s="1" t="n">
        <v>45831</v>
      </c>
      <c r="E677" s="1" t="n">
        <v>46307</v>
      </c>
      <c r="F677" t="inlineStr">
        <is>
          <t>VÄRMLANDS LÄN</t>
        </is>
      </c>
      <c r="G677" t="inlineStr">
        <is>
          <t>FILIPSTAD</t>
        </is>
      </c>
      <c r="H677" t="inlineStr">
        <is>
          <t>Bergvik skog väst AB</t>
        </is>
      </c>
      <c r="I677" t="n">
        <v>4.3</v>
      </c>
      <c r="J677" t="n">
        <v>1</v>
      </c>
      <c r="K677" t="n">
        <v>0</v>
      </c>
      <c r="L677" t="n">
        <v>0</v>
      </c>
      <c r="M677" t="n">
        <v>0</v>
      </c>
      <c r="N677" t="n">
        <v>0</v>
      </c>
      <c r="O677" t="n">
        <v>0</v>
      </c>
      <c r="P677" t="n">
        <v>0</v>
      </c>
      <c r="Q677" t="n">
        <v>0</v>
      </c>
      <c r="R677" t="n">
        <v>0</v>
      </c>
      <c r="S677" t="n">
        <v>1</v>
      </c>
      <c r="T677" t="n">
        <v>1</v>
      </c>
      <c r="U677" t="n">
        <v>1</v>
      </c>
      <c r="V677" s="2" t="inlineStr">
        <is>
          <t>Tjäder</t>
        </is>
      </c>
      <c r="W677">
        <f>HYPERLINK("https://klasma.github.io/Logging_1782/artfynd/A 30652-2025 artfynd.xlsx", "A 30652-2025")</f>
        <v/>
      </c>
      <c r="X677">
        <f>HYPERLINK("https://klasma.github.io/Logging_1782/kartor/A 30652-2025 karta.png", "A 30652-2025")</f>
        <v/>
      </c>
      <c r="Y677">
        <f>HYPERLINK("https://klasma.github.io/Logging_1782/kartor_geotiff/A 30652-2025 georefererad karta.tif", "A 30652-2025")</f>
        <v/>
      </c>
      <c r="AA677">
        <f>HYPERLINK("https://klasma.github.io/Logging_1782/klagomål/A 30652-2025 FSC-klagomål.docx", "A 30652-2025")</f>
        <v/>
      </c>
      <c r="AB677">
        <f>HYPERLINK("https://klasma.github.io/Logging_1782/klagomålsmail/A 30652-2025 FSC-klagomål mail.docx", "A 30652-2025")</f>
        <v/>
      </c>
      <c r="AC677">
        <f>HYPERLINK("https://klasma.github.io/Logging_1782/tillsyn/A 30652-2025 tillsynsbegäran.docx", "A 30652-2025")</f>
        <v/>
      </c>
      <c r="AD677">
        <f>HYPERLINK("https://klasma.github.io/Logging_1782/tillsynsmail/A 30652-2025 tillsynsbegäran mail.docx", "A 30652-2025")</f>
        <v/>
      </c>
      <c r="AE677">
        <f>HYPERLINK("https://klasma.github.io/Logging_1782/fåglar/A 30652-2025 prioriterade fågelarter.docx", "A 30652-2025")</f>
        <v/>
      </c>
    </row>
    <row r="678" ht="15" customHeight="1">
      <c r="A678" t="inlineStr">
        <is>
          <t>A 50789-2024</t>
        </is>
      </c>
      <c r="B678" t="inlineStr">
        <is>
          <t>avverkningsanmälan</t>
        </is>
      </c>
      <c r="C678" t="inlineStr">
        <is>
          <t>Föryngringsavverkning</t>
        </is>
      </c>
      <c r="D678" s="1" t="n">
        <v>45602</v>
      </c>
      <c r="E678" s="1" t="n">
        <v>46307</v>
      </c>
      <c r="F678" t="inlineStr">
        <is>
          <t>VÄRMLANDS LÄN</t>
        </is>
      </c>
      <c r="G678" t="inlineStr">
        <is>
          <t>ARVIKA</t>
        </is>
      </c>
      <c r="H678" t="inlineStr">
        <is>
          <t>Bergvik skog väst AB</t>
        </is>
      </c>
      <c r="I678" t="n">
        <v>0.9</v>
      </c>
      <c r="J678" t="n">
        <v>0</v>
      </c>
      <c r="K678" t="n">
        <v>0</v>
      </c>
      <c r="L678" t="n">
        <v>1</v>
      </c>
      <c r="M678" t="n">
        <v>0</v>
      </c>
      <c r="N678" t="n">
        <v>0</v>
      </c>
      <c r="O678" t="n">
        <v>0</v>
      </c>
      <c r="P678" t="n">
        <v>0</v>
      </c>
      <c r="Q678" t="n">
        <v>1</v>
      </c>
      <c r="R678" t="n">
        <v>0</v>
      </c>
      <c r="S678" t="n">
        <v>1</v>
      </c>
      <c r="T678" t="n">
        <v>1</v>
      </c>
      <c r="U678" t="n">
        <v>0</v>
      </c>
      <c r="V678" s="2" t="inlineStr">
        <is>
          <t>Lunglav</t>
        </is>
      </c>
      <c r="W678">
        <f>HYPERLINK("https://klasma.github.io/Logging_1784/artfynd/A 50789-2024 artfynd.xlsx", "A 50789-2024")</f>
        <v/>
      </c>
      <c r="X678">
        <f>HYPERLINK("https://klasma.github.io/Logging_1784/kartor/A 50789-2024 karta.png", "A 50789-2024")</f>
        <v/>
      </c>
      <c r="Y678">
        <f>HYPERLINK("https://klasma.github.io/Logging_1784/kartor_geotiff/A 50789-2024 georefererad karta.tif", "A 50789-2024")</f>
        <v/>
      </c>
      <c r="AA678">
        <f>HYPERLINK("https://klasma.github.io/Logging_1784/klagomål/A 50789-2024 FSC-klagomål.docx", "A 50789-2024")</f>
        <v/>
      </c>
      <c r="AB678">
        <f>HYPERLINK("https://klasma.github.io/Logging_1784/klagomålsmail/A 50789-2024 FSC-klagomål mail.docx", "A 50789-2024")</f>
        <v/>
      </c>
      <c r="AC678">
        <f>HYPERLINK("https://klasma.github.io/Logging_1784/tillsyn/A 50789-2024 tillsynsbegäran.docx", "A 50789-2024")</f>
        <v/>
      </c>
      <c r="AD678">
        <f>HYPERLINK("https://klasma.github.io/Logging_1784/tillsynsmail/A 50789-2024 tillsynsbegäran mail.docx", "A 50789-2024")</f>
        <v/>
      </c>
    </row>
    <row r="679" ht="15" customHeight="1">
      <c r="A679" t="inlineStr">
        <is>
          <t>A 53607-2025</t>
        </is>
      </c>
      <c r="B679" t="inlineStr">
        <is>
          <t>avverkningsanmälan</t>
        </is>
      </c>
      <c r="C679" t="inlineStr">
        <is>
          <t>Föryngringsavverkning</t>
        </is>
      </c>
      <c r="D679" s="1" t="n">
        <v>45960</v>
      </c>
      <c r="E679" s="1" t="n">
        <v>46307</v>
      </c>
      <c r="F679" t="inlineStr">
        <is>
          <t>VÄRMLANDS LÄN</t>
        </is>
      </c>
      <c r="G679" t="inlineStr">
        <is>
          <t>KRISTINEHAMN</t>
        </is>
      </c>
      <c r="H679" t="inlineStr">
        <is>
          <t>Naturvårdsverket</t>
        </is>
      </c>
      <c r="I679" t="n">
        <v>4.6</v>
      </c>
      <c r="J679" t="n">
        <v>1</v>
      </c>
      <c r="K679" t="n">
        <v>1</v>
      </c>
      <c r="L679" t="n">
        <v>0</v>
      </c>
      <c r="M679" t="n">
        <v>0</v>
      </c>
      <c r="N679" t="n">
        <v>0</v>
      </c>
      <c r="O679" t="n">
        <v>0</v>
      </c>
      <c r="P679" t="n">
        <v>0</v>
      </c>
      <c r="Q679" t="n">
        <v>0</v>
      </c>
      <c r="R679" t="n">
        <v>0</v>
      </c>
      <c r="S679" t="n">
        <v>1</v>
      </c>
      <c r="T679" t="n">
        <v>1</v>
      </c>
      <c r="U679" t="n">
        <v>0</v>
      </c>
      <c r="V679" s="2" t="inlineStr">
        <is>
          <t>Grön sköldmossa</t>
        </is>
      </c>
      <c r="W679">
        <f>HYPERLINK("https://klasma.github.io/Logging_1781/artfynd/A 53607-2025 artfynd.xlsx", "A 53607-2025")</f>
        <v/>
      </c>
      <c r="X679">
        <f>HYPERLINK("https://klasma.github.io/Logging_1781/kartor/A 53607-2025 karta.png", "A 53607-2025")</f>
        <v/>
      </c>
      <c r="Y679">
        <f>HYPERLINK("https://klasma.github.io/Logging_1781/kartor_geotiff/A 53607-2025 georefererad karta.tif", "A 53607-2025")</f>
        <v/>
      </c>
      <c r="AA679">
        <f>HYPERLINK("https://klasma.github.io/Logging_1781/klagomål/A 53607-2025 FSC-klagomål.docx", "A 53607-2025")</f>
        <v/>
      </c>
      <c r="AB679">
        <f>HYPERLINK("https://klasma.github.io/Logging_1781/klagomålsmail/A 53607-2025 FSC-klagomål mail.docx", "A 53607-2025")</f>
        <v/>
      </c>
      <c r="AC679">
        <f>HYPERLINK("https://klasma.github.io/Logging_1781/tillsyn/A 53607-2025 tillsynsbegäran.docx", "A 53607-2025")</f>
        <v/>
      </c>
      <c r="AD679">
        <f>HYPERLINK("https://klasma.github.io/Logging_1781/tillsynsmail/A 53607-2025 tillsynsbegäran mail.docx", "A 53607-2025")</f>
        <v/>
      </c>
    </row>
    <row r="680" ht="15" customHeight="1">
      <c r="A680" t="inlineStr">
        <is>
          <t>A 53630-2025</t>
        </is>
      </c>
      <c r="B680" t="inlineStr">
        <is>
          <t>avverkningsanmälan</t>
        </is>
      </c>
      <c r="C680" t="inlineStr">
        <is>
          <t>Föryngringsavverkning</t>
        </is>
      </c>
      <c r="D680" s="1" t="n">
        <v>45960</v>
      </c>
      <c r="E680" s="1" t="n">
        <v>46307</v>
      </c>
      <c r="F680" t="inlineStr">
        <is>
          <t>VÄRMLANDS LÄN</t>
        </is>
      </c>
      <c r="G680" t="inlineStr">
        <is>
          <t>KRISTINEHAMN</t>
        </is>
      </c>
      <c r="H680" t="inlineStr">
        <is>
          <t>Naturvårdsverket</t>
        </is>
      </c>
      <c r="I680" t="n">
        <v>4.6</v>
      </c>
      <c r="J680" t="n">
        <v>1</v>
      </c>
      <c r="K680" t="n">
        <v>1</v>
      </c>
      <c r="L680" t="n">
        <v>0</v>
      </c>
      <c r="M680" t="n">
        <v>0</v>
      </c>
      <c r="N680" t="n">
        <v>0</v>
      </c>
      <c r="O680" t="n">
        <v>0</v>
      </c>
      <c r="P680" t="n">
        <v>0</v>
      </c>
      <c r="Q680" t="n">
        <v>0</v>
      </c>
      <c r="R680" t="n">
        <v>0</v>
      </c>
      <c r="S680" t="n">
        <v>1</v>
      </c>
      <c r="T680" t="n">
        <v>1</v>
      </c>
      <c r="U680" t="n">
        <v>0</v>
      </c>
      <c r="V680" s="2" t="inlineStr">
        <is>
          <t>Grön sköldmossa</t>
        </is>
      </c>
      <c r="W680">
        <f>HYPERLINK("https://klasma.github.io/Logging_1781/artfynd/A 53630-2025 artfynd.xlsx", "A 53630-2025")</f>
        <v/>
      </c>
      <c r="X680">
        <f>HYPERLINK("https://klasma.github.io/Logging_1781/kartor/A 53630-2025 karta.png", "A 53630-2025")</f>
        <v/>
      </c>
      <c r="Y680">
        <f>HYPERLINK("https://klasma.github.io/Logging_1781/kartor_geotiff/A 53630-2025 georefererad karta.tif", "A 53630-2025")</f>
        <v/>
      </c>
      <c r="AA680">
        <f>HYPERLINK("https://klasma.github.io/Logging_1781/klagomål/A 53630-2025 FSC-klagomål.docx", "A 53630-2025")</f>
        <v/>
      </c>
      <c r="AB680">
        <f>HYPERLINK("https://klasma.github.io/Logging_1781/klagomålsmail/A 53630-2025 FSC-klagomål mail.docx", "A 53630-2025")</f>
        <v/>
      </c>
      <c r="AC680">
        <f>HYPERLINK("https://klasma.github.io/Logging_1781/tillsyn/A 53630-2025 tillsynsbegäran.docx", "A 53630-2025")</f>
        <v/>
      </c>
      <c r="AD680">
        <f>HYPERLINK("https://klasma.github.io/Logging_1781/tillsynsmail/A 53630-2025 tillsynsbegäran mail.docx", "A 53630-2025")</f>
        <v/>
      </c>
    </row>
    <row r="681" ht="15" customHeight="1">
      <c r="A681" t="inlineStr">
        <is>
          <t>A 20241-2022</t>
        </is>
      </c>
      <c r="B681" t="inlineStr">
        <is>
          <t>avverkningsanmälan</t>
        </is>
      </c>
      <c r="C681" t="inlineStr">
        <is>
          <t>Avverkning för annat ändamål</t>
        </is>
      </c>
      <c r="D681" s="1" t="n">
        <v>44698</v>
      </c>
      <c r="E681" s="1" t="n">
        <v>46307</v>
      </c>
      <c r="F681" t="inlineStr">
        <is>
          <t>VÄRMLANDS LÄN</t>
        </is>
      </c>
      <c r="G681" t="inlineStr">
        <is>
          <t>KARLSTAD</t>
        </is>
      </c>
      <c r="I681" t="n">
        <v>1.9</v>
      </c>
      <c r="J681" t="n">
        <v>1</v>
      </c>
      <c r="K681" t="n">
        <v>0</v>
      </c>
      <c r="L681" t="n">
        <v>0</v>
      </c>
      <c r="M681" t="n">
        <v>0</v>
      </c>
      <c r="N681" t="n">
        <v>0</v>
      </c>
      <c r="O681" t="n">
        <v>0</v>
      </c>
      <c r="P681" t="n">
        <v>0</v>
      </c>
      <c r="Q681" t="n">
        <v>0</v>
      </c>
      <c r="R681" t="n">
        <v>0</v>
      </c>
      <c r="S681" t="n">
        <v>1</v>
      </c>
      <c r="T681" t="n">
        <v>1</v>
      </c>
      <c r="U681" t="n">
        <v>0</v>
      </c>
      <c r="V681" s="2" t="inlineStr">
        <is>
          <t>Större vattensalamander</t>
        </is>
      </c>
      <c r="W681">
        <f>HYPERLINK("https://klasma.github.io/Logging_1780/artfynd/A 20241-2022 artfynd.xlsx", "A 20241-2022")</f>
        <v/>
      </c>
      <c r="X681">
        <f>HYPERLINK("https://klasma.github.io/Logging_1780/kartor/A 20241-2022 karta.png", "A 20241-2022")</f>
        <v/>
      </c>
      <c r="Y681">
        <f>HYPERLINK("https://klasma.github.io/Logging_1780/kartor_geotiff/A 20241-2022 georefererad karta.tif", "A 20241-2022")</f>
        <v/>
      </c>
      <c r="AA681">
        <f>HYPERLINK("https://klasma.github.io/Logging_1780/klagomål/A 20241-2022 FSC-klagomål.docx", "A 20241-2022")</f>
        <v/>
      </c>
      <c r="AB681">
        <f>HYPERLINK("https://klasma.github.io/Logging_1780/klagomålsmail/A 20241-2022 FSC-klagomål mail.docx", "A 20241-2022")</f>
        <v/>
      </c>
      <c r="AC681">
        <f>HYPERLINK("https://klasma.github.io/Logging_1780/tillsyn/A 20241-2022 tillsynsbegäran.docx", "A 20241-2022")</f>
        <v/>
      </c>
      <c r="AD681">
        <f>HYPERLINK("https://klasma.github.io/Logging_1780/tillsynsmail/A 20241-2022 tillsynsbegäran mail.docx", "A 20241-2022")</f>
        <v/>
      </c>
    </row>
    <row r="682" ht="15" customHeight="1">
      <c r="A682" t="inlineStr">
        <is>
          <t>A 31588-2025</t>
        </is>
      </c>
      <c r="B682" t="inlineStr">
        <is>
          <t>avverkningsanmälan</t>
        </is>
      </c>
      <c r="C682" t="inlineStr">
        <is>
          <t>Föryngringsavverkning</t>
        </is>
      </c>
      <c r="D682" s="1" t="n">
        <v>45833</v>
      </c>
      <c r="E682" s="1" t="n">
        <v>46307</v>
      </c>
      <c r="F682" t="inlineStr">
        <is>
          <t>VÄRMLANDS LÄN</t>
        </is>
      </c>
      <c r="G682" t="inlineStr">
        <is>
          <t>ARVIKA</t>
        </is>
      </c>
      <c r="H682" t="inlineStr">
        <is>
          <t>Bergvik skog väst AB</t>
        </is>
      </c>
      <c r="I682" t="n">
        <v>6.3</v>
      </c>
      <c r="J682" t="n">
        <v>1</v>
      </c>
      <c r="K682" t="n">
        <v>0</v>
      </c>
      <c r="L682" t="n">
        <v>0</v>
      </c>
      <c r="M682" t="n">
        <v>0</v>
      </c>
      <c r="N682" t="n">
        <v>0</v>
      </c>
      <c r="O682" t="n">
        <v>0</v>
      </c>
      <c r="P682" t="n">
        <v>0</v>
      </c>
      <c r="Q682" t="n">
        <v>0</v>
      </c>
      <c r="R682" t="n">
        <v>0</v>
      </c>
      <c r="S682" t="n">
        <v>1</v>
      </c>
      <c r="T682" t="n">
        <v>1</v>
      </c>
      <c r="U682" t="n">
        <v>0</v>
      </c>
      <c r="V682" s="2" t="inlineStr">
        <is>
          <t>Fläcknycklar</t>
        </is>
      </c>
      <c r="W682">
        <f>HYPERLINK("https://klasma.github.io/Logging_1784/artfynd/A 31588-2025 artfynd.xlsx", "A 31588-2025")</f>
        <v/>
      </c>
      <c r="X682">
        <f>HYPERLINK("https://klasma.github.io/Logging_1784/kartor/A 31588-2025 karta.png", "A 31588-2025")</f>
        <v/>
      </c>
      <c r="Y682">
        <f>HYPERLINK("https://klasma.github.io/Logging_1784/kartor_geotiff/A 31588-2025 georefererad karta.tif", "A 31588-2025")</f>
        <v/>
      </c>
      <c r="AA682">
        <f>HYPERLINK("https://klasma.github.io/Logging_1784/klagomål/A 31588-2025 FSC-klagomål.docx", "A 31588-2025")</f>
        <v/>
      </c>
      <c r="AB682">
        <f>HYPERLINK("https://klasma.github.io/Logging_1784/klagomålsmail/A 31588-2025 FSC-klagomål mail.docx", "A 31588-2025")</f>
        <v/>
      </c>
      <c r="AC682">
        <f>HYPERLINK("https://klasma.github.io/Logging_1784/tillsyn/A 31588-2025 tillsynsbegäran.docx", "A 31588-2025")</f>
        <v/>
      </c>
      <c r="AD682">
        <f>HYPERLINK("https://klasma.github.io/Logging_1784/tillsynsmail/A 31588-2025 tillsynsbegäran mail.docx", "A 31588-2025")</f>
        <v/>
      </c>
    </row>
    <row r="683" ht="15" customHeight="1">
      <c r="A683" t="inlineStr">
        <is>
          <t>A 32531-2025</t>
        </is>
      </c>
      <c r="B683" t="inlineStr">
        <is>
          <t>avverkningsanmälan</t>
        </is>
      </c>
      <c r="C683" t="inlineStr">
        <is>
          <t>Föryngringsavverkning</t>
        </is>
      </c>
      <c r="D683" s="1" t="n">
        <v>45838</v>
      </c>
      <c r="E683" s="1" t="n">
        <v>46307</v>
      </c>
      <c r="F683" t="inlineStr">
        <is>
          <t>VÄRMLANDS LÄN</t>
        </is>
      </c>
      <c r="G683" t="inlineStr">
        <is>
          <t>KARLSTAD</t>
        </is>
      </c>
      <c r="H683" t="inlineStr">
        <is>
          <t>Kyrkan</t>
        </is>
      </c>
      <c r="I683" t="n">
        <v>5.8</v>
      </c>
      <c r="J683" t="n">
        <v>1</v>
      </c>
      <c r="K683" t="n">
        <v>0</v>
      </c>
      <c r="L683" t="n">
        <v>0</v>
      </c>
      <c r="M683" t="n">
        <v>0</v>
      </c>
      <c r="N683" t="n">
        <v>0</v>
      </c>
      <c r="O683" t="n">
        <v>0</v>
      </c>
      <c r="P683" t="n">
        <v>0</v>
      </c>
      <c r="Q683" t="n">
        <v>0</v>
      </c>
      <c r="R683" t="n">
        <v>0</v>
      </c>
      <c r="S683" t="n">
        <v>1</v>
      </c>
      <c r="T683" t="n">
        <v>1</v>
      </c>
      <c r="U683" t="n">
        <v>1</v>
      </c>
      <c r="V683" s="2" t="inlineStr">
        <is>
          <t>Trana</t>
        </is>
      </c>
      <c r="W683">
        <f>HYPERLINK("https://klasma.github.io/Logging_1780/artfynd/A 32531-2025 artfynd.xlsx", "A 32531-2025")</f>
        <v/>
      </c>
      <c r="X683">
        <f>HYPERLINK("https://klasma.github.io/Logging_1780/kartor/A 32531-2025 karta.png", "A 32531-2025")</f>
        <v/>
      </c>
      <c r="Y683">
        <f>HYPERLINK("https://klasma.github.io/Logging_1780/kartor_geotiff/A 32531-2025 georefererad karta.tif", "A 32531-2025")</f>
        <v/>
      </c>
      <c r="AA683">
        <f>HYPERLINK("https://klasma.github.io/Logging_1780/klagomål/A 32531-2025 FSC-klagomål.docx", "A 32531-2025")</f>
        <v/>
      </c>
      <c r="AB683">
        <f>HYPERLINK("https://klasma.github.io/Logging_1780/klagomålsmail/A 32531-2025 FSC-klagomål mail.docx", "A 32531-2025")</f>
        <v/>
      </c>
      <c r="AC683">
        <f>HYPERLINK("https://klasma.github.io/Logging_1780/tillsyn/A 32531-2025 tillsynsbegäran.docx", "A 32531-2025")</f>
        <v/>
      </c>
      <c r="AD683">
        <f>HYPERLINK("https://klasma.github.io/Logging_1780/tillsynsmail/A 32531-2025 tillsynsbegäran mail.docx", "A 32531-2025")</f>
        <v/>
      </c>
      <c r="AE683">
        <f>HYPERLINK("https://klasma.github.io/Logging_1780/fåglar/A 32531-2025 prioriterade fågelarter.docx", "A 32531-2025")</f>
        <v/>
      </c>
    </row>
    <row r="684" ht="15" customHeight="1">
      <c r="A684" t="inlineStr">
        <is>
          <t>A 9470-2023</t>
        </is>
      </c>
      <c r="B684" t="inlineStr">
        <is>
          <t>avverkningsanmälan</t>
        </is>
      </c>
      <c r="C684" t="inlineStr">
        <is>
          <t>Föryngringsavverkning</t>
        </is>
      </c>
      <c r="D684" s="1" t="n">
        <v>44981</v>
      </c>
      <c r="E684" s="1" t="n">
        <v>46307</v>
      </c>
      <c r="F684" t="inlineStr">
        <is>
          <t>VÄRMLANDS LÄN</t>
        </is>
      </c>
      <c r="G684" t="inlineStr">
        <is>
          <t>KARLSTAD</t>
        </is>
      </c>
      <c r="H684" t="inlineStr">
        <is>
          <t>Kyrkan</t>
        </is>
      </c>
      <c r="I684" t="n">
        <v>9.800000000000001</v>
      </c>
      <c r="J684" t="n">
        <v>1</v>
      </c>
      <c r="K684" t="n">
        <v>0</v>
      </c>
      <c r="L684" t="n">
        <v>0</v>
      </c>
      <c r="M684" t="n">
        <v>0</v>
      </c>
      <c r="N684" t="n">
        <v>0</v>
      </c>
      <c r="O684" t="n">
        <v>0</v>
      </c>
      <c r="P684" t="n">
        <v>0</v>
      </c>
      <c r="Q684" t="n">
        <v>0</v>
      </c>
      <c r="R684" t="n">
        <v>0</v>
      </c>
      <c r="S684" t="n">
        <v>1</v>
      </c>
      <c r="T684" t="n">
        <v>1</v>
      </c>
      <c r="U684" t="n">
        <v>0</v>
      </c>
      <c r="V684" s="2" t="inlineStr">
        <is>
          <t>Gullviva</t>
        </is>
      </c>
      <c r="W684">
        <f>HYPERLINK("https://klasma.github.io/Logging_1780/artfynd/A 9470-2023 artfynd.xlsx", "A 9470-2023")</f>
        <v/>
      </c>
      <c r="X684">
        <f>HYPERLINK("https://klasma.github.io/Logging_1780/kartor/A 9470-2023 karta.png", "A 9470-2023")</f>
        <v/>
      </c>
      <c r="Y684">
        <f>HYPERLINK("https://klasma.github.io/Logging_1780/kartor_geotiff/A 9470-2023 georefererad karta.tif", "A 9470-2023")</f>
        <v/>
      </c>
      <c r="AA684">
        <f>HYPERLINK("https://klasma.github.io/Logging_1780/klagomål/A 9470-2023 FSC-klagomål.docx", "A 9470-2023")</f>
        <v/>
      </c>
      <c r="AB684">
        <f>HYPERLINK("https://klasma.github.io/Logging_1780/klagomålsmail/A 9470-2023 FSC-klagomål mail.docx", "A 9470-2023")</f>
        <v/>
      </c>
      <c r="AC684">
        <f>HYPERLINK("https://klasma.github.io/Logging_1780/tillsyn/A 9470-2023 tillsynsbegäran.docx", "A 9470-2023")</f>
        <v/>
      </c>
      <c r="AD684">
        <f>HYPERLINK("https://klasma.github.io/Logging_1780/tillsynsmail/A 9470-2023 tillsynsbegäran mail.docx", "A 9470-2023")</f>
        <v/>
      </c>
    </row>
    <row r="685" ht="15" customHeight="1">
      <c r="A685" t="inlineStr">
        <is>
          <t>A 32348-2025</t>
        </is>
      </c>
      <c r="B685" t="inlineStr">
        <is>
          <t>avverkningsanmälan</t>
        </is>
      </c>
      <c r="C685" t="inlineStr">
        <is>
          <t>Föryngringsavverkning</t>
        </is>
      </c>
      <c r="D685" s="1" t="n">
        <v>45837</v>
      </c>
      <c r="E685" s="1" t="n">
        <v>46307</v>
      </c>
      <c r="F685" t="inlineStr">
        <is>
          <t>VÄRMLANDS LÄN</t>
        </is>
      </c>
      <c r="G685" t="inlineStr">
        <is>
          <t>TORSBY</t>
        </is>
      </c>
      <c r="I685" t="n">
        <v>9.300000000000001</v>
      </c>
      <c r="J685" t="n">
        <v>1</v>
      </c>
      <c r="K685" t="n">
        <v>0</v>
      </c>
      <c r="L685" t="n">
        <v>0</v>
      </c>
      <c r="M685" t="n">
        <v>0</v>
      </c>
      <c r="N685" t="n">
        <v>0</v>
      </c>
      <c r="O685" t="n">
        <v>0</v>
      </c>
      <c r="P685" t="n">
        <v>0</v>
      </c>
      <c r="Q685" t="n">
        <v>0</v>
      </c>
      <c r="R685" t="n">
        <v>0</v>
      </c>
      <c r="S685" t="n">
        <v>1</v>
      </c>
      <c r="T685" t="n">
        <v>1</v>
      </c>
      <c r="U685" t="n">
        <v>0</v>
      </c>
      <c r="V685" s="2" t="inlineStr">
        <is>
          <t>Ängsnycklar</t>
        </is>
      </c>
      <c r="W685">
        <f>HYPERLINK("https://klasma.github.io/Logging_1737/artfynd/A 32348-2025 artfynd.xlsx", "A 32348-2025")</f>
        <v/>
      </c>
      <c r="X685">
        <f>HYPERLINK("https://klasma.github.io/Logging_1737/kartor/A 32348-2025 karta.png", "A 32348-2025")</f>
        <v/>
      </c>
      <c r="Y685">
        <f>HYPERLINK("https://klasma.github.io/Logging_1737/kartor_geotiff/A 32348-2025 georefererad karta.tif", "A 32348-2025")</f>
        <v/>
      </c>
      <c r="AA685">
        <f>HYPERLINK("https://klasma.github.io/Logging_1737/klagomål/A 32348-2025 FSC-klagomål.docx", "A 32348-2025")</f>
        <v/>
      </c>
      <c r="AB685">
        <f>HYPERLINK("https://klasma.github.io/Logging_1737/klagomålsmail/A 32348-2025 FSC-klagomål mail.docx", "A 32348-2025")</f>
        <v/>
      </c>
      <c r="AC685">
        <f>HYPERLINK("https://klasma.github.io/Logging_1737/tillsyn/A 32348-2025 tillsynsbegäran.docx", "A 32348-2025")</f>
        <v/>
      </c>
      <c r="AD685">
        <f>HYPERLINK("https://klasma.github.io/Logging_1737/tillsynsmail/A 32348-2025 tillsynsbegäran mail.docx", "A 32348-2025")</f>
        <v/>
      </c>
    </row>
    <row r="686" ht="15" customHeight="1">
      <c r="A686" t="inlineStr">
        <is>
          <t>A 8363-2025</t>
        </is>
      </c>
      <c r="B686" t="inlineStr">
        <is>
          <t>avverkningsanmälan</t>
        </is>
      </c>
      <c r="C686" t="inlineStr">
        <is>
          <t>Föryngringsavverkning</t>
        </is>
      </c>
      <c r="D686" s="1" t="n">
        <v>45708</v>
      </c>
      <c r="E686" s="1" t="n">
        <v>46307</v>
      </c>
      <c r="F686" t="inlineStr">
        <is>
          <t>VÄRMLANDS LÄN</t>
        </is>
      </c>
      <c r="G686" t="inlineStr">
        <is>
          <t>GRUMS</t>
        </is>
      </c>
      <c r="I686" t="n">
        <v>1.7</v>
      </c>
      <c r="J686" t="n">
        <v>0</v>
      </c>
      <c r="K686" t="n">
        <v>1</v>
      </c>
      <c r="L686" t="n">
        <v>0</v>
      </c>
      <c r="M686" t="n">
        <v>0</v>
      </c>
      <c r="N686" t="n">
        <v>0</v>
      </c>
      <c r="O686" t="n">
        <v>0</v>
      </c>
      <c r="P686" t="n">
        <v>0</v>
      </c>
      <c r="Q686" t="n">
        <v>0</v>
      </c>
      <c r="R686" t="n">
        <v>0</v>
      </c>
      <c r="S686" t="n">
        <v>1</v>
      </c>
      <c r="T686" t="n">
        <v>1</v>
      </c>
      <c r="U686" t="n">
        <v>0</v>
      </c>
      <c r="V686" s="2" t="inlineStr">
        <is>
          <t>Mandelriska</t>
        </is>
      </c>
      <c r="W686">
        <f>HYPERLINK("https://klasma.github.io/Logging_1764/artfynd/A 8363-2025 artfynd.xlsx", "A 8363-2025")</f>
        <v/>
      </c>
      <c r="X686">
        <f>HYPERLINK("https://klasma.github.io/Logging_1764/kartor/A 8363-2025 karta.png", "A 8363-2025")</f>
        <v/>
      </c>
      <c r="Y686">
        <f>HYPERLINK("https://klasma.github.io/Logging_1764/kartor_geotiff/A 8363-2025 georefererad karta.tif", "A 8363-2025")</f>
        <v/>
      </c>
      <c r="AA686">
        <f>HYPERLINK("https://klasma.github.io/Logging_1764/klagomål/A 8363-2025 FSC-klagomål.docx", "A 8363-2025")</f>
        <v/>
      </c>
      <c r="AB686">
        <f>HYPERLINK("https://klasma.github.io/Logging_1764/klagomålsmail/A 8363-2025 FSC-klagomål mail.docx", "A 8363-2025")</f>
        <v/>
      </c>
      <c r="AC686">
        <f>HYPERLINK("https://klasma.github.io/Logging_1764/tillsyn/A 8363-2025 tillsynsbegäran.docx", "A 8363-2025")</f>
        <v/>
      </c>
      <c r="AD686">
        <f>HYPERLINK("https://klasma.github.io/Logging_1764/tillsynsmail/A 8363-2025 tillsynsbegäran mail.docx", "A 8363-2025")</f>
        <v/>
      </c>
    </row>
    <row r="687" ht="15" customHeight="1">
      <c r="A687" t="inlineStr">
        <is>
          <t>A 29921-2022</t>
        </is>
      </c>
      <c r="B687" t="inlineStr">
        <is>
          <t>avverkningsanmälan</t>
        </is>
      </c>
      <c r="C687" t="inlineStr">
        <is>
          <t>Föryngringsavverkning</t>
        </is>
      </c>
      <c r="D687" s="1" t="n">
        <v>44756</v>
      </c>
      <c r="E687" s="1" t="n">
        <v>46307</v>
      </c>
      <c r="F687" t="inlineStr">
        <is>
          <t>VÄRMLANDS LÄN</t>
        </is>
      </c>
      <c r="G687" t="inlineStr">
        <is>
          <t>TORSBY</t>
        </is>
      </c>
      <c r="H687" t="inlineStr">
        <is>
          <t>Kommuner</t>
        </is>
      </c>
      <c r="I687" t="n">
        <v>5.4</v>
      </c>
      <c r="J687" t="n">
        <v>0</v>
      </c>
      <c r="K687" t="n">
        <v>0</v>
      </c>
      <c r="L687" t="n">
        <v>1</v>
      </c>
      <c r="M687" t="n">
        <v>0</v>
      </c>
      <c r="N687" t="n">
        <v>0</v>
      </c>
      <c r="O687" t="n">
        <v>0</v>
      </c>
      <c r="P687" t="n">
        <v>0</v>
      </c>
      <c r="Q687" t="n">
        <v>1</v>
      </c>
      <c r="R687" t="n">
        <v>0</v>
      </c>
      <c r="S687" t="n">
        <v>1</v>
      </c>
      <c r="T687" t="n">
        <v>1</v>
      </c>
      <c r="U687" t="n">
        <v>0</v>
      </c>
      <c r="V687" s="2" t="inlineStr">
        <is>
          <t>Skogsklocka</t>
        </is>
      </c>
      <c r="W687">
        <f>HYPERLINK("https://klasma.github.io/Logging_1737/artfynd/A 29921-2022 artfynd.xlsx", "A 29921-2022")</f>
        <v/>
      </c>
      <c r="X687">
        <f>HYPERLINK("https://klasma.github.io/Logging_1737/kartor/A 29921-2022 karta.png", "A 29921-2022")</f>
        <v/>
      </c>
      <c r="Y687">
        <f>HYPERLINK("https://klasma.github.io/Logging_1737/kartor_geotiff/A 29921-2022 georefererad karta.tif", "A 29921-2022")</f>
        <v/>
      </c>
      <c r="AA687">
        <f>HYPERLINK("https://klasma.github.io/Logging_1737/klagomål/A 29921-2022 FSC-klagomål.docx", "A 29921-2022")</f>
        <v/>
      </c>
      <c r="AB687">
        <f>HYPERLINK("https://klasma.github.io/Logging_1737/klagomålsmail/A 29921-2022 FSC-klagomål mail.docx", "A 29921-2022")</f>
        <v/>
      </c>
      <c r="AC687">
        <f>HYPERLINK("https://klasma.github.io/Logging_1737/tillsyn/A 29921-2022 tillsynsbegäran.docx", "A 29921-2022")</f>
        <v/>
      </c>
      <c r="AD687">
        <f>HYPERLINK("https://klasma.github.io/Logging_1737/tillsynsmail/A 29921-2022 tillsynsbegäran mail.docx", "A 29921-2022")</f>
        <v/>
      </c>
    </row>
    <row r="688" ht="15" customHeight="1">
      <c r="A688" t="inlineStr">
        <is>
          <t>A 33237-2025</t>
        </is>
      </c>
      <c r="B688" t="inlineStr">
        <is>
          <t>avverkningsanmälan</t>
        </is>
      </c>
      <c r="C688" t="inlineStr">
        <is>
          <t>Föryngringsavverkning</t>
        </is>
      </c>
      <c r="D688" s="1" t="n">
        <v>45840</v>
      </c>
      <c r="E688" s="1" t="n">
        <v>46307</v>
      </c>
      <c r="F688" t="inlineStr">
        <is>
          <t>VÄRMLANDS LÄN</t>
        </is>
      </c>
      <c r="G688" t="inlineStr">
        <is>
          <t>ÅRJÄNG</t>
        </is>
      </c>
      <c r="I688" t="n">
        <v>5.2</v>
      </c>
      <c r="J688" t="n">
        <v>0</v>
      </c>
      <c r="K688" t="n">
        <v>0</v>
      </c>
      <c r="L688" t="n">
        <v>1</v>
      </c>
      <c r="M688" t="n">
        <v>0</v>
      </c>
      <c r="N688" t="n">
        <v>0</v>
      </c>
      <c r="O688" t="n">
        <v>0</v>
      </c>
      <c r="P688" t="n">
        <v>0</v>
      </c>
      <c r="Q688" t="n">
        <v>1</v>
      </c>
      <c r="R688" t="n">
        <v>0</v>
      </c>
      <c r="S688" t="n">
        <v>1</v>
      </c>
      <c r="T688" t="n">
        <v>1</v>
      </c>
      <c r="U688" t="n">
        <v>0</v>
      </c>
      <c r="V688" s="2" t="inlineStr">
        <is>
          <t>Skogsklocka</t>
        </is>
      </c>
      <c r="W688">
        <f>HYPERLINK("https://klasma.github.io/Logging_1765/artfynd/A 33237-2025 artfynd.xlsx", "A 33237-2025")</f>
        <v/>
      </c>
      <c r="X688">
        <f>HYPERLINK("https://klasma.github.io/Logging_1765/kartor/A 33237-2025 karta.png", "A 33237-2025")</f>
        <v/>
      </c>
      <c r="Y688">
        <f>HYPERLINK("https://klasma.github.io/Logging_1765/kartor_geotiff/A 33237-2025 georefererad karta.tif", "A 33237-2025")</f>
        <v/>
      </c>
      <c r="AA688">
        <f>HYPERLINK("https://klasma.github.io/Logging_1765/klagomål/A 33237-2025 FSC-klagomål.docx", "A 33237-2025")</f>
        <v/>
      </c>
      <c r="AB688">
        <f>HYPERLINK("https://klasma.github.io/Logging_1765/klagomålsmail/A 33237-2025 FSC-klagomål mail.docx", "A 33237-2025")</f>
        <v/>
      </c>
      <c r="AC688">
        <f>HYPERLINK("https://klasma.github.io/Logging_1765/tillsyn/A 33237-2025 tillsynsbegäran.docx", "A 33237-2025")</f>
        <v/>
      </c>
      <c r="AD688">
        <f>HYPERLINK("https://klasma.github.io/Logging_1765/tillsynsmail/A 33237-2025 tillsynsbegäran mail.docx", "A 33237-2025")</f>
        <v/>
      </c>
    </row>
    <row r="689" ht="15" customHeight="1">
      <c r="A689" t="inlineStr">
        <is>
          <t>A 11874-2025</t>
        </is>
      </c>
      <c r="B689" t="inlineStr">
        <is>
          <t>avverkningsanmälan</t>
        </is>
      </c>
      <c r="C689" t="inlineStr">
        <is>
          <t>Föryngringsavverkning</t>
        </is>
      </c>
      <c r="D689" s="1" t="n">
        <v>45728</v>
      </c>
      <c r="E689" s="1" t="n">
        <v>46307</v>
      </c>
      <c r="F689" t="inlineStr">
        <is>
          <t>VÄRMLANDS LÄN</t>
        </is>
      </c>
      <c r="G689" t="inlineStr">
        <is>
          <t>ÅRJÄNG</t>
        </is>
      </c>
      <c r="H689" t="inlineStr">
        <is>
          <t>Övriga Aktiebolag</t>
        </is>
      </c>
      <c r="I689" t="n">
        <v>3.5</v>
      </c>
      <c r="J689" t="n">
        <v>1</v>
      </c>
      <c r="K689" t="n">
        <v>0</v>
      </c>
      <c r="L689" t="n">
        <v>0</v>
      </c>
      <c r="M689" t="n">
        <v>0</v>
      </c>
      <c r="N689" t="n">
        <v>0</v>
      </c>
      <c r="O689" t="n">
        <v>0</v>
      </c>
      <c r="P689" t="n">
        <v>0</v>
      </c>
      <c r="Q689" t="n">
        <v>0</v>
      </c>
      <c r="R689" t="n">
        <v>0</v>
      </c>
      <c r="S689" t="n">
        <v>1</v>
      </c>
      <c r="T689" t="n">
        <v>1</v>
      </c>
      <c r="U689" t="n">
        <v>1</v>
      </c>
      <c r="V689" s="2" t="inlineStr">
        <is>
          <t>Spillkråka</t>
        </is>
      </c>
      <c r="W689">
        <f>HYPERLINK("https://klasma.github.io/Logging_1765/artfynd/A 11874-2025 artfynd.xlsx", "A 11874-2025")</f>
        <v/>
      </c>
      <c r="X689">
        <f>HYPERLINK("https://klasma.github.io/Logging_1765/kartor/A 11874-2025 karta.png", "A 11874-2025")</f>
        <v/>
      </c>
      <c r="Y689">
        <f>HYPERLINK("https://klasma.github.io/Logging_1765/kartor_geotiff/A 11874-2025 georefererad karta.tif", "A 11874-2025")</f>
        <v/>
      </c>
      <c r="AA689">
        <f>HYPERLINK("https://klasma.github.io/Logging_1765/klagomål/A 11874-2025 FSC-klagomål.docx", "A 11874-2025")</f>
        <v/>
      </c>
      <c r="AB689">
        <f>HYPERLINK("https://klasma.github.io/Logging_1765/klagomålsmail/A 11874-2025 FSC-klagomål mail.docx", "A 11874-2025")</f>
        <v/>
      </c>
      <c r="AC689">
        <f>HYPERLINK("https://klasma.github.io/Logging_1765/tillsyn/A 11874-2025 tillsynsbegäran.docx", "A 11874-2025")</f>
        <v/>
      </c>
      <c r="AD689">
        <f>HYPERLINK("https://klasma.github.io/Logging_1765/tillsynsmail/A 11874-2025 tillsynsbegäran mail.docx", "A 11874-2025")</f>
        <v/>
      </c>
      <c r="AE689">
        <f>HYPERLINK("https://klasma.github.io/Logging_1765/fåglar/A 11874-2025 prioriterade fågelarter.docx", "A 11874-2025")</f>
        <v/>
      </c>
    </row>
    <row r="690" ht="15" customHeight="1">
      <c r="A690" t="inlineStr">
        <is>
          <t>A 19052-2024</t>
        </is>
      </c>
      <c r="B690" t="inlineStr">
        <is>
          <t>avverkningsanmälan</t>
        </is>
      </c>
      <c r="C690" t="inlineStr">
        <is>
          <t>Föryngringsavverkning</t>
        </is>
      </c>
      <c r="D690" s="1" t="n">
        <v>45427</v>
      </c>
      <c r="E690" s="1" t="n">
        <v>46307</v>
      </c>
      <c r="F690" t="inlineStr">
        <is>
          <t>VÄRMLANDS LÄN</t>
        </is>
      </c>
      <c r="G690" t="inlineStr">
        <is>
          <t>GRUMS</t>
        </is>
      </c>
      <c r="I690" t="n">
        <v>7.7</v>
      </c>
      <c r="J690" t="n">
        <v>0</v>
      </c>
      <c r="K690" t="n">
        <v>0</v>
      </c>
      <c r="L690" t="n">
        <v>0</v>
      </c>
      <c r="M690" t="n">
        <v>0</v>
      </c>
      <c r="N690" t="n">
        <v>1</v>
      </c>
      <c r="O690" t="n">
        <v>0</v>
      </c>
      <c r="P690" t="n">
        <v>0</v>
      </c>
      <c r="Q690" t="n">
        <v>1</v>
      </c>
      <c r="R690" t="n">
        <v>1</v>
      </c>
      <c r="S690" t="n">
        <v>1</v>
      </c>
      <c r="T690" t="n">
        <v>1</v>
      </c>
      <c r="U690" t="n">
        <v>1</v>
      </c>
      <c r="V690" s="2" t="inlineStr">
        <is>
          <t>Skogsalm</t>
        </is>
      </c>
      <c r="W690">
        <f>HYPERLINK("https://klasma.github.io/Logging_1764/artfynd/A 19052-2024 artfynd.xlsx", "A 19052-2024")</f>
        <v/>
      </c>
      <c r="X690">
        <f>HYPERLINK("https://klasma.github.io/Logging_1764/kartor/A 19052-2024 karta.png", "A 19052-2024")</f>
        <v/>
      </c>
      <c r="Y690">
        <f>HYPERLINK("https://klasma.github.io/Logging_1764/kartor_geotiff/A 19052-2024 georefererad karta.tif", "A 19052-2024")</f>
        <v/>
      </c>
      <c r="AA690">
        <f>HYPERLINK("https://klasma.github.io/Logging_1764/klagomål/A 19052-2024 FSC-klagomål.docx", "A 19052-2024")</f>
        <v/>
      </c>
      <c r="AB690">
        <f>HYPERLINK("https://klasma.github.io/Logging_1764/klagomålsmail/A 19052-2024 FSC-klagomål mail.docx", "A 19052-2024")</f>
        <v/>
      </c>
      <c r="AC690">
        <f>HYPERLINK("https://klasma.github.io/Logging_1764/tillsyn/A 19052-2024 tillsynsbegäran.docx", "A 19052-2024")</f>
        <v/>
      </c>
      <c r="AD690">
        <f>HYPERLINK("https://klasma.github.io/Logging_1764/tillsynsmail/A 19052-2024 tillsynsbegäran mail.docx", "A 19052-2024")</f>
        <v/>
      </c>
    </row>
    <row r="691" ht="15" customHeight="1">
      <c r="A691" t="inlineStr">
        <is>
          <t>A 48464-2023</t>
        </is>
      </c>
      <c r="B691" t="inlineStr">
        <is>
          <t>avverkningsanmälan</t>
        </is>
      </c>
      <c r="C691" t="inlineStr">
        <is>
          <t>Föryngringsavverkning</t>
        </is>
      </c>
      <c r="D691" s="1" t="n">
        <v>45206</v>
      </c>
      <c r="E691" s="1" t="n">
        <v>46307</v>
      </c>
      <c r="F691" t="inlineStr">
        <is>
          <t>VÄRMLANDS LÄN</t>
        </is>
      </c>
      <c r="G691" t="inlineStr">
        <is>
          <t>ARVIKA</t>
        </is>
      </c>
      <c r="I691" t="n">
        <v>7.9</v>
      </c>
      <c r="J691" t="n">
        <v>1</v>
      </c>
      <c r="K691" t="n">
        <v>0</v>
      </c>
      <c r="L691" t="n">
        <v>0</v>
      </c>
      <c r="M691" t="n">
        <v>1</v>
      </c>
      <c r="N691" t="n">
        <v>0</v>
      </c>
      <c r="O691" t="n">
        <v>0</v>
      </c>
      <c r="P691" t="n">
        <v>0</v>
      </c>
      <c r="Q691" t="n">
        <v>1</v>
      </c>
      <c r="R691" t="n">
        <v>1</v>
      </c>
      <c r="S691" t="n">
        <v>1</v>
      </c>
      <c r="T691" t="n">
        <v>2</v>
      </c>
      <c r="U691" t="n">
        <v>0</v>
      </c>
      <c r="V691" s="2" t="inlineStr">
        <is>
          <t>Knärot</t>
        </is>
      </c>
      <c r="W691">
        <f>HYPERLINK("https://klasma.github.io/Logging_1784/artfynd/A 48464-2023 artfynd.xlsx", "A 48464-2023")</f>
        <v/>
      </c>
      <c r="X691">
        <f>HYPERLINK("https://klasma.github.io/Logging_1784/kartor/A 48464-2023 karta.png", "A 48464-2023")</f>
        <v/>
      </c>
      <c r="Y691">
        <f>HYPERLINK("https://klasma.github.io/Logging_1784/kartor_geotiff/A 48464-2023 georefererad karta.tif", "A 48464-2023")</f>
        <v/>
      </c>
      <c r="Z691">
        <f>HYPERLINK("https://klasma.github.io/Logging_1784/knärot/A 48464-2023 karta knärot.png", "A 48464-2023")</f>
        <v/>
      </c>
      <c r="AA691">
        <f>HYPERLINK("https://klasma.github.io/Logging_1784/klagomål/A 48464-2023 FSC-klagomål.docx", "A 48464-2023")</f>
        <v/>
      </c>
      <c r="AB691">
        <f>HYPERLINK("https://klasma.github.io/Logging_1784/klagomålsmail/A 48464-2023 FSC-klagomål mail.docx", "A 48464-2023")</f>
        <v/>
      </c>
      <c r="AC691">
        <f>HYPERLINK("https://klasma.github.io/Logging_1784/tillsyn/A 48464-2023 tillsynsbegäran.docx", "A 48464-2023")</f>
        <v/>
      </c>
      <c r="AD691">
        <f>HYPERLINK("https://klasma.github.io/Logging_1784/tillsynsmail/A 48464-2023 tillsynsbegäran mail.docx", "A 48464-2023")</f>
        <v/>
      </c>
    </row>
    <row r="692" ht="15" customHeight="1">
      <c r="A692" t="inlineStr">
        <is>
          <t>A 33848-2025</t>
        </is>
      </c>
      <c r="B692" t="inlineStr">
        <is>
          <t>avverkningsanmälan</t>
        </is>
      </c>
      <c r="C692" t="inlineStr">
        <is>
          <t>Föryngringsavverkning</t>
        </is>
      </c>
      <c r="D692" s="1" t="n">
        <v>45842</v>
      </c>
      <c r="E692" s="1" t="n">
        <v>46307</v>
      </c>
      <c r="F692" t="inlineStr">
        <is>
          <t>VÄRMLANDS LÄN</t>
        </is>
      </c>
      <c r="G692" t="inlineStr">
        <is>
          <t>HAGFORS</t>
        </is>
      </c>
      <c r="I692" t="n">
        <v>0.6</v>
      </c>
      <c r="J692" t="n">
        <v>1</v>
      </c>
      <c r="K692" t="n">
        <v>0</v>
      </c>
      <c r="L692" t="n">
        <v>0</v>
      </c>
      <c r="M692" t="n">
        <v>0</v>
      </c>
      <c r="N692" t="n">
        <v>0</v>
      </c>
      <c r="O692" t="n">
        <v>0</v>
      </c>
      <c r="P692" t="n">
        <v>0</v>
      </c>
      <c r="Q692" t="n">
        <v>0</v>
      </c>
      <c r="R692" t="n">
        <v>0</v>
      </c>
      <c r="S692" t="n">
        <v>1</v>
      </c>
      <c r="T692" t="n">
        <v>1</v>
      </c>
      <c r="U692" t="n">
        <v>0</v>
      </c>
      <c r="V692" s="2" t="inlineStr">
        <is>
          <t>Utter</t>
        </is>
      </c>
      <c r="W692">
        <f>HYPERLINK("https://klasma.github.io/Logging_1783/artfynd/A 33848-2025 artfynd.xlsx", "A 33848-2025")</f>
        <v/>
      </c>
      <c r="X692">
        <f>HYPERLINK("https://klasma.github.io/Logging_1783/kartor/A 33848-2025 karta.png", "A 33848-2025")</f>
        <v/>
      </c>
      <c r="Y692">
        <f>HYPERLINK("https://klasma.github.io/Logging_1783/kartor_geotiff/A 33848-2025 georefererad karta.tif", "A 33848-2025")</f>
        <v/>
      </c>
      <c r="AA692">
        <f>HYPERLINK("https://klasma.github.io/Logging_1783/klagomål/A 33848-2025 FSC-klagomål.docx", "A 33848-2025")</f>
        <v/>
      </c>
      <c r="AB692">
        <f>HYPERLINK("https://klasma.github.io/Logging_1783/klagomålsmail/A 33848-2025 FSC-klagomål mail.docx", "A 33848-2025")</f>
        <v/>
      </c>
      <c r="AC692">
        <f>HYPERLINK("https://klasma.github.io/Logging_1783/tillsyn/A 33848-2025 tillsynsbegäran.docx", "A 33848-2025")</f>
        <v/>
      </c>
      <c r="AD692">
        <f>HYPERLINK("https://klasma.github.io/Logging_1783/tillsynsmail/A 33848-2025 tillsynsbegäran mail.docx", "A 33848-2025")</f>
        <v/>
      </c>
    </row>
    <row r="693" ht="15" customHeight="1">
      <c r="A693" t="inlineStr">
        <is>
          <t>A 33600-2025</t>
        </is>
      </c>
      <c r="B693" t="inlineStr">
        <is>
          <t>avverkningsanmälan</t>
        </is>
      </c>
      <c r="C693" t="inlineStr">
        <is>
          <t>Föryngringsavverkning</t>
        </is>
      </c>
      <c r="D693" s="1" t="n">
        <v>45841</v>
      </c>
      <c r="E693" s="1" t="n">
        <v>46307</v>
      </c>
      <c r="F693" t="inlineStr">
        <is>
          <t>VÄRMLANDS LÄN</t>
        </is>
      </c>
      <c r="G693" t="inlineStr">
        <is>
          <t>ÅRJÄNG</t>
        </is>
      </c>
      <c r="I693" t="n">
        <v>1.3</v>
      </c>
      <c r="J693" t="n">
        <v>1</v>
      </c>
      <c r="K693" t="n">
        <v>0</v>
      </c>
      <c r="L693" t="n">
        <v>0</v>
      </c>
      <c r="M693" t="n">
        <v>0</v>
      </c>
      <c r="N693" t="n">
        <v>0</v>
      </c>
      <c r="O693" t="n">
        <v>0</v>
      </c>
      <c r="P693" t="n">
        <v>0</v>
      </c>
      <c r="Q693" t="n">
        <v>0</v>
      </c>
      <c r="R693" t="n">
        <v>0</v>
      </c>
      <c r="S693" t="n">
        <v>1</v>
      </c>
      <c r="T693" t="n">
        <v>1</v>
      </c>
      <c r="U693" t="n">
        <v>0</v>
      </c>
      <c r="V693" s="2" t="inlineStr">
        <is>
          <t>Större vattensalamander</t>
        </is>
      </c>
      <c r="W693">
        <f>HYPERLINK("https://klasma.github.io/Logging_1765/artfynd/A 33600-2025 artfynd.xlsx", "A 33600-2025")</f>
        <v/>
      </c>
      <c r="X693">
        <f>HYPERLINK("https://klasma.github.io/Logging_1765/kartor/A 33600-2025 karta.png", "A 33600-2025")</f>
        <v/>
      </c>
      <c r="Y693">
        <f>HYPERLINK("https://klasma.github.io/Logging_1765/kartor_geotiff/A 33600-2025 georefererad karta.tif", "A 33600-2025")</f>
        <v/>
      </c>
      <c r="AA693">
        <f>HYPERLINK("https://klasma.github.io/Logging_1765/klagomål/A 33600-2025 FSC-klagomål.docx", "A 33600-2025")</f>
        <v/>
      </c>
      <c r="AB693">
        <f>HYPERLINK("https://klasma.github.io/Logging_1765/klagomålsmail/A 33600-2025 FSC-klagomål mail.docx", "A 33600-2025")</f>
        <v/>
      </c>
      <c r="AC693">
        <f>HYPERLINK("https://klasma.github.io/Logging_1765/tillsyn/A 33600-2025 tillsynsbegäran.docx", "A 33600-2025")</f>
        <v/>
      </c>
      <c r="AD693">
        <f>HYPERLINK("https://klasma.github.io/Logging_1765/tillsynsmail/A 33600-2025 tillsynsbegäran mail.docx", "A 33600-2025")</f>
        <v/>
      </c>
    </row>
    <row r="694" ht="15" customHeight="1">
      <c r="A694" t="inlineStr">
        <is>
          <t>A 33481-2025</t>
        </is>
      </c>
      <c r="B694" t="inlineStr">
        <is>
          <t>avverkningsanmälan</t>
        </is>
      </c>
      <c r="C694" t="inlineStr">
        <is>
          <t>Föryngringsavverkning</t>
        </is>
      </c>
      <c r="D694" s="1" t="n">
        <v>45841</v>
      </c>
      <c r="E694" s="1" t="n">
        <v>46307</v>
      </c>
      <c r="F694" t="inlineStr">
        <is>
          <t>VÄRMLANDS LÄN</t>
        </is>
      </c>
      <c r="G694" t="inlineStr">
        <is>
          <t>ÅRJÄNG</t>
        </is>
      </c>
      <c r="I694" t="n">
        <v>10.3</v>
      </c>
      <c r="J694" t="n">
        <v>1</v>
      </c>
      <c r="K694" t="n">
        <v>0</v>
      </c>
      <c r="L694" t="n">
        <v>0</v>
      </c>
      <c r="M694" t="n">
        <v>0</v>
      </c>
      <c r="N694" t="n">
        <v>0</v>
      </c>
      <c r="O694" t="n">
        <v>0</v>
      </c>
      <c r="P694" t="n">
        <v>0</v>
      </c>
      <c r="Q694" t="n">
        <v>0</v>
      </c>
      <c r="R694" t="n">
        <v>0</v>
      </c>
      <c r="S694" t="n">
        <v>1</v>
      </c>
      <c r="T694" t="n">
        <v>1</v>
      </c>
      <c r="U694" t="n">
        <v>0</v>
      </c>
      <c r="V694" s="2" t="inlineStr">
        <is>
          <t>Blåsippa</t>
        </is>
      </c>
      <c r="W694">
        <f>HYPERLINK("https://klasma.github.io/Logging_1765/artfynd/A 33481-2025 artfynd.xlsx", "A 33481-2025")</f>
        <v/>
      </c>
      <c r="X694">
        <f>HYPERLINK("https://klasma.github.io/Logging_1765/kartor/A 33481-2025 karta.png", "A 33481-2025")</f>
        <v/>
      </c>
      <c r="Y694">
        <f>HYPERLINK("https://klasma.github.io/Logging_1765/kartor_geotiff/A 33481-2025 georefererad karta.tif", "A 33481-2025")</f>
        <v/>
      </c>
      <c r="AA694">
        <f>HYPERLINK("https://klasma.github.io/Logging_1765/klagomål/A 33481-2025 FSC-klagomål.docx", "A 33481-2025")</f>
        <v/>
      </c>
      <c r="AB694">
        <f>HYPERLINK("https://klasma.github.io/Logging_1765/klagomålsmail/A 33481-2025 FSC-klagomål mail.docx", "A 33481-2025")</f>
        <v/>
      </c>
      <c r="AC694">
        <f>HYPERLINK("https://klasma.github.io/Logging_1765/tillsyn/A 33481-2025 tillsynsbegäran.docx", "A 33481-2025")</f>
        <v/>
      </c>
      <c r="AD694">
        <f>HYPERLINK("https://klasma.github.io/Logging_1765/tillsynsmail/A 33481-2025 tillsynsbegäran mail.docx", "A 33481-2025")</f>
        <v/>
      </c>
    </row>
    <row r="695" ht="15" customHeight="1">
      <c r="A695" t="inlineStr">
        <is>
          <t>A 55484-2025</t>
        </is>
      </c>
      <c r="B695" t="inlineStr">
        <is>
          <t>avverkningsanmälan</t>
        </is>
      </c>
      <c r="C695" t="inlineStr">
        <is>
          <t>Föryngringsavverkning</t>
        </is>
      </c>
      <c r="D695" s="1" t="n">
        <v>45971</v>
      </c>
      <c r="E695" s="1" t="n">
        <v>46307</v>
      </c>
      <c r="F695" t="inlineStr">
        <is>
          <t>VÄRMLANDS LÄN</t>
        </is>
      </c>
      <c r="G695" t="inlineStr">
        <is>
          <t>HAGFORS</t>
        </is>
      </c>
      <c r="H695" t="inlineStr">
        <is>
          <t>Bergvik skog väst AB</t>
        </is>
      </c>
      <c r="I695" t="n">
        <v>1.5</v>
      </c>
      <c r="J695" t="n">
        <v>1</v>
      </c>
      <c r="K695" t="n">
        <v>1</v>
      </c>
      <c r="L695" t="n">
        <v>0</v>
      </c>
      <c r="M695" t="n">
        <v>0</v>
      </c>
      <c r="N695" t="n">
        <v>0</v>
      </c>
      <c r="O695" t="n">
        <v>0</v>
      </c>
      <c r="P695" t="n">
        <v>0</v>
      </c>
      <c r="Q695" t="n">
        <v>0</v>
      </c>
      <c r="R695" t="n">
        <v>0</v>
      </c>
      <c r="S695" t="n">
        <v>1</v>
      </c>
      <c r="T695" t="n">
        <v>1</v>
      </c>
      <c r="U695" t="n">
        <v>0</v>
      </c>
      <c r="V695" s="2" t="inlineStr">
        <is>
          <t>Grön sköldmossa</t>
        </is>
      </c>
      <c r="W695">
        <f>HYPERLINK("https://klasma.github.io/Logging_1783/artfynd/A 55484-2025 artfynd.xlsx", "A 55484-2025")</f>
        <v/>
      </c>
      <c r="X695">
        <f>HYPERLINK("https://klasma.github.io/Logging_1783/kartor/A 55484-2025 karta.png", "A 55484-2025")</f>
        <v/>
      </c>
      <c r="Y695">
        <f>HYPERLINK("https://klasma.github.io/Logging_1783/kartor_geotiff/A 55484-2025 georefererad karta.tif", "A 55484-2025")</f>
        <v/>
      </c>
      <c r="AA695">
        <f>HYPERLINK("https://klasma.github.io/Logging_1783/klagomål/A 55484-2025 FSC-klagomål.docx", "A 55484-2025")</f>
        <v/>
      </c>
      <c r="AB695">
        <f>HYPERLINK("https://klasma.github.io/Logging_1783/klagomålsmail/A 55484-2025 FSC-klagomål mail.docx", "A 55484-2025")</f>
        <v/>
      </c>
      <c r="AC695">
        <f>HYPERLINK("https://klasma.github.io/Logging_1783/tillsyn/A 55484-2025 tillsynsbegäran.docx", "A 55484-2025")</f>
        <v/>
      </c>
      <c r="AD695">
        <f>HYPERLINK("https://klasma.github.io/Logging_1783/tillsynsmail/A 55484-2025 tillsynsbegäran mail.docx", "A 55484-2025")</f>
        <v/>
      </c>
    </row>
    <row r="696" ht="15" customHeight="1">
      <c r="A696" t="inlineStr">
        <is>
          <t>A 5726-2025</t>
        </is>
      </c>
      <c r="B696" t="inlineStr">
        <is>
          <t>avverkningsanmälan</t>
        </is>
      </c>
      <c r="C696" t="inlineStr">
        <is>
          <t>Föryngringsavverkning</t>
        </is>
      </c>
      <c r="D696" s="1" t="n">
        <v>45694</v>
      </c>
      <c r="E696" s="1" t="n">
        <v>46307</v>
      </c>
      <c r="F696" t="inlineStr">
        <is>
          <t>VÄRMLANDS LÄN</t>
        </is>
      </c>
      <c r="G696" t="inlineStr">
        <is>
          <t>TORSBY</t>
        </is>
      </c>
      <c r="I696" t="n">
        <v>3.5</v>
      </c>
      <c r="J696" t="n">
        <v>0</v>
      </c>
      <c r="K696" t="n">
        <v>1</v>
      </c>
      <c r="L696" t="n">
        <v>0</v>
      </c>
      <c r="M696" t="n">
        <v>0</v>
      </c>
      <c r="N696" t="n">
        <v>0</v>
      </c>
      <c r="O696" t="n">
        <v>0</v>
      </c>
      <c r="P696" t="n">
        <v>0</v>
      </c>
      <c r="Q696" t="n">
        <v>0</v>
      </c>
      <c r="R696" t="n">
        <v>0</v>
      </c>
      <c r="S696" t="n">
        <v>1</v>
      </c>
      <c r="T696" t="n">
        <v>1</v>
      </c>
      <c r="U696" t="n">
        <v>0</v>
      </c>
      <c r="V696" s="2" t="inlineStr">
        <is>
          <t>Vedticka</t>
        </is>
      </c>
      <c r="W696">
        <f>HYPERLINK("https://klasma.github.io/Logging_1737/artfynd/A 5726-2025 artfynd.xlsx", "A 5726-2025")</f>
        <v/>
      </c>
      <c r="X696">
        <f>HYPERLINK("https://klasma.github.io/Logging_1737/kartor/A 5726-2025 karta.png", "A 5726-2025")</f>
        <v/>
      </c>
      <c r="Y696">
        <f>HYPERLINK("https://klasma.github.io/Logging_1737/kartor_geotiff/A 5726-2025 georefererad karta.tif", "A 5726-2025")</f>
        <v/>
      </c>
      <c r="AA696">
        <f>HYPERLINK("https://klasma.github.io/Logging_1737/klagomål/A 5726-2025 FSC-klagomål.docx", "A 5726-2025")</f>
        <v/>
      </c>
      <c r="AB696">
        <f>HYPERLINK("https://klasma.github.io/Logging_1737/klagomålsmail/A 5726-2025 FSC-klagomål mail.docx", "A 5726-2025")</f>
        <v/>
      </c>
      <c r="AC696">
        <f>HYPERLINK("https://klasma.github.io/Logging_1737/tillsyn/A 5726-2025 tillsynsbegäran.docx", "A 5726-2025")</f>
        <v/>
      </c>
      <c r="AD696">
        <f>HYPERLINK("https://klasma.github.io/Logging_1737/tillsynsmail/A 5726-2025 tillsynsbegäran mail.docx", "A 5726-2025")</f>
        <v/>
      </c>
    </row>
    <row r="697" ht="15" customHeight="1">
      <c r="A697" t="inlineStr">
        <is>
          <t>A 47689-2024</t>
        </is>
      </c>
      <c r="B697" t="inlineStr">
        <is>
          <t>avverkningsanmälan</t>
        </is>
      </c>
      <c r="C697" t="inlineStr">
        <is>
          <t>Föryngringsavverkning</t>
        </is>
      </c>
      <c r="D697" s="1" t="n">
        <v>45588</v>
      </c>
      <c r="E697" s="1" t="n">
        <v>46307</v>
      </c>
      <c r="F697" t="inlineStr">
        <is>
          <t>VÄRMLANDS LÄN</t>
        </is>
      </c>
      <c r="G697" t="inlineStr">
        <is>
          <t>TORSBY</t>
        </is>
      </c>
      <c r="I697" t="n">
        <v>3.1</v>
      </c>
      <c r="J697" t="n">
        <v>0</v>
      </c>
      <c r="K697" t="n">
        <v>0</v>
      </c>
      <c r="L697" t="n">
        <v>0</v>
      </c>
      <c r="M697" t="n">
        <v>1</v>
      </c>
      <c r="N697" t="n">
        <v>0</v>
      </c>
      <c r="O697" t="n">
        <v>0</v>
      </c>
      <c r="P697" t="n">
        <v>0</v>
      </c>
      <c r="Q697" t="n">
        <v>1</v>
      </c>
      <c r="R697" t="n">
        <v>1</v>
      </c>
      <c r="S697" t="n">
        <v>1</v>
      </c>
      <c r="T697" t="n">
        <v>3</v>
      </c>
      <c r="U697" t="n">
        <v>0</v>
      </c>
      <c r="V697" s="2" t="inlineStr">
        <is>
          <t>Garnlav</t>
        </is>
      </c>
      <c r="W697">
        <f>HYPERLINK("https://klasma.github.io/Logging_1737/artfynd/A 47689-2024 artfynd.xlsx", "A 47689-2024")</f>
        <v/>
      </c>
      <c r="X697">
        <f>HYPERLINK("https://klasma.github.io/Logging_1737/kartor/A 47689-2024 karta.png", "A 47689-2024")</f>
        <v/>
      </c>
      <c r="Y697">
        <f>HYPERLINK("https://klasma.github.io/Logging_1737/kartor_geotiff/A 47689-2024 georefererad karta.tif", "A 47689-2024")</f>
        <v/>
      </c>
      <c r="AA697">
        <f>HYPERLINK("https://klasma.github.io/Logging_1737/klagomål/A 47689-2024 FSC-klagomål.docx", "A 47689-2024")</f>
        <v/>
      </c>
      <c r="AB697">
        <f>HYPERLINK("https://klasma.github.io/Logging_1737/klagomålsmail/A 47689-2024 FSC-klagomål mail.docx", "A 47689-2024")</f>
        <v/>
      </c>
      <c r="AC697">
        <f>HYPERLINK("https://klasma.github.io/Logging_1737/tillsyn/A 47689-2024 tillsynsbegäran.docx", "A 47689-2024")</f>
        <v/>
      </c>
      <c r="AD697">
        <f>HYPERLINK("https://klasma.github.io/Logging_1737/tillsynsmail/A 47689-2024 tillsynsbegäran mail.docx", "A 47689-2024")</f>
        <v/>
      </c>
    </row>
    <row r="698" ht="15" customHeight="1">
      <c r="A698" t="inlineStr">
        <is>
          <t>A 1435-2025</t>
        </is>
      </c>
      <c r="B698" t="inlineStr">
        <is>
          <t>avverkningsanmälan</t>
        </is>
      </c>
      <c r="C698" t="inlineStr">
        <is>
          <t>Föryngringsavverkning</t>
        </is>
      </c>
      <c r="D698" s="1" t="n">
        <v>45669</v>
      </c>
      <c r="E698" s="1" t="n">
        <v>46307</v>
      </c>
      <c r="F698" t="inlineStr">
        <is>
          <t>VÄRMLANDS LÄN</t>
        </is>
      </c>
      <c r="G698" t="inlineStr">
        <is>
          <t>TORSBY</t>
        </is>
      </c>
      <c r="I698" t="n">
        <v>5</v>
      </c>
      <c r="J698" t="n">
        <v>0</v>
      </c>
      <c r="K698" t="n">
        <v>0</v>
      </c>
      <c r="L698" t="n">
        <v>1</v>
      </c>
      <c r="M698" t="n">
        <v>0</v>
      </c>
      <c r="N698" t="n">
        <v>0</v>
      </c>
      <c r="O698" t="n">
        <v>0</v>
      </c>
      <c r="P698" t="n">
        <v>0</v>
      </c>
      <c r="Q698" t="n">
        <v>1</v>
      </c>
      <c r="R698" t="n">
        <v>0</v>
      </c>
      <c r="S698" t="n">
        <v>1</v>
      </c>
      <c r="T698" t="n">
        <v>1</v>
      </c>
      <c r="U698" t="n">
        <v>0</v>
      </c>
      <c r="V698" s="2" t="inlineStr">
        <is>
          <t>Kattfotslav</t>
        </is>
      </c>
      <c r="W698">
        <f>HYPERLINK("https://klasma.github.io/Logging_1737/artfynd/A 1435-2025 artfynd.xlsx", "A 1435-2025")</f>
        <v/>
      </c>
      <c r="X698">
        <f>HYPERLINK("https://klasma.github.io/Logging_1737/kartor/A 1435-2025 karta.png", "A 1435-2025")</f>
        <v/>
      </c>
      <c r="Y698">
        <f>HYPERLINK("https://klasma.github.io/Logging_1737/kartor_geotiff/A 1435-2025 georefererad karta.tif", "A 1435-2025")</f>
        <v/>
      </c>
      <c r="AA698">
        <f>HYPERLINK("https://klasma.github.io/Logging_1737/klagomål/A 1435-2025 FSC-klagomål.docx", "A 1435-2025")</f>
        <v/>
      </c>
      <c r="AB698">
        <f>HYPERLINK("https://klasma.github.io/Logging_1737/klagomålsmail/A 1435-2025 FSC-klagomål mail.docx", "A 1435-2025")</f>
        <v/>
      </c>
      <c r="AC698">
        <f>HYPERLINK("https://klasma.github.io/Logging_1737/tillsyn/A 1435-2025 tillsynsbegäran.docx", "A 1435-2025")</f>
        <v/>
      </c>
      <c r="AD698">
        <f>HYPERLINK("https://klasma.github.io/Logging_1737/tillsynsmail/A 1435-2025 tillsynsbegäran mail.docx", "A 1435-2025")</f>
        <v/>
      </c>
    </row>
    <row r="699" ht="15" customHeight="1">
      <c r="A699" t="inlineStr">
        <is>
          <t>A 15321-2023</t>
        </is>
      </c>
      <c r="B699" t="inlineStr">
        <is>
          <t>avverkningsanmälan</t>
        </is>
      </c>
      <c r="C699" t="inlineStr">
        <is>
          <t>Föryngringsavverkning</t>
        </is>
      </c>
      <c r="D699" s="1" t="n">
        <v>45019</v>
      </c>
      <c r="E699" s="1" t="n">
        <v>46307</v>
      </c>
      <c r="F699" t="inlineStr">
        <is>
          <t>VÄRMLANDS LÄN</t>
        </is>
      </c>
      <c r="G699" t="inlineStr">
        <is>
          <t>GRUMS</t>
        </is>
      </c>
      <c r="I699" t="n">
        <v>5.2</v>
      </c>
      <c r="J699" t="n">
        <v>0</v>
      </c>
      <c r="K699" t="n">
        <v>1</v>
      </c>
      <c r="L699" t="n">
        <v>0</v>
      </c>
      <c r="M699" t="n">
        <v>0</v>
      </c>
      <c r="N699" t="n">
        <v>0</v>
      </c>
      <c r="O699" t="n">
        <v>0</v>
      </c>
      <c r="P699" t="n">
        <v>0</v>
      </c>
      <c r="Q699" t="n">
        <v>0</v>
      </c>
      <c r="R699" t="n">
        <v>0</v>
      </c>
      <c r="S699" t="n">
        <v>1</v>
      </c>
      <c r="T699" t="n">
        <v>2</v>
      </c>
      <c r="U699" t="n">
        <v>0</v>
      </c>
      <c r="V699" s="2" t="inlineStr">
        <is>
          <t>Vätteros</t>
        </is>
      </c>
      <c r="W699">
        <f>HYPERLINK("https://klasma.github.io/Logging_1764/artfynd/A 15321-2023 artfynd.xlsx", "A 15321-2023")</f>
        <v/>
      </c>
      <c r="X699">
        <f>HYPERLINK("https://klasma.github.io/Logging_1764/kartor/A 15321-2023 karta.png", "A 15321-2023")</f>
        <v/>
      </c>
      <c r="Y699">
        <f>HYPERLINK("https://klasma.github.io/Logging_1764/kartor_geotiff/A 15321-2023 georefererad karta.tif", "A 15321-2023")</f>
        <v/>
      </c>
      <c r="AA699">
        <f>HYPERLINK("https://klasma.github.io/Logging_1764/klagomål/A 15321-2023 FSC-klagomål.docx", "A 15321-2023")</f>
        <v/>
      </c>
      <c r="AB699">
        <f>HYPERLINK("https://klasma.github.io/Logging_1764/klagomålsmail/A 15321-2023 FSC-klagomål mail.docx", "A 15321-2023")</f>
        <v/>
      </c>
      <c r="AC699">
        <f>HYPERLINK("https://klasma.github.io/Logging_1764/tillsyn/A 15321-2023 tillsynsbegäran.docx", "A 15321-2023")</f>
        <v/>
      </c>
      <c r="AD699">
        <f>HYPERLINK("https://klasma.github.io/Logging_1764/tillsynsmail/A 15321-2023 tillsynsbegäran mail.docx", "A 15321-2023")</f>
        <v/>
      </c>
    </row>
    <row r="700" ht="15" customHeight="1">
      <c r="A700" t="inlineStr">
        <is>
          <t>A 2342-2025</t>
        </is>
      </c>
      <c r="B700" t="inlineStr">
        <is>
          <t>avverkningsanmälan</t>
        </is>
      </c>
      <c r="C700" t="inlineStr">
        <is>
          <t>Föryngringsavverkning</t>
        </is>
      </c>
      <c r="D700" s="1" t="n">
        <v>45673</v>
      </c>
      <c r="E700" s="1" t="n">
        <v>46307</v>
      </c>
      <c r="F700" t="inlineStr">
        <is>
          <t>VÄRMLANDS LÄN</t>
        </is>
      </c>
      <c r="G700" t="inlineStr">
        <is>
          <t>SÄFFLE</t>
        </is>
      </c>
      <c r="I700" t="n">
        <v>1.2</v>
      </c>
      <c r="J700" t="n">
        <v>0</v>
      </c>
      <c r="K700" t="n">
        <v>0</v>
      </c>
      <c r="L700" t="n">
        <v>0</v>
      </c>
      <c r="M700" t="n">
        <v>0</v>
      </c>
      <c r="N700" t="n">
        <v>1</v>
      </c>
      <c r="O700" t="n">
        <v>0</v>
      </c>
      <c r="P700" t="n">
        <v>0</v>
      </c>
      <c r="Q700" t="n">
        <v>1</v>
      </c>
      <c r="R700" t="n">
        <v>1</v>
      </c>
      <c r="S700" t="n">
        <v>1</v>
      </c>
      <c r="T700" t="n">
        <v>1</v>
      </c>
      <c r="U700" t="n">
        <v>0</v>
      </c>
      <c r="V700" s="2" t="inlineStr">
        <is>
          <t>Ask</t>
        </is>
      </c>
      <c r="W700">
        <f>HYPERLINK("https://klasma.github.io/Logging_1785/artfynd/A 2342-2025 artfynd.xlsx", "A 2342-2025")</f>
        <v/>
      </c>
      <c r="X700">
        <f>HYPERLINK("https://klasma.github.io/Logging_1785/kartor/A 2342-2025 karta.png", "A 2342-2025")</f>
        <v/>
      </c>
      <c r="Y700">
        <f>HYPERLINK("https://klasma.github.io/Logging_1785/kartor_geotiff/A 2342-2025 georefererad karta.tif", "A 2342-2025")</f>
        <v/>
      </c>
      <c r="AA700">
        <f>HYPERLINK("https://klasma.github.io/Logging_1785/klagomål/A 2342-2025 FSC-klagomål.docx", "A 2342-2025")</f>
        <v/>
      </c>
      <c r="AB700">
        <f>HYPERLINK("https://klasma.github.io/Logging_1785/klagomålsmail/A 2342-2025 FSC-klagomål mail.docx", "A 2342-2025")</f>
        <v/>
      </c>
      <c r="AC700">
        <f>HYPERLINK("https://klasma.github.io/Logging_1785/tillsyn/A 2342-2025 tillsynsbegäran.docx", "A 2342-2025")</f>
        <v/>
      </c>
      <c r="AD700">
        <f>HYPERLINK("https://klasma.github.io/Logging_1785/tillsynsmail/A 2342-2025 tillsynsbegäran mail.docx", "A 2342-2025")</f>
        <v/>
      </c>
    </row>
    <row r="701" ht="15" customHeight="1">
      <c r="A701" t="inlineStr">
        <is>
          <t>A 56238-2025</t>
        </is>
      </c>
      <c r="B701" t="inlineStr">
        <is>
          <t>avverkningsanmälan</t>
        </is>
      </c>
      <c r="C701" t="inlineStr">
        <is>
          <t>Föryngringsavverkning</t>
        </is>
      </c>
      <c r="D701" s="1" t="n">
        <v>45974</v>
      </c>
      <c r="E701" s="1" t="n">
        <v>46307</v>
      </c>
      <c r="F701" t="inlineStr">
        <is>
          <t>VÄRMLANDS LÄN</t>
        </is>
      </c>
      <c r="G701" t="inlineStr">
        <is>
          <t>KARLSTAD</t>
        </is>
      </c>
      <c r="I701" t="n">
        <v>2.9</v>
      </c>
      <c r="J701" t="n">
        <v>0</v>
      </c>
      <c r="K701" t="n">
        <v>0</v>
      </c>
      <c r="L701" t="n">
        <v>0</v>
      </c>
      <c r="M701" t="n">
        <v>0</v>
      </c>
      <c r="N701" t="n">
        <v>1</v>
      </c>
      <c r="O701" t="n">
        <v>0</v>
      </c>
      <c r="P701" t="n">
        <v>0</v>
      </c>
      <c r="Q701" t="n">
        <v>1</v>
      </c>
      <c r="R701" t="n">
        <v>1</v>
      </c>
      <c r="S701" t="n">
        <v>1</v>
      </c>
      <c r="T701" t="n">
        <v>1</v>
      </c>
      <c r="U701" t="n">
        <v>0</v>
      </c>
      <c r="V701" s="2" t="inlineStr">
        <is>
          <t>Ask</t>
        </is>
      </c>
      <c r="W701">
        <f>HYPERLINK("https://klasma.github.io/Logging_1780/artfynd/A 56238-2025 artfynd.xlsx", "A 56238-2025")</f>
        <v/>
      </c>
      <c r="X701">
        <f>HYPERLINK("https://klasma.github.io/Logging_1780/kartor/A 56238-2025 karta.png", "A 56238-2025")</f>
        <v/>
      </c>
      <c r="Y701">
        <f>HYPERLINK("https://klasma.github.io/Logging_1780/kartor_geotiff/A 56238-2025 georefererad karta.tif", "A 56238-2025")</f>
        <v/>
      </c>
      <c r="AA701">
        <f>HYPERLINK("https://klasma.github.io/Logging_1780/klagomål/A 56238-2025 FSC-klagomål.docx", "A 56238-2025")</f>
        <v/>
      </c>
      <c r="AB701">
        <f>HYPERLINK("https://klasma.github.io/Logging_1780/klagomålsmail/A 56238-2025 FSC-klagomål mail.docx", "A 56238-2025")</f>
        <v/>
      </c>
      <c r="AC701">
        <f>HYPERLINK("https://klasma.github.io/Logging_1780/tillsyn/A 56238-2025 tillsynsbegäran.docx", "A 56238-2025")</f>
        <v/>
      </c>
      <c r="AD701">
        <f>HYPERLINK("https://klasma.github.io/Logging_1780/tillsynsmail/A 56238-2025 tillsynsbegäran mail.docx", "A 56238-2025")</f>
        <v/>
      </c>
    </row>
    <row r="702" ht="15" customHeight="1">
      <c r="A702" t="inlineStr">
        <is>
          <t>A 56241-2025</t>
        </is>
      </c>
      <c r="B702" t="inlineStr">
        <is>
          <t>avverkningsanmälan</t>
        </is>
      </c>
      <c r="C702" t="inlineStr">
        <is>
          <t>Föryngringsavverkning</t>
        </is>
      </c>
      <c r="D702" s="1" t="n">
        <v>45974</v>
      </c>
      <c r="E702" s="1" t="n">
        <v>46307</v>
      </c>
      <c r="F702" t="inlineStr">
        <is>
          <t>VÄRMLANDS LÄN</t>
        </is>
      </c>
      <c r="G702" t="inlineStr">
        <is>
          <t>KARLSTAD</t>
        </is>
      </c>
      <c r="I702" t="n">
        <v>0.6</v>
      </c>
      <c r="J702" t="n">
        <v>1</v>
      </c>
      <c r="K702" t="n">
        <v>0</v>
      </c>
      <c r="L702" t="n">
        <v>0</v>
      </c>
      <c r="M702" t="n">
        <v>0</v>
      </c>
      <c r="N702" t="n">
        <v>0</v>
      </c>
      <c r="O702" t="n">
        <v>0</v>
      </c>
      <c r="P702" t="n">
        <v>0</v>
      </c>
      <c r="Q702" t="n">
        <v>0</v>
      </c>
      <c r="R702" t="n">
        <v>0</v>
      </c>
      <c r="S702" t="n">
        <v>1</v>
      </c>
      <c r="T702" t="n">
        <v>1</v>
      </c>
      <c r="U702" t="n">
        <v>0</v>
      </c>
      <c r="V702" s="2" t="inlineStr">
        <is>
          <t>Fläcknycklar</t>
        </is>
      </c>
      <c r="W702">
        <f>HYPERLINK("https://klasma.github.io/Logging_1780/artfynd/A 56241-2025 artfynd.xlsx", "A 56241-2025")</f>
        <v/>
      </c>
      <c r="X702">
        <f>HYPERLINK("https://klasma.github.io/Logging_1780/kartor/A 56241-2025 karta.png", "A 56241-2025")</f>
        <v/>
      </c>
      <c r="Y702">
        <f>HYPERLINK("https://klasma.github.io/Logging_1780/kartor_geotiff/A 56241-2025 georefererad karta.tif", "A 56241-2025")</f>
        <v/>
      </c>
      <c r="AA702">
        <f>HYPERLINK("https://klasma.github.io/Logging_1780/klagomål/A 56241-2025 FSC-klagomål.docx", "A 56241-2025")</f>
        <v/>
      </c>
      <c r="AB702">
        <f>HYPERLINK("https://klasma.github.io/Logging_1780/klagomålsmail/A 56241-2025 FSC-klagomål mail.docx", "A 56241-2025")</f>
        <v/>
      </c>
      <c r="AC702">
        <f>HYPERLINK("https://klasma.github.io/Logging_1780/tillsyn/A 56241-2025 tillsynsbegäran.docx", "A 56241-2025")</f>
        <v/>
      </c>
      <c r="AD702">
        <f>HYPERLINK("https://klasma.github.io/Logging_1780/tillsynsmail/A 56241-2025 tillsynsbegäran mail.docx", "A 56241-2025")</f>
        <v/>
      </c>
    </row>
    <row r="703" ht="15" customHeight="1">
      <c r="A703" t="inlineStr">
        <is>
          <t>A 56522-2025</t>
        </is>
      </c>
      <c r="B703" t="inlineStr">
        <is>
          <t>avverkningsanmälan</t>
        </is>
      </c>
      <c r="C703" t="inlineStr">
        <is>
          <t>Föryngringsavverkning</t>
        </is>
      </c>
      <c r="D703" s="1" t="n">
        <v>45974</v>
      </c>
      <c r="E703" s="1" t="n">
        <v>46307</v>
      </c>
      <c r="F703" t="inlineStr">
        <is>
          <t>VÄRMLANDS LÄN</t>
        </is>
      </c>
      <c r="G703" t="inlineStr">
        <is>
          <t>SUNNE</t>
        </is>
      </c>
      <c r="I703" t="n">
        <v>2</v>
      </c>
      <c r="J703" t="n">
        <v>0</v>
      </c>
      <c r="K703" t="n">
        <v>0</v>
      </c>
      <c r="L703" t="n">
        <v>1</v>
      </c>
      <c r="M703" t="n">
        <v>0</v>
      </c>
      <c r="N703" t="n">
        <v>0</v>
      </c>
      <c r="O703" t="n">
        <v>0</v>
      </c>
      <c r="P703" t="n">
        <v>0</v>
      </c>
      <c r="Q703" t="n">
        <v>1</v>
      </c>
      <c r="R703" t="n">
        <v>0</v>
      </c>
      <c r="S703" t="n">
        <v>1</v>
      </c>
      <c r="T703" t="n">
        <v>1</v>
      </c>
      <c r="U703" t="n">
        <v>0</v>
      </c>
      <c r="V703" s="2" t="inlineStr">
        <is>
          <t>Bandad skulderbock</t>
        </is>
      </c>
      <c r="W703">
        <f>HYPERLINK("https://klasma.github.io/Logging_1766/artfynd/A 56522-2025 artfynd.xlsx", "A 56522-2025")</f>
        <v/>
      </c>
      <c r="X703">
        <f>HYPERLINK("https://klasma.github.io/Logging_1766/kartor/A 56522-2025 karta.png", "A 56522-2025")</f>
        <v/>
      </c>
      <c r="Y703">
        <f>HYPERLINK("https://klasma.github.io/Logging_1766/kartor_geotiff/A 56522-2025 georefererad karta.tif", "A 56522-2025")</f>
        <v/>
      </c>
      <c r="AA703">
        <f>HYPERLINK("https://klasma.github.io/Logging_1766/klagomål/A 56522-2025 FSC-klagomål.docx", "A 56522-2025")</f>
        <v/>
      </c>
      <c r="AB703">
        <f>HYPERLINK("https://klasma.github.io/Logging_1766/klagomålsmail/A 56522-2025 FSC-klagomål mail.docx", "A 56522-2025")</f>
        <v/>
      </c>
      <c r="AC703">
        <f>HYPERLINK("https://klasma.github.io/Logging_1766/tillsyn/A 56522-2025 tillsynsbegäran.docx", "A 56522-2025")</f>
        <v/>
      </c>
      <c r="AD703">
        <f>HYPERLINK("https://klasma.github.io/Logging_1766/tillsynsmail/A 56522-2025 tillsynsbegäran mail.docx", "A 56522-2025")</f>
        <v/>
      </c>
    </row>
    <row r="704" ht="15" customHeight="1">
      <c r="A704" t="inlineStr">
        <is>
          <t>A 58382-2024</t>
        </is>
      </c>
      <c r="B704" t="inlineStr">
        <is>
          <t>avverkningsanmälan</t>
        </is>
      </c>
      <c r="C704" t="inlineStr">
        <is>
          <t>Föryngringsavverkning</t>
        </is>
      </c>
      <c r="D704" s="1" t="n">
        <v>45632</v>
      </c>
      <c r="E704" s="1" t="n">
        <v>46307</v>
      </c>
      <c r="F704" t="inlineStr">
        <is>
          <t>VÄRMLANDS LÄN</t>
        </is>
      </c>
      <c r="G704" t="inlineStr">
        <is>
          <t>HAMMARÖ</t>
        </is>
      </c>
      <c r="I704" t="n">
        <v>1.6</v>
      </c>
      <c r="J704" t="n">
        <v>1</v>
      </c>
      <c r="K704" t="n">
        <v>0</v>
      </c>
      <c r="L704" t="n">
        <v>0</v>
      </c>
      <c r="M704" t="n">
        <v>1</v>
      </c>
      <c r="N704" t="n">
        <v>0</v>
      </c>
      <c r="O704" t="n">
        <v>0</v>
      </c>
      <c r="P704" t="n">
        <v>0</v>
      </c>
      <c r="Q704" t="n">
        <v>1</v>
      </c>
      <c r="R704" t="n">
        <v>1</v>
      </c>
      <c r="S704" t="n">
        <v>1</v>
      </c>
      <c r="T704" t="n">
        <v>6</v>
      </c>
      <c r="U704" t="n">
        <v>6</v>
      </c>
      <c r="V704" s="2" t="inlineStr">
        <is>
          <t>Knärot</t>
        </is>
      </c>
      <c r="W704">
        <f>HYPERLINK("https://klasma.github.io/Logging_1761/artfynd/A 58382-2024 artfynd.xlsx", "A 58382-2024")</f>
        <v/>
      </c>
      <c r="X704">
        <f>HYPERLINK("https://klasma.github.io/Logging_1761/kartor/A 58382-2024 karta.png", "A 58382-2024")</f>
        <v/>
      </c>
      <c r="Y704">
        <f>HYPERLINK("https://klasma.github.io/Logging_1761/kartor_geotiff/A 58382-2024 georefererad karta.tif", "A 58382-2024")</f>
        <v/>
      </c>
      <c r="Z704">
        <f>HYPERLINK("https://klasma.github.io/Logging_1761/knärot/A 58382-2024 karta knärot.png", "A 58382-2024")</f>
        <v/>
      </c>
      <c r="AA704">
        <f>HYPERLINK("https://klasma.github.io/Logging_1761/klagomål/A 58382-2024 FSC-klagomål.docx", "A 58382-2024")</f>
        <v/>
      </c>
      <c r="AB704">
        <f>HYPERLINK("https://klasma.github.io/Logging_1761/klagomålsmail/A 58382-2024 FSC-klagomål mail.docx", "A 58382-2024")</f>
        <v/>
      </c>
      <c r="AC704">
        <f>HYPERLINK("https://klasma.github.io/Logging_1761/tillsyn/A 58382-2024 tillsynsbegäran.docx", "A 58382-2024")</f>
        <v/>
      </c>
      <c r="AD704">
        <f>HYPERLINK("https://klasma.github.io/Logging_1761/tillsynsmail/A 58382-2024 tillsynsbegäran mail.docx", "A 58382-2024")</f>
        <v/>
      </c>
    </row>
    <row r="705" ht="15" customHeight="1">
      <c r="A705" t="inlineStr">
        <is>
          <t>A 8909-2025</t>
        </is>
      </c>
      <c r="B705" t="inlineStr">
        <is>
          <t>avverkningsanmälan</t>
        </is>
      </c>
      <c r="C705" t="inlineStr">
        <is>
          <t>Föryngringsavverkning</t>
        </is>
      </c>
      <c r="D705" s="1" t="n">
        <v>45713</v>
      </c>
      <c r="E705" s="1" t="n">
        <v>46307</v>
      </c>
      <c r="F705" t="inlineStr">
        <is>
          <t>VÄRMLANDS LÄN</t>
        </is>
      </c>
      <c r="G705" t="inlineStr">
        <is>
          <t>KIL</t>
        </is>
      </c>
      <c r="I705" t="n">
        <v>22.6</v>
      </c>
      <c r="J705" t="n">
        <v>0</v>
      </c>
      <c r="K705" t="n">
        <v>0</v>
      </c>
      <c r="L705" t="n">
        <v>1</v>
      </c>
      <c r="M705" t="n">
        <v>0</v>
      </c>
      <c r="N705" t="n">
        <v>0</v>
      </c>
      <c r="O705" t="n">
        <v>0</v>
      </c>
      <c r="P705" t="n">
        <v>0</v>
      </c>
      <c r="Q705" t="n">
        <v>1</v>
      </c>
      <c r="R705" t="n">
        <v>0</v>
      </c>
      <c r="S705" t="n">
        <v>1</v>
      </c>
      <c r="T705" t="n">
        <v>3</v>
      </c>
      <c r="U705" t="n">
        <v>0</v>
      </c>
      <c r="V705" s="2" t="inlineStr">
        <is>
          <t>Desmeknopp</t>
        </is>
      </c>
      <c r="W705">
        <f>HYPERLINK("https://klasma.github.io/Logging_1715/artfynd/A 8909-2025 artfynd.xlsx", "A 8909-2025")</f>
        <v/>
      </c>
      <c r="X705">
        <f>HYPERLINK("https://klasma.github.io/Logging_1715/kartor/A 8909-2025 karta.png", "A 8909-2025")</f>
        <v/>
      </c>
      <c r="Y705">
        <f>HYPERLINK("https://klasma.github.io/Logging_1715/kartor_geotiff/A 8909-2025 georefererad karta.tif", "A 8909-2025")</f>
        <v/>
      </c>
      <c r="AA705">
        <f>HYPERLINK("https://klasma.github.io/Logging_1715/klagomål/A 8909-2025 FSC-klagomål.docx", "A 8909-2025")</f>
        <v/>
      </c>
      <c r="AB705">
        <f>HYPERLINK("https://klasma.github.io/Logging_1715/klagomålsmail/A 8909-2025 FSC-klagomål mail.docx", "A 8909-2025")</f>
        <v/>
      </c>
      <c r="AC705">
        <f>HYPERLINK("https://klasma.github.io/Logging_1715/tillsyn/A 8909-2025 tillsynsbegäran.docx", "A 8909-2025")</f>
        <v/>
      </c>
      <c r="AD705">
        <f>HYPERLINK("https://klasma.github.io/Logging_1715/tillsynsmail/A 8909-2025 tillsynsbegäran mail.docx", "A 8909-2025")</f>
        <v/>
      </c>
    </row>
    <row r="706" ht="15" customHeight="1">
      <c r="A706" t="inlineStr">
        <is>
          <t>A 27223-2022</t>
        </is>
      </c>
      <c r="B706" t="inlineStr">
        <is>
          <t>avverkningsanmälan</t>
        </is>
      </c>
      <c r="C706" t="inlineStr">
        <is>
          <t>Föryngringsavverkning</t>
        </is>
      </c>
      <c r="D706" s="1" t="n">
        <v>44741</v>
      </c>
      <c r="E706" s="1" t="n">
        <v>46307</v>
      </c>
      <c r="F706" t="inlineStr">
        <is>
          <t>VÄRMLANDS LÄN</t>
        </is>
      </c>
      <c r="G706" t="inlineStr">
        <is>
          <t>TORSBY</t>
        </is>
      </c>
      <c r="H706" t="inlineStr">
        <is>
          <t>Bergvik skog väst AB</t>
        </is>
      </c>
      <c r="I706" t="n">
        <v>8.300000000000001</v>
      </c>
      <c r="J706" t="n">
        <v>0</v>
      </c>
      <c r="K706" t="n">
        <v>0</v>
      </c>
      <c r="L706" t="n">
        <v>1</v>
      </c>
      <c r="M706" t="n">
        <v>0</v>
      </c>
      <c r="N706" t="n">
        <v>0</v>
      </c>
      <c r="O706" t="n">
        <v>0</v>
      </c>
      <c r="P706" t="n">
        <v>0</v>
      </c>
      <c r="Q706" t="n">
        <v>1</v>
      </c>
      <c r="R706" t="n">
        <v>0</v>
      </c>
      <c r="S706" t="n">
        <v>1</v>
      </c>
      <c r="T706" t="n">
        <v>2</v>
      </c>
      <c r="U706" t="n">
        <v>0</v>
      </c>
      <c r="V706" s="2" t="inlineStr">
        <is>
          <t>Violettgrå tagellav</t>
        </is>
      </c>
      <c r="W706">
        <f>HYPERLINK("https://klasma.github.io/Logging_1737/artfynd/A 27223-2022 artfynd.xlsx", "A 27223-2022")</f>
        <v/>
      </c>
      <c r="X706">
        <f>HYPERLINK("https://klasma.github.io/Logging_1737/kartor/A 27223-2022 karta.png", "A 27223-2022")</f>
        <v/>
      </c>
      <c r="Y706">
        <f>HYPERLINK("https://klasma.github.io/Logging_1737/kartor_geotiff/A 27223-2022 georefererad karta.tif", "A 27223-2022")</f>
        <v/>
      </c>
      <c r="AA706">
        <f>HYPERLINK("https://klasma.github.io/Logging_1737/klagomål/A 27223-2022 FSC-klagomål.docx", "A 27223-2022")</f>
        <v/>
      </c>
      <c r="AB706">
        <f>HYPERLINK("https://klasma.github.io/Logging_1737/klagomålsmail/A 27223-2022 FSC-klagomål mail.docx", "A 27223-2022")</f>
        <v/>
      </c>
      <c r="AC706">
        <f>HYPERLINK("https://klasma.github.io/Logging_1737/tillsyn/A 27223-2022 tillsynsbegäran.docx", "A 27223-2022")</f>
        <v/>
      </c>
      <c r="AD706">
        <f>HYPERLINK("https://klasma.github.io/Logging_1737/tillsynsmail/A 27223-2022 tillsynsbegäran mail.docx", "A 27223-2022")</f>
        <v/>
      </c>
    </row>
    <row r="707" ht="15" customHeight="1">
      <c r="A707" t="inlineStr">
        <is>
          <t>A 47077-2023</t>
        </is>
      </c>
      <c r="B707" t="inlineStr">
        <is>
          <t>avverkningsanmälan</t>
        </is>
      </c>
      <c r="C707" t="inlineStr">
        <is>
          <t>Föryngringsavverkning</t>
        </is>
      </c>
      <c r="D707" s="1" t="n">
        <v>45201</v>
      </c>
      <c r="E707" s="1" t="n">
        <v>46307</v>
      </c>
      <c r="F707" t="inlineStr">
        <is>
          <t>VÄRMLANDS LÄN</t>
        </is>
      </c>
      <c r="G707" t="inlineStr">
        <is>
          <t>TORSBY</t>
        </is>
      </c>
      <c r="I707" t="n">
        <v>2.1</v>
      </c>
      <c r="J707" t="n">
        <v>0</v>
      </c>
      <c r="K707" t="n">
        <v>0</v>
      </c>
      <c r="L707" t="n">
        <v>1</v>
      </c>
      <c r="M707" t="n">
        <v>0</v>
      </c>
      <c r="N707" t="n">
        <v>0</v>
      </c>
      <c r="O707" t="n">
        <v>0</v>
      </c>
      <c r="P707" t="n">
        <v>0</v>
      </c>
      <c r="Q707" t="n">
        <v>1</v>
      </c>
      <c r="R707" t="n">
        <v>0</v>
      </c>
      <c r="S707" t="n">
        <v>1</v>
      </c>
      <c r="T707" t="n">
        <v>1</v>
      </c>
      <c r="U707" t="n">
        <v>0</v>
      </c>
      <c r="V707" s="2" t="inlineStr">
        <is>
          <t>Slåtterfibbla</t>
        </is>
      </c>
      <c r="W707">
        <f>HYPERLINK("https://klasma.github.io/Logging_1737/artfynd/A 47077-2023 artfynd.xlsx", "A 47077-2023")</f>
        <v/>
      </c>
      <c r="X707">
        <f>HYPERLINK("https://klasma.github.io/Logging_1737/kartor/A 47077-2023 karta.png", "A 47077-2023")</f>
        <v/>
      </c>
      <c r="Y707">
        <f>HYPERLINK("https://klasma.github.io/Logging_1737/kartor_geotiff/A 47077-2023 georefererad karta.tif", "A 47077-2023")</f>
        <v/>
      </c>
      <c r="AA707">
        <f>HYPERLINK("https://klasma.github.io/Logging_1737/klagomål/A 47077-2023 FSC-klagomål.docx", "A 47077-2023")</f>
        <v/>
      </c>
      <c r="AB707">
        <f>HYPERLINK("https://klasma.github.io/Logging_1737/klagomålsmail/A 47077-2023 FSC-klagomål mail.docx", "A 47077-2023")</f>
        <v/>
      </c>
      <c r="AC707">
        <f>HYPERLINK("https://klasma.github.io/Logging_1737/tillsyn/A 47077-2023 tillsynsbegäran.docx", "A 47077-2023")</f>
        <v/>
      </c>
      <c r="AD707">
        <f>HYPERLINK("https://klasma.github.io/Logging_1737/tillsynsmail/A 47077-2023 tillsynsbegäran mail.docx", "A 47077-2023")</f>
        <v/>
      </c>
    </row>
    <row r="708" ht="15" customHeight="1">
      <c r="A708" t="inlineStr">
        <is>
          <t>A 12320-2024</t>
        </is>
      </c>
      <c r="B708" t="inlineStr">
        <is>
          <t>avverkningsanmälan</t>
        </is>
      </c>
      <c r="C708" t="inlineStr">
        <is>
          <t>Avverkning för att bevara och utveckla /försöksver</t>
        </is>
      </c>
      <c r="D708" s="1" t="n">
        <v>45378</v>
      </c>
      <c r="E708" s="1" t="n">
        <v>46307</v>
      </c>
      <c r="F708" t="inlineStr">
        <is>
          <t>VÄRMLANDS LÄN</t>
        </is>
      </c>
      <c r="G708" t="inlineStr">
        <is>
          <t>FORSHAGA</t>
        </is>
      </c>
      <c r="H708" t="inlineStr">
        <is>
          <t>Bergvik skog väst AB</t>
        </is>
      </c>
      <c r="I708" t="n">
        <v>0.9</v>
      </c>
      <c r="J708" t="n">
        <v>1</v>
      </c>
      <c r="K708" t="n">
        <v>0</v>
      </c>
      <c r="L708" t="n">
        <v>0</v>
      </c>
      <c r="M708" t="n">
        <v>0</v>
      </c>
      <c r="N708" t="n">
        <v>0</v>
      </c>
      <c r="O708" t="n">
        <v>0</v>
      </c>
      <c r="P708" t="n">
        <v>0</v>
      </c>
      <c r="Q708" t="n">
        <v>0</v>
      </c>
      <c r="R708" t="n">
        <v>0</v>
      </c>
      <c r="S708" t="n">
        <v>1</v>
      </c>
      <c r="T708" t="n">
        <v>1</v>
      </c>
      <c r="U708" t="n">
        <v>1</v>
      </c>
      <c r="V708" s="2" t="inlineStr">
        <is>
          <t>Tofsmes</t>
        </is>
      </c>
      <c r="W708">
        <f>HYPERLINK("https://klasma.github.io/Logging_1763/artfynd/A 12320-2024 artfynd.xlsx", "A 12320-2024")</f>
        <v/>
      </c>
      <c r="X708">
        <f>HYPERLINK("https://klasma.github.io/Logging_1763/kartor/A 12320-2024 karta.png", "A 12320-2024")</f>
        <v/>
      </c>
      <c r="Y708">
        <f>HYPERLINK("https://klasma.github.io/Logging_1763/kartor_geotiff/A 12320-2024 georefererad karta.tif", "A 12320-2024")</f>
        <v/>
      </c>
      <c r="AA708">
        <f>HYPERLINK("https://klasma.github.io/Logging_1763/klagomål/A 12320-2024 FSC-klagomål.docx", "A 12320-2024")</f>
        <v/>
      </c>
      <c r="AB708">
        <f>HYPERLINK("https://klasma.github.io/Logging_1763/klagomålsmail/A 12320-2024 FSC-klagomål mail.docx", "A 12320-2024")</f>
        <v/>
      </c>
      <c r="AC708">
        <f>HYPERLINK("https://klasma.github.io/Logging_1763/tillsyn/A 12320-2024 tillsynsbegäran.docx", "A 12320-2024")</f>
        <v/>
      </c>
      <c r="AD708">
        <f>HYPERLINK("https://klasma.github.io/Logging_1763/tillsynsmail/A 12320-2024 tillsynsbegäran mail.docx", "A 12320-2024")</f>
        <v/>
      </c>
    </row>
    <row r="709" ht="15" customHeight="1">
      <c r="A709" t="inlineStr">
        <is>
          <t>A 538-2024</t>
        </is>
      </c>
      <c r="B709" t="inlineStr">
        <is>
          <t>avverkningsanmälan</t>
        </is>
      </c>
      <c r="C709" t="inlineStr">
        <is>
          <t>Föryngringsavverkning</t>
        </is>
      </c>
      <c r="D709" s="1" t="n">
        <v>45299</v>
      </c>
      <c r="E709" s="1" t="n">
        <v>46307</v>
      </c>
      <c r="F709" t="inlineStr">
        <is>
          <t>VÄRMLANDS LÄN</t>
        </is>
      </c>
      <c r="G709" t="inlineStr">
        <is>
          <t>SUNNE</t>
        </is>
      </c>
      <c r="I709" t="n">
        <v>3.1</v>
      </c>
      <c r="J709" t="n">
        <v>0</v>
      </c>
      <c r="K709" t="n">
        <v>0</v>
      </c>
      <c r="L709" t="n">
        <v>0</v>
      </c>
      <c r="M709" t="n">
        <v>1</v>
      </c>
      <c r="N709" t="n">
        <v>0</v>
      </c>
      <c r="O709" t="n">
        <v>0</v>
      </c>
      <c r="P709" t="n">
        <v>0</v>
      </c>
      <c r="Q709" t="n">
        <v>1</v>
      </c>
      <c r="R709" t="n">
        <v>1</v>
      </c>
      <c r="S709" t="n">
        <v>1</v>
      </c>
      <c r="T709" t="n">
        <v>3</v>
      </c>
      <c r="U709" t="n">
        <v>0</v>
      </c>
      <c r="V709" s="2" t="inlineStr">
        <is>
          <t>Garnlav</t>
        </is>
      </c>
      <c r="W709">
        <f>HYPERLINK("https://klasma.github.io/Logging_1766/artfynd/A 538-2024 artfynd.xlsx", "A 538-2024")</f>
        <v/>
      </c>
      <c r="X709">
        <f>HYPERLINK("https://klasma.github.io/Logging_1766/kartor/A 538-2024 karta.png", "A 538-2024")</f>
        <v/>
      </c>
      <c r="Y709">
        <f>HYPERLINK("https://klasma.github.io/Logging_1766/kartor_geotiff/A 538-2024 georefererad karta.tif", "A 538-2024")</f>
        <v/>
      </c>
      <c r="AA709">
        <f>HYPERLINK("https://klasma.github.io/Logging_1766/klagomål/A 538-2024 FSC-klagomål.docx", "A 538-2024")</f>
        <v/>
      </c>
      <c r="AB709">
        <f>HYPERLINK("https://klasma.github.io/Logging_1766/klagomålsmail/A 538-2024 FSC-klagomål mail.docx", "A 538-2024")</f>
        <v/>
      </c>
      <c r="AC709">
        <f>HYPERLINK("https://klasma.github.io/Logging_1766/tillsyn/A 538-2024 tillsynsbegäran.docx", "A 538-2024")</f>
        <v/>
      </c>
      <c r="AD709">
        <f>HYPERLINK("https://klasma.github.io/Logging_1766/tillsynsmail/A 538-2024 tillsynsbegäran mail.docx", "A 538-2024")</f>
        <v/>
      </c>
    </row>
    <row r="710" ht="15" customHeight="1">
      <c r="A710" t="inlineStr">
        <is>
          <t>A 35767-2025</t>
        </is>
      </c>
      <c r="B710" t="inlineStr">
        <is>
          <t>avverkningsanmälan</t>
        </is>
      </c>
      <c r="C710" t="inlineStr">
        <is>
          <t>Föryngringsavverkning</t>
        </is>
      </c>
      <c r="D710" s="1" t="n">
        <v>45860</v>
      </c>
      <c r="E710" s="1" t="n">
        <v>46307</v>
      </c>
      <c r="F710" t="inlineStr">
        <is>
          <t>VÄRMLANDS LÄN</t>
        </is>
      </c>
      <c r="G710" t="inlineStr">
        <is>
          <t>SUNNE</t>
        </is>
      </c>
      <c r="I710" t="n">
        <v>1.5</v>
      </c>
      <c r="J710" t="n">
        <v>1</v>
      </c>
      <c r="K710" t="n">
        <v>0</v>
      </c>
      <c r="L710" t="n">
        <v>0</v>
      </c>
      <c r="M710" t="n">
        <v>0</v>
      </c>
      <c r="N710" t="n">
        <v>0</v>
      </c>
      <c r="O710" t="n">
        <v>0</v>
      </c>
      <c r="P710" t="n">
        <v>0</v>
      </c>
      <c r="Q710" t="n">
        <v>0</v>
      </c>
      <c r="R710" t="n">
        <v>0</v>
      </c>
      <c r="S710" t="n">
        <v>1</v>
      </c>
      <c r="T710" t="n">
        <v>2</v>
      </c>
      <c r="U710" t="n">
        <v>2</v>
      </c>
      <c r="V710" s="2" t="inlineStr">
        <is>
          <t>Fläcknycklar</t>
        </is>
      </c>
      <c r="W710">
        <f>HYPERLINK("https://klasma.github.io/Logging_1766/artfynd/A 35767-2025 artfynd.xlsx", "A 35767-2025")</f>
        <v/>
      </c>
      <c r="X710">
        <f>HYPERLINK("https://klasma.github.io/Logging_1766/kartor/A 35767-2025 karta.png", "A 35767-2025")</f>
        <v/>
      </c>
      <c r="Y710">
        <f>HYPERLINK("https://klasma.github.io/Logging_1766/kartor_geotiff/A 35767-2025 georefererad karta.tif", "A 35767-2025")</f>
        <v/>
      </c>
      <c r="AA710">
        <f>HYPERLINK("https://klasma.github.io/Logging_1766/klagomål/A 35767-2025 FSC-klagomål.docx", "A 35767-2025")</f>
        <v/>
      </c>
      <c r="AB710">
        <f>HYPERLINK("https://klasma.github.io/Logging_1766/klagomålsmail/A 35767-2025 FSC-klagomål mail.docx", "A 35767-2025")</f>
        <v/>
      </c>
      <c r="AC710">
        <f>HYPERLINK("https://klasma.github.io/Logging_1766/tillsyn/A 35767-2025 tillsynsbegäran.docx", "A 35767-2025")</f>
        <v/>
      </c>
      <c r="AD710">
        <f>HYPERLINK("https://klasma.github.io/Logging_1766/tillsynsmail/A 35767-2025 tillsynsbegäran mail.docx", "A 35767-2025")</f>
        <v/>
      </c>
    </row>
    <row r="711" ht="15" customHeight="1">
      <c r="A711" t="inlineStr">
        <is>
          <t>A 21516-2022</t>
        </is>
      </c>
      <c r="B711" t="inlineStr">
        <is>
          <t>avverkningsanmälan</t>
        </is>
      </c>
      <c r="C711" t="inlineStr">
        <is>
          <t>Avverkning för annat ändamål</t>
        </is>
      </c>
      <c r="D711" s="1" t="n">
        <v>44706</v>
      </c>
      <c r="E711" s="1" t="n">
        <v>46307</v>
      </c>
      <c r="F711" t="inlineStr">
        <is>
          <t>VÄRMLANDS LÄN</t>
        </is>
      </c>
      <c r="G711" t="inlineStr">
        <is>
          <t>TORSBY</t>
        </is>
      </c>
      <c r="I711" t="n">
        <v>2.2</v>
      </c>
      <c r="J711" t="n">
        <v>0</v>
      </c>
      <c r="K711" t="n">
        <v>1</v>
      </c>
      <c r="L711" t="n">
        <v>0</v>
      </c>
      <c r="M711" t="n">
        <v>0</v>
      </c>
      <c r="N711" t="n">
        <v>0</v>
      </c>
      <c r="O711" t="n">
        <v>0</v>
      </c>
      <c r="P711" t="n">
        <v>0</v>
      </c>
      <c r="Q711" t="n">
        <v>0</v>
      </c>
      <c r="R711" t="n">
        <v>0</v>
      </c>
      <c r="S711" t="n">
        <v>1</v>
      </c>
      <c r="T711" t="n">
        <v>1</v>
      </c>
      <c r="U711" t="n">
        <v>1</v>
      </c>
      <c r="V711" s="2" t="inlineStr">
        <is>
          <t>Vedticka</t>
        </is>
      </c>
      <c r="W711">
        <f>HYPERLINK("https://klasma.github.io/Logging_1737/artfynd/A 21516-2022 artfynd.xlsx", "A 21516-2022")</f>
        <v/>
      </c>
      <c r="X711">
        <f>HYPERLINK("https://klasma.github.io/Logging_1737/kartor/A 21516-2022 karta.png", "A 21516-2022")</f>
        <v/>
      </c>
      <c r="Y711">
        <f>HYPERLINK("https://klasma.github.io/Logging_1737/kartor_geotiff/A 21516-2022 georefererad karta.tif", "A 21516-2022")</f>
        <v/>
      </c>
      <c r="AA711">
        <f>HYPERLINK("https://klasma.github.io/Logging_1737/klagomål/A 21516-2022 FSC-klagomål.docx", "A 21516-2022")</f>
        <v/>
      </c>
      <c r="AB711">
        <f>HYPERLINK("https://klasma.github.io/Logging_1737/klagomålsmail/A 21516-2022 FSC-klagomål mail.docx", "A 21516-2022")</f>
        <v/>
      </c>
      <c r="AC711">
        <f>HYPERLINK("https://klasma.github.io/Logging_1737/tillsyn/A 21516-2022 tillsynsbegäran.docx", "A 21516-2022")</f>
        <v/>
      </c>
      <c r="AD711">
        <f>HYPERLINK("https://klasma.github.io/Logging_1737/tillsynsmail/A 21516-2022 tillsynsbegäran mail.docx", "A 21516-2022")</f>
        <v/>
      </c>
    </row>
    <row r="712" ht="15" customHeight="1">
      <c r="A712" t="inlineStr">
        <is>
          <t>A 15548-2023</t>
        </is>
      </c>
      <c r="B712" t="inlineStr">
        <is>
          <t>avverkningsanmälan</t>
        </is>
      </c>
      <c r="C712" t="inlineStr">
        <is>
          <t>Föryngringsavverkning</t>
        </is>
      </c>
      <c r="D712" s="1" t="n">
        <v>45020</v>
      </c>
      <c r="E712" s="1" t="n">
        <v>46307</v>
      </c>
      <c r="F712" t="inlineStr">
        <is>
          <t>VÄRMLANDS LÄN</t>
        </is>
      </c>
      <c r="G712" t="inlineStr">
        <is>
          <t>TORSBY</t>
        </is>
      </c>
      <c r="I712" t="n">
        <v>0.6</v>
      </c>
      <c r="J712" t="n">
        <v>1</v>
      </c>
      <c r="K712" t="n">
        <v>0</v>
      </c>
      <c r="L712" t="n">
        <v>0</v>
      </c>
      <c r="M712" t="n">
        <v>0</v>
      </c>
      <c r="N712" t="n">
        <v>0</v>
      </c>
      <c r="O712" t="n">
        <v>0</v>
      </c>
      <c r="P712" t="n">
        <v>0</v>
      </c>
      <c r="Q712" t="n">
        <v>0</v>
      </c>
      <c r="R712" t="n">
        <v>0</v>
      </c>
      <c r="S712" t="n">
        <v>1</v>
      </c>
      <c r="T712" t="n">
        <v>1</v>
      </c>
      <c r="U712" t="n">
        <v>0</v>
      </c>
      <c r="V712" s="2" t="inlineStr">
        <is>
          <t>Spillkråka</t>
        </is>
      </c>
      <c r="W712">
        <f>HYPERLINK("https://klasma.github.io/Logging_1737/artfynd/A 15548-2023 artfynd.xlsx", "A 15548-2023")</f>
        <v/>
      </c>
      <c r="X712">
        <f>HYPERLINK("https://klasma.github.io/Logging_1737/kartor/A 15548-2023 karta.png", "A 15548-2023")</f>
        <v/>
      </c>
      <c r="Y712">
        <f>HYPERLINK("https://klasma.github.io/Logging_1737/kartor_geotiff/A 15548-2023 georefererad karta.tif", "A 15548-2023")</f>
        <v/>
      </c>
      <c r="AA712">
        <f>HYPERLINK("https://klasma.github.io/Logging_1737/klagomål/A 15548-2023 FSC-klagomål.docx", "A 15548-2023")</f>
        <v/>
      </c>
      <c r="AB712">
        <f>HYPERLINK("https://klasma.github.io/Logging_1737/klagomålsmail/A 15548-2023 FSC-klagomål mail.docx", "A 15548-2023")</f>
        <v/>
      </c>
      <c r="AC712">
        <f>HYPERLINK("https://klasma.github.io/Logging_1737/tillsyn/A 15548-2023 tillsynsbegäran.docx", "A 15548-2023")</f>
        <v/>
      </c>
      <c r="AD712">
        <f>HYPERLINK("https://klasma.github.io/Logging_1737/tillsynsmail/A 15548-2023 tillsynsbegäran mail.docx", "A 15548-2023")</f>
        <v/>
      </c>
      <c r="AE712">
        <f>HYPERLINK("https://klasma.github.io/Logging_1737/fåglar/A 15548-2023 prioriterade fågelarter.docx", "A 15548-2023")</f>
        <v/>
      </c>
    </row>
    <row r="713" ht="15" customHeight="1">
      <c r="A713" t="inlineStr">
        <is>
          <t>A 35334-2024</t>
        </is>
      </c>
      <c r="B713" t="inlineStr">
        <is>
          <t>avverkningsanmälan</t>
        </is>
      </c>
      <c r="C713" t="inlineStr">
        <is>
          <t>Föryngringsavverkning</t>
        </is>
      </c>
      <c r="D713" s="1" t="n">
        <v>45530</v>
      </c>
      <c r="E713" s="1" t="n">
        <v>46307</v>
      </c>
      <c r="F713" t="inlineStr">
        <is>
          <t>VÄRMLANDS LÄN</t>
        </is>
      </c>
      <c r="G713" t="inlineStr">
        <is>
          <t>FORSHAGA</t>
        </is>
      </c>
      <c r="H713" t="inlineStr">
        <is>
          <t>Kommuner</t>
        </is>
      </c>
      <c r="I713" t="n">
        <v>3.2</v>
      </c>
      <c r="J713" t="n">
        <v>1</v>
      </c>
      <c r="K713" t="n">
        <v>0</v>
      </c>
      <c r="L713" t="n">
        <v>0</v>
      </c>
      <c r="M713" t="n">
        <v>0</v>
      </c>
      <c r="N713" t="n">
        <v>0</v>
      </c>
      <c r="O713" t="n">
        <v>0</v>
      </c>
      <c r="P713" t="n">
        <v>0</v>
      </c>
      <c r="Q713" t="n">
        <v>0</v>
      </c>
      <c r="R713" t="n">
        <v>0</v>
      </c>
      <c r="S713" t="n">
        <v>1</v>
      </c>
      <c r="T713" t="n">
        <v>1</v>
      </c>
      <c r="U713" t="n">
        <v>0</v>
      </c>
      <c r="V713" s="2" t="inlineStr">
        <is>
          <t>Nattviol</t>
        </is>
      </c>
      <c r="W713">
        <f>HYPERLINK("https://klasma.github.io/Logging_1763/artfynd/A 35334-2024 artfynd.xlsx", "A 35334-2024")</f>
        <v/>
      </c>
      <c r="X713">
        <f>HYPERLINK("https://klasma.github.io/Logging_1763/kartor/A 35334-2024 karta.png", "A 35334-2024")</f>
        <v/>
      </c>
      <c r="Y713">
        <f>HYPERLINK("https://klasma.github.io/Logging_1763/kartor_geotiff/A 35334-2024 georefererad karta.tif", "A 35334-2024")</f>
        <v/>
      </c>
      <c r="AA713">
        <f>HYPERLINK("https://klasma.github.io/Logging_1763/klagomål/A 35334-2024 FSC-klagomål.docx", "A 35334-2024")</f>
        <v/>
      </c>
      <c r="AB713">
        <f>HYPERLINK("https://klasma.github.io/Logging_1763/klagomålsmail/A 35334-2024 FSC-klagomål mail.docx", "A 35334-2024")</f>
        <v/>
      </c>
      <c r="AC713">
        <f>HYPERLINK("https://klasma.github.io/Logging_1763/tillsyn/A 35334-2024 tillsynsbegäran.docx", "A 35334-2024")</f>
        <v/>
      </c>
      <c r="AD713">
        <f>HYPERLINK("https://klasma.github.io/Logging_1763/tillsynsmail/A 35334-2024 tillsynsbegäran mail.docx", "A 35334-2024")</f>
        <v/>
      </c>
    </row>
    <row r="714" ht="15" customHeight="1">
      <c r="A714" t="inlineStr">
        <is>
          <t>A 20119-2025</t>
        </is>
      </c>
      <c r="B714" t="inlineStr">
        <is>
          <t>avverkningsanmälan</t>
        </is>
      </c>
      <c r="C714" t="inlineStr">
        <is>
          <t>Föryngringsavverkning</t>
        </is>
      </c>
      <c r="D714" s="1" t="n">
        <v>45772</v>
      </c>
      <c r="E714" s="1" t="n">
        <v>46307</v>
      </c>
      <c r="F714" t="inlineStr">
        <is>
          <t>VÄRMLANDS LÄN</t>
        </is>
      </c>
      <c r="G714" t="inlineStr">
        <is>
          <t>HAGFORS</t>
        </is>
      </c>
      <c r="H714" t="inlineStr">
        <is>
          <t>Bergvik skog väst AB</t>
        </is>
      </c>
      <c r="I714" t="n">
        <v>4.1</v>
      </c>
      <c r="J714" t="n">
        <v>1</v>
      </c>
      <c r="K714" t="n">
        <v>0</v>
      </c>
      <c r="L714" t="n">
        <v>0</v>
      </c>
      <c r="M714" t="n">
        <v>0</v>
      </c>
      <c r="N714" t="n">
        <v>0</v>
      </c>
      <c r="O714" t="n">
        <v>0</v>
      </c>
      <c r="P714" t="n">
        <v>0</v>
      </c>
      <c r="Q714" t="n">
        <v>0</v>
      </c>
      <c r="R714" t="n">
        <v>0</v>
      </c>
      <c r="S714" t="n">
        <v>1</v>
      </c>
      <c r="T714" t="n">
        <v>1</v>
      </c>
      <c r="U714" t="n">
        <v>1</v>
      </c>
      <c r="V714" s="2" t="inlineStr">
        <is>
          <t>Tjäder</t>
        </is>
      </c>
      <c r="W714">
        <f>HYPERLINK("https://klasma.github.io/Logging_1783/artfynd/A 20119-2025 artfynd.xlsx", "A 20119-2025")</f>
        <v/>
      </c>
      <c r="X714">
        <f>HYPERLINK("https://klasma.github.io/Logging_1783/kartor/A 20119-2025 karta.png", "A 20119-2025")</f>
        <v/>
      </c>
      <c r="Y714">
        <f>HYPERLINK("https://klasma.github.io/Logging_1783/kartor_geotiff/A 20119-2025 georefererad karta.tif", "A 20119-2025")</f>
        <v/>
      </c>
      <c r="AA714">
        <f>HYPERLINK("https://klasma.github.io/Logging_1783/klagomål/A 20119-2025 FSC-klagomål.docx", "A 20119-2025")</f>
        <v/>
      </c>
      <c r="AB714">
        <f>HYPERLINK("https://klasma.github.io/Logging_1783/klagomålsmail/A 20119-2025 FSC-klagomål mail.docx", "A 20119-2025")</f>
        <v/>
      </c>
      <c r="AC714">
        <f>HYPERLINK("https://klasma.github.io/Logging_1783/tillsyn/A 20119-2025 tillsynsbegäran.docx", "A 20119-2025")</f>
        <v/>
      </c>
      <c r="AD714">
        <f>HYPERLINK("https://klasma.github.io/Logging_1783/tillsynsmail/A 20119-2025 tillsynsbegäran mail.docx", "A 20119-2025")</f>
        <v/>
      </c>
      <c r="AE714">
        <f>HYPERLINK("https://klasma.github.io/Logging_1783/fåglar/A 20119-2025 prioriterade fågelarter.docx", "A 20119-2025")</f>
        <v/>
      </c>
    </row>
    <row r="715" ht="15" customHeight="1">
      <c r="A715" t="inlineStr">
        <is>
          <t>A 25276-2025</t>
        </is>
      </c>
      <c r="B715" t="inlineStr">
        <is>
          <t>avverkningsanmälan</t>
        </is>
      </c>
      <c r="C715" t="inlineStr">
        <is>
          <t>Föryngringsavverkning</t>
        </is>
      </c>
      <c r="D715" s="1" t="n">
        <v>45800</v>
      </c>
      <c r="E715" s="1" t="n">
        <v>46307</v>
      </c>
      <c r="F715" t="inlineStr">
        <is>
          <t>VÄRMLANDS LÄN</t>
        </is>
      </c>
      <c r="G715" t="inlineStr">
        <is>
          <t>TORSBY</t>
        </is>
      </c>
      <c r="I715" t="n">
        <v>27.6</v>
      </c>
      <c r="J715" t="n">
        <v>0</v>
      </c>
      <c r="K715" t="n">
        <v>0</v>
      </c>
      <c r="L715" t="n">
        <v>1</v>
      </c>
      <c r="M715" t="n">
        <v>0</v>
      </c>
      <c r="N715" t="n">
        <v>0</v>
      </c>
      <c r="O715" t="n">
        <v>0</v>
      </c>
      <c r="P715" t="n">
        <v>0</v>
      </c>
      <c r="Q715" t="n">
        <v>1</v>
      </c>
      <c r="R715" t="n">
        <v>0</v>
      </c>
      <c r="S715" t="n">
        <v>1</v>
      </c>
      <c r="T715" t="n">
        <v>1</v>
      </c>
      <c r="U715" t="n">
        <v>0</v>
      </c>
      <c r="V715" s="2" t="inlineStr">
        <is>
          <t>Lunglav</t>
        </is>
      </c>
      <c r="W715">
        <f>HYPERLINK("https://klasma.github.io/Logging_1737/artfynd/A 25276-2025 artfynd.xlsx", "A 25276-2025")</f>
        <v/>
      </c>
      <c r="X715">
        <f>HYPERLINK("https://klasma.github.io/Logging_1737/kartor/A 25276-2025 karta.png", "A 25276-2025")</f>
        <v/>
      </c>
      <c r="Y715">
        <f>HYPERLINK("https://klasma.github.io/Logging_1737/kartor_geotiff/A 25276-2025 georefererad karta.tif", "A 25276-2025")</f>
        <v/>
      </c>
      <c r="AA715">
        <f>HYPERLINK("https://klasma.github.io/Logging_1737/klagomål/A 25276-2025 FSC-klagomål.docx", "A 25276-2025")</f>
        <v/>
      </c>
      <c r="AB715">
        <f>HYPERLINK("https://klasma.github.io/Logging_1737/klagomålsmail/A 25276-2025 FSC-klagomål mail.docx", "A 25276-2025")</f>
        <v/>
      </c>
      <c r="AC715">
        <f>HYPERLINK("https://klasma.github.io/Logging_1737/tillsyn/A 25276-2025 tillsynsbegäran.docx", "A 25276-2025")</f>
        <v/>
      </c>
      <c r="AD715">
        <f>HYPERLINK("https://klasma.github.io/Logging_1737/tillsynsmail/A 25276-2025 tillsynsbegäran mail.docx", "A 25276-2025")</f>
        <v/>
      </c>
    </row>
    <row r="716" ht="15" customHeight="1">
      <c r="A716" t="inlineStr">
        <is>
          <t>A 11933-2025</t>
        </is>
      </c>
      <c r="B716" t="inlineStr">
        <is>
          <t>avverkningsanmälan</t>
        </is>
      </c>
      <c r="C716" t="inlineStr">
        <is>
          <t>Föryngringsavverkning</t>
        </is>
      </c>
      <c r="D716" s="1" t="n">
        <v>45728</v>
      </c>
      <c r="E716" s="1" t="n">
        <v>46307</v>
      </c>
      <c r="F716" t="inlineStr">
        <is>
          <t>VÄRMLANDS LÄN</t>
        </is>
      </c>
      <c r="G716" t="inlineStr">
        <is>
          <t>SÄFFLE</t>
        </is>
      </c>
      <c r="I716" t="n">
        <v>1.9</v>
      </c>
      <c r="J716" t="n">
        <v>0</v>
      </c>
      <c r="K716" t="n">
        <v>0</v>
      </c>
      <c r="L716" t="n">
        <v>1</v>
      </c>
      <c r="M716" t="n">
        <v>0</v>
      </c>
      <c r="N716" t="n">
        <v>0</v>
      </c>
      <c r="O716" t="n">
        <v>0</v>
      </c>
      <c r="P716" t="n">
        <v>0</v>
      </c>
      <c r="Q716" t="n">
        <v>1</v>
      </c>
      <c r="R716" t="n">
        <v>0</v>
      </c>
      <c r="S716" t="n">
        <v>1</v>
      </c>
      <c r="T716" t="n">
        <v>6</v>
      </c>
      <c r="U716" t="n">
        <v>0</v>
      </c>
      <c r="V716" s="2" t="inlineStr">
        <is>
          <t>Skogsklocka</t>
        </is>
      </c>
      <c r="W716">
        <f>HYPERLINK("https://klasma.github.io/Logging_1785/artfynd/A 11933-2025 artfynd.xlsx", "A 11933-2025")</f>
        <v/>
      </c>
      <c r="X716">
        <f>HYPERLINK("https://klasma.github.io/Logging_1785/kartor/A 11933-2025 karta.png", "A 11933-2025")</f>
        <v/>
      </c>
      <c r="Y716">
        <f>HYPERLINK("https://klasma.github.io/Logging_1785/kartor_geotiff/A 11933-2025 georefererad karta.tif", "A 11933-2025")</f>
        <v/>
      </c>
      <c r="AA716">
        <f>HYPERLINK("https://klasma.github.io/Logging_1785/klagomål/A 11933-2025 FSC-klagomål.docx", "A 11933-2025")</f>
        <v/>
      </c>
      <c r="AB716">
        <f>HYPERLINK("https://klasma.github.io/Logging_1785/klagomålsmail/A 11933-2025 FSC-klagomål mail.docx", "A 11933-2025")</f>
        <v/>
      </c>
      <c r="AC716">
        <f>HYPERLINK("https://klasma.github.io/Logging_1785/tillsyn/A 11933-2025 tillsynsbegäran.docx", "A 11933-2025")</f>
        <v/>
      </c>
      <c r="AD716">
        <f>HYPERLINK("https://klasma.github.io/Logging_1785/tillsynsmail/A 11933-2025 tillsynsbegäran mail.docx", "A 11933-2025")</f>
        <v/>
      </c>
    </row>
    <row r="717" ht="15" customHeight="1">
      <c r="A717" t="inlineStr">
        <is>
          <t>A 33905-2025</t>
        </is>
      </c>
      <c r="B717" t="inlineStr">
        <is>
          <t>avverkningsanmälan</t>
        </is>
      </c>
      <c r="C717" t="inlineStr">
        <is>
          <t>Avverkning för att bevara och utveckla /försöksver</t>
        </is>
      </c>
      <c r="D717" s="1" t="n">
        <v>45842</v>
      </c>
      <c r="E717" s="1" t="n">
        <v>46307</v>
      </c>
      <c r="F717" t="inlineStr">
        <is>
          <t>VÄRMLANDS LÄN</t>
        </is>
      </c>
      <c r="G717" t="inlineStr">
        <is>
          <t>HAGFORS</t>
        </is>
      </c>
      <c r="H717" t="inlineStr">
        <is>
          <t>Bergvik skog väst AB</t>
        </is>
      </c>
      <c r="I717" t="n">
        <v>7.8</v>
      </c>
      <c r="J717" t="n">
        <v>1</v>
      </c>
      <c r="K717" t="n">
        <v>0</v>
      </c>
      <c r="L717" t="n">
        <v>0</v>
      </c>
      <c r="M717" t="n">
        <v>0</v>
      </c>
      <c r="N717" t="n">
        <v>0</v>
      </c>
      <c r="O717" t="n">
        <v>0</v>
      </c>
      <c r="P717" t="n">
        <v>0</v>
      </c>
      <c r="Q717" t="n">
        <v>0</v>
      </c>
      <c r="R717" t="n">
        <v>0</v>
      </c>
      <c r="S717" t="n">
        <v>1</v>
      </c>
      <c r="T717" t="n">
        <v>1</v>
      </c>
      <c r="U717" t="n">
        <v>0</v>
      </c>
      <c r="V717" s="2" t="inlineStr">
        <is>
          <t>Utter</t>
        </is>
      </c>
      <c r="W717">
        <f>HYPERLINK("https://klasma.github.io/Logging_1783/artfynd/A 33905-2025 artfynd.xlsx", "A 33905-2025")</f>
        <v/>
      </c>
      <c r="X717">
        <f>HYPERLINK("https://klasma.github.io/Logging_1783/kartor/A 33905-2025 karta.png", "A 33905-2025")</f>
        <v/>
      </c>
      <c r="Y717">
        <f>HYPERLINK("https://klasma.github.io/Logging_1783/kartor_geotiff/A 33905-2025 georefererad karta.tif", "A 33905-2025")</f>
        <v/>
      </c>
      <c r="AA717">
        <f>HYPERLINK("https://klasma.github.io/Logging_1783/klagomål/A 33905-2025 FSC-klagomål.docx", "A 33905-2025")</f>
        <v/>
      </c>
      <c r="AB717">
        <f>HYPERLINK("https://klasma.github.io/Logging_1783/klagomålsmail/A 33905-2025 FSC-klagomål mail.docx", "A 33905-2025")</f>
        <v/>
      </c>
      <c r="AC717">
        <f>HYPERLINK("https://klasma.github.io/Logging_1783/tillsyn/A 33905-2025 tillsynsbegäran.docx", "A 33905-2025")</f>
        <v/>
      </c>
      <c r="AD717">
        <f>HYPERLINK("https://klasma.github.io/Logging_1783/tillsynsmail/A 33905-2025 tillsynsbegäran mail.docx", "A 33905-2025")</f>
        <v/>
      </c>
    </row>
    <row r="718" ht="15" customHeight="1">
      <c r="A718" t="inlineStr">
        <is>
          <t>A 36385-2025</t>
        </is>
      </c>
      <c r="B718" t="inlineStr">
        <is>
          <t>avverkningsanmälan</t>
        </is>
      </c>
      <c r="C718" t="inlineStr">
        <is>
          <t>Föryngringsavverkning</t>
        </is>
      </c>
      <c r="D718" s="1" t="n">
        <v>45868</v>
      </c>
      <c r="E718" s="1" t="n">
        <v>46307</v>
      </c>
      <c r="F718" t="inlineStr">
        <is>
          <t>VÄRMLANDS LÄN</t>
        </is>
      </c>
      <c r="G718" t="inlineStr">
        <is>
          <t>ÅRJÄNG</t>
        </is>
      </c>
      <c r="I718" t="n">
        <v>2.9</v>
      </c>
      <c r="J718" t="n">
        <v>0</v>
      </c>
      <c r="K718" t="n">
        <v>1</v>
      </c>
      <c r="L718" t="n">
        <v>0</v>
      </c>
      <c r="M718" t="n">
        <v>0</v>
      </c>
      <c r="N718" t="n">
        <v>0</v>
      </c>
      <c r="O718" t="n">
        <v>0</v>
      </c>
      <c r="P718" t="n">
        <v>0</v>
      </c>
      <c r="Q718" t="n">
        <v>0</v>
      </c>
      <c r="R718" t="n">
        <v>0</v>
      </c>
      <c r="S718" t="n">
        <v>1</v>
      </c>
      <c r="T718" t="n">
        <v>1</v>
      </c>
      <c r="U718" t="n">
        <v>0</v>
      </c>
      <c r="V718" s="2" t="inlineStr">
        <is>
          <t>Grönpyrola</t>
        </is>
      </c>
      <c r="W718">
        <f>HYPERLINK("https://klasma.github.io/Logging_1765/artfynd/A 36385-2025 artfynd.xlsx", "A 36385-2025")</f>
        <v/>
      </c>
      <c r="X718">
        <f>HYPERLINK("https://klasma.github.io/Logging_1765/kartor/A 36385-2025 karta.png", "A 36385-2025")</f>
        <v/>
      </c>
      <c r="Y718">
        <f>HYPERLINK("https://klasma.github.io/Logging_1765/kartor_geotiff/A 36385-2025 georefererad karta.tif", "A 36385-2025")</f>
        <v/>
      </c>
      <c r="AA718">
        <f>HYPERLINK("https://klasma.github.io/Logging_1765/klagomål/A 36385-2025 FSC-klagomål.docx", "A 36385-2025")</f>
        <v/>
      </c>
      <c r="AB718">
        <f>HYPERLINK("https://klasma.github.io/Logging_1765/klagomålsmail/A 36385-2025 FSC-klagomål mail.docx", "A 36385-2025")</f>
        <v/>
      </c>
      <c r="AC718">
        <f>HYPERLINK("https://klasma.github.io/Logging_1765/tillsyn/A 36385-2025 tillsynsbegäran.docx", "A 36385-2025")</f>
        <v/>
      </c>
      <c r="AD718">
        <f>HYPERLINK("https://klasma.github.io/Logging_1765/tillsynsmail/A 36385-2025 tillsynsbegäran mail.docx", "A 36385-2025")</f>
        <v/>
      </c>
    </row>
    <row r="719" ht="15" customHeight="1">
      <c r="A719" t="inlineStr">
        <is>
          <t>A 51194-2022</t>
        </is>
      </c>
      <c r="B719" t="inlineStr">
        <is>
          <t>avverkningsanmälan</t>
        </is>
      </c>
      <c r="C719" t="inlineStr">
        <is>
          <t>Föryngringsavverkning</t>
        </is>
      </c>
      <c r="D719" s="1" t="n">
        <v>44868</v>
      </c>
      <c r="E719" s="1" t="n">
        <v>46307</v>
      </c>
      <c r="F719" t="inlineStr">
        <is>
          <t>VÄRMLANDS LÄN</t>
        </is>
      </c>
      <c r="G719" t="inlineStr">
        <is>
          <t>HAGFORS</t>
        </is>
      </c>
      <c r="I719" t="n">
        <v>1.6</v>
      </c>
      <c r="J719" t="n">
        <v>0</v>
      </c>
      <c r="K719" t="n">
        <v>0</v>
      </c>
      <c r="L719" t="n">
        <v>0</v>
      </c>
      <c r="M719" t="n">
        <v>1</v>
      </c>
      <c r="N719" t="n">
        <v>0</v>
      </c>
      <c r="O719" t="n">
        <v>0</v>
      </c>
      <c r="P719" t="n">
        <v>0</v>
      </c>
      <c r="Q719" t="n">
        <v>1</v>
      </c>
      <c r="R719" t="n">
        <v>1</v>
      </c>
      <c r="S719" t="n">
        <v>1</v>
      </c>
      <c r="T719" t="n">
        <v>1</v>
      </c>
      <c r="U719" t="n">
        <v>0</v>
      </c>
      <c r="V719" s="2" t="inlineStr">
        <is>
          <t>Garnlav</t>
        </is>
      </c>
      <c r="W719">
        <f>HYPERLINK("https://klasma.github.io/Logging_1783/artfynd/A 51194-2022 artfynd.xlsx", "A 51194-2022")</f>
        <v/>
      </c>
      <c r="X719">
        <f>HYPERLINK("https://klasma.github.io/Logging_1783/kartor/A 51194-2022 karta.png", "A 51194-2022")</f>
        <v/>
      </c>
      <c r="Y719">
        <f>HYPERLINK("https://klasma.github.io/Logging_1783/kartor_geotiff/A 51194-2022 georefererad karta.tif", "A 51194-2022")</f>
        <v/>
      </c>
      <c r="AA719">
        <f>HYPERLINK("https://klasma.github.io/Logging_1783/klagomål/A 51194-2022 FSC-klagomål.docx", "A 51194-2022")</f>
        <v/>
      </c>
      <c r="AB719">
        <f>HYPERLINK("https://klasma.github.io/Logging_1783/klagomålsmail/A 51194-2022 FSC-klagomål mail.docx", "A 51194-2022")</f>
        <v/>
      </c>
      <c r="AC719">
        <f>HYPERLINK("https://klasma.github.io/Logging_1783/tillsyn/A 51194-2022 tillsynsbegäran.docx", "A 51194-2022")</f>
        <v/>
      </c>
      <c r="AD719">
        <f>HYPERLINK("https://klasma.github.io/Logging_1783/tillsynsmail/A 51194-2022 tillsynsbegäran mail.docx", "A 51194-2022")</f>
        <v/>
      </c>
    </row>
    <row r="720" ht="15" customHeight="1">
      <c r="A720" t="inlineStr">
        <is>
          <t>A 15872-2025</t>
        </is>
      </c>
      <c r="B720" t="inlineStr">
        <is>
          <t>avverkningsanmälan</t>
        </is>
      </c>
      <c r="C720" t="inlineStr">
        <is>
          <t>Föryngringsavverkning</t>
        </is>
      </c>
      <c r="D720" s="1" t="n">
        <v>45749</v>
      </c>
      <c r="E720" s="1" t="n">
        <v>46307</v>
      </c>
      <c r="F720" t="inlineStr">
        <is>
          <t>VÄRMLANDS LÄN</t>
        </is>
      </c>
      <c r="G720" t="inlineStr">
        <is>
          <t>TORSBY</t>
        </is>
      </c>
      <c r="H720" t="inlineStr">
        <is>
          <t>Bergvik skog väst AB</t>
        </is>
      </c>
      <c r="I720" t="n">
        <v>10.8</v>
      </c>
      <c r="J720" t="n">
        <v>1</v>
      </c>
      <c r="K720" t="n">
        <v>1</v>
      </c>
      <c r="L720" t="n">
        <v>0</v>
      </c>
      <c r="M720" t="n">
        <v>0</v>
      </c>
      <c r="N720" t="n">
        <v>0</v>
      </c>
      <c r="O720" t="n">
        <v>0</v>
      </c>
      <c r="P720" t="n">
        <v>0</v>
      </c>
      <c r="Q720" t="n">
        <v>0</v>
      </c>
      <c r="R720" t="n">
        <v>0</v>
      </c>
      <c r="S720" t="n">
        <v>1</v>
      </c>
      <c r="T720" t="n">
        <v>1</v>
      </c>
      <c r="U720" t="n">
        <v>0</v>
      </c>
      <c r="V720" s="2" t="inlineStr">
        <is>
          <t>Korallrot</t>
        </is>
      </c>
      <c r="W720">
        <f>HYPERLINK("https://klasma.github.io/Logging_1737/artfynd/A 15872-2025 artfynd.xlsx", "A 15872-2025")</f>
        <v/>
      </c>
      <c r="X720">
        <f>HYPERLINK("https://klasma.github.io/Logging_1737/kartor/A 15872-2025 karta.png", "A 15872-2025")</f>
        <v/>
      </c>
      <c r="Y720">
        <f>HYPERLINK("https://klasma.github.io/Logging_1737/kartor_geotiff/A 15872-2025 georefererad karta.tif", "A 15872-2025")</f>
        <v/>
      </c>
      <c r="AA720">
        <f>HYPERLINK("https://klasma.github.io/Logging_1737/klagomål/A 15872-2025 FSC-klagomål.docx", "A 15872-2025")</f>
        <v/>
      </c>
      <c r="AB720">
        <f>HYPERLINK("https://klasma.github.io/Logging_1737/klagomålsmail/A 15872-2025 FSC-klagomål mail.docx", "A 15872-2025")</f>
        <v/>
      </c>
      <c r="AC720">
        <f>HYPERLINK("https://klasma.github.io/Logging_1737/tillsyn/A 15872-2025 tillsynsbegäran.docx", "A 15872-2025")</f>
        <v/>
      </c>
      <c r="AD720">
        <f>HYPERLINK("https://klasma.github.io/Logging_1737/tillsynsmail/A 15872-2025 tillsynsbegäran mail.docx", "A 15872-2025")</f>
        <v/>
      </c>
    </row>
    <row r="721" ht="15" customHeight="1">
      <c r="A721" t="inlineStr">
        <is>
          <t>A 29990-2022</t>
        </is>
      </c>
      <c r="B721" t="inlineStr">
        <is>
          <t>avverkningsanmälan</t>
        </is>
      </c>
      <c r="C721" t="inlineStr">
        <is>
          <t>Föryngringsavverkning</t>
        </is>
      </c>
      <c r="D721" s="1" t="n">
        <v>44756</v>
      </c>
      <c r="E721" s="1" t="n">
        <v>46307</v>
      </c>
      <c r="F721" t="inlineStr">
        <is>
          <t>VÄRMLANDS LÄN</t>
        </is>
      </c>
      <c r="G721" t="inlineStr">
        <is>
          <t>TORSBY</t>
        </is>
      </c>
      <c r="I721" t="n">
        <v>4.9</v>
      </c>
      <c r="J721" t="n">
        <v>0</v>
      </c>
      <c r="K721" t="n">
        <v>0</v>
      </c>
      <c r="L721" t="n">
        <v>1</v>
      </c>
      <c r="M721" t="n">
        <v>0</v>
      </c>
      <c r="N721" t="n">
        <v>0</v>
      </c>
      <c r="O721" t="n">
        <v>0</v>
      </c>
      <c r="P721" t="n">
        <v>0</v>
      </c>
      <c r="Q721" t="n">
        <v>1</v>
      </c>
      <c r="R721" t="n">
        <v>0</v>
      </c>
      <c r="S721" t="n">
        <v>1</v>
      </c>
      <c r="T721" t="n">
        <v>1</v>
      </c>
      <c r="U721" t="n">
        <v>0</v>
      </c>
      <c r="V721" s="2" t="inlineStr">
        <is>
          <t>Månlåsbräken</t>
        </is>
      </c>
      <c r="W721">
        <f>HYPERLINK("https://klasma.github.io/Logging_1737/artfynd/A 29990-2022 artfynd.xlsx", "A 29990-2022")</f>
        <v/>
      </c>
      <c r="X721">
        <f>HYPERLINK("https://klasma.github.io/Logging_1737/kartor/A 29990-2022 karta.png", "A 29990-2022")</f>
        <v/>
      </c>
      <c r="Y721">
        <f>HYPERLINK("https://klasma.github.io/Logging_1737/kartor_geotiff/A 29990-2022 georefererad karta.tif", "A 29990-2022")</f>
        <v/>
      </c>
      <c r="AA721">
        <f>HYPERLINK("https://klasma.github.io/Logging_1737/klagomål/A 29990-2022 FSC-klagomål.docx", "A 29990-2022")</f>
        <v/>
      </c>
      <c r="AB721">
        <f>HYPERLINK("https://klasma.github.io/Logging_1737/klagomålsmail/A 29990-2022 FSC-klagomål mail.docx", "A 29990-2022")</f>
        <v/>
      </c>
      <c r="AC721">
        <f>HYPERLINK("https://klasma.github.io/Logging_1737/tillsyn/A 29990-2022 tillsynsbegäran.docx", "A 29990-2022")</f>
        <v/>
      </c>
      <c r="AD721">
        <f>HYPERLINK("https://klasma.github.io/Logging_1737/tillsynsmail/A 29990-2022 tillsynsbegäran mail.docx", "A 29990-2022")</f>
        <v/>
      </c>
    </row>
    <row r="722" ht="15" customHeight="1">
      <c r="A722" t="inlineStr">
        <is>
          <t>A 46978-2023</t>
        </is>
      </c>
      <c r="B722" t="inlineStr">
        <is>
          <t>avverkningsanmälan</t>
        </is>
      </c>
      <c r="C722" t="inlineStr">
        <is>
          <t>Föryngringsavverkning</t>
        </is>
      </c>
      <c r="D722" s="1" t="n">
        <v>45195</v>
      </c>
      <c r="E722" s="1" t="n">
        <v>46307</v>
      </c>
      <c r="F722" t="inlineStr">
        <is>
          <t>VÄRMLANDS LÄN</t>
        </is>
      </c>
      <c r="G722" t="inlineStr">
        <is>
          <t>FILIPSTAD</t>
        </is>
      </c>
      <c r="H722" t="inlineStr">
        <is>
          <t>Bergvik skog väst AB</t>
        </is>
      </c>
      <c r="I722" t="n">
        <v>11.2</v>
      </c>
      <c r="J722" t="n">
        <v>1</v>
      </c>
      <c r="K722" t="n">
        <v>0</v>
      </c>
      <c r="L722" t="n">
        <v>0</v>
      </c>
      <c r="M722" t="n">
        <v>0</v>
      </c>
      <c r="N722" t="n">
        <v>0</v>
      </c>
      <c r="O722" t="n">
        <v>0</v>
      </c>
      <c r="P722" t="n">
        <v>0</v>
      </c>
      <c r="Q722" t="n">
        <v>0</v>
      </c>
      <c r="R722" t="n">
        <v>0</v>
      </c>
      <c r="S722" t="n">
        <v>1</v>
      </c>
      <c r="T722" t="n">
        <v>1</v>
      </c>
      <c r="U722" t="n">
        <v>1</v>
      </c>
      <c r="V722" s="2" t="inlineStr">
        <is>
          <t>Nattviol</t>
        </is>
      </c>
      <c r="W722">
        <f>HYPERLINK("https://klasma.github.io/Logging_1782/artfynd/A 46978-2023 artfynd.xlsx", "A 46978-2023")</f>
        <v/>
      </c>
      <c r="X722">
        <f>HYPERLINK("https://klasma.github.io/Logging_1782/kartor/A 46978-2023 karta.png", "A 46978-2023")</f>
        <v/>
      </c>
      <c r="Y722">
        <f>HYPERLINK("https://klasma.github.io/Logging_1782/kartor_geotiff/A 46978-2023 georefererad karta.tif", "A 46978-2023")</f>
        <v/>
      </c>
      <c r="AA722">
        <f>HYPERLINK("https://klasma.github.io/Logging_1782/klagomål/A 46978-2023 FSC-klagomål.docx", "A 46978-2023")</f>
        <v/>
      </c>
      <c r="AB722">
        <f>HYPERLINK("https://klasma.github.io/Logging_1782/klagomålsmail/A 46978-2023 FSC-klagomål mail.docx", "A 46978-2023")</f>
        <v/>
      </c>
      <c r="AC722">
        <f>HYPERLINK("https://klasma.github.io/Logging_1782/tillsyn/A 46978-2023 tillsynsbegäran.docx", "A 46978-2023")</f>
        <v/>
      </c>
      <c r="AD722">
        <f>HYPERLINK("https://klasma.github.io/Logging_1782/tillsynsmail/A 46978-2023 tillsynsbegäran mail.docx", "A 46978-2023")</f>
        <v/>
      </c>
    </row>
    <row r="723" ht="15" customHeight="1">
      <c r="A723" t="inlineStr">
        <is>
          <t>A 41899-2023</t>
        </is>
      </c>
      <c r="B723" t="inlineStr">
        <is>
          <t>avverkningsanmälan</t>
        </is>
      </c>
      <c r="C723" t="inlineStr">
        <is>
          <t>Föryngringsavverkning</t>
        </is>
      </c>
      <c r="D723" s="1" t="n">
        <v>45176</v>
      </c>
      <c r="E723" s="1" t="n">
        <v>46307</v>
      </c>
      <c r="F723" t="inlineStr">
        <is>
          <t>VÄRMLANDS LÄN</t>
        </is>
      </c>
      <c r="G723" t="inlineStr">
        <is>
          <t>HAMMARÖ</t>
        </is>
      </c>
      <c r="H723" t="inlineStr">
        <is>
          <t>Övriga Aktiebolag</t>
        </is>
      </c>
      <c r="I723" t="n">
        <v>1.8</v>
      </c>
      <c r="J723" t="n">
        <v>1</v>
      </c>
      <c r="K723" t="n">
        <v>0</v>
      </c>
      <c r="L723" t="n">
        <v>0</v>
      </c>
      <c r="M723" t="n">
        <v>0</v>
      </c>
      <c r="N723" t="n">
        <v>0</v>
      </c>
      <c r="O723" t="n">
        <v>0</v>
      </c>
      <c r="P723" t="n">
        <v>0</v>
      </c>
      <c r="Q723" t="n">
        <v>0</v>
      </c>
      <c r="R723" t="n">
        <v>0</v>
      </c>
      <c r="S723" t="n">
        <v>1</v>
      </c>
      <c r="T723" t="n">
        <v>1</v>
      </c>
      <c r="U723" t="n">
        <v>1</v>
      </c>
      <c r="V723" s="2" t="inlineStr">
        <is>
          <t>Grönsiska</t>
        </is>
      </c>
      <c r="W723">
        <f>HYPERLINK("https://klasma.github.io/Logging_1761/artfynd/A 41899-2023 artfynd.xlsx", "A 41899-2023")</f>
        <v/>
      </c>
      <c r="X723">
        <f>HYPERLINK("https://klasma.github.io/Logging_1761/kartor/A 41899-2023 karta.png", "A 41899-2023")</f>
        <v/>
      </c>
      <c r="Y723">
        <f>HYPERLINK("https://klasma.github.io/Logging_1761/kartor_geotiff/A 41899-2023 georefererad karta.tif", "A 41899-2023")</f>
        <v/>
      </c>
      <c r="AA723">
        <f>HYPERLINK("https://klasma.github.io/Logging_1761/klagomål/A 41899-2023 FSC-klagomål.docx", "A 41899-2023")</f>
        <v/>
      </c>
      <c r="AB723">
        <f>HYPERLINK("https://klasma.github.io/Logging_1761/klagomålsmail/A 41899-2023 FSC-klagomål mail.docx", "A 41899-2023")</f>
        <v/>
      </c>
      <c r="AC723">
        <f>HYPERLINK("https://klasma.github.io/Logging_1761/tillsyn/A 41899-2023 tillsynsbegäran.docx", "A 41899-2023")</f>
        <v/>
      </c>
      <c r="AD723">
        <f>HYPERLINK("https://klasma.github.io/Logging_1761/tillsynsmail/A 41899-2023 tillsynsbegäran mail.docx", "A 41899-2023")</f>
        <v/>
      </c>
    </row>
    <row r="724" ht="15" customHeight="1">
      <c r="A724" t="inlineStr">
        <is>
          <t>A 16319-2023</t>
        </is>
      </c>
      <c r="B724" t="inlineStr">
        <is>
          <t>avverkningsanmälan</t>
        </is>
      </c>
      <c r="C724" t="inlineStr">
        <is>
          <t>Föryngringsavverkning</t>
        </is>
      </c>
      <c r="D724" s="1" t="n">
        <v>45028</v>
      </c>
      <c r="E724" s="1" t="n">
        <v>46307</v>
      </c>
      <c r="F724" t="inlineStr">
        <is>
          <t>VÄRMLANDS LÄN</t>
        </is>
      </c>
      <c r="G724" t="inlineStr">
        <is>
          <t>HAGFORS</t>
        </is>
      </c>
      <c r="I724" t="n">
        <v>1.1</v>
      </c>
      <c r="J724" t="n">
        <v>0</v>
      </c>
      <c r="K724" t="n">
        <v>0</v>
      </c>
      <c r="L724" t="n">
        <v>1</v>
      </c>
      <c r="M724" t="n">
        <v>0</v>
      </c>
      <c r="N724" t="n">
        <v>0</v>
      </c>
      <c r="O724" t="n">
        <v>0</v>
      </c>
      <c r="P724" t="n">
        <v>0</v>
      </c>
      <c r="Q724" t="n">
        <v>1</v>
      </c>
      <c r="R724" t="n">
        <v>0</v>
      </c>
      <c r="S724" t="n">
        <v>1</v>
      </c>
      <c r="T724" t="n">
        <v>1</v>
      </c>
      <c r="U724" t="n">
        <v>0</v>
      </c>
      <c r="V724" s="2" t="inlineStr">
        <is>
          <t>Ullticka</t>
        </is>
      </c>
      <c r="W724">
        <f>HYPERLINK("https://klasma.github.io/Logging_1783/artfynd/A 16319-2023 artfynd.xlsx", "A 16319-2023")</f>
        <v/>
      </c>
      <c r="X724">
        <f>HYPERLINK("https://klasma.github.io/Logging_1783/kartor/A 16319-2023 karta.png", "A 16319-2023")</f>
        <v/>
      </c>
      <c r="Y724">
        <f>HYPERLINK("https://klasma.github.io/Logging_1783/kartor_geotiff/A 16319-2023 georefererad karta.tif", "A 16319-2023")</f>
        <v/>
      </c>
      <c r="AA724">
        <f>HYPERLINK("https://klasma.github.io/Logging_1783/klagomål/A 16319-2023 FSC-klagomål.docx", "A 16319-2023")</f>
        <v/>
      </c>
      <c r="AB724">
        <f>HYPERLINK("https://klasma.github.io/Logging_1783/klagomålsmail/A 16319-2023 FSC-klagomål mail.docx", "A 16319-2023")</f>
        <v/>
      </c>
      <c r="AC724">
        <f>HYPERLINK("https://klasma.github.io/Logging_1783/tillsyn/A 16319-2023 tillsynsbegäran.docx", "A 16319-2023")</f>
        <v/>
      </c>
      <c r="AD724">
        <f>HYPERLINK("https://klasma.github.io/Logging_1783/tillsynsmail/A 16319-2023 tillsynsbegäran mail.docx", "A 16319-2023")</f>
        <v/>
      </c>
    </row>
    <row r="725" ht="15" customHeight="1">
      <c r="A725" t="inlineStr">
        <is>
          <t>A 29600-2025</t>
        </is>
      </c>
      <c r="B725" t="inlineStr">
        <is>
          <t>avverkningsanmälan</t>
        </is>
      </c>
      <c r="C725" t="inlineStr">
        <is>
          <t>Avverkning för annat ändamål</t>
        </is>
      </c>
      <c r="D725" s="1" t="n">
        <v>45825</v>
      </c>
      <c r="E725" s="1" t="n">
        <v>46307</v>
      </c>
      <c r="F725" t="inlineStr">
        <is>
          <t>VÄRMLANDS LÄN</t>
        </is>
      </c>
      <c r="G725" t="inlineStr">
        <is>
          <t>ARVIKA</t>
        </is>
      </c>
      <c r="H725" t="inlineStr">
        <is>
          <t>Bergvik skog väst AB</t>
        </is>
      </c>
      <c r="I725" t="n">
        <v>0.6</v>
      </c>
      <c r="J725" t="n">
        <v>1</v>
      </c>
      <c r="K725" t="n">
        <v>0</v>
      </c>
      <c r="L725" t="n">
        <v>0</v>
      </c>
      <c r="M725" t="n">
        <v>0</v>
      </c>
      <c r="N725" t="n">
        <v>0</v>
      </c>
      <c r="O725" t="n">
        <v>0</v>
      </c>
      <c r="P725" t="n">
        <v>0</v>
      </c>
      <c r="Q725" t="n">
        <v>0</v>
      </c>
      <c r="R725" t="n">
        <v>0</v>
      </c>
      <c r="S725" t="n">
        <v>1</v>
      </c>
      <c r="T725" t="n">
        <v>1</v>
      </c>
      <c r="U725" t="n">
        <v>1</v>
      </c>
      <c r="V725" s="2" t="inlineStr">
        <is>
          <t>Fläcknycklar</t>
        </is>
      </c>
      <c r="W725">
        <f>HYPERLINK("https://klasma.github.io/Logging_1784/artfynd/A 29600-2025 artfynd.xlsx", "A 29600-2025")</f>
        <v/>
      </c>
      <c r="X725">
        <f>HYPERLINK("https://klasma.github.io/Logging_1784/kartor/A 29600-2025 karta.png", "A 29600-2025")</f>
        <v/>
      </c>
      <c r="Y725">
        <f>HYPERLINK("https://klasma.github.io/Logging_1784/kartor_geotiff/A 29600-2025 georefererad karta.tif", "A 29600-2025")</f>
        <v/>
      </c>
      <c r="AA725">
        <f>HYPERLINK("https://klasma.github.io/Logging_1784/klagomål/A 29600-2025 FSC-klagomål.docx", "A 29600-2025")</f>
        <v/>
      </c>
      <c r="AB725">
        <f>HYPERLINK("https://klasma.github.io/Logging_1784/klagomålsmail/A 29600-2025 FSC-klagomål mail.docx", "A 29600-2025")</f>
        <v/>
      </c>
      <c r="AC725">
        <f>HYPERLINK("https://klasma.github.io/Logging_1784/tillsyn/A 29600-2025 tillsynsbegäran.docx", "A 29600-2025")</f>
        <v/>
      </c>
      <c r="AD725">
        <f>HYPERLINK("https://klasma.github.io/Logging_1784/tillsynsmail/A 29600-2025 tillsynsbegäran mail.docx", "A 29600-2025")</f>
        <v/>
      </c>
    </row>
    <row r="726" ht="15" customHeight="1">
      <c r="A726" t="inlineStr">
        <is>
          <t>A 57430-2025</t>
        </is>
      </c>
      <c r="B726" t="inlineStr">
        <is>
          <t>avverkningsanmälan</t>
        </is>
      </c>
      <c r="C726" t="inlineStr">
        <is>
          <t>Föryngringsavverkning</t>
        </is>
      </c>
      <c r="D726" s="1" t="n">
        <v>45980</v>
      </c>
      <c r="E726" s="1" t="n">
        <v>46307</v>
      </c>
      <c r="F726" t="inlineStr">
        <is>
          <t>VÄRMLANDS LÄN</t>
        </is>
      </c>
      <c r="G726" t="inlineStr">
        <is>
          <t>ÅRJÄNG</t>
        </is>
      </c>
      <c r="I726" t="n">
        <v>1.4</v>
      </c>
      <c r="J726" t="n">
        <v>1</v>
      </c>
      <c r="K726" t="n">
        <v>0</v>
      </c>
      <c r="L726" t="n">
        <v>0</v>
      </c>
      <c r="M726" t="n">
        <v>0</v>
      </c>
      <c r="N726" t="n">
        <v>0</v>
      </c>
      <c r="O726" t="n">
        <v>0</v>
      </c>
      <c r="P726" t="n">
        <v>0</v>
      </c>
      <c r="Q726" t="n">
        <v>0</v>
      </c>
      <c r="R726" t="n">
        <v>0</v>
      </c>
      <c r="S726" t="n">
        <v>1</v>
      </c>
      <c r="T726" t="n">
        <v>3</v>
      </c>
      <c r="U726" t="n">
        <v>0</v>
      </c>
      <c r="V726" s="2" t="inlineStr">
        <is>
          <t>Grönvit nattviol</t>
        </is>
      </c>
      <c r="W726">
        <f>HYPERLINK("https://klasma.github.io/Logging_1765/artfynd/A 57430-2025 artfynd.xlsx", "A 57430-2025")</f>
        <v/>
      </c>
      <c r="X726">
        <f>HYPERLINK("https://klasma.github.io/Logging_1765/kartor/A 57430-2025 karta.png", "A 57430-2025")</f>
        <v/>
      </c>
      <c r="Y726">
        <f>HYPERLINK("https://klasma.github.io/Logging_1765/kartor_geotiff/A 57430-2025 georefererad karta.tif", "A 57430-2025")</f>
        <v/>
      </c>
      <c r="AA726">
        <f>HYPERLINK("https://klasma.github.io/Logging_1765/klagomål/A 57430-2025 FSC-klagomål.docx", "A 57430-2025")</f>
        <v/>
      </c>
      <c r="AB726">
        <f>HYPERLINK("https://klasma.github.io/Logging_1765/klagomålsmail/A 57430-2025 FSC-klagomål mail.docx", "A 57430-2025")</f>
        <v/>
      </c>
      <c r="AC726">
        <f>HYPERLINK("https://klasma.github.io/Logging_1765/tillsyn/A 57430-2025 tillsynsbegäran.docx", "A 57430-2025")</f>
        <v/>
      </c>
      <c r="AD726">
        <f>HYPERLINK("https://klasma.github.io/Logging_1765/tillsynsmail/A 57430-2025 tillsynsbegäran mail.docx", "A 57430-2025")</f>
        <v/>
      </c>
    </row>
    <row r="727" ht="15" customHeight="1">
      <c r="A727" t="inlineStr">
        <is>
          <t>A 45122-2022</t>
        </is>
      </c>
      <c r="B727" t="inlineStr">
        <is>
          <t>avverkningsanmälan</t>
        </is>
      </c>
      <c r="C727" t="inlineStr">
        <is>
          <t>Föryngringsavverkning</t>
        </is>
      </c>
      <c r="D727" s="1" t="n">
        <v>44843</v>
      </c>
      <c r="E727" s="1" t="n">
        <v>46307</v>
      </c>
      <c r="F727" t="inlineStr">
        <is>
          <t>VÄRMLANDS LÄN</t>
        </is>
      </c>
      <c r="G727" t="inlineStr">
        <is>
          <t>KRISTINEHAMN</t>
        </is>
      </c>
      <c r="I727" t="n">
        <v>3.3</v>
      </c>
      <c r="J727" t="n">
        <v>0</v>
      </c>
      <c r="K727" t="n">
        <v>0</v>
      </c>
      <c r="L727" t="n">
        <v>0</v>
      </c>
      <c r="M727" t="n">
        <v>1</v>
      </c>
      <c r="N727" t="n">
        <v>0</v>
      </c>
      <c r="O727" t="n">
        <v>0</v>
      </c>
      <c r="P727" t="n">
        <v>0</v>
      </c>
      <c r="Q727" t="n">
        <v>1</v>
      </c>
      <c r="R727" t="n">
        <v>1</v>
      </c>
      <c r="S727" t="n">
        <v>1</v>
      </c>
      <c r="T727" t="n">
        <v>1</v>
      </c>
      <c r="U727" t="n">
        <v>0</v>
      </c>
      <c r="V727" s="2" t="inlineStr">
        <is>
          <t>Dvärglin</t>
        </is>
      </c>
      <c r="W727">
        <f>HYPERLINK("https://klasma.github.io/Logging_1781/artfynd/A 45122-2022 artfynd.xlsx", "A 45122-2022")</f>
        <v/>
      </c>
      <c r="X727">
        <f>HYPERLINK("https://klasma.github.io/Logging_1781/kartor/A 45122-2022 karta.png", "A 45122-2022")</f>
        <v/>
      </c>
      <c r="Y727">
        <f>HYPERLINK("https://klasma.github.io/Logging_1781/kartor_geotiff/A 45122-2022 georefererad karta.tif", "A 45122-2022")</f>
        <v/>
      </c>
      <c r="AA727">
        <f>HYPERLINK("https://klasma.github.io/Logging_1781/klagomål/A 45122-2022 FSC-klagomål.docx", "A 45122-2022")</f>
        <v/>
      </c>
      <c r="AB727">
        <f>HYPERLINK("https://klasma.github.io/Logging_1781/klagomålsmail/A 45122-2022 FSC-klagomål mail.docx", "A 45122-2022")</f>
        <v/>
      </c>
      <c r="AC727">
        <f>HYPERLINK("https://klasma.github.io/Logging_1781/tillsyn/A 45122-2022 tillsynsbegäran.docx", "A 45122-2022")</f>
        <v/>
      </c>
      <c r="AD727">
        <f>HYPERLINK("https://klasma.github.io/Logging_1781/tillsynsmail/A 45122-2022 tillsynsbegäran mail.docx", "A 45122-2022")</f>
        <v/>
      </c>
    </row>
    <row r="728" ht="15" customHeight="1">
      <c r="A728" t="inlineStr">
        <is>
          <t>A 4219-2024</t>
        </is>
      </c>
      <c r="B728" t="inlineStr">
        <is>
          <t>avverkningsanmälan</t>
        </is>
      </c>
      <c r="C728" t="inlineStr">
        <is>
          <t>Föryngringsavverkning</t>
        </is>
      </c>
      <c r="D728" s="1" t="n">
        <v>45324</v>
      </c>
      <c r="E728" s="1" t="n">
        <v>46307</v>
      </c>
      <c r="F728" t="inlineStr">
        <is>
          <t>VÄRMLANDS LÄN</t>
        </is>
      </c>
      <c r="G728" t="inlineStr">
        <is>
          <t>TORSBY</t>
        </is>
      </c>
      <c r="I728" t="n">
        <v>0.8</v>
      </c>
      <c r="J728" t="n">
        <v>0</v>
      </c>
      <c r="K728" t="n">
        <v>1</v>
      </c>
      <c r="L728" t="n">
        <v>0</v>
      </c>
      <c r="M728" t="n">
        <v>0</v>
      </c>
      <c r="N728" t="n">
        <v>0</v>
      </c>
      <c r="O728" t="n">
        <v>0</v>
      </c>
      <c r="P728" t="n">
        <v>0</v>
      </c>
      <c r="Q728" t="n">
        <v>0</v>
      </c>
      <c r="R728" t="n">
        <v>0</v>
      </c>
      <c r="S728" t="n">
        <v>1</v>
      </c>
      <c r="T728" t="n">
        <v>1</v>
      </c>
      <c r="U728" t="n">
        <v>0</v>
      </c>
      <c r="V728" s="2" t="inlineStr">
        <is>
          <t>Kransrams</t>
        </is>
      </c>
      <c r="W728">
        <f>HYPERLINK("https://klasma.github.io/Logging_1737/artfynd/A 4219-2024 artfynd.xlsx", "A 4219-2024")</f>
        <v/>
      </c>
      <c r="X728">
        <f>HYPERLINK("https://klasma.github.io/Logging_1737/kartor/A 4219-2024 karta.png", "A 4219-2024")</f>
        <v/>
      </c>
      <c r="Y728">
        <f>HYPERLINK("https://klasma.github.io/Logging_1737/kartor_geotiff/A 4219-2024 georefererad karta.tif", "A 4219-2024")</f>
        <v/>
      </c>
      <c r="AA728">
        <f>HYPERLINK("https://klasma.github.io/Logging_1737/klagomål/A 4219-2024 FSC-klagomål.docx", "A 4219-2024")</f>
        <v/>
      </c>
      <c r="AB728">
        <f>HYPERLINK("https://klasma.github.io/Logging_1737/klagomålsmail/A 4219-2024 FSC-klagomål mail.docx", "A 4219-2024")</f>
        <v/>
      </c>
      <c r="AC728">
        <f>HYPERLINK("https://klasma.github.io/Logging_1737/tillsyn/A 4219-2024 tillsynsbegäran.docx", "A 4219-2024")</f>
        <v/>
      </c>
      <c r="AD728">
        <f>HYPERLINK("https://klasma.github.io/Logging_1737/tillsynsmail/A 4219-2024 tillsynsbegäran mail.docx", "A 4219-2024")</f>
        <v/>
      </c>
    </row>
    <row r="729" ht="15" customHeight="1">
      <c r="A729" t="inlineStr">
        <is>
          <t>A 37327-2025</t>
        </is>
      </c>
      <c r="B729" t="inlineStr">
        <is>
          <t>avverkningsanmälan</t>
        </is>
      </c>
      <c r="C729" t="inlineStr">
        <is>
          <t>Föryngringsavverkning</t>
        </is>
      </c>
      <c r="D729" s="1" t="n">
        <v>45876</v>
      </c>
      <c r="E729" s="1" t="n">
        <v>46307</v>
      </c>
      <c r="F729" t="inlineStr">
        <is>
          <t>VÄRMLANDS LÄN</t>
        </is>
      </c>
      <c r="G729" t="inlineStr">
        <is>
          <t>TORSBY</t>
        </is>
      </c>
      <c r="I729" t="n">
        <v>2</v>
      </c>
      <c r="J729" t="n">
        <v>0</v>
      </c>
      <c r="K729" t="n">
        <v>0</v>
      </c>
      <c r="L729" t="n">
        <v>0</v>
      </c>
      <c r="M729" t="n">
        <v>1</v>
      </c>
      <c r="N729" t="n">
        <v>0</v>
      </c>
      <c r="O729" t="n">
        <v>0</v>
      </c>
      <c r="P729" t="n">
        <v>0</v>
      </c>
      <c r="Q729" t="n">
        <v>1</v>
      </c>
      <c r="R729" t="n">
        <v>1</v>
      </c>
      <c r="S729" t="n">
        <v>1</v>
      </c>
      <c r="T729" t="n">
        <v>1</v>
      </c>
      <c r="U729" t="n">
        <v>0</v>
      </c>
      <c r="V729" s="2" t="inlineStr">
        <is>
          <t>Garnlav</t>
        </is>
      </c>
      <c r="W729">
        <f>HYPERLINK("https://klasma.github.io/Logging_1737/artfynd/A 37327-2025 artfynd.xlsx", "A 37327-2025")</f>
        <v/>
      </c>
      <c r="X729">
        <f>HYPERLINK("https://klasma.github.io/Logging_1737/kartor/A 37327-2025 karta.png", "A 37327-2025")</f>
        <v/>
      </c>
      <c r="Y729">
        <f>HYPERLINK("https://klasma.github.io/Logging_1737/kartor_geotiff/A 37327-2025 georefererad karta.tif", "A 37327-2025")</f>
        <v/>
      </c>
      <c r="AA729">
        <f>HYPERLINK("https://klasma.github.io/Logging_1737/klagomål/A 37327-2025 FSC-klagomål.docx", "A 37327-2025")</f>
        <v/>
      </c>
      <c r="AB729">
        <f>HYPERLINK("https://klasma.github.io/Logging_1737/klagomålsmail/A 37327-2025 FSC-klagomål mail.docx", "A 37327-2025")</f>
        <v/>
      </c>
      <c r="AC729">
        <f>HYPERLINK("https://klasma.github.io/Logging_1737/tillsyn/A 37327-2025 tillsynsbegäran.docx", "A 37327-2025")</f>
        <v/>
      </c>
      <c r="AD729">
        <f>HYPERLINK("https://klasma.github.io/Logging_1737/tillsynsmail/A 37327-2025 tillsynsbegäran mail.docx", "A 37327-2025")</f>
        <v/>
      </c>
    </row>
    <row r="730" ht="15" customHeight="1">
      <c r="A730" t="inlineStr">
        <is>
          <t>A 58021-2025</t>
        </is>
      </c>
      <c r="B730" t="inlineStr">
        <is>
          <t>avverkningsanmälan</t>
        </is>
      </c>
      <c r="C730" t="inlineStr">
        <is>
          <t>Föryngringsavverkning</t>
        </is>
      </c>
      <c r="D730" s="1" t="n">
        <v>45982</v>
      </c>
      <c r="E730" s="1" t="n">
        <v>46307</v>
      </c>
      <c r="F730" t="inlineStr">
        <is>
          <t>VÄRMLANDS LÄN</t>
        </is>
      </c>
      <c r="G730" t="inlineStr">
        <is>
          <t>KRISTINEHAMN</t>
        </is>
      </c>
      <c r="I730" t="n">
        <v>4.2</v>
      </c>
      <c r="J730" t="n">
        <v>0</v>
      </c>
      <c r="K730" t="n">
        <v>0</v>
      </c>
      <c r="L730" t="n">
        <v>0</v>
      </c>
      <c r="M730" t="n">
        <v>1</v>
      </c>
      <c r="N730" t="n">
        <v>0</v>
      </c>
      <c r="O730" t="n">
        <v>0</v>
      </c>
      <c r="P730" t="n">
        <v>0</v>
      </c>
      <c r="Q730" t="n">
        <v>1</v>
      </c>
      <c r="R730" t="n">
        <v>1</v>
      </c>
      <c r="S730" t="n">
        <v>1</v>
      </c>
      <c r="T730" t="n">
        <v>1</v>
      </c>
      <c r="U730" t="n">
        <v>0</v>
      </c>
      <c r="V730" s="2" t="inlineStr">
        <is>
          <t>Slåttergubbe</t>
        </is>
      </c>
      <c r="W730">
        <f>HYPERLINK("https://klasma.github.io/Logging_1781/artfynd/A 58021-2025 artfynd.xlsx", "A 58021-2025")</f>
        <v/>
      </c>
      <c r="X730">
        <f>HYPERLINK("https://klasma.github.io/Logging_1781/kartor/A 58021-2025 karta.png", "A 58021-2025")</f>
        <v/>
      </c>
      <c r="Y730">
        <f>HYPERLINK("https://klasma.github.io/Logging_1781/kartor_geotiff/A 58021-2025 georefererad karta.tif", "A 58021-2025")</f>
        <v/>
      </c>
      <c r="AA730">
        <f>HYPERLINK("https://klasma.github.io/Logging_1781/klagomål/A 58021-2025 FSC-klagomål.docx", "A 58021-2025")</f>
        <v/>
      </c>
      <c r="AB730">
        <f>HYPERLINK("https://klasma.github.io/Logging_1781/klagomålsmail/A 58021-2025 FSC-klagomål mail.docx", "A 58021-2025")</f>
        <v/>
      </c>
      <c r="AC730">
        <f>HYPERLINK("https://klasma.github.io/Logging_1781/tillsyn/A 58021-2025 tillsynsbegäran.docx", "A 58021-2025")</f>
        <v/>
      </c>
      <c r="AD730">
        <f>HYPERLINK("https://klasma.github.io/Logging_1781/tillsynsmail/A 58021-2025 tillsynsbegäran mail.docx", "A 58021-2025")</f>
        <v/>
      </c>
    </row>
    <row r="731" ht="15" customHeight="1">
      <c r="A731" t="inlineStr">
        <is>
          <t>A 37548-2025</t>
        </is>
      </c>
      <c r="B731" t="inlineStr">
        <is>
          <t>avverkningsanmälan</t>
        </is>
      </c>
      <c r="C731" t="inlineStr">
        <is>
          <t>Föryngringsavverkning</t>
        </is>
      </c>
      <c r="D731" s="1" t="n">
        <v>45879</v>
      </c>
      <c r="E731" s="1" t="n">
        <v>46307</v>
      </c>
      <c r="F731" t="inlineStr">
        <is>
          <t>VÄRMLANDS LÄN</t>
        </is>
      </c>
      <c r="G731" t="inlineStr">
        <is>
          <t>TORSBY</t>
        </is>
      </c>
      <c r="I731" t="n">
        <v>9.5</v>
      </c>
      <c r="J731" t="n">
        <v>1</v>
      </c>
      <c r="K731" t="n">
        <v>0</v>
      </c>
      <c r="L731" t="n">
        <v>1</v>
      </c>
      <c r="M731" t="n">
        <v>0</v>
      </c>
      <c r="N731" t="n">
        <v>0</v>
      </c>
      <c r="O731" t="n">
        <v>0</v>
      </c>
      <c r="P731" t="n">
        <v>0</v>
      </c>
      <c r="Q731" t="n">
        <v>1</v>
      </c>
      <c r="R731" t="n">
        <v>0</v>
      </c>
      <c r="S731" t="n">
        <v>1</v>
      </c>
      <c r="T731" t="n">
        <v>1</v>
      </c>
      <c r="U731" t="n">
        <v>0</v>
      </c>
      <c r="V731" s="2" t="inlineStr">
        <is>
          <t>Talltita</t>
        </is>
      </c>
      <c r="W731">
        <f>HYPERLINK("https://klasma.github.io/Logging_1737/artfynd/A 37548-2025 artfynd.xlsx", "A 37548-2025")</f>
        <v/>
      </c>
      <c r="X731">
        <f>HYPERLINK("https://klasma.github.io/Logging_1737/kartor/A 37548-2025 karta.png", "A 37548-2025")</f>
        <v/>
      </c>
      <c r="Y731">
        <f>HYPERLINK("https://klasma.github.io/Logging_1737/kartor_geotiff/A 37548-2025 georefererad karta.tif", "A 37548-2025")</f>
        <v/>
      </c>
      <c r="AA731">
        <f>HYPERLINK("https://klasma.github.io/Logging_1737/klagomål/A 37548-2025 FSC-klagomål.docx", "A 37548-2025")</f>
        <v/>
      </c>
      <c r="AB731">
        <f>HYPERLINK("https://klasma.github.io/Logging_1737/klagomålsmail/A 37548-2025 FSC-klagomål mail.docx", "A 37548-2025")</f>
        <v/>
      </c>
      <c r="AC731">
        <f>HYPERLINK("https://klasma.github.io/Logging_1737/tillsyn/A 37548-2025 tillsynsbegäran.docx", "A 37548-2025")</f>
        <v/>
      </c>
      <c r="AD731">
        <f>HYPERLINK("https://klasma.github.io/Logging_1737/tillsynsmail/A 37548-2025 tillsynsbegäran mail.docx", "A 37548-2025")</f>
        <v/>
      </c>
      <c r="AE731">
        <f>HYPERLINK("https://klasma.github.io/Logging_1737/fåglar/A 37548-2025 prioriterade fågelarter.docx", "A 37548-2025")</f>
        <v/>
      </c>
    </row>
    <row r="732" ht="15" customHeight="1">
      <c r="A732" t="inlineStr">
        <is>
          <t>A 37699-2025</t>
        </is>
      </c>
      <c r="B732" t="inlineStr">
        <is>
          <t>avverkningsanmälan</t>
        </is>
      </c>
      <c r="C732" t="inlineStr">
        <is>
          <t>Föryngringsavverkning</t>
        </is>
      </c>
      <c r="D732" s="1" t="n">
        <v>45880</v>
      </c>
      <c r="E732" s="1" t="n">
        <v>46307</v>
      </c>
      <c r="F732" t="inlineStr">
        <is>
          <t>VÄRMLANDS LÄN</t>
        </is>
      </c>
      <c r="G732" t="inlineStr">
        <is>
          <t>TORSBY</t>
        </is>
      </c>
      <c r="I732" t="n">
        <v>1.8</v>
      </c>
      <c r="J732" t="n">
        <v>1</v>
      </c>
      <c r="K732" t="n">
        <v>0</v>
      </c>
      <c r="L732" t="n">
        <v>0</v>
      </c>
      <c r="M732" t="n">
        <v>0</v>
      </c>
      <c r="N732" t="n">
        <v>1</v>
      </c>
      <c r="O732" t="n">
        <v>0</v>
      </c>
      <c r="P732" t="n">
        <v>0</v>
      </c>
      <c r="Q732" t="n">
        <v>1</v>
      </c>
      <c r="R732" t="n">
        <v>1</v>
      </c>
      <c r="S732" t="n">
        <v>1</v>
      </c>
      <c r="T732" t="n">
        <v>1</v>
      </c>
      <c r="U732" t="n">
        <v>0</v>
      </c>
      <c r="V732" s="2" t="inlineStr">
        <is>
          <t>Bombmurkla</t>
        </is>
      </c>
      <c r="W732">
        <f>HYPERLINK("https://klasma.github.io/Logging_1737/artfynd/A 37699-2025 artfynd.xlsx", "A 37699-2025")</f>
        <v/>
      </c>
      <c r="X732">
        <f>HYPERLINK("https://klasma.github.io/Logging_1737/kartor/A 37699-2025 karta.png", "A 37699-2025")</f>
        <v/>
      </c>
      <c r="Y732">
        <f>HYPERLINK("https://klasma.github.io/Logging_1737/kartor_geotiff/A 37699-2025 georefererad karta.tif", "A 37699-2025")</f>
        <v/>
      </c>
      <c r="AA732">
        <f>HYPERLINK("https://klasma.github.io/Logging_1737/klagomål/A 37699-2025 FSC-klagomål.docx", "A 37699-2025")</f>
        <v/>
      </c>
      <c r="AB732">
        <f>HYPERLINK("https://klasma.github.io/Logging_1737/klagomålsmail/A 37699-2025 FSC-klagomål mail.docx", "A 37699-2025")</f>
        <v/>
      </c>
      <c r="AC732">
        <f>HYPERLINK("https://klasma.github.io/Logging_1737/tillsyn/A 37699-2025 tillsynsbegäran.docx", "A 37699-2025")</f>
        <v/>
      </c>
      <c r="AD732">
        <f>HYPERLINK("https://klasma.github.io/Logging_1737/tillsynsmail/A 37699-2025 tillsynsbegäran mail.docx", "A 37699-2025")</f>
        <v/>
      </c>
    </row>
    <row r="733" ht="15" customHeight="1">
      <c r="A733" t="inlineStr">
        <is>
          <t>A 54160-2022</t>
        </is>
      </c>
      <c r="B733" t="inlineStr">
        <is>
          <t>avverkningsanmälan</t>
        </is>
      </c>
      <c r="C733" t="inlineStr">
        <is>
          <t>Föryngringsavverkning</t>
        </is>
      </c>
      <c r="D733" s="1" t="n">
        <v>44881</v>
      </c>
      <c r="E733" s="1" t="n">
        <v>46307</v>
      </c>
      <c r="F733" t="inlineStr">
        <is>
          <t>VÄRMLANDS LÄN</t>
        </is>
      </c>
      <c r="G733" t="inlineStr">
        <is>
          <t>TORSBY</t>
        </is>
      </c>
      <c r="I733" t="n">
        <v>1.3</v>
      </c>
      <c r="J733" t="n">
        <v>0</v>
      </c>
      <c r="K733" t="n">
        <v>0</v>
      </c>
      <c r="L733" t="n">
        <v>1</v>
      </c>
      <c r="M733" t="n">
        <v>0</v>
      </c>
      <c r="N733" t="n">
        <v>0</v>
      </c>
      <c r="O733" t="n">
        <v>0</v>
      </c>
      <c r="P733" t="n">
        <v>0</v>
      </c>
      <c r="Q733" t="n">
        <v>1</v>
      </c>
      <c r="R733" t="n">
        <v>0</v>
      </c>
      <c r="S733" t="n">
        <v>1</v>
      </c>
      <c r="T733" t="n">
        <v>1</v>
      </c>
      <c r="U733" t="n">
        <v>1</v>
      </c>
      <c r="V733" s="2" t="inlineStr">
        <is>
          <t>Gullklöver</t>
        </is>
      </c>
      <c r="W733">
        <f>HYPERLINK("https://klasma.github.io/Logging_1737/artfynd/A 54160-2022 artfynd.xlsx", "A 54160-2022")</f>
        <v/>
      </c>
      <c r="X733">
        <f>HYPERLINK("https://klasma.github.io/Logging_1737/kartor/A 54160-2022 karta.png", "A 54160-2022")</f>
        <v/>
      </c>
      <c r="Y733">
        <f>HYPERLINK("https://klasma.github.io/Logging_1737/kartor_geotiff/A 54160-2022 georefererad karta.tif", "A 54160-2022")</f>
        <v/>
      </c>
      <c r="AA733">
        <f>HYPERLINK("https://klasma.github.io/Logging_1737/klagomål/A 54160-2022 FSC-klagomål.docx", "A 54160-2022")</f>
        <v/>
      </c>
      <c r="AB733">
        <f>HYPERLINK("https://klasma.github.io/Logging_1737/klagomålsmail/A 54160-2022 FSC-klagomål mail.docx", "A 54160-2022")</f>
        <v/>
      </c>
      <c r="AC733">
        <f>HYPERLINK("https://klasma.github.io/Logging_1737/tillsyn/A 54160-2022 tillsynsbegäran.docx", "A 54160-2022")</f>
        <v/>
      </c>
      <c r="AD733">
        <f>HYPERLINK("https://klasma.github.io/Logging_1737/tillsynsmail/A 54160-2022 tillsynsbegäran mail.docx", "A 54160-2022")</f>
        <v/>
      </c>
    </row>
    <row r="734" ht="15" customHeight="1">
      <c r="A734" t="inlineStr">
        <is>
          <t>A 13208-2023</t>
        </is>
      </c>
      <c r="B734" t="inlineStr">
        <is>
          <t>avverkningsanmälan</t>
        </is>
      </c>
      <c r="C734" t="inlineStr">
        <is>
          <t>Föryngringsavverkning</t>
        </is>
      </c>
      <c r="D734" s="1" t="n">
        <v>45002</v>
      </c>
      <c r="E734" s="1" t="n">
        <v>46307</v>
      </c>
      <c r="F734" t="inlineStr">
        <is>
          <t>VÄRMLANDS LÄN</t>
        </is>
      </c>
      <c r="G734" t="inlineStr">
        <is>
          <t>FORSHAGA</t>
        </is>
      </c>
      <c r="I734" t="n">
        <v>1.5</v>
      </c>
      <c r="J734" t="n">
        <v>1</v>
      </c>
      <c r="K734" t="n">
        <v>0</v>
      </c>
      <c r="L734" t="n">
        <v>0</v>
      </c>
      <c r="M734" t="n">
        <v>0</v>
      </c>
      <c r="N734" t="n">
        <v>0</v>
      </c>
      <c r="O734" t="n">
        <v>0</v>
      </c>
      <c r="P734" t="n">
        <v>0</v>
      </c>
      <c r="Q734" t="n">
        <v>0</v>
      </c>
      <c r="R734" t="n">
        <v>0</v>
      </c>
      <c r="S734" t="n">
        <v>1</v>
      </c>
      <c r="T734" t="n">
        <v>1</v>
      </c>
      <c r="U734" t="n">
        <v>0</v>
      </c>
      <c r="V734" s="2" t="inlineStr">
        <is>
          <t>Mindre flugsnappare</t>
        </is>
      </c>
      <c r="W734">
        <f>HYPERLINK("https://klasma.github.io/Logging_1763/artfynd/A 13208-2023 artfynd.xlsx", "A 13208-2023")</f>
        <v/>
      </c>
      <c r="X734">
        <f>HYPERLINK("https://klasma.github.io/Logging_1763/kartor/A 13208-2023 karta.png", "A 13208-2023")</f>
        <v/>
      </c>
      <c r="Y734">
        <f>HYPERLINK("https://klasma.github.io/Logging_1763/kartor_geotiff/A 13208-2023 georefererad karta.tif", "A 13208-2023")</f>
        <v/>
      </c>
      <c r="AA734">
        <f>HYPERLINK("https://klasma.github.io/Logging_1763/klagomål/A 13208-2023 FSC-klagomål.docx", "A 13208-2023")</f>
        <v/>
      </c>
      <c r="AB734">
        <f>HYPERLINK("https://klasma.github.io/Logging_1763/klagomålsmail/A 13208-2023 FSC-klagomål mail.docx", "A 13208-2023")</f>
        <v/>
      </c>
      <c r="AC734">
        <f>HYPERLINK("https://klasma.github.io/Logging_1763/tillsyn/A 13208-2023 tillsynsbegäran.docx", "A 13208-2023")</f>
        <v/>
      </c>
      <c r="AD734">
        <f>HYPERLINK("https://klasma.github.io/Logging_1763/tillsynsmail/A 13208-2023 tillsynsbegäran mail.docx", "A 13208-2023")</f>
        <v/>
      </c>
      <c r="AE734">
        <f>HYPERLINK("https://klasma.github.io/Logging_1763/fåglar/A 13208-2023 prioriterade fågelarter.docx", "A 13208-2023")</f>
        <v/>
      </c>
    </row>
    <row r="735" ht="15" customHeight="1">
      <c r="A735" t="inlineStr">
        <is>
          <t>A 37716-2025</t>
        </is>
      </c>
      <c r="B735" t="inlineStr">
        <is>
          <t>avverkningsanmälan</t>
        </is>
      </c>
      <c r="C735" t="inlineStr">
        <is>
          <t>Föryngringsavverkning</t>
        </is>
      </c>
      <c r="D735" s="1" t="n">
        <v>45881</v>
      </c>
      <c r="E735" s="1" t="n">
        <v>46307</v>
      </c>
      <c r="F735" t="inlineStr">
        <is>
          <t>VÄRMLANDS LÄN</t>
        </is>
      </c>
      <c r="G735" t="inlineStr">
        <is>
          <t>STORFORS</t>
        </is>
      </c>
      <c r="I735" t="n">
        <v>4.5</v>
      </c>
      <c r="J735" t="n">
        <v>0</v>
      </c>
      <c r="K735" t="n">
        <v>0</v>
      </c>
      <c r="L735" t="n">
        <v>1</v>
      </c>
      <c r="M735" t="n">
        <v>0</v>
      </c>
      <c r="N735" t="n">
        <v>0</v>
      </c>
      <c r="O735" t="n">
        <v>0</v>
      </c>
      <c r="P735" t="n">
        <v>0</v>
      </c>
      <c r="Q735" t="n">
        <v>1</v>
      </c>
      <c r="R735" t="n">
        <v>0</v>
      </c>
      <c r="S735" t="n">
        <v>1</v>
      </c>
      <c r="T735" t="n">
        <v>1</v>
      </c>
      <c r="U735" t="n">
        <v>1</v>
      </c>
      <c r="V735" s="2" t="inlineStr">
        <is>
          <t>Ullticka</t>
        </is>
      </c>
      <c r="W735">
        <f>HYPERLINK("https://klasma.github.io/Logging_1760/artfynd/A 37716-2025 artfynd.xlsx", "A 37716-2025")</f>
        <v/>
      </c>
      <c r="X735">
        <f>HYPERLINK("https://klasma.github.io/Logging_1760/kartor/A 37716-2025 karta.png", "A 37716-2025")</f>
        <v/>
      </c>
      <c r="Y735">
        <f>HYPERLINK("https://klasma.github.io/Logging_1760/kartor_geotiff/A 37716-2025 georefererad karta.tif", "A 37716-2025")</f>
        <v/>
      </c>
      <c r="AA735">
        <f>HYPERLINK("https://klasma.github.io/Logging_1760/klagomål/A 37716-2025 FSC-klagomål.docx", "A 37716-2025")</f>
        <v/>
      </c>
      <c r="AB735">
        <f>HYPERLINK("https://klasma.github.io/Logging_1760/klagomålsmail/A 37716-2025 FSC-klagomål mail.docx", "A 37716-2025")</f>
        <v/>
      </c>
      <c r="AC735">
        <f>HYPERLINK("https://klasma.github.io/Logging_1760/tillsyn/A 37716-2025 tillsynsbegäran.docx", "A 37716-2025")</f>
        <v/>
      </c>
      <c r="AD735">
        <f>HYPERLINK("https://klasma.github.io/Logging_1760/tillsynsmail/A 37716-2025 tillsynsbegäran mail.docx", "A 37716-2025")</f>
        <v/>
      </c>
    </row>
    <row r="736" ht="15" customHeight="1">
      <c r="A736" t="inlineStr">
        <is>
          <t>A 54532-2023</t>
        </is>
      </c>
      <c r="B736" t="inlineStr">
        <is>
          <t>avverkningsanmälan</t>
        </is>
      </c>
      <c r="C736" t="inlineStr">
        <is>
          <t>Föryngringsavverkning</t>
        </is>
      </c>
      <c r="D736" s="1" t="n">
        <v>45233</v>
      </c>
      <c r="E736" s="1" t="n">
        <v>46307</v>
      </c>
      <c r="F736" t="inlineStr">
        <is>
          <t>VÄRMLANDS LÄN</t>
        </is>
      </c>
      <c r="G736" t="inlineStr">
        <is>
          <t>TORSBY</t>
        </is>
      </c>
      <c r="H736" t="inlineStr">
        <is>
          <t>Bergvik skog väst AB</t>
        </is>
      </c>
      <c r="I736" t="n">
        <v>1.5</v>
      </c>
      <c r="J736" t="n">
        <v>1</v>
      </c>
      <c r="K736" t="n">
        <v>0</v>
      </c>
      <c r="L736" t="n">
        <v>0</v>
      </c>
      <c r="M736" t="n">
        <v>0</v>
      </c>
      <c r="N736" t="n">
        <v>0</v>
      </c>
      <c r="O736" t="n">
        <v>0</v>
      </c>
      <c r="P736" t="n">
        <v>0</v>
      </c>
      <c r="Q736" t="n">
        <v>0</v>
      </c>
      <c r="R736" t="n">
        <v>0</v>
      </c>
      <c r="S736" t="n">
        <v>1</v>
      </c>
      <c r="T736" t="n">
        <v>1</v>
      </c>
      <c r="U736" t="n">
        <v>0</v>
      </c>
      <c r="V736" s="2" t="inlineStr">
        <is>
          <t>Utter</t>
        </is>
      </c>
      <c r="W736">
        <f>HYPERLINK("https://klasma.github.io/Logging_1737/artfynd/A 54532-2023 artfynd.xlsx", "A 54532-2023")</f>
        <v/>
      </c>
      <c r="X736">
        <f>HYPERLINK("https://klasma.github.io/Logging_1737/kartor/A 54532-2023 karta.png", "A 54532-2023")</f>
        <v/>
      </c>
      <c r="Y736">
        <f>HYPERLINK("https://klasma.github.io/Logging_1737/kartor_geotiff/A 54532-2023 georefererad karta.tif", "A 54532-2023")</f>
        <v/>
      </c>
      <c r="AA736">
        <f>HYPERLINK("https://klasma.github.io/Logging_1737/klagomål/A 54532-2023 FSC-klagomål.docx", "A 54532-2023")</f>
        <v/>
      </c>
      <c r="AB736">
        <f>HYPERLINK("https://klasma.github.io/Logging_1737/klagomålsmail/A 54532-2023 FSC-klagomål mail.docx", "A 54532-2023")</f>
        <v/>
      </c>
      <c r="AC736">
        <f>HYPERLINK("https://klasma.github.io/Logging_1737/tillsyn/A 54532-2023 tillsynsbegäran.docx", "A 54532-2023")</f>
        <v/>
      </c>
      <c r="AD736">
        <f>HYPERLINK("https://klasma.github.io/Logging_1737/tillsynsmail/A 54532-2023 tillsynsbegäran mail.docx", "A 54532-2023")</f>
        <v/>
      </c>
    </row>
    <row r="737" ht="15" customHeight="1">
      <c r="A737" t="inlineStr">
        <is>
          <t>A 35077-2024</t>
        </is>
      </c>
      <c r="B737" t="inlineStr">
        <is>
          <t>avverkningsanmälan</t>
        </is>
      </c>
      <c r="C737" t="inlineStr">
        <is>
          <t>Föryngringsavverkning</t>
        </is>
      </c>
      <c r="D737" s="1" t="n">
        <v>45527</v>
      </c>
      <c r="E737" s="1" t="n">
        <v>46307</v>
      </c>
      <c r="F737" t="inlineStr">
        <is>
          <t>VÄRMLANDS LÄN</t>
        </is>
      </c>
      <c r="G737" t="inlineStr">
        <is>
          <t>GRUMS</t>
        </is>
      </c>
      <c r="I737" t="n">
        <v>2.1</v>
      </c>
      <c r="J737" t="n">
        <v>1</v>
      </c>
      <c r="K737" t="n">
        <v>0</v>
      </c>
      <c r="L737" t="n">
        <v>0</v>
      </c>
      <c r="M737" t="n">
        <v>1</v>
      </c>
      <c r="N737" t="n">
        <v>0</v>
      </c>
      <c r="O737" t="n">
        <v>0</v>
      </c>
      <c r="P737" t="n">
        <v>0</v>
      </c>
      <c r="Q737" t="n">
        <v>1</v>
      </c>
      <c r="R737" t="n">
        <v>1</v>
      </c>
      <c r="S737" t="n">
        <v>1</v>
      </c>
      <c r="T737" t="n">
        <v>1</v>
      </c>
      <c r="U737" t="n">
        <v>0</v>
      </c>
      <c r="V737" s="2" t="inlineStr">
        <is>
          <t>Knärot</t>
        </is>
      </c>
      <c r="W737">
        <f>HYPERLINK("https://klasma.github.io/Logging_1764/artfynd/A 35077-2024 artfynd.xlsx", "A 35077-2024")</f>
        <v/>
      </c>
      <c r="X737">
        <f>HYPERLINK("https://klasma.github.io/Logging_1764/kartor/A 35077-2024 karta.png", "A 35077-2024")</f>
        <v/>
      </c>
      <c r="Y737">
        <f>HYPERLINK("https://klasma.github.io/Logging_1764/kartor_geotiff/A 35077-2024 georefererad karta.tif", "A 35077-2024")</f>
        <v/>
      </c>
      <c r="Z737">
        <f>HYPERLINK("https://klasma.github.io/Logging_1764/knärot/A 35077-2024 karta knärot.png", "A 35077-2024")</f>
        <v/>
      </c>
      <c r="AA737">
        <f>HYPERLINK("https://klasma.github.io/Logging_1764/klagomål/A 35077-2024 FSC-klagomål.docx", "A 35077-2024")</f>
        <v/>
      </c>
      <c r="AB737">
        <f>HYPERLINK("https://klasma.github.io/Logging_1764/klagomålsmail/A 35077-2024 FSC-klagomål mail.docx", "A 35077-2024")</f>
        <v/>
      </c>
      <c r="AC737">
        <f>HYPERLINK("https://klasma.github.io/Logging_1764/tillsyn/A 35077-2024 tillsynsbegäran.docx", "A 35077-2024")</f>
        <v/>
      </c>
      <c r="AD737">
        <f>HYPERLINK("https://klasma.github.io/Logging_1764/tillsynsmail/A 35077-2024 tillsynsbegäran mail.docx", "A 35077-2024")</f>
        <v/>
      </c>
    </row>
    <row r="738" ht="15" customHeight="1">
      <c r="A738" t="inlineStr">
        <is>
          <t>A 54950-2022</t>
        </is>
      </c>
      <c r="B738" t="inlineStr">
        <is>
          <t>avverkningsanmälan</t>
        </is>
      </c>
      <c r="C738" t="inlineStr">
        <is>
          <t>Föryngringsavverkning</t>
        </is>
      </c>
      <c r="D738" s="1" t="n">
        <v>44886</v>
      </c>
      <c r="E738" s="1" t="n">
        <v>46307</v>
      </c>
      <c r="F738" t="inlineStr">
        <is>
          <t>VÄRMLANDS LÄN</t>
        </is>
      </c>
      <c r="G738" t="inlineStr">
        <is>
          <t>ÅRJÄNG</t>
        </is>
      </c>
      <c r="I738" t="n">
        <v>13</v>
      </c>
      <c r="J738" t="n">
        <v>0</v>
      </c>
      <c r="K738" t="n">
        <v>0</v>
      </c>
      <c r="L738" t="n">
        <v>1</v>
      </c>
      <c r="M738" t="n">
        <v>0</v>
      </c>
      <c r="N738" t="n">
        <v>0</v>
      </c>
      <c r="O738" t="n">
        <v>0</v>
      </c>
      <c r="P738" t="n">
        <v>0</v>
      </c>
      <c r="Q738" t="n">
        <v>1</v>
      </c>
      <c r="R738" t="n">
        <v>0</v>
      </c>
      <c r="S738" t="n">
        <v>1</v>
      </c>
      <c r="T738" t="n">
        <v>1</v>
      </c>
      <c r="U738" t="n">
        <v>0</v>
      </c>
      <c r="V738" s="2" t="inlineStr">
        <is>
          <t>Kandelabersvamp</t>
        </is>
      </c>
      <c r="W738">
        <f>HYPERLINK("https://klasma.github.io/Logging_1765/artfynd/A 54950-2022 artfynd.xlsx", "A 54950-2022")</f>
        <v/>
      </c>
      <c r="X738">
        <f>HYPERLINK("https://klasma.github.io/Logging_1765/kartor/A 54950-2022 karta.png", "A 54950-2022")</f>
        <v/>
      </c>
      <c r="Y738">
        <f>HYPERLINK("https://klasma.github.io/Logging_1765/kartor_geotiff/A 54950-2022 georefererad karta.tif", "A 54950-2022")</f>
        <v/>
      </c>
      <c r="AA738">
        <f>HYPERLINK("https://klasma.github.io/Logging_1765/klagomål/A 54950-2022 FSC-klagomål.docx", "A 54950-2022")</f>
        <v/>
      </c>
      <c r="AB738">
        <f>HYPERLINK("https://klasma.github.io/Logging_1765/klagomålsmail/A 54950-2022 FSC-klagomål mail.docx", "A 54950-2022")</f>
        <v/>
      </c>
      <c r="AC738">
        <f>HYPERLINK("https://klasma.github.io/Logging_1765/tillsyn/A 54950-2022 tillsynsbegäran.docx", "A 54950-2022")</f>
        <v/>
      </c>
      <c r="AD738">
        <f>HYPERLINK("https://klasma.github.io/Logging_1765/tillsynsmail/A 54950-2022 tillsynsbegäran mail.docx", "A 54950-2022")</f>
        <v/>
      </c>
    </row>
    <row r="739" ht="15" customHeight="1">
      <c r="A739" t="inlineStr">
        <is>
          <t>A 21919-2023</t>
        </is>
      </c>
      <c r="B739" t="inlineStr">
        <is>
          <t>avverkningsanmälan</t>
        </is>
      </c>
      <c r="C739" t="inlineStr">
        <is>
          <t>Föryngringsavverkning</t>
        </is>
      </c>
      <c r="D739" s="1" t="n">
        <v>45068</v>
      </c>
      <c r="E739" s="1" t="n">
        <v>46307</v>
      </c>
      <c r="F739" t="inlineStr">
        <is>
          <t>VÄRMLANDS LÄN</t>
        </is>
      </c>
      <c r="G739" t="inlineStr">
        <is>
          <t>KARLSTAD</t>
        </is>
      </c>
      <c r="I739" t="n">
        <v>2.5</v>
      </c>
      <c r="J739" t="n">
        <v>1</v>
      </c>
      <c r="K739" t="n">
        <v>0</v>
      </c>
      <c r="L739" t="n">
        <v>0</v>
      </c>
      <c r="M739" t="n">
        <v>0</v>
      </c>
      <c r="N739" t="n">
        <v>0</v>
      </c>
      <c r="O739" t="n">
        <v>0</v>
      </c>
      <c r="P739" t="n">
        <v>0</v>
      </c>
      <c r="Q739" t="n">
        <v>0</v>
      </c>
      <c r="R739" t="n">
        <v>0</v>
      </c>
      <c r="S739" t="n">
        <v>1</v>
      </c>
      <c r="T739" t="n">
        <v>1</v>
      </c>
      <c r="U739" t="n">
        <v>0</v>
      </c>
      <c r="V739" s="2" t="inlineStr">
        <is>
          <t>Revlummer</t>
        </is>
      </c>
      <c r="W739">
        <f>HYPERLINK("https://klasma.github.io/Logging_1780/artfynd/A 21919-2023 artfynd.xlsx", "A 21919-2023")</f>
        <v/>
      </c>
      <c r="X739">
        <f>HYPERLINK("https://klasma.github.io/Logging_1780/kartor/A 21919-2023 karta.png", "A 21919-2023")</f>
        <v/>
      </c>
      <c r="Y739">
        <f>HYPERLINK("https://klasma.github.io/Logging_1780/kartor_geotiff/A 21919-2023 georefererad karta.tif", "A 21919-2023")</f>
        <v/>
      </c>
      <c r="AA739">
        <f>HYPERLINK("https://klasma.github.io/Logging_1780/klagomål/A 21919-2023 FSC-klagomål.docx", "A 21919-2023")</f>
        <v/>
      </c>
      <c r="AB739">
        <f>HYPERLINK("https://klasma.github.io/Logging_1780/klagomålsmail/A 21919-2023 FSC-klagomål mail.docx", "A 21919-2023")</f>
        <v/>
      </c>
      <c r="AC739">
        <f>HYPERLINK("https://klasma.github.io/Logging_1780/tillsyn/A 21919-2023 tillsynsbegäran.docx", "A 21919-2023")</f>
        <v/>
      </c>
      <c r="AD739">
        <f>HYPERLINK("https://klasma.github.io/Logging_1780/tillsynsmail/A 21919-2023 tillsynsbegäran mail.docx", "A 21919-2023")</f>
        <v/>
      </c>
    </row>
    <row r="740" ht="15" customHeight="1">
      <c r="A740" t="inlineStr">
        <is>
          <t>A 14762-2026</t>
        </is>
      </c>
      <c r="B740" t="inlineStr">
        <is>
          <t>avverkningsanmälan</t>
        </is>
      </c>
      <c r="C740" t="inlineStr">
        <is>
          <t>Föryngringsavverkning</t>
        </is>
      </c>
      <c r="D740" s="1" t="n">
        <v>46101</v>
      </c>
      <c r="E740" s="1" t="n">
        <v>46307</v>
      </c>
      <c r="F740" t="inlineStr">
        <is>
          <t>VÄRMLANDS LÄN</t>
        </is>
      </c>
      <c r="G740" t="inlineStr">
        <is>
          <t>KRISTINEHAMN</t>
        </is>
      </c>
      <c r="H740" t="inlineStr">
        <is>
          <t>Sveaskog</t>
        </is>
      </c>
      <c r="I740" t="n">
        <v>3.2</v>
      </c>
      <c r="J740" t="n">
        <v>1</v>
      </c>
      <c r="K740" t="n">
        <v>0</v>
      </c>
      <c r="L740" t="n">
        <v>0</v>
      </c>
      <c r="M740" t="n">
        <v>0</v>
      </c>
      <c r="N740" t="n">
        <v>0</v>
      </c>
      <c r="O740" t="n">
        <v>0</v>
      </c>
      <c r="P740" t="n">
        <v>0</v>
      </c>
      <c r="Q740" t="n">
        <v>0</v>
      </c>
      <c r="R740" t="n">
        <v>0</v>
      </c>
      <c r="S740" t="n">
        <v>1</v>
      </c>
      <c r="T740" t="n">
        <v>2</v>
      </c>
      <c r="U740" t="n">
        <v>0</v>
      </c>
      <c r="V740" s="2" t="inlineStr">
        <is>
          <t>Fläcknycklar</t>
        </is>
      </c>
      <c r="W740">
        <f>HYPERLINK("https://klasma.github.io/Logging_1781/artfynd/A 14762-2026 artfynd.xlsx", "A 14762-2026")</f>
        <v/>
      </c>
      <c r="X740">
        <f>HYPERLINK("https://klasma.github.io/Logging_1781/kartor/A 14762-2026 karta.png", "A 14762-2026")</f>
        <v/>
      </c>
      <c r="Y740">
        <f>HYPERLINK("https://klasma.github.io/Logging_1781/kartor_geotiff/A 14762-2026 georefererad karta.tif", "A 14762-2026")</f>
        <v/>
      </c>
      <c r="AA740">
        <f>HYPERLINK("https://klasma.github.io/Logging_1781/klagomål/A 14762-2026 FSC-klagomål.docx", "A 14762-2026")</f>
        <v/>
      </c>
      <c r="AB740">
        <f>HYPERLINK("https://klasma.github.io/Logging_1781/klagomålsmail/A 14762-2026 FSC-klagomål mail.docx", "A 14762-2026")</f>
        <v/>
      </c>
      <c r="AC740">
        <f>HYPERLINK("https://klasma.github.io/Logging_1781/tillsyn/A 14762-2026 tillsynsbegäran.docx", "A 14762-2026")</f>
        <v/>
      </c>
      <c r="AD740">
        <f>HYPERLINK("https://klasma.github.io/Logging_1781/tillsynsmail/A 14762-2026 tillsynsbegäran mail.docx", "A 14762-2026")</f>
        <v/>
      </c>
    </row>
    <row r="741" ht="15" customHeight="1">
      <c r="A741" t="inlineStr">
        <is>
          <t>A 13121-2023</t>
        </is>
      </c>
      <c r="B741" t="inlineStr">
        <is>
          <t>avverkningsanmälan</t>
        </is>
      </c>
      <c r="C741" t="inlineStr">
        <is>
          <t>Avverkning för annat ändamål</t>
        </is>
      </c>
      <c r="D741" s="1" t="n">
        <v>45002</v>
      </c>
      <c r="E741" s="1" t="n">
        <v>46307</v>
      </c>
      <c r="F741" t="inlineStr">
        <is>
          <t>VÄRMLANDS LÄN</t>
        </is>
      </c>
      <c r="G741" t="inlineStr">
        <is>
          <t>GRUMS</t>
        </is>
      </c>
      <c r="I741" t="n">
        <v>0.6</v>
      </c>
      <c r="J741" t="n">
        <v>1</v>
      </c>
      <c r="K741" t="n">
        <v>0</v>
      </c>
      <c r="L741" t="n">
        <v>0</v>
      </c>
      <c r="M741" t="n">
        <v>0</v>
      </c>
      <c r="N741" t="n">
        <v>0</v>
      </c>
      <c r="O741" t="n">
        <v>0</v>
      </c>
      <c r="P741" t="n">
        <v>0</v>
      </c>
      <c r="Q741" t="n">
        <v>0</v>
      </c>
      <c r="R741" t="n">
        <v>0</v>
      </c>
      <c r="S741" t="n">
        <v>1</v>
      </c>
      <c r="T741" t="n">
        <v>1</v>
      </c>
      <c r="U741" t="n">
        <v>1</v>
      </c>
      <c r="V741" s="2" t="inlineStr">
        <is>
          <t>Revlummer</t>
        </is>
      </c>
      <c r="W741">
        <f>HYPERLINK("https://klasma.github.io/Logging_1764/artfynd/A 13121-2023 artfynd.xlsx", "A 13121-2023")</f>
        <v/>
      </c>
      <c r="X741">
        <f>HYPERLINK("https://klasma.github.io/Logging_1764/kartor/A 13121-2023 karta.png", "A 13121-2023")</f>
        <v/>
      </c>
      <c r="Y741">
        <f>HYPERLINK("https://klasma.github.io/Logging_1764/kartor_geotiff/A 13121-2023 georefererad karta.tif", "A 13121-2023")</f>
        <v/>
      </c>
      <c r="AA741">
        <f>HYPERLINK("https://klasma.github.io/Logging_1764/klagomål/A 13121-2023 FSC-klagomål.docx", "A 13121-2023")</f>
        <v/>
      </c>
      <c r="AB741">
        <f>HYPERLINK("https://klasma.github.io/Logging_1764/klagomålsmail/A 13121-2023 FSC-klagomål mail.docx", "A 13121-2023")</f>
        <v/>
      </c>
      <c r="AC741">
        <f>HYPERLINK("https://klasma.github.io/Logging_1764/tillsyn/A 13121-2023 tillsynsbegäran.docx", "A 13121-2023")</f>
        <v/>
      </c>
      <c r="AD741">
        <f>HYPERLINK("https://klasma.github.io/Logging_1764/tillsynsmail/A 13121-2023 tillsynsbegäran mail.docx", "A 13121-2023")</f>
        <v/>
      </c>
    </row>
    <row r="742" ht="15" customHeight="1">
      <c r="A742" t="inlineStr">
        <is>
          <t>A 58734-2025</t>
        </is>
      </c>
      <c r="B742" t="inlineStr">
        <is>
          <t>avverkningsanmälan</t>
        </is>
      </c>
      <c r="C742" t="inlineStr">
        <is>
          <t>Föryngringsavverkning</t>
        </is>
      </c>
      <c r="D742" s="1" t="n">
        <v>45986</v>
      </c>
      <c r="E742" s="1" t="n">
        <v>46307</v>
      </c>
      <c r="F742" t="inlineStr">
        <is>
          <t>VÄRMLANDS LÄN</t>
        </is>
      </c>
      <c r="G742" t="inlineStr">
        <is>
          <t>FILIPSTAD</t>
        </is>
      </c>
      <c r="H742" t="inlineStr">
        <is>
          <t>Bergvik skog väst AB</t>
        </is>
      </c>
      <c r="I742" t="n">
        <v>18.2</v>
      </c>
      <c r="J742" t="n">
        <v>1</v>
      </c>
      <c r="K742" t="n">
        <v>0</v>
      </c>
      <c r="L742" t="n">
        <v>1</v>
      </c>
      <c r="M742" t="n">
        <v>0</v>
      </c>
      <c r="N742" t="n">
        <v>0</v>
      </c>
      <c r="O742" t="n">
        <v>0</v>
      </c>
      <c r="P742" t="n">
        <v>0</v>
      </c>
      <c r="Q742" t="n">
        <v>1</v>
      </c>
      <c r="R742" t="n">
        <v>0</v>
      </c>
      <c r="S742" t="n">
        <v>1</v>
      </c>
      <c r="T742" t="n">
        <v>1</v>
      </c>
      <c r="U742" t="n">
        <v>0</v>
      </c>
      <c r="V742" s="2" t="inlineStr">
        <is>
          <t>Tretåig hackspett</t>
        </is>
      </c>
      <c r="W742">
        <f>HYPERLINK("https://klasma.github.io/Logging_1782/artfynd/A 58734-2025 artfynd.xlsx", "A 58734-2025")</f>
        <v/>
      </c>
      <c r="X742">
        <f>HYPERLINK("https://klasma.github.io/Logging_1782/kartor/A 58734-2025 karta.png", "A 58734-2025")</f>
        <v/>
      </c>
      <c r="Y742">
        <f>HYPERLINK("https://klasma.github.io/Logging_1782/kartor_geotiff/A 58734-2025 georefererad karta.tif", "A 58734-2025")</f>
        <v/>
      </c>
      <c r="AA742">
        <f>HYPERLINK("https://klasma.github.io/Logging_1782/klagomål/A 58734-2025 FSC-klagomål.docx", "A 58734-2025")</f>
        <v/>
      </c>
      <c r="AB742">
        <f>HYPERLINK("https://klasma.github.io/Logging_1782/klagomålsmail/A 58734-2025 FSC-klagomål mail.docx", "A 58734-2025")</f>
        <v/>
      </c>
      <c r="AC742">
        <f>HYPERLINK("https://klasma.github.io/Logging_1782/tillsyn/A 58734-2025 tillsynsbegäran.docx", "A 58734-2025")</f>
        <v/>
      </c>
      <c r="AD742">
        <f>HYPERLINK("https://klasma.github.io/Logging_1782/tillsynsmail/A 58734-2025 tillsynsbegäran mail.docx", "A 58734-2025")</f>
        <v/>
      </c>
      <c r="AE742">
        <f>HYPERLINK("https://klasma.github.io/Logging_1782/fåglar/A 58734-2025 prioriterade fågelarter.docx", "A 58734-2025")</f>
        <v/>
      </c>
    </row>
    <row r="743" ht="15" customHeight="1">
      <c r="A743" t="inlineStr">
        <is>
          <t>A 14760-2026</t>
        </is>
      </c>
      <c r="B743" t="inlineStr">
        <is>
          <t>avverkningsanmälan</t>
        </is>
      </c>
      <c r="C743" t="inlineStr">
        <is>
          <t>Föryngringsavverkning</t>
        </is>
      </c>
      <c r="D743" s="1" t="n">
        <v>46101</v>
      </c>
      <c r="E743" s="1" t="n">
        <v>46307</v>
      </c>
      <c r="F743" t="inlineStr">
        <is>
          <t>VÄRMLANDS LÄN</t>
        </is>
      </c>
      <c r="G743" t="inlineStr">
        <is>
          <t>KRISTINEHAMN</t>
        </is>
      </c>
      <c r="H743" t="inlineStr">
        <is>
          <t>Sveaskog</t>
        </is>
      </c>
      <c r="I743" t="n">
        <v>8.300000000000001</v>
      </c>
      <c r="J743" t="n">
        <v>1</v>
      </c>
      <c r="K743" t="n">
        <v>0</v>
      </c>
      <c r="L743" t="n">
        <v>0</v>
      </c>
      <c r="M743" t="n">
        <v>0</v>
      </c>
      <c r="N743" t="n">
        <v>0</v>
      </c>
      <c r="O743" t="n">
        <v>0</v>
      </c>
      <c r="P743" t="n">
        <v>0</v>
      </c>
      <c r="Q743" t="n">
        <v>0</v>
      </c>
      <c r="R743" t="n">
        <v>0</v>
      </c>
      <c r="S743" t="n">
        <v>1</v>
      </c>
      <c r="T743" t="n">
        <v>2</v>
      </c>
      <c r="U743" t="n">
        <v>0</v>
      </c>
      <c r="V743" s="2" t="inlineStr">
        <is>
          <t>Fläcknycklar</t>
        </is>
      </c>
      <c r="W743">
        <f>HYPERLINK("https://klasma.github.io/Logging_1781/artfynd/A 14760-2026 artfynd.xlsx", "A 14760-2026")</f>
        <v/>
      </c>
      <c r="X743">
        <f>HYPERLINK("https://klasma.github.io/Logging_1781/kartor/A 14760-2026 karta.png", "A 14760-2026")</f>
        <v/>
      </c>
      <c r="Y743">
        <f>HYPERLINK("https://klasma.github.io/Logging_1781/kartor_geotiff/A 14760-2026 georefererad karta.tif", "A 14760-2026")</f>
        <v/>
      </c>
      <c r="AA743">
        <f>HYPERLINK("https://klasma.github.io/Logging_1781/klagomål/A 14760-2026 FSC-klagomål.docx", "A 14760-2026")</f>
        <v/>
      </c>
      <c r="AB743">
        <f>HYPERLINK("https://klasma.github.io/Logging_1781/klagomålsmail/A 14760-2026 FSC-klagomål mail.docx", "A 14760-2026")</f>
        <v/>
      </c>
      <c r="AC743">
        <f>HYPERLINK("https://klasma.github.io/Logging_1781/tillsyn/A 14760-2026 tillsynsbegäran.docx", "A 14760-2026")</f>
        <v/>
      </c>
      <c r="AD743">
        <f>HYPERLINK("https://klasma.github.io/Logging_1781/tillsynsmail/A 14760-2026 tillsynsbegäran mail.docx", "A 14760-2026")</f>
        <v/>
      </c>
    </row>
    <row r="744" ht="15" customHeight="1">
      <c r="A744" t="inlineStr">
        <is>
          <t>A 14687-2026</t>
        </is>
      </c>
      <c r="B744" t="inlineStr">
        <is>
          <t>avverkningsanmälan</t>
        </is>
      </c>
      <c r="C744" t="inlineStr">
        <is>
          <t>Föryngringsavverkning</t>
        </is>
      </c>
      <c r="D744" s="1" t="n">
        <v>46101</v>
      </c>
      <c r="E744" s="1" t="n">
        <v>46307</v>
      </c>
      <c r="F744" t="inlineStr">
        <is>
          <t>VÄRMLANDS LÄN</t>
        </is>
      </c>
      <c r="G744" t="inlineStr">
        <is>
          <t>TORSBY</t>
        </is>
      </c>
      <c r="H744" t="inlineStr">
        <is>
          <t>Bergvik skog väst AB</t>
        </is>
      </c>
      <c r="I744" t="n">
        <v>32.1</v>
      </c>
      <c r="J744" t="n">
        <v>1</v>
      </c>
      <c r="K744" t="n">
        <v>0</v>
      </c>
      <c r="L744" t="n">
        <v>0</v>
      </c>
      <c r="M744" t="n">
        <v>0</v>
      </c>
      <c r="N744" t="n">
        <v>0</v>
      </c>
      <c r="O744" t="n">
        <v>0</v>
      </c>
      <c r="P744" t="n">
        <v>0</v>
      </c>
      <c r="Q744" t="n">
        <v>0</v>
      </c>
      <c r="R744" t="n">
        <v>0</v>
      </c>
      <c r="S744" t="n">
        <v>1</v>
      </c>
      <c r="T744" t="n">
        <v>1</v>
      </c>
      <c r="U744" t="n">
        <v>0</v>
      </c>
      <c r="V744" s="2" t="inlineStr">
        <is>
          <t>Grönsiska</t>
        </is>
      </c>
      <c r="W744">
        <f>HYPERLINK("https://klasma.github.io/Logging_1737/artfynd/A 14687-2026 artfynd.xlsx", "A 14687-2026")</f>
        <v/>
      </c>
      <c r="X744">
        <f>HYPERLINK("https://klasma.github.io/Logging_1737/kartor/A 14687-2026 karta.png", "A 14687-2026")</f>
        <v/>
      </c>
      <c r="Y744">
        <f>HYPERLINK("https://klasma.github.io/Logging_1737/kartor_geotiff/A 14687-2026 georefererad karta.tif", "A 14687-2026")</f>
        <v/>
      </c>
      <c r="AA744">
        <f>HYPERLINK("https://klasma.github.io/Logging_1737/klagomål/A 14687-2026 FSC-klagomål.docx", "A 14687-2026")</f>
        <v/>
      </c>
      <c r="AB744">
        <f>HYPERLINK("https://klasma.github.io/Logging_1737/klagomålsmail/A 14687-2026 FSC-klagomål mail.docx", "A 14687-2026")</f>
        <v/>
      </c>
      <c r="AC744">
        <f>HYPERLINK("https://klasma.github.io/Logging_1737/tillsyn/A 14687-2026 tillsynsbegäran.docx", "A 14687-2026")</f>
        <v/>
      </c>
      <c r="AD744">
        <f>HYPERLINK("https://klasma.github.io/Logging_1737/tillsynsmail/A 14687-2026 tillsynsbegäran mail.docx", "A 14687-2026")</f>
        <v/>
      </c>
    </row>
    <row r="745" ht="15" customHeight="1">
      <c r="A745" t="inlineStr">
        <is>
          <t>A 15345-2026</t>
        </is>
      </c>
      <c r="B745" t="inlineStr">
        <is>
          <t>avverkningsanmälan</t>
        </is>
      </c>
      <c r="C745" t="inlineStr">
        <is>
          <t>Föryngringsavverkning</t>
        </is>
      </c>
      <c r="D745" s="1" t="n">
        <v>46105</v>
      </c>
      <c r="E745" s="1" t="n">
        <v>46307</v>
      </c>
      <c r="F745" t="inlineStr">
        <is>
          <t>VÄRMLANDS LÄN</t>
        </is>
      </c>
      <c r="G745" t="inlineStr">
        <is>
          <t>TORSBY</t>
        </is>
      </c>
      <c r="H745" t="inlineStr">
        <is>
          <t>Bergvik skog väst AB</t>
        </is>
      </c>
      <c r="I745" t="n">
        <v>37.3</v>
      </c>
      <c r="J745" t="n">
        <v>1</v>
      </c>
      <c r="K745" t="n">
        <v>0</v>
      </c>
      <c r="L745" t="n">
        <v>0</v>
      </c>
      <c r="M745" t="n">
        <v>0</v>
      </c>
      <c r="N745" t="n">
        <v>0</v>
      </c>
      <c r="O745" t="n">
        <v>0</v>
      </c>
      <c r="P745" t="n">
        <v>0</v>
      </c>
      <c r="Q745" t="n">
        <v>0</v>
      </c>
      <c r="R745" t="n">
        <v>0</v>
      </c>
      <c r="S745" t="n">
        <v>1</v>
      </c>
      <c r="T745" t="n">
        <v>1</v>
      </c>
      <c r="U745" t="n">
        <v>0</v>
      </c>
      <c r="V745" s="2" t="inlineStr">
        <is>
          <t>Grönsiska</t>
        </is>
      </c>
      <c r="W745">
        <f>HYPERLINK("https://klasma.github.io/Logging_1737/artfynd/A 15345-2026 artfynd.xlsx", "A 15345-2026")</f>
        <v/>
      </c>
      <c r="X745">
        <f>HYPERLINK("https://klasma.github.io/Logging_1737/kartor/A 15345-2026 karta.png", "A 15345-2026")</f>
        <v/>
      </c>
      <c r="Y745">
        <f>HYPERLINK("https://klasma.github.io/Logging_1737/kartor_geotiff/A 15345-2026 georefererad karta.tif", "A 15345-2026")</f>
        <v/>
      </c>
      <c r="AA745">
        <f>HYPERLINK("https://klasma.github.io/Logging_1737/klagomål/A 15345-2026 FSC-klagomål.docx", "A 15345-2026")</f>
        <v/>
      </c>
      <c r="AB745">
        <f>HYPERLINK("https://klasma.github.io/Logging_1737/klagomålsmail/A 15345-2026 FSC-klagomål mail.docx", "A 15345-2026")</f>
        <v/>
      </c>
      <c r="AC745">
        <f>HYPERLINK("https://klasma.github.io/Logging_1737/tillsyn/A 15345-2026 tillsynsbegäran.docx", "A 15345-2026")</f>
        <v/>
      </c>
      <c r="AD745">
        <f>HYPERLINK("https://klasma.github.io/Logging_1737/tillsynsmail/A 15345-2026 tillsynsbegäran mail.docx", "A 15345-2026")</f>
        <v/>
      </c>
    </row>
    <row r="746" ht="15" customHeight="1">
      <c r="A746" t="inlineStr">
        <is>
          <t>A 46376-2023</t>
        </is>
      </c>
      <c r="B746" t="inlineStr">
        <is>
          <t>avverkningsanmälan</t>
        </is>
      </c>
      <c r="C746" t="inlineStr">
        <is>
          <t>Föryngringsavverkning</t>
        </is>
      </c>
      <c r="D746" s="1" t="n">
        <v>45197</v>
      </c>
      <c r="E746" s="1" t="n">
        <v>46307</v>
      </c>
      <c r="F746" t="inlineStr">
        <is>
          <t>VÄRMLANDS LÄN</t>
        </is>
      </c>
      <c r="G746" t="inlineStr">
        <is>
          <t>STORFORS</t>
        </is>
      </c>
      <c r="I746" t="n">
        <v>0.7</v>
      </c>
      <c r="J746" t="n">
        <v>0</v>
      </c>
      <c r="K746" t="n">
        <v>0</v>
      </c>
      <c r="L746" t="n">
        <v>0</v>
      </c>
      <c r="M746" t="n">
        <v>1</v>
      </c>
      <c r="N746" t="n">
        <v>0</v>
      </c>
      <c r="O746" t="n">
        <v>0</v>
      </c>
      <c r="P746" t="n">
        <v>0</v>
      </c>
      <c r="Q746" t="n">
        <v>1</v>
      </c>
      <c r="R746" t="n">
        <v>1</v>
      </c>
      <c r="S746" t="n">
        <v>1</v>
      </c>
      <c r="T746" t="n">
        <v>1</v>
      </c>
      <c r="U746" t="n">
        <v>1</v>
      </c>
      <c r="V746" s="2" t="inlineStr">
        <is>
          <t>Igelkott</t>
        </is>
      </c>
      <c r="W746">
        <f>HYPERLINK("https://klasma.github.io/Logging_1760/artfynd/A 46376-2023 artfynd.xlsx", "A 46376-2023")</f>
        <v/>
      </c>
      <c r="X746">
        <f>HYPERLINK("https://klasma.github.io/Logging_1760/kartor/A 46376-2023 karta.png", "A 46376-2023")</f>
        <v/>
      </c>
      <c r="Y746">
        <f>HYPERLINK("https://klasma.github.io/Logging_1760/kartor_geotiff/A 46376-2023 georefererad karta.tif", "A 46376-2023")</f>
        <v/>
      </c>
      <c r="AA746">
        <f>HYPERLINK("https://klasma.github.io/Logging_1760/klagomål/A 46376-2023 FSC-klagomål.docx", "A 46376-2023")</f>
        <v/>
      </c>
      <c r="AB746">
        <f>HYPERLINK("https://klasma.github.io/Logging_1760/klagomålsmail/A 46376-2023 FSC-klagomål mail.docx", "A 46376-2023")</f>
        <v/>
      </c>
      <c r="AC746">
        <f>HYPERLINK("https://klasma.github.io/Logging_1760/tillsyn/A 46376-2023 tillsynsbegäran.docx", "A 46376-2023")</f>
        <v/>
      </c>
      <c r="AD746">
        <f>HYPERLINK("https://klasma.github.io/Logging_1760/tillsynsmail/A 46376-2023 tillsynsbegäran mail.docx", "A 46376-2023")</f>
        <v/>
      </c>
    </row>
    <row r="747" ht="15" customHeight="1">
      <c r="A747" t="inlineStr">
        <is>
          <t>A 5965-2024</t>
        </is>
      </c>
      <c r="B747" t="inlineStr">
        <is>
          <t>avverkningsanmälan</t>
        </is>
      </c>
      <c r="C747" t="inlineStr">
        <is>
          <t>Föryngringsavverkning</t>
        </is>
      </c>
      <c r="D747" s="1" t="n">
        <v>45336</v>
      </c>
      <c r="E747" s="1" t="n">
        <v>46307</v>
      </c>
      <c r="F747" t="inlineStr">
        <is>
          <t>VÄRMLANDS LÄN</t>
        </is>
      </c>
      <c r="G747" t="inlineStr">
        <is>
          <t>ARVIKA</t>
        </is>
      </c>
      <c r="I747" t="n">
        <v>4.2</v>
      </c>
      <c r="J747" t="n">
        <v>1</v>
      </c>
      <c r="K747" t="n">
        <v>0</v>
      </c>
      <c r="L747" t="n">
        <v>0</v>
      </c>
      <c r="M747" t="n">
        <v>0</v>
      </c>
      <c r="N747" t="n">
        <v>0</v>
      </c>
      <c r="O747" t="n">
        <v>0</v>
      </c>
      <c r="P747" t="n">
        <v>0</v>
      </c>
      <c r="Q747" t="n">
        <v>0</v>
      </c>
      <c r="R747" t="n">
        <v>0</v>
      </c>
      <c r="S747" t="n">
        <v>1</v>
      </c>
      <c r="T747" t="n">
        <v>4</v>
      </c>
      <c r="U747" t="n">
        <v>4</v>
      </c>
      <c r="V747" s="2" t="inlineStr">
        <is>
          <t>Revlummer</t>
        </is>
      </c>
      <c r="W747">
        <f>HYPERLINK("https://klasma.github.io/Logging_1784/artfynd/A 5965-2024 artfynd.xlsx", "A 5965-2024")</f>
        <v/>
      </c>
      <c r="X747">
        <f>HYPERLINK("https://klasma.github.io/Logging_1784/kartor/A 5965-2024 karta.png", "A 5965-2024")</f>
        <v/>
      </c>
      <c r="Y747">
        <f>HYPERLINK("https://klasma.github.io/Logging_1784/kartor_geotiff/A 5965-2024 georefererad karta.tif", "A 5965-2024")</f>
        <v/>
      </c>
      <c r="AA747">
        <f>HYPERLINK("https://klasma.github.io/Logging_1784/klagomål/A 5965-2024 FSC-klagomål.docx", "A 5965-2024")</f>
        <v/>
      </c>
      <c r="AB747">
        <f>HYPERLINK("https://klasma.github.io/Logging_1784/klagomålsmail/A 5965-2024 FSC-klagomål mail.docx", "A 5965-2024")</f>
        <v/>
      </c>
      <c r="AC747">
        <f>HYPERLINK("https://klasma.github.io/Logging_1784/tillsyn/A 5965-2024 tillsynsbegäran.docx", "A 5965-2024")</f>
        <v/>
      </c>
      <c r="AD747">
        <f>HYPERLINK("https://klasma.github.io/Logging_1784/tillsynsmail/A 5965-2024 tillsynsbegäran mail.docx", "A 5965-2024")</f>
        <v/>
      </c>
    </row>
    <row r="748" ht="15" customHeight="1">
      <c r="A748" t="inlineStr">
        <is>
          <t>A 260-2023</t>
        </is>
      </c>
      <c r="B748" t="inlineStr">
        <is>
          <t>avverkningsanmälan</t>
        </is>
      </c>
      <c r="C748" t="inlineStr">
        <is>
          <t>Föryngringsavverkning</t>
        </is>
      </c>
      <c r="D748" s="1" t="n">
        <v>44928</v>
      </c>
      <c r="E748" s="1" t="n">
        <v>46307</v>
      </c>
      <c r="F748" t="inlineStr">
        <is>
          <t>VÄRMLANDS LÄN</t>
        </is>
      </c>
      <c r="G748" t="inlineStr">
        <is>
          <t>SUNNE</t>
        </is>
      </c>
      <c r="I748" t="n">
        <v>16.1</v>
      </c>
      <c r="J748" t="n">
        <v>1</v>
      </c>
      <c r="K748" t="n">
        <v>0</v>
      </c>
      <c r="L748" t="n">
        <v>0</v>
      </c>
      <c r="M748" t="n">
        <v>0</v>
      </c>
      <c r="N748" t="n">
        <v>0</v>
      </c>
      <c r="O748" t="n">
        <v>0</v>
      </c>
      <c r="P748" t="n">
        <v>0</v>
      </c>
      <c r="Q748" t="n">
        <v>0</v>
      </c>
      <c r="R748" t="n">
        <v>0</v>
      </c>
      <c r="S748" t="n">
        <v>1</v>
      </c>
      <c r="T748" t="n">
        <v>6</v>
      </c>
      <c r="U748" t="n">
        <v>6</v>
      </c>
      <c r="V748" s="2" t="inlineStr">
        <is>
          <t>Fläcknycklar</t>
        </is>
      </c>
      <c r="W748">
        <f>HYPERLINK("https://klasma.github.io/Logging_1766/artfynd/A 260-2023 artfynd.xlsx", "A 260-2023")</f>
        <v/>
      </c>
      <c r="X748">
        <f>HYPERLINK("https://klasma.github.io/Logging_1766/kartor/A 260-2023 karta.png", "A 260-2023")</f>
        <v/>
      </c>
      <c r="Y748">
        <f>HYPERLINK("https://klasma.github.io/Logging_1766/kartor_geotiff/A 260-2023 georefererad karta.tif", "A 260-2023")</f>
        <v/>
      </c>
      <c r="AA748">
        <f>HYPERLINK("https://klasma.github.io/Logging_1766/klagomål/A 260-2023 FSC-klagomål.docx", "A 260-2023")</f>
        <v/>
      </c>
      <c r="AB748">
        <f>HYPERLINK("https://klasma.github.io/Logging_1766/klagomålsmail/A 260-2023 FSC-klagomål mail.docx", "A 260-2023")</f>
        <v/>
      </c>
      <c r="AC748">
        <f>HYPERLINK("https://klasma.github.io/Logging_1766/tillsyn/A 260-2023 tillsynsbegäran.docx", "A 260-2023")</f>
        <v/>
      </c>
      <c r="AD748">
        <f>HYPERLINK("https://klasma.github.io/Logging_1766/tillsynsmail/A 260-2023 tillsynsbegäran mail.docx", "A 260-2023")</f>
        <v/>
      </c>
    </row>
    <row r="749" ht="15" customHeight="1">
      <c r="A749" t="inlineStr">
        <is>
          <t>A 18138-2022</t>
        </is>
      </c>
      <c r="B749" t="inlineStr">
        <is>
          <t>avverkningsanmälan</t>
        </is>
      </c>
      <c r="C749" t="inlineStr">
        <is>
          <t>Föryngringsavverkning</t>
        </is>
      </c>
      <c r="D749" s="1" t="n">
        <v>44684</v>
      </c>
      <c r="E749" s="1" t="n">
        <v>46307</v>
      </c>
      <c r="F749" t="inlineStr">
        <is>
          <t>VÄRMLANDS LÄN</t>
        </is>
      </c>
      <c r="G749" t="inlineStr">
        <is>
          <t>FILIPSTAD</t>
        </is>
      </c>
      <c r="I749" t="n">
        <v>2.7</v>
      </c>
      <c r="J749" t="n">
        <v>1</v>
      </c>
      <c r="K749" t="n">
        <v>0</v>
      </c>
      <c r="L749" t="n">
        <v>0</v>
      </c>
      <c r="M749" t="n">
        <v>0</v>
      </c>
      <c r="N749" t="n">
        <v>0</v>
      </c>
      <c r="O749" t="n">
        <v>0</v>
      </c>
      <c r="P749" t="n">
        <v>0</v>
      </c>
      <c r="Q749" t="n">
        <v>0</v>
      </c>
      <c r="R749" t="n">
        <v>0</v>
      </c>
      <c r="S749" t="n">
        <v>1</v>
      </c>
      <c r="T749" t="n">
        <v>1</v>
      </c>
      <c r="U749" t="n">
        <v>1</v>
      </c>
      <c r="V749" s="2" t="inlineStr">
        <is>
          <t>Fläcknycklar</t>
        </is>
      </c>
      <c r="W749">
        <f>HYPERLINK("https://klasma.github.io/Logging_1782/artfynd/A 18138-2022 artfynd.xlsx", "A 18138-2022")</f>
        <v/>
      </c>
      <c r="X749">
        <f>HYPERLINK("https://klasma.github.io/Logging_1782/kartor/A 18138-2022 karta.png", "A 18138-2022")</f>
        <v/>
      </c>
      <c r="Y749">
        <f>HYPERLINK("https://klasma.github.io/Logging_1782/kartor_geotiff/A 18138-2022 georefererad karta.tif", "A 18138-2022")</f>
        <v/>
      </c>
      <c r="AA749">
        <f>HYPERLINK("https://klasma.github.io/Logging_1782/klagomål/A 18138-2022 FSC-klagomål.docx", "A 18138-2022")</f>
        <v/>
      </c>
      <c r="AB749">
        <f>HYPERLINK("https://klasma.github.io/Logging_1782/klagomålsmail/A 18138-2022 FSC-klagomål mail.docx", "A 18138-2022")</f>
        <v/>
      </c>
      <c r="AC749">
        <f>HYPERLINK("https://klasma.github.io/Logging_1782/tillsyn/A 18138-2022 tillsynsbegäran.docx", "A 18138-2022")</f>
        <v/>
      </c>
      <c r="AD749">
        <f>HYPERLINK("https://klasma.github.io/Logging_1782/tillsynsmail/A 18138-2022 tillsynsbegäran mail.docx", "A 18138-2022")</f>
        <v/>
      </c>
    </row>
    <row r="750" ht="15" customHeight="1">
      <c r="A750" t="inlineStr">
        <is>
          <t>A 58396-2025</t>
        </is>
      </c>
      <c r="B750" t="inlineStr">
        <is>
          <t>avverkningsanmälan</t>
        </is>
      </c>
      <c r="C750" t="inlineStr">
        <is>
          <t>Föryngringsavverkning</t>
        </is>
      </c>
      <c r="D750" s="1" t="n">
        <v>45985</v>
      </c>
      <c r="E750" s="1" t="n">
        <v>46307</v>
      </c>
      <c r="F750" t="inlineStr">
        <is>
          <t>VÄRMLANDS LÄN</t>
        </is>
      </c>
      <c r="G750" t="inlineStr">
        <is>
          <t>TORSBY</t>
        </is>
      </c>
      <c r="H750" t="inlineStr">
        <is>
          <t>Bergvik skog väst AB</t>
        </is>
      </c>
      <c r="I750" t="n">
        <v>11.4</v>
      </c>
      <c r="J750" t="n">
        <v>1</v>
      </c>
      <c r="K750" t="n">
        <v>0</v>
      </c>
      <c r="L750" t="n">
        <v>0</v>
      </c>
      <c r="M750" t="n">
        <v>0</v>
      </c>
      <c r="N750" t="n">
        <v>0</v>
      </c>
      <c r="O750" t="n">
        <v>0</v>
      </c>
      <c r="P750" t="n">
        <v>0</v>
      </c>
      <c r="Q750" t="n">
        <v>0</v>
      </c>
      <c r="R750" t="n">
        <v>0</v>
      </c>
      <c r="S750" t="n">
        <v>1</v>
      </c>
      <c r="T750" t="n">
        <v>1</v>
      </c>
      <c r="U750" t="n">
        <v>0</v>
      </c>
      <c r="V750" s="2" t="inlineStr">
        <is>
          <t>Skogsödla</t>
        </is>
      </c>
      <c r="W750">
        <f>HYPERLINK("https://klasma.github.io/Logging_1737/artfynd/A 58396-2025 artfynd.xlsx", "A 58396-2025")</f>
        <v/>
      </c>
      <c r="X750">
        <f>HYPERLINK("https://klasma.github.io/Logging_1737/kartor/A 58396-2025 karta.png", "A 58396-2025")</f>
        <v/>
      </c>
      <c r="Y750">
        <f>HYPERLINK("https://klasma.github.io/Logging_1737/kartor_geotiff/A 58396-2025 georefererad karta.tif", "A 58396-2025")</f>
        <v/>
      </c>
      <c r="AA750">
        <f>HYPERLINK("https://klasma.github.io/Logging_1737/klagomål/A 58396-2025 FSC-klagomål.docx", "A 58396-2025")</f>
        <v/>
      </c>
      <c r="AB750">
        <f>HYPERLINK("https://klasma.github.io/Logging_1737/klagomålsmail/A 58396-2025 FSC-klagomål mail.docx", "A 58396-2025")</f>
        <v/>
      </c>
      <c r="AC750">
        <f>HYPERLINK("https://klasma.github.io/Logging_1737/tillsyn/A 58396-2025 tillsynsbegäran.docx", "A 58396-2025")</f>
        <v/>
      </c>
      <c r="AD750">
        <f>HYPERLINK("https://klasma.github.io/Logging_1737/tillsynsmail/A 58396-2025 tillsynsbegäran mail.docx", "A 58396-2025")</f>
        <v/>
      </c>
    </row>
    <row r="751" ht="15" customHeight="1">
      <c r="A751" t="inlineStr">
        <is>
          <t>A 31339-2023</t>
        </is>
      </c>
      <c r="B751" t="inlineStr">
        <is>
          <t>avverkningsanmälan</t>
        </is>
      </c>
      <c r="C751" t="inlineStr">
        <is>
          <t>Föryngringsavverkning</t>
        </is>
      </c>
      <c r="D751" s="1" t="n">
        <v>45114</v>
      </c>
      <c r="E751" s="1" t="n">
        <v>46307</v>
      </c>
      <c r="F751" t="inlineStr">
        <is>
          <t>VÄRMLANDS LÄN</t>
        </is>
      </c>
      <c r="G751" t="inlineStr">
        <is>
          <t>SUNNE</t>
        </is>
      </c>
      <c r="I751" t="n">
        <v>0.8</v>
      </c>
      <c r="J751" t="n">
        <v>0</v>
      </c>
      <c r="K751" t="n">
        <v>0</v>
      </c>
      <c r="L751" t="n">
        <v>0</v>
      </c>
      <c r="M751" t="n">
        <v>1</v>
      </c>
      <c r="N751" t="n">
        <v>0</v>
      </c>
      <c r="O751" t="n">
        <v>0</v>
      </c>
      <c r="P751" t="n">
        <v>0</v>
      </c>
      <c r="Q751" t="n">
        <v>1</v>
      </c>
      <c r="R751" t="n">
        <v>1</v>
      </c>
      <c r="S751" t="n">
        <v>1</v>
      </c>
      <c r="T751" t="n">
        <v>1</v>
      </c>
      <c r="U751" t="n">
        <v>0</v>
      </c>
      <c r="V751" s="2" t="inlineStr">
        <is>
          <t>Garnlav</t>
        </is>
      </c>
      <c r="W751">
        <f>HYPERLINK("https://klasma.github.io/Logging_1766/artfynd/A 31339-2023 artfynd.xlsx", "A 31339-2023")</f>
        <v/>
      </c>
      <c r="X751">
        <f>HYPERLINK("https://klasma.github.io/Logging_1766/kartor/A 31339-2023 karta.png", "A 31339-2023")</f>
        <v/>
      </c>
      <c r="Y751">
        <f>HYPERLINK("https://klasma.github.io/Logging_1766/kartor_geotiff/A 31339-2023 georefererad karta.tif", "A 31339-2023")</f>
        <v/>
      </c>
      <c r="AA751">
        <f>HYPERLINK("https://klasma.github.io/Logging_1766/klagomål/A 31339-2023 FSC-klagomål.docx", "A 31339-2023")</f>
        <v/>
      </c>
      <c r="AB751">
        <f>HYPERLINK("https://klasma.github.io/Logging_1766/klagomålsmail/A 31339-2023 FSC-klagomål mail.docx", "A 31339-2023")</f>
        <v/>
      </c>
      <c r="AC751">
        <f>HYPERLINK("https://klasma.github.io/Logging_1766/tillsyn/A 31339-2023 tillsynsbegäran.docx", "A 31339-2023")</f>
        <v/>
      </c>
      <c r="AD751">
        <f>HYPERLINK("https://klasma.github.io/Logging_1766/tillsynsmail/A 31339-2023 tillsynsbegäran mail.docx", "A 31339-2023")</f>
        <v/>
      </c>
    </row>
    <row r="752" ht="15" customHeight="1">
      <c r="A752" t="inlineStr">
        <is>
          <t>A 59289-2025</t>
        </is>
      </c>
      <c r="B752" t="inlineStr">
        <is>
          <t>avverkningsanmälan</t>
        </is>
      </c>
      <c r="C752" t="inlineStr">
        <is>
          <t>Föryngringsavverkning</t>
        </is>
      </c>
      <c r="D752" s="1" t="n">
        <v>45988</v>
      </c>
      <c r="E752" s="1" t="n">
        <v>46307</v>
      </c>
      <c r="F752" t="inlineStr">
        <is>
          <t>VÄRMLANDS LÄN</t>
        </is>
      </c>
      <c r="G752" t="inlineStr">
        <is>
          <t>SÄFFLE</t>
        </is>
      </c>
      <c r="I752" t="n">
        <v>0.8</v>
      </c>
      <c r="J752" t="n">
        <v>0</v>
      </c>
      <c r="K752" t="n">
        <v>1</v>
      </c>
      <c r="L752" t="n">
        <v>0</v>
      </c>
      <c r="M752" t="n">
        <v>0</v>
      </c>
      <c r="N752" t="n">
        <v>0</v>
      </c>
      <c r="O752" t="n">
        <v>0</v>
      </c>
      <c r="P752" t="n">
        <v>0</v>
      </c>
      <c r="Q752" t="n">
        <v>0</v>
      </c>
      <c r="R752" t="n">
        <v>0</v>
      </c>
      <c r="S752" t="n">
        <v>1</v>
      </c>
      <c r="T752" t="n">
        <v>1</v>
      </c>
      <c r="U752" t="n">
        <v>0</v>
      </c>
      <c r="V752" s="2" t="inlineStr">
        <is>
          <t>Tibast</t>
        </is>
      </c>
      <c r="W752">
        <f>HYPERLINK("https://klasma.github.io/Logging_1785/artfynd/A 59289-2025 artfynd.xlsx", "A 59289-2025")</f>
        <v/>
      </c>
      <c r="X752">
        <f>HYPERLINK("https://klasma.github.io/Logging_1785/kartor/A 59289-2025 karta.png", "A 59289-2025")</f>
        <v/>
      </c>
      <c r="Y752">
        <f>HYPERLINK("https://klasma.github.io/Logging_1785/kartor_geotiff/A 59289-2025 georefererad karta.tif", "A 59289-2025")</f>
        <v/>
      </c>
      <c r="AA752">
        <f>HYPERLINK("https://klasma.github.io/Logging_1785/klagomål/A 59289-2025 FSC-klagomål.docx", "A 59289-2025")</f>
        <v/>
      </c>
      <c r="AB752">
        <f>HYPERLINK("https://klasma.github.io/Logging_1785/klagomålsmail/A 59289-2025 FSC-klagomål mail.docx", "A 59289-2025")</f>
        <v/>
      </c>
      <c r="AC752">
        <f>HYPERLINK("https://klasma.github.io/Logging_1785/tillsyn/A 59289-2025 tillsynsbegäran.docx", "A 59289-2025")</f>
        <v/>
      </c>
      <c r="AD752">
        <f>HYPERLINK("https://klasma.github.io/Logging_1785/tillsynsmail/A 59289-2025 tillsynsbegäran mail.docx", "A 59289-2025")</f>
        <v/>
      </c>
    </row>
    <row r="753" ht="15" customHeight="1">
      <c r="A753" t="inlineStr">
        <is>
          <t>A 21934-2023</t>
        </is>
      </c>
      <c r="B753" t="inlineStr">
        <is>
          <t>avverkningsanmälan</t>
        </is>
      </c>
      <c r="C753" t="inlineStr">
        <is>
          <t>Föryngringsavverkning</t>
        </is>
      </c>
      <c r="D753" s="1" t="n">
        <v>45068</v>
      </c>
      <c r="E753" s="1" t="n">
        <v>46307</v>
      </c>
      <c r="F753" t="inlineStr">
        <is>
          <t>VÄRMLANDS LÄN</t>
        </is>
      </c>
      <c r="G753" t="inlineStr">
        <is>
          <t>KARLSTAD</t>
        </is>
      </c>
      <c r="I753" t="n">
        <v>1.7</v>
      </c>
      <c r="J753" t="n">
        <v>1</v>
      </c>
      <c r="K753" t="n">
        <v>0</v>
      </c>
      <c r="L753" t="n">
        <v>0</v>
      </c>
      <c r="M753" t="n">
        <v>0</v>
      </c>
      <c r="N753" t="n">
        <v>0</v>
      </c>
      <c r="O753" t="n">
        <v>0</v>
      </c>
      <c r="P753" t="n">
        <v>0</v>
      </c>
      <c r="Q753" t="n">
        <v>0</v>
      </c>
      <c r="R753" t="n">
        <v>0</v>
      </c>
      <c r="S753" t="n">
        <v>1</v>
      </c>
      <c r="T753" t="n">
        <v>1</v>
      </c>
      <c r="U753" t="n">
        <v>0</v>
      </c>
      <c r="V753" s="2" t="inlineStr">
        <is>
          <t>Revlummer</t>
        </is>
      </c>
      <c r="W753">
        <f>HYPERLINK("https://klasma.github.io/Logging_1780/artfynd/A 21934-2023 artfynd.xlsx", "A 21934-2023")</f>
        <v/>
      </c>
      <c r="X753">
        <f>HYPERLINK("https://klasma.github.io/Logging_1780/kartor/A 21934-2023 karta.png", "A 21934-2023")</f>
        <v/>
      </c>
      <c r="Y753">
        <f>HYPERLINK("https://klasma.github.io/Logging_1780/kartor_geotiff/A 21934-2023 georefererad karta.tif", "A 21934-2023")</f>
        <v/>
      </c>
      <c r="AA753">
        <f>HYPERLINK("https://klasma.github.io/Logging_1780/klagomål/A 21934-2023 FSC-klagomål.docx", "A 21934-2023")</f>
        <v/>
      </c>
      <c r="AB753">
        <f>HYPERLINK("https://klasma.github.io/Logging_1780/klagomålsmail/A 21934-2023 FSC-klagomål mail.docx", "A 21934-2023")</f>
        <v/>
      </c>
      <c r="AC753">
        <f>HYPERLINK("https://klasma.github.io/Logging_1780/tillsyn/A 21934-2023 tillsynsbegäran.docx", "A 21934-2023")</f>
        <v/>
      </c>
      <c r="AD753">
        <f>HYPERLINK("https://klasma.github.io/Logging_1780/tillsynsmail/A 21934-2023 tillsynsbegäran mail.docx", "A 21934-2023")</f>
        <v/>
      </c>
    </row>
    <row r="754" ht="15" customHeight="1">
      <c r="A754" t="inlineStr">
        <is>
          <t>A 54771-2022</t>
        </is>
      </c>
      <c r="B754" t="inlineStr">
        <is>
          <t>avverkningsanmälan</t>
        </is>
      </c>
      <c r="C754" t="inlineStr">
        <is>
          <t>Föryngringsavverkning</t>
        </is>
      </c>
      <c r="D754" s="1" t="n">
        <v>44883</v>
      </c>
      <c r="E754" s="1" t="n">
        <v>46307</v>
      </c>
      <c r="F754" t="inlineStr">
        <is>
          <t>VÄRMLANDS LÄN</t>
        </is>
      </c>
      <c r="G754" t="inlineStr">
        <is>
          <t>KRISTINEHAMN</t>
        </is>
      </c>
      <c r="I754" t="n">
        <v>2.2</v>
      </c>
      <c r="J754" t="n">
        <v>1</v>
      </c>
      <c r="K754" t="n">
        <v>0</v>
      </c>
      <c r="L754" t="n">
        <v>0</v>
      </c>
      <c r="M754" t="n">
        <v>0</v>
      </c>
      <c r="N754" t="n">
        <v>0</v>
      </c>
      <c r="O754" t="n">
        <v>0</v>
      </c>
      <c r="P754" t="n">
        <v>0</v>
      </c>
      <c r="Q754" t="n">
        <v>0</v>
      </c>
      <c r="R754" t="n">
        <v>0</v>
      </c>
      <c r="S754" t="n">
        <v>1</v>
      </c>
      <c r="T754" t="n">
        <v>1</v>
      </c>
      <c r="U754" t="n">
        <v>1</v>
      </c>
      <c r="V754" s="2" t="inlineStr">
        <is>
          <t>Röd glada</t>
        </is>
      </c>
      <c r="W754">
        <f>HYPERLINK("https://klasma.github.io/Logging_1781/artfynd/A 54771-2022 artfynd.xlsx", "A 54771-2022")</f>
        <v/>
      </c>
      <c r="X754">
        <f>HYPERLINK("https://klasma.github.io/Logging_1781/kartor/A 54771-2022 karta.png", "A 54771-2022")</f>
        <v/>
      </c>
      <c r="Y754">
        <f>HYPERLINK("https://klasma.github.io/Logging_1781/kartor_geotiff/A 54771-2022 georefererad karta.tif", "A 54771-2022")</f>
        <v/>
      </c>
      <c r="AA754">
        <f>HYPERLINK("https://klasma.github.io/Logging_1781/klagomål/A 54771-2022 FSC-klagomål.docx", "A 54771-2022")</f>
        <v/>
      </c>
      <c r="AB754">
        <f>HYPERLINK("https://klasma.github.io/Logging_1781/klagomålsmail/A 54771-2022 FSC-klagomål mail.docx", "A 54771-2022")</f>
        <v/>
      </c>
      <c r="AC754">
        <f>HYPERLINK("https://klasma.github.io/Logging_1781/tillsyn/A 54771-2022 tillsynsbegäran.docx", "A 54771-2022")</f>
        <v/>
      </c>
      <c r="AD754">
        <f>HYPERLINK("https://klasma.github.io/Logging_1781/tillsynsmail/A 54771-2022 tillsynsbegäran mail.docx", "A 54771-2022")</f>
        <v/>
      </c>
      <c r="AE754">
        <f>HYPERLINK("https://klasma.github.io/Logging_1781/fåglar/A 54771-2022 prioriterade fågelarter.docx", "A 54771-2022")</f>
        <v/>
      </c>
    </row>
    <row r="755" ht="15" customHeight="1">
      <c r="A755" t="inlineStr">
        <is>
          <t>A 22635-2022</t>
        </is>
      </c>
      <c r="B755" t="inlineStr">
        <is>
          <t>avverkningsanmälan</t>
        </is>
      </c>
      <c r="C755" t="inlineStr">
        <is>
          <t>Avverkning för annat ändamål</t>
        </is>
      </c>
      <c r="D755" s="1" t="n">
        <v>44714</v>
      </c>
      <c r="E755" s="1" t="n">
        <v>46307</v>
      </c>
      <c r="F755" t="inlineStr">
        <is>
          <t>VÄRMLANDS LÄN</t>
        </is>
      </c>
      <c r="G755" t="inlineStr">
        <is>
          <t>TORSBY</t>
        </is>
      </c>
      <c r="I755" t="n">
        <v>0.4</v>
      </c>
      <c r="J755" t="n">
        <v>0</v>
      </c>
      <c r="K755" t="n">
        <v>0</v>
      </c>
      <c r="L755" t="n">
        <v>0</v>
      </c>
      <c r="M755" t="n">
        <v>1</v>
      </c>
      <c r="N755" t="n">
        <v>0</v>
      </c>
      <c r="O755" t="n">
        <v>0</v>
      </c>
      <c r="P755" t="n">
        <v>0</v>
      </c>
      <c r="Q755" t="n">
        <v>1</v>
      </c>
      <c r="R755" t="n">
        <v>1</v>
      </c>
      <c r="S755" t="n">
        <v>1</v>
      </c>
      <c r="T755" t="n">
        <v>1</v>
      </c>
      <c r="U755" t="n">
        <v>0</v>
      </c>
      <c r="V755" s="2" t="inlineStr">
        <is>
          <t>Garnlav</t>
        </is>
      </c>
      <c r="W755">
        <f>HYPERLINK("https://klasma.github.io/Logging_1737/artfynd/A 22635-2022 artfynd.xlsx", "A 22635-2022")</f>
        <v/>
      </c>
      <c r="X755">
        <f>HYPERLINK("https://klasma.github.io/Logging_1737/kartor/A 22635-2022 karta.png", "A 22635-2022")</f>
        <v/>
      </c>
      <c r="Y755">
        <f>HYPERLINK("https://klasma.github.io/Logging_1737/kartor_geotiff/A 22635-2022 georefererad karta.tif", "A 22635-2022")</f>
        <v/>
      </c>
      <c r="AA755">
        <f>HYPERLINK("https://klasma.github.io/Logging_1737/klagomål/A 22635-2022 FSC-klagomål.docx", "A 22635-2022")</f>
        <v/>
      </c>
      <c r="AB755">
        <f>HYPERLINK("https://klasma.github.io/Logging_1737/klagomålsmail/A 22635-2022 FSC-klagomål mail.docx", "A 22635-2022")</f>
        <v/>
      </c>
      <c r="AC755">
        <f>HYPERLINK("https://klasma.github.io/Logging_1737/tillsyn/A 22635-2022 tillsynsbegäran.docx", "A 22635-2022")</f>
        <v/>
      </c>
      <c r="AD755">
        <f>HYPERLINK("https://klasma.github.io/Logging_1737/tillsynsmail/A 22635-2022 tillsynsbegäran mail.docx", "A 22635-2022")</f>
        <v/>
      </c>
    </row>
    <row r="756" ht="15" customHeight="1">
      <c r="A756" t="inlineStr">
        <is>
          <t>A 16024-2026</t>
        </is>
      </c>
      <c r="B756" t="inlineStr">
        <is>
          <t>avverkningsanmälan</t>
        </is>
      </c>
      <c r="C756" t="inlineStr">
        <is>
          <t>Föryngringsavverkning</t>
        </is>
      </c>
      <c r="D756" s="1" t="n">
        <v>46108</v>
      </c>
      <c r="E756" s="1" t="n">
        <v>46307</v>
      </c>
      <c r="F756" t="inlineStr">
        <is>
          <t>VÄRMLANDS LÄN</t>
        </is>
      </c>
      <c r="G756" t="inlineStr">
        <is>
          <t>TORSBY</t>
        </is>
      </c>
      <c r="I756" t="n">
        <v>15.1</v>
      </c>
      <c r="J756" t="n">
        <v>1</v>
      </c>
      <c r="K756" t="n">
        <v>0</v>
      </c>
      <c r="L756" t="n">
        <v>1</v>
      </c>
      <c r="M756" t="n">
        <v>0</v>
      </c>
      <c r="N756" t="n">
        <v>0</v>
      </c>
      <c r="O756" t="n">
        <v>0</v>
      </c>
      <c r="P756" t="n">
        <v>0</v>
      </c>
      <c r="Q756" t="n">
        <v>1</v>
      </c>
      <c r="R756" t="n">
        <v>0</v>
      </c>
      <c r="S756" t="n">
        <v>1</v>
      </c>
      <c r="T756" t="n">
        <v>1</v>
      </c>
      <c r="U756" t="n">
        <v>0</v>
      </c>
      <c r="V756" s="2" t="inlineStr">
        <is>
          <t>Mindre hackspett</t>
        </is>
      </c>
      <c r="W756">
        <f>HYPERLINK("https://klasma.github.io/Logging_1737/artfynd/A 16024-2026 artfynd.xlsx", "A 16024-2026")</f>
        <v/>
      </c>
      <c r="X756">
        <f>HYPERLINK("https://klasma.github.io/Logging_1737/kartor/A 16024-2026 karta.png", "A 16024-2026")</f>
        <v/>
      </c>
      <c r="Y756">
        <f>HYPERLINK("https://klasma.github.io/Logging_1737/kartor_geotiff/A 16024-2026 georefererad karta.tif", "A 16024-2026")</f>
        <v/>
      </c>
      <c r="AA756">
        <f>HYPERLINK("https://klasma.github.io/Logging_1737/klagomål/A 16024-2026 FSC-klagomål.docx", "A 16024-2026")</f>
        <v/>
      </c>
      <c r="AB756">
        <f>HYPERLINK("https://klasma.github.io/Logging_1737/klagomålsmail/A 16024-2026 FSC-klagomål mail.docx", "A 16024-2026")</f>
        <v/>
      </c>
      <c r="AC756">
        <f>HYPERLINK("https://klasma.github.io/Logging_1737/tillsyn/A 16024-2026 tillsynsbegäran.docx", "A 16024-2026")</f>
        <v/>
      </c>
      <c r="AD756">
        <f>HYPERLINK("https://klasma.github.io/Logging_1737/tillsynsmail/A 16024-2026 tillsynsbegäran mail.docx", "A 16024-2026")</f>
        <v/>
      </c>
      <c r="AE756">
        <f>HYPERLINK("https://klasma.github.io/Logging_1737/fåglar/A 16024-2026 prioriterade fågelarter.docx", "A 16024-2026")</f>
        <v/>
      </c>
    </row>
    <row r="757" ht="15" customHeight="1">
      <c r="A757" t="inlineStr">
        <is>
          <t>A 35926-2024</t>
        </is>
      </c>
      <c r="B757" t="inlineStr">
        <is>
          <t>avverkningsanmälan</t>
        </is>
      </c>
      <c r="C757" t="inlineStr">
        <is>
          <t>Föryngringsavverkning</t>
        </is>
      </c>
      <c r="D757" s="1" t="n">
        <v>45533</v>
      </c>
      <c r="E757" s="1" t="n">
        <v>46307</v>
      </c>
      <c r="F757" t="inlineStr">
        <is>
          <t>VÄRMLANDS LÄN</t>
        </is>
      </c>
      <c r="G757" t="inlineStr">
        <is>
          <t>SUNNE</t>
        </is>
      </c>
      <c r="I757" t="n">
        <v>2.1</v>
      </c>
      <c r="J757" t="n">
        <v>0</v>
      </c>
      <c r="K757" t="n">
        <v>1</v>
      </c>
      <c r="L757" t="n">
        <v>0</v>
      </c>
      <c r="M757" t="n">
        <v>0</v>
      </c>
      <c r="N757" t="n">
        <v>0</v>
      </c>
      <c r="O757" t="n">
        <v>0</v>
      </c>
      <c r="P757" t="n">
        <v>0</v>
      </c>
      <c r="Q757" t="n">
        <v>0</v>
      </c>
      <c r="R757" t="n">
        <v>0</v>
      </c>
      <c r="S757" t="n">
        <v>1</v>
      </c>
      <c r="T757" t="n">
        <v>1</v>
      </c>
      <c r="U757" t="n">
        <v>0</v>
      </c>
      <c r="V757" s="2" t="inlineStr">
        <is>
          <t>Vågbandad barkbock</t>
        </is>
      </c>
      <c r="W757">
        <f>HYPERLINK("https://klasma.github.io/Logging_1766/artfynd/A 35926-2024 artfynd.xlsx", "A 35926-2024")</f>
        <v/>
      </c>
      <c r="X757">
        <f>HYPERLINK("https://klasma.github.io/Logging_1766/kartor/A 35926-2024 karta.png", "A 35926-2024")</f>
        <v/>
      </c>
      <c r="Y757">
        <f>HYPERLINK("https://klasma.github.io/Logging_1766/kartor_geotiff/A 35926-2024 georefererad karta.tif", "A 35926-2024")</f>
        <v/>
      </c>
      <c r="AA757">
        <f>HYPERLINK("https://klasma.github.io/Logging_1766/klagomål/A 35926-2024 FSC-klagomål.docx", "A 35926-2024")</f>
        <v/>
      </c>
      <c r="AB757">
        <f>HYPERLINK("https://klasma.github.io/Logging_1766/klagomålsmail/A 35926-2024 FSC-klagomål mail.docx", "A 35926-2024")</f>
        <v/>
      </c>
      <c r="AC757">
        <f>HYPERLINK("https://klasma.github.io/Logging_1766/tillsyn/A 35926-2024 tillsynsbegäran.docx", "A 35926-2024")</f>
        <v/>
      </c>
      <c r="AD757">
        <f>HYPERLINK("https://klasma.github.io/Logging_1766/tillsynsmail/A 35926-2024 tillsynsbegäran mail.docx", "A 35926-2024")</f>
        <v/>
      </c>
    </row>
    <row r="758" ht="15" customHeight="1">
      <c r="A758" t="inlineStr">
        <is>
          <t>A 23794-2023</t>
        </is>
      </c>
      <c r="B758" t="inlineStr">
        <is>
          <t>avverkningsanmälan</t>
        </is>
      </c>
      <c r="C758" t="inlineStr">
        <is>
          <t>Föryngringsavverkning</t>
        </is>
      </c>
      <c r="D758" s="1" t="n">
        <v>45078</v>
      </c>
      <c r="E758" s="1" t="n">
        <v>46307</v>
      </c>
      <c r="F758" t="inlineStr">
        <is>
          <t>VÄRMLANDS LÄN</t>
        </is>
      </c>
      <c r="G758" t="inlineStr">
        <is>
          <t>KIL</t>
        </is>
      </c>
      <c r="I758" t="n">
        <v>1.5</v>
      </c>
      <c r="J758" t="n">
        <v>1</v>
      </c>
      <c r="K758" t="n">
        <v>0</v>
      </c>
      <c r="L758" t="n">
        <v>0</v>
      </c>
      <c r="M758" t="n">
        <v>0</v>
      </c>
      <c r="N758" t="n">
        <v>0</v>
      </c>
      <c r="O758" t="n">
        <v>0</v>
      </c>
      <c r="P758" t="n">
        <v>0</v>
      </c>
      <c r="Q758" t="n">
        <v>0</v>
      </c>
      <c r="R758" t="n">
        <v>0</v>
      </c>
      <c r="S758" t="n">
        <v>1</v>
      </c>
      <c r="T758" t="n">
        <v>1</v>
      </c>
      <c r="U758" t="n">
        <v>1</v>
      </c>
      <c r="V758" s="2" t="inlineStr">
        <is>
          <t>Fläcknycklar</t>
        </is>
      </c>
      <c r="W758">
        <f>HYPERLINK("https://klasma.github.io/Logging_1715/artfynd/A 23794-2023 artfynd.xlsx", "A 23794-2023")</f>
        <v/>
      </c>
      <c r="X758">
        <f>HYPERLINK("https://klasma.github.io/Logging_1715/kartor/A 23794-2023 karta.png", "A 23794-2023")</f>
        <v/>
      </c>
      <c r="Y758">
        <f>HYPERLINK("https://klasma.github.io/Logging_1715/kartor_geotiff/A 23794-2023 georefererad karta.tif", "A 23794-2023")</f>
        <v/>
      </c>
      <c r="AA758">
        <f>HYPERLINK("https://klasma.github.io/Logging_1715/klagomål/A 23794-2023 FSC-klagomål.docx", "A 23794-2023")</f>
        <v/>
      </c>
      <c r="AB758">
        <f>HYPERLINK("https://klasma.github.io/Logging_1715/klagomålsmail/A 23794-2023 FSC-klagomål mail.docx", "A 23794-2023")</f>
        <v/>
      </c>
      <c r="AC758">
        <f>HYPERLINK("https://klasma.github.io/Logging_1715/tillsyn/A 23794-2023 tillsynsbegäran.docx", "A 23794-2023")</f>
        <v/>
      </c>
      <c r="AD758">
        <f>HYPERLINK("https://klasma.github.io/Logging_1715/tillsynsmail/A 23794-2023 tillsynsbegäran mail.docx", "A 23794-2023")</f>
        <v/>
      </c>
    </row>
    <row r="759" ht="15" customHeight="1">
      <c r="A759" t="inlineStr">
        <is>
          <t>A 17088-2026</t>
        </is>
      </c>
      <c r="B759" t="inlineStr">
        <is>
          <t>avverkningsanmälan</t>
        </is>
      </c>
      <c r="C759" t="inlineStr">
        <is>
          <t>Föryngringsavverkning</t>
        </is>
      </c>
      <c r="D759" s="1" t="n">
        <v>46114</v>
      </c>
      <c r="E759" s="1" t="n">
        <v>46307</v>
      </c>
      <c r="F759" t="inlineStr">
        <is>
          <t>VÄRMLANDS LÄN</t>
        </is>
      </c>
      <c r="G759" t="inlineStr">
        <is>
          <t>ARVIKA</t>
        </is>
      </c>
      <c r="I759" t="n">
        <v>4.6</v>
      </c>
      <c r="J759" t="n">
        <v>0</v>
      </c>
      <c r="K759" t="n">
        <v>0</v>
      </c>
      <c r="L759" t="n">
        <v>1</v>
      </c>
      <c r="M759" t="n">
        <v>0</v>
      </c>
      <c r="N759" t="n">
        <v>0</v>
      </c>
      <c r="O759" t="n">
        <v>0</v>
      </c>
      <c r="P759" t="n">
        <v>0</v>
      </c>
      <c r="Q759" t="n">
        <v>1</v>
      </c>
      <c r="R759" t="n">
        <v>0</v>
      </c>
      <c r="S759" t="n">
        <v>1</v>
      </c>
      <c r="T759" t="n">
        <v>1</v>
      </c>
      <c r="U759" t="n">
        <v>0</v>
      </c>
      <c r="V759" s="2" t="inlineStr">
        <is>
          <t>Dunmossa</t>
        </is>
      </c>
      <c r="W759">
        <f>HYPERLINK("https://klasma.github.io/Logging_1784/artfynd/A 17088-2026 artfynd.xlsx", "A 17088-2026")</f>
        <v/>
      </c>
      <c r="X759">
        <f>HYPERLINK("https://klasma.github.io/Logging_1784/kartor/A 17088-2026 karta.png", "A 17088-2026")</f>
        <v/>
      </c>
      <c r="Y759">
        <f>HYPERLINK("https://klasma.github.io/Logging_1784/kartor_geotiff/A 17088-2026 georefererad karta.tif", "A 17088-2026")</f>
        <v/>
      </c>
      <c r="AA759">
        <f>HYPERLINK("https://klasma.github.io/Logging_1784/klagomål/A 17088-2026 FSC-klagomål.docx", "A 17088-2026")</f>
        <v/>
      </c>
      <c r="AB759">
        <f>HYPERLINK("https://klasma.github.io/Logging_1784/klagomålsmail/A 17088-2026 FSC-klagomål mail.docx", "A 17088-2026")</f>
        <v/>
      </c>
      <c r="AC759">
        <f>HYPERLINK("https://klasma.github.io/Logging_1784/tillsyn/A 17088-2026 tillsynsbegäran.docx", "A 17088-2026")</f>
        <v/>
      </c>
      <c r="AD759">
        <f>HYPERLINK("https://klasma.github.io/Logging_1784/tillsynsmail/A 17088-2026 tillsynsbegäran mail.docx", "A 17088-2026")</f>
        <v/>
      </c>
    </row>
    <row r="760" ht="15" customHeight="1">
      <c r="A760" t="inlineStr">
        <is>
          <t>A 74218-2021</t>
        </is>
      </c>
      <c r="B760" t="inlineStr">
        <is>
          <t>avverkningsanmälan</t>
        </is>
      </c>
      <c r="C760" t="inlineStr">
        <is>
          <t>Föryngringsavverkning</t>
        </is>
      </c>
      <c r="D760" s="1" t="n">
        <v>44558</v>
      </c>
      <c r="E760" s="1" t="n">
        <v>46307</v>
      </c>
      <c r="F760" t="inlineStr">
        <is>
          <t>VÄRMLANDS LÄN</t>
        </is>
      </c>
      <c r="G760" t="inlineStr">
        <is>
          <t>ARVIKA</t>
        </is>
      </c>
      <c r="I760" t="n">
        <v>10</v>
      </c>
      <c r="J760" t="n">
        <v>1</v>
      </c>
      <c r="K760" t="n">
        <v>0</v>
      </c>
      <c r="L760" t="n">
        <v>1</v>
      </c>
      <c r="M760" t="n">
        <v>0</v>
      </c>
      <c r="N760" t="n">
        <v>0</v>
      </c>
      <c r="O760" t="n">
        <v>0</v>
      </c>
      <c r="P760" t="n">
        <v>0</v>
      </c>
      <c r="Q760" t="n">
        <v>1</v>
      </c>
      <c r="R760" t="n">
        <v>0</v>
      </c>
      <c r="S760" t="n">
        <v>1</v>
      </c>
      <c r="T760" t="n">
        <v>1</v>
      </c>
      <c r="U760" t="n">
        <v>1</v>
      </c>
      <c r="V760" s="2" t="inlineStr">
        <is>
          <t>Talltita</t>
        </is>
      </c>
      <c r="W760">
        <f>HYPERLINK("https://klasma.github.io/Logging_1784/artfynd/A 74218-2021 artfynd.xlsx", "A 74218-2021")</f>
        <v/>
      </c>
      <c r="X760">
        <f>HYPERLINK("https://klasma.github.io/Logging_1784/kartor/A 74218-2021 karta.png", "A 74218-2021")</f>
        <v/>
      </c>
      <c r="Y760">
        <f>HYPERLINK("https://klasma.github.io/Logging_1784/kartor_geotiff/A 74218-2021 georefererad karta.tif", "A 74218-2021")</f>
        <v/>
      </c>
      <c r="AA760">
        <f>HYPERLINK("https://klasma.github.io/Logging_1784/klagomål/A 74218-2021 FSC-klagomål.docx", "A 74218-2021")</f>
        <v/>
      </c>
      <c r="AB760">
        <f>HYPERLINK("https://klasma.github.io/Logging_1784/klagomålsmail/A 74218-2021 FSC-klagomål mail.docx", "A 74218-2021")</f>
        <v/>
      </c>
      <c r="AC760">
        <f>HYPERLINK("https://klasma.github.io/Logging_1784/tillsyn/A 74218-2021 tillsynsbegäran.docx", "A 74218-2021")</f>
        <v/>
      </c>
      <c r="AD760">
        <f>HYPERLINK("https://klasma.github.io/Logging_1784/tillsynsmail/A 74218-2021 tillsynsbegäran mail.docx", "A 74218-2021")</f>
        <v/>
      </c>
      <c r="AE760">
        <f>HYPERLINK("https://klasma.github.io/Logging_1784/fåglar/A 74218-2021 prioriterade fågelarter.docx", "A 74218-2021")</f>
        <v/>
      </c>
    </row>
    <row r="761" ht="15" customHeight="1">
      <c r="A761" t="inlineStr">
        <is>
          <t>A 17529-2026</t>
        </is>
      </c>
      <c r="B761" t="inlineStr">
        <is>
          <t>avverkningsanmälan</t>
        </is>
      </c>
      <c r="C761" t="inlineStr">
        <is>
          <t>Föryngringsavverkning</t>
        </is>
      </c>
      <c r="D761" s="1" t="n">
        <v>46120</v>
      </c>
      <c r="E761" s="1" t="n">
        <v>46307</v>
      </c>
      <c r="F761" t="inlineStr">
        <is>
          <t>VÄRMLANDS LÄN</t>
        </is>
      </c>
      <c r="G761" t="inlineStr">
        <is>
          <t>FILIPSTAD</t>
        </is>
      </c>
      <c r="I761" t="n">
        <v>7</v>
      </c>
      <c r="J761" t="n">
        <v>0</v>
      </c>
      <c r="K761" t="n">
        <v>0</v>
      </c>
      <c r="L761" t="n">
        <v>0</v>
      </c>
      <c r="M761" t="n">
        <v>1</v>
      </c>
      <c r="N761" t="n">
        <v>0</v>
      </c>
      <c r="O761" t="n">
        <v>0</v>
      </c>
      <c r="P761" t="n">
        <v>0</v>
      </c>
      <c r="Q761" t="n">
        <v>1</v>
      </c>
      <c r="R761" t="n">
        <v>1</v>
      </c>
      <c r="S761" t="n">
        <v>1</v>
      </c>
      <c r="T761" t="n">
        <v>1</v>
      </c>
      <c r="U761" t="n">
        <v>1</v>
      </c>
      <c r="V761" s="2" t="inlineStr">
        <is>
          <t>Ädellav</t>
        </is>
      </c>
      <c r="W761">
        <f>HYPERLINK("https://klasma.github.io/Logging_1782/artfynd/A 17529-2026 artfynd.xlsx", "A 17529-2026")</f>
        <v/>
      </c>
      <c r="X761">
        <f>HYPERLINK("https://klasma.github.io/Logging_1782/kartor/A 17529-2026 karta.png", "A 17529-2026")</f>
        <v/>
      </c>
      <c r="Y761">
        <f>HYPERLINK("https://klasma.github.io/Logging_1782/kartor_geotiff/A 17529-2026 georefererad karta.tif", "A 17529-2026")</f>
        <v/>
      </c>
      <c r="AA761">
        <f>HYPERLINK("https://klasma.github.io/Logging_1782/klagomål/A 17529-2026 FSC-klagomål.docx", "A 17529-2026")</f>
        <v/>
      </c>
      <c r="AB761">
        <f>HYPERLINK("https://klasma.github.io/Logging_1782/klagomålsmail/A 17529-2026 FSC-klagomål mail.docx", "A 17529-2026")</f>
        <v/>
      </c>
      <c r="AC761">
        <f>HYPERLINK("https://klasma.github.io/Logging_1782/tillsyn/A 17529-2026 tillsynsbegäran.docx", "A 17529-2026")</f>
        <v/>
      </c>
      <c r="AD761">
        <f>HYPERLINK("https://klasma.github.io/Logging_1782/tillsynsmail/A 17529-2026 tillsynsbegäran mail.docx", "A 17529-2026")</f>
        <v/>
      </c>
    </row>
    <row r="762" ht="15" customHeight="1">
      <c r="A762" t="inlineStr">
        <is>
          <t>A 59641-2021</t>
        </is>
      </c>
      <c r="B762" t="inlineStr">
        <is>
          <t>avverkningsanmälan</t>
        </is>
      </c>
      <c r="C762" t="inlineStr">
        <is>
          <t>Föryngringsavverkning</t>
        </is>
      </c>
      <c r="D762" s="1" t="n">
        <v>44493</v>
      </c>
      <c r="E762" s="1" t="n">
        <v>46307</v>
      </c>
      <c r="F762" t="inlineStr">
        <is>
          <t>VÄRMLANDS LÄN</t>
        </is>
      </c>
      <c r="G762" t="inlineStr">
        <is>
          <t>KARLSTAD</t>
        </is>
      </c>
      <c r="I762" t="n">
        <v>1.9</v>
      </c>
      <c r="J762" t="n">
        <v>0</v>
      </c>
      <c r="K762" t="n">
        <v>0</v>
      </c>
      <c r="L762" t="n">
        <v>1</v>
      </c>
      <c r="M762" t="n">
        <v>0</v>
      </c>
      <c r="N762" t="n">
        <v>0</v>
      </c>
      <c r="O762" t="n">
        <v>0</v>
      </c>
      <c r="P762" t="n">
        <v>0</v>
      </c>
      <c r="Q762" t="n">
        <v>1</v>
      </c>
      <c r="R762" t="n">
        <v>0</v>
      </c>
      <c r="S762" t="n">
        <v>1</v>
      </c>
      <c r="T762" t="n">
        <v>1</v>
      </c>
      <c r="U762" t="n">
        <v>1</v>
      </c>
      <c r="V762" s="2" t="inlineStr">
        <is>
          <t>Dropptaggsvamp</t>
        </is>
      </c>
      <c r="W762">
        <f>HYPERLINK("https://klasma.github.io/Logging_1780/artfynd/A 59641-2021 artfynd.xlsx", "A 59641-2021")</f>
        <v/>
      </c>
      <c r="X762">
        <f>HYPERLINK("https://klasma.github.io/Logging_1780/kartor/A 59641-2021 karta.png", "A 59641-2021")</f>
        <v/>
      </c>
      <c r="Y762">
        <f>HYPERLINK("https://klasma.github.io/Logging_1780/kartor_geotiff/A 59641-2021 georefererad karta.tif", "A 59641-2021")</f>
        <v/>
      </c>
      <c r="AA762">
        <f>HYPERLINK("https://klasma.github.io/Logging_1780/klagomål/A 59641-2021 FSC-klagomål.docx", "A 59641-2021")</f>
        <v/>
      </c>
      <c r="AB762">
        <f>HYPERLINK("https://klasma.github.io/Logging_1780/klagomålsmail/A 59641-2021 FSC-klagomål mail.docx", "A 59641-2021")</f>
        <v/>
      </c>
      <c r="AC762">
        <f>HYPERLINK("https://klasma.github.io/Logging_1780/tillsyn/A 59641-2021 tillsynsbegäran.docx", "A 59641-2021")</f>
        <v/>
      </c>
      <c r="AD762">
        <f>HYPERLINK("https://klasma.github.io/Logging_1780/tillsynsmail/A 59641-2021 tillsynsbegäran mail.docx", "A 59641-2021")</f>
        <v/>
      </c>
    </row>
    <row r="763" ht="15" customHeight="1">
      <c r="A763" t="inlineStr">
        <is>
          <t>A 56642-2022</t>
        </is>
      </c>
      <c r="B763" t="inlineStr">
        <is>
          <t>avverkningsanmälan</t>
        </is>
      </c>
      <c r="C763" t="inlineStr">
        <is>
          <t>Föryngringsavverkning</t>
        </is>
      </c>
      <c r="D763" s="1" t="n">
        <v>44893</v>
      </c>
      <c r="E763" s="1" t="n">
        <v>46307</v>
      </c>
      <c r="F763" t="inlineStr">
        <is>
          <t>VÄRMLANDS LÄN</t>
        </is>
      </c>
      <c r="G763" t="inlineStr">
        <is>
          <t>KIL</t>
        </is>
      </c>
      <c r="H763" t="inlineStr">
        <is>
          <t>Bergvik skog väst AB</t>
        </is>
      </c>
      <c r="I763" t="n">
        <v>2.5</v>
      </c>
      <c r="J763" t="n">
        <v>0</v>
      </c>
      <c r="K763" t="n">
        <v>1</v>
      </c>
      <c r="L763" t="n">
        <v>0</v>
      </c>
      <c r="M763" t="n">
        <v>0</v>
      </c>
      <c r="N763" t="n">
        <v>0</v>
      </c>
      <c r="O763" t="n">
        <v>0</v>
      </c>
      <c r="P763" t="n">
        <v>0</v>
      </c>
      <c r="Q763" t="n">
        <v>0</v>
      </c>
      <c r="R763" t="n">
        <v>0</v>
      </c>
      <c r="S763" t="n">
        <v>1</v>
      </c>
      <c r="T763" t="n">
        <v>1</v>
      </c>
      <c r="U763" t="n">
        <v>0</v>
      </c>
      <c r="V763" s="2" t="inlineStr">
        <is>
          <t>Svart trolldruva</t>
        </is>
      </c>
      <c r="W763">
        <f>HYPERLINK("https://klasma.github.io/Logging_1715/artfynd/A 56642-2022 artfynd.xlsx", "A 56642-2022")</f>
        <v/>
      </c>
      <c r="X763">
        <f>HYPERLINK("https://klasma.github.io/Logging_1715/kartor/A 56642-2022 karta.png", "A 56642-2022")</f>
        <v/>
      </c>
      <c r="Y763">
        <f>HYPERLINK("https://klasma.github.io/Logging_1715/kartor_geotiff/A 56642-2022 georefererad karta.tif", "A 56642-2022")</f>
        <v/>
      </c>
      <c r="AA763">
        <f>HYPERLINK("https://klasma.github.io/Logging_1715/klagomål/A 56642-2022 FSC-klagomål.docx", "A 56642-2022")</f>
        <v/>
      </c>
      <c r="AB763">
        <f>HYPERLINK("https://klasma.github.io/Logging_1715/klagomålsmail/A 56642-2022 FSC-klagomål mail.docx", "A 56642-2022")</f>
        <v/>
      </c>
      <c r="AC763">
        <f>HYPERLINK("https://klasma.github.io/Logging_1715/tillsyn/A 56642-2022 tillsynsbegäran.docx", "A 56642-2022")</f>
        <v/>
      </c>
      <c r="AD763">
        <f>HYPERLINK("https://klasma.github.io/Logging_1715/tillsynsmail/A 56642-2022 tillsynsbegäran mail.docx", "A 56642-2022")</f>
        <v/>
      </c>
    </row>
    <row r="764" ht="15" customHeight="1">
      <c r="A764" t="inlineStr">
        <is>
          <t>A 60571-2025</t>
        </is>
      </c>
      <c r="B764" t="inlineStr">
        <is>
          <t>avverkningsanmälan</t>
        </is>
      </c>
      <c r="C764" t="inlineStr">
        <is>
          <t>Föryngringsavverkning</t>
        </is>
      </c>
      <c r="D764" s="1" t="n">
        <v>45995</v>
      </c>
      <c r="E764" s="1" t="n">
        <v>46307</v>
      </c>
      <c r="F764" t="inlineStr">
        <is>
          <t>VÄRMLANDS LÄN</t>
        </is>
      </c>
      <c r="G764" t="inlineStr">
        <is>
          <t>SUNNE</t>
        </is>
      </c>
      <c r="I764" t="n">
        <v>3.8</v>
      </c>
      <c r="J764" t="n">
        <v>1</v>
      </c>
      <c r="K764" t="n">
        <v>0</v>
      </c>
      <c r="L764" t="n">
        <v>1</v>
      </c>
      <c r="M764" t="n">
        <v>0</v>
      </c>
      <c r="N764" t="n">
        <v>0</v>
      </c>
      <c r="O764" t="n">
        <v>0</v>
      </c>
      <c r="P764" t="n">
        <v>0</v>
      </c>
      <c r="Q764" t="n">
        <v>1</v>
      </c>
      <c r="R764" t="n">
        <v>0</v>
      </c>
      <c r="S764" t="n">
        <v>1</v>
      </c>
      <c r="T764" t="n">
        <v>1</v>
      </c>
      <c r="U764" t="n">
        <v>0</v>
      </c>
      <c r="V764" s="2" t="inlineStr">
        <is>
          <t>Kungsfiskare</t>
        </is>
      </c>
      <c r="W764">
        <f>HYPERLINK("https://klasma.github.io/Logging_1766/artfynd/A 60571-2025 artfynd.xlsx", "A 60571-2025")</f>
        <v/>
      </c>
      <c r="X764">
        <f>HYPERLINK("https://klasma.github.io/Logging_1766/kartor/A 60571-2025 karta.png", "A 60571-2025")</f>
        <v/>
      </c>
      <c r="Y764">
        <f>HYPERLINK("https://klasma.github.io/Logging_1766/kartor_geotiff/A 60571-2025 georefererad karta.tif", "A 60571-2025")</f>
        <v/>
      </c>
      <c r="AA764">
        <f>HYPERLINK("https://klasma.github.io/Logging_1766/klagomål/A 60571-2025 FSC-klagomål.docx", "A 60571-2025")</f>
        <v/>
      </c>
      <c r="AB764">
        <f>HYPERLINK("https://klasma.github.io/Logging_1766/klagomålsmail/A 60571-2025 FSC-klagomål mail.docx", "A 60571-2025")</f>
        <v/>
      </c>
      <c r="AC764">
        <f>HYPERLINK("https://klasma.github.io/Logging_1766/tillsyn/A 60571-2025 tillsynsbegäran.docx", "A 60571-2025")</f>
        <v/>
      </c>
      <c r="AD764">
        <f>HYPERLINK("https://klasma.github.io/Logging_1766/tillsynsmail/A 60571-2025 tillsynsbegäran mail.docx", "A 60571-2025")</f>
        <v/>
      </c>
    </row>
    <row r="765" ht="15" customHeight="1">
      <c r="A765" t="inlineStr">
        <is>
          <t>A 18062-2026</t>
        </is>
      </c>
      <c r="B765" t="inlineStr">
        <is>
          <t>avverkningsanmälan</t>
        </is>
      </c>
      <c r="C765" t="inlineStr">
        <is>
          <t>Föryngringsavverkning</t>
        </is>
      </c>
      <c r="D765" s="1" t="n">
        <v>46125</v>
      </c>
      <c r="E765" s="1" t="n">
        <v>46307</v>
      </c>
      <c r="F765" t="inlineStr">
        <is>
          <t>VÄRMLANDS LÄN</t>
        </is>
      </c>
      <c r="G765" t="inlineStr">
        <is>
          <t>ARVIKA</t>
        </is>
      </c>
      <c r="I765" t="n">
        <v>1.9</v>
      </c>
      <c r="J765" t="n">
        <v>1</v>
      </c>
      <c r="K765" t="n">
        <v>0</v>
      </c>
      <c r="L765" t="n">
        <v>0</v>
      </c>
      <c r="M765" t="n">
        <v>0</v>
      </c>
      <c r="N765" t="n">
        <v>0</v>
      </c>
      <c r="O765" t="n">
        <v>0</v>
      </c>
      <c r="P765" t="n">
        <v>0</v>
      </c>
      <c r="Q765" t="n">
        <v>0</v>
      </c>
      <c r="R765" t="n">
        <v>0</v>
      </c>
      <c r="S765" t="n">
        <v>1</v>
      </c>
      <c r="T765" t="n">
        <v>1</v>
      </c>
      <c r="U765" t="n">
        <v>1</v>
      </c>
      <c r="V765" s="2" t="inlineStr">
        <is>
          <t>Tjäder</t>
        </is>
      </c>
      <c r="W765">
        <f>HYPERLINK("https://klasma.github.io/Logging_1784/artfynd/A 18062-2026 artfynd.xlsx", "A 18062-2026")</f>
        <v/>
      </c>
      <c r="X765">
        <f>HYPERLINK("https://klasma.github.io/Logging_1784/kartor/A 18062-2026 karta.png", "A 18062-2026")</f>
        <v/>
      </c>
      <c r="Y765">
        <f>HYPERLINK("https://klasma.github.io/Logging_1784/kartor_geotiff/A 18062-2026 georefererad karta.tif", "A 18062-2026")</f>
        <v/>
      </c>
      <c r="AA765">
        <f>HYPERLINK("https://klasma.github.io/Logging_1784/klagomål/A 18062-2026 FSC-klagomål.docx", "A 18062-2026")</f>
        <v/>
      </c>
      <c r="AB765">
        <f>HYPERLINK("https://klasma.github.io/Logging_1784/klagomålsmail/A 18062-2026 FSC-klagomål mail.docx", "A 18062-2026")</f>
        <v/>
      </c>
      <c r="AC765">
        <f>HYPERLINK("https://klasma.github.io/Logging_1784/tillsyn/A 18062-2026 tillsynsbegäran.docx", "A 18062-2026")</f>
        <v/>
      </c>
      <c r="AD765">
        <f>HYPERLINK("https://klasma.github.io/Logging_1784/tillsynsmail/A 18062-2026 tillsynsbegäran mail.docx", "A 18062-2026")</f>
        <v/>
      </c>
      <c r="AE765">
        <f>HYPERLINK("https://klasma.github.io/Logging_1784/fåglar/A 18062-2026 prioriterade fågelarter.docx", "A 18062-2026")</f>
        <v/>
      </c>
    </row>
    <row r="766" ht="15" customHeight="1">
      <c r="A766" t="inlineStr">
        <is>
          <t>A 14850-2025</t>
        </is>
      </c>
      <c r="B766" t="inlineStr">
        <is>
          <t>avverkningsanmälan</t>
        </is>
      </c>
      <c r="C766" t="inlineStr">
        <is>
          <t>Föryngringsavverkning</t>
        </is>
      </c>
      <c r="D766" s="1" t="n">
        <v>45743</v>
      </c>
      <c r="E766" s="1" t="n">
        <v>46307</v>
      </c>
      <c r="F766" t="inlineStr">
        <is>
          <t>VÄRMLANDS LÄN</t>
        </is>
      </c>
      <c r="G766" t="inlineStr">
        <is>
          <t>HAGFORS</t>
        </is>
      </c>
      <c r="H766" t="inlineStr">
        <is>
          <t>Bergvik skog väst AB</t>
        </is>
      </c>
      <c r="I766" t="n">
        <v>3.6</v>
      </c>
      <c r="J766" t="n">
        <v>1</v>
      </c>
      <c r="K766" t="n">
        <v>0</v>
      </c>
      <c r="L766" t="n">
        <v>0</v>
      </c>
      <c r="M766" t="n">
        <v>0</v>
      </c>
      <c r="N766" t="n">
        <v>0</v>
      </c>
      <c r="O766" t="n">
        <v>0</v>
      </c>
      <c r="P766" t="n">
        <v>0</v>
      </c>
      <c r="Q766" t="n">
        <v>0</v>
      </c>
      <c r="R766" t="n">
        <v>0</v>
      </c>
      <c r="S766" t="n">
        <v>1</v>
      </c>
      <c r="T766" t="n">
        <v>1</v>
      </c>
      <c r="U766" t="n">
        <v>1</v>
      </c>
      <c r="V766" s="2" t="inlineStr">
        <is>
          <t>Fläcknycklar</t>
        </is>
      </c>
      <c r="W766">
        <f>HYPERLINK("https://klasma.github.io/Logging_1783/artfynd/A 14850-2025 artfynd.xlsx", "A 14850-2025")</f>
        <v/>
      </c>
      <c r="X766">
        <f>HYPERLINK("https://klasma.github.io/Logging_1783/kartor/A 14850-2025 karta.png", "A 14850-2025")</f>
        <v/>
      </c>
      <c r="Y766">
        <f>HYPERLINK("https://klasma.github.io/Logging_1783/kartor_geotiff/A 14850-2025 georefererad karta.tif", "A 14850-2025")</f>
        <v/>
      </c>
      <c r="AA766">
        <f>HYPERLINK("https://klasma.github.io/Logging_1783/klagomål/A 14850-2025 FSC-klagomål.docx", "A 14850-2025")</f>
        <v/>
      </c>
      <c r="AB766">
        <f>HYPERLINK("https://klasma.github.io/Logging_1783/klagomålsmail/A 14850-2025 FSC-klagomål mail.docx", "A 14850-2025")</f>
        <v/>
      </c>
      <c r="AC766">
        <f>HYPERLINK("https://klasma.github.io/Logging_1783/tillsyn/A 14850-2025 tillsynsbegäran.docx", "A 14850-2025")</f>
        <v/>
      </c>
      <c r="AD766">
        <f>HYPERLINK("https://klasma.github.io/Logging_1783/tillsynsmail/A 14850-2025 tillsynsbegäran mail.docx", "A 14850-2025")</f>
        <v/>
      </c>
    </row>
    <row r="767" ht="15" customHeight="1">
      <c r="A767" t="inlineStr">
        <is>
          <t>A 61238-2025</t>
        </is>
      </c>
      <c r="B767" t="inlineStr">
        <is>
          <t>avverkningsanmälan</t>
        </is>
      </c>
      <c r="C767" t="inlineStr">
        <is>
          <t>Föryngringsavverkning</t>
        </is>
      </c>
      <c r="D767" s="1" t="n">
        <v>46000</v>
      </c>
      <c r="E767" s="1" t="n">
        <v>46307</v>
      </c>
      <c r="F767" t="inlineStr">
        <is>
          <t>VÄRMLANDS LÄN</t>
        </is>
      </c>
      <c r="G767" t="inlineStr">
        <is>
          <t>KRISTINEHAMN</t>
        </is>
      </c>
      <c r="I767" t="n">
        <v>5.8</v>
      </c>
      <c r="J767" t="n">
        <v>1</v>
      </c>
      <c r="K767" t="n">
        <v>0</v>
      </c>
      <c r="L767" t="n">
        <v>1</v>
      </c>
      <c r="M767" t="n">
        <v>0</v>
      </c>
      <c r="N767" t="n">
        <v>0</v>
      </c>
      <c r="O767" t="n">
        <v>0</v>
      </c>
      <c r="P767" t="n">
        <v>0</v>
      </c>
      <c r="Q767" t="n">
        <v>1</v>
      </c>
      <c r="R767" t="n">
        <v>0</v>
      </c>
      <c r="S767" t="n">
        <v>1</v>
      </c>
      <c r="T767" t="n">
        <v>1</v>
      </c>
      <c r="U767" t="n">
        <v>0</v>
      </c>
      <c r="V767" s="2" t="inlineStr">
        <is>
          <t>Sparvuggla</t>
        </is>
      </c>
      <c r="W767">
        <f>HYPERLINK("https://klasma.github.io/Logging_1781/artfynd/A 61238-2025 artfynd.xlsx", "A 61238-2025")</f>
        <v/>
      </c>
      <c r="X767">
        <f>HYPERLINK("https://klasma.github.io/Logging_1781/kartor/A 61238-2025 karta.png", "A 61238-2025")</f>
        <v/>
      </c>
      <c r="Y767">
        <f>HYPERLINK("https://klasma.github.io/Logging_1781/kartor_geotiff/A 61238-2025 georefererad karta.tif", "A 61238-2025")</f>
        <v/>
      </c>
      <c r="AA767">
        <f>HYPERLINK("https://klasma.github.io/Logging_1781/klagomål/A 61238-2025 FSC-klagomål.docx", "A 61238-2025")</f>
        <v/>
      </c>
      <c r="AB767">
        <f>HYPERLINK("https://klasma.github.io/Logging_1781/klagomålsmail/A 61238-2025 FSC-klagomål mail.docx", "A 61238-2025")</f>
        <v/>
      </c>
      <c r="AC767">
        <f>HYPERLINK("https://klasma.github.io/Logging_1781/tillsyn/A 61238-2025 tillsynsbegäran.docx", "A 61238-2025")</f>
        <v/>
      </c>
      <c r="AD767">
        <f>HYPERLINK("https://klasma.github.io/Logging_1781/tillsynsmail/A 61238-2025 tillsynsbegäran mail.docx", "A 61238-2025")</f>
        <v/>
      </c>
      <c r="AE767">
        <f>HYPERLINK("https://klasma.github.io/Logging_1781/fåglar/A 61238-2025 prioriterade fågelarter.docx", "A 61238-2025")</f>
        <v/>
      </c>
    </row>
    <row r="768" ht="15" customHeight="1">
      <c r="A768" t="inlineStr">
        <is>
          <t>A 1717-2023</t>
        </is>
      </c>
      <c r="B768" t="inlineStr">
        <is>
          <t>avverkningsanmälan</t>
        </is>
      </c>
      <c r="C768" t="inlineStr">
        <is>
          <t>Föryngringsavverkning</t>
        </is>
      </c>
      <c r="D768" s="1" t="n">
        <v>44936</v>
      </c>
      <c r="E768" s="1" t="n">
        <v>46307</v>
      </c>
      <c r="F768" t="inlineStr">
        <is>
          <t>VÄRMLANDS LÄN</t>
        </is>
      </c>
      <c r="G768" t="inlineStr">
        <is>
          <t>SÄFFLE</t>
        </is>
      </c>
      <c r="I768" t="n">
        <v>0.7</v>
      </c>
      <c r="J768" t="n">
        <v>1</v>
      </c>
      <c r="K768" t="n">
        <v>0</v>
      </c>
      <c r="L768" t="n">
        <v>0</v>
      </c>
      <c r="M768" t="n">
        <v>0</v>
      </c>
      <c r="N768" t="n">
        <v>0</v>
      </c>
      <c r="O768" t="n">
        <v>0</v>
      </c>
      <c r="P768" t="n">
        <v>0</v>
      </c>
      <c r="Q768" t="n">
        <v>0</v>
      </c>
      <c r="R768" t="n">
        <v>0</v>
      </c>
      <c r="S768" t="n">
        <v>1</v>
      </c>
      <c r="T768" t="n">
        <v>1</v>
      </c>
      <c r="U768" t="n">
        <v>1</v>
      </c>
      <c r="V768" s="2" t="inlineStr">
        <is>
          <t>Fläcknycklar</t>
        </is>
      </c>
      <c r="W768">
        <f>HYPERLINK("https://klasma.github.io/Logging_1785/artfynd/A 1717-2023 artfynd.xlsx", "A 1717-2023")</f>
        <v/>
      </c>
      <c r="X768">
        <f>HYPERLINK("https://klasma.github.io/Logging_1785/kartor/A 1717-2023 karta.png", "A 1717-2023")</f>
        <v/>
      </c>
      <c r="Y768">
        <f>HYPERLINK("https://klasma.github.io/Logging_1785/kartor_geotiff/A 1717-2023 georefererad karta.tif", "A 1717-2023")</f>
        <v/>
      </c>
      <c r="AA768">
        <f>HYPERLINK("https://klasma.github.io/Logging_1785/klagomål/A 1717-2023 FSC-klagomål.docx", "A 1717-2023")</f>
        <v/>
      </c>
      <c r="AB768">
        <f>HYPERLINK("https://klasma.github.io/Logging_1785/klagomålsmail/A 1717-2023 FSC-klagomål mail.docx", "A 1717-2023")</f>
        <v/>
      </c>
      <c r="AC768">
        <f>HYPERLINK("https://klasma.github.io/Logging_1785/tillsyn/A 1717-2023 tillsynsbegäran.docx", "A 1717-2023")</f>
        <v/>
      </c>
      <c r="AD768">
        <f>HYPERLINK("https://klasma.github.io/Logging_1785/tillsynsmail/A 1717-2023 tillsynsbegäran mail.docx", "A 1717-2023")</f>
        <v/>
      </c>
    </row>
    <row r="769" ht="15" customHeight="1">
      <c r="A769" t="inlineStr">
        <is>
          <t>A 18744-2026</t>
        </is>
      </c>
      <c r="B769" t="inlineStr">
        <is>
          <t>avverkningsanmälan</t>
        </is>
      </c>
      <c r="C769" t="inlineStr">
        <is>
          <t>Föryngringsavverkning</t>
        </is>
      </c>
      <c r="D769" s="1" t="n">
        <v>46128</v>
      </c>
      <c r="E769" s="1" t="n">
        <v>46307</v>
      </c>
      <c r="F769" t="inlineStr">
        <is>
          <t>VÄRMLANDS LÄN</t>
        </is>
      </c>
      <c r="G769" t="inlineStr">
        <is>
          <t>ÅRJÄNG</t>
        </is>
      </c>
      <c r="I769" t="n">
        <v>1.3</v>
      </c>
      <c r="J769" t="n">
        <v>1</v>
      </c>
      <c r="K769" t="n">
        <v>0</v>
      </c>
      <c r="L769" t="n">
        <v>0</v>
      </c>
      <c r="M769" t="n">
        <v>0</v>
      </c>
      <c r="N769" t="n">
        <v>0</v>
      </c>
      <c r="O769" t="n">
        <v>0</v>
      </c>
      <c r="P769" t="n">
        <v>0</v>
      </c>
      <c r="Q769" t="n">
        <v>0</v>
      </c>
      <c r="R769" t="n">
        <v>0</v>
      </c>
      <c r="S769" t="n">
        <v>1</v>
      </c>
      <c r="T769" t="n">
        <v>1</v>
      </c>
      <c r="U769" t="n">
        <v>0</v>
      </c>
      <c r="V769" s="2" t="inlineStr">
        <is>
          <t>Mattlummer</t>
        </is>
      </c>
      <c r="W769">
        <f>HYPERLINK("https://klasma.github.io/Logging_1765/artfynd/A 18744-2026 artfynd.xlsx", "A 18744-2026")</f>
        <v/>
      </c>
      <c r="X769">
        <f>HYPERLINK("https://klasma.github.io/Logging_1765/kartor/A 18744-2026 karta.png", "A 18744-2026")</f>
        <v/>
      </c>
      <c r="Y769">
        <f>HYPERLINK("https://klasma.github.io/Logging_1765/kartor_geotiff/A 18744-2026 georefererad karta.tif", "A 18744-2026")</f>
        <v/>
      </c>
      <c r="AA769">
        <f>HYPERLINK("https://klasma.github.io/Logging_1765/klagomål/A 18744-2026 FSC-klagomål.docx", "A 18744-2026")</f>
        <v/>
      </c>
      <c r="AB769">
        <f>HYPERLINK("https://klasma.github.io/Logging_1765/klagomålsmail/A 18744-2026 FSC-klagomål mail.docx", "A 18744-2026")</f>
        <v/>
      </c>
      <c r="AC769">
        <f>HYPERLINK("https://klasma.github.io/Logging_1765/tillsyn/A 18744-2026 tillsynsbegäran.docx", "A 18744-2026")</f>
        <v/>
      </c>
      <c r="AD769">
        <f>HYPERLINK("https://klasma.github.io/Logging_1765/tillsynsmail/A 18744-2026 tillsynsbegäran mail.docx", "A 18744-2026")</f>
        <v/>
      </c>
    </row>
    <row r="770" ht="15" customHeight="1">
      <c r="A770" t="inlineStr">
        <is>
          <t>A 19362-2026</t>
        </is>
      </c>
      <c r="B770" t="inlineStr">
        <is>
          <t>avverkningsanmälan</t>
        </is>
      </c>
      <c r="C770" t="inlineStr">
        <is>
          <t>Avverkning för att bevara och utveckla /försöksver</t>
        </is>
      </c>
      <c r="D770" s="1" t="n">
        <v>46133</v>
      </c>
      <c r="E770" s="1" t="n">
        <v>46307</v>
      </c>
      <c r="F770" t="inlineStr">
        <is>
          <t>VÄRMLANDS LÄN</t>
        </is>
      </c>
      <c r="G770" t="inlineStr">
        <is>
          <t>HAGFORS</t>
        </is>
      </c>
      <c r="H770" t="inlineStr">
        <is>
          <t>Bergvik skog väst AB</t>
        </is>
      </c>
      <c r="I770" t="n">
        <v>8.5</v>
      </c>
      <c r="J770" t="n">
        <v>1</v>
      </c>
      <c r="K770" t="n">
        <v>0</v>
      </c>
      <c r="L770" t="n">
        <v>0</v>
      </c>
      <c r="M770" t="n">
        <v>0</v>
      </c>
      <c r="N770" t="n">
        <v>0</v>
      </c>
      <c r="O770" t="n">
        <v>0</v>
      </c>
      <c r="P770" t="n">
        <v>0</v>
      </c>
      <c r="Q770" t="n">
        <v>0</v>
      </c>
      <c r="R770" t="n">
        <v>0</v>
      </c>
      <c r="S770" t="n">
        <v>1</v>
      </c>
      <c r="T770" t="n">
        <v>1</v>
      </c>
      <c r="U770" t="n">
        <v>0</v>
      </c>
      <c r="V770" s="2" t="inlineStr">
        <is>
          <t>Utter</t>
        </is>
      </c>
      <c r="W770">
        <f>HYPERLINK("https://klasma.github.io/Logging_1783/artfynd/A 19362-2026 artfynd.xlsx", "A 19362-2026")</f>
        <v/>
      </c>
      <c r="X770">
        <f>HYPERLINK("https://klasma.github.io/Logging_1783/kartor/A 19362-2026 karta.png", "A 19362-2026")</f>
        <v/>
      </c>
      <c r="Y770">
        <f>HYPERLINK("https://klasma.github.io/Logging_1783/kartor_geotiff/A 19362-2026 georefererad karta.tif", "A 19362-2026")</f>
        <v/>
      </c>
      <c r="AA770">
        <f>HYPERLINK("https://klasma.github.io/Logging_1783/klagomål/A 19362-2026 FSC-klagomål.docx", "A 19362-2026")</f>
        <v/>
      </c>
      <c r="AB770">
        <f>HYPERLINK("https://klasma.github.io/Logging_1783/klagomålsmail/A 19362-2026 FSC-klagomål mail.docx", "A 19362-2026")</f>
        <v/>
      </c>
      <c r="AC770">
        <f>HYPERLINK("https://klasma.github.io/Logging_1783/tillsyn/A 19362-2026 tillsynsbegäran.docx", "A 19362-2026")</f>
        <v/>
      </c>
      <c r="AD770">
        <f>HYPERLINK("https://klasma.github.io/Logging_1783/tillsynsmail/A 19362-2026 tillsynsbegäran mail.docx", "A 19362-2026")</f>
        <v/>
      </c>
    </row>
    <row r="771" ht="15" customHeight="1">
      <c r="A771" t="inlineStr">
        <is>
          <t>A 18116-2026</t>
        </is>
      </c>
      <c r="B771" t="inlineStr">
        <is>
          <t>avverkningsanmälan</t>
        </is>
      </c>
      <c r="C771" t="inlineStr">
        <is>
          <t>Föryngringsavverkning</t>
        </is>
      </c>
      <c r="D771" s="1" t="n">
        <v>46125</v>
      </c>
      <c r="E771" s="1" t="n">
        <v>46307</v>
      </c>
      <c r="F771" t="inlineStr">
        <is>
          <t>VÄRMLANDS LÄN</t>
        </is>
      </c>
      <c r="G771" t="inlineStr">
        <is>
          <t>TORSBY</t>
        </is>
      </c>
      <c r="I771" t="n">
        <v>5.8</v>
      </c>
      <c r="J771" t="n">
        <v>0</v>
      </c>
      <c r="K771" t="n">
        <v>0</v>
      </c>
      <c r="L771" t="n">
        <v>0</v>
      </c>
      <c r="M771" t="n">
        <v>1</v>
      </c>
      <c r="N771" t="n">
        <v>0</v>
      </c>
      <c r="O771" t="n">
        <v>0</v>
      </c>
      <c r="P771" t="n">
        <v>0</v>
      </c>
      <c r="Q771" t="n">
        <v>1</v>
      </c>
      <c r="R771" t="n">
        <v>1</v>
      </c>
      <c r="S771" t="n">
        <v>1</v>
      </c>
      <c r="T771" t="n">
        <v>6</v>
      </c>
      <c r="U771" t="n">
        <v>0</v>
      </c>
      <c r="V771" s="2" t="inlineStr">
        <is>
          <t>Garnlav</t>
        </is>
      </c>
      <c r="W771">
        <f>HYPERLINK("https://klasma.github.io/Logging_1737/artfynd/A 18116-2026 artfynd.xlsx", "A 18116-2026")</f>
        <v/>
      </c>
      <c r="X771">
        <f>HYPERLINK("https://klasma.github.io/Logging_1737/kartor/A 18116-2026 karta.png", "A 18116-2026")</f>
        <v/>
      </c>
      <c r="Y771">
        <f>HYPERLINK("https://klasma.github.io/Logging_1737/kartor_geotiff/A 18116-2026 georefererad karta.tif", "A 18116-2026")</f>
        <v/>
      </c>
      <c r="AA771">
        <f>HYPERLINK("https://klasma.github.io/Logging_1737/klagomål/A 18116-2026 FSC-klagomål.docx", "A 18116-2026")</f>
        <v/>
      </c>
      <c r="AB771">
        <f>HYPERLINK("https://klasma.github.io/Logging_1737/klagomålsmail/A 18116-2026 FSC-klagomål mail.docx", "A 18116-2026")</f>
        <v/>
      </c>
      <c r="AC771">
        <f>HYPERLINK("https://klasma.github.io/Logging_1737/tillsyn/A 18116-2026 tillsynsbegäran.docx", "A 18116-2026")</f>
        <v/>
      </c>
      <c r="AD771">
        <f>HYPERLINK("https://klasma.github.io/Logging_1737/tillsynsmail/A 18116-2026 tillsynsbegäran mail.docx", "A 18116-2026")</f>
        <v/>
      </c>
    </row>
    <row r="772" ht="15" customHeight="1">
      <c r="A772" t="inlineStr">
        <is>
          <t>A 51522-2022</t>
        </is>
      </c>
      <c r="B772" t="inlineStr">
        <is>
          <t>avverkningsanmälan</t>
        </is>
      </c>
      <c r="C772" t="inlineStr">
        <is>
          <t>Föryngringsavverkning</t>
        </is>
      </c>
      <c r="D772" s="1" t="n">
        <v>44869</v>
      </c>
      <c r="E772" s="1" t="n">
        <v>46307</v>
      </c>
      <c r="F772" t="inlineStr">
        <is>
          <t>VÄRMLANDS LÄN</t>
        </is>
      </c>
      <c r="G772" t="inlineStr">
        <is>
          <t>FILIPSTAD</t>
        </is>
      </c>
      <c r="I772" t="n">
        <v>4.1</v>
      </c>
      <c r="J772" t="n">
        <v>0</v>
      </c>
      <c r="K772" t="n">
        <v>1</v>
      </c>
      <c r="L772" t="n">
        <v>0</v>
      </c>
      <c r="M772" t="n">
        <v>0</v>
      </c>
      <c r="N772" t="n">
        <v>0</v>
      </c>
      <c r="O772" t="n">
        <v>0</v>
      </c>
      <c r="P772" t="n">
        <v>0</v>
      </c>
      <c r="Q772" t="n">
        <v>0</v>
      </c>
      <c r="R772" t="n">
        <v>0</v>
      </c>
      <c r="S772" t="n">
        <v>1</v>
      </c>
      <c r="T772" t="n">
        <v>1</v>
      </c>
      <c r="U772" t="n">
        <v>0</v>
      </c>
      <c r="V772" s="2" t="inlineStr">
        <is>
          <t>Tibast</t>
        </is>
      </c>
      <c r="W772">
        <f>HYPERLINK("https://klasma.github.io/Logging_1782/artfynd/A 51522-2022 artfynd.xlsx", "A 51522-2022")</f>
        <v/>
      </c>
      <c r="X772">
        <f>HYPERLINK("https://klasma.github.io/Logging_1782/kartor/A 51522-2022 karta.png", "A 51522-2022")</f>
        <v/>
      </c>
      <c r="Y772">
        <f>HYPERLINK("https://klasma.github.io/Logging_1782/kartor_geotiff/A 51522-2022 georefererad karta.tif", "A 51522-2022")</f>
        <v/>
      </c>
      <c r="AA772">
        <f>HYPERLINK("https://klasma.github.io/Logging_1782/klagomål/A 51522-2022 FSC-klagomål.docx", "A 51522-2022")</f>
        <v/>
      </c>
      <c r="AB772">
        <f>HYPERLINK("https://klasma.github.io/Logging_1782/klagomålsmail/A 51522-2022 FSC-klagomål mail.docx", "A 51522-2022")</f>
        <v/>
      </c>
      <c r="AC772">
        <f>HYPERLINK("https://klasma.github.io/Logging_1782/tillsyn/A 51522-2022 tillsynsbegäran.docx", "A 51522-2022")</f>
        <v/>
      </c>
      <c r="AD772">
        <f>HYPERLINK("https://klasma.github.io/Logging_1782/tillsynsmail/A 51522-2022 tillsynsbegäran mail.docx", "A 51522-2022")</f>
        <v/>
      </c>
    </row>
    <row r="773" ht="15" customHeight="1">
      <c r="A773" t="inlineStr">
        <is>
          <t>A 19902-2026</t>
        </is>
      </c>
      <c r="B773" t="inlineStr">
        <is>
          <t>avverkningsanmälan</t>
        </is>
      </c>
      <c r="C773" t="inlineStr">
        <is>
          <t>Föryngringsavverkning</t>
        </is>
      </c>
      <c r="D773" s="1" t="n">
        <v>46136</v>
      </c>
      <c r="E773" s="1" t="n">
        <v>46307</v>
      </c>
      <c r="F773" t="inlineStr">
        <is>
          <t>VÄRMLANDS LÄN</t>
        </is>
      </c>
      <c r="G773" t="inlineStr">
        <is>
          <t>TORSBY</t>
        </is>
      </c>
      <c r="H773" t="inlineStr">
        <is>
          <t>Bergvik skog väst AB</t>
        </is>
      </c>
      <c r="I773" t="n">
        <v>18.8</v>
      </c>
      <c r="J773" t="n">
        <v>0</v>
      </c>
      <c r="K773" t="n">
        <v>0</v>
      </c>
      <c r="L773" t="n">
        <v>1</v>
      </c>
      <c r="M773" t="n">
        <v>0</v>
      </c>
      <c r="N773" t="n">
        <v>0</v>
      </c>
      <c r="O773" t="n">
        <v>0</v>
      </c>
      <c r="P773" t="n">
        <v>0</v>
      </c>
      <c r="Q773" t="n">
        <v>1</v>
      </c>
      <c r="R773" t="n">
        <v>0</v>
      </c>
      <c r="S773" t="n">
        <v>1</v>
      </c>
      <c r="T773" t="n">
        <v>1</v>
      </c>
      <c r="U773" t="n">
        <v>0</v>
      </c>
      <c r="V773" s="2" t="inlineStr">
        <is>
          <t>Lunglav</t>
        </is>
      </c>
      <c r="W773">
        <f>HYPERLINK("https://klasma.github.io/Logging_1737/artfynd/A 19902-2026 artfynd.xlsx", "A 19902-2026")</f>
        <v/>
      </c>
      <c r="X773">
        <f>HYPERLINK("https://klasma.github.io/Logging_1737/kartor/A 19902-2026 karta.png", "A 19902-2026")</f>
        <v/>
      </c>
      <c r="Y773">
        <f>HYPERLINK("https://klasma.github.io/Logging_1737/kartor_geotiff/A 19902-2026 georefererad karta.tif", "A 19902-2026")</f>
        <v/>
      </c>
      <c r="AA773">
        <f>HYPERLINK("https://klasma.github.io/Logging_1737/klagomål/A 19902-2026 FSC-klagomål.docx", "A 19902-2026")</f>
        <v/>
      </c>
      <c r="AB773">
        <f>HYPERLINK("https://klasma.github.io/Logging_1737/klagomålsmail/A 19902-2026 FSC-klagomål mail.docx", "A 19902-2026")</f>
        <v/>
      </c>
      <c r="AC773">
        <f>HYPERLINK("https://klasma.github.io/Logging_1737/tillsyn/A 19902-2026 tillsynsbegäran.docx", "A 19902-2026")</f>
        <v/>
      </c>
      <c r="AD773">
        <f>HYPERLINK("https://klasma.github.io/Logging_1737/tillsynsmail/A 19902-2026 tillsynsbegäran mail.docx", "A 19902-2026")</f>
        <v/>
      </c>
    </row>
    <row r="774" ht="15" customHeight="1">
      <c r="A774" t="inlineStr">
        <is>
          <t>A 62005-2025</t>
        </is>
      </c>
      <c r="B774" t="inlineStr">
        <is>
          <t>avverkningsanmälan</t>
        </is>
      </c>
      <c r="C774" t="inlineStr">
        <is>
          <t>Föryngringsavverkning</t>
        </is>
      </c>
      <c r="D774" s="1" t="n">
        <v>46003</v>
      </c>
      <c r="E774" s="1" t="n">
        <v>46307</v>
      </c>
      <c r="F774" t="inlineStr">
        <is>
          <t>VÄRMLANDS LÄN</t>
        </is>
      </c>
      <c r="G774" t="inlineStr">
        <is>
          <t>TORSBY</t>
        </is>
      </c>
      <c r="H774" t="inlineStr">
        <is>
          <t>Kommuner</t>
        </is>
      </c>
      <c r="I774" t="n">
        <v>0.8</v>
      </c>
      <c r="J774" t="n">
        <v>0</v>
      </c>
      <c r="K774" t="n">
        <v>0</v>
      </c>
      <c r="L774" t="n">
        <v>0</v>
      </c>
      <c r="M774" t="n">
        <v>1</v>
      </c>
      <c r="N774" t="n">
        <v>0</v>
      </c>
      <c r="O774" t="n">
        <v>0</v>
      </c>
      <c r="P774" t="n">
        <v>0</v>
      </c>
      <c r="Q774" t="n">
        <v>1</v>
      </c>
      <c r="R774" t="n">
        <v>1</v>
      </c>
      <c r="S774" t="n">
        <v>1</v>
      </c>
      <c r="T774" t="n">
        <v>1</v>
      </c>
      <c r="U774" t="n">
        <v>0</v>
      </c>
      <c r="V774" s="2" t="inlineStr">
        <is>
          <t>Garnlav</t>
        </is>
      </c>
      <c r="W774">
        <f>HYPERLINK("https://klasma.github.io/Logging_1737/artfynd/A 62005-2025 artfynd.xlsx", "A 62005-2025")</f>
        <v/>
      </c>
      <c r="X774">
        <f>HYPERLINK("https://klasma.github.io/Logging_1737/kartor/A 62005-2025 karta.png", "A 62005-2025")</f>
        <v/>
      </c>
      <c r="Y774">
        <f>HYPERLINK("https://klasma.github.io/Logging_1737/kartor_geotiff/A 62005-2025 georefererad karta.tif", "A 62005-2025")</f>
        <v/>
      </c>
      <c r="AA774">
        <f>HYPERLINK("https://klasma.github.io/Logging_1737/klagomål/A 62005-2025 FSC-klagomål.docx", "A 62005-2025")</f>
        <v/>
      </c>
      <c r="AB774">
        <f>HYPERLINK("https://klasma.github.io/Logging_1737/klagomålsmail/A 62005-2025 FSC-klagomål mail.docx", "A 62005-2025")</f>
        <v/>
      </c>
      <c r="AC774">
        <f>HYPERLINK("https://klasma.github.io/Logging_1737/tillsyn/A 62005-2025 tillsynsbegäran.docx", "A 62005-2025")</f>
        <v/>
      </c>
      <c r="AD774">
        <f>HYPERLINK("https://klasma.github.io/Logging_1737/tillsynsmail/A 62005-2025 tillsynsbegäran mail.docx", "A 62005-2025")</f>
        <v/>
      </c>
    </row>
    <row r="775" ht="15" customHeight="1">
      <c r="A775" t="inlineStr">
        <is>
          <t>A 62559-2025</t>
        </is>
      </c>
      <c r="B775" t="inlineStr">
        <is>
          <t>avverkningsanmälan</t>
        </is>
      </c>
      <c r="C775" t="inlineStr">
        <is>
          <t>Föryngringsavverkning</t>
        </is>
      </c>
      <c r="D775" s="1" t="n">
        <v>46007</v>
      </c>
      <c r="E775" s="1" t="n">
        <v>46307</v>
      </c>
      <c r="F775" t="inlineStr">
        <is>
          <t>VÄRMLANDS LÄN</t>
        </is>
      </c>
      <c r="G775" t="inlineStr">
        <is>
          <t>TORSBY</t>
        </is>
      </c>
      <c r="H775" t="inlineStr">
        <is>
          <t>Kommuner</t>
        </is>
      </c>
      <c r="I775" t="n">
        <v>1.9</v>
      </c>
      <c r="J775" t="n">
        <v>0</v>
      </c>
      <c r="K775" t="n">
        <v>1</v>
      </c>
      <c r="L775" t="n">
        <v>0</v>
      </c>
      <c r="M775" t="n">
        <v>0</v>
      </c>
      <c r="N775" t="n">
        <v>0</v>
      </c>
      <c r="O775" t="n">
        <v>0</v>
      </c>
      <c r="P775" t="n">
        <v>0</v>
      </c>
      <c r="Q775" t="n">
        <v>0</v>
      </c>
      <c r="R775" t="n">
        <v>0</v>
      </c>
      <c r="S775" t="n">
        <v>1</v>
      </c>
      <c r="T775" t="n">
        <v>1</v>
      </c>
      <c r="U775" t="n">
        <v>1</v>
      </c>
      <c r="V775" s="2" t="inlineStr">
        <is>
          <t>Vedticka</t>
        </is>
      </c>
      <c r="W775">
        <f>HYPERLINK("https://klasma.github.io/Logging_1737/artfynd/A 62559-2025 artfynd.xlsx", "A 62559-2025")</f>
        <v/>
      </c>
      <c r="X775">
        <f>HYPERLINK("https://klasma.github.io/Logging_1737/kartor/A 62559-2025 karta.png", "A 62559-2025")</f>
        <v/>
      </c>
      <c r="Y775">
        <f>HYPERLINK("https://klasma.github.io/Logging_1737/kartor_geotiff/A 62559-2025 georefererad karta.tif", "A 62559-2025")</f>
        <v/>
      </c>
      <c r="AA775">
        <f>HYPERLINK("https://klasma.github.io/Logging_1737/klagomål/A 62559-2025 FSC-klagomål.docx", "A 62559-2025")</f>
        <v/>
      </c>
      <c r="AB775">
        <f>HYPERLINK("https://klasma.github.io/Logging_1737/klagomålsmail/A 62559-2025 FSC-klagomål mail.docx", "A 62559-2025")</f>
        <v/>
      </c>
      <c r="AC775">
        <f>HYPERLINK("https://klasma.github.io/Logging_1737/tillsyn/A 62559-2025 tillsynsbegäran.docx", "A 62559-2025")</f>
        <v/>
      </c>
      <c r="AD775">
        <f>HYPERLINK("https://klasma.github.io/Logging_1737/tillsynsmail/A 62559-2025 tillsynsbegäran mail.docx", "A 62559-2025")</f>
        <v/>
      </c>
    </row>
    <row r="776" ht="15" customHeight="1">
      <c r="A776" t="inlineStr">
        <is>
          <t>A 62577-2025</t>
        </is>
      </c>
      <c r="B776" t="inlineStr">
        <is>
          <t>avverkningsanmälan</t>
        </is>
      </c>
      <c r="C776" t="inlineStr">
        <is>
          <t>Föryngringsavverkning</t>
        </is>
      </c>
      <c r="D776" s="1" t="n">
        <v>46007</v>
      </c>
      <c r="E776" s="1" t="n">
        <v>46307</v>
      </c>
      <c r="F776" t="inlineStr">
        <is>
          <t>VÄRMLANDS LÄN</t>
        </is>
      </c>
      <c r="G776" t="inlineStr">
        <is>
          <t>SUNNE</t>
        </is>
      </c>
      <c r="I776" t="n">
        <v>4</v>
      </c>
      <c r="J776" t="n">
        <v>1</v>
      </c>
      <c r="K776" t="n">
        <v>0</v>
      </c>
      <c r="L776" t="n">
        <v>0</v>
      </c>
      <c r="M776" t="n">
        <v>0</v>
      </c>
      <c r="N776" t="n">
        <v>0</v>
      </c>
      <c r="O776" t="n">
        <v>0</v>
      </c>
      <c r="P776" t="n">
        <v>0</v>
      </c>
      <c r="Q776" t="n">
        <v>0</v>
      </c>
      <c r="R776" t="n">
        <v>0</v>
      </c>
      <c r="S776" t="n">
        <v>1</v>
      </c>
      <c r="T776" t="n">
        <v>1</v>
      </c>
      <c r="U776" t="n">
        <v>1</v>
      </c>
      <c r="V776" s="2" t="inlineStr">
        <is>
          <t>Mattlummer</t>
        </is>
      </c>
      <c r="W776">
        <f>HYPERLINK("https://klasma.github.io/Logging_1766/artfynd/A 62577-2025 artfynd.xlsx", "A 62577-2025")</f>
        <v/>
      </c>
      <c r="X776">
        <f>HYPERLINK("https://klasma.github.io/Logging_1766/kartor/A 62577-2025 karta.png", "A 62577-2025")</f>
        <v/>
      </c>
      <c r="Y776">
        <f>HYPERLINK("https://klasma.github.io/Logging_1766/kartor_geotiff/A 62577-2025 georefererad karta.tif", "A 62577-2025")</f>
        <v/>
      </c>
      <c r="AA776">
        <f>HYPERLINK("https://klasma.github.io/Logging_1766/klagomål/A 62577-2025 FSC-klagomål.docx", "A 62577-2025")</f>
        <v/>
      </c>
      <c r="AB776">
        <f>HYPERLINK("https://klasma.github.io/Logging_1766/klagomålsmail/A 62577-2025 FSC-klagomål mail.docx", "A 62577-2025")</f>
        <v/>
      </c>
      <c r="AC776">
        <f>HYPERLINK("https://klasma.github.io/Logging_1766/tillsyn/A 62577-2025 tillsynsbegäran.docx", "A 62577-2025")</f>
        <v/>
      </c>
      <c r="AD776">
        <f>HYPERLINK("https://klasma.github.io/Logging_1766/tillsynsmail/A 62577-2025 tillsynsbegäran mail.docx", "A 62577-2025")</f>
        <v/>
      </c>
    </row>
    <row r="777" ht="15" customHeight="1">
      <c r="A777" t="inlineStr">
        <is>
          <t>A 43943-2022</t>
        </is>
      </c>
      <c r="B777" t="inlineStr">
        <is>
          <t>avverkningsanmälan</t>
        </is>
      </c>
      <c r="C777" t="inlineStr">
        <is>
          <t>Föryngringsavverkning</t>
        </is>
      </c>
      <c r="D777" s="1" t="n">
        <v>44838</v>
      </c>
      <c r="E777" s="1" t="n">
        <v>46307</v>
      </c>
      <c r="F777" t="inlineStr">
        <is>
          <t>VÄRMLANDS LÄN</t>
        </is>
      </c>
      <c r="G777" t="inlineStr">
        <is>
          <t>TORSBY</t>
        </is>
      </c>
      <c r="I777" t="n">
        <v>3.6</v>
      </c>
      <c r="J777" t="n">
        <v>1</v>
      </c>
      <c r="K777" t="n">
        <v>0</v>
      </c>
      <c r="L777" t="n">
        <v>0</v>
      </c>
      <c r="M777" t="n">
        <v>0</v>
      </c>
      <c r="N777" t="n">
        <v>0</v>
      </c>
      <c r="O777" t="n">
        <v>0</v>
      </c>
      <c r="P777" t="n">
        <v>0</v>
      </c>
      <c r="Q777" t="n">
        <v>0</v>
      </c>
      <c r="R777" t="n">
        <v>0</v>
      </c>
      <c r="S777" t="n">
        <v>1</v>
      </c>
      <c r="T777" t="n">
        <v>1</v>
      </c>
      <c r="U777" t="n">
        <v>0</v>
      </c>
      <c r="V777" s="2" t="inlineStr">
        <is>
          <t>Utter</t>
        </is>
      </c>
      <c r="W777">
        <f>HYPERLINK("https://klasma.github.io/Logging_1737/artfynd/A 43943-2022 artfynd.xlsx", "A 43943-2022")</f>
        <v/>
      </c>
      <c r="X777">
        <f>HYPERLINK("https://klasma.github.io/Logging_1737/kartor/A 43943-2022 karta.png", "A 43943-2022")</f>
        <v/>
      </c>
      <c r="Y777">
        <f>HYPERLINK("https://klasma.github.io/Logging_1737/kartor_geotiff/A 43943-2022 georefererad karta.tif", "A 43943-2022")</f>
        <v/>
      </c>
      <c r="AA777">
        <f>HYPERLINK("https://klasma.github.io/Logging_1737/klagomål/A 43943-2022 FSC-klagomål.docx", "A 43943-2022")</f>
        <v/>
      </c>
      <c r="AB777">
        <f>HYPERLINK("https://klasma.github.io/Logging_1737/klagomålsmail/A 43943-2022 FSC-klagomål mail.docx", "A 43943-2022")</f>
        <v/>
      </c>
      <c r="AC777">
        <f>HYPERLINK("https://klasma.github.io/Logging_1737/tillsyn/A 43943-2022 tillsynsbegäran.docx", "A 43943-2022")</f>
        <v/>
      </c>
      <c r="AD777">
        <f>HYPERLINK("https://klasma.github.io/Logging_1737/tillsynsmail/A 43943-2022 tillsynsbegäran mail.docx", "A 43943-2022")</f>
        <v/>
      </c>
    </row>
    <row r="778" ht="15" customHeight="1">
      <c r="A778" t="inlineStr">
        <is>
          <t>A 14660-2022</t>
        </is>
      </c>
      <c r="B778" t="inlineStr">
        <is>
          <t>avverkningsanmälan</t>
        </is>
      </c>
      <c r="C778" t="inlineStr">
        <is>
          <t>Föryngringsavverkning</t>
        </is>
      </c>
      <c r="D778" s="1" t="n">
        <v>44655</v>
      </c>
      <c r="E778" s="1" t="n">
        <v>46307</v>
      </c>
      <c r="F778" t="inlineStr">
        <is>
          <t>VÄRMLANDS LÄN</t>
        </is>
      </c>
      <c r="G778" t="inlineStr">
        <is>
          <t>SUNNE</t>
        </is>
      </c>
      <c r="I778" t="n">
        <v>3.4</v>
      </c>
      <c r="J778" t="n">
        <v>1</v>
      </c>
      <c r="K778" t="n">
        <v>0</v>
      </c>
      <c r="L778" t="n">
        <v>0</v>
      </c>
      <c r="M778" t="n">
        <v>0</v>
      </c>
      <c r="N778" t="n">
        <v>0</v>
      </c>
      <c r="O778" t="n">
        <v>0</v>
      </c>
      <c r="P778" t="n">
        <v>0</v>
      </c>
      <c r="Q778" t="n">
        <v>0</v>
      </c>
      <c r="R778" t="n">
        <v>0</v>
      </c>
      <c r="S778" t="n">
        <v>1</v>
      </c>
      <c r="T778" t="n">
        <v>1</v>
      </c>
      <c r="U778" t="n">
        <v>0</v>
      </c>
      <c r="V778" s="2" t="inlineStr">
        <is>
          <t>Utter</t>
        </is>
      </c>
      <c r="W778">
        <f>HYPERLINK("https://klasma.github.io/Logging_1766/artfynd/A 14660-2022 artfynd.xlsx", "A 14660-2022")</f>
        <v/>
      </c>
      <c r="X778">
        <f>HYPERLINK("https://klasma.github.io/Logging_1766/kartor/A 14660-2022 karta.png", "A 14660-2022")</f>
        <v/>
      </c>
      <c r="Y778">
        <f>HYPERLINK("https://klasma.github.io/Logging_1766/kartor_geotiff/A 14660-2022 georefererad karta.tif", "A 14660-2022")</f>
        <v/>
      </c>
      <c r="AA778">
        <f>HYPERLINK("https://klasma.github.io/Logging_1766/klagomål/A 14660-2022 FSC-klagomål.docx", "A 14660-2022")</f>
        <v/>
      </c>
      <c r="AB778">
        <f>HYPERLINK("https://klasma.github.io/Logging_1766/klagomålsmail/A 14660-2022 FSC-klagomål mail.docx", "A 14660-2022")</f>
        <v/>
      </c>
      <c r="AC778">
        <f>HYPERLINK("https://klasma.github.io/Logging_1766/tillsyn/A 14660-2022 tillsynsbegäran.docx", "A 14660-2022")</f>
        <v/>
      </c>
      <c r="AD778">
        <f>HYPERLINK("https://klasma.github.io/Logging_1766/tillsynsmail/A 14660-2022 tillsynsbegäran mail.docx", "A 14660-2022")</f>
        <v/>
      </c>
    </row>
    <row r="779" ht="15" customHeight="1">
      <c r="A779" t="inlineStr">
        <is>
          <t>A 19137-2022</t>
        </is>
      </c>
      <c r="B779" t="inlineStr">
        <is>
          <t>avverkningsanmälan</t>
        </is>
      </c>
      <c r="C779" t="inlineStr">
        <is>
          <t>Föryngringsavverkning</t>
        </is>
      </c>
      <c r="D779" s="1" t="n">
        <v>44691</v>
      </c>
      <c r="E779" s="1" t="n">
        <v>46307</v>
      </c>
      <c r="F779" t="inlineStr">
        <is>
          <t>VÄRMLANDS LÄN</t>
        </is>
      </c>
      <c r="G779" t="inlineStr">
        <is>
          <t>ARVIKA</t>
        </is>
      </c>
      <c r="I779" t="n">
        <v>9.5</v>
      </c>
      <c r="J779" t="n">
        <v>1</v>
      </c>
      <c r="K779" t="n">
        <v>0</v>
      </c>
      <c r="L779" t="n">
        <v>0</v>
      </c>
      <c r="M779" t="n">
        <v>0</v>
      </c>
      <c r="N779" t="n">
        <v>0</v>
      </c>
      <c r="O779" t="n">
        <v>0</v>
      </c>
      <c r="P779" t="n">
        <v>0</v>
      </c>
      <c r="Q779" t="n">
        <v>0</v>
      </c>
      <c r="R779" t="n">
        <v>0</v>
      </c>
      <c r="S779" t="n">
        <v>1</v>
      </c>
      <c r="T779" t="n">
        <v>1</v>
      </c>
      <c r="U779" t="n">
        <v>1</v>
      </c>
      <c r="V779" s="2" t="inlineStr">
        <is>
          <t>Fläcknycklar</t>
        </is>
      </c>
      <c r="W779">
        <f>HYPERLINK("https://klasma.github.io/Logging_1784/artfynd/A 19137-2022 artfynd.xlsx", "A 19137-2022")</f>
        <v/>
      </c>
      <c r="X779">
        <f>HYPERLINK("https://klasma.github.io/Logging_1784/kartor/A 19137-2022 karta.png", "A 19137-2022")</f>
        <v/>
      </c>
      <c r="Y779">
        <f>HYPERLINK("https://klasma.github.io/Logging_1784/kartor_geotiff/A 19137-2022 georefererad karta.tif", "A 19137-2022")</f>
        <v/>
      </c>
      <c r="AA779">
        <f>HYPERLINK("https://klasma.github.io/Logging_1784/klagomål/A 19137-2022 FSC-klagomål.docx", "A 19137-2022")</f>
        <v/>
      </c>
      <c r="AB779">
        <f>HYPERLINK("https://klasma.github.io/Logging_1784/klagomålsmail/A 19137-2022 FSC-klagomål mail.docx", "A 19137-2022")</f>
        <v/>
      </c>
      <c r="AC779">
        <f>HYPERLINK("https://klasma.github.io/Logging_1784/tillsyn/A 19137-2022 tillsynsbegäran.docx", "A 19137-2022")</f>
        <v/>
      </c>
      <c r="AD779">
        <f>HYPERLINK("https://klasma.github.io/Logging_1784/tillsynsmail/A 19137-2022 tillsynsbegäran mail.docx", "A 19137-2022")</f>
        <v/>
      </c>
    </row>
    <row r="780" ht="15" customHeight="1">
      <c r="A780" t="inlineStr">
        <is>
          <t>A 15170-2025</t>
        </is>
      </c>
      <c r="B780" t="inlineStr">
        <is>
          <t>avverkningsanmälan</t>
        </is>
      </c>
      <c r="C780" t="inlineStr">
        <is>
          <t>Föryngringsavverkning</t>
        </is>
      </c>
      <c r="D780" s="1" t="n">
        <v>45743</v>
      </c>
      <c r="E780" s="1" t="n">
        <v>46307</v>
      </c>
      <c r="F780" t="inlineStr">
        <is>
          <t>VÄRMLANDS LÄN</t>
        </is>
      </c>
      <c r="G780" t="inlineStr">
        <is>
          <t>TORSBY</t>
        </is>
      </c>
      <c r="I780" t="n">
        <v>12.5</v>
      </c>
      <c r="J780" t="n">
        <v>1</v>
      </c>
      <c r="K780" t="n">
        <v>0</v>
      </c>
      <c r="L780" t="n">
        <v>1</v>
      </c>
      <c r="M780" t="n">
        <v>0</v>
      </c>
      <c r="N780" t="n">
        <v>0</v>
      </c>
      <c r="O780" t="n">
        <v>0</v>
      </c>
      <c r="P780" t="n">
        <v>0</v>
      </c>
      <c r="Q780" t="n">
        <v>1</v>
      </c>
      <c r="R780" t="n">
        <v>0</v>
      </c>
      <c r="S780" t="n">
        <v>1</v>
      </c>
      <c r="T780" t="n">
        <v>1</v>
      </c>
      <c r="U780" t="n">
        <v>0</v>
      </c>
      <c r="V780" s="2" t="inlineStr">
        <is>
          <t>Sparvuggla</t>
        </is>
      </c>
      <c r="W780">
        <f>HYPERLINK("https://klasma.github.io/Logging_1737/artfynd/A 15170-2025 artfynd.xlsx", "A 15170-2025")</f>
        <v/>
      </c>
      <c r="X780">
        <f>HYPERLINK("https://klasma.github.io/Logging_1737/kartor/A 15170-2025 karta.png", "A 15170-2025")</f>
        <v/>
      </c>
      <c r="Y780">
        <f>HYPERLINK("https://klasma.github.io/Logging_1737/kartor_geotiff/A 15170-2025 georefererad karta.tif", "A 15170-2025")</f>
        <v/>
      </c>
      <c r="AA780">
        <f>HYPERLINK("https://klasma.github.io/Logging_1737/klagomål/A 15170-2025 FSC-klagomål.docx", "A 15170-2025")</f>
        <v/>
      </c>
      <c r="AB780">
        <f>HYPERLINK("https://klasma.github.io/Logging_1737/klagomålsmail/A 15170-2025 FSC-klagomål mail.docx", "A 15170-2025")</f>
        <v/>
      </c>
      <c r="AC780">
        <f>HYPERLINK("https://klasma.github.io/Logging_1737/tillsyn/A 15170-2025 tillsynsbegäran.docx", "A 15170-2025")</f>
        <v/>
      </c>
      <c r="AD780">
        <f>HYPERLINK("https://klasma.github.io/Logging_1737/tillsynsmail/A 15170-2025 tillsynsbegäran mail.docx", "A 15170-2025")</f>
        <v/>
      </c>
      <c r="AE780">
        <f>HYPERLINK("https://klasma.github.io/Logging_1737/fåglar/A 15170-2025 prioriterade fågelarter.docx", "A 15170-2025")</f>
        <v/>
      </c>
    </row>
    <row r="781" ht="15" customHeight="1">
      <c r="A781" t="inlineStr">
        <is>
          <t>A 63390-2025</t>
        </is>
      </c>
      <c r="B781" t="inlineStr">
        <is>
          <t>avverkningsanmälan</t>
        </is>
      </c>
      <c r="C781" t="inlineStr">
        <is>
          <t>Föryngringsavverkning</t>
        </is>
      </c>
      <c r="D781" s="1" t="n">
        <v>46011</v>
      </c>
      <c r="E781" s="1" t="n">
        <v>46307</v>
      </c>
      <c r="F781" t="inlineStr">
        <is>
          <t>VÄRMLANDS LÄN</t>
        </is>
      </c>
      <c r="G781" t="inlineStr">
        <is>
          <t>TORSBY</t>
        </is>
      </c>
      <c r="I781" t="n">
        <v>0.8</v>
      </c>
      <c r="J781" t="n">
        <v>1</v>
      </c>
      <c r="K781" t="n">
        <v>0</v>
      </c>
      <c r="L781" t="n">
        <v>0</v>
      </c>
      <c r="M781" t="n">
        <v>0</v>
      </c>
      <c r="N781" t="n">
        <v>0</v>
      </c>
      <c r="O781" t="n">
        <v>0</v>
      </c>
      <c r="P781" t="n">
        <v>0</v>
      </c>
      <c r="Q781" t="n">
        <v>0</v>
      </c>
      <c r="R781" t="n">
        <v>0</v>
      </c>
      <c r="S781" t="n">
        <v>1</v>
      </c>
      <c r="T781" t="n">
        <v>1</v>
      </c>
      <c r="U781" t="n">
        <v>0</v>
      </c>
      <c r="V781" s="2" t="inlineStr">
        <is>
          <t>Fläcknycklar</t>
        </is>
      </c>
      <c r="W781">
        <f>HYPERLINK("https://klasma.github.io/Logging_1737/artfynd/A 63390-2025 artfynd.xlsx", "A 63390-2025")</f>
        <v/>
      </c>
      <c r="X781">
        <f>HYPERLINK("https://klasma.github.io/Logging_1737/kartor/A 63390-2025 karta.png", "A 63390-2025")</f>
        <v/>
      </c>
      <c r="Y781">
        <f>HYPERLINK("https://klasma.github.io/Logging_1737/kartor_geotiff/A 63390-2025 georefererad karta.tif", "A 63390-2025")</f>
        <v/>
      </c>
      <c r="AA781">
        <f>HYPERLINK("https://klasma.github.io/Logging_1737/klagomål/A 63390-2025 FSC-klagomål.docx", "A 63390-2025")</f>
        <v/>
      </c>
      <c r="AB781">
        <f>HYPERLINK("https://klasma.github.io/Logging_1737/klagomålsmail/A 63390-2025 FSC-klagomål mail.docx", "A 63390-2025")</f>
        <v/>
      </c>
      <c r="AC781">
        <f>HYPERLINK("https://klasma.github.io/Logging_1737/tillsyn/A 63390-2025 tillsynsbegäran.docx", "A 63390-2025")</f>
        <v/>
      </c>
      <c r="AD781">
        <f>HYPERLINK("https://klasma.github.io/Logging_1737/tillsynsmail/A 63390-2025 tillsynsbegäran mail.docx", "A 63390-2025")</f>
        <v/>
      </c>
    </row>
    <row r="782" ht="15" customHeight="1">
      <c r="A782" t="inlineStr">
        <is>
          <t>A 38039-2024</t>
        </is>
      </c>
      <c r="B782" t="inlineStr">
        <is>
          <t>avverkningsanmälan</t>
        </is>
      </c>
      <c r="C782" t="inlineStr">
        <is>
          <t>Föryngringsavverkning</t>
        </is>
      </c>
      <c r="D782" s="1" t="n">
        <v>45544</v>
      </c>
      <c r="E782" s="1" t="n">
        <v>46307</v>
      </c>
      <c r="F782" t="inlineStr">
        <is>
          <t>VÄRMLANDS LÄN</t>
        </is>
      </c>
      <c r="G782" t="inlineStr">
        <is>
          <t>KIL</t>
        </is>
      </c>
      <c r="I782" t="n">
        <v>4</v>
      </c>
      <c r="J782" t="n">
        <v>0</v>
      </c>
      <c r="K782" t="n">
        <v>1</v>
      </c>
      <c r="L782" t="n">
        <v>0</v>
      </c>
      <c r="M782" t="n">
        <v>0</v>
      </c>
      <c r="N782" t="n">
        <v>0</v>
      </c>
      <c r="O782" t="n">
        <v>0</v>
      </c>
      <c r="P782" t="n">
        <v>0</v>
      </c>
      <c r="Q782" t="n">
        <v>0</v>
      </c>
      <c r="R782" t="n">
        <v>0</v>
      </c>
      <c r="S782" t="n">
        <v>1</v>
      </c>
      <c r="T782" t="n">
        <v>1</v>
      </c>
      <c r="U782" t="n">
        <v>0</v>
      </c>
      <c r="V782" s="2" t="inlineStr">
        <is>
          <t>Vedticka</t>
        </is>
      </c>
      <c r="W782">
        <f>HYPERLINK("https://klasma.github.io/Logging_1715/artfynd/A 38039-2024 artfynd.xlsx", "A 38039-2024")</f>
        <v/>
      </c>
      <c r="X782">
        <f>HYPERLINK("https://klasma.github.io/Logging_1715/kartor/A 38039-2024 karta.png", "A 38039-2024")</f>
        <v/>
      </c>
      <c r="Y782">
        <f>HYPERLINK("https://klasma.github.io/Logging_1715/kartor_geotiff/A 38039-2024 georefererad karta.tif", "A 38039-2024")</f>
        <v/>
      </c>
      <c r="AA782">
        <f>HYPERLINK("https://klasma.github.io/Logging_1715/klagomål/A 38039-2024 FSC-klagomål.docx", "A 38039-2024")</f>
        <v/>
      </c>
      <c r="AB782">
        <f>HYPERLINK("https://klasma.github.io/Logging_1715/klagomålsmail/A 38039-2024 FSC-klagomål mail.docx", "A 38039-2024")</f>
        <v/>
      </c>
      <c r="AC782">
        <f>HYPERLINK("https://klasma.github.io/Logging_1715/tillsyn/A 38039-2024 tillsynsbegäran.docx", "A 38039-2024")</f>
        <v/>
      </c>
      <c r="AD782">
        <f>HYPERLINK("https://klasma.github.io/Logging_1715/tillsynsmail/A 38039-2024 tillsynsbegäran mail.docx", "A 38039-2024")</f>
        <v/>
      </c>
    </row>
    <row r="783" ht="15" customHeight="1">
      <c r="A783" t="inlineStr">
        <is>
          <t>A 50776-2024</t>
        </is>
      </c>
      <c r="B783" t="inlineStr">
        <is>
          <t>avverkningsanmälan</t>
        </is>
      </c>
      <c r="C783" t="inlineStr">
        <is>
          <t>Föryngringsavverkning</t>
        </is>
      </c>
      <c r="D783" s="1" t="n">
        <v>45602</v>
      </c>
      <c r="E783" s="1" t="n">
        <v>46307</v>
      </c>
      <c r="F783" t="inlineStr">
        <is>
          <t>VÄRMLANDS LÄN</t>
        </is>
      </c>
      <c r="G783" t="inlineStr">
        <is>
          <t>FILIPSTAD</t>
        </is>
      </c>
      <c r="H783" t="inlineStr">
        <is>
          <t>Bergvik skog väst AB</t>
        </is>
      </c>
      <c r="I783" t="n">
        <v>15.5</v>
      </c>
      <c r="J783" t="n">
        <v>1</v>
      </c>
      <c r="K783" t="n">
        <v>0</v>
      </c>
      <c r="L783" t="n">
        <v>0</v>
      </c>
      <c r="M783" t="n">
        <v>0</v>
      </c>
      <c r="N783" t="n">
        <v>0</v>
      </c>
      <c r="O783" t="n">
        <v>0</v>
      </c>
      <c r="P783" t="n">
        <v>0</v>
      </c>
      <c r="Q783" t="n">
        <v>0</v>
      </c>
      <c r="R783" t="n">
        <v>0</v>
      </c>
      <c r="S783" t="n">
        <v>1</v>
      </c>
      <c r="T783" t="n">
        <v>1</v>
      </c>
      <c r="U783" t="n">
        <v>1</v>
      </c>
      <c r="V783" s="2" t="inlineStr">
        <is>
          <t>Nattviol</t>
        </is>
      </c>
      <c r="W783">
        <f>HYPERLINK("https://klasma.github.io/Logging_1782/artfynd/A 50776-2024 artfynd.xlsx", "A 50776-2024")</f>
        <v/>
      </c>
      <c r="X783">
        <f>HYPERLINK("https://klasma.github.io/Logging_1782/kartor/A 50776-2024 karta.png", "A 50776-2024")</f>
        <v/>
      </c>
      <c r="Y783">
        <f>HYPERLINK("https://klasma.github.io/Logging_1782/kartor_geotiff/A 50776-2024 georefererad karta.tif", "A 50776-2024")</f>
        <v/>
      </c>
      <c r="AA783">
        <f>HYPERLINK("https://klasma.github.io/Logging_1782/klagomål/A 50776-2024 FSC-klagomål.docx", "A 50776-2024")</f>
        <v/>
      </c>
      <c r="AB783">
        <f>HYPERLINK("https://klasma.github.io/Logging_1782/klagomålsmail/A 50776-2024 FSC-klagomål mail.docx", "A 50776-2024")</f>
        <v/>
      </c>
      <c r="AC783">
        <f>HYPERLINK("https://klasma.github.io/Logging_1782/tillsyn/A 50776-2024 tillsynsbegäran.docx", "A 50776-2024")</f>
        <v/>
      </c>
      <c r="AD783">
        <f>HYPERLINK("https://klasma.github.io/Logging_1782/tillsynsmail/A 50776-2024 tillsynsbegäran mail.docx", "A 50776-2024")</f>
        <v/>
      </c>
    </row>
    <row r="784" ht="15" customHeight="1">
      <c r="A784" t="inlineStr">
        <is>
          <t>A 28384-2022</t>
        </is>
      </c>
      <c r="B784" t="inlineStr">
        <is>
          <t>avverkningsanmälan</t>
        </is>
      </c>
      <c r="C784" t="inlineStr">
        <is>
          <t>Föryngringsavverkning</t>
        </is>
      </c>
      <c r="D784" s="1" t="n">
        <v>44747</v>
      </c>
      <c r="E784" s="1" t="n">
        <v>46307</v>
      </c>
      <c r="F784" t="inlineStr">
        <is>
          <t>VÄRMLANDS LÄN</t>
        </is>
      </c>
      <c r="G784" t="inlineStr">
        <is>
          <t>ÅRJÄNG</t>
        </is>
      </c>
      <c r="H784" t="inlineStr">
        <is>
          <t>Naturvårdsverket</t>
        </is>
      </c>
      <c r="I784" t="n">
        <v>1.7</v>
      </c>
      <c r="J784" t="n">
        <v>1</v>
      </c>
      <c r="K784" t="n">
        <v>0</v>
      </c>
      <c r="L784" t="n">
        <v>0</v>
      </c>
      <c r="M784" t="n">
        <v>0</v>
      </c>
      <c r="N784" t="n">
        <v>0</v>
      </c>
      <c r="O784" t="n">
        <v>0</v>
      </c>
      <c r="P784" t="n">
        <v>0</v>
      </c>
      <c r="Q784" t="n">
        <v>0</v>
      </c>
      <c r="R784" t="n">
        <v>0</v>
      </c>
      <c r="S784" t="n">
        <v>1</v>
      </c>
      <c r="T784" t="n">
        <v>1</v>
      </c>
      <c r="U784" t="n">
        <v>0</v>
      </c>
      <c r="V784" s="2" t="inlineStr">
        <is>
          <t>Tjäder</t>
        </is>
      </c>
      <c r="W784">
        <f>HYPERLINK("https://klasma.github.io/Logging_1765/artfynd/A 28384-2022 artfynd.xlsx", "A 28384-2022")</f>
        <v/>
      </c>
      <c r="X784">
        <f>HYPERLINK("https://klasma.github.io/Logging_1765/kartor/A 28384-2022 karta.png", "A 28384-2022")</f>
        <v/>
      </c>
      <c r="Y784">
        <f>HYPERLINK("https://klasma.github.io/Logging_1765/kartor_geotiff/A 28384-2022 georefererad karta.tif", "A 28384-2022")</f>
        <v/>
      </c>
      <c r="AA784">
        <f>HYPERLINK("https://klasma.github.io/Logging_1765/klagomål/A 28384-2022 FSC-klagomål.docx", "A 28384-2022")</f>
        <v/>
      </c>
      <c r="AB784">
        <f>HYPERLINK("https://klasma.github.io/Logging_1765/klagomålsmail/A 28384-2022 FSC-klagomål mail.docx", "A 28384-2022")</f>
        <v/>
      </c>
      <c r="AC784">
        <f>HYPERLINK("https://klasma.github.io/Logging_1765/tillsyn/A 28384-2022 tillsynsbegäran.docx", "A 28384-2022")</f>
        <v/>
      </c>
      <c r="AD784">
        <f>HYPERLINK("https://klasma.github.io/Logging_1765/tillsynsmail/A 28384-2022 tillsynsbegäran mail.docx", "A 28384-2022")</f>
        <v/>
      </c>
      <c r="AE784">
        <f>HYPERLINK("https://klasma.github.io/Logging_1765/fåglar/A 28384-2022 prioriterade fågelarter.docx", "A 28384-2022")</f>
        <v/>
      </c>
    </row>
    <row r="785" ht="15" customHeight="1">
      <c r="A785" t="inlineStr">
        <is>
          <t>A 57209-2022</t>
        </is>
      </c>
      <c r="B785" t="inlineStr">
        <is>
          <t>avverkningsanmälan</t>
        </is>
      </c>
      <c r="C785" t="inlineStr">
        <is>
          <t>Föryngringsavverkning</t>
        </is>
      </c>
      <c r="D785" s="1" t="n">
        <v>44895</v>
      </c>
      <c r="E785" s="1" t="n">
        <v>46307</v>
      </c>
      <c r="F785" t="inlineStr">
        <is>
          <t>VÄRMLANDS LÄN</t>
        </is>
      </c>
      <c r="G785" t="inlineStr">
        <is>
          <t>STORFORS</t>
        </is>
      </c>
      <c r="H785" t="inlineStr">
        <is>
          <t>Kyrkan</t>
        </is>
      </c>
      <c r="I785" t="n">
        <v>6.3</v>
      </c>
      <c r="J785" t="n">
        <v>0</v>
      </c>
      <c r="K785" t="n">
        <v>0</v>
      </c>
      <c r="L785" t="n">
        <v>1</v>
      </c>
      <c r="M785" t="n">
        <v>0</v>
      </c>
      <c r="N785" t="n">
        <v>0</v>
      </c>
      <c r="O785" t="n">
        <v>0</v>
      </c>
      <c r="P785" t="n">
        <v>0</v>
      </c>
      <c r="Q785" t="n">
        <v>1</v>
      </c>
      <c r="R785" t="n">
        <v>0</v>
      </c>
      <c r="S785" t="n">
        <v>1</v>
      </c>
      <c r="T785" t="n">
        <v>1</v>
      </c>
      <c r="U785" t="n">
        <v>0</v>
      </c>
      <c r="V785" s="2" t="inlineStr">
        <is>
          <t>Knölspindel</t>
        </is>
      </c>
      <c r="W785">
        <f>HYPERLINK("https://klasma.github.io/Logging_1760/artfynd/A 57209-2022 artfynd.xlsx", "A 57209-2022")</f>
        <v/>
      </c>
      <c r="X785">
        <f>HYPERLINK("https://klasma.github.io/Logging_1760/kartor/A 57209-2022 karta.png", "A 57209-2022")</f>
        <v/>
      </c>
      <c r="Y785">
        <f>HYPERLINK("https://klasma.github.io/Logging_1760/kartor_geotiff/A 57209-2022 georefererad karta.tif", "A 57209-2022")</f>
        <v/>
      </c>
      <c r="AA785">
        <f>HYPERLINK("https://klasma.github.io/Logging_1760/klagomål/A 57209-2022 FSC-klagomål.docx", "A 57209-2022")</f>
        <v/>
      </c>
      <c r="AB785">
        <f>HYPERLINK("https://klasma.github.io/Logging_1760/klagomålsmail/A 57209-2022 FSC-klagomål mail.docx", "A 57209-2022")</f>
        <v/>
      </c>
      <c r="AC785">
        <f>HYPERLINK("https://klasma.github.io/Logging_1760/tillsyn/A 57209-2022 tillsynsbegäran.docx", "A 57209-2022")</f>
        <v/>
      </c>
      <c r="AD785">
        <f>HYPERLINK("https://klasma.github.io/Logging_1760/tillsynsmail/A 57209-2022 tillsynsbegäran mail.docx", "A 57209-2022")</f>
        <v/>
      </c>
    </row>
    <row r="786" ht="15" customHeight="1">
      <c r="A786" t="inlineStr">
        <is>
          <t>A 22702-2023</t>
        </is>
      </c>
      <c r="B786" t="inlineStr">
        <is>
          <t>avverkningsanmälan</t>
        </is>
      </c>
      <c r="C786" t="inlineStr">
        <is>
          <t>Föryngringsavverkning</t>
        </is>
      </c>
      <c r="D786" s="1" t="n">
        <v>45071</v>
      </c>
      <c r="E786" s="1" t="n">
        <v>46307</v>
      </c>
      <c r="F786" t="inlineStr">
        <is>
          <t>VÄRMLANDS LÄN</t>
        </is>
      </c>
      <c r="G786" t="inlineStr">
        <is>
          <t>TORSBY</t>
        </is>
      </c>
      <c r="I786" t="n">
        <v>0.8</v>
      </c>
      <c r="J786" t="n">
        <v>0</v>
      </c>
      <c r="K786" t="n">
        <v>0</v>
      </c>
      <c r="L786" t="n">
        <v>1</v>
      </c>
      <c r="M786" t="n">
        <v>0</v>
      </c>
      <c r="N786" t="n">
        <v>0</v>
      </c>
      <c r="O786" t="n">
        <v>0</v>
      </c>
      <c r="P786" t="n">
        <v>0</v>
      </c>
      <c r="Q786" t="n">
        <v>1</v>
      </c>
      <c r="R786" t="n">
        <v>0</v>
      </c>
      <c r="S786" t="n">
        <v>1</v>
      </c>
      <c r="T786" t="n">
        <v>1</v>
      </c>
      <c r="U786" t="n">
        <v>1</v>
      </c>
      <c r="V786" s="2" t="inlineStr">
        <is>
          <t>Lunglav</t>
        </is>
      </c>
      <c r="W786">
        <f>HYPERLINK("https://klasma.github.io/Logging_1737/artfynd/A 22702-2023 artfynd.xlsx", "A 22702-2023")</f>
        <v/>
      </c>
      <c r="X786">
        <f>HYPERLINK("https://klasma.github.io/Logging_1737/kartor/A 22702-2023 karta.png", "A 22702-2023")</f>
        <v/>
      </c>
      <c r="Y786">
        <f>HYPERLINK("https://klasma.github.io/Logging_1737/kartor_geotiff/A 22702-2023 georefererad karta.tif", "A 22702-2023")</f>
        <v/>
      </c>
      <c r="AA786">
        <f>HYPERLINK("https://klasma.github.io/Logging_1737/klagomål/A 22702-2023 FSC-klagomål.docx", "A 22702-2023")</f>
        <v/>
      </c>
      <c r="AB786">
        <f>HYPERLINK("https://klasma.github.io/Logging_1737/klagomålsmail/A 22702-2023 FSC-klagomål mail.docx", "A 22702-2023")</f>
        <v/>
      </c>
      <c r="AC786">
        <f>HYPERLINK("https://klasma.github.io/Logging_1737/tillsyn/A 22702-2023 tillsynsbegäran.docx", "A 22702-2023")</f>
        <v/>
      </c>
      <c r="AD786">
        <f>HYPERLINK("https://klasma.github.io/Logging_1737/tillsynsmail/A 22702-2023 tillsynsbegäran mail.docx", "A 22702-2023")</f>
        <v/>
      </c>
    </row>
    <row r="787" ht="15" customHeight="1">
      <c r="A787" t="inlineStr">
        <is>
          <t>A 14428-2023</t>
        </is>
      </c>
      <c r="B787" t="inlineStr">
        <is>
          <t>avverkningsanmälan</t>
        </is>
      </c>
      <c r="C787" t="inlineStr">
        <is>
          <t>Föryngringsavverkning</t>
        </is>
      </c>
      <c r="D787" s="1" t="n">
        <v>45012</v>
      </c>
      <c r="E787" s="1" t="n">
        <v>46307</v>
      </c>
      <c r="F787" t="inlineStr">
        <is>
          <t>VÄRMLANDS LÄN</t>
        </is>
      </c>
      <c r="G787" t="inlineStr">
        <is>
          <t>SÄFFLE</t>
        </is>
      </c>
      <c r="I787" t="n">
        <v>0.6</v>
      </c>
      <c r="J787" t="n">
        <v>0</v>
      </c>
      <c r="K787" t="n">
        <v>0</v>
      </c>
      <c r="L787" t="n">
        <v>0</v>
      </c>
      <c r="M787" t="n">
        <v>0</v>
      </c>
      <c r="N787" t="n">
        <v>1</v>
      </c>
      <c r="O787" t="n">
        <v>0</v>
      </c>
      <c r="P787" t="n">
        <v>0</v>
      </c>
      <c r="Q787" t="n">
        <v>1</v>
      </c>
      <c r="R787" t="n">
        <v>1</v>
      </c>
      <c r="S787" t="n">
        <v>1</v>
      </c>
      <c r="T787" t="n">
        <v>2</v>
      </c>
      <c r="U787" t="n">
        <v>0</v>
      </c>
      <c r="V787" s="2" t="inlineStr">
        <is>
          <t>Ask</t>
        </is>
      </c>
      <c r="W787">
        <f>HYPERLINK("https://klasma.github.io/Logging_1785/artfynd/A 14428-2023 artfynd.xlsx", "A 14428-2023")</f>
        <v/>
      </c>
      <c r="X787">
        <f>HYPERLINK("https://klasma.github.io/Logging_1785/kartor/A 14428-2023 karta.png", "A 14428-2023")</f>
        <v/>
      </c>
      <c r="Y787">
        <f>HYPERLINK("https://klasma.github.io/Logging_1785/kartor_geotiff/A 14428-2023 georefererad karta.tif", "A 14428-2023")</f>
        <v/>
      </c>
      <c r="AA787">
        <f>HYPERLINK("https://klasma.github.io/Logging_1785/klagomål/A 14428-2023 FSC-klagomål.docx", "A 14428-2023")</f>
        <v/>
      </c>
      <c r="AB787">
        <f>HYPERLINK("https://klasma.github.io/Logging_1785/klagomålsmail/A 14428-2023 FSC-klagomål mail.docx", "A 14428-2023")</f>
        <v/>
      </c>
      <c r="AC787">
        <f>HYPERLINK("https://klasma.github.io/Logging_1785/tillsyn/A 14428-2023 tillsynsbegäran.docx", "A 14428-2023")</f>
        <v/>
      </c>
      <c r="AD787">
        <f>HYPERLINK("https://klasma.github.io/Logging_1785/tillsynsmail/A 14428-2023 tillsynsbegäran mail.docx", "A 14428-2023")</f>
        <v/>
      </c>
    </row>
    <row r="788" ht="15" customHeight="1">
      <c r="A788" t="inlineStr">
        <is>
          <t>A 4560-2025</t>
        </is>
      </c>
      <c r="B788" t="inlineStr">
        <is>
          <t>avverkningsanmälan</t>
        </is>
      </c>
      <c r="C788" t="inlineStr">
        <is>
          <t>Föryngringsavverkning</t>
        </is>
      </c>
      <c r="D788" s="1" t="n">
        <v>45687</v>
      </c>
      <c r="E788" s="1" t="n">
        <v>46307</v>
      </c>
      <c r="F788" t="inlineStr">
        <is>
          <t>VÄRMLANDS LÄN</t>
        </is>
      </c>
      <c r="G788" t="inlineStr">
        <is>
          <t>FILIPSTAD</t>
        </is>
      </c>
      <c r="I788" t="n">
        <v>13.6</v>
      </c>
      <c r="J788" t="n">
        <v>0</v>
      </c>
      <c r="K788" t="n">
        <v>0</v>
      </c>
      <c r="L788" t="n">
        <v>0</v>
      </c>
      <c r="M788" t="n">
        <v>1</v>
      </c>
      <c r="N788" t="n">
        <v>0</v>
      </c>
      <c r="O788" t="n">
        <v>0</v>
      </c>
      <c r="P788" t="n">
        <v>0</v>
      </c>
      <c r="Q788" t="n">
        <v>1</v>
      </c>
      <c r="R788" t="n">
        <v>1</v>
      </c>
      <c r="S788" t="n">
        <v>1</v>
      </c>
      <c r="T788" t="n">
        <v>1</v>
      </c>
      <c r="U788" t="n">
        <v>0</v>
      </c>
      <c r="V788" s="2" t="inlineStr">
        <is>
          <t>Skrovlig taggsvamp</t>
        </is>
      </c>
      <c r="W788">
        <f>HYPERLINK("https://klasma.github.io/Logging_1782/artfynd/A 4560-2025 artfynd.xlsx", "A 4560-2025")</f>
        <v/>
      </c>
      <c r="X788">
        <f>HYPERLINK("https://klasma.github.io/Logging_1782/kartor/A 4560-2025 karta.png", "A 4560-2025")</f>
        <v/>
      </c>
      <c r="Y788">
        <f>HYPERLINK("https://klasma.github.io/Logging_1782/kartor_geotiff/A 4560-2025 georefererad karta.tif", "A 4560-2025")</f>
        <v/>
      </c>
      <c r="AA788">
        <f>HYPERLINK("https://klasma.github.io/Logging_1782/klagomål/A 4560-2025 FSC-klagomål.docx", "A 4560-2025")</f>
        <v/>
      </c>
      <c r="AB788">
        <f>HYPERLINK("https://klasma.github.io/Logging_1782/klagomålsmail/A 4560-2025 FSC-klagomål mail.docx", "A 4560-2025")</f>
        <v/>
      </c>
      <c r="AC788">
        <f>HYPERLINK("https://klasma.github.io/Logging_1782/tillsyn/A 4560-2025 tillsynsbegäran.docx", "A 4560-2025")</f>
        <v/>
      </c>
      <c r="AD788">
        <f>HYPERLINK("https://klasma.github.io/Logging_1782/tillsynsmail/A 4560-2025 tillsynsbegäran mail.docx", "A 4560-2025")</f>
        <v/>
      </c>
    </row>
    <row r="789" ht="15" customHeight="1">
      <c r="A789" t="inlineStr">
        <is>
          <t>A 8846-2022</t>
        </is>
      </c>
      <c r="B789" t="inlineStr">
        <is>
          <t>avverkningsanmälan</t>
        </is>
      </c>
      <c r="C789" t="inlineStr">
        <is>
          <t>Föryngringsavverkning</t>
        </is>
      </c>
      <c r="D789" s="1" t="n">
        <v>44614</v>
      </c>
      <c r="E789" s="1" t="n">
        <v>46307</v>
      </c>
      <c r="F789" t="inlineStr">
        <is>
          <t>VÄRMLANDS LÄN</t>
        </is>
      </c>
      <c r="G789" t="inlineStr">
        <is>
          <t>ARVIKA</t>
        </is>
      </c>
      <c r="I789" t="n">
        <v>8.6</v>
      </c>
      <c r="J789" t="n">
        <v>0</v>
      </c>
      <c r="K789" t="n">
        <v>1</v>
      </c>
      <c r="L789" t="n">
        <v>0</v>
      </c>
      <c r="M789" t="n">
        <v>0</v>
      </c>
      <c r="N789" t="n">
        <v>0</v>
      </c>
      <c r="O789" t="n">
        <v>0</v>
      </c>
      <c r="P789" t="n">
        <v>0</v>
      </c>
      <c r="Q789" t="n">
        <v>0</v>
      </c>
      <c r="R789" t="n">
        <v>0</v>
      </c>
      <c r="S789" t="n">
        <v>1</v>
      </c>
      <c r="T789" t="n">
        <v>5</v>
      </c>
      <c r="U789" t="n">
        <v>0</v>
      </c>
      <c r="V789" s="2" t="inlineStr">
        <is>
          <t>Tibast</t>
        </is>
      </c>
      <c r="W789">
        <f>HYPERLINK("https://klasma.github.io/Logging_1784/artfynd/A 8846-2022 artfynd.xlsx", "A 8846-2022")</f>
        <v/>
      </c>
      <c r="X789">
        <f>HYPERLINK("https://klasma.github.io/Logging_1784/kartor/A 8846-2022 karta.png", "A 8846-2022")</f>
        <v/>
      </c>
      <c r="Y789">
        <f>HYPERLINK("https://klasma.github.io/Logging_1784/kartor_geotiff/A 8846-2022 georefererad karta.tif", "A 8846-2022")</f>
        <v/>
      </c>
      <c r="AA789">
        <f>HYPERLINK("https://klasma.github.io/Logging_1784/klagomål/A 8846-2022 FSC-klagomål.docx", "A 8846-2022")</f>
        <v/>
      </c>
      <c r="AB789">
        <f>HYPERLINK("https://klasma.github.io/Logging_1784/klagomålsmail/A 8846-2022 FSC-klagomål mail.docx", "A 8846-2022")</f>
        <v/>
      </c>
      <c r="AC789">
        <f>HYPERLINK("https://klasma.github.io/Logging_1784/tillsyn/A 8846-2022 tillsynsbegäran.docx", "A 8846-2022")</f>
        <v/>
      </c>
      <c r="AD789">
        <f>HYPERLINK("https://klasma.github.io/Logging_1784/tillsynsmail/A 8846-2022 tillsynsbegäran mail.docx", "A 8846-2022")</f>
        <v/>
      </c>
    </row>
    <row r="790" ht="15" customHeight="1">
      <c r="A790" t="inlineStr">
        <is>
          <t>A 36792-2023</t>
        </is>
      </c>
      <c r="B790" t="inlineStr">
        <is>
          <t>avverkningsanmälan</t>
        </is>
      </c>
      <c r="C790" t="inlineStr">
        <is>
          <t>Föryngringsavverkning</t>
        </is>
      </c>
      <c r="D790" s="1" t="n">
        <v>45154</v>
      </c>
      <c r="E790" s="1" t="n">
        <v>46307</v>
      </c>
      <c r="F790" t="inlineStr">
        <is>
          <t>VÄRMLANDS LÄN</t>
        </is>
      </c>
      <c r="G790" t="inlineStr">
        <is>
          <t>KRISTINEHAMN</t>
        </is>
      </c>
      <c r="I790" t="n">
        <v>4.2</v>
      </c>
      <c r="J790" t="n">
        <v>1</v>
      </c>
      <c r="K790" t="n">
        <v>0</v>
      </c>
      <c r="L790" t="n">
        <v>0</v>
      </c>
      <c r="M790" t="n">
        <v>0</v>
      </c>
      <c r="N790" t="n">
        <v>0</v>
      </c>
      <c r="O790" t="n">
        <v>0</v>
      </c>
      <c r="P790" t="n">
        <v>0</v>
      </c>
      <c r="Q790" t="n">
        <v>0</v>
      </c>
      <c r="R790" t="n">
        <v>0</v>
      </c>
      <c r="S790" t="n">
        <v>1</v>
      </c>
      <c r="T790" t="n">
        <v>1</v>
      </c>
      <c r="U790" t="n">
        <v>1</v>
      </c>
      <c r="V790" s="2" t="inlineStr">
        <is>
          <t>Fläcknycklar</t>
        </is>
      </c>
      <c r="W790">
        <f>HYPERLINK("https://klasma.github.io/Logging_1781/artfynd/A 36792-2023 artfynd.xlsx", "A 36792-2023")</f>
        <v/>
      </c>
      <c r="X790">
        <f>HYPERLINK("https://klasma.github.io/Logging_1781/kartor/A 36792-2023 karta.png", "A 36792-2023")</f>
        <v/>
      </c>
      <c r="Y790">
        <f>HYPERLINK("https://klasma.github.io/Logging_1781/kartor_geotiff/A 36792-2023 georefererad karta.tif", "A 36792-2023")</f>
        <v/>
      </c>
      <c r="AA790">
        <f>HYPERLINK("https://klasma.github.io/Logging_1781/klagomål/A 36792-2023 FSC-klagomål.docx", "A 36792-2023")</f>
        <v/>
      </c>
      <c r="AB790">
        <f>HYPERLINK("https://klasma.github.io/Logging_1781/klagomålsmail/A 36792-2023 FSC-klagomål mail.docx", "A 36792-2023")</f>
        <v/>
      </c>
      <c r="AC790">
        <f>HYPERLINK("https://klasma.github.io/Logging_1781/tillsyn/A 36792-2023 tillsynsbegäran.docx", "A 36792-2023")</f>
        <v/>
      </c>
      <c r="AD790">
        <f>HYPERLINK("https://klasma.github.io/Logging_1781/tillsynsmail/A 36792-2023 tillsynsbegäran mail.docx", "A 36792-2023")</f>
        <v/>
      </c>
    </row>
    <row r="791" ht="15" customHeight="1">
      <c r="A791" t="inlineStr">
        <is>
          <t>A 1534-2026</t>
        </is>
      </c>
      <c r="B791" t="inlineStr">
        <is>
          <t>avverkningsanmälan</t>
        </is>
      </c>
      <c r="C791" t="inlineStr">
        <is>
          <t>Föryngringsavverkning</t>
        </is>
      </c>
      <c r="D791" s="1" t="n">
        <v>46034</v>
      </c>
      <c r="E791" s="1" t="n">
        <v>46307</v>
      </c>
      <c r="F791" t="inlineStr">
        <is>
          <t>VÄRMLANDS LÄN</t>
        </is>
      </c>
      <c r="G791" t="inlineStr">
        <is>
          <t>TORSBY</t>
        </is>
      </c>
      <c r="I791" t="n">
        <v>2.1</v>
      </c>
      <c r="J791" t="n">
        <v>0</v>
      </c>
      <c r="K791" t="n">
        <v>0</v>
      </c>
      <c r="L791" t="n">
        <v>0</v>
      </c>
      <c r="M791" t="n">
        <v>1</v>
      </c>
      <c r="N791" t="n">
        <v>0</v>
      </c>
      <c r="O791" t="n">
        <v>0</v>
      </c>
      <c r="P791" t="n">
        <v>0</v>
      </c>
      <c r="Q791" t="n">
        <v>1</v>
      </c>
      <c r="R791" t="n">
        <v>1</v>
      </c>
      <c r="S791" t="n">
        <v>1</v>
      </c>
      <c r="T791" t="n">
        <v>3</v>
      </c>
      <c r="U791" t="n">
        <v>0</v>
      </c>
      <c r="V791" s="2" t="inlineStr">
        <is>
          <t>Garnlav</t>
        </is>
      </c>
      <c r="W791">
        <f>HYPERLINK("https://klasma.github.io/Logging_1737/artfynd/A 1534-2026 artfynd.xlsx", "A 1534-2026")</f>
        <v/>
      </c>
      <c r="X791">
        <f>HYPERLINK("https://klasma.github.io/Logging_1737/kartor/A 1534-2026 karta.png", "A 1534-2026")</f>
        <v/>
      </c>
      <c r="Y791">
        <f>HYPERLINK("https://klasma.github.io/Logging_1737/kartor_geotiff/A 1534-2026 georefererad karta.tif", "A 1534-2026")</f>
        <v/>
      </c>
      <c r="AA791">
        <f>HYPERLINK("https://klasma.github.io/Logging_1737/klagomål/A 1534-2026 FSC-klagomål.docx", "A 1534-2026")</f>
        <v/>
      </c>
      <c r="AB791">
        <f>HYPERLINK("https://klasma.github.io/Logging_1737/klagomålsmail/A 1534-2026 FSC-klagomål mail.docx", "A 1534-2026")</f>
        <v/>
      </c>
      <c r="AC791">
        <f>HYPERLINK("https://klasma.github.io/Logging_1737/tillsyn/A 1534-2026 tillsynsbegäran.docx", "A 1534-2026")</f>
        <v/>
      </c>
      <c r="AD791">
        <f>HYPERLINK("https://klasma.github.io/Logging_1737/tillsynsmail/A 1534-2026 tillsynsbegäran mail.docx", "A 1534-2026")</f>
        <v/>
      </c>
    </row>
    <row r="792" ht="15" customHeight="1">
      <c r="A792" t="inlineStr">
        <is>
          <t>A 56496-2023</t>
        </is>
      </c>
      <c r="B792" t="inlineStr">
        <is>
          <t>avverkningsanmälan</t>
        </is>
      </c>
      <c r="C792" t="inlineStr">
        <is>
          <t>Föryngringsavverkning</t>
        </is>
      </c>
      <c r="D792" s="1" t="n">
        <v>45243</v>
      </c>
      <c r="E792" s="1" t="n">
        <v>46307</v>
      </c>
      <c r="F792" t="inlineStr">
        <is>
          <t>VÄRMLANDS LÄN</t>
        </is>
      </c>
      <c r="G792" t="inlineStr">
        <is>
          <t>EDA</t>
        </is>
      </c>
      <c r="I792" t="n">
        <v>6</v>
      </c>
      <c r="J792" t="n">
        <v>1</v>
      </c>
      <c r="K792" t="n">
        <v>0</v>
      </c>
      <c r="L792" t="n">
        <v>0</v>
      </c>
      <c r="M792" t="n">
        <v>0</v>
      </c>
      <c r="N792" t="n">
        <v>0</v>
      </c>
      <c r="O792" t="n">
        <v>0</v>
      </c>
      <c r="P792" t="n">
        <v>0</v>
      </c>
      <c r="Q792" t="n">
        <v>0</v>
      </c>
      <c r="R792" t="n">
        <v>0</v>
      </c>
      <c r="S792" t="n">
        <v>1</v>
      </c>
      <c r="T792" t="n">
        <v>1</v>
      </c>
      <c r="U792" t="n">
        <v>0</v>
      </c>
      <c r="V792" s="2" t="inlineStr">
        <is>
          <t>Blåsippa</t>
        </is>
      </c>
      <c r="W792">
        <f>HYPERLINK("https://klasma.github.io/Logging_1730/artfynd/A 56496-2023 artfynd.xlsx", "A 56496-2023")</f>
        <v/>
      </c>
      <c r="X792">
        <f>HYPERLINK("https://klasma.github.io/Logging_1730/kartor/A 56496-2023 karta.png", "A 56496-2023")</f>
        <v/>
      </c>
      <c r="Y792">
        <f>HYPERLINK("https://klasma.github.io/Logging_1730/kartor_geotiff/A 56496-2023 georefererad karta.tif", "A 56496-2023")</f>
        <v/>
      </c>
      <c r="AA792">
        <f>HYPERLINK("https://klasma.github.io/Logging_1730/klagomål/A 56496-2023 FSC-klagomål.docx", "A 56496-2023")</f>
        <v/>
      </c>
      <c r="AB792">
        <f>HYPERLINK("https://klasma.github.io/Logging_1730/klagomålsmail/A 56496-2023 FSC-klagomål mail.docx", "A 56496-2023")</f>
        <v/>
      </c>
      <c r="AC792">
        <f>HYPERLINK("https://klasma.github.io/Logging_1730/tillsyn/A 56496-2023 tillsynsbegäran.docx", "A 56496-2023")</f>
        <v/>
      </c>
      <c r="AD792">
        <f>HYPERLINK("https://klasma.github.io/Logging_1730/tillsynsmail/A 56496-2023 tillsynsbegäran mail.docx", "A 56496-2023")</f>
        <v/>
      </c>
    </row>
    <row r="793" ht="15" customHeight="1">
      <c r="A793" t="inlineStr">
        <is>
          <t>A 2769-2023</t>
        </is>
      </c>
      <c r="B793" t="inlineStr">
        <is>
          <t>avverkningsanmälan</t>
        </is>
      </c>
      <c r="C793" t="inlineStr">
        <is>
          <t>Föryngringsavverkning</t>
        </is>
      </c>
      <c r="D793" s="1" t="n">
        <v>44944</v>
      </c>
      <c r="E793" s="1" t="n">
        <v>46307</v>
      </c>
      <c r="F793" t="inlineStr">
        <is>
          <t>VÄRMLANDS LÄN</t>
        </is>
      </c>
      <c r="G793" t="inlineStr">
        <is>
          <t>HAMMARÖ</t>
        </is>
      </c>
      <c r="I793" t="n">
        <v>8.699999999999999</v>
      </c>
      <c r="J793" t="n">
        <v>0</v>
      </c>
      <c r="K793" t="n">
        <v>0</v>
      </c>
      <c r="L793" t="n">
        <v>1</v>
      </c>
      <c r="M793" t="n">
        <v>0</v>
      </c>
      <c r="N793" t="n">
        <v>0</v>
      </c>
      <c r="O793" t="n">
        <v>0</v>
      </c>
      <c r="P793" t="n">
        <v>0</v>
      </c>
      <c r="Q793" t="n">
        <v>1</v>
      </c>
      <c r="R793" t="n">
        <v>0</v>
      </c>
      <c r="S793" t="n">
        <v>1</v>
      </c>
      <c r="T793" t="n">
        <v>3</v>
      </c>
      <c r="U793" t="n">
        <v>3</v>
      </c>
      <c r="V793" s="2" t="inlineStr">
        <is>
          <t>Motaggsvamp</t>
        </is>
      </c>
      <c r="W793">
        <f>HYPERLINK("https://klasma.github.io/Logging_1761/artfynd/A 2769-2023 artfynd.xlsx", "A 2769-2023")</f>
        <v/>
      </c>
      <c r="X793">
        <f>HYPERLINK("https://klasma.github.io/Logging_1761/kartor/A 2769-2023 karta.png", "A 2769-2023")</f>
        <v/>
      </c>
      <c r="Y793">
        <f>HYPERLINK("https://klasma.github.io/Logging_1761/kartor_geotiff/A 2769-2023 georefererad karta.tif", "A 2769-2023")</f>
        <v/>
      </c>
      <c r="AA793">
        <f>HYPERLINK("https://klasma.github.io/Logging_1761/klagomål/A 2769-2023 FSC-klagomål.docx", "A 2769-2023")</f>
        <v/>
      </c>
      <c r="AB793">
        <f>HYPERLINK("https://klasma.github.io/Logging_1761/klagomålsmail/A 2769-2023 FSC-klagomål mail.docx", "A 2769-2023")</f>
        <v/>
      </c>
      <c r="AC793">
        <f>HYPERLINK("https://klasma.github.io/Logging_1761/tillsyn/A 2769-2023 tillsynsbegäran.docx", "A 2769-2023")</f>
        <v/>
      </c>
      <c r="AD793">
        <f>HYPERLINK("https://klasma.github.io/Logging_1761/tillsynsmail/A 2769-2023 tillsynsbegäran mail.docx", "A 2769-2023")</f>
        <v/>
      </c>
    </row>
    <row r="794" ht="15" customHeight="1">
      <c r="A794" t="inlineStr">
        <is>
          <t>A 62954-2025</t>
        </is>
      </c>
      <c r="B794" t="inlineStr">
        <is>
          <t>avverkningsanmälan</t>
        </is>
      </c>
      <c r="C794" t="inlineStr">
        <is>
          <t>Föryngringsavverkning</t>
        </is>
      </c>
      <c r="D794" s="1" t="n">
        <v>46009</v>
      </c>
      <c r="E794" s="1" t="n">
        <v>46307</v>
      </c>
      <c r="F794" t="inlineStr">
        <is>
          <t>VÄRMLANDS LÄN</t>
        </is>
      </c>
      <c r="G794" t="inlineStr">
        <is>
          <t>HAGFORS</t>
        </is>
      </c>
      <c r="I794" t="n">
        <v>9.1</v>
      </c>
      <c r="J794" t="n">
        <v>1</v>
      </c>
      <c r="K794" t="n">
        <v>0</v>
      </c>
      <c r="L794" t="n">
        <v>0</v>
      </c>
      <c r="M794" t="n">
        <v>0</v>
      </c>
      <c r="N794" t="n">
        <v>0</v>
      </c>
      <c r="O794" t="n">
        <v>0</v>
      </c>
      <c r="P794" t="n">
        <v>0</v>
      </c>
      <c r="Q794" t="n">
        <v>0</v>
      </c>
      <c r="R794" t="n">
        <v>0</v>
      </c>
      <c r="S794" t="n">
        <v>1</v>
      </c>
      <c r="T794" t="n">
        <v>1</v>
      </c>
      <c r="U794" t="n">
        <v>1</v>
      </c>
      <c r="V794" s="2" t="inlineStr">
        <is>
          <t>Kråka</t>
        </is>
      </c>
      <c r="W794">
        <f>HYPERLINK("https://klasma.github.io/Logging_1783/artfynd/A 62954-2025 artfynd.xlsx", "A 62954-2025")</f>
        <v/>
      </c>
      <c r="X794">
        <f>HYPERLINK("https://klasma.github.io/Logging_1783/kartor/A 62954-2025 karta.png", "A 62954-2025")</f>
        <v/>
      </c>
      <c r="Y794">
        <f>HYPERLINK("https://klasma.github.io/Logging_1783/kartor_geotiff/A 62954-2025 georefererad karta.tif", "A 62954-2025")</f>
        <v/>
      </c>
      <c r="AA794">
        <f>HYPERLINK("https://klasma.github.io/Logging_1783/klagomål/A 62954-2025 FSC-klagomål.docx", "A 62954-2025")</f>
        <v/>
      </c>
      <c r="AB794">
        <f>HYPERLINK("https://klasma.github.io/Logging_1783/klagomålsmail/A 62954-2025 FSC-klagomål mail.docx", "A 62954-2025")</f>
        <v/>
      </c>
      <c r="AC794">
        <f>HYPERLINK("https://klasma.github.io/Logging_1783/tillsyn/A 62954-2025 tillsynsbegäran.docx", "A 62954-2025")</f>
        <v/>
      </c>
      <c r="AD794">
        <f>HYPERLINK("https://klasma.github.io/Logging_1783/tillsynsmail/A 62954-2025 tillsynsbegäran mail.docx", "A 62954-2025")</f>
        <v/>
      </c>
    </row>
    <row r="795" ht="15" customHeight="1">
      <c r="A795" t="inlineStr">
        <is>
          <t>A 42023-2023</t>
        </is>
      </c>
      <c r="B795" t="inlineStr">
        <is>
          <t>avverkningsanmälan</t>
        </is>
      </c>
      <c r="C795" t="inlineStr">
        <is>
          <t>Föryngringsavverkning</t>
        </is>
      </c>
      <c r="D795" s="1" t="n">
        <v>45177</v>
      </c>
      <c r="E795" s="1" t="n">
        <v>46307</v>
      </c>
      <c r="F795" t="inlineStr">
        <is>
          <t>VÄRMLANDS LÄN</t>
        </is>
      </c>
      <c r="G795" t="inlineStr">
        <is>
          <t>ARVIKA</t>
        </is>
      </c>
      <c r="I795" t="n">
        <v>1.2</v>
      </c>
      <c r="J795" t="n">
        <v>1</v>
      </c>
      <c r="K795" t="n">
        <v>0</v>
      </c>
      <c r="L795" t="n">
        <v>0</v>
      </c>
      <c r="M795" t="n">
        <v>1</v>
      </c>
      <c r="N795" t="n">
        <v>0</v>
      </c>
      <c r="O795" t="n">
        <v>0</v>
      </c>
      <c r="P795" t="n">
        <v>0</v>
      </c>
      <c r="Q795" t="n">
        <v>1</v>
      </c>
      <c r="R795" t="n">
        <v>1</v>
      </c>
      <c r="S795" t="n">
        <v>1</v>
      </c>
      <c r="T795" t="n">
        <v>1</v>
      </c>
      <c r="U795" t="n">
        <v>0</v>
      </c>
      <c r="V795" s="2" t="inlineStr">
        <is>
          <t>Knärot</t>
        </is>
      </c>
      <c r="W795">
        <f>HYPERLINK("https://klasma.github.io/Logging_1784/artfynd/A 42023-2023 artfynd.xlsx", "A 42023-2023")</f>
        <v/>
      </c>
      <c r="X795">
        <f>HYPERLINK("https://klasma.github.io/Logging_1784/kartor/A 42023-2023 karta.png", "A 42023-2023")</f>
        <v/>
      </c>
      <c r="Y795">
        <f>HYPERLINK("https://klasma.github.io/Logging_1784/kartor_geotiff/A 42023-2023 georefererad karta.tif", "A 42023-2023")</f>
        <v/>
      </c>
      <c r="Z795">
        <f>HYPERLINK("https://klasma.github.io/Logging_1784/knärot/A 42023-2023 karta knärot.png", "A 42023-2023")</f>
        <v/>
      </c>
      <c r="AA795">
        <f>HYPERLINK("https://klasma.github.io/Logging_1784/klagomål/A 42023-2023 FSC-klagomål.docx", "A 42023-2023")</f>
        <v/>
      </c>
      <c r="AB795">
        <f>HYPERLINK("https://klasma.github.io/Logging_1784/klagomålsmail/A 42023-2023 FSC-klagomål mail.docx", "A 42023-2023")</f>
        <v/>
      </c>
      <c r="AC795">
        <f>HYPERLINK("https://klasma.github.io/Logging_1784/tillsyn/A 42023-2023 tillsynsbegäran.docx", "A 42023-2023")</f>
        <v/>
      </c>
      <c r="AD795">
        <f>HYPERLINK("https://klasma.github.io/Logging_1784/tillsynsmail/A 42023-2023 tillsynsbegäran mail.docx", "A 42023-2023")</f>
        <v/>
      </c>
    </row>
    <row r="796" ht="15" customHeight="1">
      <c r="A796" t="inlineStr">
        <is>
          <t>A 49883-2024</t>
        </is>
      </c>
      <c r="B796" t="inlineStr">
        <is>
          <t>avverkningsanmälan</t>
        </is>
      </c>
      <c r="C796" t="inlineStr">
        <is>
          <t>Föryngringsavverkning</t>
        </is>
      </c>
      <c r="D796" s="1" t="n">
        <v>45597</v>
      </c>
      <c r="E796" s="1" t="n">
        <v>46307</v>
      </c>
      <c r="F796" t="inlineStr">
        <is>
          <t>VÄRMLANDS LÄN</t>
        </is>
      </c>
      <c r="G796" t="inlineStr">
        <is>
          <t>ARVIKA</t>
        </is>
      </c>
      <c r="H796" t="inlineStr">
        <is>
          <t>Bergvik skog väst AB</t>
        </is>
      </c>
      <c r="I796" t="n">
        <v>4.6</v>
      </c>
      <c r="J796" t="n">
        <v>0</v>
      </c>
      <c r="K796" t="n">
        <v>1</v>
      </c>
      <c r="L796" t="n">
        <v>0</v>
      </c>
      <c r="M796" t="n">
        <v>0</v>
      </c>
      <c r="N796" t="n">
        <v>0</v>
      </c>
      <c r="O796" t="n">
        <v>0</v>
      </c>
      <c r="P796" t="n">
        <v>0</v>
      </c>
      <c r="Q796" t="n">
        <v>0</v>
      </c>
      <c r="R796" t="n">
        <v>0</v>
      </c>
      <c r="S796" t="n">
        <v>1</v>
      </c>
      <c r="T796" t="n">
        <v>1</v>
      </c>
      <c r="U796" t="n">
        <v>0</v>
      </c>
      <c r="V796" s="2" t="inlineStr">
        <is>
          <t>Mönjevaxing</t>
        </is>
      </c>
      <c r="W796">
        <f>HYPERLINK("https://klasma.github.io/Logging_1784/artfynd/A 49883-2024 artfynd.xlsx", "A 49883-2024")</f>
        <v/>
      </c>
      <c r="X796">
        <f>HYPERLINK("https://klasma.github.io/Logging_1784/kartor/A 49883-2024 karta.png", "A 49883-2024")</f>
        <v/>
      </c>
      <c r="Y796">
        <f>HYPERLINK("https://klasma.github.io/Logging_1784/kartor_geotiff/A 49883-2024 georefererad karta.tif", "A 49883-2024")</f>
        <v/>
      </c>
      <c r="AA796">
        <f>HYPERLINK("https://klasma.github.io/Logging_1784/klagomål/A 49883-2024 FSC-klagomål.docx", "A 49883-2024")</f>
        <v/>
      </c>
      <c r="AB796">
        <f>HYPERLINK("https://klasma.github.io/Logging_1784/klagomålsmail/A 49883-2024 FSC-klagomål mail.docx", "A 49883-2024")</f>
        <v/>
      </c>
      <c r="AC796">
        <f>HYPERLINK("https://klasma.github.io/Logging_1784/tillsyn/A 49883-2024 tillsynsbegäran.docx", "A 49883-2024")</f>
        <v/>
      </c>
      <c r="AD796">
        <f>HYPERLINK("https://klasma.github.io/Logging_1784/tillsynsmail/A 49883-2024 tillsynsbegäran mail.docx", "A 49883-2024")</f>
        <v/>
      </c>
    </row>
    <row r="797" ht="15" customHeight="1">
      <c r="A797" t="inlineStr">
        <is>
          <t>A 12458-2023</t>
        </is>
      </c>
      <c r="B797" t="inlineStr">
        <is>
          <t>avverkningsanmälan</t>
        </is>
      </c>
      <c r="C797" t="inlineStr">
        <is>
          <t>Föryngringsavverkning</t>
        </is>
      </c>
      <c r="D797" s="1" t="n">
        <v>44999</v>
      </c>
      <c r="E797" s="1" t="n">
        <v>46307</v>
      </c>
      <c r="F797" t="inlineStr">
        <is>
          <t>VÄRMLANDS LÄN</t>
        </is>
      </c>
      <c r="G797" t="inlineStr">
        <is>
          <t>TORSBY</t>
        </is>
      </c>
      <c r="I797" t="n">
        <v>2.7</v>
      </c>
      <c r="J797" t="n">
        <v>1</v>
      </c>
      <c r="K797" t="n">
        <v>0</v>
      </c>
      <c r="L797" t="n">
        <v>0</v>
      </c>
      <c r="M797" t="n">
        <v>0</v>
      </c>
      <c r="N797" t="n">
        <v>1</v>
      </c>
      <c r="O797" t="n">
        <v>0</v>
      </c>
      <c r="P797" t="n">
        <v>0</v>
      </c>
      <c r="Q797" t="n">
        <v>1</v>
      </c>
      <c r="R797" t="n">
        <v>1</v>
      </c>
      <c r="S797" t="n">
        <v>1</v>
      </c>
      <c r="T797" t="n">
        <v>2</v>
      </c>
      <c r="U797" t="n">
        <v>2</v>
      </c>
      <c r="V797" s="2" t="inlineStr">
        <is>
          <t>Bombmurkla</t>
        </is>
      </c>
      <c r="W797">
        <f>HYPERLINK("https://klasma.github.io/Logging_1737/artfynd/A 12458-2023 artfynd.xlsx", "A 12458-2023")</f>
        <v/>
      </c>
      <c r="X797">
        <f>HYPERLINK("https://klasma.github.io/Logging_1737/kartor/A 12458-2023 karta.png", "A 12458-2023")</f>
        <v/>
      </c>
      <c r="Y797">
        <f>HYPERLINK("https://klasma.github.io/Logging_1737/kartor_geotiff/A 12458-2023 georefererad karta.tif", "A 12458-2023")</f>
        <v/>
      </c>
      <c r="AA797">
        <f>HYPERLINK("https://klasma.github.io/Logging_1737/klagomål/A 12458-2023 FSC-klagomål.docx", "A 12458-2023")</f>
        <v/>
      </c>
      <c r="AB797">
        <f>HYPERLINK("https://klasma.github.io/Logging_1737/klagomålsmail/A 12458-2023 FSC-klagomål mail.docx", "A 12458-2023")</f>
        <v/>
      </c>
      <c r="AC797">
        <f>HYPERLINK("https://klasma.github.io/Logging_1737/tillsyn/A 12458-2023 tillsynsbegäran.docx", "A 12458-2023")</f>
        <v/>
      </c>
      <c r="AD797">
        <f>HYPERLINK("https://klasma.github.io/Logging_1737/tillsynsmail/A 12458-2023 tillsynsbegäran mail.docx", "A 12458-2023")</f>
        <v/>
      </c>
    </row>
    <row r="798" ht="15" customHeight="1">
      <c r="A798" t="inlineStr">
        <is>
          <t>A 48010-2024</t>
        </is>
      </c>
      <c r="B798" t="inlineStr">
        <is>
          <t>avverkningsanmälan</t>
        </is>
      </c>
      <c r="C798" t="inlineStr">
        <is>
          <t>Föryngringsavverkning</t>
        </is>
      </c>
      <c r="D798" s="1" t="n">
        <v>45589</v>
      </c>
      <c r="E798" s="1" t="n">
        <v>46307</v>
      </c>
      <c r="F798" t="inlineStr">
        <is>
          <t>VÄRMLANDS LÄN</t>
        </is>
      </c>
      <c r="G798" t="inlineStr">
        <is>
          <t>ARVIKA</t>
        </is>
      </c>
      <c r="I798" t="n">
        <v>6.7</v>
      </c>
      <c r="J798" t="n">
        <v>1</v>
      </c>
      <c r="K798" t="n">
        <v>0</v>
      </c>
      <c r="L798" t="n">
        <v>0</v>
      </c>
      <c r="M798" t="n">
        <v>1</v>
      </c>
      <c r="N798" t="n">
        <v>0</v>
      </c>
      <c r="O798" t="n">
        <v>0</v>
      </c>
      <c r="P798" t="n">
        <v>0</v>
      </c>
      <c r="Q798" t="n">
        <v>1</v>
      </c>
      <c r="R798" t="n">
        <v>1</v>
      </c>
      <c r="S798" t="n">
        <v>1</v>
      </c>
      <c r="T798" t="n">
        <v>1</v>
      </c>
      <c r="U798" t="n">
        <v>0</v>
      </c>
      <c r="V798" s="2" t="inlineStr">
        <is>
          <t>Knärot</t>
        </is>
      </c>
      <c r="W798">
        <f>HYPERLINK("https://klasma.github.io/Logging_1784/artfynd/A 48010-2024 artfynd.xlsx", "A 48010-2024")</f>
        <v/>
      </c>
      <c r="X798">
        <f>HYPERLINK("https://klasma.github.io/Logging_1784/kartor/A 48010-2024 karta.png", "A 48010-2024")</f>
        <v/>
      </c>
      <c r="Y798">
        <f>HYPERLINK("https://klasma.github.io/Logging_1784/kartor_geotiff/A 48010-2024 georefererad karta.tif", "A 48010-2024")</f>
        <v/>
      </c>
      <c r="Z798">
        <f>HYPERLINK("https://klasma.github.io/Logging_1784/knärot/A 48010-2024 karta knärot.png", "A 48010-2024")</f>
        <v/>
      </c>
      <c r="AA798">
        <f>HYPERLINK("https://klasma.github.io/Logging_1784/klagomål/A 48010-2024 FSC-klagomål.docx", "A 48010-2024")</f>
        <v/>
      </c>
      <c r="AB798">
        <f>HYPERLINK("https://klasma.github.io/Logging_1784/klagomålsmail/A 48010-2024 FSC-klagomål mail.docx", "A 48010-2024")</f>
        <v/>
      </c>
      <c r="AC798">
        <f>HYPERLINK("https://klasma.github.io/Logging_1784/tillsyn/A 48010-2024 tillsynsbegäran.docx", "A 48010-2024")</f>
        <v/>
      </c>
      <c r="AD798">
        <f>HYPERLINK("https://klasma.github.io/Logging_1784/tillsynsmail/A 48010-2024 tillsynsbegäran mail.docx", "A 48010-2024")</f>
        <v/>
      </c>
    </row>
    <row r="799" ht="15" customHeight="1">
      <c r="A799" t="inlineStr">
        <is>
          <t>A 20441-2026</t>
        </is>
      </c>
      <c r="B799" t="inlineStr">
        <is>
          <t>avverkningsanmälan</t>
        </is>
      </c>
      <c r="C799" t="inlineStr">
        <is>
          <t>Föryngringsavverkning</t>
        </is>
      </c>
      <c r="D799" s="1" t="n">
        <v>46140</v>
      </c>
      <c r="E799" s="1" t="n">
        <v>46307</v>
      </c>
      <c r="F799" t="inlineStr">
        <is>
          <t>VÄRMLANDS LÄN</t>
        </is>
      </c>
      <c r="G799" t="inlineStr">
        <is>
          <t>TORSBY</t>
        </is>
      </c>
      <c r="I799" t="n">
        <v>4.8</v>
      </c>
      <c r="J799" t="n">
        <v>0</v>
      </c>
      <c r="K799" t="n">
        <v>0</v>
      </c>
      <c r="L799" t="n">
        <v>1</v>
      </c>
      <c r="M799" t="n">
        <v>0</v>
      </c>
      <c r="N799" t="n">
        <v>0</v>
      </c>
      <c r="O799" t="n">
        <v>0</v>
      </c>
      <c r="P799" t="n">
        <v>0</v>
      </c>
      <c r="Q799" t="n">
        <v>1</v>
      </c>
      <c r="R799" t="n">
        <v>0</v>
      </c>
      <c r="S799" t="n">
        <v>1</v>
      </c>
      <c r="T799" t="n">
        <v>3</v>
      </c>
      <c r="U799" t="n">
        <v>0</v>
      </c>
      <c r="V799" s="2" t="inlineStr">
        <is>
          <t>Kattfotslav</t>
        </is>
      </c>
      <c r="W799">
        <f>HYPERLINK("https://klasma.github.io/Logging_1737/artfynd/A 20441-2026 artfynd.xlsx", "A 20441-2026")</f>
        <v/>
      </c>
      <c r="X799">
        <f>HYPERLINK("https://klasma.github.io/Logging_1737/kartor/A 20441-2026 karta.png", "A 20441-2026")</f>
        <v/>
      </c>
      <c r="Y799">
        <f>HYPERLINK("https://klasma.github.io/Logging_1737/kartor_geotiff/A 20441-2026 georefererad karta.tif", "A 20441-2026")</f>
        <v/>
      </c>
      <c r="AA799">
        <f>HYPERLINK("https://klasma.github.io/Logging_1737/klagomål/A 20441-2026 FSC-klagomål.docx", "A 20441-2026")</f>
        <v/>
      </c>
      <c r="AB799">
        <f>HYPERLINK("https://klasma.github.io/Logging_1737/klagomålsmail/A 20441-2026 FSC-klagomål mail.docx", "A 20441-2026")</f>
        <v/>
      </c>
      <c r="AC799">
        <f>HYPERLINK("https://klasma.github.io/Logging_1737/tillsyn/A 20441-2026 tillsynsbegäran.docx", "A 20441-2026")</f>
        <v/>
      </c>
      <c r="AD799">
        <f>HYPERLINK("https://klasma.github.io/Logging_1737/tillsynsmail/A 20441-2026 tillsynsbegäran mail.docx", "A 20441-2026")</f>
        <v/>
      </c>
    </row>
    <row r="800" ht="15" customHeight="1">
      <c r="A800" t="inlineStr">
        <is>
          <t>A 37292-2024</t>
        </is>
      </c>
      <c r="B800" t="inlineStr">
        <is>
          <t>avverkningsanmälan</t>
        </is>
      </c>
      <c r="C800" t="inlineStr">
        <is>
          <t>Föryngringsavverkning</t>
        </is>
      </c>
      <c r="D800" s="1" t="n">
        <v>45540</v>
      </c>
      <c r="E800" s="1" t="n">
        <v>46307</v>
      </c>
      <c r="F800" t="inlineStr">
        <is>
          <t>VÄRMLANDS LÄN</t>
        </is>
      </c>
      <c r="G800" t="inlineStr">
        <is>
          <t>TORSBY</t>
        </is>
      </c>
      <c r="I800" t="n">
        <v>5.4</v>
      </c>
      <c r="J800" t="n">
        <v>0</v>
      </c>
      <c r="K800" t="n">
        <v>0</v>
      </c>
      <c r="L800" t="n">
        <v>0</v>
      </c>
      <c r="M800" t="n">
        <v>1</v>
      </c>
      <c r="N800" t="n">
        <v>0</v>
      </c>
      <c r="O800" t="n">
        <v>0</v>
      </c>
      <c r="P800" t="n">
        <v>0</v>
      </c>
      <c r="Q800" t="n">
        <v>1</v>
      </c>
      <c r="R800" t="n">
        <v>1</v>
      </c>
      <c r="S800" t="n">
        <v>1</v>
      </c>
      <c r="T800" t="n">
        <v>1</v>
      </c>
      <c r="U800" t="n">
        <v>1</v>
      </c>
      <c r="V800" s="2" t="inlineStr">
        <is>
          <t>Garnlav</t>
        </is>
      </c>
      <c r="W800">
        <f>HYPERLINK("https://klasma.github.io/Logging_1737/artfynd/A 37292-2024 artfynd.xlsx", "A 37292-2024")</f>
        <v/>
      </c>
      <c r="X800">
        <f>HYPERLINK("https://klasma.github.io/Logging_1737/kartor/A 37292-2024 karta.png", "A 37292-2024")</f>
        <v/>
      </c>
      <c r="Y800">
        <f>HYPERLINK("https://klasma.github.io/Logging_1737/kartor_geotiff/A 37292-2024 georefererad karta.tif", "A 37292-2024")</f>
        <v/>
      </c>
      <c r="AA800">
        <f>HYPERLINK("https://klasma.github.io/Logging_1737/klagomål/A 37292-2024 FSC-klagomål.docx", "A 37292-2024")</f>
        <v/>
      </c>
      <c r="AB800">
        <f>HYPERLINK("https://klasma.github.io/Logging_1737/klagomålsmail/A 37292-2024 FSC-klagomål mail.docx", "A 37292-2024")</f>
        <v/>
      </c>
      <c r="AC800">
        <f>HYPERLINK("https://klasma.github.io/Logging_1737/tillsyn/A 37292-2024 tillsynsbegäran.docx", "A 37292-2024")</f>
        <v/>
      </c>
      <c r="AD800">
        <f>HYPERLINK("https://klasma.github.io/Logging_1737/tillsynsmail/A 37292-2024 tillsynsbegäran mail.docx", "A 37292-2024")</f>
        <v/>
      </c>
    </row>
    <row r="801" ht="15" customHeight="1">
      <c r="A801" t="inlineStr">
        <is>
          <t>A 2253-2025</t>
        </is>
      </c>
      <c r="B801" t="inlineStr">
        <is>
          <t>avverkningsanmälan</t>
        </is>
      </c>
      <c r="C801" t="inlineStr">
        <is>
          <t>Föryngringsavverkning</t>
        </is>
      </c>
      <c r="D801" s="1" t="n">
        <v>45673</v>
      </c>
      <c r="E801" s="1" t="n">
        <v>46307</v>
      </c>
      <c r="F801" t="inlineStr">
        <is>
          <t>VÄRMLANDS LÄN</t>
        </is>
      </c>
      <c r="G801" t="inlineStr">
        <is>
          <t>ÅRJÄNG</t>
        </is>
      </c>
      <c r="I801" t="n">
        <v>12.4</v>
      </c>
      <c r="J801" t="n">
        <v>1</v>
      </c>
      <c r="K801" t="n">
        <v>0</v>
      </c>
      <c r="L801" t="n">
        <v>0</v>
      </c>
      <c r="M801" t="n">
        <v>0</v>
      </c>
      <c r="N801" t="n">
        <v>0</v>
      </c>
      <c r="O801" t="n">
        <v>0</v>
      </c>
      <c r="P801" t="n">
        <v>0</v>
      </c>
      <c r="Q801" t="n">
        <v>0</v>
      </c>
      <c r="R801" t="n">
        <v>0</v>
      </c>
      <c r="S801" t="n">
        <v>1</v>
      </c>
      <c r="T801" t="n">
        <v>1</v>
      </c>
      <c r="U801" t="n">
        <v>0</v>
      </c>
      <c r="V801" s="2" t="inlineStr">
        <is>
          <t>Orre</t>
        </is>
      </c>
      <c r="W801">
        <f>HYPERLINK("https://klasma.github.io/Logging_1765/artfynd/A 2253-2025 artfynd.xlsx", "A 2253-2025")</f>
        <v/>
      </c>
      <c r="X801">
        <f>HYPERLINK("https://klasma.github.io/Logging_1765/kartor/A 2253-2025 karta.png", "A 2253-2025")</f>
        <v/>
      </c>
      <c r="Y801">
        <f>HYPERLINK("https://klasma.github.io/Logging_1765/kartor_geotiff/A 2253-2025 georefererad karta.tif", "A 2253-2025")</f>
        <v/>
      </c>
      <c r="AA801">
        <f>HYPERLINK("https://klasma.github.io/Logging_1765/klagomål/A 2253-2025 FSC-klagomål.docx", "A 2253-2025")</f>
        <v/>
      </c>
      <c r="AB801">
        <f>HYPERLINK("https://klasma.github.io/Logging_1765/klagomålsmail/A 2253-2025 FSC-klagomål mail.docx", "A 2253-2025")</f>
        <v/>
      </c>
      <c r="AC801">
        <f>HYPERLINK("https://klasma.github.io/Logging_1765/tillsyn/A 2253-2025 tillsynsbegäran.docx", "A 2253-2025")</f>
        <v/>
      </c>
      <c r="AD801">
        <f>HYPERLINK("https://klasma.github.io/Logging_1765/tillsynsmail/A 2253-2025 tillsynsbegäran mail.docx", "A 2253-2025")</f>
        <v/>
      </c>
      <c r="AE801">
        <f>HYPERLINK("https://klasma.github.io/Logging_1765/fåglar/A 2253-2025 prioriterade fågelarter.docx", "A 2253-2025")</f>
        <v/>
      </c>
    </row>
    <row r="802" ht="15" customHeight="1">
      <c r="A802" t="inlineStr">
        <is>
          <t>A 4707-2023</t>
        </is>
      </c>
      <c r="B802" t="inlineStr">
        <is>
          <t>avverkningsanmälan</t>
        </is>
      </c>
      <c r="C802" t="inlineStr">
        <is>
          <t>Föryngringsavverkning</t>
        </is>
      </c>
      <c r="D802" s="1" t="n">
        <v>44957</v>
      </c>
      <c r="E802" s="1" t="n">
        <v>46307</v>
      </c>
      <c r="F802" t="inlineStr">
        <is>
          <t>VÄRMLANDS LÄN</t>
        </is>
      </c>
      <c r="G802" t="inlineStr">
        <is>
          <t>TORSBY</t>
        </is>
      </c>
      <c r="I802" t="n">
        <v>7</v>
      </c>
      <c r="J802" t="n">
        <v>0</v>
      </c>
      <c r="K802" t="n">
        <v>0</v>
      </c>
      <c r="L802" t="n">
        <v>1</v>
      </c>
      <c r="M802" t="n">
        <v>0</v>
      </c>
      <c r="N802" t="n">
        <v>0</v>
      </c>
      <c r="O802" t="n">
        <v>0</v>
      </c>
      <c r="P802" t="n">
        <v>0</v>
      </c>
      <c r="Q802" t="n">
        <v>1</v>
      </c>
      <c r="R802" t="n">
        <v>0</v>
      </c>
      <c r="S802" t="n">
        <v>1</v>
      </c>
      <c r="T802" t="n">
        <v>1</v>
      </c>
      <c r="U802" t="n">
        <v>0</v>
      </c>
      <c r="V802" s="2" t="inlineStr">
        <is>
          <t>Dropptaggsvamp</t>
        </is>
      </c>
      <c r="W802">
        <f>HYPERLINK("https://klasma.github.io/Logging_1737/artfynd/A 4707-2023 artfynd.xlsx", "A 4707-2023")</f>
        <v/>
      </c>
      <c r="X802">
        <f>HYPERLINK("https://klasma.github.io/Logging_1737/kartor/A 4707-2023 karta.png", "A 4707-2023")</f>
        <v/>
      </c>
      <c r="Y802">
        <f>HYPERLINK("https://klasma.github.io/Logging_1737/kartor_geotiff/A 4707-2023 georefererad karta.tif", "A 4707-2023")</f>
        <v/>
      </c>
      <c r="AA802">
        <f>HYPERLINK("https://klasma.github.io/Logging_1737/klagomål/A 4707-2023 FSC-klagomål.docx", "A 4707-2023")</f>
        <v/>
      </c>
      <c r="AB802">
        <f>HYPERLINK("https://klasma.github.io/Logging_1737/klagomålsmail/A 4707-2023 FSC-klagomål mail.docx", "A 4707-2023")</f>
        <v/>
      </c>
      <c r="AC802">
        <f>HYPERLINK("https://klasma.github.io/Logging_1737/tillsyn/A 4707-2023 tillsynsbegäran.docx", "A 4707-2023")</f>
        <v/>
      </c>
      <c r="AD802">
        <f>HYPERLINK("https://klasma.github.io/Logging_1737/tillsynsmail/A 4707-2023 tillsynsbegäran mail.docx", "A 4707-2023")</f>
        <v/>
      </c>
    </row>
    <row r="803" ht="15" customHeight="1">
      <c r="A803" t="inlineStr">
        <is>
          <t>A 41477-2024</t>
        </is>
      </c>
      <c r="B803" t="inlineStr">
        <is>
          <t>avverkningsanmälan</t>
        </is>
      </c>
      <c r="C803" t="inlineStr">
        <is>
          <t>Föryngringsavverkning</t>
        </is>
      </c>
      <c r="D803" s="1" t="n">
        <v>45560</v>
      </c>
      <c r="E803" s="1" t="n">
        <v>46307</v>
      </c>
      <c r="F803" t="inlineStr">
        <is>
          <t>VÄRMLANDS LÄN</t>
        </is>
      </c>
      <c r="G803" t="inlineStr">
        <is>
          <t>TORSBY</t>
        </is>
      </c>
      <c r="I803" t="n">
        <v>6.7</v>
      </c>
      <c r="J803" t="n">
        <v>0</v>
      </c>
      <c r="K803" t="n">
        <v>0</v>
      </c>
      <c r="L803" t="n">
        <v>0</v>
      </c>
      <c r="M803" t="n">
        <v>1</v>
      </c>
      <c r="N803" t="n">
        <v>0</v>
      </c>
      <c r="O803" t="n">
        <v>0</v>
      </c>
      <c r="P803" t="n">
        <v>0</v>
      </c>
      <c r="Q803" t="n">
        <v>1</v>
      </c>
      <c r="R803" t="n">
        <v>1</v>
      </c>
      <c r="S803" t="n">
        <v>1</v>
      </c>
      <c r="T803" t="n">
        <v>4</v>
      </c>
      <c r="U803" t="n">
        <v>0</v>
      </c>
      <c r="V803" s="2" t="inlineStr">
        <is>
          <t>Garnlav</t>
        </is>
      </c>
      <c r="W803">
        <f>HYPERLINK("https://klasma.github.io/Logging_1737/artfynd/A 41477-2024 artfynd.xlsx", "A 41477-2024")</f>
        <v/>
      </c>
      <c r="X803">
        <f>HYPERLINK("https://klasma.github.io/Logging_1737/kartor/A 41477-2024 karta.png", "A 41477-2024")</f>
        <v/>
      </c>
      <c r="Y803">
        <f>HYPERLINK("https://klasma.github.io/Logging_1737/kartor_geotiff/A 41477-2024 georefererad karta.tif", "A 41477-2024")</f>
        <v/>
      </c>
      <c r="AA803">
        <f>HYPERLINK("https://klasma.github.io/Logging_1737/klagomål/A 41477-2024 FSC-klagomål.docx", "A 41477-2024")</f>
        <v/>
      </c>
      <c r="AB803">
        <f>HYPERLINK("https://klasma.github.io/Logging_1737/klagomålsmail/A 41477-2024 FSC-klagomål mail.docx", "A 41477-2024")</f>
        <v/>
      </c>
      <c r="AC803">
        <f>HYPERLINK("https://klasma.github.io/Logging_1737/tillsyn/A 41477-2024 tillsynsbegäran.docx", "A 41477-2024")</f>
        <v/>
      </c>
      <c r="AD803">
        <f>HYPERLINK("https://klasma.github.io/Logging_1737/tillsynsmail/A 41477-2024 tillsynsbegäran mail.docx", "A 41477-2024")</f>
        <v/>
      </c>
    </row>
    <row r="804" ht="15" customHeight="1">
      <c r="A804" t="inlineStr">
        <is>
          <t>A 22519-2022</t>
        </is>
      </c>
      <c r="B804" t="inlineStr">
        <is>
          <t>avverkningsanmälan</t>
        </is>
      </c>
      <c r="C804" t="inlineStr">
        <is>
          <t>Föryngringsavverkning</t>
        </is>
      </c>
      <c r="D804" s="1" t="n">
        <v>44713</v>
      </c>
      <c r="E804" s="1" t="n">
        <v>46307</v>
      </c>
      <c r="F804" t="inlineStr">
        <is>
          <t>VÄRMLANDS LÄN</t>
        </is>
      </c>
      <c r="G804" t="inlineStr">
        <is>
          <t>ARVIKA</t>
        </is>
      </c>
      <c r="I804" t="n">
        <v>2.8</v>
      </c>
      <c r="J804" t="n">
        <v>0</v>
      </c>
      <c r="K804" t="n">
        <v>0</v>
      </c>
      <c r="L804" t="n">
        <v>1</v>
      </c>
      <c r="M804" t="n">
        <v>0</v>
      </c>
      <c r="N804" t="n">
        <v>0</v>
      </c>
      <c r="O804" t="n">
        <v>0</v>
      </c>
      <c r="P804" t="n">
        <v>0</v>
      </c>
      <c r="Q804" t="n">
        <v>1</v>
      </c>
      <c r="R804" t="n">
        <v>0</v>
      </c>
      <c r="S804" t="n">
        <v>1</v>
      </c>
      <c r="T804" t="n">
        <v>1</v>
      </c>
      <c r="U804" t="n">
        <v>1</v>
      </c>
      <c r="V804" s="2" t="inlineStr">
        <is>
          <t>Skogsklocka</t>
        </is>
      </c>
      <c r="W804">
        <f>HYPERLINK("https://klasma.github.io/Logging_1784/artfynd/A 22519-2022 artfynd.xlsx", "A 22519-2022")</f>
        <v/>
      </c>
      <c r="X804">
        <f>HYPERLINK("https://klasma.github.io/Logging_1784/kartor/A 22519-2022 karta.png", "A 22519-2022")</f>
        <v/>
      </c>
      <c r="Y804">
        <f>HYPERLINK("https://klasma.github.io/Logging_1784/kartor_geotiff/A 22519-2022 georefererad karta.tif", "A 22519-2022")</f>
        <v/>
      </c>
      <c r="AA804">
        <f>HYPERLINK("https://klasma.github.io/Logging_1784/klagomål/A 22519-2022 FSC-klagomål.docx", "A 22519-2022")</f>
        <v/>
      </c>
      <c r="AB804">
        <f>HYPERLINK("https://klasma.github.io/Logging_1784/klagomålsmail/A 22519-2022 FSC-klagomål mail.docx", "A 22519-2022")</f>
        <v/>
      </c>
      <c r="AC804">
        <f>HYPERLINK("https://klasma.github.io/Logging_1784/tillsyn/A 22519-2022 tillsynsbegäran.docx", "A 22519-2022")</f>
        <v/>
      </c>
      <c r="AD804">
        <f>HYPERLINK("https://klasma.github.io/Logging_1784/tillsynsmail/A 22519-2022 tillsynsbegäran mail.docx", "A 22519-2022")</f>
        <v/>
      </c>
    </row>
    <row r="805" ht="15" customHeight="1">
      <c r="A805" t="inlineStr">
        <is>
          <t>A 35528-2023</t>
        </is>
      </c>
      <c r="B805" t="inlineStr">
        <is>
          <t>avverkningsanmälan</t>
        </is>
      </c>
      <c r="C805" t="inlineStr">
        <is>
          <t>Föryngringsavverkning</t>
        </is>
      </c>
      <c r="D805" s="1" t="n">
        <v>45147</v>
      </c>
      <c r="E805" s="1" t="n">
        <v>46307</v>
      </c>
      <c r="F805" t="inlineStr">
        <is>
          <t>VÄRMLANDS LÄN</t>
        </is>
      </c>
      <c r="G805" t="inlineStr">
        <is>
          <t>ARVIKA</t>
        </is>
      </c>
      <c r="I805" t="n">
        <v>7.2</v>
      </c>
      <c r="J805" t="n">
        <v>1</v>
      </c>
      <c r="K805" t="n">
        <v>0</v>
      </c>
      <c r="L805" t="n">
        <v>1</v>
      </c>
      <c r="M805" t="n">
        <v>0</v>
      </c>
      <c r="N805" t="n">
        <v>0</v>
      </c>
      <c r="O805" t="n">
        <v>0</v>
      </c>
      <c r="P805" t="n">
        <v>0</v>
      </c>
      <c r="Q805" t="n">
        <v>1</v>
      </c>
      <c r="R805" t="n">
        <v>0</v>
      </c>
      <c r="S805" t="n">
        <v>1</v>
      </c>
      <c r="T805" t="n">
        <v>1</v>
      </c>
      <c r="U805" t="n">
        <v>1</v>
      </c>
      <c r="V805" s="2" t="inlineStr">
        <is>
          <t>Mindre hackspett</t>
        </is>
      </c>
      <c r="W805">
        <f>HYPERLINK("https://klasma.github.io/Logging_1784/artfynd/A 35528-2023 artfynd.xlsx", "A 35528-2023")</f>
        <v/>
      </c>
      <c r="X805">
        <f>HYPERLINK("https://klasma.github.io/Logging_1784/kartor/A 35528-2023 karta.png", "A 35528-2023")</f>
        <v/>
      </c>
      <c r="Y805">
        <f>HYPERLINK("https://klasma.github.io/Logging_1784/kartor_geotiff/A 35528-2023 georefererad karta.tif", "A 35528-2023")</f>
        <v/>
      </c>
      <c r="AA805">
        <f>HYPERLINK("https://klasma.github.io/Logging_1784/klagomål/A 35528-2023 FSC-klagomål.docx", "A 35528-2023")</f>
        <v/>
      </c>
      <c r="AB805">
        <f>HYPERLINK("https://klasma.github.io/Logging_1784/klagomålsmail/A 35528-2023 FSC-klagomål mail.docx", "A 35528-2023")</f>
        <v/>
      </c>
      <c r="AC805">
        <f>HYPERLINK("https://klasma.github.io/Logging_1784/tillsyn/A 35528-2023 tillsynsbegäran.docx", "A 35528-2023")</f>
        <v/>
      </c>
      <c r="AD805">
        <f>HYPERLINK("https://klasma.github.io/Logging_1784/tillsynsmail/A 35528-2023 tillsynsbegäran mail.docx", "A 35528-2023")</f>
        <v/>
      </c>
      <c r="AE805">
        <f>HYPERLINK("https://klasma.github.io/Logging_1784/fåglar/A 35528-2023 prioriterade fågelarter.docx", "A 35528-2023")</f>
        <v/>
      </c>
    </row>
    <row r="806" ht="15" customHeight="1">
      <c r="A806" t="inlineStr">
        <is>
          <t>A 34158-2025</t>
        </is>
      </c>
      <c r="B806" t="inlineStr">
        <is>
          <t>avverkningsanmälan</t>
        </is>
      </c>
      <c r="C806" t="inlineStr">
        <is>
          <t>Föryngringsavverkning</t>
        </is>
      </c>
      <c r="D806" s="1" t="n">
        <v>45845</v>
      </c>
      <c r="E806" s="1" t="n">
        <v>46307</v>
      </c>
      <c r="F806" t="inlineStr">
        <is>
          <t>VÄRMLANDS LÄN</t>
        </is>
      </c>
      <c r="G806" t="inlineStr">
        <is>
          <t>HAGFORS</t>
        </is>
      </c>
      <c r="I806" t="n">
        <v>5.8</v>
      </c>
      <c r="J806" t="n">
        <v>0</v>
      </c>
      <c r="K806" t="n">
        <v>1</v>
      </c>
      <c r="L806" t="n">
        <v>0</v>
      </c>
      <c r="M806" t="n">
        <v>0</v>
      </c>
      <c r="N806" t="n">
        <v>0</v>
      </c>
      <c r="O806" t="n">
        <v>0</v>
      </c>
      <c r="P806" t="n">
        <v>0</v>
      </c>
      <c r="Q806" t="n">
        <v>0</v>
      </c>
      <c r="R806" t="n">
        <v>0</v>
      </c>
      <c r="S806" t="n">
        <v>1</v>
      </c>
      <c r="T806" t="n">
        <v>1</v>
      </c>
      <c r="U806" t="n">
        <v>0</v>
      </c>
      <c r="V806" s="2" t="inlineStr">
        <is>
          <t>Korallblylav</t>
        </is>
      </c>
      <c r="W806">
        <f>HYPERLINK("https://klasma.github.io/Logging_1783/artfynd/A 34158-2025 artfynd.xlsx", "A 34158-2025")</f>
        <v/>
      </c>
      <c r="X806">
        <f>HYPERLINK("https://klasma.github.io/Logging_1783/kartor/A 34158-2025 karta.png", "A 34158-2025")</f>
        <v/>
      </c>
      <c r="Y806">
        <f>HYPERLINK("https://klasma.github.io/Logging_1783/kartor_geotiff/A 34158-2025 georefererad karta.tif", "A 34158-2025")</f>
        <v/>
      </c>
      <c r="AA806">
        <f>HYPERLINK("https://klasma.github.io/Logging_1783/klagomål/A 34158-2025 FSC-klagomål.docx", "A 34158-2025")</f>
        <v/>
      </c>
      <c r="AB806">
        <f>HYPERLINK("https://klasma.github.io/Logging_1783/klagomålsmail/A 34158-2025 FSC-klagomål mail.docx", "A 34158-2025")</f>
        <v/>
      </c>
      <c r="AC806">
        <f>HYPERLINK("https://klasma.github.io/Logging_1783/tillsyn/A 34158-2025 tillsynsbegäran.docx", "A 34158-2025")</f>
        <v/>
      </c>
      <c r="AD806">
        <f>HYPERLINK("https://klasma.github.io/Logging_1783/tillsynsmail/A 34158-2025 tillsynsbegäran mail.docx", "A 34158-2025")</f>
        <v/>
      </c>
    </row>
    <row r="807" ht="15" customHeight="1">
      <c r="A807" t="inlineStr">
        <is>
          <t>A 30411-2025</t>
        </is>
      </c>
      <c r="B807" t="inlineStr">
        <is>
          <t>avverkningsanmälan</t>
        </is>
      </c>
      <c r="C807" t="inlineStr">
        <is>
          <t>Föryngringsavverkning</t>
        </is>
      </c>
      <c r="D807" s="1" t="n">
        <v>45827</v>
      </c>
      <c r="E807" s="1" t="n">
        <v>46307</v>
      </c>
      <c r="F807" t="inlineStr">
        <is>
          <t>VÄRMLANDS LÄN</t>
        </is>
      </c>
      <c r="G807" t="inlineStr">
        <is>
          <t>GRUMS</t>
        </is>
      </c>
      <c r="I807" t="n">
        <v>1.5</v>
      </c>
      <c r="J807" t="n">
        <v>1</v>
      </c>
      <c r="K807" t="n">
        <v>0</v>
      </c>
      <c r="L807" t="n">
        <v>0</v>
      </c>
      <c r="M807" t="n">
        <v>0</v>
      </c>
      <c r="N807" t="n">
        <v>0</v>
      </c>
      <c r="O807" t="n">
        <v>0</v>
      </c>
      <c r="P807" t="n">
        <v>0</v>
      </c>
      <c r="Q807" t="n">
        <v>0</v>
      </c>
      <c r="R807" t="n">
        <v>0</v>
      </c>
      <c r="S807" t="n">
        <v>1</v>
      </c>
      <c r="T807" t="n">
        <v>1</v>
      </c>
      <c r="U807" t="n">
        <v>0</v>
      </c>
      <c r="V807" s="2" t="inlineStr">
        <is>
          <t>Fläcknycklar</t>
        </is>
      </c>
      <c r="W807">
        <f>HYPERLINK("https://klasma.github.io/Logging_1764/artfynd/A 30411-2025 artfynd.xlsx", "A 30411-2025")</f>
        <v/>
      </c>
      <c r="X807">
        <f>HYPERLINK("https://klasma.github.io/Logging_1764/kartor/A 30411-2025 karta.png", "A 30411-2025")</f>
        <v/>
      </c>
      <c r="Y807">
        <f>HYPERLINK("https://klasma.github.io/Logging_1764/kartor_geotiff/A 30411-2025 georefererad karta.tif", "A 30411-2025")</f>
        <v/>
      </c>
      <c r="AA807">
        <f>HYPERLINK("https://klasma.github.io/Logging_1764/klagomål/A 30411-2025 FSC-klagomål.docx", "A 30411-2025")</f>
        <v/>
      </c>
      <c r="AB807">
        <f>HYPERLINK("https://klasma.github.io/Logging_1764/klagomålsmail/A 30411-2025 FSC-klagomål mail.docx", "A 30411-2025")</f>
        <v/>
      </c>
      <c r="AC807">
        <f>HYPERLINK("https://klasma.github.io/Logging_1764/tillsyn/A 30411-2025 tillsynsbegäran.docx", "A 30411-2025")</f>
        <v/>
      </c>
      <c r="AD807">
        <f>HYPERLINK("https://klasma.github.io/Logging_1764/tillsynsmail/A 30411-2025 tillsynsbegäran mail.docx", "A 30411-2025")</f>
        <v/>
      </c>
    </row>
    <row r="808" ht="15" customHeight="1">
      <c r="A808" t="inlineStr">
        <is>
          <t>A 6260-2023</t>
        </is>
      </c>
      <c r="B808" t="inlineStr">
        <is>
          <t>avverkningsanmälan</t>
        </is>
      </c>
      <c r="C808" t="inlineStr">
        <is>
          <t>Föryngringsavverkning</t>
        </is>
      </c>
      <c r="D808" s="1" t="n">
        <v>44959</v>
      </c>
      <c r="E808" s="1" t="n">
        <v>46307</v>
      </c>
      <c r="F808" t="inlineStr">
        <is>
          <t>VÄRMLANDS LÄN</t>
        </is>
      </c>
      <c r="G808" t="inlineStr">
        <is>
          <t>KARLSTAD</t>
        </is>
      </c>
      <c r="I808" t="n">
        <v>2.2</v>
      </c>
      <c r="J808" t="n">
        <v>0</v>
      </c>
      <c r="K808" t="n">
        <v>1</v>
      </c>
      <c r="L808" t="n">
        <v>0</v>
      </c>
      <c r="M808" t="n">
        <v>0</v>
      </c>
      <c r="N808" t="n">
        <v>0</v>
      </c>
      <c r="O808" t="n">
        <v>0</v>
      </c>
      <c r="P808" t="n">
        <v>0</v>
      </c>
      <c r="Q808" t="n">
        <v>0</v>
      </c>
      <c r="R808" t="n">
        <v>0</v>
      </c>
      <c r="S808" t="n">
        <v>1</v>
      </c>
      <c r="T808" t="n">
        <v>1</v>
      </c>
      <c r="U808" t="n">
        <v>0</v>
      </c>
      <c r="V808" s="2" t="inlineStr">
        <is>
          <t>Trädporella</t>
        </is>
      </c>
      <c r="W808">
        <f>HYPERLINK("https://klasma.github.io/Logging_1780/artfynd/A 6260-2023 artfynd.xlsx", "A 6260-2023")</f>
        <v/>
      </c>
      <c r="X808">
        <f>HYPERLINK("https://klasma.github.io/Logging_1780/kartor/A 6260-2023 karta.png", "A 6260-2023")</f>
        <v/>
      </c>
      <c r="Y808">
        <f>HYPERLINK("https://klasma.github.io/Logging_1780/kartor_geotiff/A 6260-2023 georefererad karta.tif", "A 6260-2023")</f>
        <v/>
      </c>
      <c r="AA808">
        <f>HYPERLINK("https://klasma.github.io/Logging_1780/klagomål/A 6260-2023 FSC-klagomål.docx", "A 6260-2023")</f>
        <v/>
      </c>
      <c r="AB808">
        <f>HYPERLINK("https://klasma.github.io/Logging_1780/klagomålsmail/A 6260-2023 FSC-klagomål mail.docx", "A 6260-2023")</f>
        <v/>
      </c>
      <c r="AC808">
        <f>HYPERLINK("https://klasma.github.io/Logging_1780/tillsyn/A 6260-2023 tillsynsbegäran.docx", "A 6260-2023")</f>
        <v/>
      </c>
      <c r="AD808">
        <f>HYPERLINK("https://klasma.github.io/Logging_1780/tillsynsmail/A 6260-2023 tillsynsbegäran mail.docx", "A 6260-2023")</f>
        <v/>
      </c>
    </row>
    <row r="809" ht="15" customHeight="1">
      <c r="A809" t="inlineStr">
        <is>
          <t>A 8944-2025</t>
        </is>
      </c>
      <c r="B809" t="inlineStr">
        <is>
          <t>avverkningsanmälan</t>
        </is>
      </c>
      <c r="C809" t="inlineStr">
        <is>
          <t>Föryngringsavverkning</t>
        </is>
      </c>
      <c r="D809" s="1" t="n">
        <v>45713</v>
      </c>
      <c r="E809" s="1" t="n">
        <v>46307</v>
      </c>
      <c r="F809" t="inlineStr">
        <is>
          <t>VÄRMLANDS LÄN</t>
        </is>
      </c>
      <c r="G809" t="inlineStr">
        <is>
          <t>KARLSTAD</t>
        </is>
      </c>
      <c r="I809" t="n">
        <v>12</v>
      </c>
      <c r="J809" t="n">
        <v>1</v>
      </c>
      <c r="K809" t="n">
        <v>0</v>
      </c>
      <c r="L809" t="n">
        <v>0</v>
      </c>
      <c r="M809" t="n">
        <v>0</v>
      </c>
      <c r="N809" t="n">
        <v>0</v>
      </c>
      <c r="O809" t="n">
        <v>0</v>
      </c>
      <c r="P809" t="n">
        <v>0</v>
      </c>
      <c r="Q809" t="n">
        <v>0</v>
      </c>
      <c r="R809" t="n">
        <v>0</v>
      </c>
      <c r="S809" t="n">
        <v>1</v>
      </c>
      <c r="T809" t="n">
        <v>1</v>
      </c>
      <c r="U809" t="n">
        <v>0</v>
      </c>
      <c r="V809" s="2" t="inlineStr">
        <is>
          <t>Lopplummer (aggregat)</t>
        </is>
      </c>
      <c r="W809">
        <f>HYPERLINK("https://klasma.github.io/Logging_1780/artfynd/A 8944-2025 artfynd.xlsx", "A 8944-2025")</f>
        <v/>
      </c>
      <c r="X809">
        <f>HYPERLINK("https://klasma.github.io/Logging_1780/kartor/A 8944-2025 karta.png", "A 8944-2025")</f>
        <v/>
      </c>
      <c r="Y809">
        <f>HYPERLINK("https://klasma.github.io/Logging_1780/kartor_geotiff/A 8944-2025 georefererad karta.tif", "A 8944-2025")</f>
        <v/>
      </c>
      <c r="AA809">
        <f>HYPERLINK("https://klasma.github.io/Logging_1780/klagomål/A 8944-2025 FSC-klagomål.docx", "A 8944-2025")</f>
        <v/>
      </c>
      <c r="AB809">
        <f>HYPERLINK("https://klasma.github.io/Logging_1780/klagomålsmail/A 8944-2025 FSC-klagomål mail.docx", "A 8944-2025")</f>
        <v/>
      </c>
      <c r="AC809">
        <f>HYPERLINK("https://klasma.github.io/Logging_1780/tillsyn/A 8944-2025 tillsynsbegäran.docx", "A 8944-2025")</f>
        <v/>
      </c>
      <c r="AD809">
        <f>HYPERLINK("https://klasma.github.io/Logging_1780/tillsynsmail/A 8944-2025 tillsynsbegäran mail.docx", "A 8944-2025")</f>
        <v/>
      </c>
    </row>
    <row r="810" ht="15" customHeight="1">
      <c r="A810" t="inlineStr">
        <is>
          <t>A 8525-2023</t>
        </is>
      </c>
      <c r="B810" t="inlineStr">
        <is>
          <t>avverkningsanmälan</t>
        </is>
      </c>
      <c r="C810" t="inlineStr">
        <is>
          <t>Föryngringsavverkning</t>
        </is>
      </c>
      <c r="D810" s="1" t="n">
        <v>44977</v>
      </c>
      <c r="E810" s="1" t="n">
        <v>46307</v>
      </c>
      <c r="F810" t="inlineStr">
        <is>
          <t>VÄRMLANDS LÄN</t>
        </is>
      </c>
      <c r="G810" t="inlineStr">
        <is>
          <t>ARVIKA</t>
        </is>
      </c>
      <c r="I810" t="n">
        <v>2.2</v>
      </c>
      <c r="J810" t="n">
        <v>1</v>
      </c>
      <c r="K810" t="n">
        <v>0</v>
      </c>
      <c r="L810" t="n">
        <v>0</v>
      </c>
      <c r="M810" t="n">
        <v>1</v>
      </c>
      <c r="N810" t="n">
        <v>0</v>
      </c>
      <c r="O810" t="n">
        <v>0</v>
      </c>
      <c r="P810" t="n">
        <v>0</v>
      </c>
      <c r="Q810" t="n">
        <v>1</v>
      </c>
      <c r="R810" t="n">
        <v>1</v>
      </c>
      <c r="S810" t="n">
        <v>1</v>
      </c>
      <c r="T810" t="n">
        <v>1</v>
      </c>
      <c r="U810" t="n">
        <v>0</v>
      </c>
      <c r="V810" s="2" t="inlineStr">
        <is>
          <t>Knärot</t>
        </is>
      </c>
      <c r="W810">
        <f>HYPERLINK("https://klasma.github.io/Logging_1784/artfynd/A 8525-2023 artfynd.xlsx", "A 8525-2023")</f>
        <v/>
      </c>
      <c r="X810">
        <f>HYPERLINK("https://klasma.github.io/Logging_1784/kartor/A 8525-2023 karta.png", "A 8525-2023")</f>
        <v/>
      </c>
      <c r="Y810">
        <f>HYPERLINK("https://klasma.github.io/Logging_1784/kartor_geotiff/A 8525-2023 georefererad karta.tif", "A 8525-2023")</f>
        <v/>
      </c>
      <c r="Z810">
        <f>HYPERLINK("https://klasma.github.io/Logging_1784/knärot/A 8525-2023 karta knärot.png", "A 8525-2023")</f>
        <v/>
      </c>
      <c r="AA810">
        <f>HYPERLINK("https://klasma.github.io/Logging_1784/klagomål/A 8525-2023 FSC-klagomål.docx", "A 8525-2023")</f>
        <v/>
      </c>
      <c r="AB810">
        <f>HYPERLINK("https://klasma.github.io/Logging_1784/klagomålsmail/A 8525-2023 FSC-klagomål mail.docx", "A 8525-2023")</f>
        <v/>
      </c>
      <c r="AC810">
        <f>HYPERLINK("https://klasma.github.io/Logging_1784/tillsyn/A 8525-2023 tillsynsbegäran.docx", "A 8525-2023")</f>
        <v/>
      </c>
      <c r="AD810">
        <f>HYPERLINK("https://klasma.github.io/Logging_1784/tillsynsmail/A 8525-2023 tillsynsbegäran mail.docx", "A 8525-2023")</f>
        <v/>
      </c>
    </row>
    <row r="811" ht="15" customHeight="1">
      <c r="A811" t="inlineStr">
        <is>
          <t>A 13475-2025</t>
        </is>
      </c>
      <c r="B811" t="inlineStr">
        <is>
          <t>avverkningsanmälan</t>
        </is>
      </c>
      <c r="C811" t="inlineStr">
        <is>
          <t>Föryngringsavverkning</t>
        </is>
      </c>
      <c r="D811" s="1" t="n">
        <v>45736</v>
      </c>
      <c r="E811" s="1" t="n">
        <v>46307</v>
      </c>
      <c r="F811" t="inlineStr">
        <is>
          <t>VÄRMLANDS LÄN</t>
        </is>
      </c>
      <c r="G811" t="inlineStr">
        <is>
          <t>ARVIKA</t>
        </is>
      </c>
      <c r="I811" t="n">
        <v>2.1</v>
      </c>
      <c r="J811" t="n">
        <v>0</v>
      </c>
      <c r="K811" t="n">
        <v>0</v>
      </c>
      <c r="L811" t="n">
        <v>1</v>
      </c>
      <c r="M811" t="n">
        <v>0</v>
      </c>
      <c r="N811" t="n">
        <v>0</v>
      </c>
      <c r="O811" t="n">
        <v>0</v>
      </c>
      <c r="P811" t="n">
        <v>0</v>
      </c>
      <c r="Q811" t="n">
        <v>1</v>
      </c>
      <c r="R811" t="n">
        <v>0</v>
      </c>
      <c r="S811" t="n">
        <v>1</v>
      </c>
      <c r="T811" t="n">
        <v>3</v>
      </c>
      <c r="U811" t="n">
        <v>3</v>
      </c>
      <c r="V811" s="2" t="inlineStr">
        <is>
          <t>Skogsklocka</t>
        </is>
      </c>
      <c r="W811">
        <f>HYPERLINK("https://klasma.github.io/Logging_1784/artfynd/A 13475-2025 artfynd.xlsx", "A 13475-2025")</f>
        <v/>
      </c>
      <c r="X811">
        <f>HYPERLINK("https://klasma.github.io/Logging_1784/kartor/A 13475-2025 karta.png", "A 13475-2025")</f>
        <v/>
      </c>
      <c r="Y811">
        <f>HYPERLINK("https://klasma.github.io/Logging_1784/kartor_geotiff/A 13475-2025 georefererad karta.tif", "A 13475-2025")</f>
        <v/>
      </c>
      <c r="AA811">
        <f>HYPERLINK("https://klasma.github.io/Logging_1784/klagomål/A 13475-2025 FSC-klagomål.docx", "A 13475-2025")</f>
        <v/>
      </c>
      <c r="AB811">
        <f>HYPERLINK("https://klasma.github.io/Logging_1784/klagomålsmail/A 13475-2025 FSC-klagomål mail.docx", "A 13475-2025")</f>
        <v/>
      </c>
      <c r="AC811">
        <f>HYPERLINK("https://klasma.github.io/Logging_1784/tillsyn/A 13475-2025 tillsynsbegäran.docx", "A 13475-2025")</f>
        <v/>
      </c>
      <c r="AD811">
        <f>HYPERLINK("https://klasma.github.io/Logging_1784/tillsynsmail/A 13475-2025 tillsynsbegäran mail.docx", "A 13475-2025")</f>
        <v/>
      </c>
    </row>
    <row r="812" ht="15" customHeight="1">
      <c r="A812" t="inlineStr">
        <is>
          <t>A 5131-2026</t>
        </is>
      </c>
      <c r="B812" t="inlineStr">
        <is>
          <t>avverkningsanmälan</t>
        </is>
      </c>
      <c r="C812" t="inlineStr">
        <is>
          <t>Föryngringsavverkning</t>
        </is>
      </c>
      <c r="D812" s="1" t="n">
        <v>46049</v>
      </c>
      <c r="E812" s="1" t="n">
        <v>46307</v>
      </c>
      <c r="F812" t="inlineStr">
        <is>
          <t>VÄRMLANDS LÄN</t>
        </is>
      </c>
      <c r="G812" t="inlineStr">
        <is>
          <t>KARLSTAD</t>
        </is>
      </c>
      <c r="I812" t="n">
        <v>1.4</v>
      </c>
      <c r="J812" t="n">
        <v>0</v>
      </c>
      <c r="K812" t="n">
        <v>0</v>
      </c>
      <c r="L812" t="n">
        <v>1</v>
      </c>
      <c r="M812" t="n">
        <v>0</v>
      </c>
      <c r="N812" t="n">
        <v>0</v>
      </c>
      <c r="O812" t="n">
        <v>0</v>
      </c>
      <c r="P812" t="n">
        <v>0</v>
      </c>
      <c r="Q812" t="n">
        <v>1</v>
      </c>
      <c r="R812" t="n">
        <v>0</v>
      </c>
      <c r="S812" t="n">
        <v>1</v>
      </c>
      <c r="T812" t="n">
        <v>1</v>
      </c>
      <c r="U812" t="n">
        <v>0</v>
      </c>
      <c r="V812" s="2" t="inlineStr">
        <is>
          <t>Blå taggsvamp</t>
        </is>
      </c>
      <c r="W812">
        <f>HYPERLINK("https://klasma.github.io/Logging_1780/artfynd/A 5131-2026 artfynd.xlsx", "A 5131-2026")</f>
        <v/>
      </c>
      <c r="X812">
        <f>HYPERLINK("https://klasma.github.io/Logging_1780/kartor/A 5131-2026 karta.png", "A 5131-2026")</f>
        <v/>
      </c>
      <c r="Y812">
        <f>HYPERLINK("https://klasma.github.io/Logging_1780/kartor_geotiff/A 5131-2026 georefererad karta.tif", "A 5131-2026")</f>
        <v/>
      </c>
      <c r="AA812">
        <f>HYPERLINK("https://klasma.github.io/Logging_1780/klagomål/A 5131-2026 FSC-klagomål.docx", "A 5131-2026")</f>
        <v/>
      </c>
      <c r="AB812">
        <f>HYPERLINK("https://klasma.github.io/Logging_1780/klagomålsmail/A 5131-2026 FSC-klagomål mail.docx", "A 5131-2026")</f>
        <v/>
      </c>
      <c r="AC812">
        <f>HYPERLINK("https://klasma.github.io/Logging_1780/tillsyn/A 5131-2026 tillsynsbegäran.docx", "A 5131-2026")</f>
        <v/>
      </c>
      <c r="AD812">
        <f>HYPERLINK("https://klasma.github.io/Logging_1780/tillsynsmail/A 5131-2026 tillsynsbegäran mail.docx", "A 5131-2026")</f>
        <v/>
      </c>
    </row>
    <row r="813" ht="15" customHeight="1">
      <c r="A813" t="inlineStr">
        <is>
          <t>A 49724-2023</t>
        </is>
      </c>
      <c r="B813" t="inlineStr">
        <is>
          <t>avverkningsanmälan</t>
        </is>
      </c>
      <c r="C813" t="inlineStr">
        <is>
          <t>Föryngringsavverkning</t>
        </is>
      </c>
      <c r="D813" s="1" t="n">
        <v>45208</v>
      </c>
      <c r="E813" s="1" t="n">
        <v>46307</v>
      </c>
      <c r="F813" t="inlineStr">
        <is>
          <t>VÄRMLANDS LÄN</t>
        </is>
      </c>
      <c r="G813" t="inlineStr">
        <is>
          <t>TORSBY</t>
        </is>
      </c>
      <c r="I813" t="n">
        <v>2.6</v>
      </c>
      <c r="J813" t="n">
        <v>0</v>
      </c>
      <c r="K813" t="n">
        <v>0</v>
      </c>
      <c r="L813" t="n">
        <v>0</v>
      </c>
      <c r="M813" t="n">
        <v>1</v>
      </c>
      <c r="N813" t="n">
        <v>0</v>
      </c>
      <c r="O813" t="n">
        <v>0</v>
      </c>
      <c r="P813" t="n">
        <v>0</v>
      </c>
      <c r="Q813" t="n">
        <v>1</v>
      </c>
      <c r="R813" t="n">
        <v>1</v>
      </c>
      <c r="S813" t="n">
        <v>1</v>
      </c>
      <c r="T813" t="n">
        <v>1</v>
      </c>
      <c r="U813" t="n">
        <v>0</v>
      </c>
      <c r="V813" s="2" t="inlineStr">
        <is>
          <t>Garnlav</t>
        </is>
      </c>
      <c r="W813">
        <f>HYPERLINK("https://klasma.github.io/Logging_1737/artfynd/A 49724-2023 artfynd.xlsx", "A 49724-2023")</f>
        <v/>
      </c>
      <c r="X813">
        <f>HYPERLINK("https://klasma.github.io/Logging_1737/kartor/A 49724-2023 karta.png", "A 49724-2023")</f>
        <v/>
      </c>
      <c r="Y813">
        <f>HYPERLINK("https://klasma.github.io/Logging_1737/kartor_geotiff/A 49724-2023 georefererad karta.tif", "A 49724-2023")</f>
        <v/>
      </c>
      <c r="AA813">
        <f>HYPERLINK("https://klasma.github.io/Logging_1737/klagomål/A 49724-2023 FSC-klagomål.docx", "A 49724-2023")</f>
        <v/>
      </c>
      <c r="AB813">
        <f>HYPERLINK("https://klasma.github.io/Logging_1737/klagomålsmail/A 49724-2023 FSC-klagomål mail.docx", "A 49724-2023")</f>
        <v/>
      </c>
      <c r="AC813">
        <f>HYPERLINK("https://klasma.github.io/Logging_1737/tillsyn/A 49724-2023 tillsynsbegäran.docx", "A 49724-2023")</f>
        <v/>
      </c>
      <c r="AD813">
        <f>HYPERLINK("https://klasma.github.io/Logging_1737/tillsynsmail/A 49724-2023 tillsynsbegäran mail.docx", "A 49724-2023")</f>
        <v/>
      </c>
    </row>
    <row r="814" ht="15" customHeight="1">
      <c r="A814" t="inlineStr">
        <is>
          <t>A 73730-2021</t>
        </is>
      </c>
      <c r="B814" t="inlineStr">
        <is>
          <t>avverkningsanmälan</t>
        </is>
      </c>
      <c r="C814" t="inlineStr">
        <is>
          <t>Föryngringsavverkning</t>
        </is>
      </c>
      <c r="D814" s="1" t="n">
        <v>44552</v>
      </c>
      <c r="E814" s="1" t="n">
        <v>46307</v>
      </c>
      <c r="F814" t="inlineStr">
        <is>
          <t>VÄRMLANDS LÄN</t>
        </is>
      </c>
      <c r="G814" t="inlineStr">
        <is>
          <t>SUNNE</t>
        </is>
      </c>
      <c r="I814" t="n">
        <v>4.1</v>
      </c>
      <c r="J814" t="n">
        <v>0</v>
      </c>
      <c r="K814" t="n">
        <v>1</v>
      </c>
      <c r="L814" t="n">
        <v>0</v>
      </c>
      <c r="M814" t="n">
        <v>0</v>
      </c>
      <c r="N814" t="n">
        <v>0</v>
      </c>
      <c r="O814" t="n">
        <v>0</v>
      </c>
      <c r="P814" t="n">
        <v>0</v>
      </c>
      <c r="Q814" t="n">
        <v>0</v>
      </c>
      <c r="R814" t="n">
        <v>0</v>
      </c>
      <c r="S814" t="n">
        <v>1</v>
      </c>
      <c r="T814" t="n">
        <v>1</v>
      </c>
      <c r="U814" t="n">
        <v>1</v>
      </c>
      <c r="V814" s="2" t="inlineStr">
        <is>
          <t>Kamjordstjärna</t>
        </is>
      </c>
      <c r="W814">
        <f>HYPERLINK("https://klasma.github.io/Logging_1766/artfynd/A 73730-2021 artfynd.xlsx", "A 73730-2021")</f>
        <v/>
      </c>
      <c r="X814">
        <f>HYPERLINK("https://klasma.github.io/Logging_1766/kartor/A 73730-2021 karta.png", "A 73730-2021")</f>
        <v/>
      </c>
      <c r="Y814">
        <f>HYPERLINK("https://klasma.github.io/Logging_1766/kartor_geotiff/A 73730-2021 georefererad karta.tif", "A 73730-2021")</f>
        <v/>
      </c>
      <c r="AA814">
        <f>HYPERLINK("https://klasma.github.io/Logging_1766/klagomål/A 73730-2021 FSC-klagomål.docx", "A 73730-2021")</f>
        <v/>
      </c>
      <c r="AB814">
        <f>HYPERLINK("https://klasma.github.io/Logging_1766/klagomålsmail/A 73730-2021 FSC-klagomål mail.docx", "A 73730-2021")</f>
        <v/>
      </c>
      <c r="AC814">
        <f>HYPERLINK("https://klasma.github.io/Logging_1766/tillsyn/A 73730-2021 tillsynsbegäran.docx", "A 73730-2021")</f>
        <v/>
      </c>
      <c r="AD814">
        <f>HYPERLINK("https://klasma.github.io/Logging_1766/tillsynsmail/A 73730-2021 tillsynsbegäran mail.docx", "A 73730-2021")</f>
        <v/>
      </c>
    </row>
    <row r="815" ht="15" customHeight="1">
      <c r="A815" t="inlineStr">
        <is>
          <t>A 29756-2025</t>
        </is>
      </c>
      <c r="B815" t="inlineStr">
        <is>
          <t>avverkningsanmälan</t>
        </is>
      </c>
      <c r="C815" t="inlineStr">
        <is>
          <t>Föryngringsavverkning</t>
        </is>
      </c>
      <c r="D815" s="1" t="n">
        <v>45825</v>
      </c>
      <c r="E815" s="1" t="n">
        <v>46307</v>
      </c>
      <c r="F815" t="inlineStr">
        <is>
          <t>VÄRMLANDS LÄN</t>
        </is>
      </c>
      <c r="G815" t="inlineStr">
        <is>
          <t>TORSBY</t>
        </is>
      </c>
      <c r="I815" t="n">
        <v>6.9</v>
      </c>
      <c r="J815" t="n">
        <v>0</v>
      </c>
      <c r="K815" t="n">
        <v>0</v>
      </c>
      <c r="L815" t="n">
        <v>0</v>
      </c>
      <c r="M815" t="n">
        <v>1</v>
      </c>
      <c r="N815" t="n">
        <v>0</v>
      </c>
      <c r="O815" t="n">
        <v>0</v>
      </c>
      <c r="P815" t="n">
        <v>0</v>
      </c>
      <c r="Q815" t="n">
        <v>1</v>
      </c>
      <c r="R815" t="n">
        <v>1</v>
      </c>
      <c r="S815" t="n">
        <v>1</v>
      </c>
      <c r="T815" t="n">
        <v>2</v>
      </c>
      <c r="U815" t="n">
        <v>0</v>
      </c>
      <c r="V815" s="2" t="inlineStr">
        <is>
          <t>Garnlav</t>
        </is>
      </c>
      <c r="W815">
        <f>HYPERLINK("https://klasma.github.io/Logging_1737/artfynd/A 29756-2025 artfynd.xlsx", "A 29756-2025")</f>
        <v/>
      </c>
      <c r="X815">
        <f>HYPERLINK("https://klasma.github.io/Logging_1737/kartor/A 29756-2025 karta.png", "A 29756-2025")</f>
        <v/>
      </c>
      <c r="Y815">
        <f>HYPERLINK("https://klasma.github.io/Logging_1737/kartor_geotiff/A 29756-2025 georefererad karta.tif", "A 29756-2025")</f>
        <v/>
      </c>
      <c r="AA815">
        <f>HYPERLINK("https://klasma.github.io/Logging_1737/klagomål/A 29756-2025 FSC-klagomål.docx", "A 29756-2025")</f>
        <v/>
      </c>
      <c r="AB815">
        <f>HYPERLINK("https://klasma.github.io/Logging_1737/klagomålsmail/A 29756-2025 FSC-klagomål mail.docx", "A 29756-2025")</f>
        <v/>
      </c>
      <c r="AC815">
        <f>HYPERLINK("https://klasma.github.io/Logging_1737/tillsyn/A 29756-2025 tillsynsbegäran.docx", "A 29756-2025")</f>
        <v/>
      </c>
      <c r="AD815">
        <f>HYPERLINK("https://klasma.github.io/Logging_1737/tillsynsmail/A 29756-2025 tillsynsbegäran mail.docx", "A 29756-2025")</f>
        <v/>
      </c>
    </row>
    <row r="816" ht="15" customHeight="1">
      <c r="A816" t="inlineStr">
        <is>
          <t>A 33538-2025</t>
        </is>
      </c>
      <c r="B816" t="inlineStr">
        <is>
          <t>avverkningsanmälan</t>
        </is>
      </c>
      <c r="C816" t="inlineStr">
        <is>
          <t>Föryngringsavverkning</t>
        </is>
      </c>
      <c r="D816" s="1" t="n">
        <v>45841</v>
      </c>
      <c r="E816" s="1" t="n">
        <v>46307</v>
      </c>
      <c r="F816" t="inlineStr">
        <is>
          <t>VÄRMLANDS LÄN</t>
        </is>
      </c>
      <c r="G816" t="inlineStr">
        <is>
          <t>SÄFFLE</t>
        </is>
      </c>
      <c r="I816" t="n">
        <v>4.8</v>
      </c>
      <c r="J816" t="n">
        <v>0</v>
      </c>
      <c r="K816" t="n">
        <v>1</v>
      </c>
      <c r="L816" t="n">
        <v>0</v>
      </c>
      <c r="M816" t="n">
        <v>0</v>
      </c>
      <c r="N816" t="n">
        <v>0</v>
      </c>
      <c r="O816" t="n">
        <v>0</v>
      </c>
      <c r="P816" t="n">
        <v>0</v>
      </c>
      <c r="Q816" t="n">
        <v>0</v>
      </c>
      <c r="R816" t="n">
        <v>0</v>
      </c>
      <c r="S816" t="n">
        <v>1</v>
      </c>
      <c r="T816" t="n">
        <v>1</v>
      </c>
      <c r="U816" t="n">
        <v>0</v>
      </c>
      <c r="V816" s="2" t="inlineStr">
        <is>
          <t>Vätteros</t>
        </is>
      </c>
      <c r="W816">
        <f>HYPERLINK("https://klasma.github.io/Logging_1785/artfynd/A 33538-2025 artfynd.xlsx", "A 33538-2025")</f>
        <v/>
      </c>
      <c r="X816">
        <f>HYPERLINK("https://klasma.github.io/Logging_1785/kartor/A 33538-2025 karta.png", "A 33538-2025")</f>
        <v/>
      </c>
      <c r="Y816">
        <f>HYPERLINK("https://klasma.github.io/Logging_1785/kartor_geotiff/A 33538-2025 georefererad karta.tif", "A 33538-2025")</f>
        <v/>
      </c>
      <c r="AA816">
        <f>HYPERLINK("https://klasma.github.io/Logging_1785/klagomål/A 33538-2025 FSC-klagomål.docx", "A 33538-2025")</f>
        <v/>
      </c>
      <c r="AB816">
        <f>HYPERLINK("https://klasma.github.io/Logging_1785/klagomålsmail/A 33538-2025 FSC-klagomål mail.docx", "A 33538-2025")</f>
        <v/>
      </c>
      <c r="AC816">
        <f>HYPERLINK("https://klasma.github.io/Logging_1785/tillsyn/A 33538-2025 tillsynsbegäran.docx", "A 33538-2025")</f>
        <v/>
      </c>
      <c r="AD816">
        <f>HYPERLINK("https://klasma.github.io/Logging_1785/tillsynsmail/A 33538-2025 tillsynsbegäran mail.docx", "A 33538-2025")</f>
        <v/>
      </c>
    </row>
    <row r="817" ht="15" customHeight="1">
      <c r="A817" t="inlineStr">
        <is>
          <t>A 20722-2026</t>
        </is>
      </c>
      <c r="B817" t="inlineStr">
        <is>
          <t>avverkningsanmälan</t>
        </is>
      </c>
      <c r="C817" t="inlineStr">
        <is>
          <t>Föryngringsavverkning</t>
        </is>
      </c>
      <c r="D817" s="1" t="n">
        <v>46141</v>
      </c>
      <c r="E817" s="1" t="n">
        <v>46307</v>
      </c>
      <c r="F817" t="inlineStr">
        <is>
          <t>VÄRMLANDS LÄN</t>
        </is>
      </c>
      <c r="G817" t="inlineStr">
        <is>
          <t>ARVIKA</t>
        </is>
      </c>
      <c r="H817" t="inlineStr">
        <is>
          <t>Bergvik skog väst AB</t>
        </is>
      </c>
      <c r="I817" t="n">
        <v>15.1</v>
      </c>
      <c r="J817" t="n">
        <v>1</v>
      </c>
      <c r="K817" t="n">
        <v>0</v>
      </c>
      <c r="L817" t="n">
        <v>0</v>
      </c>
      <c r="M817" t="n">
        <v>0</v>
      </c>
      <c r="N817" t="n">
        <v>0</v>
      </c>
      <c r="O817" t="n">
        <v>0</v>
      </c>
      <c r="P817" t="n">
        <v>0</v>
      </c>
      <c r="Q817" t="n">
        <v>0</v>
      </c>
      <c r="R817" t="n">
        <v>0</v>
      </c>
      <c r="S817" t="n">
        <v>1</v>
      </c>
      <c r="T817" t="n">
        <v>1</v>
      </c>
      <c r="U817" t="n">
        <v>0</v>
      </c>
      <c r="V817" s="2" t="inlineStr">
        <is>
          <t>Tjäder</t>
        </is>
      </c>
      <c r="W817">
        <f>HYPERLINK("https://klasma.github.io/Logging_1784/artfynd/A 20722-2026 artfynd.xlsx", "A 20722-2026")</f>
        <v/>
      </c>
      <c r="X817">
        <f>HYPERLINK("https://klasma.github.io/Logging_1784/kartor/A 20722-2026 karta.png", "A 20722-2026")</f>
        <v/>
      </c>
      <c r="Y817">
        <f>HYPERLINK("https://klasma.github.io/Logging_1784/kartor_geotiff/A 20722-2026 georefererad karta.tif", "A 20722-2026")</f>
        <v/>
      </c>
      <c r="AA817">
        <f>HYPERLINK("https://klasma.github.io/Logging_1784/klagomål/A 20722-2026 FSC-klagomål.docx", "A 20722-2026")</f>
        <v/>
      </c>
      <c r="AB817">
        <f>HYPERLINK("https://klasma.github.io/Logging_1784/klagomålsmail/A 20722-2026 FSC-klagomål mail.docx", "A 20722-2026")</f>
        <v/>
      </c>
      <c r="AC817">
        <f>HYPERLINK("https://klasma.github.io/Logging_1784/tillsyn/A 20722-2026 tillsynsbegäran.docx", "A 20722-2026")</f>
        <v/>
      </c>
      <c r="AD817">
        <f>HYPERLINK("https://klasma.github.io/Logging_1784/tillsynsmail/A 20722-2026 tillsynsbegäran mail.docx", "A 20722-2026")</f>
        <v/>
      </c>
      <c r="AE817">
        <f>HYPERLINK("https://klasma.github.io/Logging_1784/fåglar/A 20722-2026 prioriterade fågelarter.docx", "A 20722-2026")</f>
        <v/>
      </c>
    </row>
    <row r="818" ht="15" customHeight="1">
      <c r="A818" t="inlineStr">
        <is>
          <t>A 20746-2026</t>
        </is>
      </c>
      <c r="B818" t="inlineStr">
        <is>
          <t>avverkningsanmälan</t>
        </is>
      </c>
      <c r="C818" t="inlineStr">
        <is>
          <t>Föryngringsavverkning</t>
        </is>
      </c>
      <c r="D818" s="1" t="n">
        <v>46141</v>
      </c>
      <c r="E818" s="1" t="n">
        <v>46307</v>
      </c>
      <c r="F818" t="inlineStr">
        <is>
          <t>VÄRMLANDS LÄN</t>
        </is>
      </c>
      <c r="G818" t="inlineStr">
        <is>
          <t>KRISTINEHAMN</t>
        </is>
      </c>
      <c r="H818" t="inlineStr">
        <is>
          <t>Naturvårdsverket</t>
        </is>
      </c>
      <c r="I818" t="n">
        <v>6.3</v>
      </c>
      <c r="J818" t="n">
        <v>1</v>
      </c>
      <c r="K818" t="n">
        <v>1</v>
      </c>
      <c r="L818" t="n">
        <v>0</v>
      </c>
      <c r="M818" t="n">
        <v>0</v>
      </c>
      <c r="N818" t="n">
        <v>0</v>
      </c>
      <c r="O818" t="n">
        <v>0</v>
      </c>
      <c r="P818" t="n">
        <v>0</v>
      </c>
      <c r="Q818" t="n">
        <v>0</v>
      </c>
      <c r="R818" t="n">
        <v>0</v>
      </c>
      <c r="S818" t="n">
        <v>1</v>
      </c>
      <c r="T818" t="n">
        <v>1</v>
      </c>
      <c r="U818" t="n">
        <v>0</v>
      </c>
      <c r="V818" s="2" t="inlineStr">
        <is>
          <t>Grön sköldmossa</t>
        </is>
      </c>
      <c r="W818">
        <f>HYPERLINK("https://klasma.github.io/Logging_1781/artfynd/A 20746-2026 artfynd.xlsx", "A 20746-2026")</f>
        <v/>
      </c>
      <c r="X818">
        <f>HYPERLINK("https://klasma.github.io/Logging_1781/kartor/A 20746-2026 karta.png", "A 20746-2026")</f>
        <v/>
      </c>
      <c r="Y818">
        <f>HYPERLINK("https://klasma.github.io/Logging_1781/kartor_geotiff/A 20746-2026 georefererad karta.tif", "A 20746-2026")</f>
        <v/>
      </c>
      <c r="AA818">
        <f>HYPERLINK("https://klasma.github.io/Logging_1781/klagomål/A 20746-2026 FSC-klagomål.docx", "A 20746-2026")</f>
        <v/>
      </c>
      <c r="AB818">
        <f>HYPERLINK("https://klasma.github.io/Logging_1781/klagomålsmail/A 20746-2026 FSC-klagomål mail.docx", "A 20746-2026")</f>
        <v/>
      </c>
      <c r="AC818">
        <f>HYPERLINK("https://klasma.github.io/Logging_1781/tillsyn/A 20746-2026 tillsynsbegäran.docx", "A 20746-2026")</f>
        <v/>
      </c>
      <c r="AD818">
        <f>HYPERLINK("https://klasma.github.io/Logging_1781/tillsynsmail/A 20746-2026 tillsynsbegäran mail.docx", "A 20746-2026")</f>
        <v/>
      </c>
    </row>
    <row r="819" ht="15" customHeight="1">
      <c r="A819" t="inlineStr">
        <is>
          <t>A 31226-2025</t>
        </is>
      </c>
      <c r="B819" t="inlineStr">
        <is>
          <t>avverkningsanmälan</t>
        </is>
      </c>
      <c r="C819" t="inlineStr">
        <is>
          <t>Föryngringsavverkning</t>
        </is>
      </c>
      <c r="D819" s="1" t="n">
        <v>45832</v>
      </c>
      <c r="E819" s="1" t="n">
        <v>46307</v>
      </c>
      <c r="F819" t="inlineStr">
        <is>
          <t>VÄRMLANDS LÄN</t>
        </is>
      </c>
      <c r="G819" t="inlineStr">
        <is>
          <t>SÄFFLE</t>
        </is>
      </c>
      <c r="I819" t="n">
        <v>4</v>
      </c>
      <c r="J819" t="n">
        <v>0</v>
      </c>
      <c r="K819" t="n">
        <v>0</v>
      </c>
      <c r="L819" t="n">
        <v>0</v>
      </c>
      <c r="M819" t="n">
        <v>1</v>
      </c>
      <c r="N819" t="n">
        <v>0</v>
      </c>
      <c r="O819" t="n">
        <v>0</v>
      </c>
      <c r="P819" t="n">
        <v>0</v>
      </c>
      <c r="Q819" t="n">
        <v>1</v>
      </c>
      <c r="R819" t="n">
        <v>1</v>
      </c>
      <c r="S819" t="n">
        <v>1</v>
      </c>
      <c r="T819" t="n">
        <v>1</v>
      </c>
      <c r="U819" t="n">
        <v>0</v>
      </c>
      <c r="V819" s="2" t="inlineStr">
        <is>
          <t>Gränsticka</t>
        </is>
      </c>
      <c r="W819">
        <f>HYPERLINK("https://klasma.github.io/Logging_1785/artfynd/A 31226-2025 artfynd.xlsx", "A 31226-2025")</f>
        <v/>
      </c>
      <c r="X819">
        <f>HYPERLINK("https://klasma.github.io/Logging_1785/kartor/A 31226-2025 karta.png", "A 31226-2025")</f>
        <v/>
      </c>
      <c r="Y819">
        <f>HYPERLINK("https://klasma.github.io/Logging_1785/kartor_geotiff/A 31226-2025 georefererad karta.tif", "A 31226-2025")</f>
        <v/>
      </c>
      <c r="AA819">
        <f>HYPERLINK("https://klasma.github.io/Logging_1785/klagomål/A 31226-2025 FSC-klagomål.docx", "A 31226-2025")</f>
        <v/>
      </c>
      <c r="AB819">
        <f>HYPERLINK("https://klasma.github.io/Logging_1785/klagomålsmail/A 31226-2025 FSC-klagomål mail.docx", "A 31226-2025")</f>
        <v/>
      </c>
      <c r="AC819">
        <f>HYPERLINK("https://klasma.github.io/Logging_1785/tillsyn/A 31226-2025 tillsynsbegäran.docx", "A 31226-2025")</f>
        <v/>
      </c>
      <c r="AD819">
        <f>HYPERLINK("https://klasma.github.io/Logging_1785/tillsynsmail/A 31226-2025 tillsynsbegäran mail.docx", "A 31226-2025")</f>
        <v/>
      </c>
    </row>
    <row r="820" ht="15" customHeight="1">
      <c r="A820" t="inlineStr">
        <is>
          <t>A 8254-2026</t>
        </is>
      </c>
      <c r="B820" t="inlineStr">
        <is>
          <t>avverkningsanmälan</t>
        </is>
      </c>
      <c r="C820" t="inlineStr">
        <is>
          <t>Föryngringsavverkning</t>
        </is>
      </c>
      <c r="D820" s="1" t="n">
        <v>46064</v>
      </c>
      <c r="E820" s="1" t="n">
        <v>46307</v>
      </c>
      <c r="F820" t="inlineStr">
        <is>
          <t>VÄRMLANDS LÄN</t>
        </is>
      </c>
      <c r="G820" t="inlineStr">
        <is>
          <t>HAGFORS</t>
        </is>
      </c>
      <c r="I820" t="n">
        <v>1.1</v>
      </c>
      <c r="J820" t="n">
        <v>0</v>
      </c>
      <c r="K820" t="n">
        <v>0</v>
      </c>
      <c r="L820" t="n">
        <v>1</v>
      </c>
      <c r="M820" t="n">
        <v>0</v>
      </c>
      <c r="N820" t="n">
        <v>0</v>
      </c>
      <c r="O820" t="n">
        <v>0</v>
      </c>
      <c r="P820" t="n">
        <v>0</v>
      </c>
      <c r="Q820" t="n">
        <v>1</v>
      </c>
      <c r="R820" t="n">
        <v>0</v>
      </c>
      <c r="S820" t="n">
        <v>1</v>
      </c>
      <c r="T820" t="n">
        <v>1</v>
      </c>
      <c r="U820" t="n">
        <v>0</v>
      </c>
      <c r="V820" s="2" t="inlineStr">
        <is>
          <t>Ullticka</t>
        </is>
      </c>
      <c r="W820">
        <f>HYPERLINK("https://klasma.github.io/Logging_1783/artfynd/A 8254-2026 artfynd.xlsx", "A 8254-2026")</f>
        <v/>
      </c>
      <c r="X820">
        <f>HYPERLINK("https://klasma.github.io/Logging_1783/kartor/A 8254-2026 karta.png", "A 8254-2026")</f>
        <v/>
      </c>
      <c r="Y820">
        <f>HYPERLINK("https://klasma.github.io/Logging_1783/kartor_geotiff/A 8254-2026 georefererad karta.tif", "A 8254-2026")</f>
        <v/>
      </c>
      <c r="AA820">
        <f>HYPERLINK("https://klasma.github.io/Logging_1783/klagomål/A 8254-2026 FSC-klagomål.docx", "A 8254-2026")</f>
        <v/>
      </c>
      <c r="AB820">
        <f>HYPERLINK("https://klasma.github.io/Logging_1783/klagomålsmail/A 8254-2026 FSC-klagomål mail.docx", "A 8254-2026")</f>
        <v/>
      </c>
      <c r="AC820">
        <f>HYPERLINK("https://klasma.github.io/Logging_1783/tillsyn/A 8254-2026 tillsynsbegäran.docx", "A 8254-2026")</f>
        <v/>
      </c>
      <c r="AD820">
        <f>HYPERLINK("https://klasma.github.io/Logging_1783/tillsynsmail/A 8254-2026 tillsynsbegäran mail.docx", "A 8254-2026")</f>
        <v/>
      </c>
    </row>
    <row r="821" ht="15" customHeight="1">
      <c r="A821" t="inlineStr">
        <is>
          <t>A 21178-2026</t>
        </is>
      </c>
      <c r="B821" t="inlineStr">
        <is>
          <t>avverkningsanmälan</t>
        </is>
      </c>
      <c r="C821" t="inlineStr">
        <is>
          <t>Föryngringsavverkning</t>
        </is>
      </c>
      <c r="D821" s="1" t="n">
        <v>46146</v>
      </c>
      <c r="E821" s="1" t="n">
        <v>46307</v>
      </c>
      <c r="F821" t="inlineStr">
        <is>
          <t>VÄRMLANDS LÄN</t>
        </is>
      </c>
      <c r="G821" t="inlineStr">
        <is>
          <t>TORSBY</t>
        </is>
      </c>
      <c r="H821" t="inlineStr">
        <is>
          <t>Bergvik skog väst AB</t>
        </is>
      </c>
      <c r="I821" t="n">
        <v>3</v>
      </c>
      <c r="J821" t="n">
        <v>0</v>
      </c>
      <c r="K821" t="n">
        <v>0</v>
      </c>
      <c r="L821" t="n">
        <v>1</v>
      </c>
      <c r="M821" t="n">
        <v>0</v>
      </c>
      <c r="N821" t="n">
        <v>0</v>
      </c>
      <c r="O821" t="n">
        <v>0</v>
      </c>
      <c r="P821" t="n">
        <v>0</v>
      </c>
      <c r="Q821" t="n">
        <v>1</v>
      </c>
      <c r="R821" t="n">
        <v>0</v>
      </c>
      <c r="S821" t="n">
        <v>1</v>
      </c>
      <c r="T821" t="n">
        <v>1</v>
      </c>
      <c r="U821" t="n">
        <v>0</v>
      </c>
      <c r="V821" s="2" t="inlineStr">
        <is>
          <t>Vedskivlav</t>
        </is>
      </c>
      <c r="W821">
        <f>HYPERLINK("https://klasma.github.io/Logging_1737/artfynd/A 21178-2026 artfynd.xlsx", "A 21178-2026")</f>
        <v/>
      </c>
      <c r="X821">
        <f>HYPERLINK("https://klasma.github.io/Logging_1737/kartor/A 21178-2026 karta.png", "A 21178-2026")</f>
        <v/>
      </c>
      <c r="Y821">
        <f>HYPERLINK("https://klasma.github.io/Logging_1737/kartor_geotiff/A 21178-2026 georefererad karta.tif", "A 21178-2026")</f>
        <v/>
      </c>
      <c r="AA821">
        <f>HYPERLINK("https://klasma.github.io/Logging_1737/klagomål/A 21178-2026 FSC-klagomål.docx", "A 21178-2026")</f>
        <v/>
      </c>
      <c r="AB821">
        <f>HYPERLINK("https://klasma.github.io/Logging_1737/klagomålsmail/A 21178-2026 FSC-klagomål mail.docx", "A 21178-2026")</f>
        <v/>
      </c>
      <c r="AC821">
        <f>HYPERLINK("https://klasma.github.io/Logging_1737/tillsyn/A 21178-2026 tillsynsbegäran.docx", "A 21178-2026")</f>
        <v/>
      </c>
      <c r="AD821">
        <f>HYPERLINK("https://klasma.github.io/Logging_1737/tillsynsmail/A 21178-2026 tillsynsbegäran mail.docx", "A 21178-2026")</f>
        <v/>
      </c>
    </row>
    <row r="822" ht="15" customHeight="1">
      <c r="A822" t="inlineStr">
        <is>
          <t>A 60714-2025</t>
        </is>
      </c>
      <c r="B822" t="inlineStr">
        <is>
          <t>avverkningsanmälan</t>
        </is>
      </c>
      <c r="C822" t="inlineStr">
        <is>
          <t>Föryngringsavverkning</t>
        </is>
      </c>
      <c r="D822" s="1" t="n">
        <v>45996</v>
      </c>
      <c r="E822" s="1" t="n">
        <v>46307</v>
      </c>
      <c r="F822" t="inlineStr">
        <is>
          <t>VÄRMLANDS LÄN</t>
        </is>
      </c>
      <c r="G822" t="inlineStr">
        <is>
          <t>KRISTINEHAMN</t>
        </is>
      </c>
      <c r="I822" t="n">
        <v>0.5</v>
      </c>
      <c r="J822" t="n">
        <v>0</v>
      </c>
      <c r="K822" t="n">
        <v>1</v>
      </c>
      <c r="L822" t="n">
        <v>0</v>
      </c>
      <c r="M822" t="n">
        <v>0</v>
      </c>
      <c r="N822" t="n">
        <v>0</v>
      </c>
      <c r="O822" t="n">
        <v>0</v>
      </c>
      <c r="P822" t="n">
        <v>0</v>
      </c>
      <c r="Q822" t="n">
        <v>0</v>
      </c>
      <c r="R822" t="n">
        <v>0</v>
      </c>
      <c r="S822" t="n">
        <v>1</v>
      </c>
      <c r="T822" t="n">
        <v>1</v>
      </c>
      <c r="U822" t="n">
        <v>0</v>
      </c>
      <c r="V822" s="2" t="inlineStr">
        <is>
          <t>Björksplintborre</t>
        </is>
      </c>
      <c r="W822">
        <f>HYPERLINK("https://klasma.github.io/Logging_1781/artfynd/A 60714-2025 artfynd.xlsx", "A 60714-2025")</f>
        <v/>
      </c>
      <c r="X822">
        <f>HYPERLINK("https://klasma.github.io/Logging_1781/kartor/A 60714-2025 karta.png", "A 60714-2025")</f>
        <v/>
      </c>
      <c r="Y822">
        <f>HYPERLINK("https://klasma.github.io/Logging_1781/kartor_geotiff/A 60714-2025 georefererad karta.tif", "A 60714-2025")</f>
        <v/>
      </c>
      <c r="AA822">
        <f>HYPERLINK("https://klasma.github.io/Logging_1781/klagomål/A 60714-2025 FSC-klagomål.docx", "A 60714-2025")</f>
        <v/>
      </c>
      <c r="AB822">
        <f>HYPERLINK("https://klasma.github.io/Logging_1781/klagomålsmail/A 60714-2025 FSC-klagomål mail.docx", "A 60714-2025")</f>
        <v/>
      </c>
      <c r="AC822">
        <f>HYPERLINK("https://klasma.github.io/Logging_1781/tillsyn/A 60714-2025 tillsynsbegäran.docx", "A 60714-2025")</f>
        <v/>
      </c>
      <c r="AD822">
        <f>HYPERLINK("https://klasma.github.io/Logging_1781/tillsynsmail/A 60714-2025 tillsynsbegäran mail.docx", "A 60714-2025")</f>
        <v/>
      </c>
    </row>
    <row r="823" ht="15" customHeight="1">
      <c r="A823" t="inlineStr">
        <is>
          <t>A 9761-2026</t>
        </is>
      </c>
      <c r="B823" t="inlineStr">
        <is>
          <t>avverkningsanmälan</t>
        </is>
      </c>
      <c r="C823" t="inlineStr">
        <is>
          <t>Föryngringsavverkning</t>
        </is>
      </c>
      <c r="D823" s="1" t="n">
        <v>46072</v>
      </c>
      <c r="E823" s="1" t="n">
        <v>46307</v>
      </c>
      <c r="F823" t="inlineStr">
        <is>
          <t>VÄRMLANDS LÄN</t>
        </is>
      </c>
      <c r="G823" t="inlineStr">
        <is>
          <t>ARVIKA</t>
        </is>
      </c>
      <c r="I823" t="n">
        <v>7.4</v>
      </c>
      <c r="J823" t="n">
        <v>0</v>
      </c>
      <c r="K823" t="n">
        <v>0</v>
      </c>
      <c r="L823" t="n">
        <v>1</v>
      </c>
      <c r="M823" t="n">
        <v>0</v>
      </c>
      <c r="N823" t="n">
        <v>0</v>
      </c>
      <c r="O823" t="n">
        <v>0</v>
      </c>
      <c r="P823" t="n">
        <v>0</v>
      </c>
      <c r="Q823" t="n">
        <v>1</v>
      </c>
      <c r="R823" t="n">
        <v>0</v>
      </c>
      <c r="S823" t="n">
        <v>1</v>
      </c>
      <c r="T823" t="n">
        <v>1</v>
      </c>
      <c r="U823" t="n">
        <v>0</v>
      </c>
      <c r="V823" s="2" t="inlineStr">
        <is>
          <t>Skogsklocka</t>
        </is>
      </c>
      <c r="W823">
        <f>HYPERLINK("https://klasma.github.io/Logging_1784/artfynd/A 9761-2026 artfynd.xlsx", "A 9761-2026")</f>
        <v/>
      </c>
      <c r="X823">
        <f>HYPERLINK("https://klasma.github.io/Logging_1784/kartor/A 9761-2026 karta.png", "A 9761-2026")</f>
        <v/>
      </c>
      <c r="Y823">
        <f>HYPERLINK("https://klasma.github.io/Logging_1784/kartor_geotiff/A 9761-2026 georefererad karta.tif", "A 9761-2026")</f>
        <v/>
      </c>
      <c r="AA823">
        <f>HYPERLINK("https://klasma.github.io/Logging_1784/klagomål/A 9761-2026 FSC-klagomål.docx", "A 9761-2026")</f>
        <v/>
      </c>
      <c r="AB823">
        <f>HYPERLINK("https://klasma.github.io/Logging_1784/klagomålsmail/A 9761-2026 FSC-klagomål mail.docx", "A 9761-2026")</f>
        <v/>
      </c>
      <c r="AC823">
        <f>HYPERLINK("https://klasma.github.io/Logging_1784/tillsyn/A 9761-2026 tillsynsbegäran.docx", "A 9761-2026")</f>
        <v/>
      </c>
      <c r="AD823">
        <f>HYPERLINK("https://klasma.github.io/Logging_1784/tillsynsmail/A 9761-2026 tillsynsbegäran mail.docx", "A 9761-2026")</f>
        <v/>
      </c>
    </row>
    <row r="824" ht="15" customHeight="1">
      <c r="A824" t="inlineStr">
        <is>
          <t>A 10061-2026</t>
        </is>
      </c>
      <c r="B824" t="inlineStr">
        <is>
          <t>avverkningsanmälan</t>
        </is>
      </c>
      <c r="C824" t="inlineStr">
        <is>
          <t>Föryngringsavverkning</t>
        </is>
      </c>
      <c r="D824" s="1" t="n">
        <v>46073</v>
      </c>
      <c r="E824" s="1" t="n">
        <v>46307</v>
      </c>
      <c r="F824" t="inlineStr">
        <is>
          <t>VÄRMLANDS LÄN</t>
        </is>
      </c>
      <c r="G824" t="inlineStr">
        <is>
          <t>ARVIKA</t>
        </is>
      </c>
      <c r="I824" t="n">
        <v>1.5</v>
      </c>
      <c r="J824" t="n">
        <v>1</v>
      </c>
      <c r="K824" t="n">
        <v>0</v>
      </c>
      <c r="L824" t="n">
        <v>0</v>
      </c>
      <c r="M824" t="n">
        <v>0</v>
      </c>
      <c r="N824" t="n">
        <v>0</v>
      </c>
      <c r="O824" t="n">
        <v>0</v>
      </c>
      <c r="P824" t="n">
        <v>0</v>
      </c>
      <c r="Q824" t="n">
        <v>0</v>
      </c>
      <c r="R824" t="n">
        <v>0</v>
      </c>
      <c r="S824" t="n">
        <v>1</v>
      </c>
      <c r="T824" t="n">
        <v>1</v>
      </c>
      <c r="U824" t="n">
        <v>0</v>
      </c>
      <c r="V824" s="2" t="inlineStr">
        <is>
          <t>Trana</t>
        </is>
      </c>
      <c r="W824">
        <f>HYPERLINK("https://klasma.github.io/Logging_1784/artfynd/A 10061-2026 artfynd.xlsx", "A 10061-2026")</f>
        <v/>
      </c>
      <c r="X824">
        <f>HYPERLINK("https://klasma.github.io/Logging_1784/kartor/A 10061-2026 karta.png", "A 10061-2026")</f>
        <v/>
      </c>
      <c r="Y824">
        <f>HYPERLINK("https://klasma.github.io/Logging_1784/kartor_geotiff/A 10061-2026 georefererad karta.tif", "A 10061-2026")</f>
        <v/>
      </c>
      <c r="AA824">
        <f>HYPERLINK("https://klasma.github.io/Logging_1784/klagomål/A 10061-2026 FSC-klagomål.docx", "A 10061-2026")</f>
        <v/>
      </c>
      <c r="AB824">
        <f>HYPERLINK("https://klasma.github.io/Logging_1784/klagomålsmail/A 10061-2026 FSC-klagomål mail.docx", "A 10061-2026")</f>
        <v/>
      </c>
      <c r="AC824">
        <f>HYPERLINK("https://klasma.github.io/Logging_1784/tillsyn/A 10061-2026 tillsynsbegäran.docx", "A 10061-2026")</f>
        <v/>
      </c>
      <c r="AD824">
        <f>HYPERLINK("https://klasma.github.io/Logging_1784/tillsynsmail/A 10061-2026 tillsynsbegäran mail.docx", "A 10061-2026")</f>
        <v/>
      </c>
      <c r="AE824">
        <f>HYPERLINK("https://klasma.github.io/Logging_1784/fåglar/A 10061-2026 prioriterade fågelarter.docx", "A 10061-2026")</f>
        <v/>
      </c>
    </row>
    <row r="825" ht="15" customHeight="1">
      <c r="A825" t="inlineStr">
        <is>
          <t>A 11416-2026</t>
        </is>
      </c>
      <c r="B825" t="inlineStr">
        <is>
          <t>avverkningsanmälan</t>
        </is>
      </c>
      <c r="C825" t="inlineStr">
        <is>
          <t>Föryngringsavverkning</t>
        </is>
      </c>
      <c r="D825" s="1" t="n">
        <v>46083</v>
      </c>
      <c r="E825" s="1" t="n">
        <v>46307</v>
      </c>
      <c r="F825" t="inlineStr">
        <is>
          <t>VÄRMLANDS LÄN</t>
        </is>
      </c>
      <c r="G825" t="inlineStr">
        <is>
          <t>ARVIKA</t>
        </is>
      </c>
      <c r="I825" t="n">
        <v>1.1</v>
      </c>
      <c r="J825" t="n">
        <v>1</v>
      </c>
      <c r="K825" t="n">
        <v>0</v>
      </c>
      <c r="L825" t="n">
        <v>0</v>
      </c>
      <c r="M825" t="n">
        <v>1</v>
      </c>
      <c r="N825" t="n">
        <v>0</v>
      </c>
      <c r="O825" t="n">
        <v>0</v>
      </c>
      <c r="P825" t="n">
        <v>0</v>
      </c>
      <c r="Q825" t="n">
        <v>1</v>
      </c>
      <c r="R825" t="n">
        <v>1</v>
      </c>
      <c r="S825" t="n">
        <v>1</v>
      </c>
      <c r="T825" t="n">
        <v>1</v>
      </c>
      <c r="U825" t="n">
        <v>0</v>
      </c>
      <c r="V825" s="2" t="inlineStr">
        <is>
          <t>Knärot</t>
        </is>
      </c>
      <c r="W825">
        <f>HYPERLINK("https://klasma.github.io/Logging_1784/artfynd/A 11416-2026 artfynd.xlsx", "A 11416-2026")</f>
        <v/>
      </c>
      <c r="X825">
        <f>HYPERLINK("https://klasma.github.io/Logging_1784/kartor/A 11416-2026 karta.png", "A 11416-2026")</f>
        <v/>
      </c>
      <c r="Y825">
        <f>HYPERLINK("https://klasma.github.io/Logging_1784/kartor_geotiff/A 11416-2026 georefererad karta.tif", "A 11416-2026")</f>
        <v/>
      </c>
      <c r="Z825">
        <f>HYPERLINK("https://klasma.github.io/Logging_1784/knärot/A 11416-2026 karta knärot.png", "A 11416-2026")</f>
        <v/>
      </c>
      <c r="AA825">
        <f>HYPERLINK("https://klasma.github.io/Logging_1784/klagomål/A 11416-2026 FSC-klagomål.docx", "A 11416-2026")</f>
        <v/>
      </c>
      <c r="AB825">
        <f>HYPERLINK("https://klasma.github.io/Logging_1784/klagomålsmail/A 11416-2026 FSC-klagomål mail.docx", "A 11416-2026")</f>
        <v/>
      </c>
      <c r="AC825">
        <f>HYPERLINK("https://klasma.github.io/Logging_1784/tillsyn/A 11416-2026 tillsynsbegäran.docx", "A 11416-2026")</f>
        <v/>
      </c>
      <c r="AD825">
        <f>HYPERLINK("https://klasma.github.io/Logging_1784/tillsynsmail/A 11416-2026 tillsynsbegäran mail.docx", "A 11416-2026")</f>
        <v/>
      </c>
    </row>
    <row r="826" ht="15" customHeight="1">
      <c r="A826" t="inlineStr">
        <is>
          <t>A 11896-2026</t>
        </is>
      </c>
      <c r="B826" t="inlineStr">
        <is>
          <t>avverkningsanmälan</t>
        </is>
      </c>
      <c r="C826" t="inlineStr">
        <is>
          <t>Föryngringsavverkning</t>
        </is>
      </c>
      <c r="D826" s="1" t="n">
        <v>46085</v>
      </c>
      <c r="E826" s="1" t="n">
        <v>46307</v>
      </c>
      <c r="F826" t="inlineStr">
        <is>
          <t>VÄRMLANDS LÄN</t>
        </is>
      </c>
      <c r="G826" t="inlineStr">
        <is>
          <t>TORSBY</t>
        </is>
      </c>
      <c r="I826" t="n">
        <v>8.300000000000001</v>
      </c>
      <c r="J826" t="n">
        <v>0</v>
      </c>
      <c r="K826" t="n">
        <v>0</v>
      </c>
      <c r="L826" t="n">
        <v>1</v>
      </c>
      <c r="M826" t="n">
        <v>0</v>
      </c>
      <c r="N826" t="n">
        <v>0</v>
      </c>
      <c r="O826" t="n">
        <v>0</v>
      </c>
      <c r="P826" t="n">
        <v>0</v>
      </c>
      <c r="Q826" t="n">
        <v>1</v>
      </c>
      <c r="R826" t="n">
        <v>0</v>
      </c>
      <c r="S826" t="n">
        <v>1</v>
      </c>
      <c r="T826" t="n">
        <v>1</v>
      </c>
      <c r="U826" t="n">
        <v>0</v>
      </c>
      <c r="V826" s="2" t="inlineStr">
        <is>
          <t>Lunglav</t>
        </is>
      </c>
      <c r="W826">
        <f>HYPERLINK("https://klasma.github.io/Logging_1737/artfynd/A 11896-2026 artfynd.xlsx", "A 11896-2026")</f>
        <v/>
      </c>
      <c r="X826">
        <f>HYPERLINK("https://klasma.github.io/Logging_1737/kartor/A 11896-2026 karta.png", "A 11896-2026")</f>
        <v/>
      </c>
      <c r="Y826">
        <f>HYPERLINK("https://klasma.github.io/Logging_1737/kartor_geotiff/A 11896-2026 georefererad karta.tif", "A 11896-2026")</f>
        <v/>
      </c>
      <c r="AA826">
        <f>HYPERLINK("https://klasma.github.io/Logging_1737/klagomål/A 11896-2026 FSC-klagomål.docx", "A 11896-2026")</f>
        <v/>
      </c>
      <c r="AB826">
        <f>HYPERLINK("https://klasma.github.io/Logging_1737/klagomålsmail/A 11896-2026 FSC-klagomål mail.docx", "A 11896-2026")</f>
        <v/>
      </c>
      <c r="AC826">
        <f>HYPERLINK("https://klasma.github.io/Logging_1737/tillsyn/A 11896-2026 tillsynsbegäran.docx", "A 11896-2026")</f>
        <v/>
      </c>
      <c r="AD826">
        <f>HYPERLINK("https://klasma.github.io/Logging_1737/tillsynsmail/A 11896-2026 tillsynsbegäran mail.docx", "A 11896-2026")</f>
        <v/>
      </c>
    </row>
    <row r="827" ht="15" customHeight="1">
      <c r="A827" t="inlineStr">
        <is>
          <t>A 12296-2026</t>
        </is>
      </c>
      <c r="B827" t="inlineStr">
        <is>
          <t>avverkningsanmälan</t>
        </is>
      </c>
      <c r="C827" t="inlineStr">
        <is>
          <t>Föryngringsavverkning</t>
        </is>
      </c>
      <c r="D827" s="1" t="n">
        <v>46087</v>
      </c>
      <c r="E827" s="1" t="n">
        <v>46307</v>
      </c>
      <c r="F827" t="inlineStr">
        <is>
          <t>VÄRMLANDS LÄN</t>
        </is>
      </c>
      <c r="G827" t="inlineStr">
        <is>
          <t>GRUMS</t>
        </is>
      </c>
      <c r="I827" t="n">
        <v>2.3</v>
      </c>
      <c r="J827" t="n">
        <v>0</v>
      </c>
      <c r="K827" t="n">
        <v>0</v>
      </c>
      <c r="L827" t="n">
        <v>1</v>
      </c>
      <c r="M827" t="n">
        <v>0</v>
      </c>
      <c r="N827" t="n">
        <v>0</v>
      </c>
      <c r="O827" t="n">
        <v>0</v>
      </c>
      <c r="P827" t="n">
        <v>0</v>
      </c>
      <c r="Q827" t="n">
        <v>1</v>
      </c>
      <c r="R827" t="n">
        <v>0</v>
      </c>
      <c r="S827" t="n">
        <v>1</v>
      </c>
      <c r="T827" t="n">
        <v>1</v>
      </c>
      <c r="U827" t="n">
        <v>0</v>
      </c>
      <c r="V827" s="2" t="inlineStr">
        <is>
          <t>Skogsklocka</t>
        </is>
      </c>
      <c r="W827">
        <f>HYPERLINK("https://klasma.github.io/Logging_1764/artfynd/A 12296-2026 artfynd.xlsx", "A 12296-2026")</f>
        <v/>
      </c>
      <c r="X827">
        <f>HYPERLINK("https://klasma.github.io/Logging_1764/kartor/A 12296-2026 karta.png", "A 12296-2026")</f>
        <v/>
      </c>
      <c r="Y827">
        <f>HYPERLINK("https://klasma.github.io/Logging_1764/kartor_geotiff/A 12296-2026 georefererad karta.tif", "A 12296-2026")</f>
        <v/>
      </c>
      <c r="AA827">
        <f>HYPERLINK("https://klasma.github.io/Logging_1764/klagomål/A 12296-2026 FSC-klagomål.docx", "A 12296-2026")</f>
        <v/>
      </c>
      <c r="AB827">
        <f>HYPERLINK("https://klasma.github.io/Logging_1764/klagomålsmail/A 12296-2026 FSC-klagomål mail.docx", "A 12296-2026")</f>
        <v/>
      </c>
      <c r="AC827">
        <f>HYPERLINK("https://klasma.github.io/Logging_1764/tillsyn/A 12296-2026 tillsynsbegäran.docx", "A 12296-2026")</f>
        <v/>
      </c>
      <c r="AD827">
        <f>HYPERLINK("https://klasma.github.io/Logging_1764/tillsynsmail/A 12296-2026 tillsynsbegäran mail.docx", "A 12296-2026")</f>
        <v/>
      </c>
    </row>
    <row r="828" ht="15" customHeight="1">
      <c r="A828" t="inlineStr">
        <is>
          <t>A 12445-2026</t>
        </is>
      </c>
      <c r="B828" t="inlineStr">
        <is>
          <t>avverkningsanmälan</t>
        </is>
      </c>
      <c r="C828" t="inlineStr">
        <is>
          <t>Föryngringsavverkning</t>
        </is>
      </c>
      <c r="D828" s="1" t="n">
        <v>46090</v>
      </c>
      <c r="E828" s="1" t="n">
        <v>46307</v>
      </c>
      <c r="F828" t="inlineStr">
        <is>
          <t>VÄRMLANDS LÄN</t>
        </is>
      </c>
      <c r="G828" t="inlineStr">
        <is>
          <t>HAGFORS</t>
        </is>
      </c>
      <c r="I828" t="n">
        <v>3</v>
      </c>
      <c r="J828" t="n">
        <v>1</v>
      </c>
      <c r="K828" t="n">
        <v>0</v>
      </c>
      <c r="L828" t="n">
        <v>0</v>
      </c>
      <c r="M828" t="n">
        <v>0</v>
      </c>
      <c r="N828" t="n">
        <v>0</v>
      </c>
      <c r="O828" t="n">
        <v>0</v>
      </c>
      <c r="P828" t="n">
        <v>0</v>
      </c>
      <c r="Q828" t="n">
        <v>0</v>
      </c>
      <c r="R828" t="n">
        <v>0</v>
      </c>
      <c r="S828" t="n">
        <v>1</v>
      </c>
      <c r="T828" t="n">
        <v>1</v>
      </c>
      <c r="U828" t="n">
        <v>1</v>
      </c>
      <c r="V828" s="2" t="inlineStr">
        <is>
          <t>Tjäder</t>
        </is>
      </c>
      <c r="W828">
        <f>HYPERLINK("https://klasma.github.io/Logging_1783/artfynd/A 12445-2026 artfynd.xlsx", "A 12445-2026")</f>
        <v/>
      </c>
      <c r="X828">
        <f>HYPERLINK("https://klasma.github.io/Logging_1783/kartor/A 12445-2026 karta.png", "A 12445-2026")</f>
        <v/>
      </c>
      <c r="Y828">
        <f>HYPERLINK("https://klasma.github.io/Logging_1783/kartor_geotiff/A 12445-2026 georefererad karta.tif", "A 12445-2026")</f>
        <v/>
      </c>
      <c r="AA828">
        <f>HYPERLINK("https://klasma.github.io/Logging_1783/klagomål/A 12445-2026 FSC-klagomål.docx", "A 12445-2026")</f>
        <v/>
      </c>
      <c r="AB828">
        <f>HYPERLINK("https://klasma.github.io/Logging_1783/klagomålsmail/A 12445-2026 FSC-klagomål mail.docx", "A 12445-2026")</f>
        <v/>
      </c>
      <c r="AC828">
        <f>HYPERLINK("https://klasma.github.io/Logging_1783/tillsyn/A 12445-2026 tillsynsbegäran.docx", "A 12445-2026")</f>
        <v/>
      </c>
      <c r="AD828">
        <f>HYPERLINK("https://klasma.github.io/Logging_1783/tillsynsmail/A 12445-2026 tillsynsbegäran mail.docx", "A 12445-2026")</f>
        <v/>
      </c>
      <c r="AE828">
        <f>HYPERLINK("https://klasma.github.io/Logging_1783/fåglar/A 12445-2026 prioriterade fågelarter.docx", "A 12445-2026")</f>
        <v/>
      </c>
    </row>
    <row r="829" ht="15" customHeight="1">
      <c r="A829" t="inlineStr">
        <is>
          <t>A 13259-2026</t>
        </is>
      </c>
      <c r="B829" t="inlineStr">
        <is>
          <t>avverkningsanmälan</t>
        </is>
      </c>
      <c r="C829" t="inlineStr">
        <is>
          <t>Föryngringsavverkning</t>
        </is>
      </c>
      <c r="D829" s="1" t="n">
        <v>46093</v>
      </c>
      <c r="E829" s="1" t="n">
        <v>46307</v>
      </c>
      <c r="F829" t="inlineStr">
        <is>
          <t>VÄRMLANDS LÄN</t>
        </is>
      </c>
      <c r="G829" t="inlineStr">
        <is>
          <t>KARLSTAD</t>
        </is>
      </c>
      <c r="I829" t="n">
        <v>5.2</v>
      </c>
      <c r="J829" t="n">
        <v>1</v>
      </c>
      <c r="K829" t="n">
        <v>0</v>
      </c>
      <c r="L829" t="n">
        <v>0</v>
      </c>
      <c r="M829" t="n">
        <v>0</v>
      </c>
      <c r="N829" t="n">
        <v>0</v>
      </c>
      <c r="O829" t="n">
        <v>0</v>
      </c>
      <c r="P829" t="n">
        <v>0</v>
      </c>
      <c r="Q829" t="n">
        <v>0</v>
      </c>
      <c r="R829" t="n">
        <v>0</v>
      </c>
      <c r="S829" t="n">
        <v>1</v>
      </c>
      <c r="T829" t="n">
        <v>1</v>
      </c>
      <c r="U829" t="n">
        <v>0</v>
      </c>
      <c r="V829" s="2" t="inlineStr">
        <is>
          <t>Blåsippa</t>
        </is>
      </c>
      <c r="W829">
        <f>HYPERLINK("https://klasma.github.io/Logging_1780/artfynd/A 13259-2026 artfynd.xlsx", "A 13259-2026")</f>
        <v/>
      </c>
      <c r="X829">
        <f>HYPERLINK("https://klasma.github.io/Logging_1780/kartor/A 13259-2026 karta.png", "A 13259-2026")</f>
        <v/>
      </c>
      <c r="Y829">
        <f>HYPERLINK("https://klasma.github.io/Logging_1780/kartor_geotiff/A 13259-2026 georefererad karta.tif", "A 13259-2026")</f>
        <v/>
      </c>
      <c r="AA829">
        <f>HYPERLINK("https://klasma.github.io/Logging_1780/klagomål/A 13259-2026 FSC-klagomål.docx", "A 13259-2026")</f>
        <v/>
      </c>
      <c r="AB829">
        <f>HYPERLINK("https://klasma.github.io/Logging_1780/klagomålsmail/A 13259-2026 FSC-klagomål mail.docx", "A 13259-2026")</f>
        <v/>
      </c>
      <c r="AC829">
        <f>HYPERLINK("https://klasma.github.io/Logging_1780/tillsyn/A 13259-2026 tillsynsbegäran.docx", "A 13259-2026")</f>
        <v/>
      </c>
      <c r="AD829">
        <f>HYPERLINK("https://klasma.github.io/Logging_1780/tillsynsmail/A 13259-2026 tillsynsbegäran mail.docx", "A 13259-2026")</f>
        <v/>
      </c>
    </row>
    <row r="830" ht="15" customHeight="1">
      <c r="A830" t="inlineStr">
        <is>
          <t>A 13155-2026</t>
        </is>
      </c>
      <c r="B830" t="inlineStr">
        <is>
          <t>avverkningsanmälan</t>
        </is>
      </c>
      <c r="C830" t="inlineStr">
        <is>
          <t>Föryngringsavverkning</t>
        </is>
      </c>
      <c r="D830" s="1" t="n">
        <v>46093</v>
      </c>
      <c r="E830" s="1" t="n">
        <v>46307</v>
      </c>
      <c r="F830" t="inlineStr">
        <is>
          <t>VÄRMLANDS LÄN</t>
        </is>
      </c>
      <c r="G830" t="inlineStr">
        <is>
          <t>TORSBY</t>
        </is>
      </c>
      <c r="I830" t="n">
        <v>3</v>
      </c>
      <c r="J830" t="n">
        <v>0</v>
      </c>
      <c r="K830" t="n">
        <v>0</v>
      </c>
      <c r="L830" t="n">
        <v>1</v>
      </c>
      <c r="M830" t="n">
        <v>0</v>
      </c>
      <c r="N830" t="n">
        <v>0</v>
      </c>
      <c r="O830" t="n">
        <v>0</v>
      </c>
      <c r="P830" t="n">
        <v>0</v>
      </c>
      <c r="Q830" t="n">
        <v>1</v>
      </c>
      <c r="R830" t="n">
        <v>0</v>
      </c>
      <c r="S830" t="n">
        <v>1</v>
      </c>
      <c r="T830" t="n">
        <v>1</v>
      </c>
      <c r="U830" t="n">
        <v>0</v>
      </c>
      <c r="V830" s="2" t="inlineStr">
        <is>
          <t>Skogsklocka</t>
        </is>
      </c>
      <c r="W830">
        <f>HYPERLINK("https://klasma.github.io/Logging_1737/artfynd/A 13155-2026 artfynd.xlsx", "A 13155-2026")</f>
        <v/>
      </c>
      <c r="X830">
        <f>HYPERLINK("https://klasma.github.io/Logging_1737/kartor/A 13155-2026 karta.png", "A 13155-2026")</f>
        <v/>
      </c>
      <c r="Y830">
        <f>HYPERLINK("https://klasma.github.io/Logging_1737/kartor_geotiff/A 13155-2026 georefererad karta.tif", "A 13155-2026")</f>
        <v/>
      </c>
      <c r="AA830">
        <f>HYPERLINK("https://klasma.github.io/Logging_1737/klagomål/A 13155-2026 FSC-klagomål.docx", "A 13155-2026")</f>
        <v/>
      </c>
      <c r="AB830">
        <f>HYPERLINK("https://klasma.github.io/Logging_1737/klagomålsmail/A 13155-2026 FSC-klagomål mail.docx", "A 13155-2026")</f>
        <v/>
      </c>
      <c r="AC830">
        <f>HYPERLINK("https://klasma.github.io/Logging_1737/tillsyn/A 13155-2026 tillsynsbegäran.docx", "A 13155-2026")</f>
        <v/>
      </c>
      <c r="AD830">
        <f>HYPERLINK("https://klasma.github.io/Logging_1737/tillsynsmail/A 13155-2026 tillsynsbegäran mail.docx", "A 13155-2026")</f>
        <v/>
      </c>
    </row>
    <row r="831" ht="15" customHeight="1">
      <c r="A831" t="inlineStr">
        <is>
          <t>A 12929-2026</t>
        </is>
      </c>
      <c r="B831" t="inlineStr">
        <is>
          <t>avverkningsanmälan</t>
        </is>
      </c>
      <c r="C831" t="inlineStr">
        <is>
          <t>Föryngringsavverkning</t>
        </is>
      </c>
      <c r="D831" s="1" t="n">
        <v>46092</v>
      </c>
      <c r="E831" s="1" t="n">
        <v>46307</v>
      </c>
      <c r="F831" t="inlineStr">
        <is>
          <t>VÄRMLANDS LÄN</t>
        </is>
      </c>
      <c r="G831" t="inlineStr">
        <is>
          <t>EDA</t>
        </is>
      </c>
      <c r="I831" t="n">
        <v>0.7</v>
      </c>
      <c r="J831" t="n">
        <v>1</v>
      </c>
      <c r="K831" t="n">
        <v>0</v>
      </c>
      <c r="L831" t="n">
        <v>0</v>
      </c>
      <c r="M831" t="n">
        <v>0</v>
      </c>
      <c r="N831" t="n">
        <v>0</v>
      </c>
      <c r="O831" t="n">
        <v>0</v>
      </c>
      <c r="P831" t="n">
        <v>0</v>
      </c>
      <c r="Q831" t="n">
        <v>0</v>
      </c>
      <c r="R831" t="n">
        <v>0</v>
      </c>
      <c r="S831" t="n">
        <v>1</v>
      </c>
      <c r="T831" t="n">
        <v>1</v>
      </c>
      <c r="U831" t="n">
        <v>0</v>
      </c>
      <c r="V831" s="2" t="inlineStr">
        <is>
          <t>Blåsippa</t>
        </is>
      </c>
      <c r="W831">
        <f>HYPERLINK("https://klasma.github.io/Logging_1730/artfynd/A 12929-2026 artfynd.xlsx", "A 12929-2026")</f>
        <v/>
      </c>
      <c r="X831">
        <f>HYPERLINK("https://klasma.github.io/Logging_1730/kartor/A 12929-2026 karta.png", "A 12929-2026")</f>
        <v/>
      </c>
      <c r="Y831">
        <f>HYPERLINK("https://klasma.github.io/Logging_1730/kartor_geotiff/A 12929-2026 georefererad karta.tif", "A 12929-2026")</f>
        <v/>
      </c>
      <c r="AA831">
        <f>HYPERLINK("https://klasma.github.io/Logging_1730/klagomål/A 12929-2026 FSC-klagomål.docx", "A 12929-2026")</f>
        <v/>
      </c>
      <c r="AB831">
        <f>HYPERLINK("https://klasma.github.io/Logging_1730/klagomålsmail/A 12929-2026 FSC-klagomål mail.docx", "A 12929-2026")</f>
        <v/>
      </c>
      <c r="AC831">
        <f>HYPERLINK("https://klasma.github.io/Logging_1730/tillsyn/A 12929-2026 tillsynsbegäran.docx", "A 12929-2026")</f>
        <v/>
      </c>
      <c r="AD831">
        <f>HYPERLINK("https://klasma.github.io/Logging_1730/tillsynsmail/A 12929-2026 tillsynsbegäran mail.docx", "A 12929-2026")</f>
        <v/>
      </c>
    </row>
    <row r="832" ht="15" customHeight="1">
      <c r="A832" t="inlineStr">
        <is>
          <t>A 23366-2026</t>
        </is>
      </c>
      <c r="B832" t="inlineStr">
        <is>
          <t>avverkningsanmälan</t>
        </is>
      </c>
      <c r="C832" t="inlineStr">
        <is>
          <t>Föryngringsavverkning</t>
        </is>
      </c>
      <c r="D832" s="1" t="n">
        <v>46162</v>
      </c>
      <c r="E832" s="1" t="n">
        <v>46307</v>
      </c>
      <c r="F832" t="inlineStr">
        <is>
          <t>VÄRMLANDS LÄN</t>
        </is>
      </c>
      <c r="G832" t="inlineStr">
        <is>
          <t>TORSBY</t>
        </is>
      </c>
      <c r="H832" t="inlineStr">
        <is>
          <t>Övriga statliga verk och myndigheter</t>
        </is>
      </c>
      <c r="I832" t="n">
        <v>2.9</v>
      </c>
      <c r="J832" t="n">
        <v>0</v>
      </c>
      <c r="K832" t="n">
        <v>0</v>
      </c>
      <c r="L832" t="n">
        <v>0</v>
      </c>
      <c r="M832" t="n">
        <v>1</v>
      </c>
      <c r="N832" t="n">
        <v>0</v>
      </c>
      <c r="O832" t="n">
        <v>0</v>
      </c>
      <c r="P832" t="n">
        <v>0</v>
      </c>
      <c r="Q832" t="n">
        <v>1</v>
      </c>
      <c r="R832" t="n">
        <v>1</v>
      </c>
      <c r="S832" t="n">
        <v>1</v>
      </c>
      <c r="T832" t="n">
        <v>2</v>
      </c>
      <c r="U832" t="n">
        <v>0</v>
      </c>
      <c r="V832" s="2" t="inlineStr">
        <is>
          <t>Garnlav</t>
        </is>
      </c>
      <c r="W832">
        <f>HYPERLINK("https://klasma.github.io/Logging_1737/artfynd/A 23366-2026 artfynd.xlsx", "A 23366-2026")</f>
        <v/>
      </c>
      <c r="X832">
        <f>HYPERLINK("https://klasma.github.io/Logging_1737/kartor/A 23366-2026 karta.png", "A 23366-2026")</f>
        <v/>
      </c>
      <c r="Y832">
        <f>HYPERLINK("https://klasma.github.io/Logging_1737/kartor_geotiff/A 23366-2026 georefererad karta.tif", "A 23366-2026")</f>
        <v/>
      </c>
      <c r="AA832">
        <f>HYPERLINK("https://klasma.github.io/Logging_1737/klagomål/A 23366-2026 FSC-klagomål.docx", "A 23366-2026")</f>
        <v/>
      </c>
      <c r="AB832">
        <f>HYPERLINK("https://klasma.github.io/Logging_1737/klagomålsmail/A 23366-2026 FSC-klagomål mail.docx", "A 23366-2026")</f>
        <v/>
      </c>
      <c r="AC832">
        <f>HYPERLINK("https://klasma.github.io/Logging_1737/tillsyn/A 23366-2026 tillsynsbegäran.docx", "A 23366-2026")</f>
        <v/>
      </c>
      <c r="AD832">
        <f>HYPERLINK("https://klasma.github.io/Logging_1737/tillsynsmail/A 23366-2026 tillsynsbegäran mail.docx", "A 23366-2026")</f>
        <v/>
      </c>
    </row>
    <row r="833" ht="15" customHeight="1">
      <c r="A833" t="inlineStr">
        <is>
          <t>A 24003-2026</t>
        </is>
      </c>
      <c r="B833" t="inlineStr">
        <is>
          <t>avverkningsanmälan</t>
        </is>
      </c>
      <c r="C833" t="inlineStr">
        <is>
          <t>Föryngringsavverkning</t>
        </is>
      </c>
      <c r="D833" s="1" t="n">
        <v>46167</v>
      </c>
      <c r="E833" s="1" t="n">
        <v>46307</v>
      </c>
      <c r="F833" t="inlineStr">
        <is>
          <t>VÄRMLANDS LÄN</t>
        </is>
      </c>
      <c r="G833" t="inlineStr">
        <is>
          <t>ÅRJÄNG</t>
        </is>
      </c>
      <c r="H833" t="inlineStr">
        <is>
          <t>Kyrkan</t>
        </is>
      </c>
      <c r="I833" t="n">
        <v>14.6</v>
      </c>
      <c r="J833" t="n">
        <v>1</v>
      </c>
      <c r="K833" t="n">
        <v>0</v>
      </c>
      <c r="L833" t="n">
        <v>0</v>
      </c>
      <c r="M833" t="n">
        <v>0</v>
      </c>
      <c r="N833" t="n">
        <v>0</v>
      </c>
      <c r="O833" t="n">
        <v>0</v>
      </c>
      <c r="P833" t="n">
        <v>0</v>
      </c>
      <c r="Q833" t="n">
        <v>0</v>
      </c>
      <c r="R833" t="n">
        <v>0</v>
      </c>
      <c r="S833" t="n">
        <v>1</v>
      </c>
      <c r="T833" t="n">
        <v>1</v>
      </c>
      <c r="U833" t="n">
        <v>0</v>
      </c>
      <c r="V833" s="2" t="inlineStr">
        <is>
          <t>Nattviol</t>
        </is>
      </c>
      <c r="W833">
        <f>HYPERLINK("https://klasma.github.io/Logging_1765/artfynd/A 24003-2026 artfynd.xlsx", "A 24003-2026")</f>
        <v/>
      </c>
      <c r="X833">
        <f>HYPERLINK("https://klasma.github.io/Logging_1765/kartor/A 24003-2026 karta.png", "A 24003-2026")</f>
        <v/>
      </c>
      <c r="Y833">
        <f>HYPERLINK("https://klasma.github.io/Logging_1765/kartor_geotiff/A 24003-2026 georefererad karta.tif", "A 24003-2026")</f>
        <v/>
      </c>
      <c r="AA833">
        <f>HYPERLINK("https://klasma.github.io/Logging_1765/klagomål/A 24003-2026 FSC-klagomål.docx", "A 24003-2026")</f>
        <v/>
      </c>
      <c r="AB833">
        <f>HYPERLINK("https://klasma.github.io/Logging_1765/klagomålsmail/A 24003-2026 FSC-klagomål mail.docx", "A 24003-2026")</f>
        <v/>
      </c>
      <c r="AC833">
        <f>HYPERLINK("https://klasma.github.io/Logging_1765/tillsyn/A 24003-2026 tillsynsbegäran.docx", "A 24003-2026")</f>
        <v/>
      </c>
      <c r="AD833">
        <f>HYPERLINK("https://klasma.github.io/Logging_1765/tillsynsmail/A 24003-2026 tillsynsbegäran mail.docx", "A 24003-2026")</f>
        <v/>
      </c>
    </row>
    <row r="834" ht="15" customHeight="1">
      <c r="A834" t="inlineStr">
        <is>
          <t>A 42455-2024</t>
        </is>
      </c>
      <c r="B834" t="inlineStr">
        <is>
          <t>avverkningsanmälan</t>
        </is>
      </c>
      <c r="C834" t="inlineStr">
        <is>
          <t>Föryngringsavverkning</t>
        </is>
      </c>
      <c r="D834" s="1" t="n">
        <v>45565</v>
      </c>
      <c r="E834" s="1" t="n">
        <v>46307</v>
      </c>
      <c r="F834" t="inlineStr">
        <is>
          <t>VÄRMLANDS LÄN</t>
        </is>
      </c>
      <c r="G834" t="inlineStr">
        <is>
          <t>ÅRJÄNG</t>
        </is>
      </c>
      <c r="I834" t="n">
        <v>0.7</v>
      </c>
      <c r="J834" t="n">
        <v>0</v>
      </c>
      <c r="K834" t="n">
        <v>0</v>
      </c>
      <c r="L834" t="n">
        <v>0</v>
      </c>
      <c r="M834" t="n">
        <v>1</v>
      </c>
      <c r="N834" t="n">
        <v>0</v>
      </c>
      <c r="O834" t="n">
        <v>0</v>
      </c>
      <c r="P834" t="n">
        <v>0</v>
      </c>
      <c r="Q834" t="n">
        <v>1</v>
      </c>
      <c r="R834" t="n">
        <v>1</v>
      </c>
      <c r="S834" t="n">
        <v>1</v>
      </c>
      <c r="T834" t="n">
        <v>1</v>
      </c>
      <c r="U834" t="n">
        <v>0</v>
      </c>
      <c r="V834" s="2" t="inlineStr">
        <is>
          <t>Rodnande lutvaxing</t>
        </is>
      </c>
      <c r="W834">
        <f>HYPERLINK("https://klasma.github.io/Logging_1765/artfynd/A 42455-2024 artfynd.xlsx", "A 42455-2024")</f>
        <v/>
      </c>
      <c r="X834">
        <f>HYPERLINK("https://klasma.github.io/Logging_1765/kartor/A 42455-2024 karta.png", "A 42455-2024")</f>
        <v/>
      </c>
      <c r="Y834">
        <f>HYPERLINK("https://klasma.github.io/Logging_1765/kartor_geotiff/A 42455-2024 georefererad karta.tif", "A 42455-2024")</f>
        <v/>
      </c>
      <c r="AA834">
        <f>HYPERLINK("https://klasma.github.io/Logging_1765/klagomål/A 42455-2024 FSC-klagomål.docx", "A 42455-2024")</f>
        <v/>
      </c>
      <c r="AB834">
        <f>HYPERLINK("https://klasma.github.io/Logging_1765/klagomålsmail/A 42455-2024 FSC-klagomål mail.docx", "A 42455-2024")</f>
        <v/>
      </c>
      <c r="AC834">
        <f>HYPERLINK("https://klasma.github.io/Logging_1765/tillsyn/A 42455-2024 tillsynsbegäran.docx", "A 42455-2024")</f>
        <v/>
      </c>
      <c r="AD834">
        <f>HYPERLINK("https://klasma.github.io/Logging_1765/tillsynsmail/A 42455-2024 tillsynsbegäran mail.docx", "A 42455-2024")</f>
        <v/>
      </c>
    </row>
    <row r="835" ht="15" customHeight="1">
      <c r="A835" t="inlineStr">
        <is>
          <t>A 24380-2026</t>
        </is>
      </c>
      <c r="B835" t="inlineStr">
        <is>
          <t>avverkningsanmälan</t>
        </is>
      </c>
      <c r="C835" t="inlineStr">
        <is>
          <t>Föryngringsavverkning</t>
        </is>
      </c>
      <c r="D835" s="1" t="n">
        <v>46169</v>
      </c>
      <c r="E835" s="1" t="n">
        <v>46307</v>
      </c>
      <c r="F835" t="inlineStr">
        <is>
          <t>VÄRMLANDS LÄN</t>
        </is>
      </c>
      <c r="G835" t="inlineStr">
        <is>
          <t>TORSBY</t>
        </is>
      </c>
      <c r="I835" t="n">
        <v>1.4</v>
      </c>
      <c r="J835" t="n">
        <v>0</v>
      </c>
      <c r="K835" t="n">
        <v>0</v>
      </c>
      <c r="L835" t="n">
        <v>0</v>
      </c>
      <c r="M835" t="n">
        <v>1</v>
      </c>
      <c r="N835" t="n">
        <v>0</v>
      </c>
      <c r="O835" t="n">
        <v>0</v>
      </c>
      <c r="P835" t="n">
        <v>0</v>
      </c>
      <c r="Q835" t="n">
        <v>1</v>
      </c>
      <c r="R835" t="n">
        <v>1</v>
      </c>
      <c r="S835" t="n">
        <v>1</v>
      </c>
      <c r="T835" t="n">
        <v>2</v>
      </c>
      <c r="U835" t="n">
        <v>0</v>
      </c>
      <c r="V835" s="2" t="inlineStr">
        <is>
          <t>Garnlav</t>
        </is>
      </c>
      <c r="W835">
        <f>HYPERLINK("https://klasma.github.io/Logging_1737/artfynd/A 24380-2026 artfynd.xlsx", "A 24380-2026")</f>
        <v/>
      </c>
      <c r="X835">
        <f>HYPERLINK("https://klasma.github.io/Logging_1737/kartor/A 24380-2026 karta.png", "A 24380-2026")</f>
        <v/>
      </c>
      <c r="Y835">
        <f>HYPERLINK("https://klasma.github.io/Logging_1737/kartor_geotiff/A 24380-2026 georefererad karta.tif", "A 24380-2026")</f>
        <v/>
      </c>
      <c r="AA835">
        <f>HYPERLINK("https://klasma.github.io/Logging_1737/klagomål/A 24380-2026 FSC-klagomål.docx", "A 24380-2026")</f>
        <v/>
      </c>
      <c r="AB835">
        <f>HYPERLINK("https://klasma.github.io/Logging_1737/klagomålsmail/A 24380-2026 FSC-klagomål mail.docx", "A 24380-2026")</f>
        <v/>
      </c>
      <c r="AC835">
        <f>HYPERLINK("https://klasma.github.io/Logging_1737/tillsyn/A 24380-2026 tillsynsbegäran.docx", "A 24380-2026")</f>
        <v/>
      </c>
      <c r="AD835">
        <f>HYPERLINK("https://klasma.github.io/Logging_1737/tillsynsmail/A 24380-2026 tillsynsbegäran mail.docx", "A 24380-2026")</f>
        <v/>
      </c>
    </row>
    <row r="836" ht="15" customHeight="1">
      <c r="A836" t="inlineStr">
        <is>
          <t>A 24659-2026</t>
        </is>
      </c>
      <c r="B836" t="inlineStr">
        <is>
          <t>avverkningsanmälan</t>
        </is>
      </c>
      <c r="C836" t="inlineStr">
        <is>
          <t>Föryngringsavverkning</t>
        </is>
      </c>
      <c r="D836" s="1" t="n">
        <v>46171</v>
      </c>
      <c r="E836" s="1" t="n">
        <v>46307</v>
      </c>
      <c r="F836" t="inlineStr">
        <is>
          <t>VÄRMLANDS LÄN</t>
        </is>
      </c>
      <c r="G836" t="inlineStr">
        <is>
          <t>HAGFORS</t>
        </is>
      </c>
      <c r="H836" t="inlineStr">
        <is>
          <t>Bergvik skog väst AB</t>
        </is>
      </c>
      <c r="I836" t="n">
        <v>82.3</v>
      </c>
      <c r="J836" t="n">
        <v>0</v>
      </c>
      <c r="K836" t="n">
        <v>0</v>
      </c>
      <c r="L836" t="n">
        <v>0</v>
      </c>
      <c r="M836" t="n">
        <v>1</v>
      </c>
      <c r="N836" t="n">
        <v>0</v>
      </c>
      <c r="O836" t="n">
        <v>0</v>
      </c>
      <c r="P836" t="n">
        <v>0</v>
      </c>
      <c r="Q836" t="n">
        <v>1</v>
      </c>
      <c r="R836" t="n">
        <v>1</v>
      </c>
      <c r="S836" t="n">
        <v>1</v>
      </c>
      <c r="T836" t="n">
        <v>2</v>
      </c>
      <c r="U836" t="n">
        <v>0</v>
      </c>
      <c r="V836" s="2" t="inlineStr">
        <is>
          <t>Garnlav</t>
        </is>
      </c>
      <c r="W836">
        <f>HYPERLINK("https://klasma.github.io/Logging_1783/artfynd/A 24659-2026 artfynd.xlsx", "A 24659-2026")</f>
        <v/>
      </c>
      <c r="X836">
        <f>HYPERLINK("https://klasma.github.io/Logging_1783/kartor/A 24659-2026 karta.png", "A 24659-2026")</f>
        <v/>
      </c>
      <c r="Y836">
        <f>HYPERLINK("https://klasma.github.io/Logging_1783/kartor_geotiff/A 24659-2026 georefererad karta.tif", "A 24659-2026")</f>
        <v/>
      </c>
      <c r="AA836">
        <f>HYPERLINK("https://klasma.github.io/Logging_1783/klagomål/A 24659-2026 FSC-klagomål.docx", "A 24659-2026")</f>
        <v/>
      </c>
      <c r="AB836">
        <f>HYPERLINK("https://klasma.github.io/Logging_1783/klagomålsmail/A 24659-2026 FSC-klagomål mail.docx", "A 24659-2026")</f>
        <v/>
      </c>
      <c r="AC836">
        <f>HYPERLINK("https://klasma.github.io/Logging_1783/tillsyn/A 24659-2026 tillsynsbegäran.docx", "A 24659-2026")</f>
        <v/>
      </c>
      <c r="AD836">
        <f>HYPERLINK("https://klasma.github.io/Logging_1783/tillsynsmail/A 24659-2026 tillsynsbegäran mail.docx", "A 24659-2026")</f>
        <v/>
      </c>
    </row>
    <row r="837" ht="15" customHeight="1">
      <c r="A837" t="inlineStr">
        <is>
          <t>A 24716-2026</t>
        </is>
      </c>
      <c r="B837" t="inlineStr">
        <is>
          <t>avverkningsanmälan</t>
        </is>
      </c>
      <c r="C837" t="inlineStr">
        <is>
          <t>Föryngringsavverkning</t>
        </is>
      </c>
      <c r="D837" s="1" t="n">
        <v>46171</v>
      </c>
      <c r="E837" s="1" t="n">
        <v>46307</v>
      </c>
      <c r="F837" t="inlineStr">
        <is>
          <t>VÄRMLANDS LÄN</t>
        </is>
      </c>
      <c r="G837" t="inlineStr">
        <is>
          <t>HAGFORS</t>
        </is>
      </c>
      <c r="H837" t="inlineStr">
        <is>
          <t>Bergvik skog väst AB</t>
        </is>
      </c>
      <c r="I837" t="n">
        <v>82.3</v>
      </c>
      <c r="J837" t="n">
        <v>0</v>
      </c>
      <c r="K837" t="n">
        <v>0</v>
      </c>
      <c r="L837" t="n">
        <v>0</v>
      </c>
      <c r="M837" t="n">
        <v>1</v>
      </c>
      <c r="N837" t="n">
        <v>0</v>
      </c>
      <c r="O837" t="n">
        <v>0</v>
      </c>
      <c r="P837" t="n">
        <v>0</v>
      </c>
      <c r="Q837" t="n">
        <v>1</v>
      </c>
      <c r="R837" t="n">
        <v>1</v>
      </c>
      <c r="S837" t="n">
        <v>1</v>
      </c>
      <c r="T837" t="n">
        <v>2</v>
      </c>
      <c r="U837" t="n">
        <v>0</v>
      </c>
      <c r="V837" s="2" t="inlineStr">
        <is>
          <t>Garnlav</t>
        </is>
      </c>
      <c r="W837">
        <f>HYPERLINK("https://klasma.github.io/Logging_1783/artfynd/A 24716-2026 artfynd.xlsx", "A 24716-2026")</f>
        <v/>
      </c>
      <c r="X837">
        <f>HYPERLINK("https://klasma.github.io/Logging_1783/kartor/A 24716-2026 karta.png", "A 24716-2026")</f>
        <v/>
      </c>
      <c r="Y837">
        <f>HYPERLINK("https://klasma.github.io/Logging_1783/kartor_geotiff/A 24716-2026 georefererad karta.tif", "A 24716-2026")</f>
        <v/>
      </c>
      <c r="AA837">
        <f>HYPERLINK("https://klasma.github.io/Logging_1783/klagomål/A 24716-2026 FSC-klagomål.docx", "A 24716-2026")</f>
        <v/>
      </c>
      <c r="AB837">
        <f>HYPERLINK("https://klasma.github.io/Logging_1783/klagomålsmail/A 24716-2026 FSC-klagomål mail.docx", "A 24716-2026")</f>
        <v/>
      </c>
      <c r="AC837">
        <f>HYPERLINK("https://klasma.github.io/Logging_1783/tillsyn/A 24716-2026 tillsynsbegäran.docx", "A 24716-2026")</f>
        <v/>
      </c>
      <c r="AD837">
        <f>HYPERLINK("https://klasma.github.io/Logging_1783/tillsynsmail/A 24716-2026 tillsynsbegäran mail.docx", "A 24716-2026")</f>
        <v/>
      </c>
    </row>
    <row r="838" ht="15" customHeight="1">
      <c r="A838" t="inlineStr">
        <is>
          <t>A 24927-2026</t>
        </is>
      </c>
      <c r="B838" t="inlineStr">
        <is>
          <t>avverkningsanmälan</t>
        </is>
      </c>
      <c r="C838" t="inlineStr">
        <is>
          <t>Föryngringsavverkning</t>
        </is>
      </c>
      <c r="D838" s="1" t="n">
        <v>46174</v>
      </c>
      <c r="E838" s="1" t="n">
        <v>46307</v>
      </c>
      <c r="F838" t="inlineStr">
        <is>
          <t>VÄRMLANDS LÄN</t>
        </is>
      </c>
      <c r="G838" t="inlineStr">
        <is>
          <t>TORSBY</t>
        </is>
      </c>
      <c r="H838" t="inlineStr">
        <is>
          <t>Bergvik skog väst AB</t>
        </is>
      </c>
      <c r="I838" t="n">
        <v>33.1</v>
      </c>
      <c r="J838" t="n">
        <v>0</v>
      </c>
      <c r="K838" t="n">
        <v>0</v>
      </c>
      <c r="L838" t="n">
        <v>0</v>
      </c>
      <c r="M838" t="n">
        <v>1</v>
      </c>
      <c r="N838" t="n">
        <v>0</v>
      </c>
      <c r="O838" t="n">
        <v>0</v>
      </c>
      <c r="P838" t="n">
        <v>0</v>
      </c>
      <c r="Q838" t="n">
        <v>1</v>
      </c>
      <c r="R838" t="n">
        <v>1</v>
      </c>
      <c r="S838" t="n">
        <v>1</v>
      </c>
      <c r="T838" t="n">
        <v>1</v>
      </c>
      <c r="U838" t="n">
        <v>0</v>
      </c>
      <c r="V838" s="2" t="inlineStr">
        <is>
          <t>Garnlav</t>
        </is>
      </c>
      <c r="W838">
        <f>HYPERLINK("https://klasma.github.io/Logging_1737/artfynd/A 24927-2026 artfynd.xlsx", "A 24927-2026")</f>
        <v/>
      </c>
      <c r="X838">
        <f>HYPERLINK("https://klasma.github.io/Logging_1737/kartor/A 24927-2026 karta.png", "A 24927-2026")</f>
        <v/>
      </c>
      <c r="Y838">
        <f>HYPERLINK("https://klasma.github.io/Logging_1737/kartor_geotiff/A 24927-2026 georefererad karta.tif", "A 24927-2026")</f>
        <v/>
      </c>
      <c r="AA838">
        <f>HYPERLINK("https://klasma.github.io/Logging_1737/klagomål/A 24927-2026 FSC-klagomål.docx", "A 24927-2026")</f>
        <v/>
      </c>
      <c r="AB838">
        <f>HYPERLINK("https://klasma.github.io/Logging_1737/klagomålsmail/A 24927-2026 FSC-klagomål mail.docx", "A 24927-2026")</f>
        <v/>
      </c>
      <c r="AC838">
        <f>HYPERLINK("https://klasma.github.io/Logging_1737/tillsyn/A 24927-2026 tillsynsbegäran.docx", "A 24927-2026")</f>
        <v/>
      </c>
      <c r="AD838">
        <f>HYPERLINK("https://klasma.github.io/Logging_1737/tillsynsmail/A 24927-2026 tillsynsbegäran mail.docx", "A 24927-2026")</f>
        <v/>
      </c>
    </row>
    <row r="839" ht="15" customHeight="1">
      <c r="A839" t="inlineStr">
        <is>
          <t>A 24842-2026</t>
        </is>
      </c>
      <c r="B839" t="inlineStr">
        <is>
          <t>avverkningsanmälan</t>
        </is>
      </c>
      <c r="C839" t="inlineStr">
        <is>
          <t>Föryngringsavverkning</t>
        </is>
      </c>
      <c r="D839" s="1" t="n">
        <v>46174</v>
      </c>
      <c r="E839" s="1" t="n">
        <v>46307</v>
      </c>
      <c r="F839" t="inlineStr">
        <is>
          <t>VÄRMLANDS LÄN</t>
        </is>
      </c>
      <c r="G839" t="inlineStr">
        <is>
          <t>ÅRJÄNG</t>
        </is>
      </c>
      <c r="I839" t="n">
        <v>2.2</v>
      </c>
      <c r="J839" t="n">
        <v>1</v>
      </c>
      <c r="K839" t="n">
        <v>0</v>
      </c>
      <c r="L839" t="n">
        <v>0</v>
      </c>
      <c r="M839" t="n">
        <v>0</v>
      </c>
      <c r="N839" t="n">
        <v>0</v>
      </c>
      <c r="O839" t="n">
        <v>0</v>
      </c>
      <c r="P839" t="n">
        <v>0</v>
      </c>
      <c r="Q839" t="n">
        <v>0</v>
      </c>
      <c r="R839" t="n">
        <v>0</v>
      </c>
      <c r="S839" t="n">
        <v>1</v>
      </c>
      <c r="T839" t="n">
        <v>1</v>
      </c>
      <c r="U839" t="n">
        <v>0</v>
      </c>
      <c r="V839" s="2" t="inlineStr">
        <is>
          <t>Grönvit nattviol</t>
        </is>
      </c>
      <c r="W839">
        <f>HYPERLINK("https://klasma.github.io/Logging_1765/artfynd/A 24842-2026 artfynd.xlsx", "A 24842-2026")</f>
        <v/>
      </c>
      <c r="X839">
        <f>HYPERLINK("https://klasma.github.io/Logging_1765/kartor/A 24842-2026 karta.png", "A 24842-2026")</f>
        <v/>
      </c>
      <c r="Y839">
        <f>HYPERLINK("https://klasma.github.io/Logging_1765/kartor_geotiff/A 24842-2026 georefererad karta.tif", "A 24842-2026")</f>
        <v/>
      </c>
      <c r="AA839">
        <f>HYPERLINK("https://klasma.github.io/Logging_1765/klagomål/A 24842-2026 FSC-klagomål.docx", "A 24842-2026")</f>
        <v/>
      </c>
      <c r="AB839">
        <f>HYPERLINK("https://klasma.github.io/Logging_1765/klagomålsmail/A 24842-2026 FSC-klagomål mail.docx", "A 24842-2026")</f>
        <v/>
      </c>
      <c r="AC839">
        <f>HYPERLINK("https://klasma.github.io/Logging_1765/tillsyn/A 24842-2026 tillsynsbegäran.docx", "A 24842-2026")</f>
        <v/>
      </c>
      <c r="AD839">
        <f>HYPERLINK("https://klasma.github.io/Logging_1765/tillsynsmail/A 24842-2026 tillsynsbegäran mail.docx", "A 24842-2026")</f>
        <v/>
      </c>
    </row>
    <row r="840" ht="15" customHeight="1">
      <c r="A840" t="inlineStr">
        <is>
          <t>A 24898-2026</t>
        </is>
      </c>
      <c r="B840" t="inlineStr">
        <is>
          <t>avverkningsanmälan</t>
        </is>
      </c>
      <c r="C840" t="inlineStr">
        <is>
          <t>Föryngringsavverkning</t>
        </is>
      </c>
      <c r="D840" s="1" t="n">
        <v>46174</v>
      </c>
      <c r="E840" s="1" t="n">
        <v>46307</v>
      </c>
      <c r="F840" t="inlineStr">
        <is>
          <t>VÄRMLANDS LÄN</t>
        </is>
      </c>
      <c r="G840" t="inlineStr">
        <is>
          <t>TORSBY</t>
        </is>
      </c>
      <c r="H840" t="inlineStr">
        <is>
          <t>Bergvik skog väst AB</t>
        </is>
      </c>
      <c r="I840" t="n">
        <v>12.3</v>
      </c>
      <c r="J840" t="n">
        <v>1</v>
      </c>
      <c r="K840" t="n">
        <v>0</v>
      </c>
      <c r="L840" t="n">
        <v>1</v>
      </c>
      <c r="M840" t="n">
        <v>0</v>
      </c>
      <c r="N840" t="n">
        <v>0</v>
      </c>
      <c r="O840" t="n">
        <v>0</v>
      </c>
      <c r="P840" t="n">
        <v>0</v>
      </c>
      <c r="Q840" t="n">
        <v>1</v>
      </c>
      <c r="R840" t="n">
        <v>0</v>
      </c>
      <c r="S840" t="n">
        <v>1</v>
      </c>
      <c r="T840" t="n">
        <v>1</v>
      </c>
      <c r="U840" t="n">
        <v>0</v>
      </c>
      <c r="V840" s="2" t="inlineStr">
        <is>
          <t>Nordfladdermus</t>
        </is>
      </c>
      <c r="W840">
        <f>HYPERLINK("https://klasma.github.io/Logging_1737/artfynd/A 24898-2026 artfynd.xlsx", "A 24898-2026")</f>
        <v/>
      </c>
      <c r="X840">
        <f>HYPERLINK("https://klasma.github.io/Logging_1737/kartor/A 24898-2026 karta.png", "A 24898-2026")</f>
        <v/>
      </c>
      <c r="Y840">
        <f>HYPERLINK("https://klasma.github.io/Logging_1737/kartor_geotiff/A 24898-2026 georefererad karta.tif", "A 24898-2026")</f>
        <v/>
      </c>
      <c r="AA840">
        <f>HYPERLINK("https://klasma.github.io/Logging_1737/klagomål/A 24898-2026 FSC-klagomål.docx", "A 24898-2026")</f>
        <v/>
      </c>
      <c r="AB840">
        <f>HYPERLINK("https://klasma.github.io/Logging_1737/klagomålsmail/A 24898-2026 FSC-klagomål mail.docx", "A 24898-2026")</f>
        <v/>
      </c>
      <c r="AC840">
        <f>HYPERLINK("https://klasma.github.io/Logging_1737/tillsyn/A 24898-2026 tillsynsbegäran.docx", "A 24898-2026")</f>
        <v/>
      </c>
      <c r="AD840">
        <f>HYPERLINK("https://klasma.github.io/Logging_1737/tillsynsmail/A 24898-2026 tillsynsbegäran mail.docx", "A 24898-2026")</f>
        <v/>
      </c>
    </row>
    <row r="841" ht="15" customHeight="1">
      <c r="A841" t="inlineStr">
        <is>
          <t>A 25460-2026</t>
        </is>
      </c>
      <c r="B841" t="inlineStr">
        <is>
          <t>avverkningsanmälan</t>
        </is>
      </c>
      <c r="C841" t="inlineStr">
        <is>
          <t>Föryngringsavverkning</t>
        </is>
      </c>
      <c r="D841" s="1" t="n">
        <v>46177</v>
      </c>
      <c r="E841" s="1" t="n">
        <v>46307</v>
      </c>
      <c r="F841" t="inlineStr">
        <is>
          <t>VÄRMLANDS LÄN</t>
        </is>
      </c>
      <c r="G841" t="inlineStr">
        <is>
          <t>TORSBY</t>
        </is>
      </c>
      <c r="H841" t="inlineStr">
        <is>
          <t>Bergvik skog väst AB</t>
        </is>
      </c>
      <c r="I841" t="n">
        <v>2.9</v>
      </c>
      <c r="J841" t="n">
        <v>1</v>
      </c>
      <c r="K841" t="n">
        <v>0</v>
      </c>
      <c r="L841" t="n">
        <v>0</v>
      </c>
      <c r="M841" t="n">
        <v>0</v>
      </c>
      <c r="N841" t="n">
        <v>0</v>
      </c>
      <c r="O841" t="n">
        <v>0</v>
      </c>
      <c r="P841" t="n">
        <v>0</v>
      </c>
      <c r="Q841" t="n">
        <v>0</v>
      </c>
      <c r="R841" t="n">
        <v>0</v>
      </c>
      <c r="S841" t="n">
        <v>1</v>
      </c>
      <c r="T841" t="n">
        <v>1</v>
      </c>
      <c r="U841" t="n">
        <v>0</v>
      </c>
      <c r="V841" s="2" t="inlineStr">
        <is>
          <t>Utter</t>
        </is>
      </c>
      <c r="W841">
        <f>HYPERLINK("https://klasma.github.io/Logging_1737/artfynd/A 25460-2026 artfynd.xlsx", "A 25460-2026")</f>
        <v/>
      </c>
      <c r="X841">
        <f>HYPERLINK("https://klasma.github.io/Logging_1737/kartor/A 25460-2026 karta.png", "A 25460-2026")</f>
        <v/>
      </c>
      <c r="Y841">
        <f>HYPERLINK("https://klasma.github.io/Logging_1737/kartor_geotiff/A 25460-2026 georefererad karta.tif", "A 25460-2026")</f>
        <v/>
      </c>
      <c r="AA841">
        <f>HYPERLINK("https://klasma.github.io/Logging_1737/klagomål/A 25460-2026 FSC-klagomål.docx", "A 25460-2026")</f>
        <v/>
      </c>
      <c r="AB841">
        <f>HYPERLINK("https://klasma.github.io/Logging_1737/klagomålsmail/A 25460-2026 FSC-klagomål mail.docx", "A 25460-2026")</f>
        <v/>
      </c>
      <c r="AC841">
        <f>HYPERLINK("https://klasma.github.io/Logging_1737/tillsyn/A 25460-2026 tillsynsbegäran.docx", "A 25460-2026")</f>
        <v/>
      </c>
      <c r="AD841">
        <f>HYPERLINK("https://klasma.github.io/Logging_1737/tillsynsmail/A 25460-2026 tillsynsbegäran mail.docx", "A 25460-2026")</f>
        <v/>
      </c>
    </row>
    <row r="842" ht="15" customHeight="1">
      <c r="A842" t="inlineStr">
        <is>
          <t>A 25710-2026</t>
        </is>
      </c>
      <c r="B842" t="inlineStr">
        <is>
          <t>avverkningsanmälan</t>
        </is>
      </c>
      <c r="C842" t="inlineStr">
        <is>
          <t>Föryngringsavverkning</t>
        </is>
      </c>
      <c r="D842" s="1" t="n">
        <v>46178</v>
      </c>
      <c r="E842" s="1" t="n">
        <v>46307</v>
      </c>
      <c r="F842" t="inlineStr">
        <is>
          <t>VÄRMLANDS LÄN</t>
        </is>
      </c>
      <c r="G842" t="inlineStr">
        <is>
          <t>TORSBY</t>
        </is>
      </c>
      <c r="H842" t="inlineStr">
        <is>
          <t>Bergvik skog väst AB</t>
        </is>
      </c>
      <c r="I842" t="n">
        <v>19.7</v>
      </c>
      <c r="J842" t="n">
        <v>1</v>
      </c>
      <c r="K842" t="n">
        <v>0</v>
      </c>
      <c r="L842" t="n">
        <v>0</v>
      </c>
      <c r="M842" t="n">
        <v>0</v>
      </c>
      <c r="N842" t="n">
        <v>0</v>
      </c>
      <c r="O842" t="n">
        <v>0</v>
      </c>
      <c r="P842" t="n">
        <v>0</v>
      </c>
      <c r="Q842" t="n">
        <v>0</v>
      </c>
      <c r="R842" t="n">
        <v>0</v>
      </c>
      <c r="S842" t="n">
        <v>1</v>
      </c>
      <c r="T842" t="n">
        <v>1</v>
      </c>
      <c r="U842" t="n">
        <v>0</v>
      </c>
      <c r="V842" s="2" t="inlineStr">
        <is>
          <t>Kungsfågel</t>
        </is>
      </c>
      <c r="W842">
        <f>HYPERLINK("https://klasma.github.io/Logging_1737/artfynd/A 25710-2026 artfynd.xlsx", "A 25710-2026")</f>
        <v/>
      </c>
      <c r="X842">
        <f>HYPERLINK("https://klasma.github.io/Logging_1737/kartor/A 25710-2026 karta.png", "A 25710-2026")</f>
        <v/>
      </c>
      <c r="Y842">
        <f>HYPERLINK("https://klasma.github.io/Logging_1737/kartor_geotiff/A 25710-2026 georefererad karta.tif", "A 25710-2026")</f>
        <v/>
      </c>
      <c r="AA842">
        <f>HYPERLINK("https://klasma.github.io/Logging_1737/klagomål/A 25710-2026 FSC-klagomål.docx", "A 25710-2026")</f>
        <v/>
      </c>
      <c r="AB842">
        <f>HYPERLINK("https://klasma.github.io/Logging_1737/klagomålsmail/A 25710-2026 FSC-klagomål mail.docx", "A 25710-2026")</f>
        <v/>
      </c>
      <c r="AC842">
        <f>HYPERLINK("https://klasma.github.io/Logging_1737/tillsyn/A 25710-2026 tillsynsbegäran.docx", "A 25710-2026")</f>
        <v/>
      </c>
      <c r="AD842">
        <f>HYPERLINK("https://klasma.github.io/Logging_1737/tillsynsmail/A 25710-2026 tillsynsbegäran mail.docx", "A 25710-2026")</f>
        <v/>
      </c>
    </row>
    <row r="843" ht="15" customHeight="1">
      <c r="A843" t="inlineStr">
        <is>
          <t>A 25957-2026</t>
        </is>
      </c>
      <c r="B843" t="inlineStr">
        <is>
          <t>avverkningsanmälan</t>
        </is>
      </c>
      <c r="C843" t="inlineStr">
        <is>
          <t>Föryngringsavverkning</t>
        </is>
      </c>
      <c r="D843" s="1" t="n">
        <v>46181</v>
      </c>
      <c r="E843" s="1" t="n">
        <v>46307</v>
      </c>
      <c r="F843" t="inlineStr">
        <is>
          <t>VÄRMLANDS LÄN</t>
        </is>
      </c>
      <c r="G843" t="inlineStr">
        <is>
          <t>ARVIKA</t>
        </is>
      </c>
      <c r="I843" t="n">
        <v>0.5</v>
      </c>
      <c r="J843" t="n">
        <v>0</v>
      </c>
      <c r="K843" t="n">
        <v>1</v>
      </c>
      <c r="L843" t="n">
        <v>0</v>
      </c>
      <c r="M843" t="n">
        <v>0</v>
      </c>
      <c r="N843" t="n">
        <v>0</v>
      </c>
      <c r="O843" t="n">
        <v>0</v>
      </c>
      <c r="P843" t="n">
        <v>0</v>
      </c>
      <c r="Q843" t="n">
        <v>0</v>
      </c>
      <c r="R843" t="n">
        <v>0</v>
      </c>
      <c r="S843" t="n">
        <v>1</v>
      </c>
      <c r="T843" t="n">
        <v>1</v>
      </c>
      <c r="U843" t="n">
        <v>0</v>
      </c>
      <c r="V843" s="2" t="inlineStr">
        <is>
          <t>Springkorn</t>
        </is>
      </c>
      <c r="W843">
        <f>HYPERLINK("https://klasma.github.io/Logging_1784/artfynd/A 25957-2026 artfynd.xlsx", "A 25957-2026")</f>
        <v/>
      </c>
      <c r="X843">
        <f>HYPERLINK("https://klasma.github.io/Logging_1784/kartor/A 25957-2026 karta.png", "A 25957-2026")</f>
        <v/>
      </c>
      <c r="Y843">
        <f>HYPERLINK("https://klasma.github.io/Logging_1784/kartor_geotiff/A 25957-2026 georefererad karta.tif", "A 25957-2026")</f>
        <v/>
      </c>
      <c r="AA843">
        <f>HYPERLINK("https://klasma.github.io/Logging_1784/klagomål/A 25957-2026 FSC-klagomål.docx", "A 25957-2026")</f>
        <v/>
      </c>
      <c r="AB843">
        <f>HYPERLINK("https://klasma.github.io/Logging_1784/klagomålsmail/A 25957-2026 FSC-klagomål mail.docx", "A 25957-2026")</f>
        <v/>
      </c>
      <c r="AC843">
        <f>HYPERLINK("https://klasma.github.io/Logging_1784/tillsyn/A 25957-2026 tillsynsbegäran.docx", "A 25957-2026")</f>
        <v/>
      </c>
      <c r="AD843">
        <f>HYPERLINK("https://klasma.github.io/Logging_1784/tillsynsmail/A 25957-2026 tillsynsbegäran mail.docx", "A 25957-2026")</f>
        <v/>
      </c>
    </row>
    <row r="844" ht="15" customHeight="1">
      <c r="A844" t="inlineStr">
        <is>
          <t>A 26299-2026</t>
        </is>
      </c>
      <c r="B844" t="inlineStr">
        <is>
          <t>avverkningsanmälan</t>
        </is>
      </c>
      <c r="C844" t="inlineStr">
        <is>
          <t>Föryngringsavverkning</t>
        </is>
      </c>
      <c r="D844" s="1" t="n">
        <v>46182</v>
      </c>
      <c r="E844" s="1" t="n">
        <v>46307</v>
      </c>
      <c r="F844" t="inlineStr">
        <is>
          <t>VÄRMLANDS LÄN</t>
        </is>
      </c>
      <c r="G844" t="inlineStr">
        <is>
          <t>TORSBY</t>
        </is>
      </c>
      <c r="I844" t="n">
        <v>3.4</v>
      </c>
      <c r="J844" t="n">
        <v>1</v>
      </c>
      <c r="K844" t="n">
        <v>0</v>
      </c>
      <c r="L844" t="n">
        <v>0</v>
      </c>
      <c r="M844" t="n">
        <v>0</v>
      </c>
      <c r="N844" t="n">
        <v>0</v>
      </c>
      <c r="O844" t="n">
        <v>0</v>
      </c>
      <c r="P844" t="n">
        <v>0</v>
      </c>
      <c r="Q844" t="n">
        <v>0</v>
      </c>
      <c r="R844" t="n">
        <v>0</v>
      </c>
      <c r="S844" t="n">
        <v>1</v>
      </c>
      <c r="T844" t="n">
        <v>1</v>
      </c>
      <c r="U844" t="n">
        <v>0</v>
      </c>
      <c r="V844" s="2" t="inlineStr">
        <is>
          <t>Törnskata</t>
        </is>
      </c>
      <c r="W844">
        <f>HYPERLINK("https://klasma.github.io/Logging_1737/artfynd/A 26299-2026 artfynd.xlsx", "A 26299-2026")</f>
        <v/>
      </c>
      <c r="X844">
        <f>HYPERLINK("https://klasma.github.io/Logging_1737/kartor/A 26299-2026 karta.png", "A 26299-2026")</f>
        <v/>
      </c>
      <c r="Y844">
        <f>HYPERLINK("https://klasma.github.io/Logging_1737/kartor_geotiff/A 26299-2026 georefererad karta.tif", "A 26299-2026")</f>
        <v/>
      </c>
      <c r="AA844">
        <f>HYPERLINK("https://klasma.github.io/Logging_1737/klagomål/A 26299-2026 FSC-klagomål.docx", "A 26299-2026")</f>
        <v/>
      </c>
      <c r="AB844">
        <f>HYPERLINK("https://klasma.github.io/Logging_1737/klagomålsmail/A 26299-2026 FSC-klagomål mail.docx", "A 26299-2026")</f>
        <v/>
      </c>
      <c r="AC844">
        <f>HYPERLINK("https://klasma.github.io/Logging_1737/tillsyn/A 26299-2026 tillsynsbegäran.docx", "A 26299-2026")</f>
        <v/>
      </c>
      <c r="AD844">
        <f>HYPERLINK("https://klasma.github.io/Logging_1737/tillsynsmail/A 26299-2026 tillsynsbegäran mail.docx", "A 26299-2026")</f>
        <v/>
      </c>
      <c r="AE844">
        <f>HYPERLINK("https://klasma.github.io/Logging_1737/fåglar/A 26299-2026 prioriterade fågelarter.docx", "A 26299-2026")</f>
        <v/>
      </c>
    </row>
    <row r="845" ht="15" customHeight="1">
      <c r="A845" t="inlineStr">
        <is>
          <t>A 25862-2026</t>
        </is>
      </c>
      <c r="B845" t="inlineStr">
        <is>
          <t>avverkningsanmälan</t>
        </is>
      </c>
      <c r="C845" t="inlineStr">
        <is>
          <t>Föryngringsavverkning</t>
        </is>
      </c>
      <c r="D845" s="1" t="n">
        <v>46178</v>
      </c>
      <c r="E845" s="1" t="n">
        <v>46307</v>
      </c>
      <c r="F845" t="inlineStr">
        <is>
          <t>VÄRMLANDS LÄN</t>
        </is>
      </c>
      <c r="G845" t="inlineStr">
        <is>
          <t>FILIPSTAD</t>
        </is>
      </c>
      <c r="H845" t="inlineStr">
        <is>
          <t>Bergvik skog väst AB</t>
        </is>
      </c>
      <c r="I845" t="n">
        <v>3.5</v>
      </c>
      <c r="J845" t="n">
        <v>0</v>
      </c>
      <c r="K845" t="n">
        <v>0</v>
      </c>
      <c r="L845" t="n">
        <v>1</v>
      </c>
      <c r="M845" t="n">
        <v>0</v>
      </c>
      <c r="N845" t="n">
        <v>0</v>
      </c>
      <c r="O845" t="n">
        <v>0</v>
      </c>
      <c r="P845" t="n">
        <v>0</v>
      </c>
      <c r="Q845" t="n">
        <v>1</v>
      </c>
      <c r="R845" t="n">
        <v>0</v>
      </c>
      <c r="S845" t="n">
        <v>1</v>
      </c>
      <c r="T845" t="n">
        <v>1</v>
      </c>
      <c r="U845" t="n">
        <v>0</v>
      </c>
      <c r="V845" s="2" t="inlineStr">
        <is>
          <t>Talltaggsvamp</t>
        </is>
      </c>
      <c r="W845">
        <f>HYPERLINK("https://klasma.github.io/Logging_1782/artfynd/A 25862-2026 artfynd.xlsx", "A 25862-2026")</f>
        <v/>
      </c>
      <c r="X845">
        <f>HYPERLINK("https://klasma.github.io/Logging_1782/kartor/A 25862-2026 karta.png", "A 25862-2026")</f>
        <v/>
      </c>
      <c r="Y845">
        <f>HYPERLINK("https://klasma.github.io/Logging_1782/kartor_geotiff/A 25862-2026 georefererad karta.tif", "A 25862-2026")</f>
        <v/>
      </c>
      <c r="AA845">
        <f>HYPERLINK("https://klasma.github.io/Logging_1782/klagomål/A 25862-2026 FSC-klagomål.docx", "A 25862-2026")</f>
        <v/>
      </c>
      <c r="AB845">
        <f>HYPERLINK("https://klasma.github.io/Logging_1782/klagomålsmail/A 25862-2026 FSC-klagomål mail.docx", "A 25862-2026")</f>
        <v/>
      </c>
      <c r="AC845">
        <f>HYPERLINK("https://klasma.github.io/Logging_1782/tillsyn/A 25862-2026 tillsynsbegäran.docx", "A 25862-2026")</f>
        <v/>
      </c>
      <c r="AD845">
        <f>HYPERLINK("https://klasma.github.io/Logging_1782/tillsynsmail/A 25862-2026 tillsynsbegäran mail.docx", "A 25862-2026")</f>
        <v/>
      </c>
    </row>
    <row r="846" ht="15" customHeight="1">
      <c r="A846" t="inlineStr">
        <is>
          <t>A 26189-2026</t>
        </is>
      </c>
      <c r="B846" t="inlineStr">
        <is>
          <t>avverkningsanmälan</t>
        </is>
      </c>
      <c r="C846" t="inlineStr">
        <is>
          <t>Föryngringsavverkning</t>
        </is>
      </c>
      <c r="D846" s="1" t="n">
        <v>46182</v>
      </c>
      <c r="E846" s="1" t="n">
        <v>46307</v>
      </c>
      <c r="F846" t="inlineStr">
        <is>
          <t>VÄRMLANDS LÄN</t>
        </is>
      </c>
      <c r="G846" t="inlineStr">
        <is>
          <t>HAGFORS</t>
        </is>
      </c>
      <c r="H846" t="inlineStr">
        <is>
          <t>Bergvik skog väst AB</t>
        </is>
      </c>
      <c r="I846" t="n">
        <v>1.3</v>
      </c>
      <c r="J846" t="n">
        <v>1</v>
      </c>
      <c r="K846" t="n">
        <v>0</v>
      </c>
      <c r="L846" t="n">
        <v>0</v>
      </c>
      <c r="M846" t="n">
        <v>0</v>
      </c>
      <c r="N846" t="n">
        <v>0</v>
      </c>
      <c r="O846" t="n">
        <v>0</v>
      </c>
      <c r="P846" t="n">
        <v>0</v>
      </c>
      <c r="Q846" t="n">
        <v>0</v>
      </c>
      <c r="R846" t="n">
        <v>0</v>
      </c>
      <c r="S846" t="n">
        <v>1</v>
      </c>
      <c r="T846" t="n">
        <v>1</v>
      </c>
      <c r="U846" t="n">
        <v>0</v>
      </c>
      <c r="V846" s="2" t="inlineStr">
        <is>
          <t>Sävsparv</t>
        </is>
      </c>
      <c r="W846">
        <f>HYPERLINK("https://klasma.github.io/Logging_1783/artfynd/A 26189-2026 artfynd.xlsx", "A 26189-2026")</f>
        <v/>
      </c>
      <c r="X846">
        <f>HYPERLINK("https://klasma.github.io/Logging_1783/kartor/A 26189-2026 karta.png", "A 26189-2026")</f>
        <v/>
      </c>
      <c r="Y846">
        <f>HYPERLINK("https://klasma.github.io/Logging_1783/kartor_geotiff/A 26189-2026 georefererad karta.tif", "A 26189-2026")</f>
        <v/>
      </c>
      <c r="AA846">
        <f>HYPERLINK("https://klasma.github.io/Logging_1783/klagomål/A 26189-2026 FSC-klagomål.docx", "A 26189-2026")</f>
        <v/>
      </c>
      <c r="AB846">
        <f>HYPERLINK("https://klasma.github.io/Logging_1783/klagomålsmail/A 26189-2026 FSC-klagomål mail.docx", "A 26189-2026")</f>
        <v/>
      </c>
      <c r="AC846">
        <f>HYPERLINK("https://klasma.github.io/Logging_1783/tillsyn/A 26189-2026 tillsynsbegäran.docx", "A 26189-2026")</f>
        <v/>
      </c>
      <c r="AD846">
        <f>HYPERLINK("https://klasma.github.io/Logging_1783/tillsynsmail/A 26189-2026 tillsynsbegäran mail.docx", "A 26189-2026")</f>
        <v/>
      </c>
      <c r="AE846">
        <f>HYPERLINK("https://klasma.github.io/Logging_1783/fåglar/A 26189-2026 prioriterade fågelarter.docx", "A 26189-2026")</f>
        <v/>
      </c>
    </row>
    <row r="847" ht="15" customHeight="1">
      <c r="A847" t="inlineStr">
        <is>
          <t>A 28610-2026</t>
        </is>
      </c>
      <c r="B847" t="inlineStr">
        <is>
          <t>avverkningsanmälan</t>
        </is>
      </c>
      <c r="C847" t="inlineStr">
        <is>
          <t>Föryngringsavverkning</t>
        </is>
      </c>
      <c r="D847" s="1" t="n">
        <v>46197</v>
      </c>
      <c r="E847" s="1" t="n">
        <v>46307</v>
      </c>
      <c r="F847" t="inlineStr">
        <is>
          <t>VÄRMLANDS LÄN</t>
        </is>
      </c>
      <c r="G847" t="inlineStr">
        <is>
          <t>ARVIKA</t>
        </is>
      </c>
      <c r="H847" t="inlineStr">
        <is>
          <t>Bergvik skog väst AB</t>
        </is>
      </c>
      <c r="I847" t="n">
        <v>0.8</v>
      </c>
      <c r="J847" t="n">
        <v>0</v>
      </c>
      <c r="K847" t="n">
        <v>1</v>
      </c>
      <c r="L847" t="n">
        <v>0</v>
      </c>
      <c r="M847" t="n">
        <v>0</v>
      </c>
      <c r="N847" t="n">
        <v>0</v>
      </c>
      <c r="O847" t="n">
        <v>0</v>
      </c>
      <c r="P847" t="n">
        <v>0</v>
      </c>
      <c r="Q847" t="n">
        <v>0</v>
      </c>
      <c r="R847" t="n">
        <v>0</v>
      </c>
      <c r="S847" t="n">
        <v>1</v>
      </c>
      <c r="T847" t="n">
        <v>1</v>
      </c>
      <c r="U847" t="n">
        <v>0</v>
      </c>
      <c r="V847" s="2" t="inlineStr">
        <is>
          <t>Svart trolldruva</t>
        </is>
      </c>
      <c r="W847">
        <f>HYPERLINK("https://klasma.github.io/Logging_1784/artfynd/A 28610-2026 artfynd.xlsx", "A 28610-2026")</f>
        <v/>
      </c>
      <c r="X847">
        <f>HYPERLINK("https://klasma.github.io/Logging_1784/kartor/A 28610-2026 karta.png", "A 28610-2026")</f>
        <v/>
      </c>
      <c r="Y847">
        <f>HYPERLINK("https://klasma.github.io/Logging_1784/kartor_geotiff/A 28610-2026 georefererad karta.tif", "A 28610-2026")</f>
        <v/>
      </c>
      <c r="AA847">
        <f>HYPERLINK("https://klasma.github.io/Logging_1784/klagomål/A 28610-2026 FSC-klagomål.docx", "A 28610-2026")</f>
        <v/>
      </c>
      <c r="AB847">
        <f>HYPERLINK("https://klasma.github.io/Logging_1784/klagomålsmail/A 28610-2026 FSC-klagomål mail.docx", "A 28610-2026")</f>
        <v/>
      </c>
      <c r="AC847">
        <f>HYPERLINK("https://klasma.github.io/Logging_1784/tillsyn/A 28610-2026 tillsynsbegäran.docx", "A 28610-2026")</f>
        <v/>
      </c>
      <c r="AD847">
        <f>HYPERLINK("https://klasma.github.io/Logging_1784/tillsynsmail/A 28610-2026 tillsynsbegäran mail.docx", "A 28610-2026")</f>
        <v/>
      </c>
    </row>
    <row r="848" ht="15" customHeight="1">
      <c r="A848" t="inlineStr">
        <is>
          <t>A 28503-2026</t>
        </is>
      </c>
      <c r="B848" t="inlineStr">
        <is>
          <t>avverkningsanmälan</t>
        </is>
      </c>
      <c r="C848" t="inlineStr">
        <is>
          <t>Föryngringsavverkning</t>
        </is>
      </c>
      <c r="D848" s="1" t="n">
        <v>46197</v>
      </c>
      <c r="E848" s="1" t="n">
        <v>46307</v>
      </c>
      <c r="F848" t="inlineStr">
        <is>
          <t>VÄRMLANDS LÄN</t>
        </is>
      </c>
      <c r="G848" t="inlineStr">
        <is>
          <t>SUNNE</t>
        </is>
      </c>
      <c r="H848" t="inlineStr">
        <is>
          <t>Bergvik skog väst AB</t>
        </is>
      </c>
      <c r="I848" t="n">
        <v>5.2</v>
      </c>
      <c r="J848" t="n">
        <v>1</v>
      </c>
      <c r="K848" t="n">
        <v>0</v>
      </c>
      <c r="L848" t="n">
        <v>0</v>
      </c>
      <c r="M848" t="n">
        <v>0</v>
      </c>
      <c r="N848" t="n">
        <v>0</v>
      </c>
      <c r="O848" t="n">
        <v>0</v>
      </c>
      <c r="P848" t="n">
        <v>0</v>
      </c>
      <c r="Q848" t="n">
        <v>0</v>
      </c>
      <c r="R848" t="n">
        <v>0</v>
      </c>
      <c r="S848" t="n">
        <v>1</v>
      </c>
      <c r="T848" t="n">
        <v>2</v>
      </c>
      <c r="U848" t="n">
        <v>0</v>
      </c>
      <c r="V848" s="2" t="inlineStr">
        <is>
          <t>Fläcknycklar</t>
        </is>
      </c>
      <c r="W848">
        <f>HYPERLINK("https://klasma.github.io/Logging_1766/artfynd/A 28503-2026 artfynd.xlsx", "A 28503-2026")</f>
        <v/>
      </c>
      <c r="X848">
        <f>HYPERLINK("https://klasma.github.io/Logging_1766/kartor/A 28503-2026 karta.png", "A 28503-2026")</f>
        <v/>
      </c>
      <c r="Y848">
        <f>HYPERLINK("https://klasma.github.io/Logging_1766/kartor_geotiff/A 28503-2026 georefererad karta.tif", "A 28503-2026")</f>
        <v/>
      </c>
      <c r="AA848">
        <f>HYPERLINK("https://klasma.github.io/Logging_1766/klagomål/A 28503-2026 FSC-klagomål.docx", "A 28503-2026")</f>
        <v/>
      </c>
      <c r="AB848">
        <f>HYPERLINK("https://klasma.github.io/Logging_1766/klagomålsmail/A 28503-2026 FSC-klagomål mail.docx", "A 28503-2026")</f>
        <v/>
      </c>
      <c r="AC848">
        <f>HYPERLINK("https://klasma.github.io/Logging_1766/tillsyn/A 28503-2026 tillsynsbegäran.docx", "A 28503-2026")</f>
        <v/>
      </c>
      <c r="AD848">
        <f>HYPERLINK("https://klasma.github.io/Logging_1766/tillsynsmail/A 28503-2026 tillsynsbegäran mail.docx", "A 28503-2026")</f>
        <v/>
      </c>
    </row>
    <row r="849" ht="15" customHeight="1">
      <c r="A849" t="inlineStr">
        <is>
          <t>A 29432-2026</t>
        </is>
      </c>
      <c r="B849" t="inlineStr">
        <is>
          <t>avverkningsanmälan</t>
        </is>
      </c>
      <c r="C849" t="inlineStr">
        <is>
          <t>Föryngringsavverkning</t>
        </is>
      </c>
      <c r="D849" s="1" t="n">
        <v>46203</v>
      </c>
      <c r="E849" s="1" t="n">
        <v>46307</v>
      </c>
      <c r="F849" t="inlineStr">
        <is>
          <t>VÄRMLANDS LÄN</t>
        </is>
      </c>
      <c r="G849" t="inlineStr">
        <is>
          <t>HAGFORS</t>
        </is>
      </c>
      <c r="H849" t="inlineStr">
        <is>
          <t>Bergvik skog väst AB</t>
        </is>
      </c>
      <c r="I849" t="n">
        <v>3.1</v>
      </c>
      <c r="J849" t="n">
        <v>0</v>
      </c>
      <c r="K849" t="n">
        <v>0</v>
      </c>
      <c r="L849" t="n">
        <v>1</v>
      </c>
      <c r="M849" t="n">
        <v>0</v>
      </c>
      <c r="N849" t="n">
        <v>0</v>
      </c>
      <c r="O849" t="n">
        <v>0</v>
      </c>
      <c r="P849" t="n">
        <v>0</v>
      </c>
      <c r="Q849" t="n">
        <v>1</v>
      </c>
      <c r="R849" t="n">
        <v>0</v>
      </c>
      <c r="S849" t="n">
        <v>1</v>
      </c>
      <c r="T849" t="n">
        <v>1</v>
      </c>
      <c r="U849" t="n">
        <v>0</v>
      </c>
      <c r="V849" s="2" t="inlineStr">
        <is>
          <t>Vedtrappmossa</t>
        </is>
      </c>
      <c r="W849">
        <f>HYPERLINK("https://klasma.github.io/Logging_1783/artfynd/A 29432-2026 artfynd.xlsx", "A 29432-2026")</f>
        <v/>
      </c>
      <c r="X849">
        <f>HYPERLINK("https://klasma.github.io/Logging_1783/kartor/A 29432-2026 karta.png", "A 29432-2026")</f>
        <v/>
      </c>
      <c r="Y849">
        <f>HYPERLINK("https://klasma.github.io/Logging_1783/kartor_geotiff/A 29432-2026 georefererad karta.tif", "A 29432-2026")</f>
        <v/>
      </c>
      <c r="AA849">
        <f>HYPERLINK("https://klasma.github.io/Logging_1783/klagomål/A 29432-2026 FSC-klagomål.docx", "A 29432-2026")</f>
        <v/>
      </c>
      <c r="AB849">
        <f>HYPERLINK("https://klasma.github.io/Logging_1783/klagomålsmail/A 29432-2026 FSC-klagomål mail.docx", "A 29432-2026")</f>
        <v/>
      </c>
      <c r="AC849">
        <f>HYPERLINK("https://klasma.github.io/Logging_1783/tillsyn/A 29432-2026 tillsynsbegäran.docx", "A 29432-2026")</f>
        <v/>
      </c>
      <c r="AD849">
        <f>HYPERLINK("https://klasma.github.io/Logging_1783/tillsynsmail/A 29432-2026 tillsynsbegäran mail.docx", "A 29432-2026")</f>
        <v/>
      </c>
    </row>
    <row r="850" ht="15" customHeight="1">
      <c r="A850" t="inlineStr">
        <is>
          <t>A 28989-2026</t>
        </is>
      </c>
      <c r="B850" t="inlineStr">
        <is>
          <t>avverkningsanmälan</t>
        </is>
      </c>
      <c r="C850" t="inlineStr">
        <is>
          <t>Föryngringsavverkning</t>
        </is>
      </c>
      <c r="D850" s="1" t="n">
        <v>46199</v>
      </c>
      <c r="E850" s="1" t="n">
        <v>46307</v>
      </c>
      <c r="F850" t="inlineStr">
        <is>
          <t>VÄRMLANDS LÄN</t>
        </is>
      </c>
      <c r="G850" t="inlineStr">
        <is>
          <t>FILIPSTAD</t>
        </is>
      </c>
      <c r="H850" t="inlineStr">
        <is>
          <t>Bergvik skog väst AB</t>
        </is>
      </c>
      <c r="I850" t="n">
        <v>7.2</v>
      </c>
      <c r="J850" t="n">
        <v>1</v>
      </c>
      <c r="K850" t="n">
        <v>0</v>
      </c>
      <c r="L850" t="n">
        <v>0</v>
      </c>
      <c r="M850" t="n">
        <v>0</v>
      </c>
      <c r="N850" t="n">
        <v>0</v>
      </c>
      <c r="O850" t="n">
        <v>0</v>
      </c>
      <c r="P850" t="n">
        <v>0</v>
      </c>
      <c r="Q850" t="n">
        <v>0</v>
      </c>
      <c r="R850" t="n">
        <v>0</v>
      </c>
      <c r="S850" t="n">
        <v>1</v>
      </c>
      <c r="T850" t="n">
        <v>1</v>
      </c>
      <c r="U850" t="n">
        <v>1</v>
      </c>
      <c r="V850" s="2" t="inlineStr">
        <is>
          <t>Fläcknycklar</t>
        </is>
      </c>
      <c r="W850">
        <f>HYPERLINK("https://klasma.github.io/Logging_1782/artfynd/A 28989-2026 artfynd.xlsx", "A 28989-2026")</f>
        <v/>
      </c>
      <c r="X850">
        <f>HYPERLINK("https://klasma.github.io/Logging_1782/kartor/A 28989-2026 karta.png", "A 28989-2026")</f>
        <v/>
      </c>
      <c r="Y850">
        <f>HYPERLINK("https://klasma.github.io/Logging_1782/kartor_geotiff/A 28989-2026 georefererad karta.tif", "A 28989-2026")</f>
        <v/>
      </c>
      <c r="AA850">
        <f>HYPERLINK("https://klasma.github.io/Logging_1782/klagomål/A 28989-2026 FSC-klagomål.docx", "A 28989-2026")</f>
        <v/>
      </c>
      <c r="AB850">
        <f>HYPERLINK("https://klasma.github.io/Logging_1782/klagomålsmail/A 28989-2026 FSC-klagomål mail.docx", "A 28989-2026")</f>
        <v/>
      </c>
      <c r="AC850">
        <f>HYPERLINK("https://klasma.github.io/Logging_1782/tillsyn/A 28989-2026 tillsynsbegäran.docx", "A 28989-2026")</f>
        <v/>
      </c>
      <c r="AD850">
        <f>HYPERLINK("https://klasma.github.io/Logging_1782/tillsynsmail/A 28989-2026 tillsynsbegäran mail.docx", "A 28989-2026")</f>
        <v/>
      </c>
    </row>
    <row r="851" ht="15" customHeight="1">
      <c r="A851" t="inlineStr">
        <is>
          <t>A 29662-2026</t>
        </is>
      </c>
      <c r="B851" t="inlineStr">
        <is>
          <t>avverkningsanmälan</t>
        </is>
      </c>
      <c r="C851" t="inlineStr">
        <is>
          <t>Föryngringsavverkning</t>
        </is>
      </c>
      <c r="D851" s="1" t="n">
        <v>46204</v>
      </c>
      <c r="E851" s="1" t="n">
        <v>46307</v>
      </c>
      <c r="F851" t="inlineStr">
        <is>
          <t>VÄRMLANDS LÄN</t>
        </is>
      </c>
      <c r="G851" t="inlineStr">
        <is>
          <t>ARVIKA</t>
        </is>
      </c>
      <c r="H851" t="inlineStr">
        <is>
          <t>Bergvik skog väst AB</t>
        </is>
      </c>
      <c r="I851" t="n">
        <v>1.9</v>
      </c>
      <c r="J851" t="n">
        <v>1</v>
      </c>
      <c r="K851" t="n">
        <v>0</v>
      </c>
      <c r="L851" t="n">
        <v>0</v>
      </c>
      <c r="M851" t="n">
        <v>0</v>
      </c>
      <c r="N851" t="n">
        <v>0</v>
      </c>
      <c r="O851" t="n">
        <v>0</v>
      </c>
      <c r="P851" t="n">
        <v>0</v>
      </c>
      <c r="Q851" t="n">
        <v>0</v>
      </c>
      <c r="R851" t="n">
        <v>0</v>
      </c>
      <c r="S851" t="n">
        <v>1</v>
      </c>
      <c r="T851" t="n">
        <v>1</v>
      </c>
      <c r="U851" t="n">
        <v>0</v>
      </c>
      <c r="V851" s="2" t="inlineStr">
        <is>
          <t>Järpe</t>
        </is>
      </c>
      <c r="W851">
        <f>HYPERLINK("https://klasma.github.io/Logging_1784/artfynd/A 29662-2026 artfynd.xlsx", "A 29662-2026")</f>
        <v/>
      </c>
      <c r="X851">
        <f>HYPERLINK("https://klasma.github.io/Logging_1784/kartor/A 29662-2026 karta.png", "A 29662-2026")</f>
        <v/>
      </c>
      <c r="Y851">
        <f>HYPERLINK("https://klasma.github.io/Logging_1784/kartor_geotiff/A 29662-2026 georefererad karta.tif", "A 29662-2026")</f>
        <v/>
      </c>
      <c r="AA851">
        <f>HYPERLINK("https://klasma.github.io/Logging_1784/klagomål/A 29662-2026 FSC-klagomål.docx", "A 29662-2026")</f>
        <v/>
      </c>
      <c r="AB851">
        <f>HYPERLINK("https://klasma.github.io/Logging_1784/klagomålsmail/A 29662-2026 FSC-klagomål mail.docx", "A 29662-2026")</f>
        <v/>
      </c>
      <c r="AC851">
        <f>HYPERLINK("https://klasma.github.io/Logging_1784/tillsyn/A 29662-2026 tillsynsbegäran.docx", "A 29662-2026")</f>
        <v/>
      </c>
      <c r="AD851">
        <f>HYPERLINK("https://klasma.github.io/Logging_1784/tillsynsmail/A 29662-2026 tillsynsbegäran mail.docx", "A 29662-2026")</f>
        <v/>
      </c>
      <c r="AE851">
        <f>HYPERLINK("https://klasma.github.io/Logging_1784/fåglar/A 29662-2026 prioriterade fågelarter.docx", "A 29662-2026")</f>
        <v/>
      </c>
    </row>
    <row r="852" ht="15" customHeight="1">
      <c r="A852" t="inlineStr">
        <is>
          <t>A 30296-2026</t>
        </is>
      </c>
      <c r="B852" t="inlineStr">
        <is>
          <t>avverkningsanmälan</t>
        </is>
      </c>
      <c r="C852" t="inlineStr">
        <is>
          <t>Föryngringsavverkning</t>
        </is>
      </c>
      <c r="D852" s="1" t="n">
        <v>46206</v>
      </c>
      <c r="E852" s="1" t="n">
        <v>46307</v>
      </c>
      <c r="F852" t="inlineStr">
        <is>
          <t>VÄRMLANDS LÄN</t>
        </is>
      </c>
      <c r="G852" t="inlineStr">
        <is>
          <t>ARVIKA</t>
        </is>
      </c>
      <c r="H852" t="inlineStr">
        <is>
          <t>Bergvik skog väst AB</t>
        </is>
      </c>
      <c r="I852" t="n">
        <v>3.5</v>
      </c>
      <c r="J852" t="n">
        <v>0</v>
      </c>
      <c r="K852" t="n">
        <v>0</v>
      </c>
      <c r="L852" t="n">
        <v>0</v>
      </c>
      <c r="M852" t="n">
        <v>1</v>
      </c>
      <c r="N852" t="n">
        <v>0</v>
      </c>
      <c r="O852" t="n">
        <v>0</v>
      </c>
      <c r="P852" t="n">
        <v>0</v>
      </c>
      <c r="Q852" t="n">
        <v>1</v>
      </c>
      <c r="R852" t="n">
        <v>1</v>
      </c>
      <c r="S852" t="n">
        <v>1</v>
      </c>
      <c r="T852" t="n">
        <v>1</v>
      </c>
      <c r="U852" t="n">
        <v>0</v>
      </c>
      <c r="V852" s="2" t="inlineStr">
        <is>
          <t>Korallvaxing</t>
        </is>
      </c>
      <c r="W852">
        <f>HYPERLINK("https://klasma.github.io/Logging_1784/artfynd/A 30296-2026 artfynd.xlsx", "A 30296-2026")</f>
        <v/>
      </c>
      <c r="X852">
        <f>HYPERLINK("https://klasma.github.io/Logging_1784/kartor/A 30296-2026 karta.png", "A 30296-2026")</f>
        <v/>
      </c>
      <c r="Y852">
        <f>HYPERLINK("https://klasma.github.io/Logging_1784/kartor_geotiff/A 30296-2026 georefererad karta.tif", "A 30296-2026")</f>
        <v/>
      </c>
      <c r="AA852">
        <f>HYPERLINK("https://klasma.github.io/Logging_1784/klagomål/A 30296-2026 FSC-klagomål.docx", "A 30296-2026")</f>
        <v/>
      </c>
      <c r="AB852">
        <f>HYPERLINK("https://klasma.github.io/Logging_1784/klagomålsmail/A 30296-2026 FSC-klagomål mail.docx", "A 30296-2026")</f>
        <v/>
      </c>
      <c r="AC852">
        <f>HYPERLINK("https://klasma.github.io/Logging_1784/tillsyn/A 30296-2026 tillsynsbegäran.docx", "A 30296-2026")</f>
        <v/>
      </c>
      <c r="AD852">
        <f>HYPERLINK("https://klasma.github.io/Logging_1784/tillsynsmail/A 30296-2026 tillsynsbegäran mail.docx", "A 30296-2026")</f>
        <v/>
      </c>
    </row>
    <row r="853" ht="15" customHeight="1">
      <c r="A853" t="inlineStr">
        <is>
          <t>A 30527-2026</t>
        </is>
      </c>
      <c r="B853" t="inlineStr">
        <is>
          <t>avverkningsanmälan</t>
        </is>
      </c>
      <c r="C853" t="inlineStr">
        <is>
          <t>Avverkning för annat ändamål</t>
        </is>
      </c>
      <c r="D853" s="1" t="n">
        <v>46210</v>
      </c>
      <c r="E853" s="1" t="n">
        <v>46307</v>
      </c>
      <c r="F853" t="inlineStr">
        <is>
          <t>VÄRMLANDS LÄN</t>
        </is>
      </c>
      <c r="G853" t="inlineStr">
        <is>
          <t>TORSBY</t>
        </is>
      </c>
      <c r="H853" t="inlineStr">
        <is>
          <t>Bergvik skog väst AB</t>
        </is>
      </c>
      <c r="I853" t="n">
        <v>2.1</v>
      </c>
      <c r="J853" t="n">
        <v>0</v>
      </c>
      <c r="K853" t="n">
        <v>1</v>
      </c>
      <c r="L853" t="n">
        <v>0</v>
      </c>
      <c r="M853" t="n">
        <v>0</v>
      </c>
      <c r="N853" t="n">
        <v>0</v>
      </c>
      <c r="O853" t="n">
        <v>0</v>
      </c>
      <c r="P853" t="n">
        <v>0</v>
      </c>
      <c r="Q853" t="n">
        <v>0</v>
      </c>
      <c r="R853" t="n">
        <v>0</v>
      </c>
      <c r="S853" t="n">
        <v>1</v>
      </c>
      <c r="T853" t="n">
        <v>1</v>
      </c>
      <c r="U853" t="n">
        <v>0</v>
      </c>
      <c r="V853" s="2" t="inlineStr">
        <is>
          <t>Mindre märgborre</t>
        </is>
      </c>
      <c r="W853">
        <f>HYPERLINK("https://klasma.github.io/Logging_1737/artfynd/A 30527-2026 artfynd.xlsx", "A 30527-2026")</f>
        <v/>
      </c>
      <c r="X853">
        <f>HYPERLINK("https://klasma.github.io/Logging_1737/kartor/A 30527-2026 karta.png", "A 30527-2026")</f>
        <v/>
      </c>
      <c r="Y853">
        <f>HYPERLINK("https://klasma.github.io/Logging_1737/kartor_geotiff/A 30527-2026 georefererad karta.tif", "A 30527-2026")</f>
        <v/>
      </c>
      <c r="AA853">
        <f>HYPERLINK("https://klasma.github.io/Logging_1737/klagomål/A 30527-2026 FSC-klagomål.docx", "A 30527-2026")</f>
        <v/>
      </c>
      <c r="AB853">
        <f>HYPERLINK("https://klasma.github.io/Logging_1737/klagomålsmail/A 30527-2026 FSC-klagomål mail.docx", "A 30527-2026")</f>
        <v/>
      </c>
      <c r="AC853">
        <f>HYPERLINK("https://klasma.github.io/Logging_1737/tillsyn/A 30527-2026 tillsynsbegäran.docx", "A 30527-2026")</f>
        <v/>
      </c>
      <c r="AD853">
        <f>HYPERLINK("https://klasma.github.io/Logging_1737/tillsynsmail/A 30527-2026 tillsynsbegäran mail.docx", "A 30527-2026")</f>
        <v/>
      </c>
    </row>
    <row r="854" ht="15" customHeight="1">
      <c r="A854" t="inlineStr">
        <is>
          <t>A 31257-2026</t>
        </is>
      </c>
      <c r="B854" t="inlineStr">
        <is>
          <t>avverkningsanmälan</t>
        </is>
      </c>
      <c r="C854" t="inlineStr">
        <is>
          <t>Föryngringsavverkning</t>
        </is>
      </c>
      <c r="D854" s="1" t="n">
        <v>46218</v>
      </c>
      <c r="E854" s="1" t="n">
        <v>46307</v>
      </c>
      <c r="F854" t="inlineStr">
        <is>
          <t>VÄRMLANDS LÄN</t>
        </is>
      </c>
      <c r="G854" t="inlineStr">
        <is>
          <t>FILIPSTAD</t>
        </is>
      </c>
      <c r="H854" t="inlineStr">
        <is>
          <t>Bergvik skog väst AB</t>
        </is>
      </c>
      <c r="I854" t="n">
        <v>10.2</v>
      </c>
      <c r="J854" t="n">
        <v>0</v>
      </c>
      <c r="K854" t="n">
        <v>1</v>
      </c>
      <c r="L854" t="n">
        <v>0</v>
      </c>
      <c r="M854" t="n">
        <v>0</v>
      </c>
      <c r="N854" t="n">
        <v>0</v>
      </c>
      <c r="O854" t="n">
        <v>0</v>
      </c>
      <c r="P854" t="n">
        <v>0</v>
      </c>
      <c r="Q854" t="n">
        <v>0</v>
      </c>
      <c r="R854" t="n">
        <v>0</v>
      </c>
      <c r="S854" t="n">
        <v>1</v>
      </c>
      <c r="T854" t="n">
        <v>1</v>
      </c>
      <c r="U854" t="n">
        <v>0</v>
      </c>
      <c r="V854" s="2" t="inlineStr">
        <is>
          <t>Gräsull</t>
        </is>
      </c>
      <c r="W854">
        <f>HYPERLINK("https://klasma.github.io/Logging_1782/artfynd/A 31257-2026 artfynd.xlsx", "A 31257-2026")</f>
        <v/>
      </c>
      <c r="X854">
        <f>HYPERLINK("https://klasma.github.io/Logging_1782/kartor/A 31257-2026 karta.png", "A 31257-2026")</f>
        <v/>
      </c>
      <c r="Y854">
        <f>HYPERLINK("https://klasma.github.io/Logging_1782/kartor_geotiff/A 31257-2026 georefererad karta.tif", "A 31257-2026")</f>
        <v/>
      </c>
      <c r="AA854">
        <f>HYPERLINK("https://klasma.github.io/Logging_1782/klagomål/A 31257-2026 FSC-klagomål.docx", "A 31257-2026")</f>
        <v/>
      </c>
      <c r="AB854">
        <f>HYPERLINK("https://klasma.github.io/Logging_1782/klagomålsmail/A 31257-2026 FSC-klagomål mail.docx", "A 31257-2026")</f>
        <v/>
      </c>
      <c r="AC854">
        <f>HYPERLINK("https://klasma.github.io/Logging_1782/tillsyn/A 31257-2026 tillsynsbegäran.docx", "A 31257-2026")</f>
        <v/>
      </c>
      <c r="AD854">
        <f>HYPERLINK("https://klasma.github.io/Logging_1782/tillsynsmail/A 31257-2026 tillsynsbegäran mail.docx", "A 31257-2026")</f>
        <v/>
      </c>
    </row>
    <row r="855" ht="15" customHeight="1">
      <c r="A855" t="inlineStr">
        <is>
          <t>A 35679-2026</t>
        </is>
      </c>
      <c r="B855" t="inlineStr">
        <is>
          <t>avverkningsanmälan</t>
        </is>
      </c>
      <c r="C855" t="inlineStr">
        <is>
          <t>Föryngringsavverkning</t>
        </is>
      </c>
      <c r="D855" s="1" t="n">
        <v>46265</v>
      </c>
      <c r="E855" s="1" t="n">
        <v>46307</v>
      </c>
      <c r="F855" t="inlineStr">
        <is>
          <t>VÄRMLANDS LÄN</t>
        </is>
      </c>
      <c r="G855" t="inlineStr">
        <is>
          <t>HAGFORS</t>
        </is>
      </c>
      <c r="H855" t="inlineStr">
        <is>
          <t>Bergvik skog väst AB</t>
        </is>
      </c>
      <c r="I855" t="n">
        <v>11</v>
      </c>
      <c r="J855" t="n">
        <v>1</v>
      </c>
      <c r="K855" t="n">
        <v>0</v>
      </c>
      <c r="L855" t="n">
        <v>0</v>
      </c>
      <c r="M855" t="n">
        <v>0</v>
      </c>
      <c r="N855" t="n">
        <v>0</v>
      </c>
      <c r="O855" t="n">
        <v>0</v>
      </c>
      <c r="P855" t="n">
        <v>0</v>
      </c>
      <c r="Q855" t="n">
        <v>0</v>
      </c>
      <c r="R855" t="n">
        <v>0</v>
      </c>
      <c r="S855" t="n">
        <v>1</v>
      </c>
      <c r="T855" t="n">
        <v>1</v>
      </c>
      <c r="U855" t="n">
        <v>0</v>
      </c>
      <c r="V855" s="2" t="inlineStr">
        <is>
          <t>Tjäder</t>
        </is>
      </c>
      <c r="W855">
        <f>HYPERLINK("https://klasma.github.io/Logging_1783/artfynd/A 35679-2026 artfynd.xlsx", "A 35679-2026")</f>
        <v/>
      </c>
      <c r="X855">
        <f>HYPERLINK("https://klasma.github.io/Logging_1783/kartor/A 35679-2026 karta.png", "A 35679-2026")</f>
        <v/>
      </c>
      <c r="Y855">
        <f>HYPERLINK("https://klasma.github.io/Logging_1783/kartor_geotiff/A 35679-2026 georefererad karta.tif", "A 35679-2026")</f>
        <v/>
      </c>
      <c r="AA855">
        <f>HYPERLINK("https://klasma.github.io/Logging_1783/klagomål/A 35679-2026 FSC-klagomål.docx", "A 35679-2026")</f>
        <v/>
      </c>
      <c r="AB855">
        <f>HYPERLINK("https://klasma.github.io/Logging_1783/klagomålsmail/A 35679-2026 FSC-klagomål mail.docx", "A 35679-2026")</f>
        <v/>
      </c>
      <c r="AC855">
        <f>HYPERLINK("https://klasma.github.io/Logging_1783/tillsyn/A 35679-2026 tillsynsbegäran.docx", "A 35679-2026")</f>
        <v/>
      </c>
      <c r="AD855">
        <f>HYPERLINK("https://klasma.github.io/Logging_1783/tillsynsmail/A 35679-2026 tillsynsbegäran mail.docx", "A 35679-2026")</f>
        <v/>
      </c>
      <c r="AE855">
        <f>HYPERLINK("https://klasma.github.io/Logging_1783/fåglar/A 35679-2026 prioriterade fågelarter.docx", "A 35679-2026")</f>
        <v/>
      </c>
    </row>
    <row r="856" ht="15" customHeight="1">
      <c r="A856" t="inlineStr">
        <is>
          <t>A 31510-2026</t>
        </is>
      </c>
      <c r="B856" t="inlineStr">
        <is>
          <t>avverkningsanmälan</t>
        </is>
      </c>
      <c r="C856" t="inlineStr">
        <is>
          <t>Föryngringsavverkning</t>
        </is>
      </c>
      <c r="D856" s="1" t="n">
        <v>46223</v>
      </c>
      <c r="E856" s="1" t="n">
        <v>46307</v>
      </c>
      <c r="F856" t="inlineStr">
        <is>
          <t>VÄRMLANDS LÄN</t>
        </is>
      </c>
      <c r="G856" t="inlineStr">
        <is>
          <t>TORSBY</t>
        </is>
      </c>
      <c r="H856" t="inlineStr">
        <is>
          <t>Bergvik skog väst AB</t>
        </is>
      </c>
      <c r="I856" t="n">
        <v>3.7</v>
      </c>
      <c r="J856" t="n">
        <v>0</v>
      </c>
      <c r="K856" t="n">
        <v>0</v>
      </c>
      <c r="L856" t="n">
        <v>0</v>
      </c>
      <c r="M856" t="n">
        <v>1</v>
      </c>
      <c r="N856" t="n">
        <v>0</v>
      </c>
      <c r="O856" t="n">
        <v>0</v>
      </c>
      <c r="P856" t="n">
        <v>0</v>
      </c>
      <c r="Q856" t="n">
        <v>1</v>
      </c>
      <c r="R856" t="n">
        <v>1</v>
      </c>
      <c r="S856" t="n">
        <v>1</v>
      </c>
      <c r="T856" t="n">
        <v>1</v>
      </c>
      <c r="U856" t="n">
        <v>1</v>
      </c>
      <c r="V856" s="2" t="inlineStr">
        <is>
          <t>Backjordfly</t>
        </is>
      </c>
      <c r="W856">
        <f>HYPERLINK("https://klasma.github.io/Logging_1737/artfynd/A 31510-2026 artfynd.xlsx", "A 31510-2026")</f>
        <v/>
      </c>
      <c r="X856">
        <f>HYPERLINK("https://klasma.github.io/Logging_1737/kartor/A 31510-2026 karta.png", "A 31510-2026")</f>
        <v/>
      </c>
      <c r="Y856">
        <f>HYPERLINK("https://klasma.github.io/Logging_1737/kartor_geotiff/A 31510-2026 georefererad karta.tif", "A 31510-2026")</f>
        <v/>
      </c>
      <c r="AA856">
        <f>HYPERLINK("https://klasma.github.io/Logging_1737/klagomål/A 31510-2026 FSC-klagomål.docx", "A 31510-2026")</f>
        <v/>
      </c>
      <c r="AB856">
        <f>HYPERLINK("https://klasma.github.io/Logging_1737/klagomålsmail/A 31510-2026 FSC-klagomål mail.docx", "A 31510-2026")</f>
        <v/>
      </c>
      <c r="AC856">
        <f>HYPERLINK("https://klasma.github.io/Logging_1737/tillsyn/A 31510-2026 tillsynsbegäran.docx", "A 31510-2026")</f>
        <v/>
      </c>
      <c r="AD856">
        <f>HYPERLINK("https://klasma.github.io/Logging_1737/tillsynsmail/A 31510-2026 tillsynsbegäran mail.docx", "A 31510-2026")</f>
        <v/>
      </c>
    </row>
    <row r="857" ht="15" customHeight="1">
      <c r="A857" t="inlineStr">
        <is>
          <t>A 36041-2026</t>
        </is>
      </c>
      <c r="B857" t="inlineStr">
        <is>
          <t>avverkningsanmälan</t>
        </is>
      </c>
      <c r="C857" t="inlineStr">
        <is>
          <t>Föryngringsavverkning</t>
        </is>
      </c>
      <c r="D857" s="1" t="n">
        <v>46267</v>
      </c>
      <c r="E857" s="1" t="n">
        <v>46307</v>
      </c>
      <c r="F857" t="inlineStr">
        <is>
          <t>VÄRMLANDS LÄN</t>
        </is>
      </c>
      <c r="G857" t="inlineStr">
        <is>
          <t>SUNNE</t>
        </is>
      </c>
      <c r="I857" t="n">
        <v>0.8</v>
      </c>
      <c r="J857" t="n">
        <v>1</v>
      </c>
      <c r="K857" t="n">
        <v>0</v>
      </c>
      <c r="L857" t="n">
        <v>0</v>
      </c>
      <c r="M857" t="n">
        <v>1</v>
      </c>
      <c r="N857" t="n">
        <v>0</v>
      </c>
      <c r="O857" t="n">
        <v>0</v>
      </c>
      <c r="P857" t="n">
        <v>0</v>
      </c>
      <c r="Q857" t="n">
        <v>1</v>
      </c>
      <c r="R857" t="n">
        <v>1</v>
      </c>
      <c r="S857" t="n">
        <v>1</v>
      </c>
      <c r="T857" t="n">
        <v>2</v>
      </c>
      <c r="U857" t="n">
        <v>0</v>
      </c>
      <c r="V857" s="2" t="inlineStr">
        <is>
          <t>Knärot</t>
        </is>
      </c>
      <c r="W857">
        <f>HYPERLINK("https://klasma.github.io/Logging_1766/artfynd/A 36041-2026 artfynd.xlsx", "A 36041-2026")</f>
        <v/>
      </c>
      <c r="X857">
        <f>HYPERLINK("https://klasma.github.io/Logging_1766/kartor/A 36041-2026 karta.png", "A 36041-2026")</f>
        <v/>
      </c>
      <c r="Y857">
        <f>HYPERLINK("https://klasma.github.io/Logging_1766/kartor_geotiff/A 36041-2026 georefererad karta.tif", "A 36041-2026")</f>
        <v/>
      </c>
      <c r="Z857">
        <f>HYPERLINK("https://klasma.github.io/Logging_1766/knärot/A 36041-2026 karta knärot.png", "A 36041-2026")</f>
        <v/>
      </c>
      <c r="AA857">
        <f>HYPERLINK("https://klasma.github.io/Logging_1766/klagomål/A 36041-2026 FSC-klagomål.docx", "A 36041-2026")</f>
        <v/>
      </c>
      <c r="AB857">
        <f>HYPERLINK("https://klasma.github.io/Logging_1766/klagomålsmail/A 36041-2026 FSC-klagomål mail.docx", "A 36041-2026")</f>
        <v/>
      </c>
      <c r="AC857">
        <f>HYPERLINK("https://klasma.github.io/Logging_1766/tillsyn/A 36041-2026 tillsynsbegäran.docx", "A 36041-2026")</f>
        <v/>
      </c>
      <c r="AD857">
        <f>HYPERLINK("https://klasma.github.io/Logging_1766/tillsynsmail/A 36041-2026 tillsynsbegäran mail.docx", "A 36041-2026")</f>
        <v/>
      </c>
    </row>
    <row r="858" ht="15" customHeight="1">
      <c r="A858" t="inlineStr">
        <is>
          <t>A 36223-2026</t>
        </is>
      </c>
      <c r="B858" t="inlineStr">
        <is>
          <t>avverkningsanmälan</t>
        </is>
      </c>
      <c r="C858" t="inlineStr">
        <is>
          <t>Föryngringsavverkning</t>
        </is>
      </c>
      <c r="D858" s="1" t="n">
        <v>46268</v>
      </c>
      <c r="E858" s="1" t="n">
        <v>46307</v>
      </c>
      <c r="F858" t="inlineStr">
        <is>
          <t>VÄRMLANDS LÄN</t>
        </is>
      </c>
      <c r="G858" t="inlineStr">
        <is>
          <t>HAGFORS</t>
        </is>
      </c>
      <c r="H858" t="inlineStr">
        <is>
          <t>Bergvik skog väst AB</t>
        </is>
      </c>
      <c r="I858" t="n">
        <v>8.699999999999999</v>
      </c>
      <c r="J858" t="n">
        <v>1</v>
      </c>
      <c r="K858" t="n">
        <v>0</v>
      </c>
      <c r="L858" t="n">
        <v>0</v>
      </c>
      <c r="M858" t="n">
        <v>0</v>
      </c>
      <c r="N858" t="n">
        <v>0</v>
      </c>
      <c r="O858" t="n">
        <v>0</v>
      </c>
      <c r="P858" t="n">
        <v>0</v>
      </c>
      <c r="Q858" t="n">
        <v>0</v>
      </c>
      <c r="R858" t="n">
        <v>0</v>
      </c>
      <c r="S858" t="n">
        <v>1</v>
      </c>
      <c r="T858" t="n">
        <v>1</v>
      </c>
      <c r="U858" t="n">
        <v>0</v>
      </c>
      <c r="V858" s="2" t="inlineStr">
        <is>
          <t>Gråspett</t>
        </is>
      </c>
      <c r="W858">
        <f>HYPERLINK("https://klasma.github.io/Logging_1783/artfynd/A 36223-2026 artfynd.xlsx", "A 36223-2026")</f>
        <v/>
      </c>
      <c r="X858">
        <f>HYPERLINK("https://klasma.github.io/Logging_1783/kartor/A 36223-2026 karta.png", "A 36223-2026")</f>
        <v/>
      </c>
      <c r="Y858">
        <f>HYPERLINK("https://klasma.github.io/Logging_1783/kartor_geotiff/A 36223-2026 georefererad karta.tif", "A 36223-2026")</f>
        <v/>
      </c>
      <c r="AA858">
        <f>HYPERLINK("https://klasma.github.io/Logging_1783/klagomål/A 36223-2026 FSC-klagomål.docx", "A 36223-2026")</f>
        <v/>
      </c>
      <c r="AB858">
        <f>HYPERLINK("https://klasma.github.io/Logging_1783/klagomålsmail/A 36223-2026 FSC-klagomål mail.docx", "A 36223-2026")</f>
        <v/>
      </c>
      <c r="AC858">
        <f>HYPERLINK("https://klasma.github.io/Logging_1783/tillsyn/A 36223-2026 tillsynsbegäran.docx", "A 36223-2026")</f>
        <v/>
      </c>
      <c r="AD858">
        <f>HYPERLINK("https://klasma.github.io/Logging_1783/tillsynsmail/A 36223-2026 tillsynsbegäran mail.docx", "A 36223-2026")</f>
        <v/>
      </c>
      <c r="AE858">
        <f>HYPERLINK("https://klasma.github.io/Logging_1783/fåglar/A 36223-2026 prioriterade fågelarter.docx", "A 36223-2026")</f>
        <v/>
      </c>
    </row>
    <row r="859" ht="15" customHeight="1">
      <c r="A859" t="inlineStr">
        <is>
          <t>A 36451-2026</t>
        </is>
      </c>
      <c r="B859" t="inlineStr">
        <is>
          <t>avverkningsanmälan</t>
        </is>
      </c>
      <c r="C859" t="inlineStr">
        <is>
          <t>Föryngringsavverkning</t>
        </is>
      </c>
      <c r="D859" s="1" t="n">
        <v>46269</v>
      </c>
      <c r="E859" s="1" t="n">
        <v>46307</v>
      </c>
      <c r="F859" t="inlineStr">
        <is>
          <t>VÄRMLANDS LÄN</t>
        </is>
      </c>
      <c r="G859" t="inlineStr">
        <is>
          <t>EDA</t>
        </is>
      </c>
      <c r="I859" t="n">
        <v>12.6</v>
      </c>
      <c r="J859" t="n">
        <v>1</v>
      </c>
      <c r="K859" t="n">
        <v>0</v>
      </c>
      <c r="L859" t="n">
        <v>1</v>
      </c>
      <c r="M859" t="n">
        <v>0</v>
      </c>
      <c r="N859" t="n">
        <v>0</v>
      </c>
      <c r="O859" t="n">
        <v>0</v>
      </c>
      <c r="P859" t="n">
        <v>0</v>
      </c>
      <c r="Q859" t="n">
        <v>1</v>
      </c>
      <c r="R859" t="n">
        <v>0</v>
      </c>
      <c r="S859" t="n">
        <v>1</v>
      </c>
      <c r="T859" t="n">
        <v>1</v>
      </c>
      <c r="U859" t="n">
        <v>0</v>
      </c>
      <c r="V859" s="2" t="inlineStr">
        <is>
          <t>Rödvingetrast</t>
        </is>
      </c>
      <c r="W859">
        <f>HYPERLINK("https://klasma.github.io/Logging_1730/artfynd/A 36451-2026 artfynd.xlsx", "A 36451-2026")</f>
        <v/>
      </c>
      <c r="X859">
        <f>HYPERLINK("https://klasma.github.io/Logging_1730/kartor/A 36451-2026 karta.png", "A 36451-2026")</f>
        <v/>
      </c>
      <c r="Y859">
        <f>HYPERLINK("https://klasma.github.io/Logging_1730/kartor_geotiff/A 36451-2026 georefererad karta.tif", "A 36451-2026")</f>
        <v/>
      </c>
      <c r="AA859">
        <f>HYPERLINK("https://klasma.github.io/Logging_1730/klagomål/A 36451-2026 FSC-klagomål.docx", "A 36451-2026")</f>
        <v/>
      </c>
      <c r="AB859">
        <f>HYPERLINK("https://klasma.github.io/Logging_1730/klagomålsmail/A 36451-2026 FSC-klagomål mail.docx", "A 36451-2026")</f>
        <v/>
      </c>
      <c r="AC859">
        <f>HYPERLINK("https://klasma.github.io/Logging_1730/tillsyn/A 36451-2026 tillsynsbegäran.docx", "A 36451-2026")</f>
        <v/>
      </c>
      <c r="AD859">
        <f>HYPERLINK("https://klasma.github.io/Logging_1730/tillsynsmail/A 36451-2026 tillsynsbegäran mail.docx", "A 36451-2026")</f>
        <v/>
      </c>
      <c r="AE859">
        <f>HYPERLINK("https://klasma.github.io/Logging_1730/fåglar/A 36451-2026 prioriterade fågelarter.docx", "A 36451-2026")</f>
        <v/>
      </c>
    </row>
    <row r="860" ht="15" customHeight="1">
      <c r="A860" t="inlineStr">
        <is>
          <t>A 31742-2026</t>
        </is>
      </c>
      <c r="B860" t="inlineStr">
        <is>
          <t>avverkningsanmälan</t>
        </is>
      </c>
      <c r="C860" t="inlineStr">
        <is>
          <t>Föryngringsavverkning</t>
        </is>
      </c>
      <c r="D860" s="1" t="n">
        <v>46227</v>
      </c>
      <c r="E860" s="1" t="n">
        <v>46307</v>
      </c>
      <c r="F860" t="inlineStr">
        <is>
          <t>VÄRMLANDS LÄN</t>
        </is>
      </c>
      <c r="G860" t="inlineStr">
        <is>
          <t>HAGFORS</t>
        </is>
      </c>
      <c r="I860" t="n">
        <v>4.2</v>
      </c>
      <c r="J860" t="n">
        <v>0</v>
      </c>
      <c r="K860" t="n">
        <v>0</v>
      </c>
      <c r="L860" t="n">
        <v>1</v>
      </c>
      <c r="M860" t="n">
        <v>0</v>
      </c>
      <c r="N860" t="n">
        <v>0</v>
      </c>
      <c r="O860" t="n">
        <v>0</v>
      </c>
      <c r="P860" t="n">
        <v>0</v>
      </c>
      <c r="Q860" t="n">
        <v>1</v>
      </c>
      <c r="R860" t="n">
        <v>0</v>
      </c>
      <c r="S860" t="n">
        <v>1</v>
      </c>
      <c r="T860" t="n">
        <v>1</v>
      </c>
      <c r="U860" t="n">
        <v>0</v>
      </c>
      <c r="V860" s="2" t="inlineStr">
        <is>
          <t>Motaggsvamp</t>
        </is>
      </c>
      <c r="W860">
        <f>HYPERLINK("https://klasma.github.io/Logging_1783/artfynd/A 31742-2026 artfynd.xlsx", "A 31742-2026")</f>
        <v/>
      </c>
      <c r="X860">
        <f>HYPERLINK("https://klasma.github.io/Logging_1783/kartor/A 31742-2026 karta.png", "A 31742-2026")</f>
        <v/>
      </c>
      <c r="Y860">
        <f>HYPERLINK("https://klasma.github.io/Logging_1783/kartor_geotiff/A 31742-2026 georefererad karta.tif", "A 31742-2026")</f>
        <v/>
      </c>
      <c r="AA860">
        <f>HYPERLINK("https://klasma.github.io/Logging_1783/klagomål/A 31742-2026 FSC-klagomål.docx", "A 31742-2026")</f>
        <v/>
      </c>
      <c r="AB860">
        <f>HYPERLINK("https://klasma.github.io/Logging_1783/klagomålsmail/A 31742-2026 FSC-klagomål mail.docx", "A 31742-2026")</f>
        <v/>
      </c>
      <c r="AC860">
        <f>HYPERLINK("https://klasma.github.io/Logging_1783/tillsyn/A 31742-2026 tillsynsbegäran.docx", "A 31742-2026")</f>
        <v/>
      </c>
      <c r="AD860">
        <f>HYPERLINK("https://klasma.github.io/Logging_1783/tillsynsmail/A 31742-2026 tillsynsbegäran mail.docx", "A 31742-2026")</f>
        <v/>
      </c>
    </row>
    <row r="861" ht="15" customHeight="1">
      <c r="A861" t="inlineStr">
        <is>
          <t>A 36509-2026</t>
        </is>
      </c>
      <c r="B861" t="inlineStr">
        <is>
          <t>avverkningsanmälan</t>
        </is>
      </c>
      <c r="C861" t="inlineStr">
        <is>
          <t>Föryngringsavverkning</t>
        </is>
      </c>
      <c r="D861" s="1" t="n">
        <v>46269</v>
      </c>
      <c r="E861" s="1" t="n">
        <v>46307</v>
      </c>
      <c r="F861" t="inlineStr">
        <is>
          <t>VÄRMLANDS LÄN</t>
        </is>
      </c>
      <c r="G861" t="inlineStr">
        <is>
          <t>EDA</t>
        </is>
      </c>
      <c r="H861" t="inlineStr">
        <is>
          <t>Bergvik skog väst AB</t>
        </is>
      </c>
      <c r="I861" t="n">
        <v>19.4</v>
      </c>
      <c r="J861" t="n">
        <v>0</v>
      </c>
      <c r="K861" t="n">
        <v>1</v>
      </c>
      <c r="L861" t="n">
        <v>0</v>
      </c>
      <c r="M861" t="n">
        <v>0</v>
      </c>
      <c r="N861" t="n">
        <v>0</v>
      </c>
      <c r="O861" t="n">
        <v>0</v>
      </c>
      <c r="P861" t="n">
        <v>0</v>
      </c>
      <c r="Q861" t="n">
        <v>0</v>
      </c>
      <c r="R861" t="n">
        <v>0</v>
      </c>
      <c r="S861" t="n">
        <v>1</v>
      </c>
      <c r="T861" t="n">
        <v>1</v>
      </c>
      <c r="U861" t="n">
        <v>0</v>
      </c>
      <c r="V861" s="2" t="inlineStr">
        <is>
          <t>Källpraktmossa</t>
        </is>
      </c>
      <c r="W861">
        <f>HYPERLINK("https://klasma.github.io/Logging_1730/artfynd/A 36509-2026 artfynd.xlsx", "A 36509-2026")</f>
        <v/>
      </c>
      <c r="X861">
        <f>HYPERLINK("https://klasma.github.io/Logging_1730/kartor/A 36509-2026 karta.png", "A 36509-2026")</f>
        <v/>
      </c>
      <c r="Y861">
        <f>HYPERLINK("https://klasma.github.io/Logging_1730/kartor_geotiff/A 36509-2026 georefererad karta.tif", "A 36509-2026")</f>
        <v/>
      </c>
      <c r="AA861">
        <f>HYPERLINK("https://klasma.github.io/Logging_1730/klagomål/A 36509-2026 FSC-klagomål.docx", "A 36509-2026")</f>
        <v/>
      </c>
      <c r="AB861">
        <f>HYPERLINK("https://klasma.github.io/Logging_1730/klagomålsmail/A 36509-2026 FSC-klagomål mail.docx", "A 36509-2026")</f>
        <v/>
      </c>
      <c r="AC861">
        <f>HYPERLINK("https://klasma.github.io/Logging_1730/tillsyn/A 36509-2026 tillsynsbegäran.docx", "A 36509-2026")</f>
        <v/>
      </c>
      <c r="AD861">
        <f>HYPERLINK("https://klasma.github.io/Logging_1730/tillsynsmail/A 36509-2026 tillsynsbegäran mail.docx", "A 36509-2026")</f>
        <v/>
      </c>
    </row>
    <row r="862" ht="15" customHeight="1">
      <c r="A862" t="inlineStr">
        <is>
          <t>A 31823-2026</t>
        </is>
      </c>
      <c r="B862" t="inlineStr">
        <is>
          <t>avverkningsanmälan</t>
        </is>
      </c>
      <c r="C862" t="inlineStr">
        <is>
          <t>Föryngringsavverkning</t>
        </is>
      </c>
      <c r="D862" s="1" t="n">
        <v>46230</v>
      </c>
      <c r="E862" s="1" t="n">
        <v>46307</v>
      </c>
      <c r="F862" t="inlineStr">
        <is>
          <t>VÄRMLANDS LÄN</t>
        </is>
      </c>
      <c r="G862" t="inlineStr">
        <is>
          <t>TORSBY</t>
        </is>
      </c>
      <c r="I862" t="n">
        <v>4.7</v>
      </c>
      <c r="J862" t="n">
        <v>0</v>
      </c>
      <c r="K862" t="n">
        <v>1</v>
      </c>
      <c r="L862" t="n">
        <v>0</v>
      </c>
      <c r="M862" t="n">
        <v>0</v>
      </c>
      <c r="N862" t="n">
        <v>0</v>
      </c>
      <c r="O862" t="n">
        <v>0</v>
      </c>
      <c r="P862" t="n">
        <v>0</v>
      </c>
      <c r="Q862" t="n">
        <v>0</v>
      </c>
      <c r="R862" t="n">
        <v>0</v>
      </c>
      <c r="S862" t="n">
        <v>1</v>
      </c>
      <c r="T862" t="n">
        <v>1</v>
      </c>
      <c r="U862" t="n">
        <v>1</v>
      </c>
      <c r="V862" s="2" t="inlineStr">
        <is>
          <t>Svart trolldruva</t>
        </is>
      </c>
      <c r="W862">
        <f>HYPERLINK("https://klasma.github.io/Logging_1737/artfynd/A 31823-2026 artfynd.xlsx", "A 31823-2026")</f>
        <v/>
      </c>
      <c r="X862">
        <f>HYPERLINK("https://klasma.github.io/Logging_1737/kartor/A 31823-2026 karta.png", "A 31823-2026")</f>
        <v/>
      </c>
      <c r="Y862">
        <f>HYPERLINK("https://klasma.github.io/Logging_1737/kartor_geotiff/A 31823-2026 georefererad karta.tif", "A 31823-2026")</f>
        <v/>
      </c>
      <c r="AA862">
        <f>HYPERLINK("https://klasma.github.io/Logging_1737/klagomål/A 31823-2026 FSC-klagomål.docx", "A 31823-2026")</f>
        <v/>
      </c>
      <c r="AB862">
        <f>HYPERLINK("https://klasma.github.io/Logging_1737/klagomålsmail/A 31823-2026 FSC-klagomål mail.docx", "A 31823-2026")</f>
        <v/>
      </c>
      <c r="AC862">
        <f>HYPERLINK("https://klasma.github.io/Logging_1737/tillsyn/A 31823-2026 tillsynsbegäran.docx", "A 31823-2026")</f>
        <v/>
      </c>
      <c r="AD862">
        <f>HYPERLINK("https://klasma.github.io/Logging_1737/tillsynsmail/A 31823-2026 tillsynsbegäran mail.docx", "A 31823-2026")</f>
        <v/>
      </c>
    </row>
    <row r="863" ht="15" customHeight="1">
      <c r="A863" t="inlineStr">
        <is>
          <t>A 31797-2026</t>
        </is>
      </c>
      <c r="B863" t="inlineStr">
        <is>
          <t>avverkningsanmälan</t>
        </is>
      </c>
      <c r="C863" t="inlineStr">
        <is>
          <t>Föryngringsavverkning</t>
        </is>
      </c>
      <c r="D863" s="1" t="n">
        <v>46230</v>
      </c>
      <c r="E863" s="1" t="n">
        <v>46307</v>
      </c>
      <c r="F863" t="inlineStr">
        <is>
          <t>VÄRMLANDS LÄN</t>
        </is>
      </c>
      <c r="G863" t="inlineStr">
        <is>
          <t>ARVIKA</t>
        </is>
      </c>
      <c r="I863" t="n">
        <v>1</v>
      </c>
      <c r="J863" t="n">
        <v>0</v>
      </c>
      <c r="K863" t="n">
        <v>0</v>
      </c>
      <c r="L863" t="n">
        <v>1</v>
      </c>
      <c r="M863" t="n">
        <v>0</v>
      </c>
      <c r="N863" t="n">
        <v>0</v>
      </c>
      <c r="O863" t="n">
        <v>0</v>
      </c>
      <c r="P863" t="n">
        <v>0</v>
      </c>
      <c r="Q863" t="n">
        <v>1</v>
      </c>
      <c r="R863" t="n">
        <v>0</v>
      </c>
      <c r="S863" t="n">
        <v>1</v>
      </c>
      <c r="T863" t="n">
        <v>1</v>
      </c>
      <c r="U863" t="n">
        <v>0</v>
      </c>
      <c r="V863" s="2" t="inlineStr">
        <is>
          <t>Lunglav</t>
        </is>
      </c>
      <c r="W863">
        <f>HYPERLINK("https://klasma.github.io/Logging_1784/artfynd/A 31797-2026 artfynd.xlsx", "A 31797-2026")</f>
        <v/>
      </c>
      <c r="X863">
        <f>HYPERLINK("https://klasma.github.io/Logging_1784/kartor/A 31797-2026 karta.png", "A 31797-2026")</f>
        <v/>
      </c>
      <c r="Y863">
        <f>HYPERLINK("https://klasma.github.io/Logging_1784/kartor_geotiff/A 31797-2026 georefererad karta.tif", "A 31797-2026")</f>
        <v/>
      </c>
      <c r="AA863">
        <f>HYPERLINK("https://klasma.github.io/Logging_1784/klagomål/A 31797-2026 FSC-klagomål.docx", "A 31797-2026")</f>
        <v/>
      </c>
      <c r="AB863">
        <f>HYPERLINK("https://klasma.github.io/Logging_1784/klagomålsmail/A 31797-2026 FSC-klagomål mail.docx", "A 31797-2026")</f>
        <v/>
      </c>
      <c r="AC863">
        <f>HYPERLINK("https://klasma.github.io/Logging_1784/tillsyn/A 31797-2026 tillsynsbegäran.docx", "A 31797-2026")</f>
        <v/>
      </c>
      <c r="AD863">
        <f>HYPERLINK("https://klasma.github.io/Logging_1784/tillsynsmail/A 31797-2026 tillsynsbegäran mail.docx", "A 31797-2026")</f>
        <v/>
      </c>
    </row>
    <row r="864" ht="15" customHeight="1">
      <c r="A864" t="inlineStr">
        <is>
          <t>A 37931-2026</t>
        </is>
      </c>
      <c r="B864" t="inlineStr">
        <is>
          <t>avverkningsanmälan</t>
        </is>
      </c>
      <c r="C864" t="inlineStr">
        <is>
          <t>Föryngringsavverkning</t>
        </is>
      </c>
      <c r="D864" s="1" t="n">
        <v>46280</v>
      </c>
      <c r="E864" s="1" t="n">
        <v>46307</v>
      </c>
      <c r="F864" t="inlineStr">
        <is>
          <t>VÄRMLANDS LÄN</t>
        </is>
      </c>
      <c r="G864" t="inlineStr">
        <is>
          <t>SUNNE</t>
        </is>
      </c>
      <c r="I864" t="n">
        <v>2.3</v>
      </c>
      <c r="J864" t="n">
        <v>1</v>
      </c>
      <c r="K864" t="n">
        <v>0</v>
      </c>
      <c r="L864" t="n">
        <v>0</v>
      </c>
      <c r="M864" t="n">
        <v>0</v>
      </c>
      <c r="N864" t="n">
        <v>0</v>
      </c>
      <c r="O864" t="n">
        <v>0</v>
      </c>
      <c r="P864" t="n">
        <v>0</v>
      </c>
      <c r="Q864" t="n">
        <v>0</v>
      </c>
      <c r="R864" t="n">
        <v>0</v>
      </c>
      <c r="S864" t="n">
        <v>1</v>
      </c>
      <c r="T864" t="n">
        <v>1</v>
      </c>
      <c r="U864" t="n">
        <v>0</v>
      </c>
      <c r="V864" s="2" t="inlineStr">
        <is>
          <t>Tjäder</t>
        </is>
      </c>
      <c r="W864">
        <f>HYPERLINK("https://klasma.github.io/Logging_1766/artfynd/A 37931-2026 artfynd.xlsx", "A 37931-2026")</f>
        <v/>
      </c>
      <c r="X864">
        <f>HYPERLINK("https://klasma.github.io/Logging_1766/kartor/A 37931-2026 karta.png", "A 37931-2026")</f>
        <v/>
      </c>
      <c r="Y864">
        <f>HYPERLINK("https://klasma.github.io/Logging_1766/kartor_geotiff/A 37931-2026 georefererad karta.tif", "A 37931-2026")</f>
        <v/>
      </c>
      <c r="AA864">
        <f>HYPERLINK("https://klasma.github.io/Logging_1766/klagomål/A 37931-2026 FSC-klagomål.docx", "A 37931-2026")</f>
        <v/>
      </c>
      <c r="AB864">
        <f>HYPERLINK("https://klasma.github.io/Logging_1766/klagomålsmail/A 37931-2026 FSC-klagomål mail.docx", "A 37931-2026")</f>
        <v/>
      </c>
      <c r="AC864">
        <f>HYPERLINK("https://klasma.github.io/Logging_1766/tillsyn/A 37931-2026 tillsynsbegäran.docx", "A 37931-2026")</f>
        <v/>
      </c>
      <c r="AD864">
        <f>HYPERLINK("https://klasma.github.io/Logging_1766/tillsynsmail/A 37931-2026 tillsynsbegäran mail.docx", "A 37931-2026")</f>
        <v/>
      </c>
      <c r="AE864">
        <f>HYPERLINK("https://klasma.github.io/Logging_1766/fåglar/A 37931-2026 prioriterade fågelarter.docx", "A 37931-2026")</f>
        <v/>
      </c>
    </row>
    <row r="865" ht="15" customHeight="1">
      <c r="A865" t="inlineStr">
        <is>
          <t>A 37943-2026</t>
        </is>
      </c>
      <c r="B865" t="inlineStr">
        <is>
          <t>avverkningsanmälan</t>
        </is>
      </c>
      <c r="C865" t="inlineStr">
        <is>
          <t>Föryngringsavverkning</t>
        </is>
      </c>
      <c r="D865" s="1" t="n">
        <v>46280</v>
      </c>
      <c r="E865" s="1" t="n">
        <v>46307</v>
      </c>
      <c r="F865" t="inlineStr">
        <is>
          <t>VÄRMLANDS LÄN</t>
        </is>
      </c>
      <c r="G865" t="inlineStr">
        <is>
          <t>SÄFFLE</t>
        </is>
      </c>
      <c r="I865" t="n">
        <v>1.6</v>
      </c>
      <c r="J865" t="n">
        <v>0</v>
      </c>
      <c r="K865" t="n">
        <v>0</v>
      </c>
      <c r="L865" t="n">
        <v>1</v>
      </c>
      <c r="M865" t="n">
        <v>0</v>
      </c>
      <c r="N865" t="n">
        <v>0</v>
      </c>
      <c r="O865" t="n">
        <v>0</v>
      </c>
      <c r="P865" t="n">
        <v>0</v>
      </c>
      <c r="Q865" t="n">
        <v>1</v>
      </c>
      <c r="R865" t="n">
        <v>0</v>
      </c>
      <c r="S865" t="n">
        <v>1</v>
      </c>
      <c r="T865" t="n">
        <v>1</v>
      </c>
      <c r="U865" t="n">
        <v>0</v>
      </c>
      <c r="V865" s="2" t="inlineStr">
        <is>
          <t>Rönnfibbla</t>
        </is>
      </c>
      <c r="W865">
        <f>HYPERLINK("https://klasma.github.io/Logging_1785/artfynd/A 37943-2026 artfynd.xlsx", "A 37943-2026")</f>
        <v/>
      </c>
      <c r="X865">
        <f>HYPERLINK("https://klasma.github.io/Logging_1785/kartor/A 37943-2026 karta.png", "A 37943-2026")</f>
        <v/>
      </c>
      <c r="Y865">
        <f>HYPERLINK("https://klasma.github.io/Logging_1785/kartor_geotiff/A 37943-2026 georefererad karta.tif", "A 37943-2026")</f>
        <v/>
      </c>
      <c r="AA865">
        <f>HYPERLINK("https://klasma.github.io/Logging_1785/klagomål/A 37943-2026 FSC-klagomål.docx", "A 37943-2026")</f>
        <v/>
      </c>
      <c r="AB865">
        <f>HYPERLINK("https://klasma.github.io/Logging_1785/klagomålsmail/A 37943-2026 FSC-klagomål mail.docx", "A 37943-2026")</f>
        <v/>
      </c>
      <c r="AC865">
        <f>HYPERLINK("https://klasma.github.io/Logging_1785/tillsyn/A 37943-2026 tillsynsbegäran.docx", "A 37943-2026")</f>
        <v/>
      </c>
      <c r="AD865">
        <f>HYPERLINK("https://klasma.github.io/Logging_1785/tillsynsmail/A 37943-2026 tillsynsbegäran mail.docx", "A 37943-2026")</f>
        <v/>
      </c>
    </row>
    <row r="866" ht="15" customHeight="1">
      <c r="A866" t="inlineStr">
        <is>
          <t>A 32489-2026</t>
        </is>
      </c>
      <c r="B866" t="inlineStr">
        <is>
          <t>avverkningsanmälan</t>
        </is>
      </c>
      <c r="C866" t="inlineStr">
        <is>
          <t>Föryngringsavverkning</t>
        </is>
      </c>
      <c r="D866" s="1" t="n">
        <v>46239</v>
      </c>
      <c r="E866" s="1" t="n">
        <v>46307</v>
      </c>
      <c r="F866" t="inlineStr">
        <is>
          <t>VÄRMLANDS LÄN</t>
        </is>
      </c>
      <c r="G866" t="inlineStr">
        <is>
          <t>ÅRJÄNG</t>
        </is>
      </c>
      <c r="I866" t="n">
        <v>4.4</v>
      </c>
      <c r="J866" t="n">
        <v>1</v>
      </c>
      <c r="K866" t="n">
        <v>0</v>
      </c>
      <c r="L866" t="n">
        <v>1</v>
      </c>
      <c r="M866" t="n">
        <v>0</v>
      </c>
      <c r="N866" t="n">
        <v>0</v>
      </c>
      <c r="O866" t="n">
        <v>0</v>
      </c>
      <c r="P866" t="n">
        <v>0</v>
      </c>
      <c r="Q866" t="n">
        <v>1</v>
      </c>
      <c r="R866" t="n">
        <v>0</v>
      </c>
      <c r="S866" t="n">
        <v>1</v>
      </c>
      <c r="T866" t="n">
        <v>1</v>
      </c>
      <c r="U866" t="n">
        <v>0</v>
      </c>
      <c r="V866" s="2" t="inlineStr">
        <is>
          <t>Mindre hackspett</t>
        </is>
      </c>
      <c r="W866">
        <f>HYPERLINK("https://klasma.github.io/Logging_1765/artfynd/A 32489-2026 artfynd.xlsx", "A 32489-2026")</f>
        <v/>
      </c>
      <c r="X866">
        <f>HYPERLINK("https://klasma.github.io/Logging_1765/kartor/A 32489-2026 karta.png", "A 32489-2026")</f>
        <v/>
      </c>
      <c r="Y866">
        <f>HYPERLINK("https://klasma.github.io/Logging_1765/kartor_geotiff/A 32489-2026 georefererad karta.tif", "A 32489-2026")</f>
        <v/>
      </c>
      <c r="AA866">
        <f>HYPERLINK("https://klasma.github.io/Logging_1765/klagomål/A 32489-2026 FSC-klagomål.docx", "A 32489-2026")</f>
        <v/>
      </c>
      <c r="AB866">
        <f>HYPERLINK("https://klasma.github.io/Logging_1765/klagomålsmail/A 32489-2026 FSC-klagomål mail.docx", "A 32489-2026")</f>
        <v/>
      </c>
      <c r="AC866">
        <f>HYPERLINK("https://klasma.github.io/Logging_1765/tillsyn/A 32489-2026 tillsynsbegäran.docx", "A 32489-2026")</f>
        <v/>
      </c>
      <c r="AD866">
        <f>HYPERLINK("https://klasma.github.io/Logging_1765/tillsynsmail/A 32489-2026 tillsynsbegäran mail.docx", "A 32489-2026")</f>
        <v/>
      </c>
      <c r="AE866">
        <f>HYPERLINK("https://klasma.github.io/Logging_1765/fåglar/A 32489-2026 prioriterade fågelarter.docx", "A 32489-2026")</f>
        <v/>
      </c>
    </row>
    <row r="867" ht="15" customHeight="1">
      <c r="A867" t="inlineStr">
        <is>
          <t>A 32592-2026</t>
        </is>
      </c>
      <c r="B867" t="inlineStr">
        <is>
          <t>avverkningsanmälan</t>
        </is>
      </c>
      <c r="C867" t="inlineStr">
        <is>
          <t>Föryngringsavverkning</t>
        </is>
      </c>
      <c r="D867" s="1" t="n">
        <v>46240</v>
      </c>
      <c r="E867" s="1" t="n">
        <v>46307</v>
      </c>
      <c r="F867" t="inlineStr">
        <is>
          <t>VÄRMLANDS LÄN</t>
        </is>
      </c>
      <c r="G867" t="inlineStr">
        <is>
          <t>HAGFORS</t>
        </is>
      </c>
      <c r="H867" t="inlineStr">
        <is>
          <t>Bergvik skog väst AB</t>
        </is>
      </c>
      <c r="I867" t="n">
        <v>30.8</v>
      </c>
      <c r="J867" t="n">
        <v>0</v>
      </c>
      <c r="K867" t="n">
        <v>0</v>
      </c>
      <c r="L867" t="n">
        <v>1</v>
      </c>
      <c r="M867" t="n">
        <v>0</v>
      </c>
      <c r="N867" t="n">
        <v>0</v>
      </c>
      <c r="O867" t="n">
        <v>0</v>
      </c>
      <c r="P867" t="n">
        <v>0</v>
      </c>
      <c r="Q867" t="n">
        <v>1</v>
      </c>
      <c r="R867" t="n">
        <v>0</v>
      </c>
      <c r="S867" t="n">
        <v>1</v>
      </c>
      <c r="T867" t="n">
        <v>1</v>
      </c>
      <c r="U867" t="n">
        <v>0</v>
      </c>
      <c r="V867" s="2" t="inlineStr">
        <is>
          <t>Lunglav</t>
        </is>
      </c>
      <c r="W867">
        <f>HYPERLINK("https://klasma.github.io/Logging_1783/artfynd/A 32592-2026 artfynd.xlsx", "A 32592-2026")</f>
        <v/>
      </c>
      <c r="X867">
        <f>HYPERLINK("https://klasma.github.io/Logging_1783/kartor/A 32592-2026 karta.png", "A 32592-2026")</f>
        <v/>
      </c>
      <c r="Y867">
        <f>HYPERLINK("https://klasma.github.io/Logging_1783/kartor_geotiff/A 32592-2026 georefererad karta.tif", "A 32592-2026")</f>
        <v/>
      </c>
      <c r="AA867">
        <f>HYPERLINK("https://klasma.github.io/Logging_1783/klagomål/A 32592-2026 FSC-klagomål.docx", "A 32592-2026")</f>
        <v/>
      </c>
      <c r="AB867">
        <f>HYPERLINK("https://klasma.github.io/Logging_1783/klagomålsmail/A 32592-2026 FSC-klagomål mail.docx", "A 32592-2026")</f>
        <v/>
      </c>
      <c r="AC867">
        <f>HYPERLINK("https://klasma.github.io/Logging_1783/tillsyn/A 32592-2026 tillsynsbegäran.docx", "A 32592-2026")</f>
        <v/>
      </c>
      <c r="AD867">
        <f>HYPERLINK("https://klasma.github.io/Logging_1783/tillsynsmail/A 32592-2026 tillsynsbegäran mail.docx", "A 32592-2026")</f>
        <v/>
      </c>
    </row>
    <row r="868" ht="15" customHeight="1">
      <c r="A868" t="inlineStr">
        <is>
          <t>A 38614-2026</t>
        </is>
      </c>
      <c r="B868" t="inlineStr">
        <is>
          <t>avverkningsanmälan</t>
        </is>
      </c>
      <c r="C868" t="inlineStr">
        <is>
          <t>Föryngringsavverkning</t>
        </is>
      </c>
      <c r="D868" s="1" t="n">
        <v>46283</v>
      </c>
      <c r="E868" s="1" t="n">
        <v>46307</v>
      </c>
      <c r="F868" t="inlineStr">
        <is>
          <t>VÄRMLANDS LÄN</t>
        </is>
      </c>
      <c r="G868" t="inlineStr">
        <is>
          <t>TORSBY</t>
        </is>
      </c>
      <c r="H868" t="inlineStr">
        <is>
          <t>Bergvik skog väst AB</t>
        </is>
      </c>
      <c r="I868" t="n">
        <v>17.3</v>
      </c>
      <c r="J868" t="n">
        <v>1</v>
      </c>
      <c r="K868" t="n">
        <v>0</v>
      </c>
      <c r="L868" t="n">
        <v>1</v>
      </c>
      <c r="M868" t="n">
        <v>0</v>
      </c>
      <c r="N868" t="n">
        <v>0</v>
      </c>
      <c r="O868" t="n">
        <v>0</v>
      </c>
      <c r="P868" t="n">
        <v>0</v>
      </c>
      <c r="Q868" t="n">
        <v>1</v>
      </c>
      <c r="R868" t="n">
        <v>0</v>
      </c>
      <c r="S868" t="n">
        <v>1</v>
      </c>
      <c r="T868" t="n">
        <v>1</v>
      </c>
      <c r="U868" t="n">
        <v>0</v>
      </c>
      <c r="V868" s="2" t="inlineStr">
        <is>
          <t>Nordfladdermus</t>
        </is>
      </c>
      <c r="W868">
        <f>HYPERLINK("https://klasma.github.io/Logging_1737/artfynd/A 38614-2026 artfynd.xlsx", "A 38614-2026")</f>
        <v/>
      </c>
      <c r="X868">
        <f>HYPERLINK("https://klasma.github.io/Logging_1737/kartor/A 38614-2026 karta.png", "A 38614-2026")</f>
        <v/>
      </c>
      <c r="Y868">
        <f>HYPERLINK("https://klasma.github.io/Logging_1737/kartor_geotiff/A 38614-2026 georefererad karta.tif", "A 38614-2026")</f>
        <v/>
      </c>
      <c r="AA868">
        <f>HYPERLINK("https://klasma.github.io/Logging_1737/klagomål/A 38614-2026 FSC-klagomål.docx", "A 38614-2026")</f>
        <v/>
      </c>
      <c r="AB868">
        <f>HYPERLINK("https://klasma.github.io/Logging_1737/klagomålsmail/A 38614-2026 FSC-klagomål mail.docx", "A 38614-2026")</f>
        <v/>
      </c>
      <c r="AC868">
        <f>HYPERLINK("https://klasma.github.io/Logging_1737/tillsyn/A 38614-2026 tillsynsbegäran.docx", "A 38614-2026")</f>
        <v/>
      </c>
      <c r="AD868">
        <f>HYPERLINK("https://klasma.github.io/Logging_1737/tillsynsmail/A 38614-2026 tillsynsbegäran mail.docx", "A 38614-2026")</f>
        <v/>
      </c>
    </row>
    <row r="869" ht="15" customHeight="1">
      <c r="A869" t="inlineStr">
        <is>
          <t>A 38703-2026</t>
        </is>
      </c>
      <c r="B869" t="inlineStr">
        <is>
          <t>avverkningsanmälan</t>
        </is>
      </c>
      <c r="C869" t="inlineStr">
        <is>
          <t>Föryngringsavverkning</t>
        </is>
      </c>
      <c r="D869" s="1" t="n">
        <v>46283</v>
      </c>
      <c r="E869" s="1" t="n">
        <v>46307</v>
      </c>
      <c r="F869" t="inlineStr">
        <is>
          <t>VÄRMLANDS LÄN</t>
        </is>
      </c>
      <c r="G869" t="inlineStr">
        <is>
          <t>TORSBY</t>
        </is>
      </c>
      <c r="I869" t="n">
        <v>5.2</v>
      </c>
      <c r="J869" t="n">
        <v>0</v>
      </c>
      <c r="K869" t="n">
        <v>0</v>
      </c>
      <c r="L869" t="n">
        <v>1</v>
      </c>
      <c r="M869" t="n">
        <v>0</v>
      </c>
      <c r="N869" t="n">
        <v>0</v>
      </c>
      <c r="O869" t="n">
        <v>0</v>
      </c>
      <c r="P869" t="n">
        <v>0</v>
      </c>
      <c r="Q869" t="n">
        <v>1</v>
      </c>
      <c r="R869" t="n">
        <v>0</v>
      </c>
      <c r="S869" t="n">
        <v>1</v>
      </c>
      <c r="T869" t="n">
        <v>1</v>
      </c>
      <c r="U869" t="n">
        <v>0</v>
      </c>
      <c r="V869" s="2" t="inlineStr">
        <is>
          <t>Lunglav</t>
        </is>
      </c>
      <c r="W869">
        <f>HYPERLINK("https://klasma.github.io/Logging_1737/artfynd/A 38703-2026 artfynd.xlsx", "A 38703-2026")</f>
        <v/>
      </c>
      <c r="X869">
        <f>HYPERLINK("https://klasma.github.io/Logging_1737/kartor/A 38703-2026 karta.png", "A 38703-2026")</f>
        <v/>
      </c>
      <c r="Y869">
        <f>HYPERLINK("https://klasma.github.io/Logging_1737/kartor_geotiff/A 38703-2026 georefererad karta.tif", "A 38703-2026")</f>
        <v/>
      </c>
      <c r="AA869">
        <f>HYPERLINK("https://klasma.github.io/Logging_1737/klagomål/A 38703-2026 FSC-klagomål.docx", "A 38703-2026")</f>
        <v/>
      </c>
      <c r="AB869">
        <f>HYPERLINK("https://klasma.github.io/Logging_1737/klagomålsmail/A 38703-2026 FSC-klagomål mail.docx", "A 38703-2026")</f>
        <v/>
      </c>
      <c r="AC869">
        <f>HYPERLINK("https://klasma.github.io/Logging_1737/tillsyn/A 38703-2026 tillsynsbegäran.docx", "A 38703-2026")</f>
        <v/>
      </c>
      <c r="AD869">
        <f>HYPERLINK("https://klasma.github.io/Logging_1737/tillsynsmail/A 38703-2026 tillsynsbegäran mail.docx", "A 38703-2026")</f>
        <v/>
      </c>
    </row>
    <row r="870" ht="15" customHeight="1">
      <c r="A870" t="inlineStr">
        <is>
          <t>A 39237-2026</t>
        </is>
      </c>
      <c r="B870" t="inlineStr">
        <is>
          <t>avverkningsanmälan</t>
        </is>
      </c>
      <c r="C870" t="inlineStr">
        <is>
          <t>Föryngringsavverkning</t>
        </is>
      </c>
      <c r="D870" s="1" t="n">
        <v>46287</v>
      </c>
      <c r="E870" s="1" t="n">
        <v>46307</v>
      </c>
      <c r="F870" t="inlineStr">
        <is>
          <t>VÄRMLANDS LÄN</t>
        </is>
      </c>
      <c r="G870" t="inlineStr">
        <is>
          <t>TORSBY</t>
        </is>
      </c>
      <c r="I870" t="n">
        <v>0.4</v>
      </c>
      <c r="J870" t="n">
        <v>0</v>
      </c>
      <c r="K870" t="n">
        <v>0</v>
      </c>
      <c r="L870" t="n">
        <v>0</v>
      </c>
      <c r="M870" t="n">
        <v>1</v>
      </c>
      <c r="N870" t="n">
        <v>0</v>
      </c>
      <c r="O870" t="n">
        <v>0</v>
      </c>
      <c r="P870" t="n">
        <v>0</v>
      </c>
      <c r="Q870" t="n">
        <v>1</v>
      </c>
      <c r="R870" t="n">
        <v>1</v>
      </c>
      <c r="S870" t="n">
        <v>1</v>
      </c>
      <c r="T870" t="n">
        <v>1</v>
      </c>
      <c r="U870" t="n">
        <v>0</v>
      </c>
      <c r="V870" s="2" t="inlineStr">
        <is>
          <t>Garnlav</t>
        </is>
      </c>
      <c r="W870">
        <f>HYPERLINK("https://klasma.github.io/Logging_1737/artfynd/A 39237-2026 artfynd.xlsx", "A 39237-2026")</f>
        <v/>
      </c>
      <c r="X870">
        <f>HYPERLINK("https://klasma.github.io/Logging_1737/kartor/A 39237-2026 karta.png", "A 39237-2026")</f>
        <v/>
      </c>
      <c r="Y870">
        <f>HYPERLINK("https://klasma.github.io/Logging_1737/kartor_geotiff/A 39237-2026 georefererad karta.tif", "A 39237-2026")</f>
        <v/>
      </c>
      <c r="AA870">
        <f>HYPERLINK("https://klasma.github.io/Logging_1737/klagomål/A 39237-2026 FSC-klagomål.docx", "A 39237-2026")</f>
        <v/>
      </c>
      <c r="AB870">
        <f>HYPERLINK("https://klasma.github.io/Logging_1737/klagomålsmail/A 39237-2026 FSC-klagomål mail.docx", "A 39237-2026")</f>
        <v/>
      </c>
      <c r="AC870">
        <f>HYPERLINK("https://klasma.github.io/Logging_1737/tillsyn/A 39237-2026 tillsynsbegäran.docx", "A 39237-2026")</f>
        <v/>
      </c>
      <c r="AD870">
        <f>HYPERLINK("https://klasma.github.io/Logging_1737/tillsynsmail/A 39237-2026 tillsynsbegäran mail.docx", "A 39237-2026")</f>
        <v/>
      </c>
    </row>
    <row r="871" ht="15" customHeight="1">
      <c r="A871" t="inlineStr">
        <is>
          <t>A 39469-2026</t>
        </is>
      </c>
      <c r="B871" t="inlineStr">
        <is>
          <t>avverkningsanmälan</t>
        </is>
      </c>
      <c r="C871" t="inlineStr">
        <is>
          <t>Föryngringsavverkning</t>
        </is>
      </c>
      <c r="D871" s="1" t="n">
        <v>46288</v>
      </c>
      <c r="E871" s="1" t="n">
        <v>46307</v>
      </c>
      <c r="F871" t="inlineStr">
        <is>
          <t>VÄRMLANDS LÄN</t>
        </is>
      </c>
      <c r="G871" t="inlineStr">
        <is>
          <t>ARVIKA</t>
        </is>
      </c>
      <c r="H871" t="inlineStr">
        <is>
          <t>Kyrkan</t>
        </is>
      </c>
      <c r="I871" t="n">
        <v>3.2</v>
      </c>
      <c r="J871" t="n">
        <v>1</v>
      </c>
      <c r="K871" t="n">
        <v>0</v>
      </c>
      <c r="L871" t="n">
        <v>0</v>
      </c>
      <c r="M871" t="n">
        <v>0</v>
      </c>
      <c r="N871" t="n">
        <v>0</v>
      </c>
      <c r="O871" t="n">
        <v>0</v>
      </c>
      <c r="P871" t="n">
        <v>0</v>
      </c>
      <c r="Q871" t="n">
        <v>0</v>
      </c>
      <c r="R871" t="n">
        <v>0</v>
      </c>
      <c r="S871" t="n">
        <v>1</v>
      </c>
      <c r="T871" t="n">
        <v>1</v>
      </c>
      <c r="U871" t="n">
        <v>0</v>
      </c>
      <c r="V871" s="2" t="inlineStr">
        <is>
          <t>Nattviol</t>
        </is>
      </c>
      <c r="W871">
        <f>HYPERLINK("https://klasma.github.io/Logging_1784/artfynd/A 39469-2026 artfynd.xlsx", "A 39469-2026")</f>
        <v/>
      </c>
      <c r="X871">
        <f>HYPERLINK("https://klasma.github.io/Logging_1784/kartor/A 39469-2026 karta.png", "A 39469-2026")</f>
        <v/>
      </c>
      <c r="Y871">
        <f>HYPERLINK("https://klasma.github.io/Logging_1784/kartor_geotiff/A 39469-2026 georefererad karta.tif", "A 39469-2026")</f>
        <v/>
      </c>
      <c r="AA871">
        <f>HYPERLINK("https://klasma.github.io/Logging_1784/klagomål/A 39469-2026 FSC-klagomål.docx", "A 39469-2026")</f>
        <v/>
      </c>
      <c r="AB871">
        <f>HYPERLINK("https://klasma.github.io/Logging_1784/klagomålsmail/A 39469-2026 FSC-klagomål mail.docx", "A 39469-2026")</f>
        <v/>
      </c>
      <c r="AC871">
        <f>HYPERLINK("https://klasma.github.io/Logging_1784/tillsyn/A 39469-2026 tillsynsbegäran.docx", "A 39469-2026")</f>
        <v/>
      </c>
      <c r="AD871">
        <f>HYPERLINK("https://klasma.github.io/Logging_1784/tillsynsmail/A 39469-2026 tillsynsbegäran mail.docx", "A 39469-2026")</f>
        <v/>
      </c>
    </row>
    <row r="872" ht="15" customHeight="1">
      <c r="A872" t="inlineStr">
        <is>
          <t>A 49894-2025</t>
        </is>
      </c>
      <c r="B872" t="inlineStr">
        <is>
          <t>avverkningsanmälan</t>
        </is>
      </c>
      <c r="C872" t="inlineStr">
        <is>
          <t>Föryngringsavverkning</t>
        </is>
      </c>
      <c r="D872" s="1" t="n">
        <v>45940</v>
      </c>
      <c r="E872" s="1" t="n">
        <v>46307</v>
      </c>
      <c r="F872" t="inlineStr">
        <is>
          <t>VÄRMLANDS LÄN</t>
        </is>
      </c>
      <c r="G872" t="inlineStr">
        <is>
          <t>SUNNE</t>
        </is>
      </c>
      <c r="I872" t="n">
        <v>12.3</v>
      </c>
      <c r="J872" t="n">
        <v>1</v>
      </c>
      <c r="K872" t="n">
        <v>0</v>
      </c>
      <c r="L872" t="n">
        <v>0</v>
      </c>
      <c r="M872" t="n">
        <v>0</v>
      </c>
      <c r="N872" t="n">
        <v>1</v>
      </c>
      <c r="O872" t="n">
        <v>0</v>
      </c>
      <c r="P872" t="n">
        <v>0</v>
      </c>
      <c r="Q872" t="n">
        <v>1</v>
      </c>
      <c r="R872" t="n">
        <v>1</v>
      </c>
      <c r="S872" t="n">
        <v>1</v>
      </c>
      <c r="T872" t="n">
        <v>1</v>
      </c>
      <c r="U872" t="n">
        <v>0</v>
      </c>
      <c r="V872" s="2" t="inlineStr">
        <is>
          <t>Pärluggla</t>
        </is>
      </c>
      <c r="W872">
        <f>HYPERLINK("https://klasma.github.io/Logging_1766/artfynd/A 49894-2025 artfynd.xlsx", "A 49894-2025")</f>
        <v/>
      </c>
      <c r="X872">
        <f>HYPERLINK("https://klasma.github.io/Logging_1766/kartor/A 49894-2025 karta.png", "A 49894-2025")</f>
        <v/>
      </c>
      <c r="Y872">
        <f>HYPERLINK("https://klasma.github.io/Logging_1766/kartor_geotiff/A 49894-2025 georefererad karta.tif", "A 49894-2025")</f>
        <v/>
      </c>
      <c r="AA872">
        <f>HYPERLINK("https://klasma.github.io/Logging_1766/klagomål/A 49894-2025 FSC-klagomål.docx", "A 49894-2025")</f>
        <v/>
      </c>
      <c r="AB872">
        <f>HYPERLINK("https://klasma.github.io/Logging_1766/klagomålsmail/A 49894-2025 FSC-klagomål mail.docx", "A 49894-2025")</f>
        <v/>
      </c>
      <c r="AC872">
        <f>HYPERLINK("https://klasma.github.io/Logging_1766/tillsyn/A 49894-2025 tillsynsbegäran.docx", "A 49894-2025")</f>
        <v/>
      </c>
      <c r="AD872">
        <f>HYPERLINK("https://klasma.github.io/Logging_1766/tillsynsmail/A 49894-2025 tillsynsbegäran mail.docx", "A 49894-2025")</f>
        <v/>
      </c>
      <c r="AE872">
        <f>HYPERLINK("https://klasma.github.io/Logging_1766/fåglar/A 49894-2025 prioriterade fågelarter.docx", "A 49894-2025")</f>
        <v/>
      </c>
    </row>
    <row r="873" ht="15" customHeight="1">
      <c r="A873" t="inlineStr">
        <is>
          <t>A 39797-2026</t>
        </is>
      </c>
      <c r="B873" t="inlineStr">
        <is>
          <t>avverkningsanmälan</t>
        </is>
      </c>
      <c r="C873" t="inlineStr">
        <is>
          <t>Föryngringsavverkning</t>
        </is>
      </c>
      <c r="D873" s="1" t="n">
        <v>46290</v>
      </c>
      <c r="E873" s="1" t="n">
        <v>46307</v>
      </c>
      <c r="F873" t="inlineStr">
        <is>
          <t>VÄRMLANDS LÄN</t>
        </is>
      </c>
      <c r="G873" t="inlineStr">
        <is>
          <t>ARVIKA</t>
        </is>
      </c>
      <c r="H873" t="inlineStr">
        <is>
          <t>Bergvik skog väst AB</t>
        </is>
      </c>
      <c r="I873" t="n">
        <v>13.5</v>
      </c>
      <c r="J873" t="n">
        <v>1</v>
      </c>
      <c r="K873" t="n">
        <v>0</v>
      </c>
      <c r="L873" t="n">
        <v>0</v>
      </c>
      <c r="M873" t="n">
        <v>0</v>
      </c>
      <c r="N873" t="n">
        <v>0</v>
      </c>
      <c r="O873" t="n">
        <v>0</v>
      </c>
      <c r="P873" t="n">
        <v>0</v>
      </c>
      <c r="Q873" t="n">
        <v>0</v>
      </c>
      <c r="R873" t="n">
        <v>0</v>
      </c>
      <c r="S873" t="n">
        <v>1</v>
      </c>
      <c r="T873" t="n">
        <v>1</v>
      </c>
      <c r="U873" t="n">
        <v>0</v>
      </c>
      <c r="V873" s="2" t="inlineStr">
        <is>
          <t>Fläcknycklar</t>
        </is>
      </c>
      <c r="W873">
        <f>HYPERLINK("https://klasma.github.io/Logging_1784/artfynd/A 39797-2026 artfynd.xlsx", "A 39797-2026")</f>
        <v/>
      </c>
      <c r="X873">
        <f>HYPERLINK("https://klasma.github.io/Logging_1784/kartor/A 39797-2026 karta.png", "A 39797-2026")</f>
        <v/>
      </c>
      <c r="Y873">
        <f>HYPERLINK("https://klasma.github.io/Logging_1784/kartor_geotiff/A 39797-2026 georefererad karta.tif", "A 39797-2026")</f>
        <v/>
      </c>
      <c r="AA873">
        <f>HYPERLINK("https://klasma.github.io/Logging_1784/klagomål/A 39797-2026 FSC-klagomål.docx", "A 39797-2026")</f>
        <v/>
      </c>
      <c r="AB873">
        <f>HYPERLINK("https://klasma.github.io/Logging_1784/klagomålsmail/A 39797-2026 FSC-klagomål mail.docx", "A 39797-2026")</f>
        <v/>
      </c>
      <c r="AC873">
        <f>HYPERLINK("https://klasma.github.io/Logging_1784/tillsyn/A 39797-2026 tillsynsbegäran.docx", "A 39797-2026")</f>
        <v/>
      </c>
      <c r="AD873">
        <f>HYPERLINK("https://klasma.github.io/Logging_1784/tillsynsmail/A 39797-2026 tillsynsbegäran mail.docx", "A 39797-2026")</f>
        <v/>
      </c>
    </row>
    <row r="874" ht="15" customHeight="1">
      <c r="A874" t="inlineStr">
        <is>
          <t>A 33435-2026</t>
        </is>
      </c>
      <c r="B874" t="inlineStr">
        <is>
          <t>avverkningsanmälan</t>
        </is>
      </c>
      <c r="C874" t="inlineStr">
        <is>
          <t>Föryngringsavverkning</t>
        </is>
      </c>
      <c r="D874" s="1" t="n">
        <v>46247</v>
      </c>
      <c r="E874" s="1" t="n">
        <v>46307</v>
      </c>
      <c r="F874" t="inlineStr">
        <is>
          <t>VÄRMLANDS LÄN</t>
        </is>
      </c>
      <c r="G874" t="inlineStr">
        <is>
          <t>ARVIKA</t>
        </is>
      </c>
      <c r="I874" t="n">
        <v>7.4</v>
      </c>
      <c r="J874" t="n">
        <v>0</v>
      </c>
      <c r="K874" t="n">
        <v>0</v>
      </c>
      <c r="L874" t="n">
        <v>1</v>
      </c>
      <c r="M874" t="n">
        <v>0</v>
      </c>
      <c r="N874" t="n">
        <v>0</v>
      </c>
      <c r="O874" t="n">
        <v>0</v>
      </c>
      <c r="P874" t="n">
        <v>0</v>
      </c>
      <c r="Q874" t="n">
        <v>1</v>
      </c>
      <c r="R874" t="n">
        <v>0</v>
      </c>
      <c r="S874" t="n">
        <v>1</v>
      </c>
      <c r="T874" t="n">
        <v>1</v>
      </c>
      <c r="U874" t="n">
        <v>0</v>
      </c>
      <c r="V874" s="2" t="inlineStr">
        <is>
          <t>Skogsklocka</t>
        </is>
      </c>
      <c r="W874">
        <f>HYPERLINK("https://klasma.github.io/Logging_1784/artfynd/A 33435-2026 artfynd.xlsx", "A 33435-2026")</f>
        <v/>
      </c>
      <c r="X874">
        <f>HYPERLINK("https://klasma.github.io/Logging_1784/kartor/A 33435-2026 karta.png", "A 33435-2026")</f>
        <v/>
      </c>
      <c r="Y874">
        <f>HYPERLINK("https://klasma.github.io/Logging_1784/kartor_geotiff/A 33435-2026 georefererad karta.tif", "A 33435-2026")</f>
        <v/>
      </c>
      <c r="AA874">
        <f>HYPERLINK("https://klasma.github.io/Logging_1784/klagomål/A 33435-2026 FSC-klagomål.docx", "A 33435-2026")</f>
        <v/>
      </c>
      <c r="AB874">
        <f>HYPERLINK("https://klasma.github.io/Logging_1784/klagomålsmail/A 33435-2026 FSC-klagomål mail.docx", "A 33435-2026")</f>
        <v/>
      </c>
      <c r="AC874">
        <f>HYPERLINK("https://klasma.github.io/Logging_1784/tillsyn/A 33435-2026 tillsynsbegäran.docx", "A 33435-2026")</f>
        <v/>
      </c>
      <c r="AD874">
        <f>HYPERLINK("https://klasma.github.io/Logging_1784/tillsynsmail/A 33435-2026 tillsynsbegäran mail.docx", "A 33435-2026")</f>
        <v/>
      </c>
    </row>
    <row r="875" ht="15" customHeight="1">
      <c r="A875" t="inlineStr">
        <is>
          <t>A 39882-2026</t>
        </is>
      </c>
      <c r="B875" t="inlineStr">
        <is>
          <t>avverkningsanmälan</t>
        </is>
      </c>
      <c r="C875" t="inlineStr">
        <is>
          <t>Föryngringsavverkning</t>
        </is>
      </c>
      <c r="D875" s="1" t="n">
        <v>46290</v>
      </c>
      <c r="E875" s="1" t="n">
        <v>46307</v>
      </c>
      <c r="F875" t="inlineStr">
        <is>
          <t>VÄRMLANDS LÄN</t>
        </is>
      </c>
      <c r="G875" t="inlineStr">
        <is>
          <t>SUNNE</t>
        </is>
      </c>
      <c r="H875" t="inlineStr">
        <is>
          <t>Bergvik skog väst AB</t>
        </is>
      </c>
      <c r="I875" t="n">
        <v>2</v>
      </c>
      <c r="J875" t="n">
        <v>1</v>
      </c>
      <c r="K875" t="n">
        <v>0</v>
      </c>
      <c r="L875" t="n">
        <v>1</v>
      </c>
      <c r="M875" t="n">
        <v>0</v>
      </c>
      <c r="N875" t="n">
        <v>0</v>
      </c>
      <c r="O875" t="n">
        <v>0</v>
      </c>
      <c r="P875" t="n">
        <v>0</v>
      </c>
      <c r="Q875" t="n">
        <v>1</v>
      </c>
      <c r="R875" t="n">
        <v>0</v>
      </c>
      <c r="S875" t="n">
        <v>1</v>
      </c>
      <c r="T875" t="n">
        <v>1</v>
      </c>
      <c r="U875" t="n">
        <v>0</v>
      </c>
      <c r="V875" s="2" t="inlineStr">
        <is>
          <t>Talltita</t>
        </is>
      </c>
      <c r="W875">
        <f>HYPERLINK("https://klasma.github.io/Logging_1766/artfynd/A 39882-2026 artfynd.xlsx", "A 39882-2026")</f>
        <v/>
      </c>
      <c r="X875">
        <f>HYPERLINK("https://klasma.github.io/Logging_1766/kartor/A 39882-2026 karta.png", "A 39882-2026")</f>
        <v/>
      </c>
      <c r="Y875">
        <f>HYPERLINK("https://klasma.github.io/Logging_1766/kartor_geotiff/A 39882-2026 georefererad karta.tif", "A 39882-2026")</f>
        <v/>
      </c>
      <c r="AA875">
        <f>HYPERLINK("https://klasma.github.io/Logging_1766/klagomål/A 39882-2026 FSC-klagomål.docx", "A 39882-2026")</f>
        <v/>
      </c>
      <c r="AB875">
        <f>HYPERLINK("https://klasma.github.io/Logging_1766/klagomålsmail/A 39882-2026 FSC-klagomål mail.docx", "A 39882-2026")</f>
        <v/>
      </c>
      <c r="AC875">
        <f>HYPERLINK("https://klasma.github.io/Logging_1766/tillsyn/A 39882-2026 tillsynsbegäran.docx", "A 39882-2026")</f>
        <v/>
      </c>
      <c r="AD875">
        <f>HYPERLINK("https://klasma.github.io/Logging_1766/tillsynsmail/A 39882-2026 tillsynsbegäran mail.docx", "A 39882-2026")</f>
        <v/>
      </c>
      <c r="AE875">
        <f>HYPERLINK("https://klasma.github.io/Logging_1766/fåglar/A 39882-2026 prioriterade fågelarter.docx", "A 39882-2026")</f>
        <v/>
      </c>
    </row>
    <row r="876" ht="15" customHeight="1">
      <c r="A876" t="inlineStr">
        <is>
          <t>A 39769-2026</t>
        </is>
      </c>
      <c r="B876" t="inlineStr">
        <is>
          <t>avverkningsanmälan</t>
        </is>
      </c>
      <c r="C876" t="inlineStr">
        <is>
          <t>Föryngringsavverkning</t>
        </is>
      </c>
      <c r="D876" s="1" t="n">
        <v>46290</v>
      </c>
      <c r="E876" s="1" t="n">
        <v>46307</v>
      </c>
      <c r="F876" t="inlineStr">
        <is>
          <t>VÄRMLANDS LÄN</t>
        </is>
      </c>
      <c r="G876" t="inlineStr">
        <is>
          <t>STORFORS</t>
        </is>
      </c>
      <c r="H876" t="inlineStr">
        <is>
          <t>Bergvik skog väst AB</t>
        </is>
      </c>
      <c r="I876" t="n">
        <v>10.9</v>
      </c>
      <c r="J876" t="n">
        <v>0</v>
      </c>
      <c r="K876" t="n">
        <v>0</v>
      </c>
      <c r="L876" t="n">
        <v>0</v>
      </c>
      <c r="M876" t="n">
        <v>1</v>
      </c>
      <c r="N876" t="n">
        <v>0</v>
      </c>
      <c r="O876" t="n">
        <v>0</v>
      </c>
      <c r="P876" t="n">
        <v>0</v>
      </c>
      <c r="Q876" t="n">
        <v>1</v>
      </c>
      <c r="R876" t="n">
        <v>1</v>
      </c>
      <c r="S876" t="n">
        <v>1</v>
      </c>
      <c r="T876" t="n">
        <v>1</v>
      </c>
      <c r="U876" t="n">
        <v>0</v>
      </c>
      <c r="V876" s="2" t="inlineStr">
        <is>
          <t>Igelkott</t>
        </is>
      </c>
      <c r="W876">
        <f>HYPERLINK("https://klasma.github.io/Logging_1760/artfynd/A 39769-2026 artfynd.xlsx", "A 39769-2026")</f>
        <v/>
      </c>
      <c r="X876">
        <f>HYPERLINK("https://klasma.github.io/Logging_1760/kartor/A 39769-2026 karta.png", "A 39769-2026")</f>
        <v/>
      </c>
      <c r="Y876">
        <f>HYPERLINK("https://klasma.github.io/Logging_1760/kartor_geotiff/A 39769-2026 georefererad karta.tif", "A 39769-2026")</f>
        <v/>
      </c>
      <c r="AA876">
        <f>HYPERLINK("https://klasma.github.io/Logging_1760/klagomål/A 39769-2026 FSC-klagomål.docx", "A 39769-2026")</f>
        <v/>
      </c>
      <c r="AB876">
        <f>HYPERLINK("https://klasma.github.io/Logging_1760/klagomålsmail/A 39769-2026 FSC-klagomål mail.docx", "A 39769-2026")</f>
        <v/>
      </c>
      <c r="AC876">
        <f>HYPERLINK("https://klasma.github.io/Logging_1760/tillsyn/A 39769-2026 tillsynsbegäran.docx", "A 39769-2026")</f>
        <v/>
      </c>
      <c r="AD876">
        <f>HYPERLINK("https://klasma.github.io/Logging_1760/tillsynsmail/A 39769-2026 tillsynsbegäran mail.docx", "A 39769-2026")</f>
        <v/>
      </c>
    </row>
    <row r="877" ht="15" customHeight="1">
      <c r="A877" t="inlineStr">
        <is>
          <t>A 26713-2026</t>
        </is>
      </c>
      <c r="B877" t="inlineStr">
        <is>
          <t>avverkningsanmälan</t>
        </is>
      </c>
      <c r="C877" t="inlineStr">
        <is>
          <t>Föryngringsavverkning</t>
        </is>
      </c>
      <c r="D877" s="1" t="n">
        <v>46184</v>
      </c>
      <c r="E877" s="1" t="n">
        <v>46307</v>
      </c>
      <c r="F877" t="inlineStr">
        <is>
          <t>VÄRMLANDS LÄN</t>
        </is>
      </c>
      <c r="G877" t="inlineStr">
        <is>
          <t>ÅRJÄNG</t>
        </is>
      </c>
      <c r="I877" t="n">
        <v>2.4</v>
      </c>
      <c r="J877" t="n">
        <v>0</v>
      </c>
      <c r="K877" t="n">
        <v>0</v>
      </c>
      <c r="L877" t="n">
        <v>1</v>
      </c>
      <c r="M877" t="n">
        <v>0</v>
      </c>
      <c r="N877" t="n">
        <v>0</v>
      </c>
      <c r="O877" t="n">
        <v>0</v>
      </c>
      <c r="P877" t="n">
        <v>0</v>
      </c>
      <c r="Q877" t="n">
        <v>1</v>
      </c>
      <c r="R877" t="n">
        <v>0</v>
      </c>
      <c r="S877" t="n">
        <v>1</v>
      </c>
      <c r="T877" t="n">
        <v>1</v>
      </c>
      <c r="U877" t="n">
        <v>0</v>
      </c>
      <c r="V877" s="2" t="inlineStr">
        <is>
          <t>Blek tallfibbla</t>
        </is>
      </c>
      <c r="W877">
        <f>HYPERLINK("https://klasma.github.io/Logging_1765/artfynd/A 26713-2026 artfynd.xlsx", "A 26713-2026")</f>
        <v/>
      </c>
      <c r="X877">
        <f>HYPERLINK("https://klasma.github.io/Logging_1765/kartor/A 26713-2026 karta.png", "A 26713-2026")</f>
        <v/>
      </c>
      <c r="Y877">
        <f>HYPERLINK("https://klasma.github.io/Logging_1765/kartor_geotiff/A 26713-2026 georefererad karta.tif", "A 26713-2026")</f>
        <v/>
      </c>
      <c r="AA877">
        <f>HYPERLINK("https://klasma.github.io/Logging_1765/klagomål/A 26713-2026 FSC-klagomål.docx", "A 26713-2026")</f>
        <v/>
      </c>
      <c r="AB877">
        <f>HYPERLINK("https://klasma.github.io/Logging_1765/klagomålsmail/A 26713-2026 FSC-klagomål mail.docx", "A 26713-2026")</f>
        <v/>
      </c>
      <c r="AC877">
        <f>HYPERLINK("https://klasma.github.io/Logging_1765/tillsyn/A 26713-2026 tillsynsbegäran.docx", "A 26713-2026")</f>
        <v/>
      </c>
      <c r="AD877">
        <f>HYPERLINK("https://klasma.github.io/Logging_1765/tillsynsmail/A 26713-2026 tillsynsbegäran mail.docx", "A 26713-2026")</f>
        <v/>
      </c>
    </row>
    <row r="878" ht="15" customHeight="1">
      <c r="A878" t="inlineStr">
        <is>
          <t>A 33575-2026</t>
        </is>
      </c>
      <c r="B878" t="inlineStr">
        <is>
          <t>avverkningsanmälan</t>
        </is>
      </c>
      <c r="C878" t="inlineStr">
        <is>
          <t>Föryngringsavverkning</t>
        </is>
      </c>
      <c r="D878" s="1" t="n">
        <v>46248</v>
      </c>
      <c r="E878" s="1" t="n">
        <v>46307</v>
      </c>
      <c r="F878" t="inlineStr">
        <is>
          <t>VÄRMLANDS LÄN</t>
        </is>
      </c>
      <c r="G878" t="inlineStr">
        <is>
          <t>TORSBY</t>
        </is>
      </c>
      <c r="H878" t="inlineStr">
        <is>
          <t>Bergvik skog väst AB</t>
        </is>
      </c>
      <c r="I878" t="n">
        <v>2</v>
      </c>
      <c r="J878" t="n">
        <v>0</v>
      </c>
      <c r="K878" t="n">
        <v>0</v>
      </c>
      <c r="L878" t="n">
        <v>1</v>
      </c>
      <c r="M878" t="n">
        <v>0</v>
      </c>
      <c r="N878" t="n">
        <v>0</v>
      </c>
      <c r="O878" t="n">
        <v>0</v>
      </c>
      <c r="P878" t="n">
        <v>0</v>
      </c>
      <c r="Q878" t="n">
        <v>1</v>
      </c>
      <c r="R878" t="n">
        <v>0</v>
      </c>
      <c r="S878" t="n">
        <v>1</v>
      </c>
      <c r="T878" t="n">
        <v>1</v>
      </c>
      <c r="U878" t="n">
        <v>0</v>
      </c>
      <c r="V878" s="2" t="inlineStr">
        <is>
          <t>Kådvaxskinn</t>
        </is>
      </c>
      <c r="W878">
        <f>HYPERLINK("https://klasma.github.io/Logging_1737/artfynd/A 33575-2026 artfynd.xlsx", "A 33575-2026")</f>
        <v/>
      </c>
      <c r="X878">
        <f>HYPERLINK("https://klasma.github.io/Logging_1737/kartor/A 33575-2026 karta.png", "A 33575-2026")</f>
        <v/>
      </c>
      <c r="Y878">
        <f>HYPERLINK("https://klasma.github.io/Logging_1737/kartor_geotiff/A 33575-2026 georefererad karta.tif", "A 33575-2026")</f>
        <v/>
      </c>
      <c r="AA878">
        <f>HYPERLINK("https://klasma.github.io/Logging_1737/klagomål/A 33575-2026 FSC-klagomål.docx", "A 33575-2026")</f>
        <v/>
      </c>
      <c r="AB878">
        <f>HYPERLINK("https://klasma.github.io/Logging_1737/klagomålsmail/A 33575-2026 FSC-klagomål mail.docx", "A 33575-2026")</f>
        <v/>
      </c>
      <c r="AC878">
        <f>HYPERLINK("https://klasma.github.io/Logging_1737/tillsyn/A 33575-2026 tillsynsbegäran.docx", "A 33575-2026")</f>
        <v/>
      </c>
      <c r="AD878">
        <f>HYPERLINK("https://klasma.github.io/Logging_1737/tillsynsmail/A 33575-2026 tillsynsbegäran mail.docx", "A 33575-2026")</f>
        <v/>
      </c>
    </row>
    <row r="879" ht="15" customHeight="1">
      <c r="A879" t="inlineStr">
        <is>
          <t>A 40325-2026</t>
        </is>
      </c>
      <c r="B879" t="inlineStr">
        <is>
          <t>avverkningsanmälan</t>
        </is>
      </c>
      <c r="C879" t="inlineStr">
        <is>
          <t>Föryngringsavverkning</t>
        </is>
      </c>
      <c r="D879" s="1" t="n">
        <v>46294</v>
      </c>
      <c r="E879" s="1" t="n">
        <v>46307</v>
      </c>
      <c r="F879" t="inlineStr">
        <is>
          <t>VÄRMLANDS LÄN</t>
        </is>
      </c>
      <c r="G879" t="inlineStr">
        <is>
          <t>ARVIKA</t>
        </is>
      </c>
      <c r="I879" t="n">
        <v>2.8</v>
      </c>
      <c r="J879" t="n">
        <v>1</v>
      </c>
      <c r="K879" t="n">
        <v>0</v>
      </c>
      <c r="L879" t="n">
        <v>0</v>
      </c>
      <c r="M879" t="n">
        <v>1</v>
      </c>
      <c r="N879" t="n">
        <v>0</v>
      </c>
      <c r="O879" t="n">
        <v>0</v>
      </c>
      <c r="P879" t="n">
        <v>0</v>
      </c>
      <c r="Q879" t="n">
        <v>1</v>
      </c>
      <c r="R879" t="n">
        <v>1</v>
      </c>
      <c r="S879" t="n">
        <v>1</v>
      </c>
      <c r="T879" t="n">
        <v>1</v>
      </c>
      <c r="U879" t="n">
        <v>0</v>
      </c>
      <c r="V879" s="2" t="inlineStr">
        <is>
          <t>Knärot</t>
        </is>
      </c>
      <c r="W879">
        <f>HYPERLINK("https://klasma.github.io/Logging_1784/artfynd/A 40325-2026 artfynd.xlsx", "A 40325-2026")</f>
        <v/>
      </c>
      <c r="X879">
        <f>HYPERLINK("https://klasma.github.io/Logging_1784/kartor/A 40325-2026 karta.png", "A 40325-2026")</f>
        <v/>
      </c>
      <c r="Y879">
        <f>HYPERLINK("https://klasma.github.io/Logging_1784/kartor_geotiff/A 40325-2026 georefererad karta.tif", "A 40325-2026")</f>
        <v/>
      </c>
      <c r="Z879">
        <f>HYPERLINK("https://klasma.github.io/Logging_1784/knärot/A 40325-2026 karta knärot.png", "A 40325-2026")</f>
        <v/>
      </c>
      <c r="AA879">
        <f>HYPERLINK("https://klasma.github.io/Logging_1784/klagomål/A 40325-2026 FSC-klagomål.docx", "A 40325-2026")</f>
        <v/>
      </c>
      <c r="AB879">
        <f>HYPERLINK("https://klasma.github.io/Logging_1784/klagomålsmail/A 40325-2026 FSC-klagomål mail.docx", "A 40325-2026")</f>
        <v/>
      </c>
      <c r="AC879">
        <f>HYPERLINK("https://klasma.github.io/Logging_1784/tillsyn/A 40325-2026 tillsynsbegäran.docx", "A 40325-2026")</f>
        <v/>
      </c>
      <c r="AD879">
        <f>HYPERLINK("https://klasma.github.io/Logging_1784/tillsynsmail/A 40325-2026 tillsynsbegäran mail.docx", "A 40325-2026")</f>
        <v/>
      </c>
    </row>
    <row r="880" ht="15" customHeight="1">
      <c r="A880" t="inlineStr">
        <is>
          <t>A 40307-2026</t>
        </is>
      </c>
      <c r="B880" t="inlineStr">
        <is>
          <t>avverkningsanmälan</t>
        </is>
      </c>
      <c r="C880" t="inlineStr">
        <is>
          <t>Föryngringsavverkning</t>
        </is>
      </c>
      <c r="D880" s="1" t="n">
        <v>46294</v>
      </c>
      <c r="E880" s="1" t="n">
        <v>46307</v>
      </c>
      <c r="F880" t="inlineStr">
        <is>
          <t>VÄRMLANDS LÄN</t>
        </is>
      </c>
      <c r="G880" t="inlineStr">
        <is>
          <t>ARVIKA</t>
        </is>
      </c>
      <c r="H880" t="inlineStr">
        <is>
          <t>Bergvik skog väst AB</t>
        </is>
      </c>
      <c r="I880" t="n">
        <v>5.8</v>
      </c>
      <c r="J880" t="n">
        <v>0</v>
      </c>
      <c r="K880" t="n">
        <v>0</v>
      </c>
      <c r="L880" t="n">
        <v>0</v>
      </c>
      <c r="M880" t="n">
        <v>0</v>
      </c>
      <c r="N880" t="n">
        <v>1</v>
      </c>
      <c r="O880" t="n">
        <v>0</v>
      </c>
      <c r="P880" t="n">
        <v>0</v>
      </c>
      <c r="Q880" t="n">
        <v>1</v>
      </c>
      <c r="R880" t="n">
        <v>1</v>
      </c>
      <c r="S880" t="n">
        <v>1</v>
      </c>
      <c r="T880" t="n">
        <v>1</v>
      </c>
      <c r="U880" t="n">
        <v>0</v>
      </c>
      <c r="V880" s="2" t="inlineStr">
        <is>
          <t>Dysterfibbla</t>
        </is>
      </c>
      <c r="W880">
        <f>HYPERLINK("https://klasma.github.io/Logging_1784/artfynd/A 40307-2026 artfynd.xlsx", "A 40307-2026")</f>
        <v/>
      </c>
      <c r="X880">
        <f>HYPERLINK("https://klasma.github.io/Logging_1784/kartor/A 40307-2026 karta.png", "A 40307-2026")</f>
        <v/>
      </c>
      <c r="Y880">
        <f>HYPERLINK("https://klasma.github.io/Logging_1784/kartor_geotiff/A 40307-2026 georefererad karta.tif", "A 40307-2026")</f>
        <v/>
      </c>
      <c r="AA880">
        <f>HYPERLINK("https://klasma.github.io/Logging_1784/klagomål/A 40307-2026 FSC-klagomål.docx", "A 40307-2026")</f>
        <v/>
      </c>
      <c r="AB880">
        <f>HYPERLINK("https://klasma.github.io/Logging_1784/klagomålsmail/A 40307-2026 FSC-klagomål mail.docx", "A 40307-2026")</f>
        <v/>
      </c>
      <c r="AC880">
        <f>HYPERLINK("https://klasma.github.io/Logging_1784/tillsyn/A 40307-2026 tillsynsbegäran.docx", "A 40307-2026")</f>
        <v/>
      </c>
      <c r="AD880">
        <f>HYPERLINK("https://klasma.github.io/Logging_1784/tillsynsmail/A 40307-2026 tillsynsbegäran mail.docx", "A 40307-2026")</f>
        <v/>
      </c>
    </row>
    <row r="881" ht="15" customHeight="1">
      <c r="A881" t="inlineStr">
        <is>
          <t>A 40015-2026</t>
        </is>
      </c>
      <c r="B881" t="inlineStr">
        <is>
          <t>avverkningsanmälan</t>
        </is>
      </c>
      <c r="C881" t="inlineStr">
        <is>
          <t>Föryngringsavverkning</t>
        </is>
      </c>
      <c r="D881" s="1" t="n">
        <v>46290</v>
      </c>
      <c r="E881" s="1" t="n">
        <v>46307</v>
      </c>
      <c r="F881" t="inlineStr">
        <is>
          <t>VÄRMLANDS LÄN</t>
        </is>
      </c>
      <c r="G881" t="inlineStr">
        <is>
          <t>ÅRJÄNG</t>
        </is>
      </c>
      <c r="I881" t="n">
        <v>2.1</v>
      </c>
      <c r="J881" t="n">
        <v>0</v>
      </c>
      <c r="K881" t="n">
        <v>0</v>
      </c>
      <c r="L881" t="n">
        <v>1</v>
      </c>
      <c r="M881" t="n">
        <v>0</v>
      </c>
      <c r="N881" t="n">
        <v>0</v>
      </c>
      <c r="O881" t="n">
        <v>0</v>
      </c>
      <c r="P881" t="n">
        <v>0</v>
      </c>
      <c r="Q881" t="n">
        <v>1</v>
      </c>
      <c r="R881" t="n">
        <v>0</v>
      </c>
      <c r="S881" t="n">
        <v>1</v>
      </c>
      <c r="T881" t="n">
        <v>1</v>
      </c>
      <c r="U881" t="n">
        <v>0</v>
      </c>
      <c r="V881" s="2" t="inlineStr">
        <is>
          <t>Svinrot</t>
        </is>
      </c>
      <c r="W881">
        <f>HYPERLINK("https://klasma.github.io/Logging_1765/artfynd/A 40015-2026 artfynd.xlsx", "A 40015-2026")</f>
        <v/>
      </c>
      <c r="X881">
        <f>HYPERLINK("https://klasma.github.io/Logging_1765/kartor/A 40015-2026 karta.png", "A 40015-2026")</f>
        <v/>
      </c>
      <c r="Y881">
        <f>HYPERLINK("https://klasma.github.io/Logging_1765/kartor_geotiff/A 40015-2026 georefererad karta.tif", "A 40015-2026")</f>
        <v/>
      </c>
      <c r="AA881">
        <f>HYPERLINK("https://klasma.github.io/Logging_1765/klagomål/A 40015-2026 FSC-klagomål.docx", "A 40015-2026")</f>
        <v/>
      </c>
      <c r="AB881">
        <f>HYPERLINK("https://klasma.github.io/Logging_1765/klagomålsmail/A 40015-2026 FSC-klagomål mail.docx", "A 40015-2026")</f>
        <v/>
      </c>
      <c r="AC881">
        <f>HYPERLINK("https://klasma.github.io/Logging_1765/tillsyn/A 40015-2026 tillsynsbegäran.docx", "A 40015-2026")</f>
        <v/>
      </c>
      <c r="AD881">
        <f>HYPERLINK("https://klasma.github.io/Logging_1765/tillsynsmail/A 40015-2026 tillsynsbegäran mail.docx", "A 40015-2026")</f>
        <v/>
      </c>
    </row>
    <row r="882" ht="15" customHeight="1">
      <c r="A882" t="inlineStr">
        <is>
          <t>A 39757-2026</t>
        </is>
      </c>
      <c r="B882" t="inlineStr">
        <is>
          <t>avverkningsanmälan</t>
        </is>
      </c>
      <c r="C882" t="inlineStr">
        <is>
          <t>Föryngringsavverkning</t>
        </is>
      </c>
      <c r="D882" s="1" t="n">
        <v>46290</v>
      </c>
      <c r="E882" s="1" t="n">
        <v>46307</v>
      </c>
      <c r="F882" t="inlineStr">
        <is>
          <t>VÄRMLANDS LÄN</t>
        </is>
      </c>
      <c r="G882" t="inlineStr">
        <is>
          <t>SUNNE</t>
        </is>
      </c>
      <c r="H882" t="inlineStr">
        <is>
          <t>Bergvik skog väst AB</t>
        </is>
      </c>
      <c r="I882" t="n">
        <v>5.1</v>
      </c>
      <c r="J882" t="n">
        <v>1</v>
      </c>
      <c r="K882" t="n">
        <v>0</v>
      </c>
      <c r="L882" t="n">
        <v>0</v>
      </c>
      <c r="M882" t="n">
        <v>0</v>
      </c>
      <c r="N882" t="n">
        <v>0</v>
      </c>
      <c r="O882" t="n">
        <v>0</v>
      </c>
      <c r="P882" t="n">
        <v>0</v>
      </c>
      <c r="Q882" t="n">
        <v>0</v>
      </c>
      <c r="R882" t="n">
        <v>0</v>
      </c>
      <c r="S882" t="n">
        <v>1</v>
      </c>
      <c r="T882" t="n">
        <v>1</v>
      </c>
      <c r="U882" t="n">
        <v>0</v>
      </c>
      <c r="V882" s="2" t="inlineStr">
        <is>
          <t>Fläcknycklar</t>
        </is>
      </c>
      <c r="W882">
        <f>HYPERLINK("https://klasma.github.io/Logging_1766/artfynd/A 39757-2026 artfynd.xlsx", "A 39757-2026")</f>
        <v/>
      </c>
      <c r="X882">
        <f>HYPERLINK("https://klasma.github.io/Logging_1766/kartor/A 39757-2026 karta.png", "A 39757-2026")</f>
        <v/>
      </c>
      <c r="Y882">
        <f>HYPERLINK("https://klasma.github.io/Logging_1766/kartor_geotiff/A 39757-2026 georefererad karta.tif", "A 39757-2026")</f>
        <v/>
      </c>
      <c r="AA882">
        <f>HYPERLINK("https://klasma.github.io/Logging_1766/klagomål/A 39757-2026 FSC-klagomål.docx", "A 39757-2026")</f>
        <v/>
      </c>
      <c r="AB882">
        <f>HYPERLINK("https://klasma.github.io/Logging_1766/klagomålsmail/A 39757-2026 FSC-klagomål mail.docx", "A 39757-2026")</f>
        <v/>
      </c>
      <c r="AC882">
        <f>HYPERLINK("https://klasma.github.io/Logging_1766/tillsyn/A 39757-2026 tillsynsbegäran.docx", "A 39757-2026")</f>
        <v/>
      </c>
      <c r="AD882">
        <f>HYPERLINK("https://klasma.github.io/Logging_1766/tillsynsmail/A 39757-2026 tillsynsbegäran mail.docx", "A 39757-2026")</f>
        <v/>
      </c>
    </row>
    <row r="883" ht="15" customHeight="1">
      <c r="A883" t="inlineStr">
        <is>
          <t>A 40211-2026</t>
        </is>
      </c>
      <c r="B883" t="inlineStr">
        <is>
          <t>avverkningsanmälan</t>
        </is>
      </c>
      <c r="C883" t="inlineStr">
        <is>
          <t>Föryngringsavverkning</t>
        </is>
      </c>
      <c r="D883" s="1" t="n">
        <v>46290</v>
      </c>
      <c r="E883" s="1" t="n">
        <v>46307</v>
      </c>
      <c r="F883" t="inlineStr">
        <is>
          <t>VÄRMLANDS LÄN</t>
        </is>
      </c>
      <c r="G883" t="inlineStr">
        <is>
          <t>HAGFORS</t>
        </is>
      </c>
      <c r="I883" t="n">
        <v>2.3</v>
      </c>
      <c r="J883" t="n">
        <v>0</v>
      </c>
      <c r="K883" t="n">
        <v>0</v>
      </c>
      <c r="L883" t="n">
        <v>0</v>
      </c>
      <c r="M883" t="n">
        <v>1</v>
      </c>
      <c r="N883" t="n">
        <v>0</v>
      </c>
      <c r="O883" t="n">
        <v>0</v>
      </c>
      <c r="P883" t="n">
        <v>0</v>
      </c>
      <c r="Q883" t="n">
        <v>1</v>
      </c>
      <c r="R883" t="n">
        <v>1</v>
      </c>
      <c r="S883" t="n">
        <v>1</v>
      </c>
      <c r="T883" t="n">
        <v>1</v>
      </c>
      <c r="U883" t="n">
        <v>0</v>
      </c>
      <c r="V883" s="2" t="inlineStr">
        <is>
          <t>Garnlav</t>
        </is>
      </c>
      <c r="W883">
        <f>HYPERLINK("https://klasma.github.io/Logging_1783/artfynd/A 40211-2026 artfynd.xlsx", "A 40211-2026")</f>
        <v/>
      </c>
      <c r="X883">
        <f>HYPERLINK("https://klasma.github.io/Logging_1783/kartor/A 40211-2026 karta.png", "A 40211-2026")</f>
        <v/>
      </c>
      <c r="Y883">
        <f>HYPERLINK("https://klasma.github.io/Logging_1783/kartor_geotiff/A 40211-2026 georefererad karta.tif", "A 40211-2026")</f>
        <v/>
      </c>
      <c r="AA883">
        <f>HYPERLINK("https://klasma.github.io/Logging_1783/klagomål/A 40211-2026 FSC-klagomål.docx", "A 40211-2026")</f>
        <v/>
      </c>
      <c r="AB883">
        <f>HYPERLINK("https://klasma.github.io/Logging_1783/klagomålsmail/A 40211-2026 FSC-klagomål mail.docx", "A 40211-2026")</f>
        <v/>
      </c>
      <c r="AC883">
        <f>HYPERLINK("https://klasma.github.io/Logging_1783/tillsyn/A 40211-2026 tillsynsbegäran.docx", "A 40211-2026")</f>
        <v/>
      </c>
      <c r="AD883">
        <f>HYPERLINK("https://klasma.github.io/Logging_1783/tillsynsmail/A 40211-2026 tillsynsbegäran mail.docx", "A 40211-2026")</f>
        <v/>
      </c>
    </row>
    <row r="884" ht="15" customHeight="1">
      <c r="A884" t="inlineStr">
        <is>
          <t>A 30988-2026</t>
        </is>
      </c>
      <c r="B884" t="inlineStr">
        <is>
          <t>avverkningsanmälan</t>
        </is>
      </c>
      <c r="C884" t="inlineStr">
        <is>
          <t>Föryngringsavverkning</t>
        </is>
      </c>
      <c r="D884" s="1" t="n">
        <v>46213</v>
      </c>
      <c r="E884" s="1" t="n">
        <v>46307</v>
      </c>
      <c r="F884" t="inlineStr">
        <is>
          <t>VÄRMLANDS LÄN</t>
        </is>
      </c>
      <c r="G884" t="inlineStr">
        <is>
          <t>FILIPSTAD</t>
        </is>
      </c>
      <c r="I884" t="n">
        <v>2.4</v>
      </c>
      <c r="J884" t="n">
        <v>0</v>
      </c>
      <c r="K884" t="n">
        <v>0</v>
      </c>
      <c r="L884" t="n">
        <v>1</v>
      </c>
      <c r="M884" t="n">
        <v>0</v>
      </c>
      <c r="N884" t="n">
        <v>0</v>
      </c>
      <c r="O884" t="n">
        <v>0</v>
      </c>
      <c r="P884" t="n">
        <v>0</v>
      </c>
      <c r="Q884" t="n">
        <v>1</v>
      </c>
      <c r="R884" t="n">
        <v>0</v>
      </c>
      <c r="S884" t="n">
        <v>1</v>
      </c>
      <c r="T884" t="n">
        <v>1</v>
      </c>
      <c r="U884" t="n">
        <v>0</v>
      </c>
      <c r="V884" s="2" t="inlineStr">
        <is>
          <t>Skuggblåslav</t>
        </is>
      </c>
      <c r="W884">
        <f>HYPERLINK("https://klasma.github.io/Logging_1782/artfynd/A 30988-2026 artfynd.xlsx", "A 30988-2026")</f>
        <v/>
      </c>
      <c r="X884">
        <f>HYPERLINK("https://klasma.github.io/Logging_1782/kartor/A 30988-2026 karta.png", "A 30988-2026")</f>
        <v/>
      </c>
      <c r="Y884">
        <f>HYPERLINK("https://klasma.github.io/Logging_1782/kartor_geotiff/A 30988-2026 georefererad karta.tif", "A 30988-2026")</f>
        <v/>
      </c>
      <c r="AA884">
        <f>HYPERLINK("https://klasma.github.io/Logging_1782/klagomål/A 30988-2026 FSC-klagomål.docx", "A 30988-2026")</f>
        <v/>
      </c>
      <c r="AB884">
        <f>HYPERLINK("https://klasma.github.io/Logging_1782/klagomålsmail/A 30988-2026 FSC-klagomål mail.docx", "A 30988-2026")</f>
        <v/>
      </c>
      <c r="AC884">
        <f>HYPERLINK("https://klasma.github.io/Logging_1782/tillsyn/A 30988-2026 tillsynsbegäran.docx", "A 30988-2026")</f>
        <v/>
      </c>
      <c r="AD884">
        <f>HYPERLINK("https://klasma.github.io/Logging_1782/tillsynsmail/A 30988-2026 tillsynsbegäran mail.docx", "A 30988-2026")</f>
        <v/>
      </c>
    </row>
    <row r="885" ht="15" customHeight="1">
      <c r="A885" t="inlineStr">
        <is>
          <t>A 34076-2026</t>
        </is>
      </c>
      <c r="B885" t="inlineStr">
        <is>
          <t>avverkningsanmälan</t>
        </is>
      </c>
      <c r="C885" t="inlineStr">
        <is>
          <t>Föryngringsavverkning</t>
        </is>
      </c>
      <c r="D885" s="1" t="n">
        <v>46252</v>
      </c>
      <c r="E885" s="1" t="n">
        <v>46307</v>
      </c>
      <c r="F885" t="inlineStr">
        <is>
          <t>VÄRMLANDS LÄN</t>
        </is>
      </c>
      <c r="G885" t="inlineStr">
        <is>
          <t>GRUMS</t>
        </is>
      </c>
      <c r="I885" t="n">
        <v>4.9</v>
      </c>
      <c r="J885" t="n">
        <v>0</v>
      </c>
      <c r="K885" t="n">
        <v>0</v>
      </c>
      <c r="L885" t="n">
        <v>1</v>
      </c>
      <c r="M885" t="n">
        <v>0</v>
      </c>
      <c r="N885" t="n">
        <v>0</v>
      </c>
      <c r="O885" t="n">
        <v>0</v>
      </c>
      <c r="P885" t="n">
        <v>0</v>
      </c>
      <c r="Q885" t="n">
        <v>1</v>
      </c>
      <c r="R885" t="n">
        <v>0</v>
      </c>
      <c r="S885" t="n">
        <v>1</v>
      </c>
      <c r="T885" t="n">
        <v>2</v>
      </c>
      <c r="U885" t="n">
        <v>0</v>
      </c>
      <c r="V885" s="2" t="inlineStr">
        <is>
          <t>Skogsklocka</t>
        </is>
      </c>
      <c r="W885">
        <f>HYPERLINK("https://klasma.github.io/Logging_1764/artfynd/A 34076-2026 artfynd.xlsx", "A 34076-2026")</f>
        <v/>
      </c>
      <c r="X885">
        <f>HYPERLINK("https://klasma.github.io/Logging_1764/kartor/A 34076-2026 karta.png", "A 34076-2026")</f>
        <v/>
      </c>
      <c r="Y885">
        <f>HYPERLINK("https://klasma.github.io/Logging_1764/kartor_geotiff/A 34076-2026 georefererad karta.tif", "A 34076-2026")</f>
        <v/>
      </c>
      <c r="AA885">
        <f>HYPERLINK("https://klasma.github.io/Logging_1764/klagomål/A 34076-2026 FSC-klagomål.docx", "A 34076-2026")</f>
        <v/>
      </c>
      <c r="AB885">
        <f>HYPERLINK("https://klasma.github.io/Logging_1764/klagomålsmail/A 34076-2026 FSC-klagomål mail.docx", "A 34076-2026")</f>
        <v/>
      </c>
      <c r="AC885">
        <f>HYPERLINK("https://klasma.github.io/Logging_1764/tillsyn/A 34076-2026 tillsynsbegäran.docx", "A 34076-2026")</f>
        <v/>
      </c>
      <c r="AD885">
        <f>HYPERLINK("https://klasma.github.io/Logging_1764/tillsynsmail/A 34076-2026 tillsynsbegäran mail.docx", "A 34076-2026")</f>
        <v/>
      </c>
    </row>
    <row r="886" ht="15" customHeight="1">
      <c r="A886" t="inlineStr">
        <is>
          <t>A 40498-2026</t>
        </is>
      </c>
      <c r="B886" t="inlineStr">
        <is>
          <t>avverkningsanmälan</t>
        </is>
      </c>
      <c r="C886" t="inlineStr">
        <is>
          <t>Föryngringsavverkning</t>
        </is>
      </c>
      <c r="D886" s="1" t="n">
        <v>46295</v>
      </c>
      <c r="E886" s="1" t="n">
        <v>46307</v>
      </c>
      <c r="F886" t="inlineStr">
        <is>
          <t>VÄRMLANDS LÄN</t>
        </is>
      </c>
      <c r="G886" t="inlineStr">
        <is>
          <t>TORSBY</t>
        </is>
      </c>
      <c r="I886" t="n">
        <v>25</v>
      </c>
      <c r="J886" t="n">
        <v>1</v>
      </c>
      <c r="K886" t="n">
        <v>0</v>
      </c>
      <c r="L886" t="n">
        <v>0</v>
      </c>
      <c r="M886" t="n">
        <v>0</v>
      </c>
      <c r="N886" t="n">
        <v>0</v>
      </c>
      <c r="O886" t="n">
        <v>0</v>
      </c>
      <c r="P886" t="n">
        <v>0</v>
      </c>
      <c r="Q886" t="n">
        <v>0</v>
      </c>
      <c r="R886" t="n">
        <v>0</v>
      </c>
      <c r="S886" t="n">
        <v>1</v>
      </c>
      <c r="T886" t="n">
        <v>1</v>
      </c>
      <c r="U886" t="n">
        <v>0</v>
      </c>
      <c r="V886" s="2" t="inlineStr">
        <is>
          <t>Grönsiska</t>
        </is>
      </c>
      <c r="W886">
        <f>HYPERLINK("https://klasma.github.io/Logging_1737/artfynd/A 40498-2026 artfynd.xlsx", "A 40498-2026")</f>
        <v/>
      </c>
      <c r="X886">
        <f>HYPERLINK("https://klasma.github.io/Logging_1737/kartor/A 40498-2026 karta.png", "A 40498-2026")</f>
        <v/>
      </c>
      <c r="Y886">
        <f>HYPERLINK("https://klasma.github.io/Logging_1737/kartor_geotiff/A 40498-2026 georefererad karta.tif", "A 40498-2026")</f>
        <v/>
      </c>
      <c r="AA886">
        <f>HYPERLINK("https://klasma.github.io/Logging_1737/klagomål/A 40498-2026 FSC-klagomål.docx", "A 40498-2026")</f>
        <v/>
      </c>
      <c r="AB886">
        <f>HYPERLINK("https://klasma.github.io/Logging_1737/klagomålsmail/A 40498-2026 FSC-klagomål mail.docx", "A 40498-2026")</f>
        <v/>
      </c>
      <c r="AC886">
        <f>HYPERLINK("https://klasma.github.io/Logging_1737/tillsyn/A 40498-2026 tillsynsbegäran.docx", "A 40498-2026")</f>
        <v/>
      </c>
      <c r="AD886">
        <f>HYPERLINK("https://klasma.github.io/Logging_1737/tillsynsmail/A 40498-2026 tillsynsbegäran mail.docx", "A 40498-2026")</f>
        <v/>
      </c>
    </row>
    <row r="887" ht="15" customHeight="1">
      <c r="A887" t="inlineStr">
        <is>
          <t>A 34956-2026</t>
        </is>
      </c>
      <c r="B887" t="inlineStr">
        <is>
          <t>avverkningsanmälan</t>
        </is>
      </c>
      <c r="C887" t="inlineStr">
        <is>
          <t>Föryngringsavverkning</t>
        </is>
      </c>
      <c r="D887" s="1" t="n">
        <v>46259</v>
      </c>
      <c r="E887" s="1" t="n">
        <v>46307</v>
      </c>
      <c r="F887" t="inlineStr">
        <is>
          <t>VÄRMLANDS LÄN</t>
        </is>
      </c>
      <c r="G887" t="inlineStr">
        <is>
          <t>SUNNE</t>
        </is>
      </c>
      <c r="H887" t="inlineStr">
        <is>
          <t>Bergvik skog väst AB</t>
        </is>
      </c>
      <c r="I887" t="n">
        <v>3.9</v>
      </c>
      <c r="J887" t="n">
        <v>1</v>
      </c>
      <c r="K887" t="n">
        <v>0</v>
      </c>
      <c r="L887" t="n">
        <v>0</v>
      </c>
      <c r="M887" t="n">
        <v>0</v>
      </c>
      <c r="N887" t="n">
        <v>0</v>
      </c>
      <c r="O887" t="n">
        <v>0</v>
      </c>
      <c r="P887" t="n">
        <v>0</v>
      </c>
      <c r="Q887" t="n">
        <v>0</v>
      </c>
      <c r="R887" t="n">
        <v>0</v>
      </c>
      <c r="S887" t="n">
        <v>1</v>
      </c>
      <c r="T887" t="n">
        <v>1</v>
      </c>
      <c r="U887" t="n">
        <v>0</v>
      </c>
      <c r="V887" s="2" t="inlineStr">
        <is>
          <t>Utter</t>
        </is>
      </c>
      <c r="W887">
        <f>HYPERLINK("https://klasma.github.io/Logging_1766/artfynd/A 34956-2026 artfynd.xlsx", "A 34956-2026")</f>
        <v/>
      </c>
      <c r="X887">
        <f>HYPERLINK("https://klasma.github.io/Logging_1766/kartor/A 34956-2026 karta.png", "A 34956-2026")</f>
        <v/>
      </c>
      <c r="Y887">
        <f>HYPERLINK("https://klasma.github.io/Logging_1766/kartor_geotiff/A 34956-2026 georefererad karta.tif", "A 34956-2026")</f>
        <v/>
      </c>
      <c r="AA887">
        <f>HYPERLINK("https://klasma.github.io/Logging_1766/klagomål/A 34956-2026 FSC-klagomål.docx", "A 34956-2026")</f>
        <v/>
      </c>
      <c r="AB887">
        <f>HYPERLINK("https://klasma.github.io/Logging_1766/klagomålsmail/A 34956-2026 FSC-klagomål mail.docx", "A 34956-2026")</f>
        <v/>
      </c>
      <c r="AC887">
        <f>HYPERLINK("https://klasma.github.io/Logging_1766/tillsyn/A 34956-2026 tillsynsbegäran.docx", "A 34956-2026")</f>
        <v/>
      </c>
      <c r="AD887">
        <f>HYPERLINK("https://klasma.github.io/Logging_1766/tillsynsmail/A 34956-2026 tillsynsbegäran mail.docx", "A 34956-2026")</f>
        <v/>
      </c>
    </row>
    <row r="888" ht="15" customHeight="1">
      <c r="A888" t="inlineStr">
        <is>
          <t>A 34986-2026</t>
        </is>
      </c>
      <c r="B888" t="inlineStr">
        <is>
          <t>avverkningsanmälan</t>
        </is>
      </c>
      <c r="C888" t="inlineStr">
        <is>
          <t>Avverkning för att bevara och utveckla /försöksver</t>
        </is>
      </c>
      <c r="D888" s="1" t="n">
        <v>46259</v>
      </c>
      <c r="E888" s="1" t="n">
        <v>46307</v>
      </c>
      <c r="F888" t="inlineStr">
        <is>
          <t>VÄRMLANDS LÄN</t>
        </is>
      </c>
      <c r="G888" t="inlineStr">
        <is>
          <t>TORSBY</t>
        </is>
      </c>
      <c r="H888" t="inlineStr">
        <is>
          <t>Bergvik skog väst AB</t>
        </is>
      </c>
      <c r="I888" t="n">
        <v>5</v>
      </c>
      <c r="J888" t="n">
        <v>0</v>
      </c>
      <c r="K888" t="n">
        <v>0</v>
      </c>
      <c r="L888" t="n">
        <v>0</v>
      </c>
      <c r="M888" t="n">
        <v>1</v>
      </c>
      <c r="N888" t="n">
        <v>0</v>
      </c>
      <c r="O888" t="n">
        <v>0</v>
      </c>
      <c r="P888" t="n">
        <v>0</v>
      </c>
      <c r="Q888" t="n">
        <v>1</v>
      </c>
      <c r="R888" t="n">
        <v>1</v>
      </c>
      <c r="S888" t="n">
        <v>1</v>
      </c>
      <c r="T888" t="n">
        <v>1</v>
      </c>
      <c r="U888" t="n">
        <v>0</v>
      </c>
      <c r="V888" s="2" t="inlineStr">
        <is>
          <t>Lofibbla</t>
        </is>
      </c>
      <c r="W888">
        <f>HYPERLINK("https://klasma.github.io/Logging_1737/artfynd/A 34986-2026 artfynd.xlsx", "A 34986-2026")</f>
        <v/>
      </c>
      <c r="X888">
        <f>HYPERLINK("https://klasma.github.io/Logging_1737/kartor/A 34986-2026 karta.png", "A 34986-2026")</f>
        <v/>
      </c>
      <c r="Y888">
        <f>HYPERLINK("https://klasma.github.io/Logging_1737/kartor_geotiff/A 34986-2026 georefererad karta.tif", "A 34986-2026")</f>
        <v/>
      </c>
      <c r="AA888">
        <f>HYPERLINK("https://klasma.github.io/Logging_1737/klagomål/A 34986-2026 FSC-klagomål.docx", "A 34986-2026")</f>
        <v/>
      </c>
      <c r="AB888">
        <f>HYPERLINK("https://klasma.github.io/Logging_1737/klagomålsmail/A 34986-2026 FSC-klagomål mail.docx", "A 34986-2026")</f>
        <v/>
      </c>
      <c r="AC888">
        <f>HYPERLINK("https://klasma.github.io/Logging_1737/tillsyn/A 34986-2026 tillsynsbegäran.docx", "A 34986-2026")</f>
        <v/>
      </c>
      <c r="AD888">
        <f>HYPERLINK("https://klasma.github.io/Logging_1737/tillsynsmail/A 34986-2026 tillsynsbegäran mail.docx", "A 34986-2026")</f>
        <v/>
      </c>
    </row>
    <row r="889" ht="15" customHeight="1">
      <c r="A889" t="inlineStr">
        <is>
          <t>A 34758-2026</t>
        </is>
      </c>
      <c r="B889" t="inlineStr">
        <is>
          <t>avverkningsanmälan</t>
        </is>
      </c>
      <c r="C889" t="inlineStr">
        <is>
          <t>Föryngringsavverkning</t>
        </is>
      </c>
      <c r="D889" s="1" t="n">
        <v>46258</v>
      </c>
      <c r="E889" s="1" t="n">
        <v>46307</v>
      </c>
      <c r="F889" t="inlineStr">
        <is>
          <t>VÄRMLANDS LÄN</t>
        </is>
      </c>
      <c r="G889" t="inlineStr">
        <is>
          <t>MUNKFORS</t>
        </is>
      </c>
      <c r="H889" t="inlineStr">
        <is>
          <t>Bergvik skog väst AB</t>
        </is>
      </c>
      <c r="I889" t="n">
        <v>5.7</v>
      </c>
      <c r="J889" t="n">
        <v>0</v>
      </c>
      <c r="K889" t="n">
        <v>0</v>
      </c>
      <c r="L889" t="n">
        <v>1</v>
      </c>
      <c r="M889" t="n">
        <v>0</v>
      </c>
      <c r="N889" t="n">
        <v>0</v>
      </c>
      <c r="O889" t="n">
        <v>0</v>
      </c>
      <c r="P889" t="n">
        <v>0</v>
      </c>
      <c r="Q889" t="n">
        <v>1</v>
      </c>
      <c r="R889" t="n">
        <v>0</v>
      </c>
      <c r="S889" t="n">
        <v>1</v>
      </c>
      <c r="T889" t="n">
        <v>1</v>
      </c>
      <c r="U889" t="n">
        <v>0</v>
      </c>
      <c r="V889" s="2" t="inlineStr">
        <is>
          <t>Dvärgbägarlav</t>
        </is>
      </c>
      <c r="W889">
        <f>HYPERLINK("https://klasma.github.io/Logging_1762/artfynd/A 34758-2026 artfynd.xlsx", "A 34758-2026")</f>
        <v/>
      </c>
      <c r="X889">
        <f>HYPERLINK("https://klasma.github.io/Logging_1762/kartor/A 34758-2026 karta.png", "A 34758-2026")</f>
        <v/>
      </c>
      <c r="Y889">
        <f>HYPERLINK("https://klasma.github.io/Logging_1762/kartor_geotiff/A 34758-2026 georefererad karta.tif", "A 34758-2026")</f>
        <v/>
      </c>
      <c r="AA889">
        <f>HYPERLINK("https://klasma.github.io/Logging_1762/klagomål/A 34758-2026 FSC-klagomål.docx", "A 34758-2026")</f>
        <v/>
      </c>
      <c r="AB889">
        <f>HYPERLINK("https://klasma.github.io/Logging_1762/klagomålsmail/A 34758-2026 FSC-klagomål mail.docx", "A 34758-2026")</f>
        <v/>
      </c>
      <c r="AC889">
        <f>HYPERLINK("https://klasma.github.io/Logging_1762/tillsyn/A 34758-2026 tillsynsbegäran.docx", "A 34758-2026")</f>
        <v/>
      </c>
      <c r="AD889">
        <f>HYPERLINK("https://klasma.github.io/Logging_1762/tillsynsmail/A 34758-2026 tillsynsbegäran mail.docx", "A 34758-2026")</f>
        <v/>
      </c>
    </row>
    <row r="890" ht="15" customHeight="1">
      <c r="A890" t="inlineStr">
        <is>
          <t>A 42132-2026</t>
        </is>
      </c>
      <c r="B890" t="inlineStr">
        <is>
          <t>avverkningsanmälan</t>
        </is>
      </c>
      <c r="C890" t="inlineStr">
        <is>
          <t>Föryngringsavverkning</t>
        </is>
      </c>
      <c r="D890" s="1" t="n">
        <v>46304</v>
      </c>
      <c r="E890" s="1" t="n">
        <v>46307</v>
      </c>
      <c r="F890" t="inlineStr">
        <is>
          <t>VÄRMLANDS LÄN</t>
        </is>
      </c>
      <c r="G890" t="inlineStr">
        <is>
          <t>SÄFFLE</t>
        </is>
      </c>
      <c r="I890" t="n">
        <v>3.8</v>
      </c>
      <c r="J890" t="n">
        <v>0</v>
      </c>
      <c r="K890" t="n">
        <v>0</v>
      </c>
      <c r="L890" t="n">
        <v>0</v>
      </c>
      <c r="M890" t="n">
        <v>0</v>
      </c>
      <c r="N890" t="n">
        <v>1</v>
      </c>
      <c r="O890" t="n">
        <v>0</v>
      </c>
      <c r="P890" t="n">
        <v>0</v>
      </c>
      <c r="Q890" t="n">
        <v>1</v>
      </c>
      <c r="R890" t="n">
        <v>1</v>
      </c>
      <c r="S890" t="n">
        <v>1</v>
      </c>
      <c r="T890" t="n">
        <v>1</v>
      </c>
      <c r="U890" t="n">
        <v>0</v>
      </c>
      <c r="V890" s="2" t="inlineStr">
        <is>
          <t>Ask</t>
        </is>
      </c>
      <c r="W890">
        <f>HYPERLINK("https://klasma.github.io/Logging_1785/artfynd/A 42132-2026 artfynd.xlsx", "A 42132-2026")</f>
        <v/>
      </c>
      <c r="X890">
        <f>HYPERLINK("https://klasma.github.io/Logging_1785/kartor/A 42132-2026 karta.png", "A 42132-2026")</f>
        <v/>
      </c>
      <c r="Y890">
        <f>HYPERLINK("https://klasma.github.io/Logging_1785/kartor_geotiff/A 42132-2026 georefererad karta.tif", "A 42132-2026")</f>
        <v/>
      </c>
      <c r="AA890">
        <f>HYPERLINK("https://klasma.github.io/Logging_1785/klagomål/A 42132-2026 FSC-klagomål.docx", "A 42132-2026")</f>
        <v/>
      </c>
      <c r="AB890">
        <f>HYPERLINK("https://klasma.github.io/Logging_1785/klagomålsmail/A 42132-2026 FSC-klagomål mail.docx", "A 42132-2026")</f>
        <v/>
      </c>
      <c r="AC890">
        <f>HYPERLINK("https://klasma.github.io/Logging_1785/tillsyn/A 42132-2026 tillsynsbegäran.docx", "A 42132-2026")</f>
        <v/>
      </c>
      <c r="AD890">
        <f>HYPERLINK("https://klasma.github.io/Logging_1785/tillsynsmail/A 42132-2026 tillsynsbegäran mail.docx", "A 42132-2026")</f>
        <v/>
      </c>
    </row>
    <row r="891" ht="15" customHeight="1">
      <c r="A891" t="inlineStr">
        <is>
          <t>A 41808-2026</t>
        </is>
      </c>
      <c r="B891" t="inlineStr">
        <is>
          <t>avverkningsanmälan</t>
        </is>
      </c>
      <c r="C891" t="inlineStr">
        <is>
          <t>Avverkning för annat ändamål</t>
        </is>
      </c>
      <c r="D891" s="1" t="n">
        <v>46303</v>
      </c>
      <c r="E891" s="1" t="n">
        <v>46307</v>
      </c>
      <c r="F891" t="inlineStr">
        <is>
          <t>VÄRMLANDS LÄN</t>
        </is>
      </c>
      <c r="G891" t="inlineStr">
        <is>
          <t>SUNNE</t>
        </is>
      </c>
      <c r="I891" t="n">
        <v>2.7</v>
      </c>
      <c r="J891" t="n">
        <v>1</v>
      </c>
      <c r="K891" t="n">
        <v>0</v>
      </c>
      <c r="L891" t="n">
        <v>0</v>
      </c>
      <c r="M891" t="n">
        <v>0</v>
      </c>
      <c r="N891" t="n">
        <v>0</v>
      </c>
      <c r="O891" t="n">
        <v>0</v>
      </c>
      <c r="P891" t="n">
        <v>0</v>
      </c>
      <c r="Q891" t="n">
        <v>0</v>
      </c>
      <c r="R891" t="n">
        <v>0</v>
      </c>
      <c r="S891" t="n">
        <v>1</v>
      </c>
      <c r="T891" t="n">
        <v>1</v>
      </c>
      <c r="U891" t="n">
        <v>0</v>
      </c>
      <c r="V891" s="2" t="inlineStr">
        <is>
          <t>Gröngöling</t>
        </is>
      </c>
      <c r="W891">
        <f>HYPERLINK("https://klasma.github.io/Logging_1766/artfynd/A 41808-2026 artfynd.xlsx", "A 41808-2026")</f>
        <v/>
      </c>
      <c r="X891">
        <f>HYPERLINK("https://klasma.github.io/Logging_1766/kartor/A 41808-2026 karta.png", "A 41808-2026")</f>
        <v/>
      </c>
      <c r="Y891">
        <f>HYPERLINK("https://klasma.github.io/Logging_1766/kartor_geotiff/A 41808-2026 georefererad karta.tif", "A 41808-2026")</f>
        <v/>
      </c>
      <c r="AA891">
        <f>HYPERLINK("https://klasma.github.io/Logging_1766/klagomål/A 41808-2026 FSC-klagomål.docx", "A 41808-2026")</f>
        <v/>
      </c>
      <c r="AB891">
        <f>HYPERLINK("https://klasma.github.io/Logging_1766/klagomålsmail/A 41808-2026 FSC-klagomål mail.docx", "A 41808-2026")</f>
        <v/>
      </c>
      <c r="AC891">
        <f>HYPERLINK("https://klasma.github.io/Logging_1766/tillsyn/A 41808-2026 tillsynsbegäran.docx", "A 41808-2026")</f>
        <v/>
      </c>
      <c r="AD891">
        <f>HYPERLINK("https://klasma.github.io/Logging_1766/tillsynsmail/A 41808-2026 tillsynsbegäran mail.docx", "A 41808-2026")</f>
        <v/>
      </c>
    </row>
    <row r="892" ht="15" customHeight="1">
      <c r="A892" t="inlineStr">
        <is>
          <t>A 41941-2026</t>
        </is>
      </c>
      <c r="B892" t="inlineStr">
        <is>
          <t>avverkningsanmälan</t>
        </is>
      </c>
      <c r="C892" t="inlineStr">
        <is>
          <t>Föryngringsavverkning</t>
        </is>
      </c>
      <c r="D892" s="1" t="n">
        <v>46303</v>
      </c>
      <c r="E892" s="1" t="n">
        <v>46307</v>
      </c>
      <c r="F892" t="inlineStr">
        <is>
          <t>VÄRMLANDS LÄN</t>
        </is>
      </c>
      <c r="G892" t="inlineStr">
        <is>
          <t>ÅRJÄNG</t>
        </is>
      </c>
      <c r="I892" t="n">
        <v>2</v>
      </c>
      <c r="J892" t="n">
        <v>1</v>
      </c>
      <c r="K892" t="n">
        <v>0</v>
      </c>
      <c r="L892" t="n">
        <v>0</v>
      </c>
      <c r="M892" t="n">
        <v>0</v>
      </c>
      <c r="N892" t="n">
        <v>0</v>
      </c>
      <c r="O892" t="n">
        <v>0</v>
      </c>
      <c r="P892" t="n">
        <v>0</v>
      </c>
      <c r="Q892" t="n">
        <v>0</v>
      </c>
      <c r="R892" t="n">
        <v>0</v>
      </c>
      <c r="S892" t="n">
        <v>1</v>
      </c>
      <c r="T892" t="n">
        <v>1</v>
      </c>
      <c r="U892" t="n">
        <v>0</v>
      </c>
      <c r="V892" s="2" t="inlineStr">
        <is>
          <t>Vanlig snok</t>
        </is>
      </c>
      <c r="W892">
        <f>HYPERLINK("https://klasma.github.io/Logging_1765/artfynd/A 41941-2026 artfynd.xlsx", "A 41941-2026")</f>
        <v/>
      </c>
      <c r="X892">
        <f>HYPERLINK("https://klasma.github.io/Logging_1765/kartor/A 41941-2026 karta.png", "A 41941-2026")</f>
        <v/>
      </c>
      <c r="Y892">
        <f>HYPERLINK("https://klasma.github.io/Logging_1765/kartor_geotiff/A 41941-2026 georefererad karta.tif", "A 41941-2026")</f>
        <v/>
      </c>
      <c r="AA892">
        <f>HYPERLINK("https://klasma.github.io/Logging_1765/klagomål/A 41941-2026 FSC-klagomål.docx", "A 41941-2026")</f>
        <v/>
      </c>
      <c r="AB892">
        <f>HYPERLINK("https://klasma.github.io/Logging_1765/klagomålsmail/A 41941-2026 FSC-klagomål mail.docx", "A 41941-2026")</f>
        <v/>
      </c>
      <c r="AC892">
        <f>HYPERLINK("https://klasma.github.io/Logging_1765/tillsyn/A 41941-2026 tillsynsbegäran.docx", "A 41941-2026")</f>
        <v/>
      </c>
      <c r="AD892">
        <f>HYPERLINK("https://klasma.github.io/Logging_1765/tillsynsmail/A 41941-2026 tillsynsbegäran mail.docx", "A 41941-2026")</f>
        <v/>
      </c>
    </row>
    <row r="893" ht="15" customHeight="1">
      <c r="A893" t="inlineStr">
        <is>
          <t>A 35457-2026</t>
        </is>
      </c>
      <c r="B893" t="inlineStr">
        <is>
          <t>avverkningsanmälan</t>
        </is>
      </c>
      <c r="C893" t="inlineStr">
        <is>
          <t>Föryngringsavverkning</t>
        </is>
      </c>
      <c r="D893" s="1" t="n">
        <v>46262</v>
      </c>
      <c r="E893" s="1" t="n">
        <v>46307</v>
      </c>
      <c r="F893" t="inlineStr">
        <is>
          <t>VÄRMLANDS LÄN</t>
        </is>
      </c>
      <c r="G893" t="inlineStr">
        <is>
          <t>TORSBY</t>
        </is>
      </c>
      <c r="I893" t="n">
        <v>1.8</v>
      </c>
      <c r="J893" t="n">
        <v>0</v>
      </c>
      <c r="K893" t="n">
        <v>0</v>
      </c>
      <c r="L893" t="n">
        <v>1</v>
      </c>
      <c r="M893" t="n">
        <v>0</v>
      </c>
      <c r="N893" t="n">
        <v>0</v>
      </c>
      <c r="O893" t="n">
        <v>0</v>
      </c>
      <c r="P893" t="n">
        <v>0</v>
      </c>
      <c r="Q893" t="n">
        <v>1</v>
      </c>
      <c r="R893" t="n">
        <v>0</v>
      </c>
      <c r="S893" t="n">
        <v>1</v>
      </c>
      <c r="T893" t="n">
        <v>1</v>
      </c>
      <c r="U893" t="n">
        <v>0</v>
      </c>
      <c r="V893" s="2" t="inlineStr">
        <is>
          <t>Kolflarnlav</t>
        </is>
      </c>
      <c r="W893">
        <f>HYPERLINK("https://klasma.github.io/Logging_1737/artfynd/A 35457-2026 artfynd.xlsx", "A 35457-2026")</f>
        <v/>
      </c>
      <c r="X893">
        <f>HYPERLINK("https://klasma.github.io/Logging_1737/kartor/A 35457-2026 karta.png", "A 35457-2026")</f>
        <v/>
      </c>
      <c r="Y893">
        <f>HYPERLINK("https://klasma.github.io/Logging_1737/kartor_geotiff/A 35457-2026 georefererad karta.tif", "A 35457-2026")</f>
        <v/>
      </c>
      <c r="AA893">
        <f>HYPERLINK("https://klasma.github.io/Logging_1737/klagomål/A 35457-2026 FSC-klagomål.docx", "A 35457-2026")</f>
        <v/>
      </c>
      <c r="AB893">
        <f>HYPERLINK("https://klasma.github.io/Logging_1737/klagomålsmail/A 35457-2026 FSC-klagomål mail.docx", "A 35457-2026")</f>
        <v/>
      </c>
      <c r="AC893">
        <f>HYPERLINK("https://klasma.github.io/Logging_1737/tillsyn/A 35457-2026 tillsynsbegäran.docx", "A 35457-2026")</f>
        <v/>
      </c>
      <c r="AD893">
        <f>HYPERLINK("https://klasma.github.io/Logging_1737/tillsynsmail/A 35457-2026 tillsynsbegäran mail.docx", "A 35457-2026")</f>
        <v/>
      </c>
    </row>
    <row r="894" ht="15" customHeight="1">
      <c r="A894" t="inlineStr">
        <is>
          <t>A 35256-2026</t>
        </is>
      </c>
      <c r="B894" t="inlineStr">
        <is>
          <t>avverkningsanmälan</t>
        </is>
      </c>
      <c r="C894" t="inlineStr">
        <is>
          <t>Föryngringsavverkning</t>
        </is>
      </c>
      <c r="D894" s="1" t="n">
        <v>46261</v>
      </c>
      <c r="E894" s="1" t="n">
        <v>46307</v>
      </c>
      <c r="F894" t="inlineStr">
        <is>
          <t>VÄRMLANDS LÄN</t>
        </is>
      </c>
      <c r="G894" t="inlineStr">
        <is>
          <t>HAGFORS</t>
        </is>
      </c>
      <c r="H894" t="inlineStr">
        <is>
          <t>Bergvik skog väst AB</t>
        </is>
      </c>
      <c r="I894" t="n">
        <v>5</v>
      </c>
      <c r="J894" t="n">
        <v>0</v>
      </c>
      <c r="K894" t="n">
        <v>1</v>
      </c>
      <c r="L894" t="n">
        <v>0</v>
      </c>
      <c r="M894" t="n">
        <v>0</v>
      </c>
      <c r="N894" t="n">
        <v>0</v>
      </c>
      <c r="O894" t="n">
        <v>0</v>
      </c>
      <c r="P894" t="n">
        <v>0</v>
      </c>
      <c r="Q894" t="n">
        <v>0</v>
      </c>
      <c r="R894" t="n">
        <v>0</v>
      </c>
      <c r="S894" t="n">
        <v>1</v>
      </c>
      <c r="T894" t="n">
        <v>1</v>
      </c>
      <c r="U894" t="n">
        <v>0</v>
      </c>
      <c r="V894" s="2" t="inlineStr">
        <is>
          <t>Vedticka</t>
        </is>
      </c>
      <c r="W894">
        <f>HYPERLINK("https://klasma.github.io/Logging_1783/artfynd/A 35256-2026 artfynd.xlsx", "A 35256-2026")</f>
        <v/>
      </c>
      <c r="X894">
        <f>HYPERLINK("https://klasma.github.io/Logging_1783/kartor/A 35256-2026 karta.png", "A 35256-2026")</f>
        <v/>
      </c>
      <c r="Y894">
        <f>HYPERLINK("https://klasma.github.io/Logging_1783/kartor_geotiff/A 35256-2026 georefererad karta.tif", "A 35256-2026")</f>
        <v/>
      </c>
      <c r="AA894">
        <f>HYPERLINK("https://klasma.github.io/Logging_1783/klagomål/A 35256-2026 FSC-klagomål.docx", "A 35256-2026")</f>
        <v/>
      </c>
      <c r="AB894">
        <f>HYPERLINK("https://klasma.github.io/Logging_1783/klagomålsmail/A 35256-2026 FSC-klagomål mail.docx", "A 35256-2026")</f>
        <v/>
      </c>
      <c r="AC894">
        <f>HYPERLINK("https://klasma.github.io/Logging_1783/tillsyn/A 35256-2026 tillsynsbegäran.docx", "A 35256-2026")</f>
        <v/>
      </c>
      <c r="AD894">
        <f>HYPERLINK("https://klasma.github.io/Logging_1783/tillsynsmail/A 35256-2026 tillsynsbegäran mail.docx", "A 35256-2026")</f>
        <v/>
      </c>
    </row>
    <row r="895" ht="15" customHeight="1">
      <c r="A895" t="inlineStr">
        <is>
          <t>A 49765-2025</t>
        </is>
      </c>
      <c r="B895" t="inlineStr">
        <is>
          <t>avverkningsanmälan</t>
        </is>
      </c>
      <c r="C895" t="inlineStr">
        <is>
          <t>Föryngringsavverkning</t>
        </is>
      </c>
      <c r="D895" s="1" t="n">
        <v>45940</v>
      </c>
      <c r="E895" s="1" t="n">
        <v>46307</v>
      </c>
      <c r="F895" t="inlineStr">
        <is>
          <t>VÄRMLANDS LÄN</t>
        </is>
      </c>
      <c r="G895" t="inlineStr">
        <is>
          <t>KARLSTAD</t>
        </is>
      </c>
      <c r="H895" t="inlineStr">
        <is>
          <t>Bergvik skog väst AB</t>
        </is>
      </c>
      <c r="I895" t="n">
        <v>1.8</v>
      </c>
      <c r="J895" t="n">
        <v>0</v>
      </c>
      <c r="K895" t="n">
        <v>0</v>
      </c>
      <c r="L895" t="n">
        <v>0</v>
      </c>
      <c r="M895" t="n">
        <v>0</v>
      </c>
      <c r="N895" t="n">
        <v>1</v>
      </c>
      <c r="O895" t="n">
        <v>0</v>
      </c>
      <c r="P895" t="n">
        <v>0</v>
      </c>
      <c r="Q895" t="n">
        <v>1</v>
      </c>
      <c r="R895" t="n">
        <v>1</v>
      </c>
      <c r="S895" t="n">
        <v>1</v>
      </c>
      <c r="T895" t="n">
        <v>1</v>
      </c>
      <c r="U895" t="n">
        <v>0</v>
      </c>
      <c r="V895" s="2" t="inlineStr">
        <is>
          <t>Slöjvaxskivling</t>
        </is>
      </c>
      <c r="W895">
        <f>HYPERLINK("https://klasma.github.io/Logging_1780/artfynd/A 49765-2025 artfynd.xlsx", "A 49765-2025")</f>
        <v/>
      </c>
      <c r="X895">
        <f>HYPERLINK("https://klasma.github.io/Logging_1780/kartor/A 49765-2025 karta.png", "A 49765-2025")</f>
        <v/>
      </c>
      <c r="Y895">
        <f>HYPERLINK("https://klasma.github.io/Logging_1780/kartor_geotiff/A 49765-2025 georefererad karta.tif", "A 49765-2025")</f>
        <v/>
      </c>
      <c r="AA895">
        <f>HYPERLINK("https://klasma.github.io/Logging_1780/klagomål/A 49765-2025 FSC-klagomål.docx", "A 49765-2025")</f>
        <v/>
      </c>
      <c r="AB895">
        <f>HYPERLINK("https://klasma.github.io/Logging_1780/klagomålsmail/A 49765-2025 FSC-klagomål mail.docx", "A 49765-2025")</f>
        <v/>
      </c>
      <c r="AC895">
        <f>HYPERLINK("https://klasma.github.io/Logging_1780/tillsyn/A 49765-2025 tillsynsbegäran.docx", "A 49765-2025")</f>
        <v/>
      </c>
      <c r="AD895">
        <f>HYPERLINK("https://klasma.github.io/Logging_1780/tillsynsmail/A 49765-2025 tillsynsbegäran mail.docx", "A 49765-2025")</f>
        <v/>
      </c>
    </row>
    <row r="896" ht="15" customHeight="1">
      <c r="A896" t="inlineStr">
        <is>
          <t>S 1722-2020</t>
        </is>
      </c>
      <c r="B896" t="inlineStr">
        <is>
          <t>samrådsanmälan</t>
        </is>
      </c>
      <c r="C896" t="inlineStr">
        <is>
          <t>Åtgärd i nyckelbiotop</t>
        </is>
      </c>
      <c r="D896" s="1" t="n">
        <v>44046</v>
      </c>
      <c r="E896" s="1" t="n">
        <v>46307</v>
      </c>
      <c r="F896" t="inlineStr">
        <is>
          <t>VÄRMLANDS LÄN</t>
        </is>
      </c>
      <c r="G896" t="inlineStr">
        <is>
          <t>SÄFFLE</t>
        </is>
      </c>
      <c r="I896" t="n">
        <v>1.3</v>
      </c>
      <c r="J896" t="n">
        <v>0</v>
      </c>
      <c r="K896" t="n">
        <v>0</v>
      </c>
      <c r="L896" t="n">
        <v>1</v>
      </c>
      <c r="M896" t="n">
        <v>0</v>
      </c>
      <c r="N896" t="n">
        <v>0</v>
      </c>
      <c r="O896" t="n">
        <v>0</v>
      </c>
      <c r="P896" t="n">
        <v>0</v>
      </c>
      <c r="Q896" t="n">
        <v>1</v>
      </c>
      <c r="R896" t="n">
        <v>0</v>
      </c>
      <c r="S896" t="n">
        <v>1</v>
      </c>
      <c r="T896" t="n">
        <v>1</v>
      </c>
      <c r="U896" t="n">
        <v>1</v>
      </c>
      <c r="V896" s="2" t="inlineStr">
        <is>
          <t>Gullpudra</t>
        </is>
      </c>
      <c r="W896">
        <f>HYPERLINK("https://klasma.github.io/Logging_1785/artfynd/S 1722-2020 artfynd.xlsx", "S 1722-2020")</f>
        <v/>
      </c>
      <c r="X896">
        <f>HYPERLINK("https://klasma.github.io/Logging_1785/kartor/S 1722-2020 karta.png", "S 1722-2020")</f>
        <v/>
      </c>
      <c r="Y896">
        <f>HYPERLINK("https://klasma.github.io/Logging_1785/kartor_geotiff/S 1722-2020 georefererad karta.tif", "S 1722-2020")</f>
        <v/>
      </c>
      <c r="AA896">
        <f>HYPERLINK("https://klasma.github.io/Logging_1785/klagomål/S 1722-2020 FSC-klagomål.docx", "S 1722-2020")</f>
        <v/>
      </c>
      <c r="AB896">
        <f>HYPERLINK("https://klasma.github.io/Logging_1785/klagomålsmail/S 1722-2020 FSC-klagomål mail.docx", "S 1722-2020")</f>
        <v/>
      </c>
      <c r="AC896">
        <f>HYPERLINK("https://klasma.github.io/Logging_1785/tillsyn/S 1722-2020 tillsynsbegäran.docx", "S 1722-2020")</f>
        <v/>
      </c>
      <c r="AD896">
        <f>HYPERLINK("https://klasma.github.io/Logging_1785/tillsynsmail/S 1722-2020 tillsynsbegäran mail.docx", "S 1722-2020")</f>
        <v/>
      </c>
    </row>
    <row r="897" ht="15" customHeight="1">
      <c r="A897" t="inlineStr">
        <is>
          <t>S 5158-2021</t>
        </is>
      </c>
      <c r="B897" t="inlineStr">
        <is>
          <t>samrådsanmälan</t>
        </is>
      </c>
      <c r="C897" t="inlineStr">
        <is>
          <t>Annan skogsbruksåtgärd</t>
        </is>
      </c>
      <c r="D897" s="1" t="n">
        <v>44337</v>
      </c>
      <c r="E897" s="1" t="n">
        <v>46307</v>
      </c>
      <c r="F897" t="inlineStr">
        <is>
          <t>VÄRMLANDS LÄN</t>
        </is>
      </c>
      <c r="G897" t="inlineStr">
        <is>
          <t>KRISTINEHAMN</t>
        </is>
      </c>
      <c r="I897" t="n">
        <v>0.7</v>
      </c>
      <c r="J897" t="n">
        <v>1</v>
      </c>
      <c r="K897" t="n">
        <v>0</v>
      </c>
      <c r="L897" t="n">
        <v>0</v>
      </c>
      <c r="M897" t="n">
        <v>0</v>
      </c>
      <c r="N897" t="n">
        <v>1</v>
      </c>
      <c r="O897" t="n">
        <v>0</v>
      </c>
      <c r="P897" t="n">
        <v>0</v>
      </c>
      <c r="Q897" t="n">
        <v>1</v>
      </c>
      <c r="R897" t="n">
        <v>1</v>
      </c>
      <c r="S897" t="n">
        <v>1</v>
      </c>
      <c r="T897" t="n">
        <v>4</v>
      </c>
      <c r="U897" t="n">
        <v>0</v>
      </c>
      <c r="V897" s="2" t="inlineStr">
        <is>
          <t>Bombmurkla</t>
        </is>
      </c>
      <c r="W897">
        <f>HYPERLINK("https://klasma.github.io/Logging_1781/artfynd/S 5158-2021 artfynd.xlsx", "S 5158-2021")</f>
        <v/>
      </c>
      <c r="X897">
        <f>HYPERLINK("https://klasma.github.io/Logging_1781/kartor/S 5158-2021 karta.png", "S 5158-2021")</f>
        <v/>
      </c>
      <c r="Y897">
        <f>HYPERLINK("https://klasma.github.io/Logging_1781/kartor_geotiff/S 5158-2021 georefererad karta.tif", "S 5158-2021")</f>
        <v/>
      </c>
      <c r="AA897">
        <f>HYPERLINK("https://klasma.github.io/Logging_1781/klagomål/S 5158-2021 FSC-klagomål.docx", "S 5158-2021")</f>
        <v/>
      </c>
      <c r="AB897">
        <f>HYPERLINK("https://klasma.github.io/Logging_1781/klagomålsmail/S 5158-2021 FSC-klagomål mail.docx", "S 5158-2021")</f>
        <v/>
      </c>
      <c r="AC897">
        <f>HYPERLINK("https://klasma.github.io/Logging_1781/tillsyn/S 5158-2021 tillsynsbegäran.docx", "S 5158-2021")</f>
        <v/>
      </c>
      <c r="AD897">
        <f>HYPERLINK("https://klasma.github.io/Logging_1781/tillsynsmail/S 5158-2021 tillsynsbegäran mail.docx", "S 5158-2021")</f>
        <v/>
      </c>
    </row>
    <row r="898" ht="15" customHeight="1">
      <c r="A898" t="inlineStr">
        <is>
          <t>S 265-2022</t>
        </is>
      </c>
      <c r="B898" t="inlineStr">
        <is>
          <t>samrådsanmälan</t>
        </is>
      </c>
      <c r="C898" t="inlineStr">
        <is>
          <t>Skogsgödsling</t>
        </is>
      </c>
      <c r="D898" s="1" t="n">
        <v>44578</v>
      </c>
      <c r="E898" s="1" t="n">
        <v>46307</v>
      </c>
      <c r="F898" t="inlineStr">
        <is>
          <t>VÄRMLANDS LÄN</t>
        </is>
      </c>
      <c r="G898" t="inlineStr">
        <is>
          <t>KARLSTAD</t>
        </is>
      </c>
      <c r="H898" t="inlineStr">
        <is>
          <t>Bergvik skog väst AB</t>
        </is>
      </c>
      <c r="I898" t="n">
        <v>25.3</v>
      </c>
      <c r="J898" t="n">
        <v>1</v>
      </c>
      <c r="K898" t="n">
        <v>0</v>
      </c>
      <c r="L898" t="n">
        <v>0</v>
      </c>
      <c r="M898" t="n">
        <v>0</v>
      </c>
      <c r="N898" t="n">
        <v>0</v>
      </c>
      <c r="O898" t="n">
        <v>0</v>
      </c>
      <c r="P898" t="n">
        <v>0</v>
      </c>
      <c r="Q898" t="n">
        <v>0</v>
      </c>
      <c r="R898" t="n">
        <v>0</v>
      </c>
      <c r="S898" t="n">
        <v>1</v>
      </c>
      <c r="T898" t="n">
        <v>1</v>
      </c>
      <c r="U898" t="n">
        <v>1</v>
      </c>
      <c r="V898" s="2" t="inlineStr">
        <is>
          <t>Järpe</t>
        </is>
      </c>
      <c r="W898">
        <f>HYPERLINK("https://klasma.github.io/Logging_1780/artfynd/S 265-2022 artfynd.xlsx", "S 265-2022")</f>
        <v/>
      </c>
      <c r="X898">
        <f>HYPERLINK("https://klasma.github.io/Logging_1780/kartor/S 265-2022 karta.png", "S 265-2022")</f>
        <v/>
      </c>
      <c r="Y898">
        <f>HYPERLINK("https://klasma.github.io/Logging_1780/kartor_geotiff/S 265-2022 georefererad karta.tif", "S 265-2022")</f>
        <v/>
      </c>
      <c r="AA898">
        <f>HYPERLINK("https://klasma.github.io/Logging_1780/klagomål/S 265-2022 FSC-klagomål.docx", "S 265-2022")</f>
        <v/>
      </c>
      <c r="AB898">
        <f>HYPERLINK("https://klasma.github.io/Logging_1780/klagomålsmail/S 265-2022 FSC-klagomål mail.docx", "S 265-2022")</f>
        <v/>
      </c>
      <c r="AC898">
        <f>HYPERLINK("https://klasma.github.io/Logging_1780/tillsyn/S 265-2022 tillsynsbegäran.docx", "S 265-2022")</f>
        <v/>
      </c>
      <c r="AD898">
        <f>HYPERLINK("https://klasma.github.io/Logging_1780/tillsynsmail/S 265-2022 tillsynsbegäran mail.docx", "S 265-2022")</f>
        <v/>
      </c>
      <c r="AE898">
        <f>HYPERLINK("https://klasma.github.io/Logging_1780/fåglar/S 265-2022 prioriterade fågelarter.docx", "S 265-2022")</f>
        <v/>
      </c>
    </row>
    <row r="899" ht="15" customHeight="1">
      <c r="A899" t="inlineStr">
        <is>
          <t>S 289-2022</t>
        </is>
      </c>
      <c r="B899" t="inlineStr">
        <is>
          <t>samrådsanmälan</t>
        </is>
      </c>
      <c r="C899" t="inlineStr">
        <is>
          <t>Skogsgödsling</t>
        </is>
      </c>
      <c r="D899" s="1" t="n">
        <v>44579</v>
      </c>
      <c r="E899" s="1" t="n">
        <v>46307</v>
      </c>
      <c r="F899" t="inlineStr">
        <is>
          <t>VÄRMLANDS LÄN</t>
        </is>
      </c>
      <c r="G899" t="inlineStr">
        <is>
          <t>ARVIKA</t>
        </is>
      </c>
      <c r="H899" t="inlineStr">
        <is>
          <t>Bergvik skog väst AB</t>
        </is>
      </c>
      <c r="I899" t="n">
        <v>40.1</v>
      </c>
      <c r="J899" t="n">
        <v>1</v>
      </c>
      <c r="K899" t="n">
        <v>0</v>
      </c>
      <c r="L899" t="n">
        <v>1</v>
      </c>
      <c r="M899" t="n">
        <v>0</v>
      </c>
      <c r="N899" t="n">
        <v>0</v>
      </c>
      <c r="O899" t="n">
        <v>0</v>
      </c>
      <c r="P899" t="n">
        <v>0</v>
      </c>
      <c r="Q899" t="n">
        <v>1</v>
      </c>
      <c r="R899" t="n">
        <v>0</v>
      </c>
      <c r="S899" t="n">
        <v>1</v>
      </c>
      <c r="T899" t="n">
        <v>1</v>
      </c>
      <c r="U899" t="n">
        <v>1</v>
      </c>
      <c r="V899" s="2" t="inlineStr">
        <is>
          <t>Duvhök</t>
        </is>
      </c>
      <c r="W899">
        <f>HYPERLINK("https://klasma.github.io/Logging_1784/artfynd/S 289-2022 artfynd.xlsx", "S 289-2022")</f>
        <v/>
      </c>
      <c r="X899">
        <f>HYPERLINK("https://klasma.github.io/Logging_1784/kartor/S 289-2022 karta.png", "S 289-2022")</f>
        <v/>
      </c>
      <c r="Y899">
        <f>HYPERLINK("https://klasma.github.io/Logging_1784/kartor_geotiff/S 289-2022 georefererad karta.tif", "S 289-2022")</f>
        <v/>
      </c>
      <c r="AA899">
        <f>HYPERLINK("https://klasma.github.io/Logging_1784/klagomål/S 289-2022 FSC-klagomål.docx", "S 289-2022")</f>
        <v/>
      </c>
      <c r="AB899">
        <f>HYPERLINK("https://klasma.github.io/Logging_1784/klagomålsmail/S 289-2022 FSC-klagomål mail.docx", "S 289-2022")</f>
        <v/>
      </c>
      <c r="AC899">
        <f>HYPERLINK("https://klasma.github.io/Logging_1784/tillsyn/S 289-2022 tillsynsbegäran.docx", "S 289-2022")</f>
        <v/>
      </c>
      <c r="AD899">
        <f>HYPERLINK("https://klasma.github.io/Logging_1784/tillsynsmail/S 289-2022 tillsynsbegäran mail.docx", "S 289-2022")</f>
        <v/>
      </c>
      <c r="AE899">
        <f>HYPERLINK("https://klasma.github.io/Logging_1784/fåglar/S 289-2022 prioriterade fågelarter.docx", "S 289-2022")</f>
        <v/>
      </c>
    </row>
    <row r="900" ht="15" customHeight="1">
      <c r="A900" t="inlineStr">
        <is>
          <t>S 329-2022</t>
        </is>
      </c>
      <c r="B900" t="inlineStr">
        <is>
          <t>samrådsanmälan</t>
        </is>
      </c>
      <c r="C900" t="inlineStr">
        <is>
          <t>Skogsgödsling</t>
        </is>
      </c>
      <c r="D900" s="1" t="n">
        <v>44579</v>
      </c>
      <c r="E900" s="1" t="n">
        <v>46307</v>
      </c>
      <c r="F900" t="inlineStr">
        <is>
          <t>VÄRMLANDS LÄN</t>
        </is>
      </c>
      <c r="G900" t="inlineStr">
        <is>
          <t>EDA</t>
        </is>
      </c>
      <c r="H900" t="inlineStr">
        <is>
          <t>Bergvik skog väst AB</t>
        </is>
      </c>
      <c r="I900" t="n">
        <v>27.5</v>
      </c>
      <c r="J900" t="n">
        <v>1</v>
      </c>
      <c r="K900" t="n">
        <v>0</v>
      </c>
      <c r="L900" t="n">
        <v>0</v>
      </c>
      <c r="M900" t="n">
        <v>0</v>
      </c>
      <c r="N900" t="n">
        <v>0</v>
      </c>
      <c r="O900" t="n">
        <v>0</v>
      </c>
      <c r="P900" t="n">
        <v>0</v>
      </c>
      <c r="Q900" t="n">
        <v>0</v>
      </c>
      <c r="R900" t="n">
        <v>0</v>
      </c>
      <c r="S900" t="n">
        <v>1</v>
      </c>
      <c r="T900" t="n">
        <v>1</v>
      </c>
      <c r="U900" t="n">
        <v>1</v>
      </c>
      <c r="V900" s="2" t="inlineStr">
        <is>
          <t>Fläcknycklar</t>
        </is>
      </c>
      <c r="W900">
        <f>HYPERLINK("https://klasma.github.io/Logging_1730/artfynd/S 329-2022 artfynd.xlsx", "S 329-2022")</f>
        <v/>
      </c>
      <c r="X900">
        <f>HYPERLINK("https://klasma.github.io/Logging_1730/kartor/S 329-2022 karta.png", "S 329-2022")</f>
        <v/>
      </c>
      <c r="Y900">
        <f>HYPERLINK("https://klasma.github.io/Logging_1730/kartor_geotiff/S 329-2022 georefererad karta.tif", "S 329-2022")</f>
        <v/>
      </c>
      <c r="AA900">
        <f>HYPERLINK("https://klasma.github.io/Logging_1730/klagomål/S 329-2022 FSC-klagomål.docx", "S 329-2022")</f>
        <v/>
      </c>
      <c r="AB900">
        <f>HYPERLINK("https://klasma.github.io/Logging_1730/klagomålsmail/S 329-2022 FSC-klagomål mail.docx", "S 329-2022")</f>
        <v/>
      </c>
      <c r="AC900">
        <f>HYPERLINK("https://klasma.github.io/Logging_1730/tillsyn/S 329-2022 tillsynsbegäran.docx", "S 329-2022")</f>
        <v/>
      </c>
      <c r="AD900">
        <f>HYPERLINK("https://klasma.github.io/Logging_1730/tillsynsmail/S 329-2022 tillsynsbegäran mail.docx", "S 329-2022")</f>
        <v/>
      </c>
    </row>
    <row r="901" ht="15" customHeight="1">
      <c r="A901" t="inlineStr">
        <is>
          <t>S 264-2022</t>
        </is>
      </c>
      <c r="B901" t="inlineStr">
        <is>
          <t>samrådsanmälan</t>
        </is>
      </c>
      <c r="C901" t="inlineStr">
        <is>
          <t>Skogsgödsling</t>
        </is>
      </c>
      <c r="D901" s="1" t="n">
        <v>44578</v>
      </c>
      <c r="E901" s="1" t="n">
        <v>46307</v>
      </c>
      <c r="F901" t="inlineStr">
        <is>
          <t>VÄRMLANDS LÄN</t>
        </is>
      </c>
      <c r="G901" t="inlineStr">
        <is>
          <t>FILIPSTAD</t>
        </is>
      </c>
      <c r="H901" t="inlineStr">
        <is>
          <t>Bergvik skog väst AB</t>
        </is>
      </c>
      <c r="I901" t="n">
        <v>398</v>
      </c>
      <c r="J901" t="n">
        <v>1</v>
      </c>
      <c r="K901" t="n">
        <v>0</v>
      </c>
      <c r="L901" t="n">
        <v>0</v>
      </c>
      <c r="M901" t="n">
        <v>0</v>
      </c>
      <c r="N901" t="n">
        <v>0</v>
      </c>
      <c r="O901" t="n">
        <v>0</v>
      </c>
      <c r="P901" t="n">
        <v>0</v>
      </c>
      <c r="Q901" t="n">
        <v>0</v>
      </c>
      <c r="R901" t="n">
        <v>0</v>
      </c>
      <c r="S901" t="n">
        <v>1</v>
      </c>
      <c r="T901" t="n">
        <v>1</v>
      </c>
      <c r="U901" t="n">
        <v>0</v>
      </c>
      <c r="V901" s="2" t="inlineStr">
        <is>
          <t>Slaguggla</t>
        </is>
      </c>
      <c r="W901">
        <f>HYPERLINK("https://klasma.github.io/Logging_1782/artfynd/S 264-2022 artfynd.xlsx", "S 264-2022")</f>
        <v/>
      </c>
      <c r="X901">
        <f>HYPERLINK("https://klasma.github.io/Logging_1782/kartor/S 264-2022 karta.png", "S 264-2022")</f>
        <v/>
      </c>
      <c r="Y901">
        <f>HYPERLINK("https://klasma.github.io/Logging_1782/kartor_geotiff/S 264-2022 georefererad karta.tif", "S 264-2022")</f>
        <v/>
      </c>
      <c r="AA901">
        <f>HYPERLINK("https://klasma.github.io/Logging_1782/klagomål/S 264-2022 FSC-klagomål.docx", "S 264-2022")</f>
        <v/>
      </c>
      <c r="AB901">
        <f>HYPERLINK("https://klasma.github.io/Logging_1782/klagomålsmail/S 264-2022 FSC-klagomål mail.docx", "S 264-2022")</f>
        <v/>
      </c>
      <c r="AC901">
        <f>HYPERLINK("https://klasma.github.io/Logging_1782/tillsyn/S 264-2022 tillsynsbegäran.docx", "S 264-2022")</f>
        <v/>
      </c>
      <c r="AD901">
        <f>HYPERLINK("https://klasma.github.io/Logging_1782/tillsynsmail/S 264-2022 tillsynsbegäran mail.docx", "S 264-2022")</f>
        <v/>
      </c>
      <c r="AE901">
        <f>HYPERLINK("https://klasma.github.io/Logging_1782/fåglar/S 264-2022 prioriterade fågelarter.docx", "S 264-2022")</f>
        <v/>
      </c>
    </row>
    <row r="902" ht="15" customHeight="1">
      <c r="A902" t="inlineStr">
        <is>
          <t>S 2487-2022</t>
        </is>
      </c>
      <c r="B902" t="inlineStr">
        <is>
          <t>samrådsanmälan</t>
        </is>
      </c>
      <c r="C902" t="inlineStr">
        <is>
          <t>Askåterföring</t>
        </is>
      </c>
      <c r="D902" s="1" t="n">
        <v>44693</v>
      </c>
      <c r="E902" s="1" t="n">
        <v>46307</v>
      </c>
      <c r="F902" t="inlineStr">
        <is>
          <t>VÄRMLANDS LÄN</t>
        </is>
      </c>
      <c r="G902" t="inlineStr">
        <is>
          <t>KRISTINEHAMN</t>
        </is>
      </c>
      <c r="I902" t="n">
        <v>43.2</v>
      </c>
      <c r="J902" t="n">
        <v>1</v>
      </c>
      <c r="K902" t="n">
        <v>0</v>
      </c>
      <c r="L902" t="n">
        <v>0</v>
      </c>
      <c r="M902" t="n">
        <v>0</v>
      </c>
      <c r="N902" t="n">
        <v>0</v>
      </c>
      <c r="O902" t="n">
        <v>0</v>
      </c>
      <c r="P902" t="n">
        <v>0</v>
      </c>
      <c r="Q902" t="n">
        <v>0</v>
      </c>
      <c r="R902" t="n">
        <v>0</v>
      </c>
      <c r="S902" t="n">
        <v>1</v>
      </c>
      <c r="T902" t="n">
        <v>1</v>
      </c>
      <c r="U902" t="n">
        <v>1</v>
      </c>
      <c r="V902" s="2" t="inlineStr">
        <is>
          <t>Gråskimlig fladdermus</t>
        </is>
      </c>
      <c r="W902">
        <f>HYPERLINK("https://klasma.github.io/Logging_1781/artfynd/S 2487-2022 artfynd.xlsx", "S 2487-2022")</f>
        <v/>
      </c>
      <c r="X902">
        <f>HYPERLINK("https://klasma.github.io/Logging_1781/kartor/S 2487-2022 karta.png", "S 2487-2022")</f>
        <v/>
      </c>
      <c r="Y902">
        <f>HYPERLINK("https://klasma.github.io/Logging_1781/kartor_geotiff/S 2487-2022 georefererad karta.tif", "S 2487-2022")</f>
        <v/>
      </c>
      <c r="AA902">
        <f>HYPERLINK("https://klasma.github.io/Logging_1781/klagomål/S 2487-2022 FSC-klagomål.docx", "S 2487-2022")</f>
        <v/>
      </c>
      <c r="AB902">
        <f>HYPERLINK("https://klasma.github.io/Logging_1781/klagomålsmail/S 2487-2022 FSC-klagomål mail.docx", "S 2487-2022")</f>
        <v/>
      </c>
      <c r="AC902">
        <f>HYPERLINK("https://klasma.github.io/Logging_1781/tillsyn/S 2487-2022 tillsynsbegäran.docx", "S 2487-2022")</f>
        <v/>
      </c>
      <c r="AD902">
        <f>HYPERLINK("https://klasma.github.io/Logging_1781/tillsynsmail/S 2487-2022 tillsynsbegäran mail.docx", "S 2487-2022")</f>
        <v/>
      </c>
    </row>
    <row r="903" ht="15" customHeight="1">
      <c r="A903" t="inlineStr">
        <is>
          <t>S 333-2022</t>
        </is>
      </c>
      <c r="B903" t="inlineStr">
        <is>
          <t>samrådsanmälan</t>
        </is>
      </c>
      <c r="C903" t="inlineStr">
        <is>
          <t>Skogsgödsling</t>
        </is>
      </c>
      <c r="D903" s="1" t="n">
        <v>44579</v>
      </c>
      <c r="E903" s="1" t="n">
        <v>46307</v>
      </c>
      <c r="F903" t="inlineStr">
        <is>
          <t>VÄRMLANDS LÄN</t>
        </is>
      </c>
      <c r="G903" t="inlineStr">
        <is>
          <t>ÅRJÄNG</t>
        </is>
      </c>
      <c r="H903" t="inlineStr">
        <is>
          <t>Bergvik skog väst AB</t>
        </is>
      </c>
      <c r="I903" t="n">
        <v>40.8</v>
      </c>
      <c r="J903" t="n">
        <v>0</v>
      </c>
      <c r="K903" t="n">
        <v>0</v>
      </c>
      <c r="L903" t="n">
        <v>0</v>
      </c>
      <c r="M903" t="n">
        <v>1</v>
      </c>
      <c r="N903" t="n">
        <v>0</v>
      </c>
      <c r="O903" t="n">
        <v>0</v>
      </c>
      <c r="P903" t="n">
        <v>0</v>
      </c>
      <c r="Q903" t="n">
        <v>1</v>
      </c>
      <c r="R903" t="n">
        <v>1</v>
      </c>
      <c r="S903" t="n">
        <v>1</v>
      </c>
      <c r="T903" t="n">
        <v>2</v>
      </c>
      <c r="U903" t="n">
        <v>0</v>
      </c>
      <c r="V903" s="2" t="inlineStr">
        <is>
          <t>Slåttergubbe</t>
        </is>
      </c>
      <c r="W903">
        <f>HYPERLINK("https://klasma.github.io/Logging_1765/artfynd/S 333-2022 artfynd.xlsx", "S 333-2022")</f>
        <v/>
      </c>
      <c r="X903">
        <f>HYPERLINK("https://klasma.github.io/Logging_1765/kartor/S 333-2022 karta.png", "S 333-2022")</f>
        <v/>
      </c>
      <c r="Y903">
        <f>HYPERLINK("https://klasma.github.io/Logging_1765/kartor_geotiff/S 333-2022 georefererad karta.tif", "S 333-2022")</f>
        <v/>
      </c>
      <c r="AA903">
        <f>HYPERLINK("https://klasma.github.io/Logging_1765/klagomål/S 333-2022 FSC-klagomål.docx", "S 333-2022")</f>
        <v/>
      </c>
      <c r="AB903">
        <f>HYPERLINK("https://klasma.github.io/Logging_1765/klagomålsmail/S 333-2022 FSC-klagomål mail.docx", "S 333-2022")</f>
        <v/>
      </c>
      <c r="AC903">
        <f>HYPERLINK("https://klasma.github.io/Logging_1765/tillsyn/S 333-2022 tillsynsbegäran.docx", "S 333-2022")</f>
        <v/>
      </c>
      <c r="AD903">
        <f>HYPERLINK("https://klasma.github.io/Logging_1765/tillsynsmail/S 333-2022 tillsynsbegäran mail.docx", "S 333-2022")</f>
        <v/>
      </c>
    </row>
    <row r="904" ht="15" customHeight="1">
      <c r="A904" t="inlineStr">
        <is>
          <t>S 4424-2023</t>
        </is>
      </c>
      <c r="B904" t="inlineStr">
        <is>
          <t>samrådsanmälan</t>
        </is>
      </c>
      <c r="C904" t="inlineStr">
        <is>
          <t>Skogsgödsling</t>
        </is>
      </c>
      <c r="D904" s="1" t="n">
        <v>45266</v>
      </c>
      <c r="E904" s="1" t="n">
        <v>46307</v>
      </c>
      <c r="F904" t="inlineStr">
        <is>
          <t>VÄRMLANDS LÄN</t>
        </is>
      </c>
      <c r="G904" t="inlineStr">
        <is>
          <t>SUNNE</t>
        </is>
      </c>
      <c r="H904" t="inlineStr">
        <is>
          <t>Bergvik skog väst AB</t>
        </is>
      </c>
      <c r="I904" t="n">
        <v>27.9</v>
      </c>
      <c r="J904" t="n">
        <v>1</v>
      </c>
      <c r="K904" t="n">
        <v>0</v>
      </c>
      <c r="L904" t="n">
        <v>0</v>
      </c>
      <c r="M904" t="n">
        <v>0</v>
      </c>
      <c r="N904" t="n">
        <v>0</v>
      </c>
      <c r="O904" t="n">
        <v>0</v>
      </c>
      <c r="P904" t="n">
        <v>0</v>
      </c>
      <c r="Q904" t="n">
        <v>0</v>
      </c>
      <c r="R904" t="n">
        <v>0</v>
      </c>
      <c r="S904" t="n">
        <v>1</v>
      </c>
      <c r="T904" t="n">
        <v>2</v>
      </c>
      <c r="U904" t="n">
        <v>2</v>
      </c>
      <c r="V904" s="2" t="inlineStr">
        <is>
          <t>Tjäder</t>
        </is>
      </c>
      <c r="W904">
        <f>HYPERLINK("https://klasma.github.io/Logging_1766/artfynd/S 4424-2023 artfynd.xlsx", "S 4424-2023")</f>
        <v/>
      </c>
      <c r="X904">
        <f>HYPERLINK("https://klasma.github.io/Logging_1766/kartor/S 4424-2023 karta.png", "S 4424-2023")</f>
        <v/>
      </c>
      <c r="Y904">
        <f>HYPERLINK("https://klasma.github.io/Logging_1766/kartor_geotiff/S 4424-2023 georefererad karta.tif", "S 4424-2023")</f>
        <v/>
      </c>
      <c r="AA904">
        <f>HYPERLINK("https://klasma.github.io/Logging_1766/klagomål/S 4424-2023 FSC-klagomål.docx", "S 4424-2023")</f>
        <v/>
      </c>
      <c r="AB904">
        <f>HYPERLINK("https://klasma.github.io/Logging_1766/klagomålsmail/S 4424-2023 FSC-klagomål mail.docx", "S 4424-2023")</f>
        <v/>
      </c>
      <c r="AC904">
        <f>HYPERLINK("https://klasma.github.io/Logging_1766/tillsyn/S 4424-2023 tillsynsbegäran.docx", "S 4424-2023")</f>
        <v/>
      </c>
      <c r="AD904">
        <f>HYPERLINK("https://klasma.github.io/Logging_1766/tillsynsmail/S 4424-2023 tillsynsbegäran mail.docx", "S 4424-2023")</f>
        <v/>
      </c>
      <c r="AE904">
        <f>HYPERLINK("https://klasma.github.io/Logging_1766/fåglar/S 4424-2023 prioriterade fågelarter.docx", "S 4424-2023")</f>
        <v/>
      </c>
    </row>
    <row r="905" ht="15" customHeight="1">
      <c r="A905" t="inlineStr">
        <is>
          <t>S 4397-2023</t>
        </is>
      </c>
      <c r="B905" t="inlineStr">
        <is>
          <t>samrådsanmälan</t>
        </is>
      </c>
      <c r="C905" t="inlineStr">
        <is>
          <t>Skogsgödsling</t>
        </is>
      </c>
      <c r="D905" s="1" t="n">
        <v>45266</v>
      </c>
      <c r="E905" s="1" t="n">
        <v>46307</v>
      </c>
      <c r="F905" t="inlineStr">
        <is>
          <t>VÄRMLANDS LÄN</t>
        </is>
      </c>
      <c r="G905" t="inlineStr">
        <is>
          <t>TORSBY</t>
        </is>
      </c>
      <c r="H905" t="inlineStr">
        <is>
          <t>Bergvik skog väst AB</t>
        </is>
      </c>
      <c r="I905" t="n">
        <v>15.4</v>
      </c>
      <c r="J905" t="n">
        <v>0</v>
      </c>
      <c r="K905" t="n">
        <v>0</v>
      </c>
      <c r="L905" t="n">
        <v>1</v>
      </c>
      <c r="M905" t="n">
        <v>0</v>
      </c>
      <c r="N905" t="n">
        <v>0</v>
      </c>
      <c r="O905" t="n">
        <v>0</v>
      </c>
      <c r="P905" t="n">
        <v>0</v>
      </c>
      <c r="Q905" t="n">
        <v>1</v>
      </c>
      <c r="R905" t="n">
        <v>0</v>
      </c>
      <c r="S905" t="n">
        <v>1</v>
      </c>
      <c r="T905" t="n">
        <v>1</v>
      </c>
      <c r="U905" t="n">
        <v>1</v>
      </c>
      <c r="V905" s="2" t="inlineStr">
        <is>
          <t>Skogshare</t>
        </is>
      </c>
      <c r="W905">
        <f>HYPERLINK("https://klasma.github.io/Logging_1737/artfynd/S 4397-2023 artfynd.xlsx", "S 4397-2023")</f>
        <v/>
      </c>
      <c r="X905">
        <f>HYPERLINK("https://klasma.github.io/Logging_1737/kartor/S 4397-2023 karta.png", "S 4397-2023")</f>
        <v/>
      </c>
      <c r="Y905">
        <f>HYPERLINK("https://klasma.github.io/Logging_1737/kartor_geotiff/S 4397-2023 georefererad karta.tif", "S 4397-2023")</f>
        <v/>
      </c>
      <c r="AA905">
        <f>HYPERLINK("https://klasma.github.io/Logging_1737/klagomål/S 4397-2023 FSC-klagomål.docx", "S 4397-2023")</f>
        <v/>
      </c>
      <c r="AB905">
        <f>HYPERLINK("https://klasma.github.io/Logging_1737/klagomålsmail/S 4397-2023 FSC-klagomål mail.docx", "S 4397-2023")</f>
        <v/>
      </c>
      <c r="AC905">
        <f>HYPERLINK("https://klasma.github.io/Logging_1737/tillsyn/S 4397-2023 tillsynsbegäran.docx", "S 4397-2023")</f>
        <v/>
      </c>
      <c r="AD905">
        <f>HYPERLINK("https://klasma.github.io/Logging_1737/tillsynsmail/S 4397-2023 tillsynsbegäran mail.docx", "S 4397-2023")</f>
        <v/>
      </c>
    </row>
    <row r="906" ht="15" customHeight="1">
      <c r="A906" t="inlineStr">
        <is>
          <t>S 7995-2021</t>
        </is>
      </c>
      <c r="B906" t="inlineStr">
        <is>
          <t>samrådsanmälan</t>
        </is>
      </c>
      <c r="C906" t="inlineStr">
        <is>
          <t>Askåterföring</t>
        </is>
      </c>
      <c r="D906" s="1" t="n">
        <v>44484</v>
      </c>
      <c r="E906" s="1" t="n">
        <v>46307</v>
      </c>
      <c r="F906" t="inlineStr">
        <is>
          <t>VÄRMLANDS LÄN</t>
        </is>
      </c>
      <c r="G906" t="inlineStr">
        <is>
          <t>GRUMS</t>
        </is>
      </c>
      <c r="I906" t="n">
        <v>303.8</v>
      </c>
      <c r="J906" t="n">
        <v>1</v>
      </c>
      <c r="K906" t="n">
        <v>0</v>
      </c>
      <c r="L906" t="n">
        <v>0</v>
      </c>
      <c r="M906" t="n">
        <v>0</v>
      </c>
      <c r="N906" t="n">
        <v>0</v>
      </c>
      <c r="O906" t="n">
        <v>0</v>
      </c>
      <c r="P906" t="n">
        <v>0</v>
      </c>
      <c r="Q906" t="n">
        <v>0</v>
      </c>
      <c r="R906" t="n">
        <v>0</v>
      </c>
      <c r="S906" t="n">
        <v>1</v>
      </c>
      <c r="T906" t="n">
        <v>3</v>
      </c>
      <c r="U906" t="n">
        <v>3</v>
      </c>
      <c r="V906" s="2" t="inlineStr">
        <is>
          <t>Fläcknycklar</t>
        </is>
      </c>
      <c r="W906">
        <f>HYPERLINK("https://klasma.github.io/Logging_1764/artfynd/S 7995-2021 artfynd.xlsx", "S 7995-2021")</f>
        <v/>
      </c>
      <c r="X906">
        <f>HYPERLINK("https://klasma.github.io/Logging_1764/kartor/S 7995-2021 karta.png", "S 7995-2021")</f>
        <v/>
      </c>
      <c r="Y906">
        <f>HYPERLINK("https://klasma.github.io/Logging_1764/kartor_geotiff/S 7995-2021 georefererad karta.tif", "S 7995-2021")</f>
        <v/>
      </c>
      <c r="AA906">
        <f>HYPERLINK("https://klasma.github.io/Logging_1764/klagomål/S 7995-2021 FSC-klagomål.docx", "S 7995-2021")</f>
        <v/>
      </c>
      <c r="AB906">
        <f>HYPERLINK("https://klasma.github.io/Logging_1764/klagomålsmail/S 7995-2021 FSC-klagomål mail.docx", "S 7995-2021")</f>
        <v/>
      </c>
      <c r="AC906">
        <f>HYPERLINK("https://klasma.github.io/Logging_1764/tillsyn/S 7995-2021 tillsynsbegäran.docx", "S 7995-2021")</f>
        <v/>
      </c>
      <c r="AD906">
        <f>HYPERLINK("https://klasma.github.io/Logging_1764/tillsynsmail/S 7995-2021 tillsynsbegäran mail.docx", "S 7995-2021")</f>
        <v/>
      </c>
    </row>
    <row r="907" ht="15" customHeight="1">
      <c r="A907" t="inlineStr">
        <is>
          <t>S 4425-2023</t>
        </is>
      </c>
      <c r="B907" t="inlineStr">
        <is>
          <t>samrådsanmälan</t>
        </is>
      </c>
      <c r="C907" t="inlineStr">
        <is>
          <t>Skogsgödsling</t>
        </is>
      </c>
      <c r="D907" s="1" t="n">
        <v>45266</v>
      </c>
      <c r="E907" s="1" t="n">
        <v>46307</v>
      </c>
      <c r="F907" t="inlineStr">
        <is>
          <t>VÄRMLANDS LÄN</t>
        </is>
      </c>
      <c r="G907" t="inlineStr">
        <is>
          <t>SUNNE</t>
        </is>
      </c>
      <c r="H907" t="inlineStr">
        <is>
          <t>Bergvik skog väst AB</t>
        </is>
      </c>
      <c r="I907" t="n">
        <v>21.2</v>
      </c>
      <c r="J907" t="n">
        <v>1</v>
      </c>
      <c r="K907" t="n">
        <v>0</v>
      </c>
      <c r="L907" t="n">
        <v>0</v>
      </c>
      <c r="M907" t="n">
        <v>0</v>
      </c>
      <c r="N907" t="n">
        <v>0</v>
      </c>
      <c r="O907" t="n">
        <v>0</v>
      </c>
      <c r="P907" t="n">
        <v>0</v>
      </c>
      <c r="Q907" t="n">
        <v>0</v>
      </c>
      <c r="R907" t="n">
        <v>0</v>
      </c>
      <c r="S907" t="n">
        <v>1</v>
      </c>
      <c r="T907" t="n">
        <v>1</v>
      </c>
      <c r="U907" t="n">
        <v>1</v>
      </c>
      <c r="V907" s="2" t="inlineStr">
        <is>
          <t>Tjäder</t>
        </is>
      </c>
      <c r="W907">
        <f>HYPERLINK("https://klasma.github.io/Logging_1766/artfynd/S 4425-2023 artfynd.xlsx", "S 4425-2023")</f>
        <v/>
      </c>
      <c r="X907">
        <f>HYPERLINK("https://klasma.github.io/Logging_1766/kartor/S 4425-2023 karta.png", "S 4425-2023")</f>
        <v/>
      </c>
      <c r="Y907">
        <f>HYPERLINK("https://klasma.github.io/Logging_1766/kartor_geotiff/S 4425-2023 georefererad karta.tif", "S 4425-2023")</f>
        <v/>
      </c>
      <c r="AA907">
        <f>HYPERLINK("https://klasma.github.io/Logging_1766/klagomål/S 4425-2023 FSC-klagomål.docx", "S 4425-2023")</f>
        <v/>
      </c>
      <c r="AB907">
        <f>HYPERLINK("https://klasma.github.io/Logging_1766/klagomålsmail/S 4425-2023 FSC-klagomål mail.docx", "S 4425-2023")</f>
        <v/>
      </c>
      <c r="AC907">
        <f>HYPERLINK("https://klasma.github.io/Logging_1766/tillsyn/S 4425-2023 tillsynsbegäran.docx", "S 4425-2023")</f>
        <v/>
      </c>
      <c r="AD907">
        <f>HYPERLINK("https://klasma.github.io/Logging_1766/tillsynsmail/S 4425-2023 tillsynsbegäran mail.docx", "S 4425-2023")</f>
        <v/>
      </c>
      <c r="AE907">
        <f>HYPERLINK("https://klasma.github.io/Logging_1766/fåglar/S 4425-2023 prioriterade fågelarter.docx", "S 4425-2023")</f>
        <v/>
      </c>
    </row>
    <row r="908" ht="15" customHeight="1">
      <c r="A908" t="inlineStr">
        <is>
          <t>S 412-2024</t>
        </is>
      </c>
      <c r="B908" t="inlineStr">
        <is>
          <t>samrådsanmälan</t>
        </is>
      </c>
      <c r="C908" t="inlineStr">
        <is>
          <t>Skogsgödsling</t>
        </is>
      </c>
      <c r="D908" s="1" t="n">
        <v>45335</v>
      </c>
      <c r="E908" s="1" t="n">
        <v>46307</v>
      </c>
      <c r="F908" t="inlineStr">
        <is>
          <t>VÄRMLANDS LÄN</t>
        </is>
      </c>
      <c r="G908" t="inlineStr">
        <is>
          <t>HAGFORS</t>
        </is>
      </c>
      <c r="H908" t="inlineStr">
        <is>
          <t>Bergvik skog väst AB</t>
        </is>
      </c>
      <c r="I908" t="n">
        <v>344.9</v>
      </c>
      <c r="J908" t="n">
        <v>1</v>
      </c>
      <c r="K908" t="n">
        <v>0</v>
      </c>
      <c r="L908" t="n">
        <v>0</v>
      </c>
      <c r="M908" t="n">
        <v>0</v>
      </c>
      <c r="N908" t="n">
        <v>0</v>
      </c>
      <c r="O908" t="n">
        <v>0</v>
      </c>
      <c r="P908" t="n">
        <v>0</v>
      </c>
      <c r="Q908" t="n">
        <v>0</v>
      </c>
      <c r="R908" t="n">
        <v>0</v>
      </c>
      <c r="S908" t="n">
        <v>1</v>
      </c>
      <c r="T908" t="n">
        <v>1</v>
      </c>
      <c r="U908" t="n">
        <v>1</v>
      </c>
      <c r="V908" s="2" t="inlineStr">
        <is>
          <t>Orre</t>
        </is>
      </c>
      <c r="W908">
        <f>HYPERLINK("https://klasma.github.io/Logging_1783/artfynd/S 412-2024 artfynd.xlsx", "S 412-2024")</f>
        <v/>
      </c>
      <c r="X908">
        <f>HYPERLINK("https://klasma.github.io/Logging_1783/kartor/S 412-2024 karta.png", "S 412-2024")</f>
        <v/>
      </c>
      <c r="Y908">
        <f>HYPERLINK("https://klasma.github.io/Logging_1783/kartor_geotiff/S 412-2024 georefererad karta.tif", "S 412-2024")</f>
        <v/>
      </c>
      <c r="AA908">
        <f>HYPERLINK("https://klasma.github.io/Logging_1783/klagomål/S 412-2024 FSC-klagomål.docx", "S 412-2024")</f>
        <v/>
      </c>
      <c r="AB908">
        <f>HYPERLINK("https://klasma.github.io/Logging_1783/klagomålsmail/S 412-2024 FSC-klagomål mail.docx", "S 412-2024")</f>
        <v/>
      </c>
      <c r="AC908">
        <f>HYPERLINK("https://klasma.github.io/Logging_1783/tillsyn/S 412-2024 tillsynsbegäran.docx", "S 412-2024")</f>
        <v/>
      </c>
      <c r="AD908">
        <f>HYPERLINK("https://klasma.github.io/Logging_1783/tillsynsmail/S 412-2024 tillsynsbegäran mail.docx", "S 412-2024")</f>
        <v/>
      </c>
      <c r="AE908">
        <f>HYPERLINK("https://klasma.github.io/Logging_1783/fåglar/S 412-2024 prioriterade fågelarter.docx", "S 412-2024")</f>
        <v/>
      </c>
    </row>
    <row r="909" ht="15" customHeight="1">
      <c r="A909" t="inlineStr">
        <is>
          <t>S 10211-2021</t>
        </is>
      </c>
      <c r="B909" t="inlineStr">
        <is>
          <t>samrådsanmälan</t>
        </is>
      </c>
      <c r="C909" t="inlineStr">
        <is>
          <t>Skogsgödsling</t>
        </is>
      </c>
      <c r="D909" s="1" t="n">
        <v>44542</v>
      </c>
      <c r="E909" s="1" t="n">
        <v>46307</v>
      </c>
      <c r="F909" t="inlineStr">
        <is>
          <t>VÄRMLANDS LÄN</t>
        </is>
      </c>
      <c r="G909" t="inlineStr">
        <is>
          <t>ARVIKA</t>
        </is>
      </c>
      <c r="H909" t="inlineStr">
        <is>
          <t>Bergvik skog väst AB</t>
        </is>
      </c>
      <c r="I909" t="n">
        <v>26.5</v>
      </c>
      <c r="J909" t="n">
        <v>0</v>
      </c>
      <c r="K909" t="n">
        <v>0</v>
      </c>
      <c r="L909" t="n">
        <v>0</v>
      </c>
      <c r="M909" t="n">
        <v>1</v>
      </c>
      <c r="N909" t="n">
        <v>0</v>
      </c>
      <c r="O909" t="n">
        <v>0</v>
      </c>
      <c r="P909" t="n">
        <v>0</v>
      </c>
      <c r="Q909" t="n">
        <v>1</v>
      </c>
      <c r="R909" t="n">
        <v>1</v>
      </c>
      <c r="S909" t="n">
        <v>1</v>
      </c>
      <c r="T909" t="n">
        <v>1</v>
      </c>
      <c r="U909" t="n">
        <v>1</v>
      </c>
      <c r="V909" s="2" t="inlineStr">
        <is>
          <t>Aspgelélav</t>
        </is>
      </c>
      <c r="W909">
        <f>HYPERLINK("https://klasma.github.io/Logging_1784/artfynd/S 10211-2021 artfynd.xlsx", "S 10211-2021")</f>
        <v/>
      </c>
      <c r="X909">
        <f>HYPERLINK("https://klasma.github.io/Logging_1784/kartor/S 10211-2021 karta.png", "S 10211-2021")</f>
        <v/>
      </c>
      <c r="Y909">
        <f>HYPERLINK("https://klasma.github.io/Logging_1784/kartor_geotiff/S 10211-2021 georefererad karta.tif", "S 10211-2021")</f>
        <v/>
      </c>
      <c r="AA909">
        <f>HYPERLINK("https://klasma.github.io/Logging_1784/klagomål/S 10211-2021 FSC-klagomål.docx", "S 10211-2021")</f>
        <v/>
      </c>
      <c r="AB909">
        <f>HYPERLINK("https://klasma.github.io/Logging_1784/klagomålsmail/S 10211-2021 FSC-klagomål mail.docx", "S 10211-2021")</f>
        <v/>
      </c>
      <c r="AC909">
        <f>HYPERLINK("https://klasma.github.io/Logging_1784/tillsyn/S 10211-2021 tillsynsbegäran.docx", "S 10211-2021")</f>
        <v/>
      </c>
      <c r="AD909">
        <f>HYPERLINK("https://klasma.github.io/Logging_1784/tillsynsmail/S 10211-2021 tillsynsbegäran mail.docx", "S 10211-2021")</f>
        <v/>
      </c>
    </row>
    <row r="910" ht="15" customHeight="1">
      <c r="A910" t="inlineStr">
        <is>
          <t>S 4733-2024</t>
        </is>
      </c>
      <c r="B910" t="inlineStr">
        <is>
          <t>samrådsanmälan</t>
        </is>
      </c>
      <c r="C910" t="inlineStr">
        <is>
          <t>Skogsgödsling</t>
        </is>
      </c>
      <c r="D910" s="1" t="n">
        <v>45608</v>
      </c>
      <c r="E910" s="1" t="n">
        <v>46307</v>
      </c>
      <c r="F910" t="inlineStr">
        <is>
          <t>VÄRMLANDS LÄN</t>
        </is>
      </c>
      <c r="G910" t="inlineStr">
        <is>
          <t>ÅRJÄNG</t>
        </is>
      </c>
      <c r="I910" t="n">
        <v>54.1</v>
      </c>
      <c r="J910" t="n">
        <v>1</v>
      </c>
      <c r="K910" t="n">
        <v>0</v>
      </c>
      <c r="L910" t="n">
        <v>0</v>
      </c>
      <c r="M910" t="n">
        <v>0</v>
      </c>
      <c r="N910" t="n">
        <v>0</v>
      </c>
      <c r="O910" t="n">
        <v>0</v>
      </c>
      <c r="P910" t="n">
        <v>0</v>
      </c>
      <c r="Q910" t="n">
        <v>0</v>
      </c>
      <c r="R910" t="n">
        <v>0</v>
      </c>
      <c r="S910" t="n">
        <v>1</v>
      </c>
      <c r="T910" t="n">
        <v>1</v>
      </c>
      <c r="U910" t="n">
        <v>0</v>
      </c>
      <c r="V910" s="2" t="inlineStr">
        <is>
          <t>Fläcknycklar</t>
        </is>
      </c>
      <c r="W910">
        <f>HYPERLINK("https://klasma.github.io/Logging_1765/artfynd/S 4733-2024 artfynd.xlsx", "S 4733-2024")</f>
        <v/>
      </c>
      <c r="X910">
        <f>HYPERLINK("https://klasma.github.io/Logging_1765/kartor/S 4733-2024 karta.png", "S 4733-2024")</f>
        <v/>
      </c>
      <c r="Y910">
        <f>HYPERLINK("https://klasma.github.io/Logging_1765/kartor_geotiff/S 4733-2024 georefererad karta.tif", "S 4733-2024")</f>
        <v/>
      </c>
      <c r="AA910">
        <f>HYPERLINK("https://klasma.github.io/Logging_1765/klagomål/S 4733-2024 FSC-klagomål.docx", "S 4733-2024")</f>
        <v/>
      </c>
      <c r="AB910">
        <f>HYPERLINK("https://klasma.github.io/Logging_1765/klagomålsmail/S 4733-2024 FSC-klagomål mail.docx", "S 4733-2024")</f>
        <v/>
      </c>
      <c r="AC910">
        <f>HYPERLINK("https://klasma.github.io/Logging_1765/tillsyn/S 4733-2024 tillsynsbegäran.docx", "S 4733-2024")</f>
        <v/>
      </c>
      <c r="AD910">
        <f>HYPERLINK("https://klasma.github.io/Logging_1765/tillsynsmail/S 4733-2024 tillsynsbegäran mail.docx", "S 4733-2024")</f>
        <v/>
      </c>
    </row>
    <row r="911" ht="15" customHeight="1">
      <c r="A911" t="inlineStr">
        <is>
          <t>S 4185-2024</t>
        </is>
      </c>
      <c r="B911" t="inlineStr">
        <is>
          <t>samrådsanmälan</t>
        </is>
      </c>
      <c r="C911" t="inlineStr">
        <is>
          <t>Askåterföring</t>
        </is>
      </c>
      <c r="D911" s="1" t="n">
        <v>45579</v>
      </c>
      <c r="E911" s="1" t="n">
        <v>46307</v>
      </c>
      <c r="F911" t="inlineStr">
        <is>
          <t>VÄRMLANDS LÄN</t>
        </is>
      </c>
      <c r="G911" t="inlineStr">
        <is>
          <t>KRISTINEHAMN</t>
        </is>
      </c>
      <c r="I911" t="n">
        <v>33.7</v>
      </c>
      <c r="J911" t="n">
        <v>0</v>
      </c>
      <c r="K911" t="n">
        <v>1</v>
      </c>
      <c r="L911" t="n">
        <v>0</v>
      </c>
      <c r="M911" t="n">
        <v>0</v>
      </c>
      <c r="N911" t="n">
        <v>0</v>
      </c>
      <c r="O911" t="n">
        <v>0</v>
      </c>
      <c r="P911" t="n">
        <v>0</v>
      </c>
      <c r="Q911" t="n">
        <v>0</v>
      </c>
      <c r="R911" t="n">
        <v>0</v>
      </c>
      <c r="S911" t="n">
        <v>1</v>
      </c>
      <c r="T911" t="n">
        <v>1</v>
      </c>
      <c r="U911" t="n">
        <v>1</v>
      </c>
      <c r="V911" s="2" t="inlineStr">
        <is>
          <t>Björksplintborre</t>
        </is>
      </c>
      <c r="W911">
        <f>HYPERLINK("https://klasma.github.io/Logging_1781/artfynd/S 4185-2024 artfynd.xlsx", "S 4185-2024")</f>
        <v/>
      </c>
      <c r="X911">
        <f>HYPERLINK("https://klasma.github.io/Logging_1781/kartor/S 4185-2024 karta.png", "S 4185-2024")</f>
        <v/>
      </c>
      <c r="Y911">
        <f>HYPERLINK("https://klasma.github.io/Logging_1781/kartor_geotiff/S 4185-2024 georefererad karta.tif", "S 4185-2024")</f>
        <v/>
      </c>
      <c r="AA911">
        <f>HYPERLINK("https://klasma.github.io/Logging_1781/klagomål/S 4185-2024 FSC-klagomål.docx", "S 4185-2024")</f>
        <v/>
      </c>
      <c r="AB911">
        <f>HYPERLINK("https://klasma.github.io/Logging_1781/klagomålsmail/S 4185-2024 FSC-klagomål mail.docx", "S 4185-2024")</f>
        <v/>
      </c>
      <c r="AC911">
        <f>HYPERLINK("https://klasma.github.io/Logging_1781/tillsyn/S 4185-2024 tillsynsbegäran.docx", "S 4185-2024")</f>
        <v/>
      </c>
      <c r="AD911">
        <f>HYPERLINK("https://klasma.github.io/Logging_1781/tillsynsmail/S 4185-2024 tillsynsbegäran mail.docx", "S 4185-2024")</f>
        <v/>
      </c>
    </row>
    <row r="912" ht="15" customHeight="1">
      <c r="A912" t="inlineStr">
        <is>
          <t>S 5502-2022</t>
        </is>
      </c>
      <c r="B912" t="inlineStr">
        <is>
          <t>samrådsanmälan</t>
        </is>
      </c>
      <c r="C912" t="inlineStr">
        <is>
          <t>Skogsgödsling</t>
        </is>
      </c>
      <c r="D912" s="1" t="n">
        <v>44834</v>
      </c>
      <c r="E912" s="1" t="n">
        <v>46307</v>
      </c>
      <c r="F912" t="inlineStr">
        <is>
          <t>VÄRMLANDS LÄN</t>
        </is>
      </c>
      <c r="G912" t="inlineStr">
        <is>
          <t>TORSBY</t>
        </is>
      </c>
      <c r="H912" t="inlineStr">
        <is>
          <t>Bergvik skog väst AB</t>
        </is>
      </c>
      <c r="I912" t="n">
        <v>16.3</v>
      </c>
      <c r="J912" t="n">
        <v>0</v>
      </c>
      <c r="K912" t="n">
        <v>0</v>
      </c>
      <c r="L912" t="n">
        <v>1</v>
      </c>
      <c r="M912" t="n">
        <v>0</v>
      </c>
      <c r="N912" t="n">
        <v>0</v>
      </c>
      <c r="O912" t="n">
        <v>0</v>
      </c>
      <c r="P912" t="n">
        <v>0</v>
      </c>
      <c r="Q912" t="n">
        <v>1</v>
      </c>
      <c r="R912" t="n">
        <v>0</v>
      </c>
      <c r="S912" t="n">
        <v>1</v>
      </c>
      <c r="T912" t="n">
        <v>1</v>
      </c>
      <c r="U912" t="n">
        <v>1</v>
      </c>
      <c r="V912" s="2" t="inlineStr">
        <is>
          <t>Skogshare</t>
        </is>
      </c>
      <c r="W912">
        <f>HYPERLINK("https://klasma.github.io/Logging_1737/artfynd/S 5502-2022 artfynd.xlsx", "S 5502-2022")</f>
        <v/>
      </c>
      <c r="X912">
        <f>HYPERLINK("https://klasma.github.io/Logging_1737/kartor/S 5502-2022 karta.png", "S 5502-2022")</f>
        <v/>
      </c>
      <c r="Y912">
        <f>HYPERLINK("https://klasma.github.io/Logging_1737/kartor_geotiff/S 5502-2022 georefererad karta.tif", "S 5502-2022")</f>
        <v/>
      </c>
      <c r="AA912">
        <f>HYPERLINK("https://klasma.github.io/Logging_1737/klagomål/S 5502-2022 FSC-klagomål.docx", "S 5502-2022")</f>
        <v/>
      </c>
      <c r="AB912">
        <f>HYPERLINK("https://klasma.github.io/Logging_1737/klagomålsmail/S 5502-2022 FSC-klagomål mail.docx", "S 5502-2022")</f>
        <v/>
      </c>
      <c r="AC912">
        <f>HYPERLINK("https://klasma.github.io/Logging_1737/tillsyn/S 5502-2022 tillsynsbegäran.docx", "S 5502-2022")</f>
        <v/>
      </c>
      <c r="AD912">
        <f>HYPERLINK("https://klasma.github.io/Logging_1737/tillsynsmail/S 5502-2022 tillsynsbegäran mail.docx", "S 5502-2022")</f>
        <v/>
      </c>
    </row>
    <row r="913" ht="15" customHeight="1">
      <c r="A913" t="inlineStr">
        <is>
          <t>S 155-2023</t>
        </is>
      </c>
      <c r="B913" t="inlineStr">
        <is>
          <t>samrådsanmälan</t>
        </is>
      </c>
      <c r="C913" t="inlineStr">
        <is>
          <t>Askåterföring</t>
        </is>
      </c>
      <c r="D913" s="1" t="n">
        <v>44943</v>
      </c>
      <c r="E913" s="1" t="n">
        <v>46307</v>
      </c>
      <c r="F913" t="inlineStr">
        <is>
          <t>VÄRMLANDS LÄN</t>
        </is>
      </c>
      <c r="G913" t="inlineStr">
        <is>
          <t>SÄFFLE</t>
        </is>
      </c>
      <c r="H913" t="inlineStr">
        <is>
          <t>Bergvik skog väst AB</t>
        </is>
      </c>
      <c r="I913" t="n">
        <v>42.7</v>
      </c>
      <c r="J913" t="n">
        <v>0</v>
      </c>
      <c r="K913" t="n">
        <v>0</v>
      </c>
      <c r="L913" t="n">
        <v>0</v>
      </c>
      <c r="M913" t="n">
        <v>0</v>
      </c>
      <c r="N913" t="n">
        <v>1</v>
      </c>
      <c r="O913" t="n">
        <v>0</v>
      </c>
      <c r="P913" t="n">
        <v>0</v>
      </c>
      <c r="Q913" t="n">
        <v>1</v>
      </c>
      <c r="R913" t="n">
        <v>1</v>
      </c>
      <c r="S913" t="n">
        <v>1</v>
      </c>
      <c r="T913" t="n">
        <v>1</v>
      </c>
      <c r="U913" t="n">
        <v>0</v>
      </c>
      <c r="V913" s="2" t="inlineStr">
        <is>
          <t>Ask</t>
        </is>
      </c>
      <c r="W913">
        <f>HYPERLINK("https://klasma.github.io/Logging_1785/artfynd/S 155-2023 artfynd.xlsx", "S 155-2023")</f>
        <v/>
      </c>
      <c r="X913">
        <f>HYPERLINK("https://klasma.github.io/Logging_1785/kartor/S 155-2023 karta.png", "S 155-2023")</f>
        <v/>
      </c>
      <c r="Y913">
        <f>HYPERLINK("https://klasma.github.io/Logging_1785/kartor_geotiff/S 155-2023 georefererad karta.tif", "S 155-2023")</f>
        <v/>
      </c>
      <c r="AA913">
        <f>HYPERLINK("https://klasma.github.io/Logging_1785/klagomål/S 155-2023 FSC-klagomål.docx", "S 155-2023")</f>
        <v/>
      </c>
      <c r="AB913">
        <f>HYPERLINK("https://klasma.github.io/Logging_1785/klagomålsmail/S 155-2023 FSC-klagomål mail.docx", "S 155-2023")</f>
        <v/>
      </c>
      <c r="AC913">
        <f>HYPERLINK("https://klasma.github.io/Logging_1785/tillsyn/S 155-2023 tillsynsbegäran.docx", "S 155-2023")</f>
        <v/>
      </c>
      <c r="AD913">
        <f>HYPERLINK("https://klasma.github.io/Logging_1785/tillsynsmail/S 155-2023 tillsynsbegäran mail.docx", "S 155-2023")</f>
        <v/>
      </c>
    </row>
    <row r="914" ht="15" customHeight="1">
      <c r="A914" t="inlineStr">
        <is>
          <t>S 6976-2022</t>
        </is>
      </c>
      <c r="B914" t="inlineStr">
        <is>
          <t>samrådsanmälan</t>
        </is>
      </c>
      <c r="C914" t="inlineStr">
        <is>
          <t>Skogsgödsling</t>
        </is>
      </c>
      <c r="D914" s="1" t="n">
        <v>44901</v>
      </c>
      <c r="E914" s="1" t="n">
        <v>46307</v>
      </c>
      <c r="F914" t="inlineStr">
        <is>
          <t>VÄRMLANDS LÄN</t>
        </is>
      </c>
      <c r="G914" t="inlineStr">
        <is>
          <t>TORSBY</t>
        </is>
      </c>
      <c r="H914" t="inlineStr">
        <is>
          <t>Bergvik skog väst AB</t>
        </is>
      </c>
      <c r="I914" t="n">
        <v>15</v>
      </c>
      <c r="J914" t="n">
        <v>0</v>
      </c>
      <c r="K914" t="n">
        <v>0</v>
      </c>
      <c r="L914" t="n">
        <v>1</v>
      </c>
      <c r="M914" t="n">
        <v>0</v>
      </c>
      <c r="N914" t="n">
        <v>0</v>
      </c>
      <c r="O914" t="n">
        <v>0</v>
      </c>
      <c r="P914" t="n">
        <v>0</v>
      </c>
      <c r="Q914" t="n">
        <v>1</v>
      </c>
      <c r="R914" t="n">
        <v>0</v>
      </c>
      <c r="S914" t="n">
        <v>1</v>
      </c>
      <c r="T914" t="n">
        <v>1</v>
      </c>
      <c r="U914" t="n">
        <v>1</v>
      </c>
      <c r="V914" s="2" t="inlineStr">
        <is>
          <t>Skogshare</t>
        </is>
      </c>
      <c r="W914">
        <f>HYPERLINK("https://klasma.github.io/Logging_1737/artfynd/S 6976-2022 artfynd.xlsx", "S 6976-2022")</f>
        <v/>
      </c>
      <c r="X914">
        <f>HYPERLINK("https://klasma.github.io/Logging_1737/kartor/S 6976-2022 karta.png", "S 6976-2022")</f>
        <v/>
      </c>
      <c r="Y914">
        <f>HYPERLINK("https://klasma.github.io/Logging_1737/kartor_geotiff/S 6976-2022 georefererad karta.tif", "S 6976-2022")</f>
        <v/>
      </c>
      <c r="AA914">
        <f>HYPERLINK("https://klasma.github.io/Logging_1737/klagomål/S 6976-2022 FSC-klagomål.docx", "S 6976-2022")</f>
        <v/>
      </c>
      <c r="AB914">
        <f>HYPERLINK("https://klasma.github.io/Logging_1737/klagomålsmail/S 6976-2022 FSC-klagomål mail.docx", "S 6976-2022")</f>
        <v/>
      </c>
      <c r="AC914">
        <f>HYPERLINK("https://klasma.github.io/Logging_1737/tillsyn/S 6976-2022 tillsynsbegäran.docx", "S 6976-2022")</f>
        <v/>
      </c>
      <c r="AD914">
        <f>HYPERLINK("https://klasma.github.io/Logging_1737/tillsynsmail/S 6976-2022 tillsynsbegäran mail.docx", "S 6976-2022")</f>
        <v/>
      </c>
    </row>
    <row r="915" ht="15" customHeight="1">
      <c r="A915" t="inlineStr">
        <is>
          <t>S 4427-2023</t>
        </is>
      </c>
      <c r="B915" t="inlineStr">
        <is>
          <t>samrådsanmälan</t>
        </is>
      </c>
      <c r="C915" t="inlineStr">
        <is>
          <t>Skogsgödsling</t>
        </is>
      </c>
      <c r="D915" s="1" t="n">
        <v>45266</v>
      </c>
      <c r="E915" s="1" t="n">
        <v>46307</v>
      </c>
      <c r="F915" t="inlineStr">
        <is>
          <t>VÄRMLANDS LÄN</t>
        </is>
      </c>
      <c r="G915" t="inlineStr">
        <is>
          <t>HAGFORS</t>
        </is>
      </c>
      <c r="H915" t="inlineStr">
        <is>
          <t>Bergvik skog väst AB</t>
        </is>
      </c>
      <c r="I915" t="n">
        <v>33.3</v>
      </c>
      <c r="J915" t="n">
        <v>0</v>
      </c>
      <c r="K915" t="n">
        <v>1</v>
      </c>
      <c r="L915" t="n">
        <v>0</v>
      </c>
      <c r="M915" t="n">
        <v>0</v>
      </c>
      <c r="N915" t="n">
        <v>0</v>
      </c>
      <c r="O915" t="n">
        <v>0</v>
      </c>
      <c r="P915" t="n">
        <v>0</v>
      </c>
      <c r="Q915" t="n">
        <v>0</v>
      </c>
      <c r="R915" t="n">
        <v>0</v>
      </c>
      <c r="S915" t="n">
        <v>1</v>
      </c>
      <c r="T915" t="n">
        <v>1</v>
      </c>
      <c r="U915" t="n">
        <v>0</v>
      </c>
      <c r="V915" s="2" t="inlineStr">
        <is>
          <t>Fjällig jordtunga</t>
        </is>
      </c>
      <c r="W915">
        <f>HYPERLINK("https://klasma.github.io/Logging_1783/artfynd/S 4427-2023 artfynd.xlsx", "S 4427-2023")</f>
        <v/>
      </c>
      <c r="X915">
        <f>HYPERLINK("https://klasma.github.io/Logging_1783/kartor/S 4427-2023 karta.png", "S 4427-2023")</f>
        <v/>
      </c>
      <c r="Y915">
        <f>HYPERLINK("https://klasma.github.io/Logging_1783/kartor_geotiff/S 4427-2023 georefererad karta.tif", "S 4427-2023")</f>
        <v/>
      </c>
      <c r="AA915">
        <f>HYPERLINK("https://klasma.github.io/Logging_1783/klagomål/S 4427-2023 FSC-klagomål.docx", "S 4427-2023")</f>
        <v/>
      </c>
      <c r="AB915">
        <f>HYPERLINK("https://klasma.github.io/Logging_1783/klagomålsmail/S 4427-2023 FSC-klagomål mail.docx", "S 4427-2023")</f>
        <v/>
      </c>
      <c r="AC915">
        <f>HYPERLINK("https://klasma.github.io/Logging_1783/tillsyn/S 4427-2023 tillsynsbegäran.docx", "S 4427-2023")</f>
        <v/>
      </c>
      <c r="AD915">
        <f>HYPERLINK("https://klasma.github.io/Logging_1783/tillsynsmail/S 4427-2023 tillsynsbegäran mail.docx", "S 4427-2023")</f>
        <v/>
      </c>
    </row>
    <row r="916" ht="15" customHeight="1">
      <c r="A916" t="inlineStr">
        <is>
          <t>S 4136-2023</t>
        </is>
      </c>
      <c r="B916" t="inlineStr">
        <is>
          <t>samrådsanmälan</t>
        </is>
      </c>
      <c r="C916" t="inlineStr">
        <is>
          <t>Skogsgödsling</t>
        </is>
      </c>
      <c r="D916" s="1" t="n">
        <v>45247</v>
      </c>
      <c r="E916" s="1" t="n">
        <v>46307</v>
      </c>
      <c r="F916" t="inlineStr">
        <is>
          <t>VÄRMLANDS LÄN</t>
        </is>
      </c>
      <c r="G916" t="inlineStr">
        <is>
          <t>KARLSTAD</t>
        </is>
      </c>
      <c r="H916" t="inlineStr">
        <is>
          <t>Bergvik skog väst AB</t>
        </is>
      </c>
      <c r="I916" t="n">
        <v>11.7</v>
      </c>
      <c r="J916" t="n">
        <v>1</v>
      </c>
      <c r="K916" t="n">
        <v>0</v>
      </c>
      <c r="L916" t="n">
        <v>0</v>
      </c>
      <c r="M916" t="n">
        <v>1</v>
      </c>
      <c r="N916" t="n">
        <v>0</v>
      </c>
      <c r="O916" t="n">
        <v>0</v>
      </c>
      <c r="P916" t="n">
        <v>0</v>
      </c>
      <c r="Q916" t="n">
        <v>1</v>
      </c>
      <c r="R916" t="n">
        <v>1</v>
      </c>
      <c r="S916" t="n">
        <v>1</v>
      </c>
      <c r="T916" t="n">
        <v>1</v>
      </c>
      <c r="U916" t="n">
        <v>1</v>
      </c>
      <c r="V916" s="2" t="inlineStr">
        <is>
          <t>Lappuggla</t>
        </is>
      </c>
      <c r="W916">
        <f>HYPERLINK("https://klasma.github.io/Logging_1780/artfynd/S 4136-2023 artfynd.xlsx", "S 4136-2023")</f>
        <v/>
      </c>
      <c r="X916">
        <f>HYPERLINK("https://klasma.github.io/Logging_1780/kartor/S 4136-2023 karta.png", "S 4136-2023")</f>
        <v/>
      </c>
      <c r="Y916">
        <f>HYPERLINK("https://klasma.github.io/Logging_1780/kartor_geotiff/S 4136-2023 georefererad karta.tif", "S 4136-2023")</f>
        <v/>
      </c>
      <c r="AA916">
        <f>HYPERLINK("https://klasma.github.io/Logging_1780/klagomål/S 4136-2023 FSC-klagomål.docx", "S 4136-2023")</f>
        <v/>
      </c>
      <c r="AB916">
        <f>HYPERLINK("https://klasma.github.io/Logging_1780/klagomålsmail/S 4136-2023 FSC-klagomål mail.docx", "S 4136-2023")</f>
        <v/>
      </c>
      <c r="AC916">
        <f>HYPERLINK("https://klasma.github.io/Logging_1780/tillsyn/S 4136-2023 tillsynsbegäran.docx", "S 4136-2023")</f>
        <v/>
      </c>
      <c r="AD916">
        <f>HYPERLINK("https://klasma.github.io/Logging_1780/tillsynsmail/S 4136-2023 tillsynsbegäran mail.docx", "S 4136-2023")</f>
        <v/>
      </c>
      <c r="AE916">
        <f>HYPERLINK("https://klasma.github.io/Logging_1780/fåglar/S 4136-2023 prioriterade fågelarter.docx", "S 4136-2023")</f>
        <v/>
      </c>
    </row>
    <row r="917" ht="15" customHeight="1">
      <c r="A917" t="inlineStr">
        <is>
          <t>S 4138-2023</t>
        </is>
      </c>
      <c r="B917" t="inlineStr">
        <is>
          <t>samrådsanmälan</t>
        </is>
      </c>
      <c r="C917" t="inlineStr">
        <is>
          <t>Skogsgödsling</t>
        </is>
      </c>
      <c r="D917" s="1" t="n">
        <v>45247</v>
      </c>
      <c r="E917" s="1" t="n">
        <v>46307</v>
      </c>
      <c r="F917" t="inlineStr">
        <is>
          <t>VÄRMLANDS LÄN</t>
        </is>
      </c>
      <c r="G917" t="inlineStr">
        <is>
          <t>KRISTINEHAMN</t>
        </is>
      </c>
      <c r="H917" t="inlineStr">
        <is>
          <t>Naturvårdsverket</t>
        </is>
      </c>
      <c r="I917" t="n">
        <v>15.8</v>
      </c>
      <c r="J917" t="n">
        <v>1</v>
      </c>
      <c r="K917" t="n">
        <v>0</v>
      </c>
      <c r="L917" t="n">
        <v>0</v>
      </c>
      <c r="M917" t="n">
        <v>0</v>
      </c>
      <c r="N917" t="n">
        <v>0</v>
      </c>
      <c r="O917" t="n">
        <v>0</v>
      </c>
      <c r="P917" t="n">
        <v>0</v>
      </c>
      <c r="Q917" t="n">
        <v>0</v>
      </c>
      <c r="R917" t="n">
        <v>0</v>
      </c>
      <c r="S917" t="n">
        <v>1</v>
      </c>
      <c r="T917" t="n">
        <v>1</v>
      </c>
      <c r="U917" t="n">
        <v>0</v>
      </c>
      <c r="V917" s="2" t="inlineStr">
        <is>
          <t>Tjäder</t>
        </is>
      </c>
      <c r="W917">
        <f>HYPERLINK("https://klasma.github.io/Logging_1781/artfynd/S 4138-2023 artfynd.xlsx", "S 4138-2023")</f>
        <v/>
      </c>
      <c r="X917">
        <f>HYPERLINK("https://klasma.github.io/Logging_1781/kartor/S 4138-2023 karta.png", "S 4138-2023")</f>
        <v/>
      </c>
      <c r="Y917">
        <f>HYPERLINK("https://klasma.github.io/Logging_1781/kartor_geotiff/S 4138-2023 georefererad karta.tif", "S 4138-2023")</f>
        <v/>
      </c>
      <c r="AA917">
        <f>HYPERLINK("https://klasma.github.io/Logging_1781/klagomål/S 4138-2023 FSC-klagomål.docx", "S 4138-2023")</f>
        <v/>
      </c>
      <c r="AB917">
        <f>HYPERLINK("https://klasma.github.io/Logging_1781/klagomålsmail/S 4138-2023 FSC-klagomål mail.docx", "S 4138-2023")</f>
        <v/>
      </c>
      <c r="AC917">
        <f>HYPERLINK("https://klasma.github.io/Logging_1781/tillsyn/S 4138-2023 tillsynsbegäran.docx", "S 4138-2023")</f>
        <v/>
      </c>
      <c r="AD917">
        <f>HYPERLINK("https://klasma.github.io/Logging_1781/tillsynsmail/S 4138-2023 tillsynsbegäran mail.docx", "S 4138-2023")</f>
        <v/>
      </c>
      <c r="AE917">
        <f>HYPERLINK("https://klasma.github.io/Logging_1781/fåglar/S 4138-2023 prioriterade fågelarter.docx", "S 4138-2023")</f>
        <v/>
      </c>
    </row>
    <row r="918" ht="15" customHeight="1">
      <c r="A918" t="inlineStr">
        <is>
          <t>S 10206-2021</t>
        </is>
      </c>
      <c r="B918" t="inlineStr">
        <is>
          <t>samrådsanmälan</t>
        </is>
      </c>
      <c r="C918" t="inlineStr">
        <is>
          <t>Skogsgödsling</t>
        </is>
      </c>
      <c r="D918" s="1" t="n">
        <v>44542</v>
      </c>
      <c r="E918" s="1" t="n">
        <v>46307</v>
      </c>
      <c r="F918" t="inlineStr">
        <is>
          <t>VÄRMLANDS LÄN</t>
        </is>
      </c>
      <c r="G918" t="inlineStr">
        <is>
          <t>ARVIKA</t>
        </is>
      </c>
      <c r="H918" t="inlineStr">
        <is>
          <t>Bergvik skog väst AB</t>
        </is>
      </c>
      <c r="I918" t="n">
        <v>43.3</v>
      </c>
      <c r="J918" t="n">
        <v>1</v>
      </c>
      <c r="K918" t="n">
        <v>0</v>
      </c>
      <c r="L918" t="n">
        <v>0</v>
      </c>
      <c r="M918" t="n">
        <v>0</v>
      </c>
      <c r="N918" t="n">
        <v>0</v>
      </c>
      <c r="O918" t="n">
        <v>0</v>
      </c>
      <c r="P918" t="n">
        <v>0</v>
      </c>
      <c r="Q918" t="n">
        <v>0</v>
      </c>
      <c r="R918" t="n">
        <v>0</v>
      </c>
      <c r="S918" t="n">
        <v>1</v>
      </c>
      <c r="T918" t="n">
        <v>1</v>
      </c>
      <c r="U918" t="n">
        <v>1</v>
      </c>
      <c r="V918" s="2" t="inlineStr">
        <is>
          <t>Spillkråka</t>
        </is>
      </c>
      <c r="W918">
        <f>HYPERLINK("https://klasma.github.io/Logging_1784/artfynd/S 10206-2021 artfynd.xlsx", "S 10206-2021")</f>
        <v/>
      </c>
      <c r="X918">
        <f>HYPERLINK("https://klasma.github.io/Logging_1784/kartor/S 10206-2021 karta.png", "S 10206-2021")</f>
        <v/>
      </c>
      <c r="Y918">
        <f>HYPERLINK("https://klasma.github.io/Logging_1784/kartor_geotiff/S 10206-2021 georefererad karta.tif", "S 10206-2021")</f>
        <v/>
      </c>
      <c r="AA918">
        <f>HYPERLINK("https://klasma.github.io/Logging_1784/klagomål/S 10206-2021 FSC-klagomål.docx", "S 10206-2021")</f>
        <v/>
      </c>
      <c r="AB918">
        <f>HYPERLINK("https://klasma.github.io/Logging_1784/klagomålsmail/S 10206-2021 FSC-klagomål mail.docx", "S 10206-2021")</f>
        <v/>
      </c>
      <c r="AC918">
        <f>HYPERLINK("https://klasma.github.io/Logging_1784/tillsyn/S 10206-2021 tillsynsbegäran.docx", "S 10206-2021")</f>
        <v/>
      </c>
      <c r="AD918">
        <f>HYPERLINK("https://klasma.github.io/Logging_1784/tillsynsmail/S 10206-2021 tillsynsbegäran mail.docx", "S 10206-2021")</f>
        <v/>
      </c>
      <c r="AE918">
        <f>HYPERLINK("https://klasma.github.io/Logging_1784/fåglar/S 10206-2021 prioriterade fågelarter.docx", "S 10206-2021")</f>
        <v/>
      </c>
    </row>
    <row r="919" ht="15" customHeight="1">
      <c r="A919" t="inlineStr">
        <is>
          <t>S 665-2025</t>
        </is>
      </c>
      <c r="B919" t="inlineStr">
        <is>
          <t>samrådsanmälan</t>
        </is>
      </c>
      <c r="C919" t="inlineStr">
        <is>
          <t>Skogsgödsling</t>
        </is>
      </c>
      <c r="D919" s="1" t="n">
        <v>45716</v>
      </c>
      <c r="E919" s="1" t="n">
        <v>46307</v>
      </c>
      <c r="F919" t="inlineStr">
        <is>
          <t>VÄRMLANDS LÄN</t>
        </is>
      </c>
      <c r="G919" t="inlineStr">
        <is>
          <t>KRISTINEHAMN</t>
        </is>
      </c>
      <c r="H919" t="inlineStr">
        <is>
          <t>Naturvårdsverket</t>
        </is>
      </c>
      <c r="I919" t="n">
        <v>50.8</v>
      </c>
      <c r="J919" t="n">
        <v>0</v>
      </c>
      <c r="K919" t="n">
        <v>1</v>
      </c>
      <c r="L919" t="n">
        <v>0</v>
      </c>
      <c r="M919" t="n">
        <v>0</v>
      </c>
      <c r="N919" t="n">
        <v>0</v>
      </c>
      <c r="O919" t="n">
        <v>0</v>
      </c>
      <c r="P919" t="n">
        <v>0</v>
      </c>
      <c r="Q919" t="n">
        <v>0</v>
      </c>
      <c r="R919" t="n">
        <v>0</v>
      </c>
      <c r="S919" t="n">
        <v>1</v>
      </c>
      <c r="T919" t="n">
        <v>1</v>
      </c>
      <c r="U919" t="n">
        <v>0</v>
      </c>
      <c r="V919" s="2" t="inlineStr">
        <is>
          <t>Bollvitmossa</t>
        </is>
      </c>
      <c r="W919">
        <f>HYPERLINK("https://klasma.github.io/Logging_1781/artfynd/S 665-2025 artfynd.xlsx", "S 665-2025")</f>
        <v/>
      </c>
      <c r="X919">
        <f>HYPERLINK("https://klasma.github.io/Logging_1781/kartor/S 665-2025 karta.png", "S 665-2025")</f>
        <v/>
      </c>
      <c r="Y919">
        <f>HYPERLINK("https://klasma.github.io/Logging_1781/kartor_geotiff/S 665-2025 georefererad karta.tif", "S 665-2025")</f>
        <v/>
      </c>
      <c r="AA919">
        <f>HYPERLINK("https://klasma.github.io/Logging_1781/klagomål/S 665-2025 FSC-klagomål.docx", "S 665-2025")</f>
        <v/>
      </c>
      <c r="AB919">
        <f>HYPERLINK("https://klasma.github.io/Logging_1781/klagomålsmail/S 665-2025 FSC-klagomål mail.docx", "S 665-2025")</f>
        <v/>
      </c>
      <c r="AC919">
        <f>HYPERLINK("https://klasma.github.io/Logging_1781/tillsyn/S 665-2025 tillsynsbegäran.docx", "S 665-2025")</f>
        <v/>
      </c>
      <c r="AD919">
        <f>HYPERLINK("https://klasma.github.io/Logging_1781/tillsynsmail/S 665-2025 tillsynsbegäran mail.docx", "S 665-2025")</f>
        <v/>
      </c>
    </row>
    <row r="920" ht="15" customHeight="1">
      <c r="A920" t="inlineStr">
        <is>
          <t>S 739-2025</t>
        </is>
      </c>
      <c r="B920" t="inlineStr">
        <is>
          <t>samrådsanmälan</t>
        </is>
      </c>
      <c r="C920" t="inlineStr">
        <is>
          <t>Skogsgödsling</t>
        </is>
      </c>
      <c r="D920" s="1" t="n">
        <v>45723</v>
      </c>
      <c r="E920" s="1" t="n">
        <v>46307</v>
      </c>
      <c r="F920" t="inlineStr">
        <is>
          <t>VÄRMLANDS LÄN</t>
        </is>
      </c>
      <c r="G920" t="inlineStr">
        <is>
          <t>TORSBY</t>
        </is>
      </c>
      <c r="H920" t="inlineStr">
        <is>
          <t>Bergvik skog väst AB</t>
        </is>
      </c>
      <c r="I920" t="n">
        <v>447.2</v>
      </c>
      <c r="J920" t="n">
        <v>0</v>
      </c>
      <c r="K920" t="n">
        <v>0</v>
      </c>
      <c r="L920" t="n">
        <v>1</v>
      </c>
      <c r="M920" t="n">
        <v>0</v>
      </c>
      <c r="N920" t="n">
        <v>0</v>
      </c>
      <c r="O920" t="n">
        <v>0</v>
      </c>
      <c r="P920" t="n">
        <v>0</v>
      </c>
      <c r="Q920" t="n">
        <v>1</v>
      </c>
      <c r="R920" t="n">
        <v>0</v>
      </c>
      <c r="S920" t="n">
        <v>1</v>
      </c>
      <c r="T920" t="n">
        <v>1</v>
      </c>
      <c r="U920" t="n">
        <v>0</v>
      </c>
      <c r="V920" s="2" t="inlineStr">
        <is>
          <t>Vitfläckig guldvinge</t>
        </is>
      </c>
      <c r="W920">
        <f>HYPERLINK("https://klasma.github.io/Logging_1737/artfynd/S 739-2025 artfynd.xlsx", "S 739-2025")</f>
        <v/>
      </c>
      <c r="X920">
        <f>HYPERLINK("https://klasma.github.io/Logging_1737/kartor/S 739-2025 karta.png", "S 739-2025")</f>
        <v/>
      </c>
      <c r="Y920">
        <f>HYPERLINK("https://klasma.github.io/Logging_1737/kartor_geotiff/S 739-2025 georefererad karta.tif", "S 739-2025")</f>
        <v/>
      </c>
      <c r="AA920">
        <f>HYPERLINK("https://klasma.github.io/Logging_1737/klagomål/S 739-2025 FSC-klagomål.docx", "S 739-2025")</f>
        <v/>
      </c>
      <c r="AB920">
        <f>HYPERLINK("https://klasma.github.io/Logging_1737/klagomålsmail/S 739-2025 FSC-klagomål mail.docx", "S 739-2025")</f>
        <v/>
      </c>
      <c r="AC920">
        <f>HYPERLINK("https://klasma.github.io/Logging_1737/tillsyn/S 739-2025 tillsynsbegäran.docx", "S 739-2025")</f>
        <v/>
      </c>
      <c r="AD920">
        <f>HYPERLINK("https://klasma.github.io/Logging_1737/tillsynsmail/S 739-2025 tillsynsbegäran mail.docx", "S 739-2025")</f>
        <v/>
      </c>
    </row>
    <row r="921" ht="15" customHeight="1">
      <c r="A921" t="inlineStr">
        <is>
          <t>S 1761-2025</t>
        </is>
      </c>
      <c r="B921" t="inlineStr">
        <is>
          <t>samrådsanmälan</t>
        </is>
      </c>
      <c r="C921" t="inlineStr">
        <is>
          <t>Skogsgödsling</t>
        </is>
      </c>
      <c r="D921" s="1" t="n">
        <v>45812</v>
      </c>
      <c r="E921" s="1" t="n">
        <v>46307</v>
      </c>
      <c r="F921" t="inlineStr">
        <is>
          <t>VÄRMLANDS LÄN</t>
        </is>
      </c>
      <c r="G921" t="inlineStr">
        <is>
          <t>KRISTINEHAMN</t>
        </is>
      </c>
      <c r="I921" t="n">
        <v>38.8</v>
      </c>
      <c r="J921" t="n">
        <v>0</v>
      </c>
      <c r="K921" t="n">
        <v>0</v>
      </c>
      <c r="L921" t="n">
        <v>0</v>
      </c>
      <c r="M921" t="n">
        <v>1</v>
      </c>
      <c r="N921" t="n">
        <v>0</v>
      </c>
      <c r="O921" t="n">
        <v>0</v>
      </c>
      <c r="P921" t="n">
        <v>0</v>
      </c>
      <c r="Q921" t="n">
        <v>1</v>
      </c>
      <c r="R921" t="n">
        <v>1</v>
      </c>
      <c r="S921" t="n">
        <v>1</v>
      </c>
      <c r="T921" t="n">
        <v>1</v>
      </c>
      <c r="U921" t="n">
        <v>0</v>
      </c>
      <c r="V921" s="2" t="inlineStr">
        <is>
          <t>Dvärglin</t>
        </is>
      </c>
      <c r="W921">
        <f>HYPERLINK("https://klasma.github.io/Logging_1781/artfynd/S 1761-2025 artfynd.xlsx", "S 1761-2025")</f>
        <v/>
      </c>
      <c r="X921">
        <f>HYPERLINK("https://klasma.github.io/Logging_1781/kartor/S 1761-2025 karta.png", "S 1761-2025")</f>
        <v/>
      </c>
      <c r="Y921">
        <f>HYPERLINK("https://klasma.github.io/Logging_1781/kartor_geotiff/S 1761-2025 georefererad karta.tif", "S 1761-2025")</f>
        <v/>
      </c>
      <c r="AA921">
        <f>HYPERLINK("https://klasma.github.io/Logging_1781/klagomål/S 1761-2025 FSC-klagomål.docx", "S 1761-2025")</f>
        <v/>
      </c>
      <c r="AB921">
        <f>HYPERLINK("https://klasma.github.io/Logging_1781/klagomålsmail/S 1761-2025 FSC-klagomål mail.docx", "S 1761-2025")</f>
        <v/>
      </c>
      <c r="AC921">
        <f>HYPERLINK("https://klasma.github.io/Logging_1781/tillsyn/S 1761-2025 tillsynsbegäran.docx", "S 1761-2025")</f>
        <v/>
      </c>
      <c r="AD921">
        <f>HYPERLINK("https://klasma.github.io/Logging_1781/tillsynsmail/S 1761-2025 tillsynsbegäran mail.docx", "S 1761-2025")</f>
        <v/>
      </c>
    </row>
    <row r="922" ht="15" customHeight="1">
      <c r="A922" t="inlineStr">
        <is>
          <t>S 2093-2025</t>
        </is>
      </c>
      <c r="B922" t="inlineStr">
        <is>
          <t>samrådsanmälan</t>
        </is>
      </c>
      <c r="C922" t="inlineStr">
        <is>
          <t>Skogsgödsling</t>
        </is>
      </c>
      <c r="D922" s="1" t="n">
        <v>45841</v>
      </c>
      <c r="E922" s="1" t="n">
        <v>46307</v>
      </c>
      <c r="F922" t="inlineStr">
        <is>
          <t>VÄRMLANDS LÄN</t>
        </is>
      </c>
      <c r="G922" t="inlineStr">
        <is>
          <t>SÄFFLE</t>
        </is>
      </c>
      <c r="I922" t="n">
        <v>28.5</v>
      </c>
      <c r="J922" t="n">
        <v>1</v>
      </c>
      <c r="K922" t="n">
        <v>0</v>
      </c>
      <c r="L922" t="n">
        <v>1</v>
      </c>
      <c r="M922" t="n">
        <v>0</v>
      </c>
      <c r="N922" t="n">
        <v>0</v>
      </c>
      <c r="O922" t="n">
        <v>0</v>
      </c>
      <c r="P922" t="n">
        <v>0</v>
      </c>
      <c r="Q922" t="n">
        <v>1</v>
      </c>
      <c r="R922" t="n">
        <v>0</v>
      </c>
      <c r="S922" t="n">
        <v>1</v>
      </c>
      <c r="T922" t="n">
        <v>1</v>
      </c>
      <c r="U922" t="n">
        <v>0</v>
      </c>
      <c r="V922" s="2" t="inlineStr">
        <is>
          <t>Nordfladdermus</t>
        </is>
      </c>
      <c r="W922">
        <f>HYPERLINK("https://klasma.github.io/Logging_1785/artfynd/S 2093-2025 artfynd.xlsx", "S 2093-2025")</f>
        <v/>
      </c>
      <c r="X922">
        <f>HYPERLINK("https://klasma.github.io/Logging_1785/kartor/S 2093-2025 karta.png", "S 2093-2025")</f>
        <v/>
      </c>
      <c r="Y922">
        <f>HYPERLINK("https://klasma.github.io/Logging_1785/kartor_geotiff/S 2093-2025 georefererad karta.tif", "S 2093-2025")</f>
        <v/>
      </c>
      <c r="AA922">
        <f>HYPERLINK("https://klasma.github.io/Logging_1785/klagomål/S 2093-2025 FSC-klagomål.docx", "S 2093-2025")</f>
        <v/>
      </c>
      <c r="AB922">
        <f>HYPERLINK("https://klasma.github.io/Logging_1785/klagomålsmail/S 2093-2025 FSC-klagomål mail.docx", "S 2093-2025")</f>
        <v/>
      </c>
      <c r="AC922">
        <f>HYPERLINK("https://klasma.github.io/Logging_1785/tillsyn/S 2093-2025 tillsynsbegäran.docx", "S 2093-2025")</f>
        <v/>
      </c>
      <c r="AD922">
        <f>HYPERLINK("https://klasma.github.io/Logging_1785/tillsynsmail/S 2093-2025 tillsynsbegäran mail.docx", "S 2093-2025")</f>
        <v/>
      </c>
    </row>
    <row r="923" ht="15" customHeight="1">
      <c r="A923" t="inlineStr">
        <is>
          <t>S 383-2025</t>
        </is>
      </c>
      <c r="B923" t="inlineStr">
        <is>
          <t>samrådsanmälan</t>
        </is>
      </c>
      <c r="C923" t="inlineStr">
        <is>
          <t>Annan skogsbruksåtgärd</t>
        </is>
      </c>
      <c r="D923" s="1" t="n">
        <v>45691</v>
      </c>
      <c r="E923" s="1" t="n">
        <v>46307</v>
      </c>
      <c r="F923" t="inlineStr">
        <is>
          <t>VÄRMLANDS LÄN</t>
        </is>
      </c>
      <c r="G923" t="inlineStr">
        <is>
          <t>FILIPSTAD</t>
        </is>
      </c>
      <c r="I923" t="n">
        <v>18.6</v>
      </c>
      <c r="J923" t="n">
        <v>0</v>
      </c>
      <c r="K923" t="n">
        <v>0</v>
      </c>
      <c r="L923" t="n">
        <v>0</v>
      </c>
      <c r="M923" t="n">
        <v>1</v>
      </c>
      <c r="N923" t="n">
        <v>0</v>
      </c>
      <c r="O923" t="n">
        <v>0</v>
      </c>
      <c r="P923" t="n">
        <v>0</v>
      </c>
      <c r="Q923" t="n">
        <v>1</v>
      </c>
      <c r="R923" t="n">
        <v>1</v>
      </c>
      <c r="S923" t="n">
        <v>1</v>
      </c>
      <c r="T923" t="n">
        <v>1</v>
      </c>
      <c r="U923" t="n">
        <v>0</v>
      </c>
      <c r="V923" s="2" t="inlineStr">
        <is>
          <t>Skrovlig taggsvamp</t>
        </is>
      </c>
      <c r="W923">
        <f>HYPERLINK("https://klasma.github.io/Logging_1782/artfynd/S 383-2025 artfynd.xlsx", "S 383-2025")</f>
        <v/>
      </c>
      <c r="X923">
        <f>HYPERLINK("https://klasma.github.io/Logging_1782/kartor/S 383-2025 karta.png", "S 383-2025")</f>
        <v/>
      </c>
      <c r="Y923">
        <f>HYPERLINK("https://klasma.github.io/Logging_1782/kartor_geotiff/S 383-2025 georefererad karta.tif", "S 383-2025")</f>
        <v/>
      </c>
      <c r="AA923">
        <f>HYPERLINK("https://klasma.github.io/Logging_1782/klagomål/S 383-2025 FSC-klagomål.docx", "S 383-2025")</f>
        <v/>
      </c>
      <c r="AB923">
        <f>HYPERLINK("https://klasma.github.io/Logging_1782/klagomålsmail/S 383-2025 FSC-klagomål mail.docx", "S 383-2025")</f>
        <v/>
      </c>
      <c r="AC923">
        <f>HYPERLINK("https://klasma.github.io/Logging_1782/tillsyn/S 383-2025 tillsynsbegäran.docx", "S 383-2025")</f>
        <v/>
      </c>
      <c r="AD923">
        <f>HYPERLINK("https://klasma.github.io/Logging_1782/tillsynsmail/S 383-2025 tillsynsbegäran mail.docx", "S 383-2025")</f>
        <v/>
      </c>
    </row>
    <row r="924" ht="15" customHeight="1">
      <c r="A924" t="inlineStr">
        <is>
          <t>S 13-2026</t>
        </is>
      </c>
      <c r="B924" t="inlineStr">
        <is>
          <t>samrådsanmälan</t>
        </is>
      </c>
      <c r="C924" t="inlineStr">
        <is>
          <t>Skogsgödsling</t>
        </is>
      </c>
      <c r="D924" s="1" t="n">
        <v>46009</v>
      </c>
      <c r="E924" s="1" t="n">
        <v>46307</v>
      </c>
      <c r="F924" t="inlineStr">
        <is>
          <t>VÄRMLANDS LÄN</t>
        </is>
      </c>
      <c r="G924" t="inlineStr">
        <is>
          <t>MUNKFORS</t>
        </is>
      </c>
      <c r="H924" t="inlineStr">
        <is>
          <t>Bergvik skog väst AB</t>
        </is>
      </c>
      <c r="I924" t="n">
        <v>63.5</v>
      </c>
      <c r="J924" t="n">
        <v>1</v>
      </c>
      <c r="K924" t="n">
        <v>0</v>
      </c>
      <c r="L924" t="n">
        <v>0</v>
      </c>
      <c r="M924" t="n">
        <v>0</v>
      </c>
      <c r="N924" t="n">
        <v>0</v>
      </c>
      <c r="O924" t="n">
        <v>0</v>
      </c>
      <c r="P924" t="n">
        <v>0</v>
      </c>
      <c r="Q924" t="n">
        <v>0</v>
      </c>
      <c r="R924" t="n">
        <v>0</v>
      </c>
      <c r="S924" t="n">
        <v>1</v>
      </c>
      <c r="T924" t="n">
        <v>1</v>
      </c>
      <c r="U924" t="n">
        <v>1</v>
      </c>
      <c r="V924" s="2" t="inlineStr">
        <is>
          <t>Fläcknycklar</t>
        </is>
      </c>
      <c r="W924">
        <f>HYPERLINK("https://klasma.github.io/Logging_1762/artfynd/S 13-2026 artfynd.xlsx", "S 13-2026")</f>
        <v/>
      </c>
      <c r="X924">
        <f>HYPERLINK("https://klasma.github.io/Logging_1762/kartor/S 13-2026 karta.png", "S 13-2026")</f>
        <v/>
      </c>
      <c r="Y924">
        <f>HYPERLINK("https://klasma.github.io/Logging_1762/kartor_geotiff/S 13-2026 georefererad karta.tif", "S 13-2026")</f>
        <v/>
      </c>
      <c r="AA924">
        <f>HYPERLINK("https://klasma.github.io/Logging_1762/klagomål/S 13-2026 FSC-klagomål.docx", "S 13-2026")</f>
        <v/>
      </c>
      <c r="AB924">
        <f>HYPERLINK("https://klasma.github.io/Logging_1762/klagomålsmail/S 13-2026 FSC-klagomål mail.docx", "S 13-2026")</f>
        <v/>
      </c>
      <c r="AC924">
        <f>HYPERLINK("https://klasma.github.io/Logging_1762/tillsyn/S 13-2026 tillsynsbegäran.docx", "S 13-2026")</f>
        <v/>
      </c>
      <c r="AD924">
        <f>HYPERLINK("https://klasma.github.io/Logging_1762/tillsynsmail/S 13-2026 tillsynsbegäran mail.docx", "S 13-2026")</f>
        <v/>
      </c>
    </row>
    <row r="925" ht="15" customHeight="1">
      <c r="A925" t="inlineStr">
        <is>
          <t>S 61-2026</t>
        </is>
      </c>
      <c r="B925" t="inlineStr">
        <is>
          <t>samrådsanmälan</t>
        </is>
      </c>
      <c r="C925" t="inlineStr">
        <is>
          <t>Skogsgödsling</t>
        </is>
      </c>
      <c r="D925" s="1" t="n">
        <v>46013</v>
      </c>
      <c r="E925" s="1" t="n">
        <v>46307</v>
      </c>
      <c r="F925" t="inlineStr">
        <is>
          <t>VÄRMLANDS LÄN</t>
        </is>
      </c>
      <c r="G925" t="inlineStr">
        <is>
          <t>HAGFORS</t>
        </is>
      </c>
      <c r="H925" t="inlineStr">
        <is>
          <t>Bergvik skog väst AB</t>
        </is>
      </c>
      <c r="I925" t="n">
        <v>421.5</v>
      </c>
      <c r="J925" t="n">
        <v>1</v>
      </c>
      <c r="K925" t="n">
        <v>0</v>
      </c>
      <c r="L925" t="n">
        <v>0</v>
      </c>
      <c r="M925" t="n">
        <v>0</v>
      </c>
      <c r="N925" t="n">
        <v>0</v>
      </c>
      <c r="O925" t="n">
        <v>0</v>
      </c>
      <c r="P925" t="n">
        <v>0</v>
      </c>
      <c r="Q925" t="n">
        <v>0</v>
      </c>
      <c r="R925" t="n">
        <v>0</v>
      </c>
      <c r="S925" t="n">
        <v>1</v>
      </c>
      <c r="T925" t="n">
        <v>1</v>
      </c>
      <c r="U925" t="n">
        <v>1</v>
      </c>
      <c r="V925" s="2" t="inlineStr">
        <is>
          <t>Fläcknycklar</t>
        </is>
      </c>
      <c r="W925">
        <f>HYPERLINK("https://klasma.github.io/Logging_1783/artfynd/S 61-2026 artfynd.xlsx", "S 61-2026")</f>
        <v/>
      </c>
      <c r="X925">
        <f>HYPERLINK("https://klasma.github.io/Logging_1783/kartor/S 61-2026 karta.png", "S 61-2026")</f>
        <v/>
      </c>
      <c r="Y925">
        <f>HYPERLINK("https://klasma.github.io/Logging_1783/kartor_geotiff/S 61-2026 georefererad karta.tif", "S 61-2026")</f>
        <v/>
      </c>
      <c r="AA925">
        <f>HYPERLINK("https://klasma.github.io/Logging_1783/klagomål/S 61-2026 FSC-klagomål.docx", "S 61-2026")</f>
        <v/>
      </c>
      <c r="AB925">
        <f>HYPERLINK("https://klasma.github.io/Logging_1783/klagomålsmail/S 61-2026 FSC-klagomål mail.docx", "S 61-2026")</f>
        <v/>
      </c>
      <c r="AC925">
        <f>HYPERLINK("https://klasma.github.io/Logging_1783/tillsyn/S 61-2026 tillsynsbegäran.docx", "S 61-2026")</f>
        <v/>
      </c>
      <c r="AD925">
        <f>HYPERLINK("https://klasma.github.io/Logging_1783/tillsynsmail/S 61-2026 tillsynsbegäran mail.docx", "S 61-2026")</f>
        <v/>
      </c>
    </row>
    <row r="926" ht="15" customHeight="1">
      <c r="A926" t="inlineStr">
        <is>
          <t>S 113-2026</t>
        </is>
      </c>
      <c r="B926" t="inlineStr">
        <is>
          <t>samrådsanmälan</t>
        </is>
      </c>
      <c r="C926" t="inlineStr">
        <is>
          <t>Skogsgödsling</t>
        </is>
      </c>
      <c r="D926" s="1" t="n">
        <v>46037</v>
      </c>
      <c r="E926" s="1" t="n">
        <v>46307</v>
      </c>
      <c r="F926" t="inlineStr">
        <is>
          <t>VÄRMLANDS LÄN</t>
        </is>
      </c>
      <c r="G926" t="inlineStr">
        <is>
          <t>KARLSTAD</t>
        </is>
      </c>
      <c r="H926" t="inlineStr">
        <is>
          <t>Bergvik skog väst AB</t>
        </is>
      </c>
      <c r="I926" t="n">
        <v>94</v>
      </c>
      <c r="J926" t="n">
        <v>0</v>
      </c>
      <c r="K926" t="n">
        <v>0</v>
      </c>
      <c r="L926" t="n">
        <v>1</v>
      </c>
      <c r="M926" t="n">
        <v>0</v>
      </c>
      <c r="N926" t="n">
        <v>0</v>
      </c>
      <c r="O926" t="n">
        <v>0</v>
      </c>
      <c r="P926" t="n">
        <v>0</v>
      </c>
      <c r="Q926" t="n">
        <v>1</v>
      </c>
      <c r="R926" t="n">
        <v>0</v>
      </c>
      <c r="S926" t="n">
        <v>1</v>
      </c>
      <c r="T926" t="n">
        <v>1</v>
      </c>
      <c r="U926" t="n">
        <v>0</v>
      </c>
      <c r="V926" s="2" t="inlineStr">
        <is>
          <t>Grå blåbärsfältmätare</t>
        </is>
      </c>
      <c r="W926">
        <f>HYPERLINK("https://klasma.github.io/Logging_1780/artfynd/S 113-2026 artfynd.xlsx", "S 113-2026")</f>
        <v/>
      </c>
      <c r="X926">
        <f>HYPERLINK("https://klasma.github.io/Logging_1780/kartor/S 113-2026 karta.png", "S 113-2026")</f>
        <v/>
      </c>
      <c r="Y926">
        <f>HYPERLINK("https://klasma.github.io/Logging_1780/kartor_geotiff/S 113-2026 georefererad karta.tif", "S 113-2026")</f>
        <v/>
      </c>
      <c r="AA926">
        <f>HYPERLINK("https://klasma.github.io/Logging_1780/klagomål/S 113-2026 FSC-klagomål.docx", "S 113-2026")</f>
        <v/>
      </c>
      <c r="AB926">
        <f>HYPERLINK("https://klasma.github.io/Logging_1780/klagomålsmail/S 113-2026 FSC-klagomål mail.docx", "S 113-2026")</f>
        <v/>
      </c>
      <c r="AC926">
        <f>HYPERLINK("https://klasma.github.io/Logging_1780/tillsyn/S 113-2026 tillsynsbegäran.docx", "S 113-2026")</f>
        <v/>
      </c>
      <c r="AD926">
        <f>HYPERLINK("https://klasma.github.io/Logging_1780/tillsynsmail/S 113-2026 tillsynsbegäran mail.docx", "S 113-2026")</f>
        <v/>
      </c>
    </row>
    <row r="927" ht="15" customHeight="1">
      <c r="A927" t="inlineStr">
        <is>
          <t>S 785-2026</t>
        </is>
      </c>
      <c r="B927" t="inlineStr">
        <is>
          <t>samrådsanmälan</t>
        </is>
      </c>
      <c r="C927" t="inlineStr">
        <is>
          <t>Skogsgödsling</t>
        </is>
      </c>
      <c r="D927" s="1" t="n">
        <v>46099</v>
      </c>
      <c r="E927" s="1" t="n">
        <v>46307</v>
      </c>
      <c r="F927" t="inlineStr">
        <is>
          <t>VÄRMLANDS LÄN</t>
        </is>
      </c>
      <c r="G927" t="inlineStr">
        <is>
          <t>TORSBY</t>
        </is>
      </c>
      <c r="I927" t="n">
        <v>32</v>
      </c>
      <c r="J927" t="n">
        <v>0</v>
      </c>
      <c r="K927" t="n">
        <v>0</v>
      </c>
      <c r="L927" t="n">
        <v>1</v>
      </c>
      <c r="M927" t="n">
        <v>0</v>
      </c>
      <c r="N927" t="n">
        <v>0</v>
      </c>
      <c r="O927" t="n">
        <v>0</v>
      </c>
      <c r="P927" t="n">
        <v>0</v>
      </c>
      <c r="Q927" t="n">
        <v>1</v>
      </c>
      <c r="R927" t="n">
        <v>0</v>
      </c>
      <c r="S927" t="n">
        <v>1</v>
      </c>
      <c r="T927" t="n">
        <v>1</v>
      </c>
      <c r="U927" t="n">
        <v>1</v>
      </c>
      <c r="V927" s="2" t="inlineStr">
        <is>
          <t>Älg</t>
        </is>
      </c>
      <c r="W927">
        <f>HYPERLINK("https://klasma.github.io/Logging_1737/artfynd/S 785-2026 artfynd.xlsx", "S 785-2026")</f>
        <v/>
      </c>
      <c r="X927">
        <f>HYPERLINK("https://klasma.github.io/Logging_1737/kartor/S 785-2026 karta.png", "S 785-2026")</f>
        <v/>
      </c>
      <c r="Y927">
        <f>HYPERLINK("https://klasma.github.io/Logging_1737/kartor_geotiff/S 785-2026 georefererad karta.tif", "S 785-2026")</f>
        <v/>
      </c>
      <c r="AA927">
        <f>HYPERLINK("https://klasma.github.io/Logging_1737/klagomål/S 785-2026 FSC-klagomål.docx", "S 785-2026")</f>
        <v/>
      </c>
      <c r="AB927">
        <f>HYPERLINK("https://klasma.github.io/Logging_1737/klagomålsmail/S 785-2026 FSC-klagomål mail.docx", "S 785-2026")</f>
        <v/>
      </c>
      <c r="AC927">
        <f>HYPERLINK("https://klasma.github.io/Logging_1737/tillsyn/S 785-2026 tillsynsbegäran.docx", "S 785-2026")</f>
        <v/>
      </c>
      <c r="AD927">
        <f>HYPERLINK("https://klasma.github.io/Logging_1737/tillsynsmail/S 785-2026 tillsynsbegäran mail.docx", "S 785-2026")</f>
        <v/>
      </c>
    </row>
    <row r="928" ht="15" customHeight="1">
      <c r="A928" t="inlineStr">
        <is>
          <t>S 107-2026</t>
        </is>
      </c>
      <c r="B928" t="inlineStr">
        <is>
          <t>samrådsanmälan</t>
        </is>
      </c>
      <c r="C928" t="inlineStr">
        <is>
          <t>Skogsgödsling</t>
        </is>
      </c>
      <c r="D928" s="1" t="n">
        <v>46037</v>
      </c>
      <c r="E928" s="1" t="n">
        <v>46307</v>
      </c>
      <c r="F928" t="inlineStr">
        <is>
          <t>VÄRMLANDS LÄN</t>
        </is>
      </c>
      <c r="G928" t="inlineStr">
        <is>
          <t>FORSHAGA</t>
        </is>
      </c>
      <c r="H928" t="inlineStr">
        <is>
          <t>Bergvik skog väst AB</t>
        </is>
      </c>
      <c r="I928" t="n">
        <v>111.4</v>
      </c>
      <c r="J928" t="n">
        <v>1</v>
      </c>
      <c r="K928" t="n">
        <v>0</v>
      </c>
      <c r="L928" t="n">
        <v>0</v>
      </c>
      <c r="M928" t="n">
        <v>0</v>
      </c>
      <c r="N928" t="n">
        <v>0</v>
      </c>
      <c r="O928" t="n">
        <v>0</v>
      </c>
      <c r="P928" t="n">
        <v>0</v>
      </c>
      <c r="Q928" t="n">
        <v>0</v>
      </c>
      <c r="R928" t="n">
        <v>0</v>
      </c>
      <c r="S928" t="n">
        <v>1</v>
      </c>
      <c r="T928" t="n">
        <v>1</v>
      </c>
      <c r="U928" t="n">
        <v>0</v>
      </c>
      <c r="V928" s="2" t="inlineStr">
        <is>
          <t>Spillkråka</t>
        </is>
      </c>
      <c r="W928">
        <f>HYPERLINK("https://klasma.github.io/Logging_1763/artfynd/S 107-2026 artfynd.xlsx", "S 107-2026")</f>
        <v/>
      </c>
      <c r="X928">
        <f>HYPERLINK("https://klasma.github.io/Logging_1763/kartor/S 107-2026 karta.png", "S 107-2026")</f>
        <v/>
      </c>
      <c r="Y928">
        <f>HYPERLINK("https://klasma.github.io/Logging_1763/kartor_geotiff/S 107-2026 georefererad karta.tif", "S 107-2026")</f>
        <v/>
      </c>
      <c r="AA928">
        <f>HYPERLINK("https://klasma.github.io/Logging_1763/klagomål/S 107-2026 FSC-klagomål.docx", "S 107-2026")</f>
        <v/>
      </c>
      <c r="AB928">
        <f>HYPERLINK("https://klasma.github.io/Logging_1763/klagomålsmail/S 107-2026 FSC-klagomål mail.docx", "S 107-2026")</f>
        <v/>
      </c>
      <c r="AC928">
        <f>HYPERLINK("https://klasma.github.io/Logging_1763/tillsyn/S 107-2026 tillsynsbegäran.docx", "S 107-2026")</f>
        <v/>
      </c>
      <c r="AD928">
        <f>HYPERLINK("https://klasma.github.io/Logging_1763/tillsynsmail/S 107-2026 tillsynsbegäran mail.docx", "S 107-2026")</f>
        <v/>
      </c>
      <c r="AE928">
        <f>HYPERLINK("https://klasma.github.io/Logging_1763/fåglar/S 107-2026 prioriterade fågelarter.docx", "S 107-2026")</f>
        <v/>
      </c>
    </row>
    <row r="929" ht="15" customHeight="1">
      <c r="A929" t="inlineStr">
        <is>
          <t>A 42411-2022</t>
        </is>
      </c>
      <c r="B929" t="inlineStr">
        <is>
          <t>avverkningsanmälan</t>
        </is>
      </c>
      <c r="C929" t="inlineStr">
        <is>
          <t>Föryngringsavverkning</t>
        </is>
      </c>
      <c r="D929" s="1" t="n">
        <v>44831</v>
      </c>
      <c r="E929" s="1" t="n">
        <v>46307</v>
      </c>
      <c r="F929" t="inlineStr">
        <is>
          <t>VÄRMLANDS LÄN</t>
        </is>
      </c>
      <c r="G929" t="inlineStr">
        <is>
          <t>KRISTINEHAMN</t>
        </is>
      </c>
      <c r="I929" t="n">
        <v>2.8</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48827-2022</t>
        </is>
      </c>
      <c r="B930" t="inlineStr">
        <is>
          <t>avverkningsanmälan</t>
        </is>
      </c>
      <c r="C930" t="inlineStr">
        <is>
          <t>Föryngringsavverkning</t>
        </is>
      </c>
      <c r="D930" s="1" t="n">
        <v>44859</v>
      </c>
      <c r="E930" s="1" t="n">
        <v>46307</v>
      </c>
      <c r="F930" t="inlineStr">
        <is>
          <t>VÄRMLANDS LÄN</t>
        </is>
      </c>
      <c r="G930" t="inlineStr">
        <is>
          <t>ARVIKA</t>
        </is>
      </c>
      <c r="I930" t="n">
        <v>1.4</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48833-2022</t>
        </is>
      </c>
      <c r="B931" t="inlineStr">
        <is>
          <t>avverkningsanmälan</t>
        </is>
      </c>
      <c r="C931" t="inlineStr">
        <is>
          <t>Föryngringsavverkning</t>
        </is>
      </c>
      <c r="D931" s="1" t="n">
        <v>44859</v>
      </c>
      <c r="E931" s="1" t="n">
        <v>46307</v>
      </c>
      <c r="F931" t="inlineStr">
        <is>
          <t>VÄRMLANDS LÄN</t>
        </is>
      </c>
      <c r="G931" t="inlineStr">
        <is>
          <t>ARVIKA</t>
        </is>
      </c>
      <c r="I931" t="n">
        <v>1.1</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56124-2022</t>
        </is>
      </c>
      <c r="B932" t="inlineStr">
        <is>
          <t>avverkningsanmälan</t>
        </is>
      </c>
      <c r="C932" t="inlineStr">
        <is>
          <t>Föryngringsavverkning</t>
        </is>
      </c>
      <c r="D932" s="1" t="n">
        <v>44889</v>
      </c>
      <c r="E932" s="1" t="n">
        <v>46307</v>
      </c>
      <c r="F932" t="inlineStr">
        <is>
          <t>VÄRMLANDS LÄN</t>
        </is>
      </c>
      <c r="G932" t="inlineStr">
        <is>
          <t>EDA</t>
        </is>
      </c>
      <c r="I932" t="n">
        <v>0.6</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52826-2022</t>
        </is>
      </c>
      <c r="B933" t="inlineStr">
        <is>
          <t>avverkningsanmälan</t>
        </is>
      </c>
      <c r="C933" t="inlineStr">
        <is>
          <t>Föryngringsavverkning</t>
        </is>
      </c>
      <c r="D933" s="1" t="n">
        <v>44875</v>
      </c>
      <c r="E933" s="1" t="n">
        <v>46307</v>
      </c>
      <c r="F933" t="inlineStr">
        <is>
          <t>VÄRMLANDS LÄN</t>
        </is>
      </c>
      <c r="G933" t="inlineStr">
        <is>
          <t>ÅRJÄNG</t>
        </is>
      </c>
      <c r="I933" t="n">
        <v>2.2</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42739-2022</t>
        </is>
      </c>
      <c r="B934" t="inlineStr">
        <is>
          <t>avverkningsanmälan</t>
        </is>
      </c>
      <c r="C934" t="inlineStr">
        <is>
          <t>Föryngringsavverkning</t>
        </is>
      </c>
      <c r="D934" s="1" t="n">
        <v>44832</v>
      </c>
      <c r="E934" s="1" t="n">
        <v>46307</v>
      </c>
      <c r="F934" t="inlineStr">
        <is>
          <t>VÄRMLANDS LÄN</t>
        </is>
      </c>
      <c r="G934" t="inlineStr">
        <is>
          <t>HAGFORS</t>
        </is>
      </c>
      <c r="H934" t="inlineStr">
        <is>
          <t>Bergvik skog väst AB</t>
        </is>
      </c>
      <c r="I934" t="n">
        <v>0.6</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64801-2021</t>
        </is>
      </c>
      <c r="B935" t="inlineStr">
        <is>
          <t>avverkningsanmälan</t>
        </is>
      </c>
      <c r="C935" t="inlineStr">
        <is>
          <t>Föryngringsavverkning</t>
        </is>
      </c>
      <c r="D935" s="1" t="n">
        <v>44512</v>
      </c>
      <c r="E935" s="1" t="n">
        <v>46307</v>
      </c>
      <c r="F935" t="inlineStr">
        <is>
          <t>VÄRMLANDS LÄN</t>
        </is>
      </c>
      <c r="G935" t="inlineStr">
        <is>
          <t>SÄFFLE</t>
        </is>
      </c>
      <c r="I935" t="n">
        <v>5.5</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64553-2021</t>
        </is>
      </c>
      <c r="B936" t="inlineStr">
        <is>
          <t>avverkningsanmälan</t>
        </is>
      </c>
      <c r="C936" t="inlineStr">
        <is>
          <t>Föryngringsavverkning</t>
        </is>
      </c>
      <c r="D936" s="1" t="n">
        <v>44511</v>
      </c>
      <c r="E936" s="1" t="n">
        <v>46307</v>
      </c>
      <c r="F936" t="inlineStr">
        <is>
          <t>VÄRMLANDS LÄN</t>
        </is>
      </c>
      <c r="G936" t="inlineStr">
        <is>
          <t>KIL</t>
        </is>
      </c>
      <c r="I936" t="n">
        <v>0.2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64576-2021</t>
        </is>
      </c>
      <c r="B937" t="inlineStr">
        <is>
          <t>avverkningsanmälan</t>
        </is>
      </c>
      <c r="C937" t="inlineStr">
        <is>
          <t>Föryngringsavverkning</t>
        </is>
      </c>
      <c r="D937" s="1" t="n">
        <v>44511</v>
      </c>
      <c r="E937" s="1" t="n">
        <v>46307</v>
      </c>
      <c r="F937" t="inlineStr">
        <is>
          <t>VÄRMLANDS LÄN</t>
        </is>
      </c>
      <c r="G937" t="inlineStr">
        <is>
          <t>ARVIKA</t>
        </is>
      </c>
      <c r="I937" t="n">
        <v>2.5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8482-2022</t>
        </is>
      </c>
      <c r="B938" t="inlineStr">
        <is>
          <t>avverkningsanmälan</t>
        </is>
      </c>
      <c r="C938" t="inlineStr">
        <is>
          <t>Föryngringsavverkning</t>
        </is>
      </c>
      <c r="D938" s="1" t="n">
        <v>44613</v>
      </c>
      <c r="E938" s="1" t="n">
        <v>46307</v>
      </c>
      <c r="F938" t="inlineStr">
        <is>
          <t>VÄRMLANDS LÄN</t>
        </is>
      </c>
      <c r="G938" t="inlineStr">
        <is>
          <t>FILIPSTAD</t>
        </is>
      </c>
      <c r="H938" t="inlineStr">
        <is>
          <t>Bergvik skog väst AB</t>
        </is>
      </c>
      <c r="I938" t="n">
        <v>5.2</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3169-2022</t>
        </is>
      </c>
      <c r="B939" t="inlineStr">
        <is>
          <t>avverkningsanmälan</t>
        </is>
      </c>
      <c r="C939" t="inlineStr">
        <is>
          <t>Föryngringsavverkning</t>
        </is>
      </c>
      <c r="D939" s="1" t="n">
        <v>44582</v>
      </c>
      <c r="E939" s="1" t="n">
        <v>46307</v>
      </c>
      <c r="F939" t="inlineStr">
        <is>
          <t>VÄRMLANDS LÄN</t>
        </is>
      </c>
      <c r="G939" t="inlineStr">
        <is>
          <t>SÄFFLE</t>
        </is>
      </c>
      <c r="I939" t="n">
        <v>0.6</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64805-2021</t>
        </is>
      </c>
      <c r="B940" t="inlineStr">
        <is>
          <t>avverkningsanmälan</t>
        </is>
      </c>
      <c r="C940" t="inlineStr">
        <is>
          <t>Föryngringsavverkning</t>
        </is>
      </c>
      <c r="D940" s="1" t="n">
        <v>44512</v>
      </c>
      <c r="E940" s="1" t="n">
        <v>46307</v>
      </c>
      <c r="F940" t="inlineStr">
        <is>
          <t>VÄRMLANDS LÄN</t>
        </is>
      </c>
      <c r="G940" t="inlineStr">
        <is>
          <t>SÄFFLE</t>
        </is>
      </c>
      <c r="I940" t="n">
        <v>0.5</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15419-2022</t>
        </is>
      </c>
      <c r="B941" t="inlineStr">
        <is>
          <t>avverkningsanmälan</t>
        </is>
      </c>
      <c r="C941" t="inlineStr">
        <is>
          <t>Föryngringsavverkning</t>
        </is>
      </c>
      <c r="D941" s="1" t="n">
        <v>44659</v>
      </c>
      <c r="E941" s="1" t="n">
        <v>46307</v>
      </c>
      <c r="F941" t="inlineStr">
        <is>
          <t>VÄRMLANDS LÄN</t>
        </is>
      </c>
      <c r="G941" t="inlineStr">
        <is>
          <t>KRISTINEHAMN</t>
        </is>
      </c>
      <c r="I941" t="n">
        <v>0.6</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5836-2022</t>
        </is>
      </c>
      <c r="B942" t="inlineStr">
        <is>
          <t>avverkningsanmälan</t>
        </is>
      </c>
      <c r="C942" t="inlineStr">
        <is>
          <t>Föryngringsavverkning</t>
        </is>
      </c>
      <c r="D942" s="1" t="n">
        <v>44596</v>
      </c>
      <c r="E942" s="1" t="n">
        <v>46307</v>
      </c>
      <c r="F942" t="inlineStr">
        <is>
          <t>VÄRMLANDS LÄN</t>
        </is>
      </c>
      <c r="G942" t="inlineStr">
        <is>
          <t>ÅRJÄNG</t>
        </is>
      </c>
      <c r="I942" t="n">
        <v>0.5</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19776-2022</t>
        </is>
      </c>
      <c r="B943" t="inlineStr">
        <is>
          <t>avverkningsanmälan</t>
        </is>
      </c>
      <c r="C943" t="inlineStr">
        <is>
          <t>Föryngringsavverkning</t>
        </is>
      </c>
      <c r="D943" s="1" t="n">
        <v>44694</v>
      </c>
      <c r="E943" s="1" t="n">
        <v>46307</v>
      </c>
      <c r="F943" t="inlineStr">
        <is>
          <t>VÄRMLANDS LÄN</t>
        </is>
      </c>
      <c r="G943" t="inlineStr">
        <is>
          <t>ÅRJÄNG</t>
        </is>
      </c>
      <c r="I943" t="n">
        <v>9</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65299-2021</t>
        </is>
      </c>
      <c r="B944" t="inlineStr">
        <is>
          <t>avverkningsanmälan</t>
        </is>
      </c>
      <c r="C944" t="inlineStr">
        <is>
          <t>Föryngringsavverkning</t>
        </is>
      </c>
      <c r="D944" s="1" t="n">
        <v>44515</v>
      </c>
      <c r="E944" s="1" t="n">
        <v>46307</v>
      </c>
      <c r="F944" t="inlineStr">
        <is>
          <t>VÄRMLANDS LÄN</t>
        </is>
      </c>
      <c r="G944" t="inlineStr">
        <is>
          <t>HAGFORS</t>
        </is>
      </c>
      <c r="I944" t="n">
        <v>6.4</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11214-2022</t>
        </is>
      </c>
      <c r="B945" t="inlineStr">
        <is>
          <t>avverkningsanmälan</t>
        </is>
      </c>
      <c r="C945" t="inlineStr">
        <is>
          <t>Föryngringsavverkning</t>
        </is>
      </c>
      <c r="D945" s="1" t="n">
        <v>44629</v>
      </c>
      <c r="E945" s="1" t="n">
        <v>46307</v>
      </c>
      <c r="F945" t="inlineStr">
        <is>
          <t>VÄRMLANDS LÄN</t>
        </is>
      </c>
      <c r="G945" t="inlineStr">
        <is>
          <t>SÄFFLE</t>
        </is>
      </c>
      <c r="I945" t="n">
        <v>6.8</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11221-2022</t>
        </is>
      </c>
      <c r="B946" t="inlineStr">
        <is>
          <t>avverkningsanmälan</t>
        </is>
      </c>
      <c r="C946" t="inlineStr">
        <is>
          <t>Föryngringsavverkning</t>
        </is>
      </c>
      <c r="D946" s="1" t="n">
        <v>44629</v>
      </c>
      <c r="E946" s="1" t="n">
        <v>46307</v>
      </c>
      <c r="F946" t="inlineStr">
        <is>
          <t>VÄRMLANDS LÄN</t>
        </is>
      </c>
      <c r="G946" t="inlineStr">
        <is>
          <t>SÄFFLE</t>
        </is>
      </c>
      <c r="I946" t="n">
        <v>1.3</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16874-2022</t>
        </is>
      </c>
      <c r="B947" t="inlineStr">
        <is>
          <t>avverkningsanmälan</t>
        </is>
      </c>
      <c r="C947" t="inlineStr">
        <is>
          <t>Föryngringsavverkning</t>
        </is>
      </c>
      <c r="D947" s="1" t="n">
        <v>44675</v>
      </c>
      <c r="E947" s="1" t="n">
        <v>46307</v>
      </c>
      <c r="F947" t="inlineStr">
        <is>
          <t>VÄRMLANDS LÄN</t>
        </is>
      </c>
      <c r="G947" t="inlineStr">
        <is>
          <t>KIL</t>
        </is>
      </c>
      <c r="I947" t="n">
        <v>3.3</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59627-2021</t>
        </is>
      </c>
      <c r="B948" t="inlineStr">
        <is>
          <t>avverkningsanmälan</t>
        </is>
      </c>
      <c r="C948" t="inlineStr">
        <is>
          <t>Föryngringsavverkning</t>
        </is>
      </c>
      <c r="D948" s="1" t="n">
        <v>44491</v>
      </c>
      <c r="E948" s="1" t="n">
        <v>46307</v>
      </c>
      <c r="F948" t="inlineStr">
        <is>
          <t>VÄRMLANDS LÄN</t>
        </is>
      </c>
      <c r="G948" t="inlineStr">
        <is>
          <t>KARLSTAD</t>
        </is>
      </c>
      <c r="I948" t="n">
        <v>3.4</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69373-2021</t>
        </is>
      </c>
      <c r="B949" t="inlineStr">
        <is>
          <t>avverkningsanmälan</t>
        </is>
      </c>
      <c r="C949" t="inlineStr">
        <is>
          <t>Föryngringsavverkning</t>
        </is>
      </c>
      <c r="D949" s="1" t="n">
        <v>44531</v>
      </c>
      <c r="E949" s="1" t="n">
        <v>46307</v>
      </c>
      <c r="F949" t="inlineStr">
        <is>
          <t>VÄRMLANDS LÄN</t>
        </is>
      </c>
      <c r="G949" t="inlineStr">
        <is>
          <t>SUNNE</t>
        </is>
      </c>
      <c r="I949" t="n">
        <v>1.3</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4587-2022</t>
        </is>
      </c>
      <c r="B950" t="inlineStr">
        <is>
          <t>avverkningsanmälan</t>
        </is>
      </c>
      <c r="C950" t="inlineStr">
        <is>
          <t>Föryngringsavverkning</t>
        </is>
      </c>
      <c r="D950" s="1" t="n">
        <v>44591</v>
      </c>
      <c r="E950" s="1" t="n">
        <v>46307</v>
      </c>
      <c r="F950" t="inlineStr">
        <is>
          <t>VÄRMLANDS LÄN</t>
        </is>
      </c>
      <c r="G950" t="inlineStr">
        <is>
          <t>SUNNE</t>
        </is>
      </c>
      <c r="I950" t="n">
        <v>0.7</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28316-2022</t>
        </is>
      </c>
      <c r="B951" t="inlineStr">
        <is>
          <t>avverkningsanmälan</t>
        </is>
      </c>
      <c r="C951" t="inlineStr">
        <is>
          <t>Föryngringsavverkning</t>
        </is>
      </c>
      <c r="D951" s="1" t="n">
        <v>44747</v>
      </c>
      <c r="E951" s="1" t="n">
        <v>46307</v>
      </c>
      <c r="F951" t="inlineStr">
        <is>
          <t>VÄRMLANDS LÄN</t>
        </is>
      </c>
      <c r="G951" t="inlineStr">
        <is>
          <t>MUNKFORS</t>
        </is>
      </c>
      <c r="I951" t="n">
        <v>2.2</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17802-2022</t>
        </is>
      </c>
      <c r="B952" t="inlineStr">
        <is>
          <t>avverkningsanmälan</t>
        </is>
      </c>
      <c r="C952" t="inlineStr">
        <is>
          <t>Föryngringsavverkning</t>
        </is>
      </c>
      <c r="D952" s="1" t="n">
        <v>44683</v>
      </c>
      <c r="E952" s="1" t="n">
        <v>46307</v>
      </c>
      <c r="F952" t="inlineStr">
        <is>
          <t>VÄRMLANDS LÄN</t>
        </is>
      </c>
      <c r="G952" t="inlineStr">
        <is>
          <t>EDA</t>
        </is>
      </c>
      <c r="I952" t="n">
        <v>4.4</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44149-2022</t>
        </is>
      </c>
      <c r="B953" t="inlineStr">
        <is>
          <t>avverkningsanmälan</t>
        </is>
      </c>
      <c r="C953" t="inlineStr">
        <is>
          <t>Föryngringsavverkning</t>
        </is>
      </c>
      <c r="D953" s="1" t="n">
        <v>44839</v>
      </c>
      <c r="E953" s="1" t="n">
        <v>46307</v>
      </c>
      <c r="F953" t="inlineStr">
        <is>
          <t>VÄRMLANDS LÄN</t>
        </is>
      </c>
      <c r="G953" t="inlineStr">
        <is>
          <t>TORSBY</t>
        </is>
      </c>
      <c r="H953" t="inlineStr">
        <is>
          <t>Bergvik skog väst AB</t>
        </is>
      </c>
      <c r="I953" t="n">
        <v>4.1</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26201-2022</t>
        </is>
      </c>
      <c r="B954" t="inlineStr">
        <is>
          <t>avverkningsanmälan</t>
        </is>
      </c>
      <c r="C954" t="inlineStr">
        <is>
          <t>Föryngringsavverkning</t>
        </is>
      </c>
      <c r="D954" s="1" t="n">
        <v>44735</v>
      </c>
      <c r="E954" s="1" t="n">
        <v>46307</v>
      </c>
      <c r="F954" t="inlineStr">
        <is>
          <t>VÄRMLANDS LÄN</t>
        </is>
      </c>
      <c r="G954" t="inlineStr">
        <is>
          <t>SÄFFLE</t>
        </is>
      </c>
      <c r="I954" t="n">
        <v>0.7</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73207-2021</t>
        </is>
      </c>
      <c r="B955" t="inlineStr">
        <is>
          <t>avverkningsanmälan</t>
        </is>
      </c>
      <c r="C955" t="inlineStr">
        <is>
          <t>Föryngringsavverkning</t>
        </is>
      </c>
      <c r="D955" s="1" t="n">
        <v>44550</v>
      </c>
      <c r="E955" s="1" t="n">
        <v>46307</v>
      </c>
      <c r="F955" t="inlineStr">
        <is>
          <t>VÄRMLANDS LÄN</t>
        </is>
      </c>
      <c r="G955" t="inlineStr">
        <is>
          <t>HAGFORS</t>
        </is>
      </c>
      <c r="I955" t="n">
        <v>0.8</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662-2022</t>
        </is>
      </c>
      <c r="B956" t="inlineStr">
        <is>
          <t>avverkningsanmälan</t>
        </is>
      </c>
      <c r="C956" t="inlineStr">
        <is>
          <t>Föryngringsavverkning</t>
        </is>
      </c>
      <c r="D956" s="1" t="n">
        <v>44568</v>
      </c>
      <c r="E956" s="1" t="n">
        <v>46307</v>
      </c>
      <c r="F956" t="inlineStr">
        <is>
          <t>VÄRMLANDS LÄN</t>
        </is>
      </c>
      <c r="G956" t="inlineStr">
        <is>
          <t>ÅRJÄNG</t>
        </is>
      </c>
      <c r="I956" t="n">
        <v>5.7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60502-2021</t>
        </is>
      </c>
      <c r="B957" t="inlineStr">
        <is>
          <t>avverkningsanmälan</t>
        </is>
      </c>
      <c r="C957" t="inlineStr">
        <is>
          <t>Föryngringsavverkning</t>
        </is>
      </c>
      <c r="D957" s="1" t="n">
        <v>44496</v>
      </c>
      <c r="E957" s="1" t="n">
        <v>46307</v>
      </c>
      <c r="F957" t="inlineStr">
        <is>
          <t>VÄRMLANDS LÄN</t>
        </is>
      </c>
      <c r="G957" t="inlineStr">
        <is>
          <t>ARVIKA</t>
        </is>
      </c>
      <c r="I957" t="n">
        <v>2.9</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72688-2021</t>
        </is>
      </c>
      <c r="B958" t="inlineStr">
        <is>
          <t>avverkningsanmälan</t>
        </is>
      </c>
      <c r="C958" t="inlineStr">
        <is>
          <t>Föryngringsavverkning</t>
        </is>
      </c>
      <c r="D958" s="1" t="n">
        <v>44546</v>
      </c>
      <c r="E958" s="1" t="n">
        <v>46307</v>
      </c>
      <c r="F958" t="inlineStr">
        <is>
          <t>VÄRMLANDS LÄN</t>
        </is>
      </c>
      <c r="G958" t="inlineStr">
        <is>
          <t>FORSHAGA</t>
        </is>
      </c>
      <c r="I958" t="n">
        <v>1.3</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13166-2022</t>
        </is>
      </c>
      <c r="B959" t="inlineStr">
        <is>
          <t>avverkningsanmälan</t>
        </is>
      </c>
      <c r="C959" t="inlineStr">
        <is>
          <t>Föryngringsavverkning</t>
        </is>
      </c>
      <c r="D959" s="1" t="n">
        <v>44643</v>
      </c>
      <c r="E959" s="1" t="n">
        <v>46307</v>
      </c>
      <c r="F959" t="inlineStr">
        <is>
          <t>VÄRMLANDS LÄN</t>
        </is>
      </c>
      <c r="G959" t="inlineStr">
        <is>
          <t>ÅRJÄNG</t>
        </is>
      </c>
      <c r="I959" t="n">
        <v>7.3</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7589-2022</t>
        </is>
      </c>
      <c r="B960" t="inlineStr">
        <is>
          <t>avverkningsanmälan</t>
        </is>
      </c>
      <c r="C960" t="inlineStr">
        <is>
          <t>Föryngringsavverkning</t>
        </is>
      </c>
      <c r="D960" s="1" t="n">
        <v>44607</v>
      </c>
      <c r="E960" s="1" t="n">
        <v>46307</v>
      </c>
      <c r="F960" t="inlineStr">
        <is>
          <t>VÄRMLANDS LÄN</t>
        </is>
      </c>
      <c r="G960" t="inlineStr">
        <is>
          <t>GRUMS</t>
        </is>
      </c>
      <c r="I960" t="n">
        <v>4.9</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43022-2022</t>
        </is>
      </c>
      <c r="B961" t="inlineStr">
        <is>
          <t>avverkningsanmälan</t>
        </is>
      </c>
      <c r="C961" t="inlineStr">
        <is>
          <t>Föryngringsavverkning</t>
        </is>
      </c>
      <c r="D961" s="1" t="n">
        <v>44833</v>
      </c>
      <c r="E961" s="1" t="n">
        <v>46307</v>
      </c>
      <c r="F961" t="inlineStr">
        <is>
          <t>VÄRMLANDS LÄN</t>
        </is>
      </c>
      <c r="G961" t="inlineStr">
        <is>
          <t>TORSBY</t>
        </is>
      </c>
      <c r="I961" t="n">
        <v>0.5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30734-2022</t>
        </is>
      </c>
      <c r="B962" t="inlineStr">
        <is>
          <t>avverkningsanmälan</t>
        </is>
      </c>
      <c r="C962" t="inlineStr">
        <is>
          <t>Föryngringsavverkning</t>
        </is>
      </c>
      <c r="D962" s="1" t="n">
        <v>44764</v>
      </c>
      <c r="E962" s="1" t="n">
        <v>46307</v>
      </c>
      <c r="F962" t="inlineStr">
        <is>
          <t>VÄRMLANDS LÄN</t>
        </is>
      </c>
      <c r="G962" t="inlineStr">
        <is>
          <t>SUNNE</t>
        </is>
      </c>
      <c r="I962" t="n">
        <v>1.9</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37613-2022</t>
        </is>
      </c>
      <c r="B963" t="inlineStr">
        <is>
          <t>avverkningsanmälan</t>
        </is>
      </c>
      <c r="C963" t="inlineStr">
        <is>
          <t>Föryngringsavverkning</t>
        </is>
      </c>
      <c r="D963" s="1" t="n">
        <v>44810</v>
      </c>
      <c r="E963" s="1" t="n">
        <v>46307</v>
      </c>
      <c r="F963" t="inlineStr">
        <is>
          <t>VÄRMLANDS LÄN</t>
        </is>
      </c>
      <c r="G963" t="inlineStr">
        <is>
          <t>EDA</t>
        </is>
      </c>
      <c r="I963" t="n">
        <v>1.2</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36422-2022</t>
        </is>
      </c>
      <c r="B964" t="inlineStr">
        <is>
          <t>avverkningsanmälan</t>
        </is>
      </c>
      <c r="C964" t="inlineStr">
        <is>
          <t>Avverkning för annat ändamål</t>
        </is>
      </c>
      <c r="D964" s="1" t="n">
        <v>44804</v>
      </c>
      <c r="E964" s="1" t="n">
        <v>46307</v>
      </c>
      <c r="F964" t="inlineStr">
        <is>
          <t>VÄRMLANDS LÄN</t>
        </is>
      </c>
      <c r="G964" t="inlineStr">
        <is>
          <t>KARLSTAD</t>
        </is>
      </c>
      <c r="I964" t="n">
        <v>6.5</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35089-2022</t>
        </is>
      </c>
      <c r="B965" t="inlineStr">
        <is>
          <t>avverkningsanmälan</t>
        </is>
      </c>
      <c r="C965" t="inlineStr">
        <is>
          <t>Föryngringsavverkning</t>
        </is>
      </c>
      <c r="D965" s="1" t="n">
        <v>44797</v>
      </c>
      <c r="E965" s="1" t="n">
        <v>46307</v>
      </c>
      <c r="F965" t="inlineStr">
        <is>
          <t>VÄRMLANDS LÄN</t>
        </is>
      </c>
      <c r="G965" t="inlineStr">
        <is>
          <t>STORFORS</t>
        </is>
      </c>
      <c r="I965" t="n">
        <v>1.5</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28547-2022</t>
        </is>
      </c>
      <c r="B966" t="inlineStr">
        <is>
          <t>avverkningsanmälan</t>
        </is>
      </c>
      <c r="C966" t="inlineStr">
        <is>
          <t>Föryngringsavverkning</t>
        </is>
      </c>
      <c r="D966" s="1" t="n">
        <v>44748</v>
      </c>
      <c r="E966" s="1" t="n">
        <v>46307</v>
      </c>
      <c r="F966" t="inlineStr">
        <is>
          <t>VÄRMLANDS LÄN</t>
        </is>
      </c>
      <c r="G966" t="inlineStr">
        <is>
          <t>ARVIKA</t>
        </is>
      </c>
      <c r="H966" t="inlineStr">
        <is>
          <t>Bergvik skog väst AB</t>
        </is>
      </c>
      <c r="I966" t="n">
        <v>2.4</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17860-2022</t>
        </is>
      </c>
      <c r="B967" t="inlineStr">
        <is>
          <t>avverkningsanmälan</t>
        </is>
      </c>
      <c r="C967" t="inlineStr">
        <is>
          <t>Föryngringsavverkning</t>
        </is>
      </c>
      <c r="D967" s="1" t="n">
        <v>44683</v>
      </c>
      <c r="E967" s="1" t="n">
        <v>46307</v>
      </c>
      <c r="F967" t="inlineStr">
        <is>
          <t>VÄRMLANDS LÄN</t>
        </is>
      </c>
      <c r="G967" t="inlineStr">
        <is>
          <t>KRISTINEHAMN</t>
        </is>
      </c>
      <c r="I967" t="n">
        <v>2.3</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32304-2022</t>
        </is>
      </c>
      <c r="B968" t="inlineStr">
        <is>
          <t>avverkningsanmälan</t>
        </is>
      </c>
      <c r="C968" t="inlineStr">
        <is>
          <t>Föryngringsavverkning</t>
        </is>
      </c>
      <c r="D968" s="1" t="n">
        <v>44781</v>
      </c>
      <c r="E968" s="1" t="n">
        <v>46307</v>
      </c>
      <c r="F968" t="inlineStr">
        <is>
          <t>VÄRMLANDS LÄN</t>
        </is>
      </c>
      <c r="G968" t="inlineStr">
        <is>
          <t>GRUMS</t>
        </is>
      </c>
      <c r="I968" t="n">
        <v>2.4</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6174-2022</t>
        </is>
      </c>
      <c r="B969" t="inlineStr">
        <is>
          <t>avverkningsanmälan</t>
        </is>
      </c>
      <c r="C969" t="inlineStr">
        <is>
          <t>Föryngringsavverkning</t>
        </is>
      </c>
      <c r="D969" s="1" t="n">
        <v>44599</v>
      </c>
      <c r="E969" s="1" t="n">
        <v>46307</v>
      </c>
      <c r="F969" t="inlineStr">
        <is>
          <t>VÄRMLANDS LÄN</t>
        </is>
      </c>
      <c r="G969" t="inlineStr">
        <is>
          <t>KARLSTAD</t>
        </is>
      </c>
      <c r="I969" t="n">
        <v>22.8</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52546-2022</t>
        </is>
      </c>
      <c r="B970" t="inlineStr">
        <is>
          <t>avverkningsanmälan</t>
        </is>
      </c>
      <c r="C970" t="inlineStr">
        <is>
          <t>Föryngringsavverkning</t>
        </is>
      </c>
      <c r="D970" s="1" t="n">
        <v>44874</v>
      </c>
      <c r="E970" s="1" t="n">
        <v>46307</v>
      </c>
      <c r="F970" t="inlineStr">
        <is>
          <t>VÄRMLANDS LÄN</t>
        </is>
      </c>
      <c r="G970" t="inlineStr">
        <is>
          <t>TORSBY</t>
        </is>
      </c>
      <c r="I970" t="n">
        <v>2.6</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35567-2022</t>
        </is>
      </c>
      <c r="B971" t="inlineStr">
        <is>
          <t>avverkningsanmälan</t>
        </is>
      </c>
      <c r="C971" t="inlineStr">
        <is>
          <t>Föryngringsavverkning</t>
        </is>
      </c>
      <c r="D971" s="1" t="n">
        <v>44799</v>
      </c>
      <c r="E971" s="1" t="n">
        <v>46307</v>
      </c>
      <c r="F971" t="inlineStr">
        <is>
          <t>VÄRMLANDS LÄN</t>
        </is>
      </c>
      <c r="G971" t="inlineStr">
        <is>
          <t>KARLSTAD</t>
        </is>
      </c>
      <c r="I971" t="n">
        <v>5</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59084-2021</t>
        </is>
      </c>
      <c r="B972" t="inlineStr">
        <is>
          <t>avverkningsanmälan</t>
        </is>
      </c>
      <c r="C972" t="inlineStr">
        <is>
          <t>Föryngringsavverkning</t>
        </is>
      </c>
      <c r="D972" s="1" t="n">
        <v>44490</v>
      </c>
      <c r="E972" s="1" t="n">
        <v>46307</v>
      </c>
      <c r="F972" t="inlineStr">
        <is>
          <t>VÄRMLANDS LÄN</t>
        </is>
      </c>
      <c r="G972" t="inlineStr">
        <is>
          <t>STORFORS</t>
        </is>
      </c>
      <c r="H972" t="inlineStr">
        <is>
          <t>Naturvårdsverket</t>
        </is>
      </c>
      <c r="I972" t="n">
        <v>2.5</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63574-2021</t>
        </is>
      </c>
      <c r="B973" t="inlineStr">
        <is>
          <t>avverkningsanmälan</t>
        </is>
      </c>
      <c r="C973" t="inlineStr">
        <is>
          <t>Föryngringsavverkning</t>
        </is>
      </c>
      <c r="D973" s="1" t="n">
        <v>44508</v>
      </c>
      <c r="E973" s="1" t="n">
        <v>46307</v>
      </c>
      <c r="F973" t="inlineStr">
        <is>
          <t>VÄRMLANDS LÄN</t>
        </is>
      </c>
      <c r="G973" t="inlineStr">
        <is>
          <t>SUNNE</t>
        </is>
      </c>
      <c r="I973" t="n">
        <v>1.1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42071-2022</t>
        </is>
      </c>
      <c r="B974" t="inlineStr">
        <is>
          <t>avverkningsanmälan</t>
        </is>
      </c>
      <c r="C974" t="inlineStr">
        <is>
          <t>Föryngringsavverkning</t>
        </is>
      </c>
      <c r="D974" s="1" t="n">
        <v>44830</v>
      </c>
      <c r="E974" s="1" t="n">
        <v>46307</v>
      </c>
      <c r="F974" t="inlineStr">
        <is>
          <t>VÄRMLANDS LÄN</t>
        </is>
      </c>
      <c r="G974" t="inlineStr">
        <is>
          <t>SÄFFLE</t>
        </is>
      </c>
      <c r="I974" t="n">
        <v>0.5</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64785-2021</t>
        </is>
      </c>
      <c r="B975" t="inlineStr">
        <is>
          <t>avverkningsanmälan</t>
        </is>
      </c>
      <c r="C975" t="inlineStr">
        <is>
          <t>Föryngringsavverkning</t>
        </is>
      </c>
      <c r="D975" s="1" t="n">
        <v>44512</v>
      </c>
      <c r="E975" s="1" t="n">
        <v>46307</v>
      </c>
      <c r="F975" t="inlineStr">
        <is>
          <t>VÄRMLANDS LÄN</t>
        </is>
      </c>
      <c r="G975" t="inlineStr">
        <is>
          <t>ÅRJÄNG</t>
        </is>
      </c>
      <c r="I975" t="n">
        <v>9.6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68209-2021</t>
        </is>
      </c>
      <c r="B976" t="inlineStr">
        <is>
          <t>avverkningsanmälan</t>
        </is>
      </c>
      <c r="C976" t="inlineStr">
        <is>
          <t>Föryngringsavverkning</t>
        </is>
      </c>
      <c r="D976" s="1" t="n">
        <v>44526</v>
      </c>
      <c r="E976" s="1" t="n">
        <v>46307</v>
      </c>
      <c r="F976" t="inlineStr">
        <is>
          <t>VÄRMLANDS LÄN</t>
        </is>
      </c>
      <c r="G976" t="inlineStr">
        <is>
          <t>SUNNE</t>
        </is>
      </c>
      <c r="I976" t="n">
        <v>1.4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63963-2021</t>
        </is>
      </c>
      <c r="B977" t="inlineStr">
        <is>
          <t>avverkningsanmälan</t>
        </is>
      </c>
      <c r="C977" t="inlineStr">
        <is>
          <t>Föryngringsavverkning</t>
        </is>
      </c>
      <c r="D977" s="1" t="n">
        <v>44509</v>
      </c>
      <c r="E977" s="1" t="n">
        <v>46307</v>
      </c>
      <c r="F977" t="inlineStr">
        <is>
          <t>VÄRMLANDS LÄN</t>
        </is>
      </c>
      <c r="G977" t="inlineStr">
        <is>
          <t>GRUMS</t>
        </is>
      </c>
      <c r="I977" t="n">
        <v>0.5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64051-2021</t>
        </is>
      </c>
      <c r="B978" t="inlineStr">
        <is>
          <t>avverkningsanmälan</t>
        </is>
      </c>
      <c r="C978" t="inlineStr">
        <is>
          <t>Föryngringsavverkning</t>
        </is>
      </c>
      <c r="D978" s="1" t="n">
        <v>44510</v>
      </c>
      <c r="E978" s="1" t="n">
        <v>46307</v>
      </c>
      <c r="F978" t="inlineStr">
        <is>
          <t>VÄRMLANDS LÄN</t>
        </is>
      </c>
      <c r="G978" t="inlineStr">
        <is>
          <t>HAGFORS</t>
        </is>
      </c>
      <c r="I978" t="n">
        <v>1.7</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61129-2021</t>
        </is>
      </c>
      <c r="B979" t="inlineStr">
        <is>
          <t>avverkningsanmälan</t>
        </is>
      </c>
      <c r="C979" t="inlineStr">
        <is>
          <t>Avverkning för annat ändamål</t>
        </is>
      </c>
      <c r="D979" s="1" t="n">
        <v>44498</v>
      </c>
      <c r="E979" s="1" t="n">
        <v>46307</v>
      </c>
      <c r="F979" t="inlineStr">
        <is>
          <t>VÄRMLANDS LÄN</t>
        </is>
      </c>
      <c r="G979" t="inlineStr">
        <is>
          <t>ÅRJÄNG</t>
        </is>
      </c>
      <c r="I979" t="n">
        <v>0.5</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64082-2021</t>
        </is>
      </c>
      <c r="B980" t="inlineStr">
        <is>
          <t>avverkningsanmälan</t>
        </is>
      </c>
      <c r="C980" t="inlineStr">
        <is>
          <t>Föryngringsavverkning</t>
        </is>
      </c>
      <c r="D980" s="1" t="n">
        <v>44510</v>
      </c>
      <c r="E980" s="1" t="n">
        <v>46307</v>
      </c>
      <c r="F980" t="inlineStr">
        <is>
          <t>VÄRMLANDS LÄN</t>
        </is>
      </c>
      <c r="G980" t="inlineStr">
        <is>
          <t>ÅRJÄNG</t>
        </is>
      </c>
      <c r="I980" t="n">
        <v>1.3</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61252-2021</t>
        </is>
      </c>
      <c r="B981" t="inlineStr">
        <is>
          <t>avverkningsanmälan</t>
        </is>
      </c>
      <c r="C981" t="inlineStr">
        <is>
          <t>Föryngringsavverkning</t>
        </is>
      </c>
      <c r="D981" s="1" t="n">
        <v>44496</v>
      </c>
      <c r="E981" s="1" t="n">
        <v>46307</v>
      </c>
      <c r="F981" t="inlineStr">
        <is>
          <t>VÄRMLANDS LÄN</t>
        </is>
      </c>
      <c r="G981" t="inlineStr">
        <is>
          <t>ÅRJÄNG</t>
        </is>
      </c>
      <c r="I981" t="n">
        <v>1</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61254-2021</t>
        </is>
      </c>
      <c r="B982" t="inlineStr">
        <is>
          <t>avverkningsanmälan</t>
        </is>
      </c>
      <c r="C982" t="inlineStr">
        <is>
          <t>Föryngringsavverkning</t>
        </is>
      </c>
      <c r="D982" s="1" t="n">
        <v>44496</v>
      </c>
      <c r="E982" s="1" t="n">
        <v>46307</v>
      </c>
      <c r="F982" t="inlineStr">
        <is>
          <t>VÄRMLANDS LÄN</t>
        </is>
      </c>
      <c r="G982" t="inlineStr">
        <is>
          <t>ÅRJÄNG</t>
        </is>
      </c>
      <c r="I982" t="n">
        <v>4</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59009-2021</t>
        </is>
      </c>
      <c r="B983" t="inlineStr">
        <is>
          <t>avverkningsanmälan</t>
        </is>
      </c>
      <c r="C983" t="inlineStr">
        <is>
          <t>Föryngringsavverkning</t>
        </is>
      </c>
      <c r="D983" s="1" t="n">
        <v>44490</v>
      </c>
      <c r="E983" s="1" t="n">
        <v>46307</v>
      </c>
      <c r="F983" t="inlineStr">
        <is>
          <t>VÄRMLANDS LÄN</t>
        </is>
      </c>
      <c r="G983" t="inlineStr">
        <is>
          <t>ÅRJÄNG</t>
        </is>
      </c>
      <c r="I983" t="n">
        <v>3</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68148-2021</t>
        </is>
      </c>
      <c r="B984" t="inlineStr">
        <is>
          <t>avverkningsanmälan</t>
        </is>
      </c>
      <c r="C984" t="inlineStr">
        <is>
          <t>Föryngringsavverkning</t>
        </is>
      </c>
      <c r="D984" s="1" t="n">
        <v>44526</v>
      </c>
      <c r="E984" s="1" t="n">
        <v>46307</v>
      </c>
      <c r="F984" t="inlineStr">
        <is>
          <t>VÄRMLANDS LÄN</t>
        </is>
      </c>
      <c r="G984" t="inlineStr">
        <is>
          <t>HAGFORS</t>
        </is>
      </c>
      <c r="H984" t="inlineStr">
        <is>
          <t>Bergvik skog väst AB</t>
        </is>
      </c>
      <c r="I984" t="n">
        <v>14</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68550-2021</t>
        </is>
      </c>
      <c r="B985" t="inlineStr">
        <is>
          <t>avverkningsanmälan</t>
        </is>
      </c>
      <c r="C985" t="inlineStr">
        <is>
          <t>Föryngringsavverkning</t>
        </is>
      </c>
      <c r="D985" s="1" t="n">
        <v>44529</v>
      </c>
      <c r="E985" s="1" t="n">
        <v>46307</v>
      </c>
      <c r="F985" t="inlineStr">
        <is>
          <t>VÄRMLANDS LÄN</t>
        </is>
      </c>
      <c r="G985" t="inlineStr">
        <is>
          <t>EDA</t>
        </is>
      </c>
      <c r="I985" t="n">
        <v>2.4</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64780-2021</t>
        </is>
      </c>
      <c r="B986" t="inlineStr">
        <is>
          <t>avverkningsanmälan</t>
        </is>
      </c>
      <c r="C986" t="inlineStr">
        <is>
          <t>Föryngringsavverkning</t>
        </is>
      </c>
      <c r="D986" s="1" t="n">
        <v>44512</v>
      </c>
      <c r="E986" s="1" t="n">
        <v>46307</v>
      </c>
      <c r="F986" t="inlineStr">
        <is>
          <t>VÄRMLANDS LÄN</t>
        </is>
      </c>
      <c r="G986" t="inlineStr">
        <is>
          <t>TORSBY</t>
        </is>
      </c>
      <c r="I986" t="n">
        <v>2</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5057-2022</t>
        </is>
      </c>
      <c r="B987" t="inlineStr">
        <is>
          <t>avverkningsanmälan</t>
        </is>
      </c>
      <c r="C987" t="inlineStr">
        <is>
          <t>Avverkning för annat ändamål</t>
        </is>
      </c>
      <c r="D987" s="1" t="n">
        <v>44593</v>
      </c>
      <c r="E987" s="1" t="n">
        <v>46307</v>
      </c>
      <c r="F987" t="inlineStr">
        <is>
          <t>VÄRMLANDS LÄN</t>
        </is>
      </c>
      <c r="G987" t="inlineStr">
        <is>
          <t>KARLSTAD</t>
        </is>
      </c>
      <c r="H987" t="inlineStr">
        <is>
          <t>Kommuner</t>
        </is>
      </c>
      <c r="I987" t="n">
        <v>0.5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70832-2021</t>
        </is>
      </c>
      <c r="B988" t="inlineStr">
        <is>
          <t>avverkningsanmälan</t>
        </is>
      </c>
      <c r="C988" t="inlineStr">
        <is>
          <t>Föryngringsavverkning</t>
        </is>
      </c>
      <c r="D988" s="1" t="n">
        <v>44537</v>
      </c>
      <c r="E988" s="1" t="n">
        <v>46307</v>
      </c>
      <c r="F988" t="inlineStr">
        <is>
          <t>VÄRMLANDS LÄN</t>
        </is>
      </c>
      <c r="G988" t="inlineStr">
        <is>
          <t>SUNNE</t>
        </is>
      </c>
      <c r="I988" t="n">
        <v>1.4</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66090-2021</t>
        </is>
      </c>
      <c r="B989" t="inlineStr">
        <is>
          <t>avverkningsanmälan</t>
        </is>
      </c>
      <c r="C989" t="inlineStr">
        <is>
          <t>Föryngringsavverkning</t>
        </is>
      </c>
      <c r="D989" s="1" t="n">
        <v>44517</v>
      </c>
      <c r="E989" s="1" t="n">
        <v>46307</v>
      </c>
      <c r="F989" t="inlineStr">
        <is>
          <t>VÄRMLANDS LÄN</t>
        </is>
      </c>
      <c r="G989" t="inlineStr">
        <is>
          <t>SUNNE</t>
        </is>
      </c>
      <c r="I989" t="n">
        <v>2.3</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61638-2021</t>
        </is>
      </c>
      <c r="B990" t="inlineStr">
        <is>
          <t>avverkningsanmälan</t>
        </is>
      </c>
      <c r="C990" t="inlineStr">
        <is>
          <t>Föryngringsavverkning</t>
        </is>
      </c>
      <c r="D990" s="1" t="n">
        <v>44501</v>
      </c>
      <c r="E990" s="1" t="n">
        <v>46307</v>
      </c>
      <c r="F990" t="inlineStr">
        <is>
          <t>VÄRMLANDS LÄN</t>
        </is>
      </c>
      <c r="G990" t="inlineStr">
        <is>
          <t>KIL</t>
        </is>
      </c>
      <c r="I990" t="n">
        <v>1.9</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63520-2021</t>
        </is>
      </c>
      <c r="B991" t="inlineStr">
        <is>
          <t>avverkningsanmälan</t>
        </is>
      </c>
      <c r="C991" t="inlineStr">
        <is>
          <t>Föryngringsavverkning</t>
        </is>
      </c>
      <c r="D991" s="1" t="n">
        <v>44508</v>
      </c>
      <c r="E991" s="1" t="n">
        <v>46307</v>
      </c>
      <c r="F991" t="inlineStr">
        <is>
          <t>VÄRMLANDS LÄN</t>
        </is>
      </c>
      <c r="G991" t="inlineStr">
        <is>
          <t>SÄFFLE</t>
        </is>
      </c>
      <c r="I991" t="n">
        <v>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57476-2021</t>
        </is>
      </c>
      <c r="B992" t="inlineStr">
        <is>
          <t>avverkningsanmälan</t>
        </is>
      </c>
      <c r="C992" t="inlineStr">
        <is>
          <t>Föryngringsavverkning</t>
        </is>
      </c>
      <c r="D992" s="1" t="n">
        <v>44483</v>
      </c>
      <c r="E992" s="1" t="n">
        <v>46307</v>
      </c>
      <c r="F992" t="inlineStr">
        <is>
          <t>VÄRMLANDS LÄN</t>
        </is>
      </c>
      <c r="G992" t="inlineStr">
        <is>
          <t>KARLSTAD</t>
        </is>
      </c>
      <c r="H992" t="inlineStr">
        <is>
          <t>Kommuner</t>
        </is>
      </c>
      <c r="I992" t="n">
        <v>1.1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1898-2022</t>
        </is>
      </c>
      <c r="B993" t="inlineStr">
        <is>
          <t>avverkningsanmälan</t>
        </is>
      </c>
      <c r="C993" t="inlineStr">
        <is>
          <t>Föryngringsavverkning</t>
        </is>
      </c>
      <c r="D993" s="1" t="n">
        <v>44575</v>
      </c>
      <c r="E993" s="1" t="n">
        <v>46307</v>
      </c>
      <c r="F993" t="inlineStr">
        <is>
          <t>VÄRMLANDS LÄN</t>
        </is>
      </c>
      <c r="G993" t="inlineStr">
        <is>
          <t>GRUMS</t>
        </is>
      </c>
      <c r="I993" t="n">
        <v>1</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34220-2022</t>
        </is>
      </c>
      <c r="B994" t="inlineStr">
        <is>
          <t>avverkningsanmälan</t>
        </is>
      </c>
      <c r="C994" t="inlineStr">
        <is>
          <t>Föryngringsavverkning</t>
        </is>
      </c>
      <c r="D994" s="1" t="n">
        <v>44791</v>
      </c>
      <c r="E994" s="1" t="n">
        <v>46307</v>
      </c>
      <c r="F994" t="inlineStr">
        <is>
          <t>VÄRMLANDS LÄN</t>
        </is>
      </c>
      <c r="G994" t="inlineStr">
        <is>
          <t>HAGFORS</t>
        </is>
      </c>
      <c r="I994" t="n">
        <v>1.7</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71485-2021</t>
        </is>
      </c>
      <c r="B995" t="inlineStr">
        <is>
          <t>avverkningsanmälan</t>
        </is>
      </c>
      <c r="C995" t="inlineStr">
        <is>
          <t>Föryngringsavverkning</t>
        </is>
      </c>
      <c r="D995" s="1" t="n">
        <v>44539</v>
      </c>
      <c r="E995" s="1" t="n">
        <v>46307</v>
      </c>
      <c r="F995" t="inlineStr">
        <is>
          <t>VÄRMLANDS LÄN</t>
        </is>
      </c>
      <c r="G995" t="inlineStr">
        <is>
          <t>SUNNE</t>
        </is>
      </c>
      <c r="I995" t="n">
        <v>2</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72991-2021</t>
        </is>
      </c>
      <c r="B996" t="inlineStr">
        <is>
          <t>avverkningsanmälan</t>
        </is>
      </c>
      <c r="C996" t="inlineStr">
        <is>
          <t>Föryngringsavverkning</t>
        </is>
      </c>
      <c r="D996" s="1" t="n">
        <v>44549</v>
      </c>
      <c r="E996" s="1" t="n">
        <v>46307</v>
      </c>
      <c r="F996" t="inlineStr">
        <is>
          <t>VÄRMLANDS LÄN</t>
        </is>
      </c>
      <c r="G996" t="inlineStr">
        <is>
          <t>FORSHAGA</t>
        </is>
      </c>
      <c r="I996" t="n">
        <v>0.6</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62626-2021</t>
        </is>
      </c>
      <c r="B997" t="inlineStr">
        <is>
          <t>avverkningsanmälan</t>
        </is>
      </c>
      <c r="C997" t="inlineStr">
        <is>
          <t>Föryngringsavverkning</t>
        </is>
      </c>
      <c r="D997" s="1" t="n">
        <v>44503</v>
      </c>
      <c r="E997" s="1" t="n">
        <v>46307</v>
      </c>
      <c r="F997" t="inlineStr">
        <is>
          <t>VÄRMLANDS LÄN</t>
        </is>
      </c>
      <c r="G997" t="inlineStr">
        <is>
          <t>SUNNE</t>
        </is>
      </c>
      <c r="I997" t="n">
        <v>0.9</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70254-2021</t>
        </is>
      </c>
      <c r="B998" t="inlineStr">
        <is>
          <t>avverkningsanmälan</t>
        </is>
      </c>
      <c r="C998" t="inlineStr">
        <is>
          <t>Avverkning för annat ändamål</t>
        </is>
      </c>
      <c r="D998" s="1" t="n">
        <v>44536</v>
      </c>
      <c r="E998" s="1" t="n">
        <v>46307</v>
      </c>
      <c r="F998" t="inlineStr">
        <is>
          <t>VÄRMLANDS LÄN</t>
        </is>
      </c>
      <c r="G998" t="inlineStr">
        <is>
          <t>KARLSTAD</t>
        </is>
      </c>
      <c r="I998" t="n">
        <v>0.5</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62603-2021</t>
        </is>
      </c>
      <c r="B999" t="inlineStr">
        <is>
          <t>avverkningsanmälan</t>
        </is>
      </c>
      <c r="C999" t="inlineStr">
        <is>
          <t>Föryngringsavverkning</t>
        </is>
      </c>
      <c r="D999" s="1" t="n">
        <v>44503</v>
      </c>
      <c r="E999" s="1" t="n">
        <v>46307</v>
      </c>
      <c r="F999" t="inlineStr">
        <is>
          <t>VÄRMLANDS LÄN</t>
        </is>
      </c>
      <c r="G999" t="inlineStr">
        <is>
          <t>ARVIKA</t>
        </is>
      </c>
      <c r="I999" t="n">
        <v>1.2</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62612-2021</t>
        </is>
      </c>
      <c r="B1000" t="inlineStr">
        <is>
          <t>avverkningsanmälan</t>
        </is>
      </c>
      <c r="C1000" t="inlineStr">
        <is>
          <t>Föryngringsavverkning</t>
        </is>
      </c>
      <c r="D1000" s="1" t="n">
        <v>44503</v>
      </c>
      <c r="E1000" s="1" t="n">
        <v>46307</v>
      </c>
      <c r="F1000" t="inlineStr">
        <is>
          <t>VÄRMLANDS LÄN</t>
        </is>
      </c>
      <c r="G1000" t="inlineStr">
        <is>
          <t>ARVIKA</t>
        </is>
      </c>
      <c r="I1000" t="n">
        <v>0.7</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34900-2022</t>
        </is>
      </c>
      <c r="B1001" t="inlineStr">
        <is>
          <t>avverkningsanmälan</t>
        </is>
      </c>
      <c r="C1001" t="inlineStr">
        <is>
          <t>Föryngringsavverkning</t>
        </is>
      </c>
      <c r="D1001" s="1" t="n">
        <v>44796</v>
      </c>
      <c r="E1001" s="1" t="n">
        <v>46307</v>
      </c>
      <c r="F1001" t="inlineStr">
        <is>
          <t>VÄRMLANDS LÄN</t>
        </is>
      </c>
      <c r="G1001" t="inlineStr">
        <is>
          <t>SUNNE</t>
        </is>
      </c>
      <c r="I1001" t="n">
        <v>0.9</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20382-2022</t>
        </is>
      </c>
      <c r="B1002" t="inlineStr">
        <is>
          <t>avverkningsanmälan</t>
        </is>
      </c>
      <c r="C1002" t="inlineStr">
        <is>
          <t>Föryngringsavverkning</t>
        </is>
      </c>
      <c r="D1002" s="1" t="n">
        <v>44699</v>
      </c>
      <c r="E1002" s="1" t="n">
        <v>46307</v>
      </c>
      <c r="F1002" t="inlineStr">
        <is>
          <t>VÄRMLANDS LÄN</t>
        </is>
      </c>
      <c r="G1002" t="inlineStr">
        <is>
          <t>TORSBY</t>
        </is>
      </c>
      <c r="I1002" t="n">
        <v>14.3</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69974-2021</t>
        </is>
      </c>
      <c r="B1003" t="inlineStr">
        <is>
          <t>avverkningsanmälan</t>
        </is>
      </c>
      <c r="C1003" t="inlineStr">
        <is>
          <t>Föryngringsavverkning</t>
        </is>
      </c>
      <c r="D1003" s="1" t="n">
        <v>44533</v>
      </c>
      <c r="E1003" s="1" t="n">
        <v>46307</v>
      </c>
      <c r="F1003" t="inlineStr">
        <is>
          <t>VÄRMLANDS LÄN</t>
        </is>
      </c>
      <c r="G1003" t="inlineStr">
        <is>
          <t>TORSBY</t>
        </is>
      </c>
      <c r="I1003" t="n">
        <v>1.8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11746-2022</t>
        </is>
      </c>
      <c r="B1004" t="inlineStr">
        <is>
          <t>avverkningsanmälan</t>
        </is>
      </c>
      <c r="C1004" t="inlineStr">
        <is>
          <t>Föryngringsavverkning</t>
        </is>
      </c>
      <c r="D1004" s="1" t="n">
        <v>44634</v>
      </c>
      <c r="E1004" s="1" t="n">
        <v>46307</v>
      </c>
      <c r="F1004" t="inlineStr">
        <is>
          <t>VÄRMLANDS LÄN</t>
        </is>
      </c>
      <c r="G1004" t="inlineStr">
        <is>
          <t>KRISTINEHAMN</t>
        </is>
      </c>
      <c r="I1004" t="n">
        <v>4.5</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74059-2021</t>
        </is>
      </c>
      <c r="B1005" t="inlineStr">
        <is>
          <t>avverkningsanmälan</t>
        </is>
      </c>
      <c r="C1005" t="inlineStr">
        <is>
          <t>Föryngringsavverkning</t>
        </is>
      </c>
      <c r="D1005" s="1" t="n">
        <v>44557</v>
      </c>
      <c r="E1005" s="1" t="n">
        <v>46307</v>
      </c>
      <c r="F1005" t="inlineStr">
        <is>
          <t>VÄRMLANDS LÄN</t>
        </is>
      </c>
      <c r="G1005" t="inlineStr">
        <is>
          <t>SUNNE</t>
        </is>
      </c>
      <c r="I1005" t="n">
        <v>1.8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74087-2021</t>
        </is>
      </c>
      <c r="B1006" t="inlineStr">
        <is>
          <t>avverkningsanmälan</t>
        </is>
      </c>
      <c r="C1006" t="inlineStr">
        <is>
          <t>Föryngringsavverkning</t>
        </is>
      </c>
      <c r="D1006" s="1" t="n">
        <v>44557</v>
      </c>
      <c r="E1006" s="1" t="n">
        <v>46307</v>
      </c>
      <c r="F1006" t="inlineStr">
        <is>
          <t>VÄRMLANDS LÄN</t>
        </is>
      </c>
      <c r="G1006" t="inlineStr">
        <is>
          <t>ÅRJÄNG</t>
        </is>
      </c>
      <c r="I1006" t="n">
        <v>1.8</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11934-2022</t>
        </is>
      </c>
      <c r="B1007" t="inlineStr">
        <is>
          <t>avverkningsanmälan</t>
        </is>
      </c>
      <c r="C1007" t="inlineStr">
        <is>
          <t>Föryngringsavverkning</t>
        </is>
      </c>
      <c r="D1007" s="1" t="n">
        <v>44635</v>
      </c>
      <c r="E1007" s="1" t="n">
        <v>46307</v>
      </c>
      <c r="F1007" t="inlineStr">
        <is>
          <t>VÄRMLANDS LÄN</t>
        </is>
      </c>
      <c r="G1007" t="inlineStr">
        <is>
          <t>ÅRJÄNG</t>
        </is>
      </c>
      <c r="I1007" t="n">
        <v>0.9</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5830-2022</t>
        </is>
      </c>
      <c r="B1008" t="inlineStr">
        <is>
          <t>avverkningsanmälan</t>
        </is>
      </c>
      <c r="C1008" t="inlineStr">
        <is>
          <t>Föryngringsavverkning</t>
        </is>
      </c>
      <c r="D1008" s="1" t="n">
        <v>44596</v>
      </c>
      <c r="E1008" s="1" t="n">
        <v>46307</v>
      </c>
      <c r="F1008" t="inlineStr">
        <is>
          <t>VÄRMLANDS LÄN</t>
        </is>
      </c>
      <c r="G1008" t="inlineStr">
        <is>
          <t>ÅRJÄNG</t>
        </is>
      </c>
      <c r="I1008" t="n">
        <v>0.7</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15932-2022</t>
        </is>
      </c>
      <c r="B1009" t="inlineStr">
        <is>
          <t>avverkningsanmälan</t>
        </is>
      </c>
      <c r="C1009" t="inlineStr">
        <is>
          <t>Föryngringsavverkning</t>
        </is>
      </c>
      <c r="D1009" s="1" t="n">
        <v>44664</v>
      </c>
      <c r="E1009" s="1" t="n">
        <v>46307</v>
      </c>
      <c r="F1009" t="inlineStr">
        <is>
          <t>VÄRMLANDS LÄN</t>
        </is>
      </c>
      <c r="G1009" t="inlineStr">
        <is>
          <t>FILIPSTAD</t>
        </is>
      </c>
      <c r="H1009" t="inlineStr">
        <is>
          <t>Bergvik skog väst AB</t>
        </is>
      </c>
      <c r="I1009" t="n">
        <v>11.5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30450-2022</t>
        </is>
      </c>
      <c r="B1010" t="inlineStr">
        <is>
          <t>avverkningsanmälan</t>
        </is>
      </c>
      <c r="C1010" t="inlineStr">
        <is>
          <t>Föryngringsavverkning</t>
        </is>
      </c>
      <c r="D1010" s="1" t="n">
        <v>44761</v>
      </c>
      <c r="E1010" s="1" t="n">
        <v>46307</v>
      </c>
      <c r="F1010" t="inlineStr">
        <is>
          <t>VÄRMLANDS LÄN</t>
        </is>
      </c>
      <c r="G1010" t="inlineStr">
        <is>
          <t>ÅRJÄNG</t>
        </is>
      </c>
      <c r="I1010" t="n">
        <v>1.5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17352-2022</t>
        </is>
      </c>
      <c r="B1011" t="inlineStr">
        <is>
          <t>avverkningsanmälan</t>
        </is>
      </c>
      <c r="C1011" t="inlineStr">
        <is>
          <t>Föryngringsavverkning</t>
        </is>
      </c>
      <c r="D1011" s="1" t="n">
        <v>44678</v>
      </c>
      <c r="E1011" s="1" t="n">
        <v>46307</v>
      </c>
      <c r="F1011" t="inlineStr">
        <is>
          <t>VÄRMLANDS LÄN</t>
        </is>
      </c>
      <c r="G1011" t="inlineStr">
        <is>
          <t>ÅRJÄNG</t>
        </is>
      </c>
      <c r="I1011" t="n">
        <v>1.6</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22150-2022</t>
        </is>
      </c>
      <c r="B1012" t="inlineStr">
        <is>
          <t>avverkningsanmälan</t>
        </is>
      </c>
      <c r="C1012" t="inlineStr">
        <is>
          <t>Föryngringsavverkning</t>
        </is>
      </c>
      <c r="D1012" s="1" t="n">
        <v>44712</v>
      </c>
      <c r="E1012" s="1" t="n">
        <v>46307</v>
      </c>
      <c r="F1012" t="inlineStr">
        <is>
          <t>VÄRMLANDS LÄN</t>
        </is>
      </c>
      <c r="G1012" t="inlineStr">
        <is>
          <t>EDA</t>
        </is>
      </c>
      <c r="I1012" t="n">
        <v>6.3</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6541-2022</t>
        </is>
      </c>
      <c r="B1013" t="inlineStr">
        <is>
          <t>avverkningsanmälan</t>
        </is>
      </c>
      <c r="C1013" t="inlineStr">
        <is>
          <t>Föryngringsavverkning</t>
        </is>
      </c>
      <c r="D1013" s="1" t="n">
        <v>44601</v>
      </c>
      <c r="E1013" s="1" t="n">
        <v>46307</v>
      </c>
      <c r="F1013" t="inlineStr">
        <is>
          <t>VÄRMLANDS LÄN</t>
        </is>
      </c>
      <c r="G1013" t="inlineStr">
        <is>
          <t>ÅRJÄNG</t>
        </is>
      </c>
      <c r="I1013" t="n">
        <v>1.2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28392-2022</t>
        </is>
      </c>
      <c r="B1014" t="inlineStr">
        <is>
          <t>avverkningsanmälan</t>
        </is>
      </c>
      <c r="C1014" t="inlineStr">
        <is>
          <t>Föryngringsavverkning</t>
        </is>
      </c>
      <c r="D1014" s="1" t="n">
        <v>44747</v>
      </c>
      <c r="E1014" s="1" t="n">
        <v>46307</v>
      </c>
      <c r="F1014" t="inlineStr">
        <is>
          <t>VÄRMLANDS LÄN</t>
        </is>
      </c>
      <c r="G1014" t="inlineStr">
        <is>
          <t>SUNNE</t>
        </is>
      </c>
      <c r="I1014" t="n">
        <v>0.3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26045-2022</t>
        </is>
      </c>
      <c r="B1015" t="inlineStr">
        <is>
          <t>avverkningsanmälan</t>
        </is>
      </c>
      <c r="C1015" t="inlineStr">
        <is>
          <t>Föryngringsavverkning</t>
        </is>
      </c>
      <c r="D1015" s="1" t="n">
        <v>44734</v>
      </c>
      <c r="E1015" s="1" t="n">
        <v>46307</v>
      </c>
      <c r="F1015" t="inlineStr">
        <is>
          <t>VÄRMLANDS LÄN</t>
        </is>
      </c>
      <c r="G1015" t="inlineStr">
        <is>
          <t>KRISTINEHAMN</t>
        </is>
      </c>
      <c r="I1015" t="n">
        <v>0.5</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9349-2022</t>
        </is>
      </c>
      <c r="B1016" t="inlineStr">
        <is>
          <t>avverkningsanmälan</t>
        </is>
      </c>
      <c r="C1016" t="inlineStr">
        <is>
          <t>Föryngringsavverkning</t>
        </is>
      </c>
      <c r="D1016" s="1" t="n">
        <v>44616</v>
      </c>
      <c r="E1016" s="1" t="n">
        <v>46307</v>
      </c>
      <c r="F1016" t="inlineStr">
        <is>
          <t>VÄRMLANDS LÄN</t>
        </is>
      </c>
      <c r="G1016" t="inlineStr">
        <is>
          <t>FORSHAGA</t>
        </is>
      </c>
      <c r="I1016" t="n">
        <v>2.6</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56273-2021</t>
        </is>
      </c>
      <c r="B1017" t="inlineStr">
        <is>
          <t>avverkningsanmälan</t>
        </is>
      </c>
      <c r="C1017" t="inlineStr">
        <is>
          <t>Föryngringsavverkning</t>
        </is>
      </c>
      <c r="D1017" s="1" t="n">
        <v>44479</v>
      </c>
      <c r="E1017" s="1" t="n">
        <v>46307</v>
      </c>
      <c r="F1017" t="inlineStr">
        <is>
          <t>VÄRMLANDS LÄN</t>
        </is>
      </c>
      <c r="G1017" t="inlineStr">
        <is>
          <t>EDA</t>
        </is>
      </c>
      <c r="I1017" t="n">
        <v>1</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68728-2021</t>
        </is>
      </c>
      <c r="B1018" t="inlineStr">
        <is>
          <t>avverkningsanmälan</t>
        </is>
      </c>
      <c r="C1018" t="inlineStr">
        <is>
          <t>Föryngringsavverkning</t>
        </is>
      </c>
      <c r="D1018" s="1" t="n">
        <v>44529</v>
      </c>
      <c r="E1018" s="1" t="n">
        <v>46307</v>
      </c>
      <c r="F1018" t="inlineStr">
        <is>
          <t>VÄRMLANDS LÄN</t>
        </is>
      </c>
      <c r="G1018" t="inlineStr">
        <is>
          <t>KIL</t>
        </is>
      </c>
      <c r="I1018" t="n">
        <v>6.3</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33951-2022</t>
        </is>
      </c>
      <c r="B1019" t="inlineStr">
        <is>
          <t>avverkningsanmälan</t>
        </is>
      </c>
      <c r="C1019" t="inlineStr">
        <is>
          <t>Föryngringsavverkning</t>
        </is>
      </c>
      <c r="D1019" s="1" t="n">
        <v>44790</v>
      </c>
      <c r="E1019" s="1" t="n">
        <v>46307</v>
      </c>
      <c r="F1019" t="inlineStr">
        <is>
          <t>VÄRMLANDS LÄN</t>
        </is>
      </c>
      <c r="G1019" t="inlineStr">
        <is>
          <t>FORSHAGA</t>
        </is>
      </c>
      <c r="I1019" t="n">
        <v>0.6</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11037-2022</t>
        </is>
      </c>
      <c r="B1020" t="inlineStr">
        <is>
          <t>avverkningsanmälan</t>
        </is>
      </c>
      <c r="C1020" t="inlineStr">
        <is>
          <t>Föryngringsavverkning</t>
        </is>
      </c>
      <c r="D1020" s="1" t="n">
        <v>44628</v>
      </c>
      <c r="E1020" s="1" t="n">
        <v>46307</v>
      </c>
      <c r="F1020" t="inlineStr">
        <is>
          <t>VÄRMLANDS LÄN</t>
        </is>
      </c>
      <c r="G1020" t="inlineStr">
        <is>
          <t>ÅRJÄNG</t>
        </is>
      </c>
      <c r="I1020" t="n">
        <v>1</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8292-2022</t>
        </is>
      </c>
      <c r="B1021" t="inlineStr">
        <is>
          <t>avverkningsanmälan</t>
        </is>
      </c>
      <c r="C1021" t="inlineStr">
        <is>
          <t>Föryngringsavverkning</t>
        </is>
      </c>
      <c r="D1021" s="1" t="n">
        <v>44609</v>
      </c>
      <c r="E1021" s="1" t="n">
        <v>46307</v>
      </c>
      <c r="F1021" t="inlineStr">
        <is>
          <t>VÄRMLANDS LÄN</t>
        </is>
      </c>
      <c r="G1021" t="inlineStr">
        <is>
          <t>ÅRJÄNG</t>
        </is>
      </c>
      <c r="I1021" t="n">
        <v>3.2</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70241-2021</t>
        </is>
      </c>
      <c r="B1022" t="inlineStr">
        <is>
          <t>avverkningsanmälan</t>
        </is>
      </c>
      <c r="C1022" t="inlineStr">
        <is>
          <t>Föryngringsavverkning</t>
        </is>
      </c>
      <c r="D1022" s="1" t="n">
        <v>44536</v>
      </c>
      <c r="E1022" s="1" t="n">
        <v>46307</v>
      </c>
      <c r="F1022" t="inlineStr">
        <is>
          <t>VÄRMLANDS LÄN</t>
        </is>
      </c>
      <c r="G1022" t="inlineStr">
        <is>
          <t>TORSBY</t>
        </is>
      </c>
      <c r="H1022" t="inlineStr">
        <is>
          <t>Bergvik skog väst AB</t>
        </is>
      </c>
      <c r="I1022" t="n">
        <v>0.4</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5415-2022</t>
        </is>
      </c>
      <c r="B1023" t="inlineStr">
        <is>
          <t>avverkningsanmälan</t>
        </is>
      </c>
      <c r="C1023" t="inlineStr">
        <is>
          <t>Föryngringsavverkning</t>
        </is>
      </c>
      <c r="D1023" s="1" t="n">
        <v>44594</v>
      </c>
      <c r="E1023" s="1" t="n">
        <v>46307</v>
      </c>
      <c r="F1023" t="inlineStr">
        <is>
          <t>VÄRMLANDS LÄN</t>
        </is>
      </c>
      <c r="G1023" t="inlineStr">
        <is>
          <t>KIL</t>
        </is>
      </c>
      <c r="I1023" t="n">
        <v>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2988-2022</t>
        </is>
      </c>
      <c r="B1024" t="inlineStr">
        <is>
          <t>avverkningsanmälan</t>
        </is>
      </c>
      <c r="C1024" t="inlineStr">
        <is>
          <t>Föryngringsavverkning</t>
        </is>
      </c>
      <c r="D1024" s="1" t="n">
        <v>44581</v>
      </c>
      <c r="E1024" s="1" t="n">
        <v>46307</v>
      </c>
      <c r="F1024" t="inlineStr">
        <is>
          <t>VÄRMLANDS LÄN</t>
        </is>
      </c>
      <c r="G1024" t="inlineStr">
        <is>
          <t>SÄFFLE</t>
        </is>
      </c>
      <c r="I1024" t="n">
        <v>10.4</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48328-2022</t>
        </is>
      </c>
      <c r="B1025" t="inlineStr">
        <is>
          <t>avverkningsanmälan</t>
        </is>
      </c>
      <c r="C1025" t="inlineStr">
        <is>
          <t>Föryngringsavverkning</t>
        </is>
      </c>
      <c r="D1025" s="1" t="n">
        <v>44853</v>
      </c>
      <c r="E1025" s="1" t="n">
        <v>46307</v>
      </c>
      <c r="F1025" t="inlineStr">
        <is>
          <t>VÄRMLANDS LÄN</t>
        </is>
      </c>
      <c r="G1025" t="inlineStr">
        <is>
          <t>TORSBY</t>
        </is>
      </c>
      <c r="I1025" t="n">
        <v>0.4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29717-2022</t>
        </is>
      </c>
      <c r="B1026" t="inlineStr">
        <is>
          <t>avverkningsanmälan</t>
        </is>
      </c>
      <c r="C1026" t="inlineStr">
        <is>
          <t>Föryngringsavverkning</t>
        </is>
      </c>
      <c r="D1026" s="1" t="n">
        <v>44755</v>
      </c>
      <c r="E1026" s="1" t="n">
        <v>46307</v>
      </c>
      <c r="F1026" t="inlineStr">
        <is>
          <t>VÄRMLANDS LÄN</t>
        </is>
      </c>
      <c r="G1026" t="inlineStr">
        <is>
          <t>TORSBY</t>
        </is>
      </c>
      <c r="I1026" t="n">
        <v>0.9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29721-2022</t>
        </is>
      </c>
      <c r="B1027" t="inlineStr">
        <is>
          <t>avverkningsanmälan</t>
        </is>
      </c>
      <c r="C1027" t="inlineStr">
        <is>
          <t>Föryngringsavverkning</t>
        </is>
      </c>
      <c r="D1027" s="1" t="n">
        <v>44755</v>
      </c>
      <c r="E1027" s="1" t="n">
        <v>46307</v>
      </c>
      <c r="F1027" t="inlineStr">
        <is>
          <t>VÄRMLANDS LÄN</t>
        </is>
      </c>
      <c r="G1027" t="inlineStr">
        <is>
          <t>TORSBY</t>
        </is>
      </c>
      <c r="I1027" t="n">
        <v>1.3</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57382-2021</t>
        </is>
      </c>
      <c r="B1028" t="inlineStr">
        <is>
          <t>avverkningsanmälan</t>
        </is>
      </c>
      <c r="C1028" t="inlineStr">
        <is>
          <t>Föryngringsavverkning</t>
        </is>
      </c>
      <c r="D1028" s="1" t="n">
        <v>44483</v>
      </c>
      <c r="E1028" s="1" t="n">
        <v>46307</v>
      </c>
      <c r="F1028" t="inlineStr">
        <is>
          <t>VÄRMLANDS LÄN</t>
        </is>
      </c>
      <c r="G1028" t="inlineStr">
        <is>
          <t>SUNNE</t>
        </is>
      </c>
      <c r="I1028" t="n">
        <v>1.3</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34652-2022</t>
        </is>
      </c>
      <c r="B1029" t="inlineStr">
        <is>
          <t>avverkningsanmälan</t>
        </is>
      </c>
      <c r="C1029" t="inlineStr">
        <is>
          <t>Föryngringsavverkning</t>
        </is>
      </c>
      <c r="D1029" s="1" t="n">
        <v>44795</v>
      </c>
      <c r="E1029" s="1" t="n">
        <v>46307</v>
      </c>
      <c r="F1029" t="inlineStr">
        <is>
          <t>VÄRMLANDS LÄN</t>
        </is>
      </c>
      <c r="G1029" t="inlineStr">
        <is>
          <t>GRUMS</t>
        </is>
      </c>
      <c r="I1029" t="n">
        <v>1.2</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9319-2022</t>
        </is>
      </c>
      <c r="B1030" t="inlineStr">
        <is>
          <t>avverkningsanmälan</t>
        </is>
      </c>
      <c r="C1030" t="inlineStr">
        <is>
          <t>Föryngringsavverkning</t>
        </is>
      </c>
      <c r="D1030" s="1" t="n">
        <v>44616</v>
      </c>
      <c r="E1030" s="1" t="n">
        <v>46307</v>
      </c>
      <c r="F1030" t="inlineStr">
        <is>
          <t>VÄRMLANDS LÄN</t>
        </is>
      </c>
      <c r="G1030" t="inlineStr">
        <is>
          <t>ARVIKA</t>
        </is>
      </c>
      <c r="I1030" t="n">
        <v>0.6</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32443-2022</t>
        </is>
      </c>
      <c r="B1031" t="inlineStr">
        <is>
          <t>avverkningsanmälan</t>
        </is>
      </c>
      <c r="C1031" t="inlineStr">
        <is>
          <t>Föryngringsavverkning</t>
        </is>
      </c>
      <c r="D1031" s="1" t="n">
        <v>44782</v>
      </c>
      <c r="E1031" s="1" t="n">
        <v>46307</v>
      </c>
      <c r="F1031" t="inlineStr">
        <is>
          <t>VÄRMLANDS LÄN</t>
        </is>
      </c>
      <c r="G1031" t="inlineStr">
        <is>
          <t>GRUMS</t>
        </is>
      </c>
      <c r="I1031" t="n">
        <v>1.9</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22823-2022</t>
        </is>
      </c>
      <c r="B1032" t="inlineStr">
        <is>
          <t>avverkningsanmälan</t>
        </is>
      </c>
      <c r="C1032" t="inlineStr">
        <is>
          <t>Föryngringsavverkning</t>
        </is>
      </c>
      <c r="D1032" s="1" t="n">
        <v>44714</v>
      </c>
      <c r="E1032" s="1" t="n">
        <v>46307</v>
      </c>
      <c r="F1032" t="inlineStr">
        <is>
          <t>VÄRMLANDS LÄN</t>
        </is>
      </c>
      <c r="G1032" t="inlineStr">
        <is>
          <t>TORSBY</t>
        </is>
      </c>
      <c r="I1032" t="n">
        <v>4</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37085-2022</t>
        </is>
      </c>
      <c r="B1033" t="inlineStr">
        <is>
          <t>avverkningsanmälan</t>
        </is>
      </c>
      <c r="C1033" t="inlineStr">
        <is>
          <t>Föryngringsavverkning</t>
        </is>
      </c>
      <c r="D1033" s="1" t="n">
        <v>44806</v>
      </c>
      <c r="E1033" s="1" t="n">
        <v>46307</v>
      </c>
      <c r="F1033" t="inlineStr">
        <is>
          <t>VÄRMLANDS LÄN</t>
        </is>
      </c>
      <c r="G1033" t="inlineStr">
        <is>
          <t>ARVIKA</t>
        </is>
      </c>
      <c r="I1033" t="n">
        <v>0.4</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56272-2021</t>
        </is>
      </c>
      <c r="B1034" t="inlineStr">
        <is>
          <t>avverkningsanmälan</t>
        </is>
      </c>
      <c r="C1034" t="inlineStr">
        <is>
          <t>Föryngringsavverkning</t>
        </is>
      </c>
      <c r="D1034" s="1" t="n">
        <v>44479</v>
      </c>
      <c r="E1034" s="1" t="n">
        <v>46307</v>
      </c>
      <c r="F1034" t="inlineStr">
        <is>
          <t>VÄRMLANDS LÄN</t>
        </is>
      </c>
      <c r="G1034" t="inlineStr">
        <is>
          <t>EDA</t>
        </is>
      </c>
      <c r="I1034" t="n">
        <v>2.5</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21521-2022</t>
        </is>
      </c>
      <c r="B1035" t="inlineStr">
        <is>
          <t>avverkningsanmälan</t>
        </is>
      </c>
      <c r="C1035" t="inlineStr">
        <is>
          <t>Avverkning för annat ändamål</t>
        </is>
      </c>
      <c r="D1035" s="1" t="n">
        <v>44706</v>
      </c>
      <c r="E1035" s="1" t="n">
        <v>46307</v>
      </c>
      <c r="F1035" t="inlineStr">
        <is>
          <t>VÄRMLANDS LÄN</t>
        </is>
      </c>
      <c r="G1035" t="inlineStr">
        <is>
          <t>TORSBY</t>
        </is>
      </c>
      <c r="I1035" t="n">
        <v>0.1</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47045-2022</t>
        </is>
      </c>
      <c r="B1036" t="inlineStr">
        <is>
          <t>avverkningsanmälan</t>
        </is>
      </c>
      <c r="C1036" t="inlineStr">
        <is>
          <t>Avverkning för annat ändamål</t>
        </is>
      </c>
      <c r="D1036" s="1" t="n">
        <v>44852</v>
      </c>
      <c r="E1036" s="1" t="n">
        <v>46307</v>
      </c>
      <c r="F1036" t="inlineStr">
        <is>
          <t>VÄRMLANDS LÄN</t>
        </is>
      </c>
      <c r="G1036" t="inlineStr">
        <is>
          <t>EDA</t>
        </is>
      </c>
      <c r="I1036" t="n">
        <v>0.6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4942-2022</t>
        </is>
      </c>
      <c r="B1037" t="inlineStr">
        <is>
          <t>avverkningsanmälan</t>
        </is>
      </c>
      <c r="C1037" t="inlineStr">
        <is>
          <t>Föryngringsavverkning</t>
        </is>
      </c>
      <c r="D1037" s="1" t="n">
        <v>44593</v>
      </c>
      <c r="E1037" s="1" t="n">
        <v>46307</v>
      </c>
      <c r="F1037" t="inlineStr">
        <is>
          <t>VÄRMLANDS LÄN</t>
        </is>
      </c>
      <c r="G1037" t="inlineStr">
        <is>
          <t>ÅRJÄNG</t>
        </is>
      </c>
      <c r="I1037" t="n">
        <v>1.6</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41228-2022</t>
        </is>
      </c>
      <c r="B1038" t="inlineStr">
        <is>
          <t>avverkningsanmälan</t>
        </is>
      </c>
      <c r="C1038" t="inlineStr">
        <is>
          <t>Föryngringsavverkning</t>
        </is>
      </c>
      <c r="D1038" s="1" t="n">
        <v>44826</v>
      </c>
      <c r="E1038" s="1" t="n">
        <v>46307</v>
      </c>
      <c r="F1038" t="inlineStr">
        <is>
          <t>VÄRMLANDS LÄN</t>
        </is>
      </c>
      <c r="G1038" t="inlineStr">
        <is>
          <t>ÅRJÄNG</t>
        </is>
      </c>
      <c r="I1038" t="n">
        <v>3.6</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58460-2021</t>
        </is>
      </c>
      <c r="B1039" t="inlineStr">
        <is>
          <t>avverkningsanmälan</t>
        </is>
      </c>
      <c r="C1039" t="inlineStr">
        <is>
          <t>Avverkning för att bevara och utveckla /försöksver</t>
        </is>
      </c>
      <c r="D1039" s="1" t="n">
        <v>44488</v>
      </c>
      <c r="E1039" s="1" t="n">
        <v>46307</v>
      </c>
      <c r="F1039" t="inlineStr">
        <is>
          <t>VÄRMLANDS LÄN</t>
        </is>
      </c>
      <c r="G1039" t="inlineStr">
        <is>
          <t>SÄFFLE</t>
        </is>
      </c>
      <c r="I1039" t="n">
        <v>2.1</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65271-2021</t>
        </is>
      </c>
      <c r="B1040" t="inlineStr">
        <is>
          <t>avverkningsanmälan</t>
        </is>
      </c>
      <c r="C1040" t="inlineStr">
        <is>
          <t>Föryngringsavverkning</t>
        </is>
      </c>
      <c r="D1040" s="1" t="n">
        <v>44515</v>
      </c>
      <c r="E1040" s="1" t="n">
        <v>46307</v>
      </c>
      <c r="F1040" t="inlineStr">
        <is>
          <t>VÄRMLANDS LÄN</t>
        </is>
      </c>
      <c r="G1040" t="inlineStr">
        <is>
          <t>KIL</t>
        </is>
      </c>
      <c r="I1040" t="n">
        <v>1</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37222-2022</t>
        </is>
      </c>
      <c r="B1041" t="inlineStr">
        <is>
          <t>avverkningsanmälan</t>
        </is>
      </c>
      <c r="C1041" t="inlineStr">
        <is>
          <t>Föryngringsavverkning</t>
        </is>
      </c>
      <c r="D1041" s="1" t="n">
        <v>44806</v>
      </c>
      <c r="E1041" s="1" t="n">
        <v>46307</v>
      </c>
      <c r="F1041" t="inlineStr">
        <is>
          <t>VÄRMLANDS LÄN</t>
        </is>
      </c>
      <c r="G1041" t="inlineStr">
        <is>
          <t>SUNNE</t>
        </is>
      </c>
      <c r="I1041" t="n">
        <v>2</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35667-2022</t>
        </is>
      </c>
      <c r="B1042" t="inlineStr">
        <is>
          <t>avverkningsanmälan</t>
        </is>
      </c>
      <c r="C1042" t="inlineStr">
        <is>
          <t>Föryngringsavverkning</t>
        </is>
      </c>
      <c r="D1042" s="1" t="n">
        <v>44799</v>
      </c>
      <c r="E1042" s="1" t="n">
        <v>46307</v>
      </c>
      <c r="F1042" t="inlineStr">
        <is>
          <t>VÄRMLANDS LÄN</t>
        </is>
      </c>
      <c r="G1042" t="inlineStr">
        <is>
          <t>ARVIKA</t>
        </is>
      </c>
      <c r="I1042" t="n">
        <v>0.9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4740-2022</t>
        </is>
      </c>
      <c r="B1043" t="inlineStr">
        <is>
          <t>avverkningsanmälan</t>
        </is>
      </c>
      <c r="C1043" t="inlineStr">
        <is>
          <t>Föryngringsavverkning</t>
        </is>
      </c>
      <c r="D1043" s="1" t="n">
        <v>44592</v>
      </c>
      <c r="E1043" s="1" t="n">
        <v>46307</v>
      </c>
      <c r="F1043" t="inlineStr">
        <is>
          <t>VÄRMLANDS LÄN</t>
        </is>
      </c>
      <c r="G1043" t="inlineStr">
        <is>
          <t>ARVIKA</t>
        </is>
      </c>
      <c r="I1043" t="n">
        <v>0.6</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23095-2022</t>
        </is>
      </c>
      <c r="B1044" t="inlineStr">
        <is>
          <t>avverkningsanmälan</t>
        </is>
      </c>
      <c r="C1044" t="inlineStr">
        <is>
          <t>Föryngringsavverkning</t>
        </is>
      </c>
      <c r="D1044" s="1" t="n">
        <v>44719</v>
      </c>
      <c r="E1044" s="1" t="n">
        <v>46307</v>
      </c>
      <c r="F1044" t="inlineStr">
        <is>
          <t>VÄRMLANDS LÄN</t>
        </is>
      </c>
      <c r="G1044" t="inlineStr">
        <is>
          <t>SÄFFLE</t>
        </is>
      </c>
      <c r="I1044" t="n">
        <v>3.4</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49012-2022</t>
        </is>
      </c>
      <c r="B1045" t="inlineStr">
        <is>
          <t>avverkningsanmälan</t>
        </is>
      </c>
      <c r="C1045" t="inlineStr">
        <is>
          <t>Föryngringsavverkning</t>
        </is>
      </c>
      <c r="D1045" s="1" t="n">
        <v>44855</v>
      </c>
      <c r="E1045" s="1" t="n">
        <v>46307</v>
      </c>
      <c r="F1045" t="inlineStr">
        <is>
          <t>VÄRMLANDS LÄN</t>
        </is>
      </c>
      <c r="G1045" t="inlineStr">
        <is>
          <t>ARVIKA</t>
        </is>
      </c>
      <c r="I1045" t="n">
        <v>2.6</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13999-2022</t>
        </is>
      </c>
      <c r="B1046" t="inlineStr">
        <is>
          <t>avverkningsanmälan</t>
        </is>
      </c>
      <c r="C1046" t="inlineStr">
        <is>
          <t>Föryngringsavverkning</t>
        </is>
      </c>
      <c r="D1046" s="1" t="n">
        <v>44650</v>
      </c>
      <c r="E1046" s="1" t="n">
        <v>46307</v>
      </c>
      <c r="F1046" t="inlineStr">
        <is>
          <t>VÄRMLANDS LÄN</t>
        </is>
      </c>
      <c r="G1046" t="inlineStr">
        <is>
          <t>KARLSTAD</t>
        </is>
      </c>
      <c r="I1046" t="n">
        <v>1.3</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46668-2022</t>
        </is>
      </c>
      <c r="B1047" t="inlineStr">
        <is>
          <t>avverkningsanmälan</t>
        </is>
      </c>
      <c r="C1047" t="inlineStr">
        <is>
          <t>Föryngringsavverkning</t>
        </is>
      </c>
      <c r="D1047" s="1" t="n">
        <v>44851</v>
      </c>
      <c r="E1047" s="1" t="n">
        <v>46307</v>
      </c>
      <c r="F1047" t="inlineStr">
        <is>
          <t>VÄRMLANDS LÄN</t>
        </is>
      </c>
      <c r="G1047" t="inlineStr">
        <is>
          <t>KRISTINEHAMN</t>
        </is>
      </c>
      <c r="I1047" t="n">
        <v>0.5</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63527-2021</t>
        </is>
      </c>
      <c r="B1048" t="inlineStr">
        <is>
          <t>avverkningsanmälan</t>
        </is>
      </c>
      <c r="C1048" t="inlineStr">
        <is>
          <t>Föryngringsavverkning</t>
        </is>
      </c>
      <c r="D1048" s="1" t="n">
        <v>44508</v>
      </c>
      <c r="E1048" s="1" t="n">
        <v>46307</v>
      </c>
      <c r="F1048" t="inlineStr">
        <is>
          <t>VÄRMLANDS LÄN</t>
        </is>
      </c>
      <c r="G1048" t="inlineStr">
        <is>
          <t>TORSBY</t>
        </is>
      </c>
      <c r="I1048" t="n">
        <v>1.5</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1256-2022</t>
        </is>
      </c>
      <c r="B1049" t="inlineStr">
        <is>
          <t>avverkningsanmälan</t>
        </is>
      </c>
      <c r="C1049" t="inlineStr">
        <is>
          <t>Föryngringsavverkning</t>
        </is>
      </c>
      <c r="D1049" s="1" t="n">
        <v>44572</v>
      </c>
      <c r="E1049" s="1" t="n">
        <v>46307</v>
      </c>
      <c r="F1049" t="inlineStr">
        <is>
          <t>VÄRMLANDS LÄN</t>
        </is>
      </c>
      <c r="G1049" t="inlineStr">
        <is>
          <t>KIL</t>
        </is>
      </c>
      <c r="I1049" t="n">
        <v>5.4</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74403-2021</t>
        </is>
      </c>
      <c r="B1050" t="inlineStr">
        <is>
          <t>avverkningsanmälan</t>
        </is>
      </c>
      <c r="C1050" t="inlineStr">
        <is>
          <t>Föryngringsavverkning</t>
        </is>
      </c>
      <c r="D1050" s="1" t="n">
        <v>44559</v>
      </c>
      <c r="E1050" s="1" t="n">
        <v>46307</v>
      </c>
      <c r="F1050" t="inlineStr">
        <is>
          <t>VÄRMLANDS LÄN</t>
        </is>
      </c>
      <c r="G1050" t="inlineStr">
        <is>
          <t>KRISTINEHAMN</t>
        </is>
      </c>
      <c r="I1050" t="n">
        <v>0.8</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72812-2021</t>
        </is>
      </c>
      <c r="B1051" t="inlineStr">
        <is>
          <t>avverkningsanmälan</t>
        </is>
      </c>
      <c r="C1051" t="inlineStr">
        <is>
          <t>Föryngringsavverkning</t>
        </is>
      </c>
      <c r="D1051" s="1" t="n">
        <v>44546</v>
      </c>
      <c r="E1051" s="1" t="n">
        <v>46307</v>
      </c>
      <c r="F1051" t="inlineStr">
        <is>
          <t>VÄRMLANDS LÄN</t>
        </is>
      </c>
      <c r="G1051" t="inlineStr">
        <is>
          <t>ÅRJÄNG</t>
        </is>
      </c>
      <c r="I1051" t="n">
        <v>1</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29521-2022</t>
        </is>
      </c>
      <c r="B1052" t="inlineStr">
        <is>
          <t>avverkningsanmälan</t>
        </is>
      </c>
      <c r="C1052" t="inlineStr">
        <is>
          <t>Föryngringsavverkning</t>
        </is>
      </c>
      <c r="D1052" s="1" t="n">
        <v>44753</v>
      </c>
      <c r="E1052" s="1" t="n">
        <v>46307</v>
      </c>
      <c r="F1052" t="inlineStr">
        <is>
          <t>VÄRMLANDS LÄN</t>
        </is>
      </c>
      <c r="G1052" t="inlineStr">
        <is>
          <t>ARVIKA</t>
        </is>
      </c>
      <c r="H1052" t="inlineStr">
        <is>
          <t>Bergvik skog väst AB</t>
        </is>
      </c>
      <c r="I1052" t="n">
        <v>1.7</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55956-2022</t>
        </is>
      </c>
      <c r="B1053" t="inlineStr">
        <is>
          <t>avverkningsanmälan</t>
        </is>
      </c>
      <c r="C1053" t="inlineStr">
        <is>
          <t>Föryngringsavverkning</t>
        </is>
      </c>
      <c r="D1053" s="1" t="n">
        <v>44889</v>
      </c>
      <c r="E1053" s="1" t="n">
        <v>46307</v>
      </c>
      <c r="F1053" t="inlineStr">
        <is>
          <t>VÄRMLANDS LÄN</t>
        </is>
      </c>
      <c r="G1053" t="inlineStr">
        <is>
          <t>EDA</t>
        </is>
      </c>
      <c r="I1053" t="n">
        <v>0.7</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2062-2022</t>
        </is>
      </c>
      <c r="B1054" t="inlineStr">
        <is>
          <t>avverkningsanmälan</t>
        </is>
      </c>
      <c r="C1054" t="inlineStr">
        <is>
          <t>Föryngringsavverkning</t>
        </is>
      </c>
      <c r="D1054" s="1" t="n">
        <v>44575</v>
      </c>
      <c r="E1054" s="1" t="n">
        <v>46307</v>
      </c>
      <c r="F1054" t="inlineStr">
        <is>
          <t>VÄRMLANDS LÄN</t>
        </is>
      </c>
      <c r="G1054" t="inlineStr">
        <is>
          <t>ÅRJÄNG</t>
        </is>
      </c>
      <c r="I1054" t="n">
        <v>0.6</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2091-2022</t>
        </is>
      </c>
      <c r="B1055" t="inlineStr">
        <is>
          <t>avverkningsanmälan</t>
        </is>
      </c>
      <c r="C1055" t="inlineStr">
        <is>
          <t>Föryngringsavverkning</t>
        </is>
      </c>
      <c r="D1055" s="1" t="n">
        <v>44577</v>
      </c>
      <c r="E1055" s="1" t="n">
        <v>46307</v>
      </c>
      <c r="F1055" t="inlineStr">
        <is>
          <t>VÄRMLANDS LÄN</t>
        </is>
      </c>
      <c r="G1055" t="inlineStr">
        <is>
          <t>ÅRJÄNG</t>
        </is>
      </c>
      <c r="I1055" t="n">
        <v>8.5</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41590-2022</t>
        </is>
      </c>
      <c r="B1056" t="inlineStr">
        <is>
          <t>avverkningsanmälan</t>
        </is>
      </c>
      <c r="C1056" t="inlineStr">
        <is>
          <t>Föryngringsavverkning</t>
        </is>
      </c>
      <c r="D1056" s="1" t="n">
        <v>44827</v>
      </c>
      <c r="E1056" s="1" t="n">
        <v>46307</v>
      </c>
      <c r="F1056" t="inlineStr">
        <is>
          <t>VÄRMLANDS LÄN</t>
        </is>
      </c>
      <c r="G1056" t="inlineStr">
        <is>
          <t>TORSBY</t>
        </is>
      </c>
      <c r="H1056" t="inlineStr">
        <is>
          <t>Bergvik skog väst AB</t>
        </is>
      </c>
      <c r="I1056" t="n">
        <v>42.5</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49116-2022</t>
        </is>
      </c>
      <c r="B1057" t="inlineStr">
        <is>
          <t>avverkningsanmälan</t>
        </is>
      </c>
      <c r="C1057" t="inlineStr">
        <is>
          <t>Avverkning för annat ändamål</t>
        </is>
      </c>
      <c r="D1057" s="1" t="n">
        <v>44860</v>
      </c>
      <c r="E1057" s="1" t="n">
        <v>46307</v>
      </c>
      <c r="F1057" t="inlineStr">
        <is>
          <t>VÄRMLANDS LÄN</t>
        </is>
      </c>
      <c r="G1057" t="inlineStr">
        <is>
          <t>GRUMS</t>
        </is>
      </c>
      <c r="I1057" t="n">
        <v>0.7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1574-2022</t>
        </is>
      </c>
      <c r="B1058" t="inlineStr">
        <is>
          <t>avverkningsanmälan</t>
        </is>
      </c>
      <c r="C1058" t="inlineStr">
        <is>
          <t>Föryngringsavverkning</t>
        </is>
      </c>
      <c r="D1058" s="1" t="n">
        <v>44573</v>
      </c>
      <c r="E1058" s="1" t="n">
        <v>46307</v>
      </c>
      <c r="F1058" t="inlineStr">
        <is>
          <t>VÄRMLANDS LÄN</t>
        </is>
      </c>
      <c r="G1058" t="inlineStr">
        <is>
          <t>ÅRJÄNG</t>
        </is>
      </c>
      <c r="I1058" t="n">
        <v>0.4</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61105-2021</t>
        </is>
      </c>
      <c r="B1059" t="inlineStr">
        <is>
          <t>avverkningsanmälan</t>
        </is>
      </c>
      <c r="C1059" t="inlineStr">
        <is>
          <t>Föryngringsavverkning</t>
        </is>
      </c>
      <c r="D1059" s="1" t="n">
        <v>44498</v>
      </c>
      <c r="E1059" s="1" t="n">
        <v>46307</v>
      </c>
      <c r="F1059" t="inlineStr">
        <is>
          <t>VÄRMLANDS LÄN</t>
        </is>
      </c>
      <c r="G1059" t="inlineStr">
        <is>
          <t>KARLSTAD</t>
        </is>
      </c>
      <c r="I1059" t="n">
        <v>3.9</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50390-2022</t>
        </is>
      </c>
      <c r="B1060" t="inlineStr">
        <is>
          <t>avverkningsanmälan</t>
        </is>
      </c>
      <c r="C1060" t="inlineStr">
        <is>
          <t>Föryngringsavverkning</t>
        </is>
      </c>
      <c r="D1060" s="1" t="n">
        <v>44861</v>
      </c>
      <c r="E1060" s="1" t="n">
        <v>46307</v>
      </c>
      <c r="F1060" t="inlineStr">
        <is>
          <t>VÄRMLANDS LÄN</t>
        </is>
      </c>
      <c r="G1060" t="inlineStr">
        <is>
          <t>TORSBY</t>
        </is>
      </c>
      <c r="I1060" t="n">
        <v>2.9</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46295-2022</t>
        </is>
      </c>
      <c r="B1061" t="inlineStr">
        <is>
          <t>avverkningsanmälan</t>
        </is>
      </c>
      <c r="C1061" t="inlineStr">
        <is>
          <t>Föryngringsavverkning</t>
        </is>
      </c>
      <c r="D1061" s="1" t="n">
        <v>44847</v>
      </c>
      <c r="E1061" s="1" t="n">
        <v>46307</v>
      </c>
      <c r="F1061" t="inlineStr">
        <is>
          <t>VÄRMLANDS LÄN</t>
        </is>
      </c>
      <c r="G1061" t="inlineStr">
        <is>
          <t>KIL</t>
        </is>
      </c>
      <c r="I1061" t="n">
        <v>1.5</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39303-2022</t>
        </is>
      </c>
      <c r="B1062" t="inlineStr">
        <is>
          <t>avverkningsanmälan</t>
        </is>
      </c>
      <c r="C1062" t="inlineStr">
        <is>
          <t>Föryngringsavverkning</t>
        </is>
      </c>
      <c r="D1062" s="1" t="n">
        <v>44817</v>
      </c>
      <c r="E1062" s="1" t="n">
        <v>46307</v>
      </c>
      <c r="F1062" t="inlineStr">
        <is>
          <t>VÄRMLANDS LÄN</t>
        </is>
      </c>
      <c r="G1062" t="inlineStr">
        <is>
          <t>HAGFORS</t>
        </is>
      </c>
      <c r="I1062" t="n">
        <v>2.6</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57069-2021</t>
        </is>
      </c>
      <c r="B1063" t="inlineStr">
        <is>
          <t>avverkningsanmälan</t>
        </is>
      </c>
      <c r="C1063" t="inlineStr">
        <is>
          <t>Föryngringsavverkning</t>
        </is>
      </c>
      <c r="D1063" s="1" t="n">
        <v>44482</v>
      </c>
      <c r="E1063" s="1" t="n">
        <v>46307</v>
      </c>
      <c r="F1063" t="inlineStr">
        <is>
          <t>VÄRMLANDS LÄN</t>
        </is>
      </c>
      <c r="G1063" t="inlineStr">
        <is>
          <t>KIL</t>
        </is>
      </c>
      <c r="I1063" t="n">
        <v>1.6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64815-2021</t>
        </is>
      </c>
      <c r="B1064" t="inlineStr">
        <is>
          <t>avverkningsanmälan</t>
        </is>
      </c>
      <c r="C1064" t="inlineStr">
        <is>
          <t>Föryngringsavverkning</t>
        </is>
      </c>
      <c r="D1064" s="1" t="n">
        <v>44512</v>
      </c>
      <c r="E1064" s="1" t="n">
        <v>46307</v>
      </c>
      <c r="F1064" t="inlineStr">
        <is>
          <t>VÄRMLANDS LÄN</t>
        </is>
      </c>
      <c r="G1064" t="inlineStr">
        <is>
          <t>STORFORS</t>
        </is>
      </c>
      <c r="I1064" t="n">
        <v>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59863-2021</t>
        </is>
      </c>
      <c r="B1065" t="inlineStr">
        <is>
          <t>avverkningsanmälan</t>
        </is>
      </c>
      <c r="C1065" t="inlineStr">
        <is>
          <t>Föryngringsavverkning</t>
        </is>
      </c>
      <c r="D1065" s="1" t="n">
        <v>44494</v>
      </c>
      <c r="E1065" s="1" t="n">
        <v>46307</v>
      </c>
      <c r="F1065" t="inlineStr">
        <is>
          <t>VÄRMLANDS LÄN</t>
        </is>
      </c>
      <c r="G1065" t="inlineStr">
        <is>
          <t>GRUMS</t>
        </is>
      </c>
      <c r="I1065" t="n">
        <v>2.6</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36302-2022</t>
        </is>
      </c>
      <c r="B1066" t="inlineStr">
        <is>
          <t>avverkningsanmälan</t>
        </is>
      </c>
      <c r="C1066" t="inlineStr">
        <is>
          <t>Föryngringsavverkning</t>
        </is>
      </c>
      <c r="D1066" s="1" t="n">
        <v>44803</v>
      </c>
      <c r="E1066" s="1" t="n">
        <v>46307</v>
      </c>
      <c r="F1066" t="inlineStr">
        <is>
          <t>VÄRMLANDS LÄN</t>
        </is>
      </c>
      <c r="G1066" t="inlineStr">
        <is>
          <t>KIL</t>
        </is>
      </c>
      <c r="I1066" t="n">
        <v>0.5</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61158-2021</t>
        </is>
      </c>
      <c r="B1067" t="inlineStr">
        <is>
          <t>avverkningsanmälan</t>
        </is>
      </c>
      <c r="C1067" t="inlineStr">
        <is>
          <t>Föryngringsavverkning</t>
        </is>
      </c>
      <c r="D1067" s="1" t="n">
        <v>44497</v>
      </c>
      <c r="E1067" s="1" t="n">
        <v>46307</v>
      </c>
      <c r="F1067" t="inlineStr">
        <is>
          <t>VÄRMLANDS LÄN</t>
        </is>
      </c>
      <c r="G1067" t="inlineStr">
        <is>
          <t>ÅRJÄNG</t>
        </is>
      </c>
      <c r="I1067" t="n">
        <v>4.1</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3482-2022</t>
        </is>
      </c>
      <c r="B1068" t="inlineStr">
        <is>
          <t>avverkningsanmälan</t>
        </is>
      </c>
      <c r="C1068" t="inlineStr">
        <is>
          <t>Föryngringsavverkning</t>
        </is>
      </c>
      <c r="D1068" s="1" t="n">
        <v>44585</v>
      </c>
      <c r="E1068" s="1" t="n">
        <v>46307</v>
      </c>
      <c r="F1068" t="inlineStr">
        <is>
          <t>VÄRMLANDS LÄN</t>
        </is>
      </c>
      <c r="G1068" t="inlineStr">
        <is>
          <t>SUNNE</t>
        </is>
      </c>
      <c r="I1068" t="n">
        <v>0.5</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71082-2021</t>
        </is>
      </c>
      <c r="B1069" t="inlineStr">
        <is>
          <t>avverkningsanmälan</t>
        </is>
      </c>
      <c r="C1069" t="inlineStr">
        <is>
          <t>Föryngringsavverkning</t>
        </is>
      </c>
      <c r="D1069" s="1" t="n">
        <v>44538</v>
      </c>
      <c r="E1069" s="1" t="n">
        <v>46307</v>
      </c>
      <c r="F1069" t="inlineStr">
        <is>
          <t>VÄRMLANDS LÄN</t>
        </is>
      </c>
      <c r="G1069" t="inlineStr">
        <is>
          <t>HAGFORS</t>
        </is>
      </c>
      <c r="I1069" t="n">
        <v>1.9</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68266-2021</t>
        </is>
      </c>
      <c r="B1070" t="inlineStr">
        <is>
          <t>avverkningsanmälan</t>
        </is>
      </c>
      <c r="C1070" t="inlineStr">
        <is>
          <t>Föryngringsavverkning</t>
        </is>
      </c>
      <c r="D1070" s="1" t="n">
        <v>44526</v>
      </c>
      <c r="E1070" s="1" t="n">
        <v>46307</v>
      </c>
      <c r="F1070" t="inlineStr">
        <is>
          <t>VÄRMLANDS LÄN</t>
        </is>
      </c>
      <c r="G1070" t="inlineStr">
        <is>
          <t>TORSBY</t>
        </is>
      </c>
      <c r="I1070" t="n">
        <v>1.3</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73758-2021</t>
        </is>
      </c>
      <c r="B1071" t="inlineStr">
        <is>
          <t>avverkningsanmälan</t>
        </is>
      </c>
      <c r="C1071" t="inlineStr">
        <is>
          <t>Avverkning för annat ändamål</t>
        </is>
      </c>
      <c r="D1071" s="1" t="n">
        <v>44552</v>
      </c>
      <c r="E1071" s="1" t="n">
        <v>46307</v>
      </c>
      <c r="F1071" t="inlineStr">
        <is>
          <t>VÄRMLANDS LÄN</t>
        </is>
      </c>
      <c r="G1071" t="inlineStr">
        <is>
          <t>SÄFFLE</t>
        </is>
      </c>
      <c r="I1071" t="n">
        <v>0.8</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2556-2022</t>
        </is>
      </c>
      <c r="B1072" t="inlineStr">
        <is>
          <t>avverkningsanmälan</t>
        </is>
      </c>
      <c r="C1072" t="inlineStr">
        <is>
          <t>Föryngringsavverkning</t>
        </is>
      </c>
      <c r="D1072" s="1" t="n">
        <v>44580</v>
      </c>
      <c r="E1072" s="1" t="n">
        <v>46307</v>
      </c>
      <c r="F1072" t="inlineStr">
        <is>
          <t>VÄRMLANDS LÄN</t>
        </is>
      </c>
      <c r="G1072" t="inlineStr">
        <is>
          <t>SÄFFLE</t>
        </is>
      </c>
      <c r="I1072" t="n">
        <v>0.8</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57237-2021</t>
        </is>
      </c>
      <c r="B1073" t="inlineStr">
        <is>
          <t>avverkningsanmälan</t>
        </is>
      </c>
      <c r="C1073" t="inlineStr">
        <is>
          <t>Föryngringsavverkning</t>
        </is>
      </c>
      <c r="D1073" s="1" t="n">
        <v>44482</v>
      </c>
      <c r="E1073" s="1" t="n">
        <v>46307</v>
      </c>
      <c r="F1073" t="inlineStr">
        <is>
          <t>VÄRMLANDS LÄN</t>
        </is>
      </c>
      <c r="G1073" t="inlineStr">
        <is>
          <t>KARLSTAD</t>
        </is>
      </c>
      <c r="I1073" t="n">
        <v>0.9</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24566-2022</t>
        </is>
      </c>
      <c r="B1074" t="inlineStr">
        <is>
          <t>avverkningsanmälan</t>
        </is>
      </c>
      <c r="C1074" t="inlineStr">
        <is>
          <t>Föryngringsavverkning</t>
        </is>
      </c>
      <c r="D1074" s="1" t="n">
        <v>44727</v>
      </c>
      <c r="E1074" s="1" t="n">
        <v>46307</v>
      </c>
      <c r="F1074" t="inlineStr">
        <is>
          <t>VÄRMLANDS LÄN</t>
        </is>
      </c>
      <c r="G1074" t="inlineStr">
        <is>
          <t>MUNKFORS</t>
        </is>
      </c>
      <c r="I1074" t="n">
        <v>0.7</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22600-2022</t>
        </is>
      </c>
      <c r="B1075" t="inlineStr">
        <is>
          <t>avverkningsanmälan</t>
        </is>
      </c>
      <c r="C1075" t="inlineStr">
        <is>
          <t>Föryngringsavverkning</t>
        </is>
      </c>
      <c r="D1075" s="1" t="n">
        <v>44714</v>
      </c>
      <c r="E1075" s="1" t="n">
        <v>46307</v>
      </c>
      <c r="F1075" t="inlineStr">
        <is>
          <t>VÄRMLANDS LÄN</t>
        </is>
      </c>
      <c r="G1075" t="inlineStr">
        <is>
          <t>ARVIKA</t>
        </is>
      </c>
      <c r="I1075" t="n">
        <v>0.7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65625-2021</t>
        </is>
      </c>
      <c r="B1076" t="inlineStr">
        <is>
          <t>avverkningsanmälan</t>
        </is>
      </c>
      <c r="C1076" t="inlineStr">
        <is>
          <t>Föryngringsavverkning</t>
        </is>
      </c>
      <c r="D1076" s="1" t="n">
        <v>44516</v>
      </c>
      <c r="E1076" s="1" t="n">
        <v>46307</v>
      </c>
      <c r="F1076" t="inlineStr">
        <is>
          <t>VÄRMLANDS LÄN</t>
        </is>
      </c>
      <c r="G1076" t="inlineStr">
        <is>
          <t>KARLSTAD</t>
        </is>
      </c>
      <c r="I1076" t="n">
        <v>1.5</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49795-2022</t>
        </is>
      </c>
      <c r="B1077" t="inlineStr">
        <is>
          <t>avverkningsanmälan</t>
        </is>
      </c>
      <c r="C1077" t="inlineStr">
        <is>
          <t>Föryngringsavverkning</t>
        </is>
      </c>
      <c r="D1077" s="1" t="n">
        <v>44862</v>
      </c>
      <c r="E1077" s="1" t="n">
        <v>46307</v>
      </c>
      <c r="F1077" t="inlineStr">
        <is>
          <t>VÄRMLANDS LÄN</t>
        </is>
      </c>
      <c r="G1077" t="inlineStr">
        <is>
          <t>TORSBY</t>
        </is>
      </c>
      <c r="I1077" t="n">
        <v>7.6</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15306-2022</t>
        </is>
      </c>
      <c r="B1078" t="inlineStr">
        <is>
          <t>avverkningsanmälan</t>
        </is>
      </c>
      <c r="C1078" t="inlineStr">
        <is>
          <t>Föryngringsavverkning</t>
        </is>
      </c>
      <c r="D1078" s="1" t="n">
        <v>44659</v>
      </c>
      <c r="E1078" s="1" t="n">
        <v>46307</v>
      </c>
      <c r="F1078" t="inlineStr">
        <is>
          <t>VÄRMLANDS LÄN</t>
        </is>
      </c>
      <c r="G1078" t="inlineStr">
        <is>
          <t>ARVIKA</t>
        </is>
      </c>
      <c r="I1078" t="n">
        <v>1.8</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33810-2022</t>
        </is>
      </c>
      <c r="B1079" t="inlineStr">
        <is>
          <t>avverkningsanmälan</t>
        </is>
      </c>
      <c r="C1079" t="inlineStr">
        <is>
          <t>Föryngringsavverkning</t>
        </is>
      </c>
      <c r="D1079" s="1" t="n">
        <v>44790</v>
      </c>
      <c r="E1079" s="1" t="n">
        <v>46307</v>
      </c>
      <c r="F1079" t="inlineStr">
        <is>
          <t>VÄRMLANDS LÄN</t>
        </is>
      </c>
      <c r="G1079" t="inlineStr">
        <is>
          <t>SUNNE</t>
        </is>
      </c>
      <c r="I1079" t="n">
        <v>2</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37342-2022</t>
        </is>
      </c>
      <c r="B1080" t="inlineStr">
        <is>
          <t>avverkningsanmälan</t>
        </is>
      </c>
      <c r="C1080" t="inlineStr">
        <is>
          <t>Föryngringsavverkning</t>
        </is>
      </c>
      <c r="D1080" s="1" t="n">
        <v>44809</v>
      </c>
      <c r="E1080" s="1" t="n">
        <v>46307</v>
      </c>
      <c r="F1080" t="inlineStr">
        <is>
          <t>VÄRMLANDS LÄN</t>
        </is>
      </c>
      <c r="G1080" t="inlineStr">
        <is>
          <t>SUNNE</t>
        </is>
      </c>
      <c r="I1080" t="n">
        <v>3</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20035-2022</t>
        </is>
      </c>
      <c r="B1081" t="inlineStr">
        <is>
          <t>avverkningsanmälan</t>
        </is>
      </c>
      <c r="C1081" t="inlineStr">
        <is>
          <t>Föryngringsavverkning</t>
        </is>
      </c>
      <c r="D1081" s="1" t="n">
        <v>44697</v>
      </c>
      <c r="E1081" s="1" t="n">
        <v>46307</v>
      </c>
      <c r="F1081" t="inlineStr">
        <is>
          <t>VÄRMLANDS LÄN</t>
        </is>
      </c>
      <c r="G1081" t="inlineStr">
        <is>
          <t>SUNNE</t>
        </is>
      </c>
      <c r="I1081" t="n">
        <v>4.9</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37346-2022</t>
        </is>
      </c>
      <c r="B1082" t="inlineStr">
        <is>
          <t>avverkningsanmälan</t>
        </is>
      </c>
      <c r="C1082" t="inlineStr">
        <is>
          <t>Föryngringsavverkning</t>
        </is>
      </c>
      <c r="D1082" s="1" t="n">
        <v>44809</v>
      </c>
      <c r="E1082" s="1" t="n">
        <v>46307</v>
      </c>
      <c r="F1082" t="inlineStr">
        <is>
          <t>VÄRMLANDS LÄN</t>
        </is>
      </c>
      <c r="G1082" t="inlineStr">
        <is>
          <t>SUNNE</t>
        </is>
      </c>
      <c r="I1082" t="n">
        <v>1.7</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1418-2022</t>
        </is>
      </c>
      <c r="B1083" t="inlineStr">
        <is>
          <t>avverkningsanmälan</t>
        </is>
      </c>
      <c r="C1083" t="inlineStr">
        <is>
          <t>Föryngringsavverkning</t>
        </is>
      </c>
      <c r="D1083" s="1" t="n">
        <v>44573</v>
      </c>
      <c r="E1083" s="1" t="n">
        <v>46307</v>
      </c>
      <c r="F1083" t="inlineStr">
        <is>
          <t>VÄRMLANDS LÄN</t>
        </is>
      </c>
      <c r="G1083" t="inlineStr">
        <is>
          <t>ÅRJÄNG</t>
        </is>
      </c>
      <c r="I1083" t="n">
        <v>1.9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15558-2022</t>
        </is>
      </c>
      <c r="B1084" t="inlineStr">
        <is>
          <t>avverkningsanmälan</t>
        </is>
      </c>
      <c r="C1084" t="inlineStr">
        <is>
          <t>Föryngringsavverkning</t>
        </is>
      </c>
      <c r="D1084" s="1" t="n">
        <v>44662</v>
      </c>
      <c r="E1084" s="1" t="n">
        <v>46307</v>
      </c>
      <c r="F1084" t="inlineStr">
        <is>
          <t>VÄRMLANDS LÄN</t>
        </is>
      </c>
      <c r="G1084" t="inlineStr">
        <is>
          <t>KARLSTAD</t>
        </is>
      </c>
      <c r="I1084" t="n">
        <v>2.2</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28113-2022</t>
        </is>
      </c>
      <c r="B1085" t="inlineStr">
        <is>
          <t>avverkningsanmälan</t>
        </is>
      </c>
      <c r="C1085" t="inlineStr">
        <is>
          <t>Föryngringsavverkning</t>
        </is>
      </c>
      <c r="D1085" s="1" t="n">
        <v>44746</v>
      </c>
      <c r="E1085" s="1" t="n">
        <v>46307</v>
      </c>
      <c r="F1085" t="inlineStr">
        <is>
          <t>VÄRMLANDS LÄN</t>
        </is>
      </c>
      <c r="G1085" t="inlineStr">
        <is>
          <t>TORSBY</t>
        </is>
      </c>
      <c r="I1085" t="n">
        <v>1.2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35084-2022</t>
        </is>
      </c>
      <c r="B1086" t="inlineStr">
        <is>
          <t>avverkningsanmälan</t>
        </is>
      </c>
      <c r="C1086" t="inlineStr">
        <is>
          <t>Föryngringsavverkning</t>
        </is>
      </c>
      <c r="D1086" s="1" t="n">
        <v>44797</v>
      </c>
      <c r="E1086" s="1" t="n">
        <v>46307</v>
      </c>
      <c r="F1086" t="inlineStr">
        <is>
          <t>VÄRMLANDS LÄN</t>
        </is>
      </c>
      <c r="G1086" t="inlineStr">
        <is>
          <t>STORFORS</t>
        </is>
      </c>
      <c r="I1086" t="n">
        <v>0.3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49959-2022</t>
        </is>
      </c>
      <c r="B1087" t="inlineStr">
        <is>
          <t>avverkningsanmälan</t>
        </is>
      </c>
      <c r="C1087" t="inlineStr">
        <is>
          <t>Föryngringsavverkning</t>
        </is>
      </c>
      <c r="D1087" s="1" t="n">
        <v>44865</v>
      </c>
      <c r="E1087" s="1" t="n">
        <v>46307</v>
      </c>
      <c r="F1087" t="inlineStr">
        <is>
          <t>VÄRMLANDS LÄN</t>
        </is>
      </c>
      <c r="G1087" t="inlineStr">
        <is>
          <t>TORSBY</t>
        </is>
      </c>
      <c r="I1087" t="n">
        <v>0.5</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20174-2022</t>
        </is>
      </c>
      <c r="B1088" t="inlineStr">
        <is>
          <t>avverkningsanmälan</t>
        </is>
      </c>
      <c r="C1088" t="inlineStr">
        <is>
          <t>Föryngringsavverkning</t>
        </is>
      </c>
      <c r="D1088" s="1" t="n">
        <v>44698</v>
      </c>
      <c r="E1088" s="1" t="n">
        <v>46307</v>
      </c>
      <c r="F1088" t="inlineStr">
        <is>
          <t>VÄRMLANDS LÄN</t>
        </is>
      </c>
      <c r="G1088" t="inlineStr">
        <is>
          <t>TORSBY</t>
        </is>
      </c>
      <c r="I1088" t="n">
        <v>4.4</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21348-2022</t>
        </is>
      </c>
      <c r="B1089" t="inlineStr">
        <is>
          <t>avverkningsanmälan</t>
        </is>
      </c>
      <c r="C1089" t="inlineStr">
        <is>
          <t>Föryngringsavverkning</t>
        </is>
      </c>
      <c r="D1089" s="1" t="n">
        <v>44705</v>
      </c>
      <c r="E1089" s="1" t="n">
        <v>46307</v>
      </c>
      <c r="F1089" t="inlineStr">
        <is>
          <t>VÄRMLANDS LÄN</t>
        </is>
      </c>
      <c r="G1089" t="inlineStr">
        <is>
          <t>ARVIKA</t>
        </is>
      </c>
      <c r="I1089" t="n">
        <v>1.3</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13599-2022</t>
        </is>
      </c>
      <c r="B1090" t="inlineStr">
        <is>
          <t>avverkningsanmälan</t>
        </is>
      </c>
      <c r="C1090" t="inlineStr">
        <is>
          <t>Föryngringsavverkning</t>
        </is>
      </c>
      <c r="D1090" s="1" t="n">
        <v>44648</v>
      </c>
      <c r="E1090" s="1" t="n">
        <v>46307</v>
      </c>
      <c r="F1090" t="inlineStr">
        <is>
          <t>VÄRMLANDS LÄN</t>
        </is>
      </c>
      <c r="G1090" t="inlineStr">
        <is>
          <t>MUNKFORS</t>
        </is>
      </c>
      <c r="I1090" t="n">
        <v>0.6</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19947-2022</t>
        </is>
      </c>
      <c r="B1091" t="inlineStr">
        <is>
          <t>avverkningsanmälan</t>
        </is>
      </c>
      <c r="C1091" t="inlineStr">
        <is>
          <t>Föryngringsavverkning</t>
        </is>
      </c>
      <c r="D1091" s="1" t="n">
        <v>44697</v>
      </c>
      <c r="E1091" s="1" t="n">
        <v>46307</v>
      </c>
      <c r="F1091" t="inlineStr">
        <is>
          <t>VÄRMLANDS LÄN</t>
        </is>
      </c>
      <c r="G1091" t="inlineStr">
        <is>
          <t>ÅRJÄNG</t>
        </is>
      </c>
      <c r="I1091" t="n">
        <v>0.9</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20009-2022</t>
        </is>
      </c>
      <c r="B1092" t="inlineStr">
        <is>
          <t>avverkningsanmälan</t>
        </is>
      </c>
      <c r="C1092" t="inlineStr">
        <is>
          <t>Föryngringsavverkning</t>
        </is>
      </c>
      <c r="D1092" s="1" t="n">
        <v>44697</v>
      </c>
      <c r="E1092" s="1" t="n">
        <v>46307</v>
      </c>
      <c r="F1092" t="inlineStr">
        <is>
          <t>VÄRMLANDS LÄN</t>
        </is>
      </c>
      <c r="G1092" t="inlineStr">
        <is>
          <t>TORSBY</t>
        </is>
      </c>
      <c r="I1092" t="n">
        <v>14.4</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61034-2021</t>
        </is>
      </c>
      <c r="B1093" t="inlineStr">
        <is>
          <t>avverkningsanmälan</t>
        </is>
      </c>
      <c r="C1093" t="inlineStr">
        <is>
          <t>Föryngringsavverkning</t>
        </is>
      </c>
      <c r="D1093" s="1" t="n">
        <v>44497</v>
      </c>
      <c r="E1093" s="1" t="n">
        <v>46307</v>
      </c>
      <c r="F1093" t="inlineStr">
        <is>
          <t>VÄRMLANDS LÄN</t>
        </is>
      </c>
      <c r="G1093" t="inlineStr">
        <is>
          <t>KRISTINEHAMN</t>
        </is>
      </c>
      <c r="I1093" t="n">
        <v>2.6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37937-2022</t>
        </is>
      </c>
      <c r="B1094" t="inlineStr">
        <is>
          <t>avverkningsanmälan</t>
        </is>
      </c>
      <c r="C1094" t="inlineStr">
        <is>
          <t>Föryngringsavverkning</t>
        </is>
      </c>
      <c r="D1094" s="1" t="n">
        <v>44811</v>
      </c>
      <c r="E1094" s="1" t="n">
        <v>46307</v>
      </c>
      <c r="F1094" t="inlineStr">
        <is>
          <t>VÄRMLANDS LÄN</t>
        </is>
      </c>
      <c r="G1094" t="inlineStr">
        <is>
          <t>TORSBY</t>
        </is>
      </c>
      <c r="I1094" t="n">
        <v>0.9</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54978-2022</t>
        </is>
      </c>
      <c r="B1095" t="inlineStr">
        <is>
          <t>avverkningsanmälan</t>
        </is>
      </c>
      <c r="C1095" t="inlineStr">
        <is>
          <t>Föryngringsavverkning</t>
        </is>
      </c>
      <c r="D1095" s="1" t="n">
        <v>44886</v>
      </c>
      <c r="E1095" s="1" t="n">
        <v>46307</v>
      </c>
      <c r="F1095" t="inlineStr">
        <is>
          <t>VÄRMLANDS LÄN</t>
        </is>
      </c>
      <c r="G1095" t="inlineStr">
        <is>
          <t>SÄFFLE</t>
        </is>
      </c>
      <c r="I1095" t="n">
        <v>1.1</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12431-2022</t>
        </is>
      </c>
      <c r="B1096" t="inlineStr">
        <is>
          <t>avverkningsanmälan</t>
        </is>
      </c>
      <c r="C1096" t="inlineStr">
        <is>
          <t>Föryngringsavverkning</t>
        </is>
      </c>
      <c r="D1096" s="1" t="n">
        <v>44638</v>
      </c>
      <c r="E1096" s="1" t="n">
        <v>46307</v>
      </c>
      <c r="F1096" t="inlineStr">
        <is>
          <t>VÄRMLANDS LÄN</t>
        </is>
      </c>
      <c r="G1096" t="inlineStr">
        <is>
          <t>HAGFORS</t>
        </is>
      </c>
      <c r="I1096" t="n">
        <v>11.3</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50560-2022</t>
        </is>
      </c>
      <c r="B1097" t="inlineStr">
        <is>
          <t>avverkningsanmälan</t>
        </is>
      </c>
      <c r="C1097" t="inlineStr">
        <is>
          <t>Föryngringsavverkning</t>
        </is>
      </c>
      <c r="D1097" s="1" t="n">
        <v>44866</v>
      </c>
      <c r="E1097" s="1" t="n">
        <v>46307</v>
      </c>
      <c r="F1097" t="inlineStr">
        <is>
          <t>VÄRMLANDS LÄN</t>
        </is>
      </c>
      <c r="G1097" t="inlineStr">
        <is>
          <t>ARVIKA</t>
        </is>
      </c>
      <c r="I1097" t="n">
        <v>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7828-2022</t>
        </is>
      </c>
      <c r="B1098" t="inlineStr">
        <is>
          <t>avverkningsanmälan</t>
        </is>
      </c>
      <c r="C1098" t="inlineStr">
        <is>
          <t>Avverkning för annat ändamål</t>
        </is>
      </c>
      <c r="D1098" s="1" t="n">
        <v>44608</v>
      </c>
      <c r="E1098" s="1" t="n">
        <v>46307</v>
      </c>
      <c r="F1098" t="inlineStr">
        <is>
          <t>VÄRMLANDS LÄN</t>
        </is>
      </c>
      <c r="G1098" t="inlineStr">
        <is>
          <t>FORSHAGA</t>
        </is>
      </c>
      <c r="I1098" t="n">
        <v>0.7</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7886-2022</t>
        </is>
      </c>
      <c r="B1099" t="inlineStr">
        <is>
          <t>avverkningsanmälan</t>
        </is>
      </c>
      <c r="C1099" t="inlineStr">
        <is>
          <t>Föryngringsavverkning</t>
        </is>
      </c>
      <c r="D1099" s="1" t="n">
        <v>44608</v>
      </c>
      <c r="E1099" s="1" t="n">
        <v>46307</v>
      </c>
      <c r="F1099" t="inlineStr">
        <is>
          <t>VÄRMLANDS LÄN</t>
        </is>
      </c>
      <c r="G1099" t="inlineStr">
        <is>
          <t>EDA</t>
        </is>
      </c>
      <c r="H1099" t="inlineStr">
        <is>
          <t>Kyrkan</t>
        </is>
      </c>
      <c r="I1099" t="n">
        <v>1.2</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69529-2021</t>
        </is>
      </c>
      <c r="B1100" t="inlineStr">
        <is>
          <t>avverkningsanmälan</t>
        </is>
      </c>
      <c r="C1100" t="inlineStr">
        <is>
          <t>Föryngringsavverkning</t>
        </is>
      </c>
      <c r="D1100" s="1" t="n">
        <v>44531</v>
      </c>
      <c r="E1100" s="1" t="n">
        <v>46307</v>
      </c>
      <c r="F1100" t="inlineStr">
        <is>
          <t>VÄRMLANDS LÄN</t>
        </is>
      </c>
      <c r="G1100" t="inlineStr">
        <is>
          <t>ARVIKA</t>
        </is>
      </c>
      <c r="I1100" t="n">
        <v>1.9</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45384-2022</t>
        </is>
      </c>
      <c r="B1101" t="inlineStr">
        <is>
          <t>avverkningsanmälan</t>
        </is>
      </c>
      <c r="C1101" t="inlineStr">
        <is>
          <t>Föryngringsavverkning</t>
        </is>
      </c>
      <c r="D1101" s="1" t="n">
        <v>44844</v>
      </c>
      <c r="E1101" s="1" t="n">
        <v>46307</v>
      </c>
      <c r="F1101" t="inlineStr">
        <is>
          <t>VÄRMLANDS LÄN</t>
        </is>
      </c>
      <c r="G1101" t="inlineStr">
        <is>
          <t>GRUMS</t>
        </is>
      </c>
      <c r="I1101" t="n">
        <v>0.6</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45773-2022</t>
        </is>
      </c>
      <c r="B1102" t="inlineStr">
        <is>
          <t>avverkningsanmälan</t>
        </is>
      </c>
      <c r="C1102" t="inlineStr">
        <is>
          <t>Föryngringsavverkning</t>
        </is>
      </c>
      <c r="D1102" s="1" t="n">
        <v>44846</v>
      </c>
      <c r="E1102" s="1" t="n">
        <v>46307</v>
      </c>
      <c r="F1102" t="inlineStr">
        <is>
          <t>VÄRMLANDS LÄN</t>
        </is>
      </c>
      <c r="G1102" t="inlineStr">
        <is>
          <t>KIL</t>
        </is>
      </c>
      <c r="I1102" t="n">
        <v>0.5</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61114-2021</t>
        </is>
      </c>
      <c r="B1103" t="inlineStr">
        <is>
          <t>avverkningsanmälan</t>
        </is>
      </c>
      <c r="C1103" t="inlineStr">
        <is>
          <t>Föryngringsavverkning</t>
        </is>
      </c>
      <c r="D1103" s="1" t="n">
        <v>44497</v>
      </c>
      <c r="E1103" s="1" t="n">
        <v>46307</v>
      </c>
      <c r="F1103" t="inlineStr">
        <is>
          <t>VÄRMLANDS LÄN</t>
        </is>
      </c>
      <c r="G1103" t="inlineStr">
        <is>
          <t>ÅRJÄNG</t>
        </is>
      </c>
      <c r="I1103" t="n">
        <v>1.8</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61121-2021</t>
        </is>
      </c>
      <c r="B1104" t="inlineStr">
        <is>
          <t>avverkningsanmälan</t>
        </is>
      </c>
      <c r="C1104" t="inlineStr">
        <is>
          <t>Avverkning för annat ändamål</t>
        </is>
      </c>
      <c r="D1104" s="1" t="n">
        <v>44498</v>
      </c>
      <c r="E1104" s="1" t="n">
        <v>46307</v>
      </c>
      <c r="F1104" t="inlineStr">
        <is>
          <t>VÄRMLANDS LÄN</t>
        </is>
      </c>
      <c r="G1104" t="inlineStr">
        <is>
          <t>ÅRJÄNG</t>
        </is>
      </c>
      <c r="I1104" t="n">
        <v>0.7</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65295-2021</t>
        </is>
      </c>
      <c r="B1105" t="inlineStr">
        <is>
          <t>avverkningsanmälan</t>
        </is>
      </c>
      <c r="C1105" t="inlineStr">
        <is>
          <t>Föryngringsavverkning</t>
        </is>
      </c>
      <c r="D1105" s="1" t="n">
        <v>44515</v>
      </c>
      <c r="E1105" s="1" t="n">
        <v>46307</v>
      </c>
      <c r="F1105" t="inlineStr">
        <is>
          <t>VÄRMLANDS LÄN</t>
        </is>
      </c>
      <c r="G1105" t="inlineStr">
        <is>
          <t>HAGFORS</t>
        </is>
      </c>
      <c r="I1105" t="n">
        <v>2.7</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10305-2022</t>
        </is>
      </c>
      <c r="B1106" t="inlineStr">
        <is>
          <t>avverkningsanmälan</t>
        </is>
      </c>
      <c r="C1106" t="inlineStr">
        <is>
          <t>Föryngringsavverkning</t>
        </is>
      </c>
      <c r="D1106" s="1" t="n">
        <v>44622</v>
      </c>
      <c r="E1106" s="1" t="n">
        <v>46307</v>
      </c>
      <c r="F1106" t="inlineStr">
        <is>
          <t>VÄRMLANDS LÄN</t>
        </is>
      </c>
      <c r="G1106" t="inlineStr">
        <is>
          <t>HAGFORS</t>
        </is>
      </c>
      <c r="I1106" t="n">
        <v>3</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509-2022</t>
        </is>
      </c>
      <c r="B1107" t="inlineStr">
        <is>
          <t>avverkningsanmälan</t>
        </is>
      </c>
      <c r="C1107" t="inlineStr">
        <is>
          <t>Föryngringsavverkning</t>
        </is>
      </c>
      <c r="D1107" s="1" t="n">
        <v>44566</v>
      </c>
      <c r="E1107" s="1" t="n">
        <v>46307</v>
      </c>
      <c r="F1107" t="inlineStr">
        <is>
          <t>VÄRMLANDS LÄN</t>
        </is>
      </c>
      <c r="G1107" t="inlineStr">
        <is>
          <t>ÅRJÄNG</t>
        </is>
      </c>
      <c r="I1107" t="n">
        <v>2.3</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546-2022</t>
        </is>
      </c>
      <c r="B1108" t="inlineStr">
        <is>
          <t>avverkningsanmälan</t>
        </is>
      </c>
      <c r="C1108" t="inlineStr">
        <is>
          <t>Föryngringsavverkning</t>
        </is>
      </c>
      <c r="D1108" s="1" t="n">
        <v>44566</v>
      </c>
      <c r="E1108" s="1" t="n">
        <v>46307</v>
      </c>
      <c r="F1108" t="inlineStr">
        <is>
          <t>VÄRMLANDS LÄN</t>
        </is>
      </c>
      <c r="G1108" t="inlineStr">
        <is>
          <t>KARLSTAD</t>
        </is>
      </c>
      <c r="H1108" t="inlineStr">
        <is>
          <t>Bergvik skog väst AB</t>
        </is>
      </c>
      <c r="I1108" t="n">
        <v>9.199999999999999</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5458-2022</t>
        </is>
      </c>
      <c r="B1109" t="inlineStr">
        <is>
          <t>avverkningsanmälan</t>
        </is>
      </c>
      <c r="C1109" t="inlineStr">
        <is>
          <t>Föryngringsavverkning</t>
        </is>
      </c>
      <c r="D1109" s="1" t="n">
        <v>44594</v>
      </c>
      <c r="E1109" s="1" t="n">
        <v>46307</v>
      </c>
      <c r="F1109" t="inlineStr">
        <is>
          <t>VÄRMLANDS LÄN</t>
        </is>
      </c>
      <c r="G1109" t="inlineStr">
        <is>
          <t>KARLSTAD</t>
        </is>
      </c>
      <c r="I1109" t="n">
        <v>1.9</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63617-2021</t>
        </is>
      </c>
      <c r="B1110" t="inlineStr">
        <is>
          <t>avverkningsanmälan</t>
        </is>
      </c>
      <c r="C1110" t="inlineStr">
        <is>
          <t>Föryngringsavverkning</t>
        </is>
      </c>
      <c r="D1110" s="1" t="n">
        <v>44509</v>
      </c>
      <c r="E1110" s="1" t="n">
        <v>46307</v>
      </c>
      <c r="F1110" t="inlineStr">
        <is>
          <t>VÄRMLANDS LÄN</t>
        </is>
      </c>
      <c r="G1110" t="inlineStr">
        <is>
          <t>SÄFFLE</t>
        </is>
      </c>
      <c r="I1110" t="n">
        <v>1.1</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64508-2021</t>
        </is>
      </c>
      <c r="B1111" t="inlineStr">
        <is>
          <t>avverkningsanmälan</t>
        </is>
      </c>
      <c r="C1111" t="inlineStr">
        <is>
          <t>Föryngringsavverkning</t>
        </is>
      </c>
      <c r="D1111" s="1" t="n">
        <v>44511</v>
      </c>
      <c r="E1111" s="1" t="n">
        <v>46307</v>
      </c>
      <c r="F1111" t="inlineStr">
        <is>
          <t>VÄRMLANDS LÄN</t>
        </is>
      </c>
      <c r="G1111" t="inlineStr">
        <is>
          <t>KIL</t>
        </is>
      </c>
      <c r="I1111" t="n">
        <v>0.6</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653-2022</t>
        </is>
      </c>
      <c r="B1112" t="inlineStr">
        <is>
          <t>avverkningsanmälan</t>
        </is>
      </c>
      <c r="C1112" t="inlineStr">
        <is>
          <t>Föryngringsavverkning</t>
        </is>
      </c>
      <c r="D1112" s="1" t="n">
        <v>44566</v>
      </c>
      <c r="E1112" s="1" t="n">
        <v>46307</v>
      </c>
      <c r="F1112" t="inlineStr">
        <is>
          <t>VÄRMLANDS LÄN</t>
        </is>
      </c>
      <c r="G1112" t="inlineStr">
        <is>
          <t>HAGFORS</t>
        </is>
      </c>
      <c r="I1112" t="n">
        <v>1.9</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31534-2022</t>
        </is>
      </c>
      <c r="B1113" t="inlineStr">
        <is>
          <t>avverkningsanmälan</t>
        </is>
      </c>
      <c r="C1113" t="inlineStr">
        <is>
          <t>Föryngringsavverkning</t>
        </is>
      </c>
      <c r="D1113" s="1" t="n">
        <v>44775</v>
      </c>
      <c r="E1113" s="1" t="n">
        <v>46307</v>
      </c>
      <c r="F1113" t="inlineStr">
        <is>
          <t>VÄRMLANDS LÄN</t>
        </is>
      </c>
      <c r="G1113" t="inlineStr">
        <is>
          <t>SUNNE</t>
        </is>
      </c>
      <c r="I1113" t="n">
        <v>1.3</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65102-2021</t>
        </is>
      </c>
      <c r="B1114" t="inlineStr">
        <is>
          <t>avverkningsanmälan</t>
        </is>
      </c>
      <c r="C1114" t="inlineStr">
        <is>
          <t>Föryngringsavverkning</t>
        </is>
      </c>
      <c r="D1114" s="1" t="n">
        <v>44514</v>
      </c>
      <c r="E1114" s="1" t="n">
        <v>46307</v>
      </c>
      <c r="F1114" t="inlineStr">
        <is>
          <t>VÄRMLANDS LÄN</t>
        </is>
      </c>
      <c r="G1114" t="inlineStr">
        <is>
          <t>ARVIKA</t>
        </is>
      </c>
      <c r="I1114" t="n">
        <v>1.4</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29363-2022</t>
        </is>
      </c>
      <c r="B1115" t="inlineStr">
        <is>
          <t>avverkningsanmälan</t>
        </is>
      </c>
      <c r="C1115" t="inlineStr">
        <is>
          <t>Föryngringsavverkning</t>
        </is>
      </c>
      <c r="D1115" s="1" t="n">
        <v>44750</v>
      </c>
      <c r="E1115" s="1" t="n">
        <v>46307</v>
      </c>
      <c r="F1115" t="inlineStr">
        <is>
          <t>VÄRMLANDS LÄN</t>
        </is>
      </c>
      <c r="G1115" t="inlineStr">
        <is>
          <t>SÄFFLE</t>
        </is>
      </c>
      <c r="I1115" t="n">
        <v>2.5</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28807-2022</t>
        </is>
      </c>
      <c r="B1116" t="inlineStr">
        <is>
          <t>avverkningsanmälan</t>
        </is>
      </c>
      <c r="C1116" t="inlineStr">
        <is>
          <t>Föryngringsavverkning</t>
        </is>
      </c>
      <c r="D1116" s="1" t="n">
        <v>44749</v>
      </c>
      <c r="E1116" s="1" t="n">
        <v>46307</v>
      </c>
      <c r="F1116" t="inlineStr">
        <is>
          <t>VÄRMLANDS LÄN</t>
        </is>
      </c>
      <c r="G1116" t="inlineStr">
        <is>
          <t>SUNNE</t>
        </is>
      </c>
      <c r="I1116" t="n">
        <v>1</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7485-2022</t>
        </is>
      </c>
      <c r="B1117" t="inlineStr">
        <is>
          <t>avverkningsanmälan</t>
        </is>
      </c>
      <c r="C1117" t="inlineStr">
        <is>
          <t>Föryngringsavverkning</t>
        </is>
      </c>
      <c r="D1117" s="1" t="n">
        <v>44607</v>
      </c>
      <c r="E1117" s="1" t="n">
        <v>46307</v>
      </c>
      <c r="F1117" t="inlineStr">
        <is>
          <t>VÄRMLANDS LÄN</t>
        </is>
      </c>
      <c r="G1117" t="inlineStr">
        <is>
          <t>ÅRJÄNG</t>
        </is>
      </c>
      <c r="I1117" t="n">
        <v>2</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73595-2021</t>
        </is>
      </c>
      <c r="B1118" t="inlineStr">
        <is>
          <t>avverkningsanmälan</t>
        </is>
      </c>
      <c r="C1118" t="inlineStr">
        <is>
          <t>Föryngringsavverkning</t>
        </is>
      </c>
      <c r="D1118" s="1" t="n">
        <v>44552</v>
      </c>
      <c r="E1118" s="1" t="n">
        <v>46307</v>
      </c>
      <c r="F1118" t="inlineStr">
        <is>
          <t>VÄRMLANDS LÄN</t>
        </is>
      </c>
      <c r="G1118" t="inlineStr">
        <is>
          <t>SÄFFLE</t>
        </is>
      </c>
      <c r="H1118" t="inlineStr">
        <is>
          <t>Kyrkan</t>
        </is>
      </c>
      <c r="I1118" t="n">
        <v>0.3</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73651-2021</t>
        </is>
      </c>
      <c r="B1119" t="inlineStr">
        <is>
          <t>avverkningsanmälan</t>
        </is>
      </c>
      <c r="C1119" t="inlineStr">
        <is>
          <t>Föryngringsavverkning</t>
        </is>
      </c>
      <c r="D1119" s="1" t="n">
        <v>44552</v>
      </c>
      <c r="E1119" s="1" t="n">
        <v>46307</v>
      </c>
      <c r="F1119" t="inlineStr">
        <is>
          <t>VÄRMLANDS LÄN</t>
        </is>
      </c>
      <c r="G1119" t="inlineStr">
        <is>
          <t>ÅRJÄNG</t>
        </is>
      </c>
      <c r="I1119" t="n">
        <v>15.3</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9236-2022</t>
        </is>
      </c>
      <c r="B1120" t="inlineStr">
        <is>
          <t>avverkningsanmälan</t>
        </is>
      </c>
      <c r="C1120" t="inlineStr">
        <is>
          <t>Föryngringsavverkning</t>
        </is>
      </c>
      <c r="D1120" s="1" t="n">
        <v>44616</v>
      </c>
      <c r="E1120" s="1" t="n">
        <v>46307</v>
      </c>
      <c r="F1120" t="inlineStr">
        <is>
          <t>VÄRMLANDS LÄN</t>
        </is>
      </c>
      <c r="G1120" t="inlineStr">
        <is>
          <t>ARVIKA</t>
        </is>
      </c>
      <c r="H1120" t="inlineStr">
        <is>
          <t>Bergvik skog väst AB</t>
        </is>
      </c>
      <c r="I1120" t="n">
        <v>0.5</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9271-2022</t>
        </is>
      </c>
      <c r="B1121" t="inlineStr">
        <is>
          <t>avverkningsanmälan</t>
        </is>
      </c>
      <c r="C1121" t="inlineStr">
        <is>
          <t>Föryngringsavverkning</t>
        </is>
      </c>
      <c r="D1121" s="1" t="n">
        <v>44616</v>
      </c>
      <c r="E1121" s="1" t="n">
        <v>46307</v>
      </c>
      <c r="F1121" t="inlineStr">
        <is>
          <t>VÄRMLANDS LÄN</t>
        </is>
      </c>
      <c r="G1121" t="inlineStr">
        <is>
          <t>FORSHAGA</t>
        </is>
      </c>
      <c r="I1121" t="n">
        <v>0.4</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22167-2022</t>
        </is>
      </c>
      <c r="B1122" t="inlineStr">
        <is>
          <t>avverkningsanmälan</t>
        </is>
      </c>
      <c r="C1122" t="inlineStr">
        <is>
          <t>Föryngringsavverkning</t>
        </is>
      </c>
      <c r="D1122" s="1" t="n">
        <v>44712</v>
      </c>
      <c r="E1122" s="1" t="n">
        <v>46307</v>
      </c>
      <c r="F1122" t="inlineStr">
        <is>
          <t>VÄRMLANDS LÄN</t>
        </is>
      </c>
      <c r="G1122" t="inlineStr">
        <is>
          <t>ÅRJÄNG</t>
        </is>
      </c>
      <c r="I1122" t="n">
        <v>1.2</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6061-2022</t>
        </is>
      </c>
      <c r="B1123" t="inlineStr">
        <is>
          <t>avverkningsanmälan</t>
        </is>
      </c>
      <c r="C1123" t="inlineStr">
        <is>
          <t>Avverkning för annat ändamål</t>
        </is>
      </c>
      <c r="D1123" s="1" t="n">
        <v>44599</v>
      </c>
      <c r="E1123" s="1" t="n">
        <v>46307</v>
      </c>
      <c r="F1123" t="inlineStr">
        <is>
          <t>VÄRMLANDS LÄN</t>
        </is>
      </c>
      <c r="G1123" t="inlineStr">
        <is>
          <t>KARLSTAD</t>
        </is>
      </c>
      <c r="I1123" t="n">
        <v>1.7</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71834-2021</t>
        </is>
      </c>
      <c r="B1124" t="inlineStr">
        <is>
          <t>avverkningsanmälan</t>
        </is>
      </c>
      <c r="C1124" t="inlineStr">
        <is>
          <t>Föryngringsavverkning</t>
        </is>
      </c>
      <c r="D1124" s="1" t="n">
        <v>44543</v>
      </c>
      <c r="E1124" s="1" t="n">
        <v>46307</v>
      </c>
      <c r="F1124" t="inlineStr">
        <is>
          <t>VÄRMLANDS LÄN</t>
        </is>
      </c>
      <c r="G1124" t="inlineStr">
        <is>
          <t>ÅRJÄNG</t>
        </is>
      </c>
      <c r="I1124" t="n">
        <v>0.8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11548-2022</t>
        </is>
      </c>
      <c r="B1125" t="inlineStr">
        <is>
          <t>avverkningsanmälan</t>
        </is>
      </c>
      <c r="C1125" t="inlineStr">
        <is>
          <t>Föryngringsavverkning</t>
        </is>
      </c>
      <c r="D1125" s="1" t="n">
        <v>44631</v>
      </c>
      <c r="E1125" s="1" t="n">
        <v>46307</v>
      </c>
      <c r="F1125" t="inlineStr">
        <is>
          <t>VÄRMLANDS LÄN</t>
        </is>
      </c>
      <c r="G1125" t="inlineStr">
        <is>
          <t>ÅRJÄNG</t>
        </is>
      </c>
      <c r="H1125" t="inlineStr">
        <is>
          <t>Bergvik skog väst AB</t>
        </is>
      </c>
      <c r="I1125" t="n">
        <v>1.2</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2989-2022</t>
        </is>
      </c>
      <c r="B1126" t="inlineStr">
        <is>
          <t>avverkningsanmälan</t>
        </is>
      </c>
      <c r="C1126" t="inlineStr">
        <is>
          <t>Föryngringsavverkning</t>
        </is>
      </c>
      <c r="D1126" s="1" t="n">
        <v>44581</v>
      </c>
      <c r="E1126" s="1" t="n">
        <v>46307</v>
      </c>
      <c r="F1126" t="inlineStr">
        <is>
          <t>VÄRMLANDS LÄN</t>
        </is>
      </c>
      <c r="G1126" t="inlineStr">
        <is>
          <t>SÄFFLE</t>
        </is>
      </c>
      <c r="I1126" t="n">
        <v>1</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44080-2022</t>
        </is>
      </c>
      <c r="B1127" t="inlineStr">
        <is>
          <t>avverkningsanmälan</t>
        </is>
      </c>
      <c r="C1127" t="inlineStr">
        <is>
          <t>Föryngringsavverkning</t>
        </is>
      </c>
      <c r="D1127" s="1" t="n">
        <v>44839</v>
      </c>
      <c r="E1127" s="1" t="n">
        <v>46307</v>
      </c>
      <c r="F1127" t="inlineStr">
        <is>
          <t>VÄRMLANDS LÄN</t>
        </is>
      </c>
      <c r="G1127" t="inlineStr">
        <is>
          <t>KARLSTAD</t>
        </is>
      </c>
      <c r="I1127" t="n">
        <v>3</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31783-2022</t>
        </is>
      </c>
      <c r="B1128" t="inlineStr">
        <is>
          <t>avverkningsanmälan</t>
        </is>
      </c>
      <c r="C1128" t="inlineStr">
        <is>
          <t>Föryngringsavverkning</t>
        </is>
      </c>
      <c r="D1128" s="1" t="n">
        <v>44776</v>
      </c>
      <c r="E1128" s="1" t="n">
        <v>46307</v>
      </c>
      <c r="F1128" t="inlineStr">
        <is>
          <t>VÄRMLANDS LÄN</t>
        </is>
      </c>
      <c r="G1128" t="inlineStr">
        <is>
          <t>SÄFFLE</t>
        </is>
      </c>
      <c r="I1128" t="n">
        <v>1</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55787-2022</t>
        </is>
      </c>
      <c r="B1129" t="inlineStr">
        <is>
          <t>avverkningsanmälan</t>
        </is>
      </c>
      <c r="C1129" t="inlineStr">
        <is>
          <t>Föryngringsavverkning</t>
        </is>
      </c>
      <c r="D1129" s="1" t="n">
        <v>44888</v>
      </c>
      <c r="E1129" s="1" t="n">
        <v>46307</v>
      </c>
      <c r="F1129" t="inlineStr">
        <is>
          <t>VÄRMLANDS LÄN</t>
        </is>
      </c>
      <c r="G1129" t="inlineStr">
        <is>
          <t>ARVIKA</t>
        </is>
      </c>
      <c r="I1129" t="n">
        <v>3.5</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33307-2022</t>
        </is>
      </c>
      <c r="B1130" t="inlineStr">
        <is>
          <t>avverkningsanmälan</t>
        </is>
      </c>
      <c r="C1130" t="inlineStr">
        <is>
          <t>Avverkning för annat ändamål</t>
        </is>
      </c>
      <c r="D1130" s="1" t="n">
        <v>44788</v>
      </c>
      <c r="E1130" s="1" t="n">
        <v>46307</v>
      </c>
      <c r="F1130" t="inlineStr">
        <is>
          <t>VÄRMLANDS LÄN</t>
        </is>
      </c>
      <c r="G1130" t="inlineStr">
        <is>
          <t>STORFORS</t>
        </is>
      </c>
      <c r="I1130" t="n">
        <v>0.4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7415-2022</t>
        </is>
      </c>
      <c r="B1131" t="inlineStr">
        <is>
          <t>avverkningsanmälan</t>
        </is>
      </c>
      <c r="C1131" t="inlineStr">
        <is>
          <t>Föryngringsavverkning</t>
        </is>
      </c>
      <c r="D1131" s="1" t="n">
        <v>44606</v>
      </c>
      <c r="E1131" s="1" t="n">
        <v>46307</v>
      </c>
      <c r="F1131" t="inlineStr">
        <is>
          <t>VÄRMLANDS LÄN</t>
        </is>
      </c>
      <c r="G1131" t="inlineStr">
        <is>
          <t>FILIPSTAD</t>
        </is>
      </c>
      <c r="H1131" t="inlineStr">
        <is>
          <t>Bergvik skog väst AB</t>
        </is>
      </c>
      <c r="I1131" t="n">
        <v>0.5</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2966-2022</t>
        </is>
      </c>
      <c r="B1132" t="inlineStr">
        <is>
          <t>avverkningsanmälan</t>
        </is>
      </c>
      <c r="C1132" t="inlineStr">
        <is>
          <t>Föryngringsavverkning</t>
        </is>
      </c>
      <c r="D1132" s="1" t="n">
        <v>44581</v>
      </c>
      <c r="E1132" s="1" t="n">
        <v>46307</v>
      </c>
      <c r="F1132" t="inlineStr">
        <is>
          <t>VÄRMLANDS LÄN</t>
        </is>
      </c>
      <c r="G1132" t="inlineStr">
        <is>
          <t>ÅRJÄNG</t>
        </is>
      </c>
      <c r="I1132" t="n">
        <v>4.7</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43806-2022</t>
        </is>
      </c>
      <c r="B1133" t="inlineStr">
        <is>
          <t>avverkningsanmälan</t>
        </is>
      </c>
      <c r="C1133" t="inlineStr">
        <is>
          <t>Föryngringsavverkning</t>
        </is>
      </c>
      <c r="D1133" s="1" t="n">
        <v>44838</v>
      </c>
      <c r="E1133" s="1" t="n">
        <v>46307</v>
      </c>
      <c r="F1133" t="inlineStr">
        <is>
          <t>VÄRMLANDS LÄN</t>
        </is>
      </c>
      <c r="G1133" t="inlineStr">
        <is>
          <t>GRUMS</t>
        </is>
      </c>
      <c r="I1133" t="n">
        <v>2.9</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8766-2022</t>
        </is>
      </c>
      <c r="B1134" t="inlineStr">
        <is>
          <t>avverkningsanmälan</t>
        </is>
      </c>
      <c r="C1134" t="inlineStr">
        <is>
          <t>Avverkning för annat ändamål</t>
        </is>
      </c>
      <c r="D1134" s="1" t="n">
        <v>44614</v>
      </c>
      <c r="E1134" s="1" t="n">
        <v>46307</v>
      </c>
      <c r="F1134" t="inlineStr">
        <is>
          <t>VÄRMLANDS LÄN</t>
        </is>
      </c>
      <c r="G1134" t="inlineStr">
        <is>
          <t>SUNNE</t>
        </is>
      </c>
      <c r="H1134" t="inlineStr">
        <is>
          <t>Bergvik skog väst AB</t>
        </is>
      </c>
      <c r="I1134" t="n">
        <v>1.6</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50953-2022</t>
        </is>
      </c>
      <c r="B1135" t="inlineStr">
        <is>
          <t>avverkningsanmälan</t>
        </is>
      </c>
      <c r="C1135" t="inlineStr">
        <is>
          <t>Föryngringsavverkning</t>
        </is>
      </c>
      <c r="D1135" s="1" t="n">
        <v>44866</v>
      </c>
      <c r="E1135" s="1" t="n">
        <v>46307</v>
      </c>
      <c r="F1135" t="inlineStr">
        <is>
          <t>VÄRMLANDS LÄN</t>
        </is>
      </c>
      <c r="G1135" t="inlineStr">
        <is>
          <t>TORSBY</t>
        </is>
      </c>
      <c r="I1135" t="n">
        <v>1.7</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66599-2021</t>
        </is>
      </c>
      <c r="B1136" t="inlineStr">
        <is>
          <t>avverkningsanmälan</t>
        </is>
      </c>
      <c r="C1136" t="inlineStr">
        <is>
          <t>Avverkning för annat ändamål</t>
        </is>
      </c>
      <c r="D1136" s="1" t="n">
        <v>44519</v>
      </c>
      <c r="E1136" s="1" t="n">
        <v>46307</v>
      </c>
      <c r="F1136" t="inlineStr">
        <is>
          <t>VÄRMLANDS LÄN</t>
        </is>
      </c>
      <c r="G1136" t="inlineStr">
        <is>
          <t>ÅRJÄNG</t>
        </is>
      </c>
      <c r="I1136" t="n">
        <v>0.5</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70729-2021</t>
        </is>
      </c>
      <c r="B1137" t="inlineStr">
        <is>
          <t>avverkningsanmälan</t>
        </is>
      </c>
      <c r="C1137" t="inlineStr">
        <is>
          <t>Föryngringsavverkning</t>
        </is>
      </c>
      <c r="D1137" s="1" t="n">
        <v>44536</v>
      </c>
      <c r="E1137" s="1" t="n">
        <v>46307</v>
      </c>
      <c r="F1137" t="inlineStr">
        <is>
          <t>VÄRMLANDS LÄN</t>
        </is>
      </c>
      <c r="G1137" t="inlineStr">
        <is>
          <t>KRISTINEHAMN</t>
        </is>
      </c>
      <c r="I1137" t="n">
        <v>0.9</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2993-2022</t>
        </is>
      </c>
      <c r="B1138" t="inlineStr">
        <is>
          <t>avverkningsanmälan</t>
        </is>
      </c>
      <c r="C1138" t="inlineStr">
        <is>
          <t>Föryngringsavverkning</t>
        </is>
      </c>
      <c r="D1138" s="1" t="n">
        <v>44581</v>
      </c>
      <c r="E1138" s="1" t="n">
        <v>46307</v>
      </c>
      <c r="F1138" t="inlineStr">
        <is>
          <t>VÄRMLANDS LÄN</t>
        </is>
      </c>
      <c r="G1138" t="inlineStr">
        <is>
          <t>KIL</t>
        </is>
      </c>
      <c r="I1138" t="n">
        <v>0.6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3029-2022</t>
        </is>
      </c>
      <c r="B1139" t="inlineStr">
        <is>
          <t>avverkningsanmälan</t>
        </is>
      </c>
      <c r="C1139" t="inlineStr">
        <is>
          <t>Föryngringsavverkning</t>
        </is>
      </c>
      <c r="D1139" s="1" t="n">
        <v>44582</v>
      </c>
      <c r="E1139" s="1" t="n">
        <v>46307</v>
      </c>
      <c r="F1139" t="inlineStr">
        <is>
          <t>VÄRMLANDS LÄN</t>
        </is>
      </c>
      <c r="G1139" t="inlineStr">
        <is>
          <t>EDA</t>
        </is>
      </c>
      <c r="I1139" t="n">
        <v>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3030-2022</t>
        </is>
      </c>
      <c r="B1140" t="inlineStr">
        <is>
          <t>avverkningsanmälan</t>
        </is>
      </c>
      <c r="C1140" t="inlineStr">
        <is>
          <t>Föryngringsavverkning</t>
        </is>
      </c>
      <c r="D1140" s="1" t="n">
        <v>44582</v>
      </c>
      <c r="E1140" s="1" t="n">
        <v>46307</v>
      </c>
      <c r="F1140" t="inlineStr">
        <is>
          <t>VÄRMLANDS LÄN</t>
        </is>
      </c>
      <c r="G1140" t="inlineStr">
        <is>
          <t>EDA</t>
        </is>
      </c>
      <c r="I1140" t="n">
        <v>3</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69719-2021</t>
        </is>
      </c>
      <c r="B1141" t="inlineStr">
        <is>
          <t>avverkningsanmälan</t>
        </is>
      </c>
      <c r="C1141" t="inlineStr">
        <is>
          <t>Föryngringsavverkning</t>
        </is>
      </c>
      <c r="D1141" s="1" t="n">
        <v>44532</v>
      </c>
      <c r="E1141" s="1" t="n">
        <v>46307</v>
      </c>
      <c r="F1141" t="inlineStr">
        <is>
          <t>VÄRMLANDS LÄN</t>
        </is>
      </c>
      <c r="G1141" t="inlineStr">
        <is>
          <t>ARVIKA</t>
        </is>
      </c>
      <c r="I1141" t="n">
        <v>0.5</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7602-2022</t>
        </is>
      </c>
      <c r="B1142" t="inlineStr">
        <is>
          <t>avverkningsanmälan</t>
        </is>
      </c>
      <c r="C1142" t="inlineStr">
        <is>
          <t>Föryngringsavverkning</t>
        </is>
      </c>
      <c r="D1142" s="1" t="n">
        <v>44607</v>
      </c>
      <c r="E1142" s="1" t="n">
        <v>46307</v>
      </c>
      <c r="F1142" t="inlineStr">
        <is>
          <t>VÄRMLANDS LÄN</t>
        </is>
      </c>
      <c r="G1142" t="inlineStr">
        <is>
          <t>HAGFORS</t>
        </is>
      </c>
      <c r="H1142" t="inlineStr">
        <is>
          <t>Bergvik skog väst AB</t>
        </is>
      </c>
      <c r="I1142" t="n">
        <v>3.9</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12583-2022</t>
        </is>
      </c>
      <c r="B1143" t="inlineStr">
        <is>
          <t>avverkningsanmälan</t>
        </is>
      </c>
      <c r="C1143" t="inlineStr">
        <is>
          <t>Föryngringsavverkning</t>
        </is>
      </c>
      <c r="D1143" s="1" t="n">
        <v>44639</v>
      </c>
      <c r="E1143" s="1" t="n">
        <v>46307</v>
      </c>
      <c r="F1143" t="inlineStr">
        <is>
          <t>VÄRMLANDS LÄN</t>
        </is>
      </c>
      <c r="G1143" t="inlineStr">
        <is>
          <t>ÅRJÄNG</t>
        </is>
      </c>
      <c r="I1143" t="n">
        <v>1.6</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1330-2022</t>
        </is>
      </c>
      <c r="B1144" t="inlineStr">
        <is>
          <t>avverkningsanmälan</t>
        </is>
      </c>
      <c r="C1144" t="inlineStr">
        <is>
          <t>Avverkning för annat ändamål</t>
        </is>
      </c>
      <c r="D1144" s="1" t="n">
        <v>44572</v>
      </c>
      <c r="E1144" s="1" t="n">
        <v>46307</v>
      </c>
      <c r="F1144" t="inlineStr">
        <is>
          <t>VÄRMLANDS LÄN</t>
        </is>
      </c>
      <c r="G1144" t="inlineStr">
        <is>
          <t>KIL</t>
        </is>
      </c>
      <c r="I1144" t="n">
        <v>2.2</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13882-2022</t>
        </is>
      </c>
      <c r="B1145" t="inlineStr">
        <is>
          <t>avverkningsanmälan</t>
        </is>
      </c>
      <c r="C1145" t="inlineStr">
        <is>
          <t>Föryngringsavverkning</t>
        </is>
      </c>
      <c r="D1145" s="1" t="n">
        <v>44650</v>
      </c>
      <c r="E1145" s="1" t="n">
        <v>46307</v>
      </c>
      <c r="F1145" t="inlineStr">
        <is>
          <t>VÄRMLANDS LÄN</t>
        </is>
      </c>
      <c r="G1145" t="inlineStr">
        <is>
          <t>KARLSTAD</t>
        </is>
      </c>
      <c r="H1145" t="inlineStr">
        <is>
          <t>Bergvik skog väst AB</t>
        </is>
      </c>
      <c r="I1145" t="n">
        <v>0.6</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6524-2022</t>
        </is>
      </c>
      <c r="B1146" t="inlineStr">
        <is>
          <t>avverkningsanmälan</t>
        </is>
      </c>
      <c r="C1146" t="inlineStr">
        <is>
          <t>Föryngringsavverkning</t>
        </is>
      </c>
      <c r="D1146" s="1" t="n">
        <v>44601</v>
      </c>
      <c r="E1146" s="1" t="n">
        <v>46307</v>
      </c>
      <c r="F1146" t="inlineStr">
        <is>
          <t>VÄRMLANDS LÄN</t>
        </is>
      </c>
      <c r="G1146" t="inlineStr">
        <is>
          <t>ÅRJÄNG</t>
        </is>
      </c>
      <c r="I1146" t="n">
        <v>2.6</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22701-2022</t>
        </is>
      </c>
      <c r="B1147" t="inlineStr">
        <is>
          <t>avverkningsanmälan</t>
        </is>
      </c>
      <c r="C1147" t="inlineStr">
        <is>
          <t>Föryngringsavverkning</t>
        </is>
      </c>
      <c r="D1147" s="1" t="n">
        <v>44714</v>
      </c>
      <c r="E1147" s="1" t="n">
        <v>46307</v>
      </c>
      <c r="F1147" t="inlineStr">
        <is>
          <t>VÄRMLANDS LÄN</t>
        </is>
      </c>
      <c r="G1147" t="inlineStr">
        <is>
          <t>SUNNE</t>
        </is>
      </c>
      <c r="I1147" t="n">
        <v>0.8</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46718-2022</t>
        </is>
      </c>
      <c r="B1148" t="inlineStr">
        <is>
          <t>avverkningsanmälan</t>
        </is>
      </c>
      <c r="C1148" t="inlineStr">
        <is>
          <t>Föryngringsavverkning</t>
        </is>
      </c>
      <c r="D1148" s="1" t="n">
        <v>44851</v>
      </c>
      <c r="E1148" s="1" t="n">
        <v>46307</v>
      </c>
      <c r="F1148" t="inlineStr">
        <is>
          <t>VÄRMLANDS LÄN</t>
        </is>
      </c>
      <c r="G1148" t="inlineStr">
        <is>
          <t>EDA</t>
        </is>
      </c>
      <c r="I1148" t="n">
        <v>3</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41025-2022</t>
        </is>
      </c>
      <c r="B1149" t="inlineStr">
        <is>
          <t>avverkningsanmälan</t>
        </is>
      </c>
      <c r="C1149" t="inlineStr">
        <is>
          <t>Föryngringsavverkning</t>
        </is>
      </c>
      <c r="D1149" s="1" t="n">
        <v>44824</v>
      </c>
      <c r="E1149" s="1" t="n">
        <v>46307</v>
      </c>
      <c r="F1149" t="inlineStr">
        <is>
          <t>VÄRMLANDS LÄN</t>
        </is>
      </c>
      <c r="G1149" t="inlineStr">
        <is>
          <t>SÄFFLE</t>
        </is>
      </c>
      <c r="I1149" t="n">
        <v>2.5</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28534-2022</t>
        </is>
      </c>
      <c r="B1150" t="inlineStr">
        <is>
          <t>avverkningsanmälan</t>
        </is>
      </c>
      <c r="C1150" t="inlineStr">
        <is>
          <t>Föryngringsavverkning</t>
        </is>
      </c>
      <c r="D1150" s="1" t="n">
        <v>44748</v>
      </c>
      <c r="E1150" s="1" t="n">
        <v>46307</v>
      </c>
      <c r="F1150" t="inlineStr">
        <is>
          <t>VÄRMLANDS LÄN</t>
        </is>
      </c>
      <c r="G1150" t="inlineStr">
        <is>
          <t>SÄFFLE</t>
        </is>
      </c>
      <c r="I1150" t="n">
        <v>1.2</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37413-2022</t>
        </is>
      </c>
      <c r="B1151" t="inlineStr">
        <is>
          <t>avverkningsanmälan</t>
        </is>
      </c>
      <c r="C1151" t="inlineStr">
        <is>
          <t>Föryngringsavverkning</t>
        </is>
      </c>
      <c r="D1151" s="1" t="n">
        <v>44808</v>
      </c>
      <c r="E1151" s="1" t="n">
        <v>46307</v>
      </c>
      <c r="F1151" t="inlineStr">
        <is>
          <t>VÄRMLANDS LÄN</t>
        </is>
      </c>
      <c r="G1151" t="inlineStr">
        <is>
          <t>ARVIKA</t>
        </is>
      </c>
      <c r="I1151" t="n">
        <v>4</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23851-2022</t>
        </is>
      </c>
      <c r="B1152" t="inlineStr">
        <is>
          <t>avverkningsanmälan</t>
        </is>
      </c>
      <c r="C1152" t="inlineStr">
        <is>
          <t>Avverkning för annat ändamål</t>
        </is>
      </c>
      <c r="D1152" s="1" t="n">
        <v>44722</v>
      </c>
      <c r="E1152" s="1" t="n">
        <v>46307</v>
      </c>
      <c r="F1152" t="inlineStr">
        <is>
          <t>VÄRMLANDS LÄN</t>
        </is>
      </c>
      <c r="G1152" t="inlineStr">
        <is>
          <t>TORSBY</t>
        </is>
      </c>
      <c r="I1152" t="n">
        <v>3.6</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23301-2022</t>
        </is>
      </c>
      <c r="B1153" t="inlineStr">
        <is>
          <t>avverkningsanmälan</t>
        </is>
      </c>
      <c r="C1153" t="inlineStr">
        <is>
          <t>Föryngringsavverkning</t>
        </is>
      </c>
      <c r="D1153" s="1" t="n">
        <v>44720</v>
      </c>
      <c r="E1153" s="1" t="n">
        <v>46307</v>
      </c>
      <c r="F1153" t="inlineStr">
        <is>
          <t>VÄRMLANDS LÄN</t>
        </is>
      </c>
      <c r="G1153" t="inlineStr">
        <is>
          <t>SUNNE</t>
        </is>
      </c>
      <c r="I1153" t="n">
        <v>0.8</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36562-2022</t>
        </is>
      </c>
      <c r="B1154" t="inlineStr">
        <is>
          <t>avverkningsanmälan</t>
        </is>
      </c>
      <c r="C1154" t="inlineStr">
        <is>
          <t>Föryngringsavverkning</t>
        </is>
      </c>
      <c r="D1154" s="1" t="n">
        <v>44804</v>
      </c>
      <c r="E1154" s="1" t="n">
        <v>46307</v>
      </c>
      <c r="F1154" t="inlineStr">
        <is>
          <t>VÄRMLANDS LÄN</t>
        </is>
      </c>
      <c r="G1154" t="inlineStr">
        <is>
          <t>TORSBY</t>
        </is>
      </c>
      <c r="I1154" t="n">
        <v>9.1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8578-2022</t>
        </is>
      </c>
      <c r="B1155" t="inlineStr">
        <is>
          <t>avverkningsanmälan</t>
        </is>
      </c>
      <c r="C1155" t="inlineStr">
        <is>
          <t>Föryngringsavverkning</t>
        </is>
      </c>
      <c r="D1155" s="1" t="n">
        <v>44613</v>
      </c>
      <c r="E1155" s="1" t="n">
        <v>46307</v>
      </c>
      <c r="F1155" t="inlineStr">
        <is>
          <t>VÄRMLANDS LÄN</t>
        </is>
      </c>
      <c r="G1155" t="inlineStr">
        <is>
          <t>ARVIKA</t>
        </is>
      </c>
      <c r="I1155" t="n">
        <v>1.4</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26295-2022</t>
        </is>
      </c>
      <c r="B1156" t="inlineStr">
        <is>
          <t>avverkningsanmälan</t>
        </is>
      </c>
      <c r="C1156" t="inlineStr">
        <is>
          <t>Föryngringsavverkning</t>
        </is>
      </c>
      <c r="D1156" s="1" t="n">
        <v>44735</v>
      </c>
      <c r="E1156" s="1" t="n">
        <v>46307</v>
      </c>
      <c r="F1156" t="inlineStr">
        <is>
          <t>VÄRMLANDS LÄN</t>
        </is>
      </c>
      <c r="G1156" t="inlineStr">
        <is>
          <t>SÄFFLE</t>
        </is>
      </c>
      <c r="I1156" t="n">
        <v>1.8</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12043-2022</t>
        </is>
      </c>
      <c r="B1157" t="inlineStr">
        <is>
          <t>avverkningsanmälan</t>
        </is>
      </c>
      <c r="C1157" t="inlineStr">
        <is>
          <t>Föryngringsavverkning</t>
        </is>
      </c>
      <c r="D1157" s="1" t="n">
        <v>44636</v>
      </c>
      <c r="E1157" s="1" t="n">
        <v>46307</v>
      </c>
      <c r="F1157" t="inlineStr">
        <is>
          <t>VÄRMLANDS LÄN</t>
        </is>
      </c>
      <c r="G1157" t="inlineStr">
        <is>
          <t>KIL</t>
        </is>
      </c>
      <c r="I1157" t="n">
        <v>0.8</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27189-2022</t>
        </is>
      </c>
      <c r="B1158" t="inlineStr">
        <is>
          <t>avverkningsanmälan</t>
        </is>
      </c>
      <c r="C1158" t="inlineStr">
        <is>
          <t>Föryngringsavverkning</t>
        </is>
      </c>
      <c r="D1158" s="1" t="n">
        <v>44741</v>
      </c>
      <c r="E1158" s="1" t="n">
        <v>46307</v>
      </c>
      <c r="F1158" t="inlineStr">
        <is>
          <t>VÄRMLANDS LÄN</t>
        </is>
      </c>
      <c r="G1158" t="inlineStr">
        <is>
          <t>KRISTINEHAMN</t>
        </is>
      </c>
      <c r="H1158" t="inlineStr">
        <is>
          <t>Bergvik skog väst AB</t>
        </is>
      </c>
      <c r="I1158" t="n">
        <v>2.9</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36458-2022</t>
        </is>
      </c>
      <c r="B1159" t="inlineStr">
        <is>
          <t>avverkningsanmälan</t>
        </is>
      </c>
      <c r="C1159" t="inlineStr">
        <is>
          <t>Föryngringsavverkning</t>
        </is>
      </c>
      <c r="D1159" s="1" t="n">
        <v>44804</v>
      </c>
      <c r="E1159" s="1" t="n">
        <v>46307</v>
      </c>
      <c r="F1159" t="inlineStr">
        <is>
          <t>VÄRMLANDS LÄN</t>
        </is>
      </c>
      <c r="G1159" t="inlineStr">
        <is>
          <t>ARVIKA</t>
        </is>
      </c>
      <c r="I1159" t="n">
        <v>0.6</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28198-2022</t>
        </is>
      </c>
      <c r="B1160" t="inlineStr">
        <is>
          <t>avverkningsanmälan</t>
        </is>
      </c>
      <c r="C1160" t="inlineStr">
        <is>
          <t>Föryngringsavverkning</t>
        </is>
      </c>
      <c r="D1160" s="1" t="n">
        <v>44746</v>
      </c>
      <c r="E1160" s="1" t="n">
        <v>46307</v>
      </c>
      <c r="F1160" t="inlineStr">
        <is>
          <t>VÄRMLANDS LÄN</t>
        </is>
      </c>
      <c r="G1160" t="inlineStr">
        <is>
          <t>FILIPSTAD</t>
        </is>
      </c>
      <c r="H1160" t="inlineStr">
        <is>
          <t>Bergvik skog väst AB</t>
        </is>
      </c>
      <c r="I1160" t="n">
        <v>0.7</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16399-2022</t>
        </is>
      </c>
      <c r="B1161" t="inlineStr">
        <is>
          <t>avverkningsanmälan</t>
        </is>
      </c>
      <c r="C1161" t="inlineStr">
        <is>
          <t>Föryngringsavverkning</t>
        </is>
      </c>
      <c r="D1161" s="1" t="n">
        <v>44671</v>
      </c>
      <c r="E1161" s="1" t="n">
        <v>46307</v>
      </c>
      <c r="F1161" t="inlineStr">
        <is>
          <t>VÄRMLANDS LÄN</t>
        </is>
      </c>
      <c r="G1161" t="inlineStr">
        <is>
          <t>ÅRJÄNG</t>
        </is>
      </c>
      <c r="I1161" t="n">
        <v>0.9</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45666-2022</t>
        </is>
      </c>
      <c r="B1162" t="inlineStr">
        <is>
          <t>avverkningsanmälan</t>
        </is>
      </c>
      <c r="C1162" t="inlineStr">
        <is>
          <t>Avverkning för annat ändamål</t>
        </is>
      </c>
      <c r="D1162" s="1" t="n">
        <v>44845</v>
      </c>
      <c r="E1162" s="1" t="n">
        <v>46307</v>
      </c>
      <c r="F1162" t="inlineStr">
        <is>
          <t>VÄRMLANDS LÄN</t>
        </is>
      </c>
      <c r="G1162" t="inlineStr">
        <is>
          <t>TORSBY</t>
        </is>
      </c>
      <c r="I1162" t="n">
        <v>0.5</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18779-2022</t>
        </is>
      </c>
      <c r="B1163" t="inlineStr">
        <is>
          <t>avverkningsanmälan</t>
        </is>
      </c>
      <c r="C1163" t="inlineStr">
        <is>
          <t>Föryngringsavverkning</t>
        </is>
      </c>
      <c r="D1163" s="1" t="n">
        <v>44689</v>
      </c>
      <c r="E1163" s="1" t="n">
        <v>46307</v>
      </c>
      <c r="F1163" t="inlineStr">
        <is>
          <t>VÄRMLANDS LÄN</t>
        </is>
      </c>
      <c r="G1163" t="inlineStr">
        <is>
          <t>TORSBY</t>
        </is>
      </c>
      <c r="I1163" t="n">
        <v>5.1</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18791-2022</t>
        </is>
      </c>
      <c r="B1164" t="inlineStr">
        <is>
          <t>avverkningsanmälan</t>
        </is>
      </c>
      <c r="C1164" t="inlineStr">
        <is>
          <t>Föryngringsavverkning</t>
        </is>
      </c>
      <c r="D1164" s="1" t="n">
        <v>44690</v>
      </c>
      <c r="E1164" s="1" t="n">
        <v>46307</v>
      </c>
      <c r="F1164" t="inlineStr">
        <is>
          <t>VÄRMLANDS LÄN</t>
        </is>
      </c>
      <c r="G1164" t="inlineStr">
        <is>
          <t>GRUMS</t>
        </is>
      </c>
      <c r="H1164" t="inlineStr">
        <is>
          <t>Bergvik skog väst AB</t>
        </is>
      </c>
      <c r="I1164" t="n">
        <v>11</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28934-2022</t>
        </is>
      </c>
      <c r="B1165" t="inlineStr">
        <is>
          <t>avverkningsanmälan</t>
        </is>
      </c>
      <c r="C1165" t="inlineStr">
        <is>
          <t>Föryngringsavverkning</t>
        </is>
      </c>
      <c r="D1165" s="1" t="n">
        <v>44749</v>
      </c>
      <c r="E1165" s="1" t="n">
        <v>46307</v>
      </c>
      <c r="F1165" t="inlineStr">
        <is>
          <t>VÄRMLANDS LÄN</t>
        </is>
      </c>
      <c r="G1165" t="inlineStr">
        <is>
          <t>ÅRJÄNG</t>
        </is>
      </c>
      <c r="I1165" t="n">
        <v>0.6</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25970-2022</t>
        </is>
      </c>
      <c r="B1166" t="inlineStr">
        <is>
          <t>avverkningsanmälan</t>
        </is>
      </c>
      <c r="C1166" t="inlineStr">
        <is>
          <t>Föryngringsavverkning</t>
        </is>
      </c>
      <c r="D1166" s="1" t="n">
        <v>44734</v>
      </c>
      <c r="E1166" s="1" t="n">
        <v>46307</v>
      </c>
      <c r="F1166" t="inlineStr">
        <is>
          <t>VÄRMLANDS LÄN</t>
        </is>
      </c>
      <c r="G1166" t="inlineStr">
        <is>
          <t>GRUMS</t>
        </is>
      </c>
      <c r="I1166" t="n">
        <v>2.1</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23134-2022</t>
        </is>
      </c>
      <c r="B1167" t="inlineStr">
        <is>
          <t>avverkningsanmälan</t>
        </is>
      </c>
      <c r="C1167" t="inlineStr">
        <is>
          <t>Föryngringsavverkning</t>
        </is>
      </c>
      <c r="D1167" s="1" t="n">
        <v>44719</v>
      </c>
      <c r="E1167" s="1" t="n">
        <v>46307</v>
      </c>
      <c r="F1167" t="inlineStr">
        <is>
          <t>VÄRMLANDS LÄN</t>
        </is>
      </c>
      <c r="G1167" t="inlineStr">
        <is>
          <t>SUNNE</t>
        </is>
      </c>
      <c r="I1167" t="n">
        <v>1.4</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70861-2021</t>
        </is>
      </c>
      <c r="B1168" t="inlineStr">
        <is>
          <t>avverkningsanmälan</t>
        </is>
      </c>
      <c r="C1168" t="inlineStr">
        <is>
          <t>Föryngringsavverkning</t>
        </is>
      </c>
      <c r="D1168" s="1" t="n">
        <v>44538</v>
      </c>
      <c r="E1168" s="1" t="n">
        <v>46307</v>
      </c>
      <c r="F1168" t="inlineStr">
        <is>
          <t>VÄRMLANDS LÄN</t>
        </is>
      </c>
      <c r="G1168" t="inlineStr">
        <is>
          <t>EDA</t>
        </is>
      </c>
      <c r="I1168" t="n">
        <v>0.6</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70942-2021</t>
        </is>
      </c>
      <c r="B1169" t="inlineStr">
        <is>
          <t>avverkningsanmälan</t>
        </is>
      </c>
      <c r="C1169" t="inlineStr">
        <is>
          <t>Föryngringsavverkning</t>
        </is>
      </c>
      <c r="D1169" s="1" t="n">
        <v>44538</v>
      </c>
      <c r="E1169" s="1" t="n">
        <v>46307</v>
      </c>
      <c r="F1169" t="inlineStr">
        <is>
          <t>VÄRMLANDS LÄN</t>
        </is>
      </c>
      <c r="G1169" t="inlineStr">
        <is>
          <t>KIL</t>
        </is>
      </c>
      <c r="I1169" t="n">
        <v>1.1</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65551-2021</t>
        </is>
      </c>
      <c r="B1170" t="inlineStr">
        <is>
          <t>avverkningsanmälan</t>
        </is>
      </c>
      <c r="C1170" t="inlineStr">
        <is>
          <t>Föryngringsavverkning</t>
        </is>
      </c>
      <c r="D1170" s="1" t="n">
        <v>44516</v>
      </c>
      <c r="E1170" s="1" t="n">
        <v>46307</v>
      </c>
      <c r="F1170" t="inlineStr">
        <is>
          <t>VÄRMLANDS LÄN</t>
        </is>
      </c>
      <c r="G1170" t="inlineStr">
        <is>
          <t>HAGFORS</t>
        </is>
      </c>
      <c r="I1170" t="n">
        <v>0.9</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52830-2022</t>
        </is>
      </c>
      <c r="B1171" t="inlineStr">
        <is>
          <t>avverkningsanmälan</t>
        </is>
      </c>
      <c r="C1171" t="inlineStr">
        <is>
          <t>Föryngringsavverkning</t>
        </is>
      </c>
      <c r="D1171" s="1" t="n">
        <v>44875</v>
      </c>
      <c r="E1171" s="1" t="n">
        <v>46307</v>
      </c>
      <c r="F1171" t="inlineStr">
        <is>
          <t>VÄRMLANDS LÄN</t>
        </is>
      </c>
      <c r="G1171" t="inlineStr">
        <is>
          <t>ÅRJÄNG</t>
        </is>
      </c>
      <c r="I1171" t="n">
        <v>0.9</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74187-2021</t>
        </is>
      </c>
      <c r="B1172" t="inlineStr">
        <is>
          <t>avverkningsanmälan</t>
        </is>
      </c>
      <c r="C1172" t="inlineStr">
        <is>
          <t>Föryngringsavverkning</t>
        </is>
      </c>
      <c r="D1172" s="1" t="n">
        <v>44553</v>
      </c>
      <c r="E1172" s="1" t="n">
        <v>46307</v>
      </c>
      <c r="F1172" t="inlineStr">
        <is>
          <t>VÄRMLANDS LÄN</t>
        </is>
      </c>
      <c r="G1172" t="inlineStr">
        <is>
          <t>ÅRJÄNG</t>
        </is>
      </c>
      <c r="I1172" t="n">
        <v>1</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24414-2022</t>
        </is>
      </c>
      <c r="B1173" t="inlineStr">
        <is>
          <t>avverkningsanmälan</t>
        </is>
      </c>
      <c r="C1173" t="inlineStr">
        <is>
          <t>Föryngringsavverkning</t>
        </is>
      </c>
      <c r="D1173" s="1" t="n">
        <v>44726</v>
      </c>
      <c r="E1173" s="1" t="n">
        <v>46307</v>
      </c>
      <c r="F1173" t="inlineStr">
        <is>
          <t>VÄRMLANDS LÄN</t>
        </is>
      </c>
      <c r="G1173" t="inlineStr">
        <is>
          <t>FORSHAGA</t>
        </is>
      </c>
      <c r="I1173" t="n">
        <v>0.6</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27983-2022</t>
        </is>
      </c>
      <c r="B1174" t="inlineStr">
        <is>
          <t>avverkningsanmälan</t>
        </is>
      </c>
      <c r="C1174" t="inlineStr">
        <is>
          <t>Avverkning för annat ändamål</t>
        </is>
      </c>
      <c r="D1174" s="1" t="n">
        <v>44745</v>
      </c>
      <c r="E1174" s="1" t="n">
        <v>46307</v>
      </c>
      <c r="F1174" t="inlineStr">
        <is>
          <t>VÄRMLANDS LÄN</t>
        </is>
      </c>
      <c r="G1174" t="inlineStr">
        <is>
          <t>SÄFFLE</t>
        </is>
      </c>
      <c r="I1174" t="n">
        <v>1</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1932-2022</t>
        </is>
      </c>
      <c r="B1175" t="inlineStr">
        <is>
          <t>avverkningsanmälan</t>
        </is>
      </c>
      <c r="C1175" t="inlineStr">
        <is>
          <t>Föryngringsavverkning</t>
        </is>
      </c>
      <c r="D1175" s="1" t="n">
        <v>44575</v>
      </c>
      <c r="E1175" s="1" t="n">
        <v>46307</v>
      </c>
      <c r="F1175" t="inlineStr">
        <is>
          <t>VÄRMLANDS LÄN</t>
        </is>
      </c>
      <c r="G1175" t="inlineStr">
        <is>
          <t>ÅRJÄNG</t>
        </is>
      </c>
      <c r="I1175" t="n">
        <v>2.4</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65556-2021</t>
        </is>
      </c>
      <c r="B1176" t="inlineStr">
        <is>
          <t>avverkningsanmälan</t>
        </is>
      </c>
      <c r="C1176" t="inlineStr">
        <is>
          <t>Föryngringsavverkning</t>
        </is>
      </c>
      <c r="D1176" s="1" t="n">
        <v>44516</v>
      </c>
      <c r="E1176" s="1" t="n">
        <v>46307</v>
      </c>
      <c r="F1176" t="inlineStr">
        <is>
          <t>VÄRMLANDS LÄN</t>
        </is>
      </c>
      <c r="G1176" t="inlineStr">
        <is>
          <t>HAGFORS</t>
        </is>
      </c>
      <c r="I1176" t="n">
        <v>0.9</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1453-2022</t>
        </is>
      </c>
      <c r="B1177" t="inlineStr">
        <is>
          <t>avverkningsanmälan</t>
        </is>
      </c>
      <c r="C1177" t="inlineStr">
        <is>
          <t>Föryngringsavverkning</t>
        </is>
      </c>
      <c r="D1177" s="1" t="n">
        <v>44573</v>
      </c>
      <c r="E1177" s="1" t="n">
        <v>46307</v>
      </c>
      <c r="F1177" t="inlineStr">
        <is>
          <t>VÄRMLANDS LÄN</t>
        </is>
      </c>
      <c r="G1177" t="inlineStr">
        <is>
          <t>ARVIKA</t>
        </is>
      </c>
      <c r="I1177" t="n">
        <v>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3369-2022</t>
        </is>
      </c>
      <c r="B1178" t="inlineStr">
        <is>
          <t>avverkningsanmälan</t>
        </is>
      </c>
      <c r="C1178" t="inlineStr">
        <is>
          <t>Föryngringsavverkning</t>
        </is>
      </c>
      <c r="D1178" s="1" t="n">
        <v>44585</v>
      </c>
      <c r="E1178" s="1" t="n">
        <v>46307</v>
      </c>
      <c r="F1178" t="inlineStr">
        <is>
          <t>VÄRMLANDS LÄN</t>
        </is>
      </c>
      <c r="G1178" t="inlineStr">
        <is>
          <t>TORSBY</t>
        </is>
      </c>
      <c r="I1178" t="n">
        <v>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18840-2022</t>
        </is>
      </c>
      <c r="B1179" t="inlineStr">
        <is>
          <t>avverkningsanmälan</t>
        </is>
      </c>
      <c r="C1179" t="inlineStr">
        <is>
          <t>Föryngringsavverkning</t>
        </is>
      </c>
      <c r="D1179" s="1" t="n">
        <v>44690</v>
      </c>
      <c r="E1179" s="1" t="n">
        <v>46307</v>
      </c>
      <c r="F1179" t="inlineStr">
        <is>
          <t>VÄRMLANDS LÄN</t>
        </is>
      </c>
      <c r="G1179" t="inlineStr">
        <is>
          <t>ÅRJÄNG</t>
        </is>
      </c>
      <c r="I1179" t="n">
        <v>2.9</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2653-2022</t>
        </is>
      </c>
      <c r="B1180" t="inlineStr">
        <is>
          <t>avverkningsanmälan</t>
        </is>
      </c>
      <c r="C1180" t="inlineStr">
        <is>
          <t>Föryngringsavverkning</t>
        </is>
      </c>
      <c r="D1180" s="1" t="n">
        <v>44580</v>
      </c>
      <c r="E1180" s="1" t="n">
        <v>46307</v>
      </c>
      <c r="F1180" t="inlineStr">
        <is>
          <t>VÄRMLANDS LÄN</t>
        </is>
      </c>
      <c r="G1180" t="inlineStr">
        <is>
          <t>ARVIKA</t>
        </is>
      </c>
      <c r="H1180" t="inlineStr">
        <is>
          <t>Bergvik skog väst AB</t>
        </is>
      </c>
      <c r="I1180" t="n">
        <v>0.7</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61099-2021</t>
        </is>
      </c>
      <c r="B1181" t="inlineStr">
        <is>
          <t>avverkningsanmälan</t>
        </is>
      </c>
      <c r="C1181" t="inlineStr">
        <is>
          <t>Föryngringsavverkning</t>
        </is>
      </c>
      <c r="D1181" s="1" t="n">
        <v>44498</v>
      </c>
      <c r="E1181" s="1" t="n">
        <v>46307</v>
      </c>
      <c r="F1181" t="inlineStr">
        <is>
          <t>VÄRMLANDS LÄN</t>
        </is>
      </c>
      <c r="G1181" t="inlineStr">
        <is>
          <t>KARLSTAD</t>
        </is>
      </c>
      <c r="I1181" t="n">
        <v>4.9</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44802-2022</t>
        </is>
      </c>
      <c r="B1182" t="inlineStr">
        <is>
          <t>avverkningsanmälan</t>
        </is>
      </c>
      <c r="C1182" t="inlineStr">
        <is>
          <t>Föryngringsavverkning</t>
        </is>
      </c>
      <c r="D1182" s="1" t="n">
        <v>44841</v>
      </c>
      <c r="E1182" s="1" t="n">
        <v>46307</v>
      </c>
      <c r="F1182" t="inlineStr">
        <is>
          <t>VÄRMLANDS LÄN</t>
        </is>
      </c>
      <c r="G1182" t="inlineStr">
        <is>
          <t>STORFORS</t>
        </is>
      </c>
      <c r="I1182" t="n">
        <v>0.5</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38833-2022</t>
        </is>
      </c>
      <c r="B1183" t="inlineStr">
        <is>
          <t>avverkningsanmälan</t>
        </is>
      </c>
      <c r="C1183" t="inlineStr">
        <is>
          <t>Föryngringsavverkning</t>
        </is>
      </c>
      <c r="D1183" s="1" t="n">
        <v>44816</v>
      </c>
      <c r="E1183" s="1" t="n">
        <v>46307</v>
      </c>
      <c r="F1183" t="inlineStr">
        <is>
          <t>VÄRMLANDS LÄN</t>
        </is>
      </c>
      <c r="G1183" t="inlineStr">
        <is>
          <t>EDA</t>
        </is>
      </c>
      <c r="I1183" t="n">
        <v>0.9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2421-2022</t>
        </is>
      </c>
      <c r="B1184" t="inlineStr">
        <is>
          <t>avverkningsanmälan</t>
        </is>
      </c>
      <c r="C1184" t="inlineStr">
        <is>
          <t>Föryngringsavverkning</t>
        </is>
      </c>
      <c r="D1184" s="1" t="n">
        <v>44579</v>
      </c>
      <c r="E1184" s="1" t="n">
        <v>46307</v>
      </c>
      <c r="F1184" t="inlineStr">
        <is>
          <t>VÄRMLANDS LÄN</t>
        </is>
      </c>
      <c r="G1184" t="inlineStr">
        <is>
          <t>TORSBY</t>
        </is>
      </c>
      <c r="I1184" t="n">
        <v>1.5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19669-2022</t>
        </is>
      </c>
      <c r="B1185" t="inlineStr">
        <is>
          <t>avverkningsanmälan</t>
        </is>
      </c>
      <c r="C1185" t="inlineStr">
        <is>
          <t>Föryngringsavverkning</t>
        </is>
      </c>
      <c r="D1185" s="1" t="n">
        <v>44694</v>
      </c>
      <c r="E1185" s="1" t="n">
        <v>46307</v>
      </c>
      <c r="F1185" t="inlineStr">
        <is>
          <t>VÄRMLANDS LÄN</t>
        </is>
      </c>
      <c r="G1185" t="inlineStr">
        <is>
          <t>GRUMS</t>
        </is>
      </c>
      <c r="I1185" t="n">
        <v>1</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26810-2022</t>
        </is>
      </c>
      <c r="B1186" t="inlineStr">
        <is>
          <t>avverkningsanmälan</t>
        </is>
      </c>
      <c r="C1186" t="inlineStr">
        <is>
          <t>Föryngringsavverkning</t>
        </is>
      </c>
      <c r="D1186" s="1" t="n">
        <v>44740</v>
      </c>
      <c r="E1186" s="1" t="n">
        <v>46307</v>
      </c>
      <c r="F1186" t="inlineStr">
        <is>
          <t>VÄRMLANDS LÄN</t>
        </is>
      </c>
      <c r="G1186" t="inlineStr">
        <is>
          <t>EDA</t>
        </is>
      </c>
      <c r="I1186" t="n">
        <v>1.2</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29988-2022</t>
        </is>
      </c>
      <c r="B1187" t="inlineStr">
        <is>
          <t>avverkningsanmälan</t>
        </is>
      </c>
      <c r="C1187" t="inlineStr">
        <is>
          <t>Föryngringsavverkning</t>
        </is>
      </c>
      <c r="D1187" s="1" t="n">
        <v>44756</v>
      </c>
      <c r="E1187" s="1" t="n">
        <v>46307</v>
      </c>
      <c r="F1187" t="inlineStr">
        <is>
          <t>VÄRMLANDS LÄN</t>
        </is>
      </c>
      <c r="G1187" t="inlineStr">
        <is>
          <t>HAGFORS</t>
        </is>
      </c>
      <c r="I1187" t="n">
        <v>2</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2141-2022</t>
        </is>
      </c>
      <c r="B1188" t="inlineStr">
        <is>
          <t>avverkningsanmälan</t>
        </is>
      </c>
      <c r="C1188" t="inlineStr">
        <is>
          <t>Föryngringsavverkning</t>
        </is>
      </c>
      <c r="D1188" s="1" t="n">
        <v>44571</v>
      </c>
      <c r="E1188" s="1" t="n">
        <v>46307</v>
      </c>
      <c r="F1188" t="inlineStr">
        <is>
          <t>VÄRMLANDS LÄN</t>
        </is>
      </c>
      <c r="G1188" t="inlineStr">
        <is>
          <t>ÅRJÄNG</t>
        </is>
      </c>
      <c r="I1188" t="n">
        <v>1.5</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8207-2022</t>
        </is>
      </c>
      <c r="B1189" t="inlineStr">
        <is>
          <t>avverkningsanmälan</t>
        </is>
      </c>
      <c r="C1189" t="inlineStr">
        <is>
          <t>Avverkning för annat ändamål</t>
        </is>
      </c>
      <c r="D1189" s="1" t="n">
        <v>44609</v>
      </c>
      <c r="E1189" s="1" t="n">
        <v>46307</v>
      </c>
      <c r="F1189" t="inlineStr">
        <is>
          <t>VÄRMLANDS LÄN</t>
        </is>
      </c>
      <c r="G1189" t="inlineStr">
        <is>
          <t>ARVIKA</t>
        </is>
      </c>
      <c r="H1189" t="inlineStr">
        <is>
          <t>Bergvik skog väst AB</t>
        </is>
      </c>
      <c r="I1189" t="n">
        <v>0.7</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43725-2022</t>
        </is>
      </c>
      <c r="B1190" t="inlineStr">
        <is>
          <t>avverkningsanmälan</t>
        </is>
      </c>
      <c r="C1190" t="inlineStr">
        <is>
          <t>Föryngringsavverkning</t>
        </is>
      </c>
      <c r="D1190" s="1" t="n">
        <v>44837</v>
      </c>
      <c r="E1190" s="1" t="n">
        <v>46307</v>
      </c>
      <c r="F1190" t="inlineStr">
        <is>
          <t>VÄRMLANDS LÄN</t>
        </is>
      </c>
      <c r="G1190" t="inlineStr">
        <is>
          <t>EDA</t>
        </is>
      </c>
      <c r="I1190" t="n">
        <v>7.8</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2087-2022</t>
        </is>
      </c>
      <c r="B1191" t="inlineStr">
        <is>
          <t>avverkningsanmälan</t>
        </is>
      </c>
      <c r="C1191" t="inlineStr">
        <is>
          <t>Föryngringsavverkning</t>
        </is>
      </c>
      <c r="D1191" s="1" t="n">
        <v>44576</v>
      </c>
      <c r="E1191" s="1" t="n">
        <v>46307</v>
      </c>
      <c r="F1191" t="inlineStr">
        <is>
          <t>VÄRMLANDS LÄN</t>
        </is>
      </c>
      <c r="G1191" t="inlineStr">
        <is>
          <t>KRISTINEHAMN</t>
        </is>
      </c>
      <c r="I1191" t="n">
        <v>1.8</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34125-2022</t>
        </is>
      </c>
      <c r="B1192" t="inlineStr">
        <is>
          <t>avverkningsanmälan</t>
        </is>
      </c>
      <c r="C1192" t="inlineStr">
        <is>
          <t>Föryngringsavverkning</t>
        </is>
      </c>
      <c r="D1192" s="1" t="n">
        <v>44791</v>
      </c>
      <c r="E1192" s="1" t="n">
        <v>46307</v>
      </c>
      <c r="F1192" t="inlineStr">
        <is>
          <t>VÄRMLANDS LÄN</t>
        </is>
      </c>
      <c r="G1192" t="inlineStr">
        <is>
          <t>KRISTINEHAMN</t>
        </is>
      </c>
      <c r="I1192" t="n">
        <v>3.3</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27729-2022</t>
        </is>
      </c>
      <c r="B1193" t="inlineStr">
        <is>
          <t>avverkningsanmälan</t>
        </is>
      </c>
      <c r="C1193" t="inlineStr">
        <is>
          <t>Föryngringsavverkning</t>
        </is>
      </c>
      <c r="D1193" s="1" t="n">
        <v>44743</v>
      </c>
      <c r="E1193" s="1" t="n">
        <v>46307</v>
      </c>
      <c r="F1193" t="inlineStr">
        <is>
          <t>VÄRMLANDS LÄN</t>
        </is>
      </c>
      <c r="G1193" t="inlineStr">
        <is>
          <t>GRUMS</t>
        </is>
      </c>
      <c r="I1193" t="n">
        <v>2</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47330-2022</t>
        </is>
      </c>
      <c r="B1194" t="inlineStr">
        <is>
          <t>avverkningsanmälan</t>
        </is>
      </c>
      <c r="C1194" t="inlineStr">
        <is>
          <t>Föryngringsavverkning</t>
        </is>
      </c>
      <c r="D1194" s="1" t="n">
        <v>44853</v>
      </c>
      <c r="E1194" s="1" t="n">
        <v>46307</v>
      </c>
      <c r="F1194" t="inlineStr">
        <is>
          <t>VÄRMLANDS LÄN</t>
        </is>
      </c>
      <c r="G1194" t="inlineStr">
        <is>
          <t>KARLSTAD</t>
        </is>
      </c>
      <c r="I1194" t="n">
        <v>0.4</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54365-2022</t>
        </is>
      </c>
      <c r="B1195" t="inlineStr">
        <is>
          <t>avverkningsanmälan</t>
        </is>
      </c>
      <c r="C1195" t="inlineStr">
        <is>
          <t>Föryngringsavverkning</t>
        </is>
      </c>
      <c r="D1195" s="1" t="n">
        <v>44882</v>
      </c>
      <c r="E1195" s="1" t="n">
        <v>46307</v>
      </c>
      <c r="F1195" t="inlineStr">
        <is>
          <t>VÄRMLANDS LÄN</t>
        </is>
      </c>
      <c r="G1195" t="inlineStr">
        <is>
          <t>KARLSTAD</t>
        </is>
      </c>
      <c r="H1195" t="inlineStr">
        <is>
          <t>Kommuner</t>
        </is>
      </c>
      <c r="I1195" t="n">
        <v>0.8</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54441-2022</t>
        </is>
      </c>
      <c r="B1196" t="inlineStr">
        <is>
          <t>avverkningsanmälan</t>
        </is>
      </c>
      <c r="C1196" t="inlineStr">
        <is>
          <t>Föryngringsavverkning</t>
        </is>
      </c>
      <c r="D1196" s="1" t="n">
        <v>44882</v>
      </c>
      <c r="E1196" s="1" t="n">
        <v>46307</v>
      </c>
      <c r="F1196" t="inlineStr">
        <is>
          <t>VÄRMLANDS LÄN</t>
        </is>
      </c>
      <c r="G1196" t="inlineStr">
        <is>
          <t>KARLSTAD</t>
        </is>
      </c>
      <c r="H1196" t="inlineStr">
        <is>
          <t>Kommuner</t>
        </is>
      </c>
      <c r="I1196" t="n">
        <v>0.6</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26922-2022</t>
        </is>
      </c>
      <c r="B1197" t="inlineStr">
        <is>
          <t>avverkningsanmälan</t>
        </is>
      </c>
      <c r="C1197" t="inlineStr">
        <is>
          <t>Föryngringsavverkning</t>
        </is>
      </c>
      <c r="D1197" s="1" t="n">
        <v>44740</v>
      </c>
      <c r="E1197" s="1" t="n">
        <v>46307</v>
      </c>
      <c r="F1197" t="inlineStr">
        <is>
          <t>VÄRMLANDS LÄN</t>
        </is>
      </c>
      <c r="G1197" t="inlineStr">
        <is>
          <t>KARLSTAD</t>
        </is>
      </c>
      <c r="I1197" t="n">
        <v>4.8</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22163-2022</t>
        </is>
      </c>
      <c r="B1198" t="inlineStr">
        <is>
          <t>avverkningsanmälan</t>
        </is>
      </c>
      <c r="C1198" t="inlineStr">
        <is>
          <t>Föryngringsavverkning</t>
        </is>
      </c>
      <c r="D1198" s="1" t="n">
        <v>44712</v>
      </c>
      <c r="E1198" s="1" t="n">
        <v>46307</v>
      </c>
      <c r="F1198" t="inlineStr">
        <is>
          <t>VÄRMLANDS LÄN</t>
        </is>
      </c>
      <c r="G1198" t="inlineStr">
        <is>
          <t>EDA</t>
        </is>
      </c>
      <c r="I1198" t="n">
        <v>0.8</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66080-2021</t>
        </is>
      </c>
      <c r="B1199" t="inlineStr">
        <is>
          <t>avverkningsanmälan</t>
        </is>
      </c>
      <c r="C1199" t="inlineStr">
        <is>
          <t>Föryngringsavverkning</t>
        </is>
      </c>
      <c r="D1199" s="1" t="n">
        <v>44517</v>
      </c>
      <c r="E1199" s="1" t="n">
        <v>46307</v>
      </c>
      <c r="F1199" t="inlineStr">
        <is>
          <t>VÄRMLANDS LÄN</t>
        </is>
      </c>
      <c r="G1199" t="inlineStr">
        <is>
          <t>TORSBY</t>
        </is>
      </c>
      <c r="I1199" t="n">
        <v>1.4</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28955-2022</t>
        </is>
      </c>
      <c r="B1200" t="inlineStr">
        <is>
          <t>avverkningsanmälan</t>
        </is>
      </c>
      <c r="C1200" t="inlineStr">
        <is>
          <t>Föryngringsavverkning</t>
        </is>
      </c>
      <c r="D1200" s="1" t="n">
        <v>44749</v>
      </c>
      <c r="E1200" s="1" t="n">
        <v>46307</v>
      </c>
      <c r="F1200" t="inlineStr">
        <is>
          <t>VÄRMLANDS LÄN</t>
        </is>
      </c>
      <c r="G1200" t="inlineStr">
        <is>
          <t>TORSBY</t>
        </is>
      </c>
      <c r="I1200" t="n">
        <v>1</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54430-2022</t>
        </is>
      </c>
      <c r="B1201" t="inlineStr">
        <is>
          <t>avverkningsanmälan</t>
        </is>
      </c>
      <c r="C1201" t="inlineStr">
        <is>
          <t>Föryngringsavverkning</t>
        </is>
      </c>
      <c r="D1201" s="1" t="n">
        <v>44882</v>
      </c>
      <c r="E1201" s="1" t="n">
        <v>46307</v>
      </c>
      <c r="F1201" t="inlineStr">
        <is>
          <t>VÄRMLANDS LÄN</t>
        </is>
      </c>
      <c r="G1201" t="inlineStr">
        <is>
          <t>KARLSTAD</t>
        </is>
      </c>
      <c r="H1201" t="inlineStr">
        <is>
          <t>Kommuner</t>
        </is>
      </c>
      <c r="I1201" t="n">
        <v>1.5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61143-2021</t>
        </is>
      </c>
      <c r="B1202" t="inlineStr">
        <is>
          <t>avverkningsanmälan</t>
        </is>
      </c>
      <c r="C1202" t="inlineStr">
        <is>
          <t>Avverkning för annat ändamål</t>
        </is>
      </c>
      <c r="D1202" s="1" t="n">
        <v>44498</v>
      </c>
      <c r="E1202" s="1" t="n">
        <v>46307</v>
      </c>
      <c r="F1202" t="inlineStr">
        <is>
          <t>VÄRMLANDS LÄN</t>
        </is>
      </c>
      <c r="G1202" t="inlineStr">
        <is>
          <t>ÅRJÄNG</t>
        </is>
      </c>
      <c r="H1202" t="inlineStr">
        <is>
          <t>Bergvik skog väst AB</t>
        </is>
      </c>
      <c r="I1202" t="n">
        <v>0.6</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61240-2021</t>
        </is>
      </c>
      <c r="B1203" t="inlineStr">
        <is>
          <t>avverkningsanmälan</t>
        </is>
      </c>
      <c r="C1203" t="inlineStr">
        <is>
          <t>Föryngringsavverkning</t>
        </is>
      </c>
      <c r="D1203" s="1" t="n">
        <v>44496</v>
      </c>
      <c r="E1203" s="1" t="n">
        <v>46307</v>
      </c>
      <c r="F1203" t="inlineStr">
        <is>
          <t>VÄRMLANDS LÄN</t>
        </is>
      </c>
      <c r="G1203" t="inlineStr">
        <is>
          <t>ÅRJÄNG</t>
        </is>
      </c>
      <c r="I1203" t="n">
        <v>1.4</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33915-2022</t>
        </is>
      </c>
      <c r="B1204" t="inlineStr">
        <is>
          <t>avverkningsanmälan</t>
        </is>
      </c>
      <c r="C1204" t="inlineStr">
        <is>
          <t>Föryngringsavverkning</t>
        </is>
      </c>
      <c r="D1204" s="1" t="n">
        <v>44790</v>
      </c>
      <c r="E1204" s="1" t="n">
        <v>46307</v>
      </c>
      <c r="F1204" t="inlineStr">
        <is>
          <t>VÄRMLANDS LÄN</t>
        </is>
      </c>
      <c r="G1204" t="inlineStr">
        <is>
          <t>ÅRJÄNG</t>
        </is>
      </c>
      <c r="I1204" t="n">
        <v>2</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53679-2022</t>
        </is>
      </c>
      <c r="B1205" t="inlineStr">
        <is>
          <t>avverkningsanmälan</t>
        </is>
      </c>
      <c r="C1205" t="inlineStr">
        <is>
          <t>Föryngringsavverkning</t>
        </is>
      </c>
      <c r="D1205" s="1" t="n">
        <v>44879</v>
      </c>
      <c r="E1205" s="1" t="n">
        <v>46307</v>
      </c>
      <c r="F1205" t="inlineStr">
        <is>
          <t>VÄRMLANDS LÄN</t>
        </is>
      </c>
      <c r="G1205" t="inlineStr">
        <is>
          <t>ÅRJÄNG</t>
        </is>
      </c>
      <c r="I1205" t="n">
        <v>0.4</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53910-2022</t>
        </is>
      </c>
      <c r="B1206" t="inlineStr">
        <is>
          <t>avverkningsanmälan</t>
        </is>
      </c>
      <c r="C1206" t="inlineStr">
        <is>
          <t>Föryngringsavverkning</t>
        </is>
      </c>
      <c r="D1206" s="1" t="n">
        <v>44880</v>
      </c>
      <c r="E1206" s="1" t="n">
        <v>46307</v>
      </c>
      <c r="F1206" t="inlineStr">
        <is>
          <t>VÄRMLANDS LÄN</t>
        </is>
      </c>
      <c r="G1206" t="inlineStr">
        <is>
          <t>FORSHAGA</t>
        </is>
      </c>
      <c r="I1206" t="n">
        <v>1.4</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69319-2021</t>
        </is>
      </c>
      <c r="B1207" t="inlineStr">
        <is>
          <t>avverkningsanmälan</t>
        </is>
      </c>
      <c r="C1207" t="inlineStr">
        <is>
          <t>Föryngringsavverkning</t>
        </is>
      </c>
      <c r="D1207" s="1" t="n">
        <v>44531</v>
      </c>
      <c r="E1207" s="1" t="n">
        <v>46307</v>
      </c>
      <c r="F1207" t="inlineStr">
        <is>
          <t>VÄRMLANDS LÄN</t>
        </is>
      </c>
      <c r="G1207" t="inlineStr">
        <is>
          <t>MUNKFORS</t>
        </is>
      </c>
      <c r="I1207" t="n">
        <v>0.9</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69797-2021</t>
        </is>
      </c>
      <c r="B1208" t="inlineStr">
        <is>
          <t>avverkningsanmälan</t>
        </is>
      </c>
      <c r="C1208" t="inlineStr">
        <is>
          <t>Föryngringsavverkning</t>
        </is>
      </c>
      <c r="D1208" s="1" t="n">
        <v>44532</v>
      </c>
      <c r="E1208" s="1" t="n">
        <v>46307</v>
      </c>
      <c r="F1208" t="inlineStr">
        <is>
          <t>VÄRMLANDS LÄN</t>
        </is>
      </c>
      <c r="G1208" t="inlineStr">
        <is>
          <t>EDA</t>
        </is>
      </c>
      <c r="I1208" t="n">
        <v>3.6</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68445-2021</t>
        </is>
      </c>
      <c r="B1209" t="inlineStr">
        <is>
          <t>avverkningsanmälan</t>
        </is>
      </c>
      <c r="C1209" t="inlineStr">
        <is>
          <t>Föryngringsavverkning</t>
        </is>
      </c>
      <c r="D1209" s="1" t="n">
        <v>44529</v>
      </c>
      <c r="E1209" s="1" t="n">
        <v>46307</v>
      </c>
      <c r="F1209" t="inlineStr">
        <is>
          <t>VÄRMLANDS LÄN</t>
        </is>
      </c>
      <c r="G1209" t="inlineStr">
        <is>
          <t>EDA</t>
        </is>
      </c>
      <c r="I1209" t="n">
        <v>0.7</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59834-2021</t>
        </is>
      </c>
      <c r="B1210" t="inlineStr">
        <is>
          <t>avverkningsanmälan</t>
        </is>
      </c>
      <c r="C1210" t="inlineStr">
        <is>
          <t>Föryngringsavverkning</t>
        </is>
      </c>
      <c r="D1210" s="1" t="n">
        <v>44494</v>
      </c>
      <c r="E1210" s="1" t="n">
        <v>46307</v>
      </c>
      <c r="F1210" t="inlineStr">
        <is>
          <t>VÄRMLANDS LÄN</t>
        </is>
      </c>
      <c r="G1210" t="inlineStr">
        <is>
          <t>SÄFFLE</t>
        </is>
      </c>
      <c r="I1210" t="n">
        <v>2.3</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52530-2022</t>
        </is>
      </c>
      <c r="B1211" t="inlineStr">
        <is>
          <t>avverkningsanmälan</t>
        </is>
      </c>
      <c r="C1211" t="inlineStr">
        <is>
          <t>Föryngringsavverkning</t>
        </is>
      </c>
      <c r="D1211" s="1" t="n">
        <v>44874</v>
      </c>
      <c r="E1211" s="1" t="n">
        <v>46307</v>
      </c>
      <c r="F1211" t="inlineStr">
        <is>
          <t>VÄRMLANDS LÄN</t>
        </is>
      </c>
      <c r="G1211" t="inlineStr">
        <is>
          <t>EDA</t>
        </is>
      </c>
      <c r="I1211" t="n">
        <v>1.6</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3917-2022</t>
        </is>
      </c>
      <c r="B1212" t="inlineStr">
        <is>
          <t>avverkningsanmälan</t>
        </is>
      </c>
      <c r="C1212" t="inlineStr">
        <is>
          <t>Föryngringsavverkning</t>
        </is>
      </c>
      <c r="D1212" s="1" t="n">
        <v>44587</v>
      </c>
      <c r="E1212" s="1" t="n">
        <v>46307</v>
      </c>
      <c r="F1212" t="inlineStr">
        <is>
          <t>VÄRMLANDS LÄN</t>
        </is>
      </c>
      <c r="G1212" t="inlineStr">
        <is>
          <t>ÅRJÄNG</t>
        </is>
      </c>
      <c r="I1212" t="n">
        <v>1.4</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68572-2021</t>
        </is>
      </c>
      <c r="B1213" t="inlineStr">
        <is>
          <t>avverkningsanmälan</t>
        </is>
      </c>
      <c r="C1213" t="inlineStr">
        <is>
          <t>Föryngringsavverkning</t>
        </is>
      </c>
      <c r="D1213" s="1" t="n">
        <v>44529</v>
      </c>
      <c r="E1213" s="1" t="n">
        <v>46307</v>
      </c>
      <c r="F1213" t="inlineStr">
        <is>
          <t>VÄRMLANDS LÄN</t>
        </is>
      </c>
      <c r="G1213" t="inlineStr">
        <is>
          <t>ARVIKA</t>
        </is>
      </c>
      <c r="I1213" t="n">
        <v>5.4</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63739-2021</t>
        </is>
      </c>
      <c r="B1214" t="inlineStr">
        <is>
          <t>avverkningsanmälan</t>
        </is>
      </c>
      <c r="C1214" t="inlineStr">
        <is>
          <t>Föryngringsavverkning</t>
        </is>
      </c>
      <c r="D1214" s="1" t="n">
        <v>44509</v>
      </c>
      <c r="E1214" s="1" t="n">
        <v>46307</v>
      </c>
      <c r="F1214" t="inlineStr">
        <is>
          <t>VÄRMLANDS LÄN</t>
        </is>
      </c>
      <c r="G1214" t="inlineStr">
        <is>
          <t>FORSHAGA</t>
        </is>
      </c>
      <c r="I1214" t="n">
        <v>4.1</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43092-2022</t>
        </is>
      </c>
      <c r="B1215" t="inlineStr">
        <is>
          <t>avverkningsanmälan</t>
        </is>
      </c>
      <c r="C1215" t="inlineStr">
        <is>
          <t>Föryngringsavverkning</t>
        </is>
      </c>
      <c r="D1215" s="1" t="n">
        <v>44833</v>
      </c>
      <c r="E1215" s="1" t="n">
        <v>46307</v>
      </c>
      <c r="F1215" t="inlineStr">
        <is>
          <t>VÄRMLANDS LÄN</t>
        </is>
      </c>
      <c r="G1215" t="inlineStr">
        <is>
          <t>SUNNE</t>
        </is>
      </c>
      <c r="I1215" t="n">
        <v>0.7</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8634-2022</t>
        </is>
      </c>
      <c r="B1216" t="inlineStr">
        <is>
          <t>avverkningsanmälan</t>
        </is>
      </c>
      <c r="C1216" t="inlineStr">
        <is>
          <t>Föryngringsavverkning</t>
        </is>
      </c>
      <c r="D1216" s="1" t="n">
        <v>44613</v>
      </c>
      <c r="E1216" s="1" t="n">
        <v>46307</v>
      </c>
      <c r="F1216" t="inlineStr">
        <is>
          <t>VÄRMLANDS LÄN</t>
        </is>
      </c>
      <c r="G1216" t="inlineStr">
        <is>
          <t>ARVIKA</t>
        </is>
      </c>
      <c r="H1216" t="inlineStr">
        <is>
          <t>Bergvik skog väst AB</t>
        </is>
      </c>
      <c r="I1216" t="n">
        <v>1.3</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72339-2021</t>
        </is>
      </c>
      <c r="B1217" t="inlineStr">
        <is>
          <t>avverkningsanmälan</t>
        </is>
      </c>
      <c r="C1217" t="inlineStr">
        <is>
          <t>Föryngringsavverkning</t>
        </is>
      </c>
      <c r="D1217" s="1" t="n">
        <v>44544</v>
      </c>
      <c r="E1217" s="1" t="n">
        <v>46307</v>
      </c>
      <c r="F1217" t="inlineStr">
        <is>
          <t>VÄRMLANDS LÄN</t>
        </is>
      </c>
      <c r="G1217" t="inlineStr">
        <is>
          <t>KARLSTAD</t>
        </is>
      </c>
      <c r="I1217" t="n">
        <v>0.5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13576-2022</t>
        </is>
      </c>
      <c r="B1218" t="inlineStr">
        <is>
          <t>avverkningsanmälan</t>
        </is>
      </c>
      <c r="C1218" t="inlineStr">
        <is>
          <t>Föryngringsavverkning</t>
        </is>
      </c>
      <c r="D1218" s="1" t="n">
        <v>44648</v>
      </c>
      <c r="E1218" s="1" t="n">
        <v>46307</v>
      </c>
      <c r="F1218" t="inlineStr">
        <is>
          <t>VÄRMLANDS LÄN</t>
        </is>
      </c>
      <c r="G1218" t="inlineStr">
        <is>
          <t>MUNKFORS</t>
        </is>
      </c>
      <c r="I1218" t="n">
        <v>1.9</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11936-2022</t>
        </is>
      </c>
      <c r="B1219" t="inlineStr">
        <is>
          <t>avverkningsanmälan</t>
        </is>
      </c>
      <c r="C1219" t="inlineStr">
        <is>
          <t>Föryngringsavverkning</t>
        </is>
      </c>
      <c r="D1219" s="1" t="n">
        <v>44635</v>
      </c>
      <c r="E1219" s="1" t="n">
        <v>46307</v>
      </c>
      <c r="F1219" t="inlineStr">
        <is>
          <t>VÄRMLANDS LÄN</t>
        </is>
      </c>
      <c r="G1219" t="inlineStr">
        <is>
          <t>ÅRJÄNG</t>
        </is>
      </c>
      <c r="I1219" t="n">
        <v>11.1</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54811-2022</t>
        </is>
      </c>
      <c r="B1220" t="inlineStr">
        <is>
          <t>avverkningsanmälan</t>
        </is>
      </c>
      <c r="C1220" t="inlineStr">
        <is>
          <t>Föryngringsavverkning</t>
        </is>
      </c>
      <c r="D1220" s="1" t="n">
        <v>44883</v>
      </c>
      <c r="E1220" s="1" t="n">
        <v>46307</v>
      </c>
      <c r="F1220" t="inlineStr">
        <is>
          <t>VÄRMLANDS LÄN</t>
        </is>
      </c>
      <c r="G1220" t="inlineStr">
        <is>
          <t>TORSBY</t>
        </is>
      </c>
      <c r="I1220" t="n">
        <v>2.5</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4185-2022</t>
        </is>
      </c>
      <c r="B1221" t="inlineStr">
        <is>
          <t>avverkningsanmälan</t>
        </is>
      </c>
      <c r="C1221" t="inlineStr">
        <is>
          <t>Föryngringsavverkning</t>
        </is>
      </c>
      <c r="D1221" s="1" t="n">
        <v>44588</v>
      </c>
      <c r="E1221" s="1" t="n">
        <v>46307</v>
      </c>
      <c r="F1221" t="inlineStr">
        <is>
          <t>VÄRMLANDS LÄN</t>
        </is>
      </c>
      <c r="G1221" t="inlineStr">
        <is>
          <t>KRISTINEHAMN</t>
        </is>
      </c>
      <c r="I1221" t="n">
        <v>1.6</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4188-2022</t>
        </is>
      </c>
      <c r="B1222" t="inlineStr">
        <is>
          <t>avverkningsanmälan</t>
        </is>
      </c>
      <c r="C1222" t="inlineStr">
        <is>
          <t>Föryngringsavverkning</t>
        </is>
      </c>
      <c r="D1222" s="1" t="n">
        <v>44588</v>
      </c>
      <c r="E1222" s="1" t="n">
        <v>46307</v>
      </c>
      <c r="F1222" t="inlineStr">
        <is>
          <t>VÄRMLANDS LÄN</t>
        </is>
      </c>
      <c r="G1222" t="inlineStr">
        <is>
          <t>KRISTINEHAMN</t>
        </is>
      </c>
      <c r="I1222" t="n">
        <v>1.8</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31114-2022</t>
        </is>
      </c>
      <c r="B1223" t="inlineStr">
        <is>
          <t>avverkningsanmälan</t>
        </is>
      </c>
      <c r="C1223" t="inlineStr">
        <is>
          <t>Föryngringsavverkning</t>
        </is>
      </c>
      <c r="D1223" s="1" t="n">
        <v>44769</v>
      </c>
      <c r="E1223" s="1" t="n">
        <v>46307</v>
      </c>
      <c r="F1223" t="inlineStr">
        <is>
          <t>VÄRMLANDS LÄN</t>
        </is>
      </c>
      <c r="G1223" t="inlineStr">
        <is>
          <t>KRISTINEHAMN</t>
        </is>
      </c>
      <c r="I1223" t="n">
        <v>0.9</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67179-2021</t>
        </is>
      </c>
      <c r="B1224" t="inlineStr">
        <is>
          <t>avverkningsanmälan</t>
        </is>
      </c>
      <c r="C1224" t="inlineStr">
        <is>
          <t>Föryngringsavverkning</t>
        </is>
      </c>
      <c r="D1224" s="1" t="n">
        <v>44523</v>
      </c>
      <c r="E1224" s="1" t="n">
        <v>46307</v>
      </c>
      <c r="F1224" t="inlineStr">
        <is>
          <t>VÄRMLANDS LÄN</t>
        </is>
      </c>
      <c r="G1224" t="inlineStr">
        <is>
          <t>FORSHAGA</t>
        </is>
      </c>
      <c r="I1224" t="n">
        <v>0.9</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23807-2022</t>
        </is>
      </c>
      <c r="B1225" t="inlineStr">
        <is>
          <t>avverkningsanmälan</t>
        </is>
      </c>
      <c r="C1225" t="inlineStr">
        <is>
          <t>Föryngringsavverkning</t>
        </is>
      </c>
      <c r="D1225" s="1" t="n">
        <v>44722</v>
      </c>
      <c r="E1225" s="1" t="n">
        <v>46307</v>
      </c>
      <c r="F1225" t="inlineStr">
        <is>
          <t>VÄRMLANDS LÄN</t>
        </is>
      </c>
      <c r="G1225" t="inlineStr">
        <is>
          <t>EDA</t>
        </is>
      </c>
      <c r="I1225" t="n">
        <v>5.5</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33888-2022</t>
        </is>
      </c>
      <c r="B1226" t="inlineStr">
        <is>
          <t>avverkningsanmälan</t>
        </is>
      </c>
      <c r="C1226" t="inlineStr">
        <is>
          <t>Föryngringsavverkning</t>
        </is>
      </c>
      <c r="D1226" s="1" t="n">
        <v>44790</v>
      </c>
      <c r="E1226" s="1" t="n">
        <v>46307</v>
      </c>
      <c r="F1226" t="inlineStr">
        <is>
          <t>VÄRMLANDS LÄN</t>
        </is>
      </c>
      <c r="G1226" t="inlineStr">
        <is>
          <t>ÅRJÄNG</t>
        </is>
      </c>
      <c r="I1226" t="n">
        <v>0.8</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3753-2022</t>
        </is>
      </c>
      <c r="B1227" t="inlineStr">
        <is>
          <t>avverkningsanmälan</t>
        </is>
      </c>
      <c r="C1227" t="inlineStr">
        <is>
          <t>Föryngringsavverkning</t>
        </is>
      </c>
      <c r="D1227" s="1" t="n">
        <v>44586</v>
      </c>
      <c r="E1227" s="1" t="n">
        <v>46307</v>
      </c>
      <c r="F1227" t="inlineStr">
        <is>
          <t>VÄRMLANDS LÄN</t>
        </is>
      </c>
      <c r="G1227" t="inlineStr">
        <is>
          <t>EDA</t>
        </is>
      </c>
      <c r="I1227" t="n">
        <v>2.4</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65904-2021</t>
        </is>
      </c>
      <c r="B1228" t="inlineStr">
        <is>
          <t>avverkningsanmälan</t>
        </is>
      </c>
      <c r="C1228" t="inlineStr">
        <is>
          <t>Föryngringsavverkning</t>
        </is>
      </c>
      <c r="D1228" s="1" t="n">
        <v>44517</v>
      </c>
      <c r="E1228" s="1" t="n">
        <v>46307</v>
      </c>
      <c r="F1228" t="inlineStr">
        <is>
          <t>VÄRMLANDS LÄN</t>
        </is>
      </c>
      <c r="G1228" t="inlineStr">
        <is>
          <t>KIL</t>
        </is>
      </c>
      <c r="I1228" t="n">
        <v>1.6</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33959-2022</t>
        </is>
      </c>
      <c r="B1229" t="inlineStr">
        <is>
          <t>avverkningsanmälan</t>
        </is>
      </c>
      <c r="C1229" t="inlineStr">
        <is>
          <t>Föryngringsavverkning</t>
        </is>
      </c>
      <c r="D1229" s="1" t="n">
        <v>44790</v>
      </c>
      <c r="E1229" s="1" t="n">
        <v>46307</v>
      </c>
      <c r="F1229" t="inlineStr">
        <is>
          <t>VÄRMLANDS LÄN</t>
        </is>
      </c>
      <c r="G1229" t="inlineStr">
        <is>
          <t>TORSBY</t>
        </is>
      </c>
      <c r="I1229" t="n">
        <v>0.6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18246-2022</t>
        </is>
      </c>
      <c r="B1230" t="inlineStr">
        <is>
          <t>avverkningsanmälan</t>
        </is>
      </c>
      <c r="C1230" t="inlineStr">
        <is>
          <t>Föryngringsavverkning</t>
        </is>
      </c>
      <c r="D1230" s="1" t="n">
        <v>44685</v>
      </c>
      <c r="E1230" s="1" t="n">
        <v>46307</v>
      </c>
      <c r="F1230" t="inlineStr">
        <is>
          <t>VÄRMLANDS LÄN</t>
        </is>
      </c>
      <c r="G1230" t="inlineStr">
        <is>
          <t>EDA</t>
        </is>
      </c>
      <c r="I1230" t="n">
        <v>0.8</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11922-2022</t>
        </is>
      </c>
      <c r="B1231" t="inlineStr">
        <is>
          <t>avverkningsanmälan</t>
        </is>
      </c>
      <c r="C1231" t="inlineStr">
        <is>
          <t>Föryngringsavverkning</t>
        </is>
      </c>
      <c r="D1231" s="1" t="n">
        <v>44635</v>
      </c>
      <c r="E1231" s="1" t="n">
        <v>46307</v>
      </c>
      <c r="F1231" t="inlineStr">
        <is>
          <t>VÄRMLANDS LÄN</t>
        </is>
      </c>
      <c r="G1231" t="inlineStr">
        <is>
          <t>TORSBY</t>
        </is>
      </c>
      <c r="I1231" t="n">
        <v>2.6</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24137-2022</t>
        </is>
      </c>
      <c r="B1232" t="inlineStr">
        <is>
          <t>avverkningsanmälan</t>
        </is>
      </c>
      <c r="C1232" t="inlineStr">
        <is>
          <t>Föryngringsavverkning</t>
        </is>
      </c>
      <c r="D1232" s="1" t="n">
        <v>44725</v>
      </c>
      <c r="E1232" s="1" t="n">
        <v>46307</v>
      </c>
      <c r="F1232" t="inlineStr">
        <is>
          <t>VÄRMLANDS LÄN</t>
        </is>
      </c>
      <c r="G1232" t="inlineStr">
        <is>
          <t>ARVIKA</t>
        </is>
      </c>
      <c r="I1232" t="n">
        <v>3.2</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24130-2022</t>
        </is>
      </c>
      <c r="B1233" t="inlineStr">
        <is>
          <t>avverkningsanmälan</t>
        </is>
      </c>
      <c r="C1233" t="inlineStr">
        <is>
          <t>Föryngringsavverkning</t>
        </is>
      </c>
      <c r="D1233" s="1" t="n">
        <v>44725</v>
      </c>
      <c r="E1233" s="1" t="n">
        <v>46307</v>
      </c>
      <c r="F1233" t="inlineStr">
        <is>
          <t>VÄRMLANDS LÄN</t>
        </is>
      </c>
      <c r="G1233" t="inlineStr">
        <is>
          <t>ARVIKA</t>
        </is>
      </c>
      <c r="I1233" t="n">
        <v>0.7</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33254-2022</t>
        </is>
      </c>
      <c r="B1234" t="inlineStr">
        <is>
          <t>avverkningsanmälan</t>
        </is>
      </c>
      <c r="C1234" t="inlineStr">
        <is>
          <t>Avverkning för annat ändamål</t>
        </is>
      </c>
      <c r="D1234" s="1" t="n">
        <v>44787</v>
      </c>
      <c r="E1234" s="1" t="n">
        <v>46307</v>
      </c>
      <c r="F1234" t="inlineStr">
        <is>
          <t>VÄRMLANDS LÄN</t>
        </is>
      </c>
      <c r="G1234" t="inlineStr">
        <is>
          <t>TORSBY</t>
        </is>
      </c>
      <c r="I1234" t="n">
        <v>0.5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64798-2021</t>
        </is>
      </c>
      <c r="B1235" t="inlineStr">
        <is>
          <t>avverkningsanmälan</t>
        </is>
      </c>
      <c r="C1235" t="inlineStr">
        <is>
          <t>Föryngringsavverkning</t>
        </is>
      </c>
      <c r="D1235" s="1" t="n">
        <v>44512</v>
      </c>
      <c r="E1235" s="1" t="n">
        <v>46307</v>
      </c>
      <c r="F1235" t="inlineStr">
        <is>
          <t>VÄRMLANDS LÄN</t>
        </is>
      </c>
      <c r="G1235" t="inlineStr">
        <is>
          <t>SÄFFLE</t>
        </is>
      </c>
      <c r="I1235" t="n">
        <v>1.5</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58630-2021</t>
        </is>
      </c>
      <c r="B1236" t="inlineStr">
        <is>
          <t>avverkningsanmälan</t>
        </is>
      </c>
      <c r="C1236" t="inlineStr">
        <is>
          <t>Föryngringsavverkning</t>
        </is>
      </c>
      <c r="D1236" s="1" t="n">
        <v>44489</v>
      </c>
      <c r="E1236" s="1" t="n">
        <v>46307</v>
      </c>
      <c r="F1236" t="inlineStr">
        <is>
          <t>VÄRMLANDS LÄN</t>
        </is>
      </c>
      <c r="G1236" t="inlineStr">
        <is>
          <t>SUNNE</t>
        </is>
      </c>
      <c r="I1236" t="n">
        <v>0.7</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28172-2022</t>
        </is>
      </c>
      <c r="B1237" t="inlineStr">
        <is>
          <t>avverkningsanmälan</t>
        </is>
      </c>
      <c r="C1237" t="inlineStr">
        <is>
          <t>Avverkning för annat ändamål</t>
        </is>
      </c>
      <c r="D1237" s="1" t="n">
        <v>44746</v>
      </c>
      <c r="E1237" s="1" t="n">
        <v>46307</v>
      </c>
      <c r="F1237" t="inlineStr">
        <is>
          <t>VÄRMLANDS LÄN</t>
        </is>
      </c>
      <c r="G1237" t="inlineStr">
        <is>
          <t>TORSBY</t>
        </is>
      </c>
      <c r="I1237" t="n">
        <v>1.1</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72937-2021</t>
        </is>
      </c>
      <c r="B1238" t="inlineStr">
        <is>
          <t>avverkningsanmälan</t>
        </is>
      </c>
      <c r="C1238" t="inlineStr">
        <is>
          <t>Avverkning för annat ändamål</t>
        </is>
      </c>
      <c r="D1238" s="1" t="n">
        <v>44547</v>
      </c>
      <c r="E1238" s="1" t="n">
        <v>46307</v>
      </c>
      <c r="F1238" t="inlineStr">
        <is>
          <t>VÄRMLANDS LÄN</t>
        </is>
      </c>
      <c r="G1238" t="inlineStr">
        <is>
          <t>HAGFORS</t>
        </is>
      </c>
      <c r="H1238" t="inlineStr">
        <is>
          <t>Bergvik skog väst AB</t>
        </is>
      </c>
      <c r="I1238" t="n">
        <v>1.8</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58507-2021</t>
        </is>
      </c>
      <c r="B1239" t="inlineStr">
        <is>
          <t>avverkningsanmälan</t>
        </is>
      </c>
      <c r="C1239" t="inlineStr">
        <is>
          <t>Föryngringsavverkning</t>
        </is>
      </c>
      <c r="D1239" s="1" t="n">
        <v>44488</v>
      </c>
      <c r="E1239" s="1" t="n">
        <v>46307</v>
      </c>
      <c r="F1239" t="inlineStr">
        <is>
          <t>VÄRMLANDS LÄN</t>
        </is>
      </c>
      <c r="G1239" t="inlineStr">
        <is>
          <t>KARLSTAD</t>
        </is>
      </c>
      <c r="I1239" t="n">
        <v>4.3</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36969-2022</t>
        </is>
      </c>
      <c r="B1240" t="inlineStr">
        <is>
          <t>avverkningsanmälan</t>
        </is>
      </c>
      <c r="C1240" t="inlineStr">
        <is>
          <t>Föryngringsavverkning</t>
        </is>
      </c>
      <c r="D1240" s="1" t="n">
        <v>44805</v>
      </c>
      <c r="E1240" s="1" t="n">
        <v>46307</v>
      </c>
      <c r="F1240" t="inlineStr">
        <is>
          <t>VÄRMLANDS LÄN</t>
        </is>
      </c>
      <c r="G1240" t="inlineStr">
        <is>
          <t>SUNNE</t>
        </is>
      </c>
      <c r="H1240" t="inlineStr">
        <is>
          <t>Kyrkan</t>
        </is>
      </c>
      <c r="I1240" t="n">
        <v>3.9</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41150-2022</t>
        </is>
      </c>
      <c r="B1241" t="inlineStr">
        <is>
          <t>avverkningsanmälan</t>
        </is>
      </c>
      <c r="C1241" t="inlineStr">
        <is>
          <t>Föryngringsavverkning</t>
        </is>
      </c>
      <c r="D1241" s="1" t="n">
        <v>44825</v>
      </c>
      <c r="E1241" s="1" t="n">
        <v>46307</v>
      </c>
      <c r="F1241" t="inlineStr">
        <is>
          <t>VÄRMLANDS LÄN</t>
        </is>
      </c>
      <c r="G1241" t="inlineStr">
        <is>
          <t>MUNKFORS</t>
        </is>
      </c>
      <c r="I1241" t="n">
        <v>0.5</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37538-2022</t>
        </is>
      </c>
      <c r="B1242" t="inlineStr">
        <is>
          <t>avverkningsanmälan</t>
        </is>
      </c>
      <c r="C1242" t="inlineStr">
        <is>
          <t>Föryngringsavverkning</t>
        </is>
      </c>
      <c r="D1242" s="1" t="n">
        <v>44809</v>
      </c>
      <c r="E1242" s="1" t="n">
        <v>46307</v>
      </c>
      <c r="F1242" t="inlineStr">
        <is>
          <t>VÄRMLANDS LÄN</t>
        </is>
      </c>
      <c r="G1242" t="inlineStr">
        <is>
          <t>EDA</t>
        </is>
      </c>
      <c r="I1242" t="n">
        <v>1.1</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37338-2022</t>
        </is>
      </c>
      <c r="B1243" t="inlineStr">
        <is>
          <t>avverkningsanmälan</t>
        </is>
      </c>
      <c r="C1243" t="inlineStr">
        <is>
          <t>Föryngringsavverkning</t>
        </is>
      </c>
      <c r="D1243" s="1" t="n">
        <v>44809</v>
      </c>
      <c r="E1243" s="1" t="n">
        <v>46307</v>
      </c>
      <c r="F1243" t="inlineStr">
        <is>
          <t>VÄRMLANDS LÄN</t>
        </is>
      </c>
      <c r="G1243" t="inlineStr">
        <is>
          <t>SUNNE</t>
        </is>
      </c>
      <c r="I1243" t="n">
        <v>6.8</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41853-2022</t>
        </is>
      </c>
      <c r="B1244" t="inlineStr">
        <is>
          <t>avverkningsanmälan</t>
        </is>
      </c>
      <c r="C1244" t="inlineStr">
        <is>
          <t>Föryngringsavverkning</t>
        </is>
      </c>
      <c r="D1244" s="1" t="n">
        <v>44829</v>
      </c>
      <c r="E1244" s="1" t="n">
        <v>46307</v>
      </c>
      <c r="F1244" t="inlineStr">
        <is>
          <t>VÄRMLANDS LÄN</t>
        </is>
      </c>
      <c r="G1244" t="inlineStr">
        <is>
          <t>KRISTINEHAMN</t>
        </is>
      </c>
      <c r="I1244" t="n">
        <v>1.8</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35174-2022</t>
        </is>
      </c>
      <c r="B1245" t="inlineStr">
        <is>
          <t>avverkningsanmälan</t>
        </is>
      </c>
      <c r="C1245" t="inlineStr">
        <is>
          <t>Föryngringsavverkning</t>
        </is>
      </c>
      <c r="D1245" s="1" t="n">
        <v>44797</v>
      </c>
      <c r="E1245" s="1" t="n">
        <v>46307</v>
      </c>
      <c r="F1245" t="inlineStr">
        <is>
          <t>VÄRMLANDS LÄN</t>
        </is>
      </c>
      <c r="G1245" t="inlineStr">
        <is>
          <t>ARVIKA</t>
        </is>
      </c>
      <c r="H1245" t="inlineStr">
        <is>
          <t>Bergvik skog väst AB</t>
        </is>
      </c>
      <c r="I1245" t="n">
        <v>11.1</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52494-2022</t>
        </is>
      </c>
      <c r="B1246" t="inlineStr">
        <is>
          <t>avverkningsanmälan</t>
        </is>
      </c>
      <c r="C1246" t="inlineStr">
        <is>
          <t>Föryngringsavverkning</t>
        </is>
      </c>
      <c r="D1246" s="1" t="n">
        <v>44874</v>
      </c>
      <c r="E1246" s="1" t="n">
        <v>46307</v>
      </c>
      <c r="F1246" t="inlineStr">
        <is>
          <t>VÄRMLANDS LÄN</t>
        </is>
      </c>
      <c r="G1246" t="inlineStr">
        <is>
          <t>SUNNE</t>
        </is>
      </c>
      <c r="H1246" t="inlineStr">
        <is>
          <t>Bergvik skog väst AB</t>
        </is>
      </c>
      <c r="I1246" t="n">
        <v>2.8</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56311-2021</t>
        </is>
      </c>
      <c r="B1247" t="inlineStr">
        <is>
          <t>avverkningsanmälan</t>
        </is>
      </c>
      <c r="C1247" t="inlineStr">
        <is>
          <t>Föryngringsavverkning</t>
        </is>
      </c>
      <c r="D1247" s="1" t="n">
        <v>44480</v>
      </c>
      <c r="E1247" s="1" t="n">
        <v>46307</v>
      </c>
      <c r="F1247" t="inlineStr">
        <is>
          <t>VÄRMLANDS LÄN</t>
        </is>
      </c>
      <c r="G1247" t="inlineStr">
        <is>
          <t>ÅRJÄNG</t>
        </is>
      </c>
      <c r="I1247" t="n">
        <v>0.4</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74513-2021</t>
        </is>
      </c>
      <c r="B1248" t="inlineStr">
        <is>
          <t>avverkningsanmälan</t>
        </is>
      </c>
      <c r="C1248" t="inlineStr">
        <is>
          <t>Föryngringsavverkning</t>
        </is>
      </c>
      <c r="D1248" s="1" t="n">
        <v>44561</v>
      </c>
      <c r="E1248" s="1" t="n">
        <v>46307</v>
      </c>
      <c r="F1248" t="inlineStr">
        <is>
          <t>VÄRMLANDS LÄN</t>
        </is>
      </c>
      <c r="G1248" t="inlineStr">
        <is>
          <t>SUNNE</t>
        </is>
      </c>
      <c r="I1248" t="n">
        <v>0.6</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72407-2021</t>
        </is>
      </c>
      <c r="B1249" t="inlineStr">
        <is>
          <t>avverkningsanmälan</t>
        </is>
      </c>
      <c r="C1249" t="inlineStr">
        <is>
          <t>Föryngringsavverkning</t>
        </is>
      </c>
      <c r="D1249" s="1" t="n">
        <v>44545</v>
      </c>
      <c r="E1249" s="1" t="n">
        <v>46307</v>
      </c>
      <c r="F1249" t="inlineStr">
        <is>
          <t>VÄRMLANDS LÄN</t>
        </is>
      </c>
      <c r="G1249" t="inlineStr">
        <is>
          <t>SUNNE</t>
        </is>
      </c>
      <c r="I1249" t="n">
        <v>0.5</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516-2022</t>
        </is>
      </c>
      <c r="B1250" t="inlineStr">
        <is>
          <t>avverkningsanmälan</t>
        </is>
      </c>
      <c r="C1250" t="inlineStr">
        <is>
          <t>Föryngringsavverkning</t>
        </is>
      </c>
      <c r="D1250" s="1" t="n">
        <v>44566</v>
      </c>
      <c r="E1250" s="1" t="n">
        <v>46307</v>
      </c>
      <c r="F1250" t="inlineStr">
        <is>
          <t>VÄRMLANDS LÄN</t>
        </is>
      </c>
      <c r="G1250" t="inlineStr">
        <is>
          <t>ÅRJÄNG</t>
        </is>
      </c>
      <c r="I1250" t="n">
        <v>2.3</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65959-2021</t>
        </is>
      </c>
      <c r="B1251" t="inlineStr">
        <is>
          <t>avverkningsanmälan</t>
        </is>
      </c>
      <c r="C1251" t="inlineStr">
        <is>
          <t>Föryngringsavverkning</t>
        </is>
      </c>
      <c r="D1251" s="1" t="n">
        <v>44517</v>
      </c>
      <c r="E1251" s="1" t="n">
        <v>46307</v>
      </c>
      <c r="F1251" t="inlineStr">
        <is>
          <t>VÄRMLANDS LÄN</t>
        </is>
      </c>
      <c r="G1251" t="inlineStr">
        <is>
          <t>TORSBY</t>
        </is>
      </c>
      <c r="I1251" t="n">
        <v>3.3</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2970-2022</t>
        </is>
      </c>
      <c r="B1252" t="inlineStr">
        <is>
          <t>avverkningsanmälan</t>
        </is>
      </c>
      <c r="C1252" t="inlineStr">
        <is>
          <t>Föryngringsavverkning</t>
        </is>
      </c>
      <c r="D1252" s="1" t="n">
        <v>44581</v>
      </c>
      <c r="E1252" s="1" t="n">
        <v>46307</v>
      </c>
      <c r="F1252" t="inlineStr">
        <is>
          <t>VÄRMLANDS LÄN</t>
        </is>
      </c>
      <c r="G1252" t="inlineStr">
        <is>
          <t>ÅRJÄNG</t>
        </is>
      </c>
      <c r="I1252" t="n">
        <v>0.7</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43558-2022</t>
        </is>
      </c>
      <c r="B1253" t="inlineStr">
        <is>
          <t>avverkningsanmälan</t>
        </is>
      </c>
      <c r="C1253" t="inlineStr">
        <is>
          <t>Föryngringsavverkning</t>
        </is>
      </c>
      <c r="D1253" s="1" t="n">
        <v>44834</v>
      </c>
      <c r="E1253" s="1" t="n">
        <v>46307</v>
      </c>
      <c r="F1253" t="inlineStr">
        <is>
          <t>VÄRMLANDS LÄN</t>
        </is>
      </c>
      <c r="G1253" t="inlineStr">
        <is>
          <t>KRISTINEHAMN</t>
        </is>
      </c>
      <c r="I1253" t="n">
        <v>12.1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2985-2022</t>
        </is>
      </c>
      <c r="B1254" t="inlineStr">
        <is>
          <t>avverkningsanmälan</t>
        </is>
      </c>
      <c r="C1254" t="inlineStr">
        <is>
          <t>Föryngringsavverkning</t>
        </is>
      </c>
      <c r="D1254" s="1" t="n">
        <v>44581</v>
      </c>
      <c r="E1254" s="1" t="n">
        <v>46307</v>
      </c>
      <c r="F1254" t="inlineStr">
        <is>
          <t>VÄRMLANDS LÄN</t>
        </is>
      </c>
      <c r="G1254" t="inlineStr">
        <is>
          <t>SUNNE</t>
        </is>
      </c>
      <c r="I1254" t="n">
        <v>0.5</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69265-2021</t>
        </is>
      </c>
      <c r="B1255" t="inlineStr">
        <is>
          <t>avverkningsanmälan</t>
        </is>
      </c>
      <c r="C1255" t="inlineStr">
        <is>
          <t>Föryngringsavverkning</t>
        </is>
      </c>
      <c r="D1255" s="1" t="n">
        <v>44526</v>
      </c>
      <c r="E1255" s="1" t="n">
        <v>46307</v>
      </c>
      <c r="F1255" t="inlineStr">
        <is>
          <t>VÄRMLANDS LÄN</t>
        </is>
      </c>
      <c r="G1255" t="inlineStr">
        <is>
          <t>TORSBY</t>
        </is>
      </c>
      <c r="I1255" t="n">
        <v>11.1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48314-2022</t>
        </is>
      </c>
      <c r="B1256" t="inlineStr">
        <is>
          <t>avverkningsanmälan</t>
        </is>
      </c>
      <c r="C1256" t="inlineStr">
        <is>
          <t>Föryngringsavverkning</t>
        </is>
      </c>
      <c r="D1256" s="1" t="n">
        <v>44858</v>
      </c>
      <c r="E1256" s="1" t="n">
        <v>46307</v>
      </c>
      <c r="F1256" t="inlineStr">
        <is>
          <t>VÄRMLANDS LÄN</t>
        </is>
      </c>
      <c r="G1256" t="inlineStr">
        <is>
          <t>EDA</t>
        </is>
      </c>
      <c r="I1256" t="n">
        <v>3.5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62289-2021</t>
        </is>
      </c>
      <c r="B1257" t="inlineStr">
        <is>
          <t>avverkningsanmälan</t>
        </is>
      </c>
      <c r="C1257" t="inlineStr">
        <is>
          <t>Föryngringsavverkning</t>
        </is>
      </c>
      <c r="D1257" s="1" t="n">
        <v>44503</v>
      </c>
      <c r="E1257" s="1" t="n">
        <v>46307</v>
      </c>
      <c r="F1257" t="inlineStr">
        <is>
          <t>VÄRMLANDS LÄN</t>
        </is>
      </c>
      <c r="G1257" t="inlineStr">
        <is>
          <t>ÅRJÄNG</t>
        </is>
      </c>
      <c r="I1257" t="n">
        <v>0.3</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62576-2021</t>
        </is>
      </c>
      <c r="B1258" t="inlineStr">
        <is>
          <t>avverkningsanmälan</t>
        </is>
      </c>
      <c r="C1258" t="inlineStr">
        <is>
          <t>Föryngringsavverkning</t>
        </is>
      </c>
      <c r="D1258" s="1" t="n">
        <v>44502</v>
      </c>
      <c r="E1258" s="1" t="n">
        <v>46307</v>
      </c>
      <c r="F1258" t="inlineStr">
        <is>
          <t>VÄRMLANDS LÄN</t>
        </is>
      </c>
      <c r="G1258" t="inlineStr">
        <is>
          <t>TORSBY</t>
        </is>
      </c>
      <c r="I1258" t="n">
        <v>3.3</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41982-2022</t>
        </is>
      </c>
      <c r="B1259" t="inlineStr">
        <is>
          <t>avverkningsanmälan</t>
        </is>
      </c>
      <c r="C1259" t="inlineStr">
        <is>
          <t>Föryngringsavverkning</t>
        </is>
      </c>
      <c r="D1259" s="1" t="n">
        <v>44830</v>
      </c>
      <c r="E1259" s="1" t="n">
        <v>46307</v>
      </c>
      <c r="F1259" t="inlineStr">
        <is>
          <t>VÄRMLANDS LÄN</t>
        </is>
      </c>
      <c r="G1259" t="inlineStr">
        <is>
          <t>ÅRJÄNG</t>
        </is>
      </c>
      <c r="I1259" t="n">
        <v>1.2</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59370-2021</t>
        </is>
      </c>
      <c r="B1260" t="inlineStr">
        <is>
          <t>avverkningsanmälan</t>
        </is>
      </c>
      <c r="C1260" t="inlineStr">
        <is>
          <t>Föryngringsavverkning</t>
        </is>
      </c>
      <c r="D1260" s="1" t="n">
        <v>44491</v>
      </c>
      <c r="E1260" s="1" t="n">
        <v>46307</v>
      </c>
      <c r="F1260" t="inlineStr">
        <is>
          <t>VÄRMLANDS LÄN</t>
        </is>
      </c>
      <c r="G1260" t="inlineStr">
        <is>
          <t>EDA</t>
        </is>
      </c>
      <c r="I1260" t="n">
        <v>2.4</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10668-2022</t>
        </is>
      </c>
      <c r="B1261" t="inlineStr">
        <is>
          <t>avverkningsanmälan</t>
        </is>
      </c>
      <c r="C1261" t="inlineStr">
        <is>
          <t>Föryngringsavverkning</t>
        </is>
      </c>
      <c r="D1261" s="1" t="n">
        <v>44624</v>
      </c>
      <c r="E1261" s="1" t="n">
        <v>46307</v>
      </c>
      <c r="F1261" t="inlineStr">
        <is>
          <t>VÄRMLANDS LÄN</t>
        </is>
      </c>
      <c r="G1261" t="inlineStr">
        <is>
          <t>SÄFFLE</t>
        </is>
      </c>
      <c r="I1261" t="n">
        <v>0.5</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15096-2022</t>
        </is>
      </c>
      <c r="B1262" t="inlineStr">
        <is>
          <t>avverkningsanmälan</t>
        </is>
      </c>
      <c r="C1262" t="inlineStr">
        <is>
          <t>Föryngringsavverkning</t>
        </is>
      </c>
      <c r="D1262" s="1" t="n">
        <v>44657</v>
      </c>
      <c r="E1262" s="1" t="n">
        <v>46307</v>
      </c>
      <c r="F1262" t="inlineStr">
        <is>
          <t>VÄRMLANDS LÄN</t>
        </is>
      </c>
      <c r="G1262" t="inlineStr">
        <is>
          <t>KRISTINEHAMN</t>
        </is>
      </c>
      <c r="I1262" t="n">
        <v>3.5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6838-2022</t>
        </is>
      </c>
      <c r="B1263" t="inlineStr">
        <is>
          <t>avverkningsanmälan</t>
        </is>
      </c>
      <c r="C1263" t="inlineStr">
        <is>
          <t>Föryngringsavverkning</t>
        </is>
      </c>
      <c r="D1263" s="1" t="n">
        <v>44602</v>
      </c>
      <c r="E1263" s="1" t="n">
        <v>46307</v>
      </c>
      <c r="F1263" t="inlineStr">
        <is>
          <t>VÄRMLANDS LÄN</t>
        </is>
      </c>
      <c r="G1263" t="inlineStr">
        <is>
          <t>SÄFFLE</t>
        </is>
      </c>
      <c r="I1263" t="n">
        <v>0.5</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59510-2021</t>
        </is>
      </c>
      <c r="B1264" t="inlineStr">
        <is>
          <t>avverkningsanmälan</t>
        </is>
      </c>
      <c r="C1264" t="inlineStr">
        <is>
          <t>Föryngringsavverkning</t>
        </is>
      </c>
      <c r="D1264" s="1" t="n">
        <v>44491</v>
      </c>
      <c r="E1264" s="1" t="n">
        <v>46307</v>
      </c>
      <c r="F1264" t="inlineStr">
        <is>
          <t>VÄRMLANDS LÄN</t>
        </is>
      </c>
      <c r="G1264" t="inlineStr">
        <is>
          <t>SÄFFLE</t>
        </is>
      </c>
      <c r="I1264" t="n">
        <v>0.6</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4967-2022</t>
        </is>
      </c>
      <c r="B1265" t="inlineStr">
        <is>
          <t>avverkningsanmälan</t>
        </is>
      </c>
      <c r="C1265" t="inlineStr">
        <is>
          <t>Föryngringsavverkning</t>
        </is>
      </c>
      <c r="D1265" s="1" t="n">
        <v>44593</v>
      </c>
      <c r="E1265" s="1" t="n">
        <v>46307</v>
      </c>
      <c r="F1265" t="inlineStr">
        <is>
          <t>VÄRMLANDS LÄN</t>
        </is>
      </c>
      <c r="G1265" t="inlineStr">
        <is>
          <t>TORSBY</t>
        </is>
      </c>
      <c r="I1265" t="n">
        <v>1.6</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61036-2021</t>
        </is>
      </c>
      <c r="B1266" t="inlineStr">
        <is>
          <t>avverkningsanmälan</t>
        </is>
      </c>
      <c r="C1266" t="inlineStr">
        <is>
          <t>Föryngringsavverkning</t>
        </is>
      </c>
      <c r="D1266" s="1" t="n">
        <v>44497</v>
      </c>
      <c r="E1266" s="1" t="n">
        <v>46307</v>
      </c>
      <c r="F1266" t="inlineStr">
        <is>
          <t>VÄRMLANDS LÄN</t>
        </is>
      </c>
      <c r="G1266" t="inlineStr">
        <is>
          <t>KRISTINEHAMN</t>
        </is>
      </c>
      <c r="I1266" t="n">
        <v>1.9</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5461-2022</t>
        </is>
      </c>
      <c r="B1267" t="inlineStr">
        <is>
          <t>avverkningsanmälan</t>
        </is>
      </c>
      <c r="C1267" t="inlineStr">
        <is>
          <t>Föryngringsavverkning</t>
        </is>
      </c>
      <c r="D1267" s="1" t="n">
        <v>44594</v>
      </c>
      <c r="E1267" s="1" t="n">
        <v>46307</v>
      </c>
      <c r="F1267" t="inlineStr">
        <is>
          <t>VÄRMLANDS LÄN</t>
        </is>
      </c>
      <c r="G1267" t="inlineStr">
        <is>
          <t>KARLSTAD</t>
        </is>
      </c>
      <c r="I1267" t="n">
        <v>3.3</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53392-2022</t>
        </is>
      </c>
      <c r="B1268" t="inlineStr">
        <is>
          <t>avverkningsanmälan</t>
        </is>
      </c>
      <c r="C1268" t="inlineStr">
        <is>
          <t>Föryngringsavverkning</t>
        </is>
      </c>
      <c r="D1268" s="1" t="n">
        <v>44874</v>
      </c>
      <c r="E1268" s="1" t="n">
        <v>46307</v>
      </c>
      <c r="F1268" t="inlineStr">
        <is>
          <t>VÄRMLANDS LÄN</t>
        </is>
      </c>
      <c r="G1268" t="inlineStr">
        <is>
          <t>ARVIKA</t>
        </is>
      </c>
      <c r="I1268" t="n">
        <v>2.5</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58288-2021</t>
        </is>
      </c>
      <c r="B1269" t="inlineStr">
        <is>
          <t>avverkningsanmälan</t>
        </is>
      </c>
      <c r="C1269" t="inlineStr">
        <is>
          <t>Föryngringsavverkning</t>
        </is>
      </c>
      <c r="D1269" s="1" t="n">
        <v>44488</v>
      </c>
      <c r="E1269" s="1" t="n">
        <v>46307</v>
      </c>
      <c r="F1269" t="inlineStr">
        <is>
          <t>VÄRMLANDS LÄN</t>
        </is>
      </c>
      <c r="G1269" t="inlineStr">
        <is>
          <t>ARVIKA</t>
        </is>
      </c>
      <c r="I1269" t="n">
        <v>1.7</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66439-2021</t>
        </is>
      </c>
      <c r="B1270" t="inlineStr">
        <is>
          <t>avverkningsanmälan</t>
        </is>
      </c>
      <c r="C1270" t="inlineStr">
        <is>
          <t>Föryngringsavverkning</t>
        </is>
      </c>
      <c r="D1270" s="1" t="n">
        <v>44518</v>
      </c>
      <c r="E1270" s="1" t="n">
        <v>46307</v>
      </c>
      <c r="F1270" t="inlineStr">
        <is>
          <t>VÄRMLANDS LÄN</t>
        </is>
      </c>
      <c r="G1270" t="inlineStr">
        <is>
          <t>KRISTINEHAMN</t>
        </is>
      </c>
      <c r="I1270" t="n">
        <v>0.5</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15314-2022</t>
        </is>
      </c>
      <c r="B1271" t="inlineStr">
        <is>
          <t>avverkningsanmälan</t>
        </is>
      </c>
      <c r="C1271" t="inlineStr">
        <is>
          <t>Föryngringsavverkning</t>
        </is>
      </c>
      <c r="D1271" s="1" t="n">
        <v>44659</v>
      </c>
      <c r="E1271" s="1" t="n">
        <v>46307</v>
      </c>
      <c r="F1271" t="inlineStr">
        <is>
          <t>VÄRMLANDS LÄN</t>
        </is>
      </c>
      <c r="G1271" t="inlineStr">
        <is>
          <t>ARVIKA</t>
        </is>
      </c>
      <c r="I1271" t="n">
        <v>1.7</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18697-2022</t>
        </is>
      </c>
      <c r="B1272" t="inlineStr">
        <is>
          <t>avverkningsanmälan</t>
        </is>
      </c>
      <c r="C1272" t="inlineStr">
        <is>
          <t>Föryngringsavverkning</t>
        </is>
      </c>
      <c r="D1272" s="1" t="n">
        <v>44687</v>
      </c>
      <c r="E1272" s="1" t="n">
        <v>46307</v>
      </c>
      <c r="F1272" t="inlineStr">
        <is>
          <t>VÄRMLANDS LÄN</t>
        </is>
      </c>
      <c r="G1272" t="inlineStr">
        <is>
          <t>KARLSTAD</t>
        </is>
      </c>
      <c r="H1272" t="inlineStr">
        <is>
          <t>Bergvik skog väst AB</t>
        </is>
      </c>
      <c r="I1272" t="n">
        <v>12.5</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16334-2022</t>
        </is>
      </c>
      <c r="B1273" t="inlineStr">
        <is>
          <t>avverkningsanmälan</t>
        </is>
      </c>
      <c r="C1273" t="inlineStr">
        <is>
          <t>Föryngringsavverkning</t>
        </is>
      </c>
      <c r="D1273" s="1" t="n">
        <v>44670</v>
      </c>
      <c r="E1273" s="1" t="n">
        <v>46307</v>
      </c>
      <c r="F1273" t="inlineStr">
        <is>
          <t>VÄRMLANDS LÄN</t>
        </is>
      </c>
      <c r="G1273" t="inlineStr">
        <is>
          <t>EDA</t>
        </is>
      </c>
      <c r="I1273" t="n">
        <v>0.8</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62984-2021</t>
        </is>
      </c>
      <c r="B1274" t="inlineStr">
        <is>
          <t>avverkningsanmälan</t>
        </is>
      </c>
      <c r="C1274" t="inlineStr">
        <is>
          <t>Föryngringsavverkning</t>
        </is>
      </c>
      <c r="D1274" s="1" t="n">
        <v>44505</v>
      </c>
      <c r="E1274" s="1" t="n">
        <v>46307</v>
      </c>
      <c r="F1274" t="inlineStr">
        <is>
          <t>VÄRMLANDS LÄN</t>
        </is>
      </c>
      <c r="G1274" t="inlineStr">
        <is>
          <t>ÅRJÄNG</t>
        </is>
      </c>
      <c r="I1274" t="n">
        <v>0.8</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37331-2022</t>
        </is>
      </c>
      <c r="B1275" t="inlineStr">
        <is>
          <t>avverkningsanmälan</t>
        </is>
      </c>
      <c r="C1275" t="inlineStr">
        <is>
          <t>Föryngringsavverkning</t>
        </is>
      </c>
      <c r="D1275" s="1" t="n">
        <v>44809</v>
      </c>
      <c r="E1275" s="1" t="n">
        <v>46307</v>
      </c>
      <c r="F1275" t="inlineStr">
        <is>
          <t>VÄRMLANDS LÄN</t>
        </is>
      </c>
      <c r="G1275" t="inlineStr">
        <is>
          <t>SUNNE</t>
        </is>
      </c>
      <c r="I1275" t="n">
        <v>9.199999999999999</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53044-2022</t>
        </is>
      </c>
      <c r="B1276" t="inlineStr">
        <is>
          <t>avverkningsanmälan</t>
        </is>
      </c>
      <c r="C1276" t="inlineStr">
        <is>
          <t>Avverkning för annat ändamål</t>
        </is>
      </c>
      <c r="D1276" s="1" t="n">
        <v>44876</v>
      </c>
      <c r="E1276" s="1" t="n">
        <v>46307</v>
      </c>
      <c r="F1276" t="inlineStr">
        <is>
          <t>VÄRMLANDS LÄN</t>
        </is>
      </c>
      <c r="G1276" t="inlineStr">
        <is>
          <t>TORSBY</t>
        </is>
      </c>
      <c r="I1276" t="n">
        <v>0.2</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53076-2022</t>
        </is>
      </c>
      <c r="B1277" t="inlineStr">
        <is>
          <t>avverkningsanmälan</t>
        </is>
      </c>
      <c r="C1277" t="inlineStr">
        <is>
          <t>Föryngringsavverkning</t>
        </is>
      </c>
      <c r="D1277" s="1" t="n">
        <v>44876</v>
      </c>
      <c r="E1277" s="1" t="n">
        <v>46307</v>
      </c>
      <c r="F1277" t="inlineStr">
        <is>
          <t>VÄRMLANDS LÄN</t>
        </is>
      </c>
      <c r="G1277" t="inlineStr">
        <is>
          <t>TORSBY</t>
        </is>
      </c>
      <c r="I1277" t="n">
        <v>0.4</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5758-2022</t>
        </is>
      </c>
      <c r="B1278" t="inlineStr">
        <is>
          <t>avverkningsanmälan</t>
        </is>
      </c>
      <c r="C1278" t="inlineStr">
        <is>
          <t>Föryngringsavverkning</t>
        </is>
      </c>
      <c r="D1278" s="1" t="n">
        <v>44596</v>
      </c>
      <c r="E1278" s="1" t="n">
        <v>46307</v>
      </c>
      <c r="F1278" t="inlineStr">
        <is>
          <t>VÄRMLANDS LÄN</t>
        </is>
      </c>
      <c r="G1278" t="inlineStr">
        <is>
          <t>FORSHAGA</t>
        </is>
      </c>
      <c r="H1278" t="inlineStr">
        <is>
          <t>Bergvik skog väst AB</t>
        </is>
      </c>
      <c r="I1278" t="n">
        <v>3.1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73467-2021</t>
        </is>
      </c>
      <c r="B1279" t="inlineStr">
        <is>
          <t>avverkningsanmälan</t>
        </is>
      </c>
      <c r="C1279" t="inlineStr">
        <is>
          <t>Föryngringsavverkning</t>
        </is>
      </c>
      <c r="D1279" s="1" t="n">
        <v>44551</v>
      </c>
      <c r="E1279" s="1" t="n">
        <v>46307</v>
      </c>
      <c r="F1279" t="inlineStr">
        <is>
          <t>VÄRMLANDS LÄN</t>
        </is>
      </c>
      <c r="G1279" t="inlineStr">
        <is>
          <t>SUNNE</t>
        </is>
      </c>
      <c r="I1279" t="n">
        <v>0.5</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46551-2022</t>
        </is>
      </c>
      <c r="B1280" t="inlineStr">
        <is>
          <t>avverkningsanmälan</t>
        </is>
      </c>
      <c r="C1280" t="inlineStr">
        <is>
          <t>Föryngringsavverkning</t>
        </is>
      </c>
      <c r="D1280" s="1" t="n">
        <v>44848</v>
      </c>
      <c r="E1280" s="1" t="n">
        <v>46307</v>
      </c>
      <c r="F1280" t="inlineStr">
        <is>
          <t>VÄRMLANDS LÄN</t>
        </is>
      </c>
      <c r="G1280" t="inlineStr">
        <is>
          <t>TORSBY</t>
        </is>
      </c>
      <c r="H1280" t="inlineStr">
        <is>
          <t>Bergvik skog väst AB</t>
        </is>
      </c>
      <c r="I1280" t="n">
        <v>3</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63964-2021</t>
        </is>
      </c>
      <c r="B1281" t="inlineStr">
        <is>
          <t>avverkningsanmälan</t>
        </is>
      </c>
      <c r="C1281" t="inlineStr">
        <is>
          <t>Föryngringsavverkning</t>
        </is>
      </c>
      <c r="D1281" s="1" t="n">
        <v>44509</v>
      </c>
      <c r="E1281" s="1" t="n">
        <v>46307</v>
      </c>
      <c r="F1281" t="inlineStr">
        <is>
          <t>VÄRMLANDS LÄN</t>
        </is>
      </c>
      <c r="G1281" t="inlineStr">
        <is>
          <t>GRUMS</t>
        </is>
      </c>
      <c r="I1281" t="n">
        <v>0.5</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4061-2022</t>
        </is>
      </c>
      <c r="B1282" t="inlineStr">
        <is>
          <t>avverkningsanmälan</t>
        </is>
      </c>
      <c r="C1282" t="inlineStr">
        <is>
          <t>Föryngringsavverkning</t>
        </is>
      </c>
      <c r="D1282" s="1" t="n">
        <v>44588</v>
      </c>
      <c r="E1282" s="1" t="n">
        <v>46307</v>
      </c>
      <c r="F1282" t="inlineStr">
        <is>
          <t>VÄRMLANDS LÄN</t>
        </is>
      </c>
      <c r="G1282" t="inlineStr">
        <is>
          <t>ARVIKA</t>
        </is>
      </c>
      <c r="I1282" t="n">
        <v>1.9</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61306-2021</t>
        </is>
      </c>
      <c r="B1283" t="inlineStr">
        <is>
          <t>avverkningsanmälan</t>
        </is>
      </c>
      <c r="C1283" t="inlineStr">
        <is>
          <t>Avverkning för annat ändamål</t>
        </is>
      </c>
      <c r="D1283" s="1" t="n">
        <v>44498</v>
      </c>
      <c r="E1283" s="1" t="n">
        <v>46307</v>
      </c>
      <c r="F1283" t="inlineStr">
        <is>
          <t>VÄRMLANDS LÄN</t>
        </is>
      </c>
      <c r="G1283" t="inlineStr">
        <is>
          <t>GRUMS</t>
        </is>
      </c>
      <c r="I1283" t="n">
        <v>1.1</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67023-2021</t>
        </is>
      </c>
      <c r="B1284" t="inlineStr">
        <is>
          <t>avverkningsanmälan</t>
        </is>
      </c>
      <c r="C1284" t="inlineStr">
        <is>
          <t>Föryngringsavverkning</t>
        </is>
      </c>
      <c r="D1284" s="1" t="n">
        <v>44522</v>
      </c>
      <c r="E1284" s="1" t="n">
        <v>46307</v>
      </c>
      <c r="F1284" t="inlineStr">
        <is>
          <t>VÄRMLANDS LÄN</t>
        </is>
      </c>
      <c r="G1284" t="inlineStr">
        <is>
          <t>ÅRJÄNG</t>
        </is>
      </c>
      <c r="I1284" t="n">
        <v>4.7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32543-2022</t>
        </is>
      </c>
      <c r="B1285" t="inlineStr">
        <is>
          <t>avverkningsanmälan</t>
        </is>
      </c>
      <c r="C1285" t="inlineStr">
        <is>
          <t>Föryngringsavverkning</t>
        </is>
      </c>
      <c r="D1285" s="1" t="n">
        <v>44783</v>
      </c>
      <c r="E1285" s="1" t="n">
        <v>46307</v>
      </c>
      <c r="F1285" t="inlineStr">
        <is>
          <t>VÄRMLANDS LÄN</t>
        </is>
      </c>
      <c r="G1285" t="inlineStr">
        <is>
          <t>SUNNE</t>
        </is>
      </c>
      <c r="H1285" t="inlineStr">
        <is>
          <t>Kommuner</t>
        </is>
      </c>
      <c r="I1285" t="n">
        <v>4.2</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74331-2021</t>
        </is>
      </c>
      <c r="B1286" t="inlineStr">
        <is>
          <t>avverkningsanmälan</t>
        </is>
      </c>
      <c r="C1286" t="inlineStr">
        <is>
          <t>Föryngringsavverkning</t>
        </is>
      </c>
      <c r="D1286" s="1" t="n">
        <v>44559</v>
      </c>
      <c r="E1286" s="1" t="n">
        <v>46307</v>
      </c>
      <c r="F1286" t="inlineStr">
        <is>
          <t>VÄRMLANDS LÄN</t>
        </is>
      </c>
      <c r="G1286" t="inlineStr">
        <is>
          <t>ARVIKA</t>
        </is>
      </c>
      <c r="I1286" t="n">
        <v>3.8</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36527-2022</t>
        </is>
      </c>
      <c r="B1287" t="inlineStr">
        <is>
          <t>avverkningsanmälan</t>
        </is>
      </c>
      <c r="C1287" t="inlineStr">
        <is>
          <t>Föryngringsavverkning</t>
        </is>
      </c>
      <c r="D1287" s="1" t="n">
        <v>44804</v>
      </c>
      <c r="E1287" s="1" t="n">
        <v>46307</v>
      </c>
      <c r="F1287" t="inlineStr">
        <is>
          <t>VÄRMLANDS LÄN</t>
        </is>
      </c>
      <c r="G1287" t="inlineStr">
        <is>
          <t>TORSBY</t>
        </is>
      </c>
      <c r="I1287" t="n">
        <v>0.9</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40107-2022</t>
        </is>
      </c>
      <c r="B1288" t="inlineStr">
        <is>
          <t>avverkningsanmälan</t>
        </is>
      </c>
      <c r="C1288" t="inlineStr">
        <is>
          <t>Föryngringsavverkning</t>
        </is>
      </c>
      <c r="D1288" s="1" t="n">
        <v>44820</v>
      </c>
      <c r="E1288" s="1" t="n">
        <v>46307</v>
      </c>
      <c r="F1288" t="inlineStr">
        <is>
          <t>VÄRMLANDS LÄN</t>
        </is>
      </c>
      <c r="G1288" t="inlineStr">
        <is>
          <t>KIL</t>
        </is>
      </c>
      <c r="H1288" t="inlineStr">
        <is>
          <t>Kommuner</t>
        </is>
      </c>
      <c r="I1288" t="n">
        <v>0.5</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71742-2021</t>
        </is>
      </c>
      <c r="B1289" t="inlineStr">
        <is>
          <t>avverkningsanmälan</t>
        </is>
      </c>
      <c r="C1289" t="inlineStr">
        <is>
          <t>Föryngringsavverkning</t>
        </is>
      </c>
      <c r="D1289" s="1" t="n">
        <v>44543</v>
      </c>
      <c r="E1289" s="1" t="n">
        <v>46307</v>
      </c>
      <c r="F1289" t="inlineStr">
        <is>
          <t>VÄRMLANDS LÄN</t>
        </is>
      </c>
      <c r="G1289" t="inlineStr">
        <is>
          <t>SÄFFLE</t>
        </is>
      </c>
      <c r="I1289" t="n">
        <v>0.6</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52543-2022</t>
        </is>
      </c>
      <c r="B1290" t="inlineStr">
        <is>
          <t>avverkningsanmälan</t>
        </is>
      </c>
      <c r="C1290" t="inlineStr">
        <is>
          <t>Föryngringsavverkning</t>
        </is>
      </c>
      <c r="D1290" s="1" t="n">
        <v>44874</v>
      </c>
      <c r="E1290" s="1" t="n">
        <v>46307</v>
      </c>
      <c r="F1290" t="inlineStr">
        <is>
          <t>VÄRMLANDS LÄN</t>
        </is>
      </c>
      <c r="G1290" t="inlineStr">
        <is>
          <t>TORSBY</t>
        </is>
      </c>
      <c r="I1290" t="n">
        <v>10.1</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36532-2022</t>
        </is>
      </c>
      <c r="B1291" t="inlineStr">
        <is>
          <t>avverkningsanmälan</t>
        </is>
      </c>
      <c r="C1291" t="inlineStr">
        <is>
          <t>Föryngringsavverkning</t>
        </is>
      </c>
      <c r="D1291" s="1" t="n">
        <v>44804</v>
      </c>
      <c r="E1291" s="1" t="n">
        <v>46307</v>
      </c>
      <c r="F1291" t="inlineStr">
        <is>
          <t>VÄRMLANDS LÄN</t>
        </is>
      </c>
      <c r="G1291" t="inlineStr">
        <is>
          <t>ÅRJÄNG</t>
        </is>
      </c>
      <c r="I1291" t="n">
        <v>12.7</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36572-2022</t>
        </is>
      </c>
      <c r="B1292" t="inlineStr">
        <is>
          <t>avverkningsanmälan</t>
        </is>
      </c>
      <c r="C1292" t="inlineStr">
        <is>
          <t>Föryngringsavverkning</t>
        </is>
      </c>
      <c r="D1292" s="1" t="n">
        <v>44804</v>
      </c>
      <c r="E1292" s="1" t="n">
        <v>46307</v>
      </c>
      <c r="F1292" t="inlineStr">
        <is>
          <t>VÄRMLANDS LÄN</t>
        </is>
      </c>
      <c r="G1292" t="inlineStr">
        <is>
          <t>TORSBY</t>
        </is>
      </c>
      <c r="I1292" t="n">
        <v>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24442-2022</t>
        </is>
      </c>
      <c r="B1293" t="inlineStr">
        <is>
          <t>avverkningsanmälan</t>
        </is>
      </c>
      <c r="C1293" t="inlineStr">
        <is>
          <t>Föryngringsavverkning</t>
        </is>
      </c>
      <c r="D1293" s="1" t="n">
        <v>44726</v>
      </c>
      <c r="E1293" s="1" t="n">
        <v>46307</v>
      </c>
      <c r="F1293" t="inlineStr">
        <is>
          <t>VÄRMLANDS LÄN</t>
        </is>
      </c>
      <c r="G1293" t="inlineStr">
        <is>
          <t>FILIPSTAD</t>
        </is>
      </c>
      <c r="H1293" t="inlineStr">
        <is>
          <t>Bergvik skog väst AB</t>
        </is>
      </c>
      <c r="I1293" t="n">
        <v>30.7</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63714-2021</t>
        </is>
      </c>
      <c r="B1294" t="inlineStr">
        <is>
          <t>avverkningsanmälan</t>
        </is>
      </c>
      <c r="C1294" t="inlineStr">
        <is>
          <t>Föryngringsavverkning</t>
        </is>
      </c>
      <c r="D1294" s="1" t="n">
        <v>44505</v>
      </c>
      <c r="E1294" s="1" t="n">
        <v>46307</v>
      </c>
      <c r="F1294" t="inlineStr">
        <is>
          <t>VÄRMLANDS LÄN</t>
        </is>
      </c>
      <c r="G1294" t="inlineStr">
        <is>
          <t>FILIPSTAD</t>
        </is>
      </c>
      <c r="I1294" t="n">
        <v>1.4</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16256-2022</t>
        </is>
      </c>
      <c r="B1295" t="inlineStr">
        <is>
          <t>avverkningsanmälan</t>
        </is>
      </c>
      <c r="C1295" t="inlineStr">
        <is>
          <t>Föryngringsavverkning</t>
        </is>
      </c>
      <c r="D1295" s="1" t="n">
        <v>44669</v>
      </c>
      <c r="E1295" s="1" t="n">
        <v>46307</v>
      </c>
      <c r="F1295" t="inlineStr">
        <is>
          <t>VÄRMLANDS LÄN</t>
        </is>
      </c>
      <c r="G1295" t="inlineStr">
        <is>
          <t>ARVIKA</t>
        </is>
      </c>
      <c r="I1295" t="n">
        <v>0.8</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60933-2021</t>
        </is>
      </c>
      <c r="B1296" t="inlineStr">
        <is>
          <t>avverkningsanmälan</t>
        </is>
      </c>
      <c r="C1296" t="inlineStr">
        <is>
          <t>Föryngringsavverkning</t>
        </is>
      </c>
      <c r="D1296" s="1" t="n">
        <v>44497</v>
      </c>
      <c r="E1296" s="1" t="n">
        <v>46307</v>
      </c>
      <c r="F1296" t="inlineStr">
        <is>
          <t>VÄRMLANDS LÄN</t>
        </is>
      </c>
      <c r="G1296" t="inlineStr">
        <is>
          <t>SUNNE</t>
        </is>
      </c>
      <c r="I1296" t="n">
        <v>1.5</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10894-2022</t>
        </is>
      </c>
      <c r="B1297" t="inlineStr">
        <is>
          <t>avverkningsanmälan</t>
        </is>
      </c>
      <c r="C1297" t="inlineStr">
        <is>
          <t>Föryngringsavverkning</t>
        </is>
      </c>
      <c r="D1297" s="1" t="n">
        <v>44627</v>
      </c>
      <c r="E1297" s="1" t="n">
        <v>46307</v>
      </c>
      <c r="F1297" t="inlineStr">
        <is>
          <t>VÄRMLANDS LÄN</t>
        </is>
      </c>
      <c r="G1297" t="inlineStr">
        <is>
          <t>GRUMS</t>
        </is>
      </c>
      <c r="I1297" t="n">
        <v>1.9</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10898-2022</t>
        </is>
      </c>
      <c r="B1298" t="inlineStr">
        <is>
          <t>avverkningsanmälan</t>
        </is>
      </c>
      <c r="C1298" t="inlineStr">
        <is>
          <t>Föryngringsavverkning</t>
        </is>
      </c>
      <c r="D1298" s="1" t="n">
        <v>44627</v>
      </c>
      <c r="E1298" s="1" t="n">
        <v>46307</v>
      </c>
      <c r="F1298" t="inlineStr">
        <is>
          <t>VÄRMLANDS LÄN</t>
        </is>
      </c>
      <c r="G1298" t="inlineStr">
        <is>
          <t>ÅRJÄNG</t>
        </is>
      </c>
      <c r="I1298" t="n">
        <v>10.2</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2461-2022</t>
        </is>
      </c>
      <c r="B1299" t="inlineStr">
        <is>
          <t>avverkningsanmälan</t>
        </is>
      </c>
      <c r="C1299" t="inlineStr">
        <is>
          <t>Avverkning för annat ändamål</t>
        </is>
      </c>
      <c r="D1299" s="1" t="n">
        <v>44579</v>
      </c>
      <c r="E1299" s="1" t="n">
        <v>46307</v>
      </c>
      <c r="F1299" t="inlineStr">
        <is>
          <t>VÄRMLANDS LÄN</t>
        </is>
      </c>
      <c r="G1299" t="inlineStr">
        <is>
          <t>SUNNE</t>
        </is>
      </c>
      <c r="H1299" t="inlineStr">
        <is>
          <t>Kommuner</t>
        </is>
      </c>
      <c r="I1299" t="n">
        <v>0.7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72291-2021</t>
        </is>
      </c>
      <c r="B1300" t="inlineStr">
        <is>
          <t>avverkningsanmälan</t>
        </is>
      </c>
      <c r="C1300" t="inlineStr">
        <is>
          <t>Föryngringsavverkning</t>
        </is>
      </c>
      <c r="D1300" s="1" t="n">
        <v>44545</v>
      </c>
      <c r="E1300" s="1" t="n">
        <v>46307</v>
      </c>
      <c r="F1300" t="inlineStr">
        <is>
          <t>VÄRMLANDS LÄN</t>
        </is>
      </c>
      <c r="G1300" t="inlineStr">
        <is>
          <t>ÅRJÄNG</t>
        </is>
      </c>
      <c r="I1300" t="n">
        <v>1.3</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65998-2021</t>
        </is>
      </c>
      <c r="B1301" t="inlineStr">
        <is>
          <t>avverkningsanmälan</t>
        </is>
      </c>
      <c r="C1301" t="inlineStr">
        <is>
          <t>Avverkning för annat ändamål</t>
        </is>
      </c>
      <c r="D1301" s="1" t="n">
        <v>44517</v>
      </c>
      <c r="E1301" s="1" t="n">
        <v>46307</v>
      </c>
      <c r="F1301" t="inlineStr">
        <is>
          <t>VÄRMLANDS LÄN</t>
        </is>
      </c>
      <c r="G1301" t="inlineStr">
        <is>
          <t>TORSBY</t>
        </is>
      </c>
      <c r="I1301" t="n">
        <v>0.7</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70775-2021</t>
        </is>
      </c>
      <c r="B1302" t="inlineStr">
        <is>
          <t>avverkningsanmälan</t>
        </is>
      </c>
      <c r="C1302" t="inlineStr">
        <is>
          <t>Föryngringsavverkning</t>
        </is>
      </c>
      <c r="D1302" s="1" t="n">
        <v>44537</v>
      </c>
      <c r="E1302" s="1" t="n">
        <v>46307</v>
      </c>
      <c r="F1302" t="inlineStr">
        <is>
          <t>VÄRMLANDS LÄN</t>
        </is>
      </c>
      <c r="G1302" t="inlineStr">
        <is>
          <t>TORSBY</t>
        </is>
      </c>
      <c r="I1302" t="n">
        <v>0.3</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40855-2022</t>
        </is>
      </c>
      <c r="B1303" t="inlineStr">
        <is>
          <t>avverkningsanmälan</t>
        </is>
      </c>
      <c r="C1303" t="inlineStr">
        <is>
          <t>Avverkning för annat ändamål</t>
        </is>
      </c>
      <c r="D1303" s="1" t="n">
        <v>44825</v>
      </c>
      <c r="E1303" s="1" t="n">
        <v>46307</v>
      </c>
      <c r="F1303" t="inlineStr">
        <is>
          <t>VÄRMLANDS LÄN</t>
        </is>
      </c>
      <c r="G1303" t="inlineStr">
        <is>
          <t>KARLSTAD</t>
        </is>
      </c>
      <c r="I1303" t="n">
        <v>1.1</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51962-2022</t>
        </is>
      </c>
      <c r="B1304" t="inlineStr">
        <is>
          <t>avverkningsanmälan</t>
        </is>
      </c>
      <c r="C1304" t="inlineStr">
        <is>
          <t>Föryngringsavverkning</t>
        </is>
      </c>
      <c r="D1304" s="1" t="n">
        <v>44872</v>
      </c>
      <c r="E1304" s="1" t="n">
        <v>46307</v>
      </c>
      <c r="F1304" t="inlineStr">
        <is>
          <t>VÄRMLANDS LÄN</t>
        </is>
      </c>
      <c r="G1304" t="inlineStr">
        <is>
          <t>ÅRJÄNG</t>
        </is>
      </c>
      <c r="I1304" t="n">
        <v>1.7</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4448-2022</t>
        </is>
      </c>
      <c r="B1305" t="inlineStr">
        <is>
          <t>avverkningsanmälan</t>
        </is>
      </c>
      <c r="C1305" t="inlineStr">
        <is>
          <t>Föryngringsavverkning</t>
        </is>
      </c>
      <c r="D1305" s="1" t="n">
        <v>44589</v>
      </c>
      <c r="E1305" s="1" t="n">
        <v>46307</v>
      </c>
      <c r="F1305" t="inlineStr">
        <is>
          <t>VÄRMLANDS LÄN</t>
        </is>
      </c>
      <c r="G1305" t="inlineStr">
        <is>
          <t>KIL</t>
        </is>
      </c>
      <c r="I1305" t="n">
        <v>0.4</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56886-2021</t>
        </is>
      </c>
      <c r="B1306" t="inlineStr">
        <is>
          <t>avverkningsanmälan</t>
        </is>
      </c>
      <c r="C1306" t="inlineStr">
        <is>
          <t>Föryngringsavverkning</t>
        </is>
      </c>
      <c r="D1306" s="1" t="n">
        <v>44481</v>
      </c>
      <c r="E1306" s="1" t="n">
        <v>46307</v>
      </c>
      <c r="F1306" t="inlineStr">
        <is>
          <t>VÄRMLANDS LÄN</t>
        </is>
      </c>
      <c r="G1306" t="inlineStr">
        <is>
          <t>SUNNE</t>
        </is>
      </c>
      <c r="I1306" t="n">
        <v>1.9</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27045-2022</t>
        </is>
      </c>
      <c r="B1307" t="inlineStr">
        <is>
          <t>avverkningsanmälan</t>
        </is>
      </c>
      <c r="C1307" t="inlineStr">
        <is>
          <t>Föryngringsavverkning</t>
        </is>
      </c>
      <c r="D1307" s="1" t="n">
        <v>44741</v>
      </c>
      <c r="E1307" s="1" t="n">
        <v>46307</v>
      </c>
      <c r="F1307" t="inlineStr">
        <is>
          <t>VÄRMLANDS LÄN</t>
        </is>
      </c>
      <c r="G1307" t="inlineStr">
        <is>
          <t>HAGFORS</t>
        </is>
      </c>
      <c r="I1307" t="n">
        <v>0.7</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48203-2022</t>
        </is>
      </c>
      <c r="B1308" t="inlineStr">
        <is>
          <t>avverkningsanmälan</t>
        </is>
      </c>
      <c r="C1308" t="inlineStr">
        <is>
          <t>Föryngringsavverkning</t>
        </is>
      </c>
      <c r="D1308" s="1" t="n">
        <v>44858</v>
      </c>
      <c r="E1308" s="1" t="n">
        <v>46307</v>
      </c>
      <c r="F1308" t="inlineStr">
        <is>
          <t>VÄRMLANDS LÄN</t>
        </is>
      </c>
      <c r="G1308" t="inlineStr">
        <is>
          <t>HAGFORS</t>
        </is>
      </c>
      <c r="I1308" t="n">
        <v>0.4</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5667-2022</t>
        </is>
      </c>
      <c r="B1309" t="inlineStr">
        <is>
          <t>avverkningsanmälan</t>
        </is>
      </c>
      <c r="C1309" t="inlineStr">
        <is>
          <t>Föryngringsavverkning</t>
        </is>
      </c>
      <c r="D1309" s="1" t="n">
        <v>44595</v>
      </c>
      <c r="E1309" s="1" t="n">
        <v>46307</v>
      </c>
      <c r="F1309" t="inlineStr">
        <is>
          <t>VÄRMLANDS LÄN</t>
        </is>
      </c>
      <c r="G1309" t="inlineStr">
        <is>
          <t>ÅRJÄNG</t>
        </is>
      </c>
      <c r="I1309" t="n">
        <v>4.4</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63112-2021</t>
        </is>
      </c>
      <c r="B1310" t="inlineStr">
        <is>
          <t>avverkningsanmälan</t>
        </is>
      </c>
      <c r="C1310" t="inlineStr">
        <is>
          <t>Föryngringsavverkning</t>
        </is>
      </c>
      <c r="D1310" s="1" t="n">
        <v>44505</v>
      </c>
      <c r="E1310" s="1" t="n">
        <v>46307</v>
      </c>
      <c r="F1310" t="inlineStr">
        <is>
          <t>VÄRMLANDS LÄN</t>
        </is>
      </c>
      <c r="G1310" t="inlineStr">
        <is>
          <t>SÄFFLE</t>
        </is>
      </c>
      <c r="I1310" t="n">
        <v>2.3</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57287-2021</t>
        </is>
      </c>
      <c r="B1311" t="inlineStr">
        <is>
          <t>avverkningsanmälan</t>
        </is>
      </c>
      <c r="C1311" t="inlineStr">
        <is>
          <t>Föryngringsavverkning</t>
        </is>
      </c>
      <c r="D1311" s="1" t="n">
        <v>44482</v>
      </c>
      <c r="E1311" s="1" t="n">
        <v>46307</v>
      </c>
      <c r="F1311" t="inlineStr">
        <is>
          <t>VÄRMLANDS LÄN</t>
        </is>
      </c>
      <c r="G1311" t="inlineStr">
        <is>
          <t>TORSBY</t>
        </is>
      </c>
      <c r="I1311" t="n">
        <v>2.7</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39661-2022</t>
        </is>
      </c>
      <c r="B1312" t="inlineStr">
        <is>
          <t>avverkningsanmälan</t>
        </is>
      </c>
      <c r="C1312" t="inlineStr">
        <is>
          <t>Föryngringsavverkning</t>
        </is>
      </c>
      <c r="D1312" s="1" t="n">
        <v>44818</v>
      </c>
      <c r="E1312" s="1" t="n">
        <v>46307</v>
      </c>
      <c r="F1312" t="inlineStr">
        <is>
          <t>VÄRMLANDS LÄN</t>
        </is>
      </c>
      <c r="G1312" t="inlineStr">
        <is>
          <t>ÅRJÄNG</t>
        </is>
      </c>
      <c r="I1312" t="n">
        <v>0.6</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53294-2022</t>
        </is>
      </c>
      <c r="B1313" t="inlineStr">
        <is>
          <t>avverkningsanmälan</t>
        </is>
      </c>
      <c r="C1313" t="inlineStr">
        <is>
          <t>Föryngringsavverkning</t>
        </is>
      </c>
      <c r="D1313" s="1" t="n">
        <v>44877</v>
      </c>
      <c r="E1313" s="1" t="n">
        <v>46307</v>
      </c>
      <c r="F1313" t="inlineStr">
        <is>
          <t>VÄRMLANDS LÄN</t>
        </is>
      </c>
      <c r="G1313" t="inlineStr">
        <is>
          <t>EDA</t>
        </is>
      </c>
      <c r="I1313" t="n">
        <v>0.2</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17765-2022</t>
        </is>
      </c>
      <c r="B1314" t="inlineStr">
        <is>
          <t>avverkningsanmälan</t>
        </is>
      </c>
      <c r="C1314" t="inlineStr">
        <is>
          <t>Föryngringsavverkning</t>
        </is>
      </c>
      <c r="D1314" s="1" t="n">
        <v>44681</v>
      </c>
      <c r="E1314" s="1" t="n">
        <v>46307</v>
      </c>
      <c r="F1314" t="inlineStr">
        <is>
          <t>VÄRMLANDS LÄN</t>
        </is>
      </c>
      <c r="G1314" t="inlineStr">
        <is>
          <t>TORSBY</t>
        </is>
      </c>
      <c r="I1314" t="n">
        <v>1.2</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54617-2022</t>
        </is>
      </c>
      <c r="B1315" t="inlineStr">
        <is>
          <t>avverkningsanmälan</t>
        </is>
      </c>
      <c r="C1315" t="inlineStr">
        <is>
          <t>Föryngringsavverkning</t>
        </is>
      </c>
      <c r="D1315" s="1" t="n">
        <v>44883</v>
      </c>
      <c r="E1315" s="1" t="n">
        <v>46307</v>
      </c>
      <c r="F1315" t="inlineStr">
        <is>
          <t>VÄRMLANDS LÄN</t>
        </is>
      </c>
      <c r="G1315" t="inlineStr">
        <is>
          <t>EDA</t>
        </is>
      </c>
      <c r="I1315" t="n">
        <v>2.7</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46829-2022</t>
        </is>
      </c>
      <c r="B1316" t="inlineStr">
        <is>
          <t>avverkningsanmälan</t>
        </is>
      </c>
      <c r="C1316" t="inlineStr">
        <is>
          <t>Föryngringsavverkning</t>
        </is>
      </c>
      <c r="D1316" s="1" t="n">
        <v>44851</v>
      </c>
      <c r="E1316" s="1" t="n">
        <v>46307</v>
      </c>
      <c r="F1316" t="inlineStr">
        <is>
          <t>VÄRMLANDS LÄN</t>
        </is>
      </c>
      <c r="G1316" t="inlineStr">
        <is>
          <t>ARVIKA</t>
        </is>
      </c>
      <c r="I1316" t="n">
        <v>0.6</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68014-2021</t>
        </is>
      </c>
      <c r="B1317" t="inlineStr">
        <is>
          <t>avverkningsanmälan</t>
        </is>
      </c>
      <c r="C1317" t="inlineStr">
        <is>
          <t>Föryngringsavverkning</t>
        </is>
      </c>
      <c r="D1317" s="1" t="n">
        <v>44525</v>
      </c>
      <c r="E1317" s="1" t="n">
        <v>46307</v>
      </c>
      <c r="F1317" t="inlineStr">
        <is>
          <t>VÄRMLANDS LÄN</t>
        </is>
      </c>
      <c r="G1317" t="inlineStr">
        <is>
          <t>SUNNE</t>
        </is>
      </c>
      <c r="I1317" t="n">
        <v>2.7</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64814-2021</t>
        </is>
      </c>
      <c r="B1318" t="inlineStr">
        <is>
          <t>avverkningsanmälan</t>
        </is>
      </c>
      <c r="C1318" t="inlineStr">
        <is>
          <t>Föryngringsavverkning</t>
        </is>
      </c>
      <c r="D1318" s="1" t="n">
        <v>44512</v>
      </c>
      <c r="E1318" s="1" t="n">
        <v>46307</v>
      </c>
      <c r="F1318" t="inlineStr">
        <is>
          <t>VÄRMLANDS LÄN</t>
        </is>
      </c>
      <c r="G1318" t="inlineStr">
        <is>
          <t>STORFORS</t>
        </is>
      </c>
      <c r="I1318" t="n">
        <v>1.3</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2834-2022</t>
        </is>
      </c>
      <c r="B1319" t="inlineStr">
        <is>
          <t>avverkningsanmälan</t>
        </is>
      </c>
      <c r="C1319" t="inlineStr">
        <is>
          <t>Föryngringsavverkning</t>
        </is>
      </c>
      <c r="D1319" s="1" t="n">
        <v>44581</v>
      </c>
      <c r="E1319" s="1" t="n">
        <v>46307</v>
      </c>
      <c r="F1319" t="inlineStr">
        <is>
          <t>VÄRMLANDS LÄN</t>
        </is>
      </c>
      <c r="G1319" t="inlineStr">
        <is>
          <t>FORSHAGA</t>
        </is>
      </c>
      <c r="I1319" t="n">
        <v>3.5</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67654-2021</t>
        </is>
      </c>
      <c r="B1320" t="inlineStr">
        <is>
          <t>avverkningsanmälan</t>
        </is>
      </c>
      <c r="C1320" t="inlineStr">
        <is>
          <t>Föryngringsavverkning</t>
        </is>
      </c>
      <c r="D1320" s="1" t="n">
        <v>44524</v>
      </c>
      <c r="E1320" s="1" t="n">
        <v>46307</v>
      </c>
      <c r="F1320" t="inlineStr">
        <is>
          <t>VÄRMLANDS LÄN</t>
        </is>
      </c>
      <c r="G1320" t="inlineStr">
        <is>
          <t>ARVIKA</t>
        </is>
      </c>
      <c r="I1320" t="n">
        <v>1.1</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52391-2022</t>
        </is>
      </c>
      <c r="B1321" t="inlineStr">
        <is>
          <t>avverkningsanmälan</t>
        </is>
      </c>
      <c r="C1321" t="inlineStr">
        <is>
          <t>Föryngringsavverkning</t>
        </is>
      </c>
      <c r="D1321" s="1" t="n">
        <v>44874</v>
      </c>
      <c r="E1321" s="1" t="n">
        <v>46307</v>
      </c>
      <c r="F1321" t="inlineStr">
        <is>
          <t>VÄRMLANDS LÄN</t>
        </is>
      </c>
      <c r="G1321" t="inlineStr">
        <is>
          <t>EDA</t>
        </is>
      </c>
      <c r="I1321" t="n">
        <v>1.2</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52410-2022</t>
        </is>
      </c>
      <c r="B1322" t="inlineStr">
        <is>
          <t>avverkningsanmälan</t>
        </is>
      </c>
      <c r="C1322" t="inlineStr">
        <is>
          <t>Föryngringsavverkning</t>
        </is>
      </c>
      <c r="D1322" s="1" t="n">
        <v>44874</v>
      </c>
      <c r="E1322" s="1" t="n">
        <v>46307</v>
      </c>
      <c r="F1322" t="inlineStr">
        <is>
          <t>VÄRMLANDS LÄN</t>
        </is>
      </c>
      <c r="G1322" t="inlineStr">
        <is>
          <t>EDA</t>
        </is>
      </c>
      <c r="I1322" t="n">
        <v>3.8</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4400-2022</t>
        </is>
      </c>
      <c r="B1323" t="inlineStr">
        <is>
          <t>avverkningsanmälan</t>
        </is>
      </c>
      <c r="C1323" t="inlineStr">
        <is>
          <t>Föryngringsavverkning</t>
        </is>
      </c>
      <c r="D1323" s="1" t="n">
        <v>44588</v>
      </c>
      <c r="E1323" s="1" t="n">
        <v>46307</v>
      </c>
      <c r="F1323" t="inlineStr">
        <is>
          <t>VÄRMLANDS LÄN</t>
        </is>
      </c>
      <c r="G1323" t="inlineStr">
        <is>
          <t>ÅRJÄNG</t>
        </is>
      </c>
      <c r="I1323" t="n">
        <v>3.4</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59341-2021</t>
        </is>
      </c>
      <c r="B1324" t="inlineStr">
        <is>
          <t>avverkningsanmälan</t>
        </is>
      </c>
      <c r="C1324" t="inlineStr">
        <is>
          <t>Föryngringsavverkning</t>
        </is>
      </c>
      <c r="D1324" s="1" t="n">
        <v>44491</v>
      </c>
      <c r="E1324" s="1" t="n">
        <v>46307</v>
      </c>
      <c r="F1324" t="inlineStr">
        <is>
          <t>VÄRMLANDS LÄN</t>
        </is>
      </c>
      <c r="G1324" t="inlineStr">
        <is>
          <t>ÅRJÄNG</t>
        </is>
      </c>
      <c r="I1324" t="n">
        <v>0.4</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70883-2021</t>
        </is>
      </c>
      <c r="B1325" t="inlineStr">
        <is>
          <t>avverkningsanmälan</t>
        </is>
      </c>
      <c r="C1325" t="inlineStr">
        <is>
          <t>Föryngringsavverkning</t>
        </is>
      </c>
      <c r="D1325" s="1" t="n">
        <v>44538</v>
      </c>
      <c r="E1325" s="1" t="n">
        <v>46307</v>
      </c>
      <c r="F1325" t="inlineStr">
        <is>
          <t>VÄRMLANDS LÄN</t>
        </is>
      </c>
      <c r="G1325" t="inlineStr">
        <is>
          <t>ÅRJÄNG</t>
        </is>
      </c>
      <c r="I1325" t="n">
        <v>1</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1567-2022</t>
        </is>
      </c>
      <c r="B1326" t="inlineStr">
        <is>
          <t>avverkningsanmälan</t>
        </is>
      </c>
      <c r="C1326" t="inlineStr">
        <is>
          <t>Föryngringsavverkning</t>
        </is>
      </c>
      <c r="D1326" s="1" t="n">
        <v>44573</v>
      </c>
      <c r="E1326" s="1" t="n">
        <v>46307</v>
      </c>
      <c r="F1326" t="inlineStr">
        <is>
          <t>VÄRMLANDS LÄN</t>
        </is>
      </c>
      <c r="G1326" t="inlineStr">
        <is>
          <t>ÅRJÄNG</t>
        </is>
      </c>
      <c r="I1326" t="n">
        <v>1.8</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59375-2021</t>
        </is>
      </c>
      <c r="B1327" t="inlineStr">
        <is>
          <t>avverkningsanmälan</t>
        </is>
      </c>
      <c r="C1327" t="inlineStr">
        <is>
          <t>Föryngringsavverkning</t>
        </is>
      </c>
      <c r="D1327" s="1" t="n">
        <v>44491</v>
      </c>
      <c r="E1327" s="1" t="n">
        <v>46307</v>
      </c>
      <c r="F1327" t="inlineStr">
        <is>
          <t>VÄRMLANDS LÄN</t>
        </is>
      </c>
      <c r="G1327" t="inlineStr">
        <is>
          <t>EDA</t>
        </is>
      </c>
      <c r="I1327" t="n">
        <v>1</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57469-2021</t>
        </is>
      </c>
      <c r="B1328" t="inlineStr">
        <is>
          <t>avverkningsanmälan</t>
        </is>
      </c>
      <c r="C1328" t="inlineStr">
        <is>
          <t>Föryngringsavverkning</t>
        </is>
      </c>
      <c r="D1328" s="1" t="n">
        <v>44483</v>
      </c>
      <c r="E1328" s="1" t="n">
        <v>46307</v>
      </c>
      <c r="F1328" t="inlineStr">
        <is>
          <t>VÄRMLANDS LÄN</t>
        </is>
      </c>
      <c r="G1328" t="inlineStr">
        <is>
          <t>KARLSTAD</t>
        </is>
      </c>
      <c r="H1328" t="inlineStr">
        <is>
          <t>Kommuner</t>
        </is>
      </c>
      <c r="I1328" t="n">
        <v>1</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72346-2021</t>
        </is>
      </c>
      <c r="B1329" t="inlineStr">
        <is>
          <t>avverkningsanmälan</t>
        </is>
      </c>
      <c r="C1329" t="inlineStr">
        <is>
          <t>Föryngringsavverkning</t>
        </is>
      </c>
      <c r="D1329" s="1" t="n">
        <v>44544</v>
      </c>
      <c r="E1329" s="1" t="n">
        <v>46307</v>
      </c>
      <c r="F1329" t="inlineStr">
        <is>
          <t>VÄRMLANDS LÄN</t>
        </is>
      </c>
      <c r="G1329" t="inlineStr">
        <is>
          <t>KARLSTAD</t>
        </is>
      </c>
      <c r="I1329" t="n">
        <v>0.8</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22006-2022</t>
        </is>
      </c>
      <c r="B1330" t="inlineStr">
        <is>
          <t>avverkningsanmälan</t>
        </is>
      </c>
      <c r="C1330" t="inlineStr">
        <is>
          <t>Föryngringsavverkning</t>
        </is>
      </c>
      <c r="D1330" s="1" t="n">
        <v>44711</v>
      </c>
      <c r="E1330" s="1" t="n">
        <v>46307</v>
      </c>
      <c r="F1330" t="inlineStr">
        <is>
          <t>VÄRMLANDS LÄN</t>
        </is>
      </c>
      <c r="G1330" t="inlineStr">
        <is>
          <t>KARLSTAD</t>
        </is>
      </c>
      <c r="I1330" t="n">
        <v>0.7</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22057-2022</t>
        </is>
      </c>
      <c r="B1331" t="inlineStr">
        <is>
          <t>avverkningsanmälan</t>
        </is>
      </c>
      <c r="C1331" t="inlineStr">
        <is>
          <t>Föryngringsavverkning</t>
        </is>
      </c>
      <c r="D1331" s="1" t="n">
        <v>44711</v>
      </c>
      <c r="E1331" s="1" t="n">
        <v>46307</v>
      </c>
      <c r="F1331" t="inlineStr">
        <is>
          <t>VÄRMLANDS LÄN</t>
        </is>
      </c>
      <c r="G1331" t="inlineStr">
        <is>
          <t>SÄFFLE</t>
        </is>
      </c>
      <c r="I1331" t="n">
        <v>2.1</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1605-2022</t>
        </is>
      </c>
      <c r="B1332" t="inlineStr">
        <is>
          <t>avverkningsanmälan</t>
        </is>
      </c>
      <c r="C1332" t="inlineStr">
        <is>
          <t>Föryngringsavverkning</t>
        </is>
      </c>
      <c r="D1332" s="1" t="n">
        <v>44573</v>
      </c>
      <c r="E1332" s="1" t="n">
        <v>46307</v>
      </c>
      <c r="F1332" t="inlineStr">
        <is>
          <t>VÄRMLANDS LÄN</t>
        </is>
      </c>
      <c r="G1332" t="inlineStr">
        <is>
          <t>SUNNE</t>
        </is>
      </c>
      <c r="I1332" t="n">
        <v>1.1</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4571-2022</t>
        </is>
      </c>
      <c r="B1333" t="inlineStr">
        <is>
          <t>avverkningsanmälan</t>
        </is>
      </c>
      <c r="C1333" t="inlineStr">
        <is>
          <t>Föryngringsavverkning</t>
        </is>
      </c>
      <c r="D1333" s="1" t="n">
        <v>44591</v>
      </c>
      <c r="E1333" s="1" t="n">
        <v>46307</v>
      </c>
      <c r="F1333" t="inlineStr">
        <is>
          <t>VÄRMLANDS LÄN</t>
        </is>
      </c>
      <c r="G1333" t="inlineStr">
        <is>
          <t>KRISTINEHAMN</t>
        </is>
      </c>
      <c r="I1333" t="n">
        <v>1.3</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74424-2021</t>
        </is>
      </c>
      <c r="B1334" t="inlineStr">
        <is>
          <t>avverkningsanmälan</t>
        </is>
      </c>
      <c r="C1334" t="inlineStr">
        <is>
          <t>Föryngringsavverkning</t>
        </is>
      </c>
      <c r="D1334" s="1" t="n">
        <v>44560</v>
      </c>
      <c r="E1334" s="1" t="n">
        <v>46307</v>
      </c>
      <c r="F1334" t="inlineStr">
        <is>
          <t>VÄRMLANDS LÄN</t>
        </is>
      </c>
      <c r="G1334" t="inlineStr">
        <is>
          <t>EDA</t>
        </is>
      </c>
      <c r="H1334" t="inlineStr">
        <is>
          <t>Bergvik skog väst AB</t>
        </is>
      </c>
      <c r="I1334" t="n">
        <v>0.7</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48134-2022</t>
        </is>
      </c>
      <c r="B1335" t="inlineStr">
        <is>
          <t>avverkningsanmälan</t>
        </is>
      </c>
      <c r="C1335" t="inlineStr">
        <is>
          <t>Föryngringsavverkning</t>
        </is>
      </c>
      <c r="D1335" s="1" t="n">
        <v>44857</v>
      </c>
      <c r="E1335" s="1" t="n">
        <v>46307</v>
      </c>
      <c r="F1335" t="inlineStr">
        <is>
          <t>VÄRMLANDS LÄN</t>
        </is>
      </c>
      <c r="G1335" t="inlineStr">
        <is>
          <t>SUNNE</t>
        </is>
      </c>
      <c r="I1335" t="n">
        <v>0.5</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4445-2022</t>
        </is>
      </c>
      <c r="B1336" t="inlineStr">
        <is>
          <t>avverkningsanmälan</t>
        </is>
      </c>
      <c r="C1336" t="inlineStr">
        <is>
          <t>Föryngringsavverkning</t>
        </is>
      </c>
      <c r="D1336" s="1" t="n">
        <v>44589</v>
      </c>
      <c r="E1336" s="1" t="n">
        <v>46307</v>
      </c>
      <c r="F1336" t="inlineStr">
        <is>
          <t>VÄRMLANDS LÄN</t>
        </is>
      </c>
      <c r="G1336" t="inlineStr">
        <is>
          <t>KIL</t>
        </is>
      </c>
      <c r="I1336" t="n">
        <v>0.7</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997-2022</t>
        </is>
      </c>
      <c r="B1337" t="inlineStr">
        <is>
          <t>avverkningsanmälan</t>
        </is>
      </c>
      <c r="C1337" t="inlineStr">
        <is>
          <t>Föryngringsavverkning</t>
        </is>
      </c>
      <c r="D1337" s="1" t="n">
        <v>44571</v>
      </c>
      <c r="E1337" s="1" t="n">
        <v>46307</v>
      </c>
      <c r="F1337" t="inlineStr">
        <is>
          <t>VÄRMLANDS LÄN</t>
        </is>
      </c>
      <c r="G1337" t="inlineStr">
        <is>
          <t>TORSBY</t>
        </is>
      </c>
      <c r="I1337" t="n">
        <v>0.9</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32947-2022</t>
        </is>
      </c>
      <c r="B1338" t="inlineStr">
        <is>
          <t>avverkningsanmälan</t>
        </is>
      </c>
      <c r="C1338" t="inlineStr">
        <is>
          <t>Föryngringsavverkning</t>
        </is>
      </c>
      <c r="D1338" s="1" t="n">
        <v>44784</v>
      </c>
      <c r="E1338" s="1" t="n">
        <v>46307</v>
      </c>
      <c r="F1338" t="inlineStr">
        <is>
          <t>VÄRMLANDS LÄN</t>
        </is>
      </c>
      <c r="G1338" t="inlineStr">
        <is>
          <t>ARVIKA</t>
        </is>
      </c>
      <c r="I1338" t="n">
        <v>1.6</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43923-2022</t>
        </is>
      </c>
      <c r="B1339" t="inlineStr">
        <is>
          <t>avverkningsanmälan</t>
        </is>
      </c>
      <c r="C1339" t="inlineStr">
        <is>
          <t>Föryngringsavverkning</t>
        </is>
      </c>
      <c r="D1339" s="1" t="n">
        <v>44838</v>
      </c>
      <c r="E1339" s="1" t="n">
        <v>46307</v>
      </c>
      <c r="F1339" t="inlineStr">
        <is>
          <t>VÄRMLANDS LÄN</t>
        </is>
      </c>
      <c r="G1339" t="inlineStr">
        <is>
          <t>SUNNE</t>
        </is>
      </c>
      <c r="I1339" t="n">
        <v>0.6</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14481-2022</t>
        </is>
      </c>
      <c r="B1340" t="inlineStr">
        <is>
          <t>avverkningsanmälan</t>
        </is>
      </c>
      <c r="C1340" t="inlineStr">
        <is>
          <t>Föryngringsavverkning</t>
        </is>
      </c>
      <c r="D1340" s="1" t="n">
        <v>44655</v>
      </c>
      <c r="E1340" s="1" t="n">
        <v>46307</v>
      </c>
      <c r="F1340" t="inlineStr">
        <is>
          <t>VÄRMLANDS LÄN</t>
        </is>
      </c>
      <c r="G1340" t="inlineStr">
        <is>
          <t>SUNNE</t>
        </is>
      </c>
      <c r="I1340" t="n">
        <v>7.7</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14507-2022</t>
        </is>
      </c>
      <c r="B1341" t="inlineStr">
        <is>
          <t>avverkningsanmälan</t>
        </is>
      </c>
      <c r="C1341" t="inlineStr">
        <is>
          <t>Avverkning för annat ändamål</t>
        </is>
      </c>
      <c r="D1341" s="1" t="n">
        <v>44655</v>
      </c>
      <c r="E1341" s="1" t="n">
        <v>46307</v>
      </c>
      <c r="F1341" t="inlineStr">
        <is>
          <t>VÄRMLANDS LÄN</t>
        </is>
      </c>
      <c r="G1341" t="inlineStr">
        <is>
          <t>ÅRJÄNG</t>
        </is>
      </c>
      <c r="I1341" t="n">
        <v>0.5</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19626-2022</t>
        </is>
      </c>
      <c r="B1342" t="inlineStr">
        <is>
          <t>avverkningsanmälan</t>
        </is>
      </c>
      <c r="C1342" t="inlineStr">
        <is>
          <t>Avverkning för annat ändamål</t>
        </is>
      </c>
      <c r="D1342" s="1" t="n">
        <v>44694</v>
      </c>
      <c r="E1342" s="1" t="n">
        <v>46307</v>
      </c>
      <c r="F1342" t="inlineStr">
        <is>
          <t>VÄRMLANDS LÄN</t>
        </is>
      </c>
      <c r="G1342" t="inlineStr">
        <is>
          <t>FILIPSTAD</t>
        </is>
      </c>
      <c r="I1342" t="n">
        <v>2.2</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68155-2021</t>
        </is>
      </c>
      <c r="B1343" t="inlineStr">
        <is>
          <t>avverkningsanmälan</t>
        </is>
      </c>
      <c r="C1343" t="inlineStr">
        <is>
          <t>Föryngringsavverkning</t>
        </is>
      </c>
      <c r="D1343" s="1" t="n">
        <v>44526</v>
      </c>
      <c r="E1343" s="1" t="n">
        <v>46307</v>
      </c>
      <c r="F1343" t="inlineStr">
        <is>
          <t>VÄRMLANDS LÄN</t>
        </is>
      </c>
      <c r="G1343" t="inlineStr">
        <is>
          <t>SÄFFLE</t>
        </is>
      </c>
      <c r="I1343" t="n">
        <v>1</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59143-2021</t>
        </is>
      </c>
      <c r="B1344" t="inlineStr">
        <is>
          <t>avverkningsanmälan</t>
        </is>
      </c>
      <c r="C1344" t="inlineStr">
        <is>
          <t>Föryngringsavverkning</t>
        </is>
      </c>
      <c r="D1344" s="1" t="n">
        <v>44490</v>
      </c>
      <c r="E1344" s="1" t="n">
        <v>46307</v>
      </c>
      <c r="F1344" t="inlineStr">
        <is>
          <t>VÄRMLANDS LÄN</t>
        </is>
      </c>
      <c r="G1344" t="inlineStr">
        <is>
          <t>ÅRJÄNG</t>
        </is>
      </c>
      <c r="I1344" t="n">
        <v>0.4</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22491-2022</t>
        </is>
      </c>
      <c r="B1345" t="inlineStr">
        <is>
          <t>avverkningsanmälan</t>
        </is>
      </c>
      <c r="C1345" t="inlineStr">
        <is>
          <t>Avverkning för annat ändamål</t>
        </is>
      </c>
      <c r="D1345" s="1" t="n">
        <v>44713</v>
      </c>
      <c r="E1345" s="1" t="n">
        <v>46307</v>
      </c>
      <c r="F1345" t="inlineStr">
        <is>
          <t>VÄRMLANDS LÄN</t>
        </is>
      </c>
      <c r="G1345" t="inlineStr">
        <is>
          <t>SUNNE</t>
        </is>
      </c>
      <c r="I1345" t="n">
        <v>1.7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5202-2022</t>
        </is>
      </c>
      <c r="B1346" t="inlineStr">
        <is>
          <t>avverkningsanmälan</t>
        </is>
      </c>
      <c r="C1346" t="inlineStr">
        <is>
          <t>Föryngringsavverkning</t>
        </is>
      </c>
      <c r="D1346" s="1" t="n">
        <v>44594</v>
      </c>
      <c r="E1346" s="1" t="n">
        <v>46307</v>
      </c>
      <c r="F1346" t="inlineStr">
        <is>
          <t>VÄRMLANDS LÄN</t>
        </is>
      </c>
      <c r="G1346" t="inlineStr">
        <is>
          <t>HAGFORS</t>
        </is>
      </c>
      <c r="I1346" t="n">
        <v>0.7</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49983-2022</t>
        </is>
      </c>
      <c r="B1347" t="inlineStr">
        <is>
          <t>avverkningsanmälan</t>
        </is>
      </c>
      <c r="C1347" t="inlineStr">
        <is>
          <t>Föryngringsavverkning</t>
        </is>
      </c>
      <c r="D1347" s="1" t="n">
        <v>44865</v>
      </c>
      <c r="E1347" s="1" t="n">
        <v>46307</v>
      </c>
      <c r="F1347" t="inlineStr">
        <is>
          <t>VÄRMLANDS LÄN</t>
        </is>
      </c>
      <c r="G1347" t="inlineStr">
        <is>
          <t>TORSBY</t>
        </is>
      </c>
      <c r="I1347" t="n">
        <v>0.7</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55654-2022</t>
        </is>
      </c>
      <c r="B1348" t="inlineStr">
        <is>
          <t>avverkningsanmälan</t>
        </is>
      </c>
      <c r="C1348" t="inlineStr">
        <is>
          <t>Föryngringsavverkning</t>
        </is>
      </c>
      <c r="D1348" s="1" t="n">
        <v>44888</v>
      </c>
      <c r="E1348" s="1" t="n">
        <v>46307</v>
      </c>
      <c r="F1348" t="inlineStr">
        <is>
          <t>VÄRMLANDS LÄN</t>
        </is>
      </c>
      <c r="G1348" t="inlineStr">
        <is>
          <t>ÅRJÄNG</t>
        </is>
      </c>
      <c r="I1348" t="n">
        <v>0.6</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63356-2021</t>
        </is>
      </c>
      <c r="B1349" t="inlineStr">
        <is>
          <t>avverkningsanmälan</t>
        </is>
      </c>
      <c r="C1349" t="inlineStr">
        <is>
          <t>Föryngringsavverkning</t>
        </is>
      </c>
      <c r="D1349" s="1" t="n">
        <v>44508</v>
      </c>
      <c r="E1349" s="1" t="n">
        <v>46307</v>
      </c>
      <c r="F1349" t="inlineStr">
        <is>
          <t>VÄRMLANDS LÄN</t>
        </is>
      </c>
      <c r="G1349" t="inlineStr">
        <is>
          <t>SUNNE</t>
        </is>
      </c>
      <c r="I1349" t="n">
        <v>1.4</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72365-2021</t>
        </is>
      </c>
      <c r="B1350" t="inlineStr">
        <is>
          <t>avverkningsanmälan</t>
        </is>
      </c>
      <c r="C1350" t="inlineStr">
        <is>
          <t>Föryngringsavverkning</t>
        </is>
      </c>
      <c r="D1350" s="1" t="n">
        <v>44545</v>
      </c>
      <c r="E1350" s="1" t="n">
        <v>46307</v>
      </c>
      <c r="F1350" t="inlineStr">
        <is>
          <t>VÄRMLANDS LÄN</t>
        </is>
      </c>
      <c r="G1350" t="inlineStr">
        <is>
          <t>HAGFORS</t>
        </is>
      </c>
      <c r="I1350" t="n">
        <v>3.8</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23116-2022</t>
        </is>
      </c>
      <c r="B1351" t="inlineStr">
        <is>
          <t>avverkningsanmälan</t>
        </is>
      </c>
      <c r="C1351" t="inlineStr">
        <is>
          <t>Föryngringsavverkning</t>
        </is>
      </c>
      <c r="D1351" s="1" t="n">
        <v>44719</v>
      </c>
      <c r="E1351" s="1" t="n">
        <v>46307</v>
      </c>
      <c r="F1351" t="inlineStr">
        <is>
          <t>VÄRMLANDS LÄN</t>
        </is>
      </c>
      <c r="G1351" t="inlineStr">
        <is>
          <t>HAGFORS</t>
        </is>
      </c>
      <c r="I1351" t="n">
        <v>3</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51296-2022</t>
        </is>
      </c>
      <c r="B1352" t="inlineStr">
        <is>
          <t>avverkningsanmälan</t>
        </is>
      </c>
      <c r="C1352" t="inlineStr">
        <is>
          <t>Föryngringsavverkning</t>
        </is>
      </c>
      <c r="D1352" s="1" t="n">
        <v>44868</v>
      </c>
      <c r="E1352" s="1" t="n">
        <v>46307</v>
      </c>
      <c r="F1352" t="inlineStr">
        <is>
          <t>VÄRMLANDS LÄN</t>
        </is>
      </c>
      <c r="G1352" t="inlineStr">
        <is>
          <t>FORSHAGA</t>
        </is>
      </c>
      <c r="I1352" t="n">
        <v>2.4</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4450-2022</t>
        </is>
      </c>
      <c r="B1353" t="inlineStr">
        <is>
          <t>avverkningsanmälan</t>
        </is>
      </c>
      <c r="C1353" t="inlineStr">
        <is>
          <t>Föryngringsavverkning</t>
        </is>
      </c>
      <c r="D1353" s="1" t="n">
        <v>44589</v>
      </c>
      <c r="E1353" s="1" t="n">
        <v>46307</v>
      </c>
      <c r="F1353" t="inlineStr">
        <is>
          <t>VÄRMLANDS LÄN</t>
        </is>
      </c>
      <c r="G1353" t="inlineStr">
        <is>
          <t>KIL</t>
        </is>
      </c>
      <c r="I1353" t="n">
        <v>2.2</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82-2022</t>
        </is>
      </c>
      <c r="B1354" t="inlineStr">
        <is>
          <t>avverkningsanmälan</t>
        </is>
      </c>
      <c r="C1354" t="inlineStr">
        <is>
          <t>Föryngringsavverkning</t>
        </is>
      </c>
      <c r="D1354" s="1" t="n">
        <v>44564</v>
      </c>
      <c r="E1354" s="1" t="n">
        <v>46307</v>
      </c>
      <c r="F1354" t="inlineStr">
        <is>
          <t>VÄRMLANDS LÄN</t>
        </is>
      </c>
      <c r="G1354" t="inlineStr">
        <is>
          <t>SUNNE</t>
        </is>
      </c>
      <c r="I1354" t="n">
        <v>7.1</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57065-2021</t>
        </is>
      </c>
      <c r="B1355" t="inlineStr">
        <is>
          <t>avverkningsanmälan</t>
        </is>
      </c>
      <c r="C1355" t="inlineStr">
        <is>
          <t>Föryngringsavverkning</t>
        </is>
      </c>
      <c r="D1355" s="1" t="n">
        <v>44482</v>
      </c>
      <c r="E1355" s="1" t="n">
        <v>46307</v>
      </c>
      <c r="F1355" t="inlineStr">
        <is>
          <t>VÄRMLANDS LÄN</t>
        </is>
      </c>
      <c r="G1355" t="inlineStr">
        <is>
          <t>KIL</t>
        </is>
      </c>
      <c r="I1355" t="n">
        <v>2.4</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8483-2022</t>
        </is>
      </c>
      <c r="B1356" t="inlineStr">
        <is>
          <t>avverkningsanmälan</t>
        </is>
      </c>
      <c r="C1356" t="inlineStr">
        <is>
          <t>Avverkning för annat ändamål</t>
        </is>
      </c>
      <c r="D1356" s="1" t="n">
        <v>44613</v>
      </c>
      <c r="E1356" s="1" t="n">
        <v>46307</v>
      </c>
      <c r="F1356" t="inlineStr">
        <is>
          <t>VÄRMLANDS LÄN</t>
        </is>
      </c>
      <c r="G1356" t="inlineStr">
        <is>
          <t>KARLSTAD</t>
        </is>
      </c>
      <c r="H1356" t="inlineStr">
        <is>
          <t>Bergvik skog väst AB</t>
        </is>
      </c>
      <c r="I1356" t="n">
        <v>0.5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1449-2022</t>
        </is>
      </c>
      <c r="B1357" t="inlineStr">
        <is>
          <t>avverkningsanmälan</t>
        </is>
      </c>
      <c r="C1357" t="inlineStr">
        <is>
          <t>Föryngringsavverkning</t>
        </is>
      </c>
      <c r="D1357" s="1" t="n">
        <v>44573</v>
      </c>
      <c r="E1357" s="1" t="n">
        <v>46307</v>
      </c>
      <c r="F1357" t="inlineStr">
        <is>
          <t>VÄRMLANDS LÄN</t>
        </is>
      </c>
      <c r="G1357" t="inlineStr">
        <is>
          <t>EDA</t>
        </is>
      </c>
      <c r="I1357" t="n">
        <v>1.1</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1450-2022</t>
        </is>
      </c>
      <c r="B1358" t="inlineStr">
        <is>
          <t>avverkningsanmälan</t>
        </is>
      </c>
      <c r="C1358" t="inlineStr">
        <is>
          <t>Föryngringsavverkning</t>
        </is>
      </c>
      <c r="D1358" s="1" t="n">
        <v>44573</v>
      </c>
      <c r="E1358" s="1" t="n">
        <v>46307</v>
      </c>
      <c r="F1358" t="inlineStr">
        <is>
          <t>VÄRMLANDS LÄN</t>
        </is>
      </c>
      <c r="G1358" t="inlineStr">
        <is>
          <t>KRISTINEHAMN</t>
        </is>
      </c>
      <c r="H1358" t="inlineStr">
        <is>
          <t>Sveaskog</t>
        </is>
      </c>
      <c r="I1358" t="n">
        <v>0.9</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21680-2022</t>
        </is>
      </c>
      <c r="B1359" t="inlineStr">
        <is>
          <t>avverkningsanmälan</t>
        </is>
      </c>
      <c r="C1359" t="inlineStr">
        <is>
          <t>Föryngringsavverkning</t>
        </is>
      </c>
      <c r="D1359" s="1" t="n">
        <v>44707</v>
      </c>
      <c r="E1359" s="1" t="n">
        <v>46307</v>
      </c>
      <c r="F1359" t="inlineStr">
        <is>
          <t>VÄRMLANDS LÄN</t>
        </is>
      </c>
      <c r="G1359" t="inlineStr">
        <is>
          <t>KRISTINEHAMN</t>
        </is>
      </c>
      <c r="I1359" t="n">
        <v>8.699999999999999</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30707-2022</t>
        </is>
      </c>
      <c r="B1360" t="inlineStr">
        <is>
          <t>avverkningsanmälan</t>
        </is>
      </c>
      <c r="C1360" t="inlineStr">
        <is>
          <t>Föryngringsavverkning</t>
        </is>
      </c>
      <c r="D1360" s="1" t="n">
        <v>44763</v>
      </c>
      <c r="E1360" s="1" t="n">
        <v>46307</v>
      </c>
      <c r="F1360" t="inlineStr">
        <is>
          <t>VÄRMLANDS LÄN</t>
        </is>
      </c>
      <c r="G1360" t="inlineStr">
        <is>
          <t>HAGFORS</t>
        </is>
      </c>
      <c r="I1360" t="n">
        <v>0.7</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69428-2021</t>
        </is>
      </c>
      <c r="B1361" t="inlineStr">
        <is>
          <t>avverkningsanmälan</t>
        </is>
      </c>
      <c r="C1361" t="inlineStr">
        <is>
          <t>Föryngringsavverkning</t>
        </is>
      </c>
      <c r="D1361" s="1" t="n">
        <v>44531</v>
      </c>
      <c r="E1361" s="1" t="n">
        <v>46307</v>
      </c>
      <c r="F1361" t="inlineStr">
        <is>
          <t>VÄRMLANDS LÄN</t>
        </is>
      </c>
      <c r="G1361" t="inlineStr">
        <is>
          <t>KARLSTAD</t>
        </is>
      </c>
      <c r="I1361" t="n">
        <v>2.4</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50415-2022</t>
        </is>
      </c>
      <c r="B1362" t="inlineStr">
        <is>
          <t>avverkningsanmälan</t>
        </is>
      </c>
      <c r="C1362" t="inlineStr">
        <is>
          <t>Föryngringsavverkning</t>
        </is>
      </c>
      <c r="D1362" s="1" t="n">
        <v>44861</v>
      </c>
      <c r="E1362" s="1" t="n">
        <v>46307</v>
      </c>
      <c r="F1362" t="inlineStr">
        <is>
          <t>VÄRMLANDS LÄN</t>
        </is>
      </c>
      <c r="G1362" t="inlineStr">
        <is>
          <t>SÄFFLE</t>
        </is>
      </c>
      <c r="I1362" t="n">
        <v>4.8</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7543-2022</t>
        </is>
      </c>
      <c r="B1363" t="inlineStr">
        <is>
          <t>avverkningsanmälan</t>
        </is>
      </c>
      <c r="C1363" t="inlineStr">
        <is>
          <t>Avverkning för annat ändamål</t>
        </is>
      </c>
      <c r="D1363" s="1" t="n">
        <v>44607</v>
      </c>
      <c r="E1363" s="1" t="n">
        <v>46307</v>
      </c>
      <c r="F1363" t="inlineStr">
        <is>
          <t>VÄRMLANDS LÄN</t>
        </is>
      </c>
      <c r="G1363" t="inlineStr">
        <is>
          <t>TORSBY</t>
        </is>
      </c>
      <c r="I1363" t="n">
        <v>0.5</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59954-2021</t>
        </is>
      </c>
      <c r="B1364" t="inlineStr">
        <is>
          <t>avverkningsanmälan</t>
        </is>
      </c>
      <c r="C1364" t="inlineStr">
        <is>
          <t>Föryngringsavverkning</t>
        </is>
      </c>
      <c r="D1364" s="1" t="n">
        <v>44494</v>
      </c>
      <c r="E1364" s="1" t="n">
        <v>46307</v>
      </c>
      <c r="F1364" t="inlineStr">
        <is>
          <t>VÄRMLANDS LÄN</t>
        </is>
      </c>
      <c r="G1364" t="inlineStr">
        <is>
          <t>FILIPSTAD</t>
        </is>
      </c>
      <c r="I1364" t="n">
        <v>3.1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35391-2022</t>
        </is>
      </c>
      <c r="B1365" t="inlineStr">
        <is>
          <t>avverkningsanmälan</t>
        </is>
      </c>
      <c r="C1365" t="inlineStr">
        <is>
          <t>Föryngringsavverkning</t>
        </is>
      </c>
      <c r="D1365" s="1" t="n">
        <v>44798</v>
      </c>
      <c r="E1365" s="1" t="n">
        <v>46307</v>
      </c>
      <c r="F1365" t="inlineStr">
        <is>
          <t>VÄRMLANDS LÄN</t>
        </is>
      </c>
      <c r="G1365" t="inlineStr">
        <is>
          <t>GRUMS</t>
        </is>
      </c>
      <c r="H1365" t="inlineStr">
        <is>
          <t>Bergvik skog väst AB</t>
        </is>
      </c>
      <c r="I1365" t="n">
        <v>2.3</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259-2022</t>
        </is>
      </c>
      <c r="B1366" t="inlineStr">
        <is>
          <t>avverkningsanmälan</t>
        </is>
      </c>
      <c r="C1366" t="inlineStr">
        <is>
          <t>Föryngringsavverkning</t>
        </is>
      </c>
      <c r="D1366" s="1" t="n">
        <v>44565</v>
      </c>
      <c r="E1366" s="1" t="n">
        <v>46307</v>
      </c>
      <c r="F1366" t="inlineStr">
        <is>
          <t>VÄRMLANDS LÄN</t>
        </is>
      </c>
      <c r="G1366" t="inlineStr">
        <is>
          <t>SUNNE</t>
        </is>
      </c>
      <c r="I1366" t="n">
        <v>1.6</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66438-2021</t>
        </is>
      </c>
      <c r="B1367" t="inlineStr">
        <is>
          <t>avverkningsanmälan</t>
        </is>
      </c>
      <c r="C1367" t="inlineStr">
        <is>
          <t>Föryngringsavverkning</t>
        </is>
      </c>
      <c r="D1367" s="1" t="n">
        <v>44518</v>
      </c>
      <c r="E1367" s="1" t="n">
        <v>46307</v>
      </c>
      <c r="F1367" t="inlineStr">
        <is>
          <t>VÄRMLANDS LÄN</t>
        </is>
      </c>
      <c r="G1367" t="inlineStr">
        <is>
          <t>KRISTINEHAMN</t>
        </is>
      </c>
      <c r="I1367" t="n">
        <v>1</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66442-2021</t>
        </is>
      </c>
      <c r="B1368" t="inlineStr">
        <is>
          <t>avverkningsanmälan</t>
        </is>
      </c>
      <c r="C1368" t="inlineStr">
        <is>
          <t>Föryngringsavverkning</t>
        </is>
      </c>
      <c r="D1368" s="1" t="n">
        <v>44518</v>
      </c>
      <c r="E1368" s="1" t="n">
        <v>46307</v>
      </c>
      <c r="F1368" t="inlineStr">
        <is>
          <t>VÄRMLANDS LÄN</t>
        </is>
      </c>
      <c r="G1368" t="inlineStr">
        <is>
          <t>KRISTINEHAMN</t>
        </is>
      </c>
      <c r="I1368" t="n">
        <v>1.7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10541-2022</t>
        </is>
      </c>
      <c r="B1369" t="inlineStr">
        <is>
          <t>avverkningsanmälan</t>
        </is>
      </c>
      <c r="C1369" t="inlineStr">
        <is>
          <t>Föryngringsavverkning</t>
        </is>
      </c>
      <c r="D1369" s="1" t="n">
        <v>44623</v>
      </c>
      <c r="E1369" s="1" t="n">
        <v>46307</v>
      </c>
      <c r="F1369" t="inlineStr">
        <is>
          <t>VÄRMLANDS LÄN</t>
        </is>
      </c>
      <c r="G1369" t="inlineStr">
        <is>
          <t>SUNNE</t>
        </is>
      </c>
      <c r="I1369" t="n">
        <v>2.2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17006-2022</t>
        </is>
      </c>
      <c r="B1370" t="inlineStr">
        <is>
          <t>avverkningsanmälan</t>
        </is>
      </c>
      <c r="C1370" t="inlineStr">
        <is>
          <t>Föryngringsavverkning</t>
        </is>
      </c>
      <c r="D1370" s="1" t="n">
        <v>44676</v>
      </c>
      <c r="E1370" s="1" t="n">
        <v>46307</v>
      </c>
      <c r="F1370" t="inlineStr">
        <is>
          <t>VÄRMLANDS LÄN</t>
        </is>
      </c>
      <c r="G1370" t="inlineStr">
        <is>
          <t>SÄFFLE</t>
        </is>
      </c>
      <c r="I1370" t="n">
        <v>1.1</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675-2022</t>
        </is>
      </c>
      <c r="B1371" t="inlineStr">
        <is>
          <t>avverkningsanmälan</t>
        </is>
      </c>
      <c r="C1371" t="inlineStr">
        <is>
          <t>Föryngringsavverkning</t>
        </is>
      </c>
      <c r="D1371" s="1" t="n">
        <v>44568</v>
      </c>
      <c r="E1371" s="1" t="n">
        <v>46307</v>
      </c>
      <c r="F1371" t="inlineStr">
        <is>
          <t>VÄRMLANDS LÄN</t>
        </is>
      </c>
      <c r="G1371" t="inlineStr">
        <is>
          <t>SUNNE</t>
        </is>
      </c>
      <c r="I1371" t="n">
        <v>1.4</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61835-2021</t>
        </is>
      </c>
      <c r="B1372" t="inlineStr">
        <is>
          <t>avverkningsanmälan</t>
        </is>
      </c>
      <c r="C1372" t="inlineStr">
        <is>
          <t>Föryngringsavverkning</t>
        </is>
      </c>
      <c r="D1372" s="1" t="n">
        <v>44501</v>
      </c>
      <c r="E1372" s="1" t="n">
        <v>46307</v>
      </c>
      <c r="F1372" t="inlineStr">
        <is>
          <t>VÄRMLANDS LÄN</t>
        </is>
      </c>
      <c r="G1372" t="inlineStr">
        <is>
          <t>ARVIKA</t>
        </is>
      </c>
      <c r="I1372" t="n">
        <v>0.1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52761-2022</t>
        </is>
      </c>
      <c r="B1373" t="inlineStr">
        <is>
          <t>avverkningsanmälan</t>
        </is>
      </c>
      <c r="C1373" t="inlineStr">
        <is>
          <t>Föryngringsavverkning</t>
        </is>
      </c>
      <c r="D1373" s="1" t="n">
        <v>44875</v>
      </c>
      <c r="E1373" s="1" t="n">
        <v>46307</v>
      </c>
      <c r="F1373" t="inlineStr">
        <is>
          <t>VÄRMLANDS LÄN</t>
        </is>
      </c>
      <c r="G1373" t="inlineStr">
        <is>
          <t>ÅRJÄNG</t>
        </is>
      </c>
      <c r="I1373" t="n">
        <v>2.7</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61707-2021</t>
        </is>
      </c>
      <c r="B1374" t="inlineStr">
        <is>
          <t>avverkningsanmälan</t>
        </is>
      </c>
      <c r="C1374" t="inlineStr">
        <is>
          <t>Föryngringsavverkning</t>
        </is>
      </c>
      <c r="D1374" s="1" t="n">
        <v>44501</v>
      </c>
      <c r="E1374" s="1" t="n">
        <v>46307</v>
      </c>
      <c r="F1374" t="inlineStr">
        <is>
          <t>VÄRMLANDS LÄN</t>
        </is>
      </c>
      <c r="G1374" t="inlineStr">
        <is>
          <t>KRISTINEHAMN</t>
        </is>
      </c>
      <c r="I1374" t="n">
        <v>1.7</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5038-2022</t>
        </is>
      </c>
      <c r="B1375" t="inlineStr">
        <is>
          <t>avverkningsanmälan</t>
        </is>
      </c>
      <c r="C1375" t="inlineStr">
        <is>
          <t>Avverkning för annat ändamål</t>
        </is>
      </c>
      <c r="D1375" s="1" t="n">
        <v>44593</v>
      </c>
      <c r="E1375" s="1" t="n">
        <v>46307</v>
      </c>
      <c r="F1375" t="inlineStr">
        <is>
          <t>VÄRMLANDS LÄN</t>
        </is>
      </c>
      <c r="G1375" t="inlineStr">
        <is>
          <t>KARLSTAD</t>
        </is>
      </c>
      <c r="H1375" t="inlineStr">
        <is>
          <t>Kommuner</t>
        </is>
      </c>
      <c r="I1375" t="n">
        <v>0.2</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66111-2021</t>
        </is>
      </c>
      <c r="B1376" t="inlineStr">
        <is>
          <t>avverkningsanmälan</t>
        </is>
      </c>
      <c r="C1376" t="inlineStr">
        <is>
          <t>Föryngringsavverkning</t>
        </is>
      </c>
      <c r="D1376" s="1" t="n">
        <v>44517</v>
      </c>
      <c r="E1376" s="1" t="n">
        <v>46307</v>
      </c>
      <c r="F1376" t="inlineStr">
        <is>
          <t>VÄRMLANDS LÄN</t>
        </is>
      </c>
      <c r="G1376" t="inlineStr">
        <is>
          <t>FORSHAGA</t>
        </is>
      </c>
      <c r="I1376" t="n">
        <v>1.9</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13644-2022</t>
        </is>
      </c>
      <c r="B1377" t="inlineStr">
        <is>
          <t>avverkningsanmälan</t>
        </is>
      </c>
      <c r="C1377" t="inlineStr">
        <is>
          <t>Föryngringsavverkning</t>
        </is>
      </c>
      <c r="D1377" s="1" t="n">
        <v>44648</v>
      </c>
      <c r="E1377" s="1" t="n">
        <v>46307</v>
      </c>
      <c r="F1377" t="inlineStr">
        <is>
          <t>VÄRMLANDS LÄN</t>
        </is>
      </c>
      <c r="G1377" t="inlineStr">
        <is>
          <t>SUNNE</t>
        </is>
      </c>
      <c r="I1377" t="n">
        <v>1.5</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40411-2022</t>
        </is>
      </c>
      <c r="B1378" t="inlineStr">
        <is>
          <t>avverkningsanmälan</t>
        </is>
      </c>
      <c r="C1378" t="inlineStr">
        <is>
          <t>Föryngringsavverkning</t>
        </is>
      </c>
      <c r="D1378" s="1" t="n">
        <v>44823</v>
      </c>
      <c r="E1378" s="1" t="n">
        <v>46307</v>
      </c>
      <c r="F1378" t="inlineStr">
        <is>
          <t>VÄRMLANDS LÄN</t>
        </is>
      </c>
      <c r="G1378" t="inlineStr">
        <is>
          <t>SUNNE</t>
        </is>
      </c>
      <c r="I1378" t="n">
        <v>2.3</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40439-2022</t>
        </is>
      </c>
      <c r="B1379" t="inlineStr">
        <is>
          <t>avverkningsanmälan</t>
        </is>
      </c>
      <c r="C1379" t="inlineStr">
        <is>
          <t>Föryngringsavverkning</t>
        </is>
      </c>
      <c r="D1379" s="1" t="n">
        <v>44823</v>
      </c>
      <c r="E1379" s="1" t="n">
        <v>46307</v>
      </c>
      <c r="F1379" t="inlineStr">
        <is>
          <t>VÄRMLANDS LÄN</t>
        </is>
      </c>
      <c r="G1379" t="inlineStr">
        <is>
          <t>ÅRJÄNG</t>
        </is>
      </c>
      <c r="I1379" t="n">
        <v>0.5</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20041-2022</t>
        </is>
      </c>
      <c r="B1380" t="inlineStr">
        <is>
          <t>avverkningsanmälan</t>
        </is>
      </c>
      <c r="C1380" t="inlineStr">
        <is>
          <t>Föryngringsavverkning</t>
        </is>
      </c>
      <c r="D1380" s="1" t="n">
        <v>44697</v>
      </c>
      <c r="E1380" s="1" t="n">
        <v>46307</v>
      </c>
      <c r="F1380" t="inlineStr">
        <is>
          <t>VÄRMLANDS LÄN</t>
        </is>
      </c>
      <c r="G1380" t="inlineStr">
        <is>
          <t>SUNNE</t>
        </is>
      </c>
      <c r="I1380" t="n">
        <v>5.2</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20045-2022</t>
        </is>
      </c>
      <c r="B1381" t="inlineStr">
        <is>
          <t>avverkningsanmälan</t>
        </is>
      </c>
      <c r="C1381" t="inlineStr">
        <is>
          <t>Avverkning för annat ändamål</t>
        </is>
      </c>
      <c r="D1381" s="1" t="n">
        <v>44697</v>
      </c>
      <c r="E1381" s="1" t="n">
        <v>46307</v>
      </c>
      <c r="F1381" t="inlineStr">
        <is>
          <t>VÄRMLANDS LÄN</t>
        </is>
      </c>
      <c r="G1381" t="inlineStr">
        <is>
          <t>TORSBY</t>
        </is>
      </c>
      <c r="I1381" t="n">
        <v>1.1</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32146-2022</t>
        </is>
      </c>
      <c r="B1382" t="inlineStr">
        <is>
          <t>avverkningsanmälan</t>
        </is>
      </c>
      <c r="C1382" t="inlineStr">
        <is>
          <t>Föryngringsavverkning</t>
        </is>
      </c>
      <c r="D1382" s="1" t="n">
        <v>44780</v>
      </c>
      <c r="E1382" s="1" t="n">
        <v>46307</v>
      </c>
      <c r="F1382" t="inlineStr">
        <is>
          <t>VÄRMLANDS LÄN</t>
        </is>
      </c>
      <c r="G1382" t="inlineStr">
        <is>
          <t>SÄFFLE</t>
        </is>
      </c>
      <c r="I1382" t="n">
        <v>0.6</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57314-2021</t>
        </is>
      </c>
      <c r="B1383" t="inlineStr">
        <is>
          <t>avverkningsanmälan</t>
        </is>
      </c>
      <c r="C1383" t="inlineStr">
        <is>
          <t>Föryngringsavverkning</t>
        </is>
      </c>
      <c r="D1383" s="1" t="n">
        <v>44483</v>
      </c>
      <c r="E1383" s="1" t="n">
        <v>46307</v>
      </c>
      <c r="F1383" t="inlineStr">
        <is>
          <t>VÄRMLANDS LÄN</t>
        </is>
      </c>
      <c r="G1383" t="inlineStr">
        <is>
          <t>KIL</t>
        </is>
      </c>
      <c r="I1383" t="n">
        <v>2</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15551-2022</t>
        </is>
      </c>
      <c r="B1384" t="inlineStr">
        <is>
          <t>avverkningsanmälan</t>
        </is>
      </c>
      <c r="C1384" t="inlineStr">
        <is>
          <t>Föryngringsavverkning</t>
        </is>
      </c>
      <c r="D1384" s="1" t="n">
        <v>44662</v>
      </c>
      <c r="E1384" s="1" t="n">
        <v>46307</v>
      </c>
      <c r="F1384" t="inlineStr">
        <is>
          <t>VÄRMLANDS LÄN</t>
        </is>
      </c>
      <c r="G1384" t="inlineStr">
        <is>
          <t>KRISTINEHAMN</t>
        </is>
      </c>
      <c r="I1384" t="n">
        <v>0.5</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48966-2022</t>
        </is>
      </c>
      <c r="B1385" t="inlineStr">
        <is>
          <t>avverkningsanmälan</t>
        </is>
      </c>
      <c r="C1385" t="inlineStr">
        <is>
          <t>Föryngringsavverkning</t>
        </is>
      </c>
      <c r="D1385" s="1" t="n">
        <v>44860</v>
      </c>
      <c r="E1385" s="1" t="n">
        <v>46307</v>
      </c>
      <c r="F1385" t="inlineStr">
        <is>
          <t>VÄRMLANDS LÄN</t>
        </is>
      </c>
      <c r="G1385" t="inlineStr">
        <is>
          <t>ARVIKA</t>
        </is>
      </c>
      <c r="I1385" t="n">
        <v>2.2</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36587-2022</t>
        </is>
      </c>
      <c r="B1386" t="inlineStr">
        <is>
          <t>avverkningsanmälan</t>
        </is>
      </c>
      <c r="C1386" t="inlineStr">
        <is>
          <t>Föryngringsavverkning</t>
        </is>
      </c>
      <c r="D1386" s="1" t="n">
        <v>44804</v>
      </c>
      <c r="E1386" s="1" t="n">
        <v>46307</v>
      </c>
      <c r="F1386" t="inlineStr">
        <is>
          <t>VÄRMLANDS LÄN</t>
        </is>
      </c>
      <c r="G1386" t="inlineStr">
        <is>
          <t>TORSBY</t>
        </is>
      </c>
      <c r="I1386" t="n">
        <v>4.4</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29509-2022</t>
        </is>
      </c>
      <c r="B1387" t="inlineStr">
        <is>
          <t>avverkningsanmälan</t>
        </is>
      </c>
      <c r="C1387" t="inlineStr">
        <is>
          <t>Föryngringsavverkning</t>
        </is>
      </c>
      <c r="D1387" s="1" t="n">
        <v>44753</v>
      </c>
      <c r="E1387" s="1" t="n">
        <v>46307</v>
      </c>
      <c r="F1387" t="inlineStr">
        <is>
          <t>VÄRMLANDS LÄN</t>
        </is>
      </c>
      <c r="G1387" t="inlineStr">
        <is>
          <t>TORSBY</t>
        </is>
      </c>
      <c r="I1387" t="n">
        <v>2.5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1811-2022</t>
        </is>
      </c>
      <c r="B1388" t="inlineStr">
        <is>
          <t>avverkningsanmälan</t>
        </is>
      </c>
      <c r="C1388" t="inlineStr">
        <is>
          <t>Föryngringsavverkning</t>
        </is>
      </c>
      <c r="D1388" s="1" t="n">
        <v>44574</v>
      </c>
      <c r="E1388" s="1" t="n">
        <v>46307</v>
      </c>
      <c r="F1388" t="inlineStr">
        <is>
          <t>VÄRMLANDS LÄN</t>
        </is>
      </c>
      <c r="G1388" t="inlineStr">
        <is>
          <t>KARLSTAD</t>
        </is>
      </c>
      <c r="I1388" t="n">
        <v>2.5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13698-2022</t>
        </is>
      </c>
      <c r="B1389" t="inlineStr">
        <is>
          <t>avverkningsanmälan</t>
        </is>
      </c>
      <c r="C1389" t="inlineStr">
        <is>
          <t>Avverkning för annat ändamål</t>
        </is>
      </c>
      <c r="D1389" s="1" t="n">
        <v>44648</v>
      </c>
      <c r="E1389" s="1" t="n">
        <v>46307</v>
      </c>
      <c r="F1389" t="inlineStr">
        <is>
          <t>VÄRMLANDS LÄN</t>
        </is>
      </c>
      <c r="G1389" t="inlineStr">
        <is>
          <t>TORSBY</t>
        </is>
      </c>
      <c r="I1389" t="n">
        <v>0.5</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43475-2022</t>
        </is>
      </c>
      <c r="B1390" t="inlineStr">
        <is>
          <t>avverkningsanmälan</t>
        </is>
      </c>
      <c r="C1390" t="inlineStr">
        <is>
          <t>Föryngringsavverkning</t>
        </is>
      </c>
      <c r="D1390" s="1" t="n">
        <v>44836</v>
      </c>
      <c r="E1390" s="1" t="n">
        <v>46307</v>
      </c>
      <c r="F1390" t="inlineStr">
        <is>
          <t>VÄRMLANDS LÄN</t>
        </is>
      </c>
      <c r="G1390" t="inlineStr">
        <is>
          <t>HAGFORS</t>
        </is>
      </c>
      <c r="I1390" t="n">
        <v>1.4</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28197-2022</t>
        </is>
      </c>
      <c r="B1391" t="inlineStr">
        <is>
          <t>avverkningsanmälan</t>
        </is>
      </c>
      <c r="C1391" t="inlineStr">
        <is>
          <t>Föryngringsavverkning</t>
        </is>
      </c>
      <c r="D1391" s="1" t="n">
        <v>44746</v>
      </c>
      <c r="E1391" s="1" t="n">
        <v>46307</v>
      </c>
      <c r="F1391" t="inlineStr">
        <is>
          <t>VÄRMLANDS LÄN</t>
        </is>
      </c>
      <c r="G1391" t="inlineStr">
        <is>
          <t>ARVIKA</t>
        </is>
      </c>
      <c r="I1391" t="n">
        <v>6.9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48787-2022</t>
        </is>
      </c>
      <c r="B1392" t="inlineStr">
        <is>
          <t>avverkningsanmälan</t>
        </is>
      </c>
      <c r="C1392" t="inlineStr">
        <is>
          <t>Föryngringsavverkning</t>
        </is>
      </c>
      <c r="D1392" s="1" t="n">
        <v>44859</v>
      </c>
      <c r="E1392" s="1" t="n">
        <v>46307</v>
      </c>
      <c r="F1392" t="inlineStr">
        <is>
          <t>VÄRMLANDS LÄN</t>
        </is>
      </c>
      <c r="G1392" t="inlineStr">
        <is>
          <t>KIL</t>
        </is>
      </c>
      <c r="I1392" t="n">
        <v>0.6</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9630-2022</t>
        </is>
      </c>
      <c r="B1393" t="inlineStr">
        <is>
          <t>avverkningsanmälan</t>
        </is>
      </c>
      <c r="C1393" t="inlineStr">
        <is>
          <t>Avverkning för annat ändamål</t>
        </is>
      </c>
      <c r="D1393" s="1" t="n">
        <v>44617</v>
      </c>
      <c r="E1393" s="1" t="n">
        <v>46307</v>
      </c>
      <c r="F1393" t="inlineStr">
        <is>
          <t>VÄRMLANDS LÄN</t>
        </is>
      </c>
      <c r="G1393" t="inlineStr">
        <is>
          <t>ÅRJÄNG</t>
        </is>
      </c>
      <c r="I1393" t="n">
        <v>0.3</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20907-2022</t>
        </is>
      </c>
      <c r="B1394" t="inlineStr">
        <is>
          <t>avverkningsanmälan</t>
        </is>
      </c>
      <c r="C1394" t="inlineStr">
        <is>
          <t>Föryngringsavverkning</t>
        </is>
      </c>
      <c r="D1394" s="1" t="n">
        <v>44701</v>
      </c>
      <c r="E1394" s="1" t="n">
        <v>46307</v>
      </c>
      <c r="F1394" t="inlineStr">
        <is>
          <t>VÄRMLANDS LÄN</t>
        </is>
      </c>
      <c r="G1394" t="inlineStr">
        <is>
          <t>TORSBY</t>
        </is>
      </c>
      <c r="I1394" t="n">
        <v>2.3</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7235-2022</t>
        </is>
      </c>
      <c r="B1395" t="inlineStr">
        <is>
          <t>avverkningsanmälan</t>
        </is>
      </c>
      <c r="C1395" t="inlineStr">
        <is>
          <t>Föryngringsavverkning</t>
        </is>
      </c>
      <c r="D1395" s="1" t="n">
        <v>44606</v>
      </c>
      <c r="E1395" s="1" t="n">
        <v>46307</v>
      </c>
      <c r="F1395" t="inlineStr">
        <is>
          <t>VÄRMLANDS LÄN</t>
        </is>
      </c>
      <c r="G1395" t="inlineStr">
        <is>
          <t>ÅRJÄNG</t>
        </is>
      </c>
      <c r="I1395" t="n">
        <v>1.8</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72609-2021</t>
        </is>
      </c>
      <c r="B1396" t="inlineStr">
        <is>
          <t>avverkningsanmälan</t>
        </is>
      </c>
      <c r="C1396" t="inlineStr">
        <is>
          <t>Föryngringsavverkning</t>
        </is>
      </c>
      <c r="D1396" s="1" t="n">
        <v>44546</v>
      </c>
      <c r="E1396" s="1" t="n">
        <v>46307</v>
      </c>
      <c r="F1396" t="inlineStr">
        <is>
          <t>VÄRMLANDS LÄN</t>
        </is>
      </c>
      <c r="G1396" t="inlineStr">
        <is>
          <t>ÅRJÄNG</t>
        </is>
      </c>
      <c r="H1396" t="inlineStr">
        <is>
          <t>Kyrkan</t>
        </is>
      </c>
      <c r="I1396" t="n">
        <v>1.8</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33958-2022</t>
        </is>
      </c>
      <c r="B1397" t="inlineStr">
        <is>
          <t>avverkningsanmälan</t>
        </is>
      </c>
      <c r="C1397" t="inlineStr">
        <is>
          <t>Föryngringsavverkning</t>
        </is>
      </c>
      <c r="D1397" s="1" t="n">
        <v>44790</v>
      </c>
      <c r="E1397" s="1" t="n">
        <v>46307</v>
      </c>
      <c r="F1397" t="inlineStr">
        <is>
          <t>VÄRMLANDS LÄN</t>
        </is>
      </c>
      <c r="G1397" t="inlineStr">
        <is>
          <t>TORSBY</t>
        </is>
      </c>
      <c r="I1397" t="n">
        <v>13.2</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14854-2022</t>
        </is>
      </c>
      <c r="B1398" t="inlineStr">
        <is>
          <t>avverkningsanmälan</t>
        </is>
      </c>
      <c r="C1398" t="inlineStr">
        <is>
          <t>Avverkning för annat ändamål</t>
        </is>
      </c>
      <c r="D1398" s="1" t="n">
        <v>44656</v>
      </c>
      <c r="E1398" s="1" t="n">
        <v>46307</v>
      </c>
      <c r="F1398" t="inlineStr">
        <is>
          <t>VÄRMLANDS LÄN</t>
        </is>
      </c>
      <c r="G1398" t="inlineStr">
        <is>
          <t>KARLSTAD</t>
        </is>
      </c>
      <c r="I1398" t="n">
        <v>0.8</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6708-2022</t>
        </is>
      </c>
      <c r="B1399" t="inlineStr">
        <is>
          <t>avverkningsanmälan</t>
        </is>
      </c>
      <c r="C1399" t="inlineStr">
        <is>
          <t>Föryngringsavverkning</t>
        </is>
      </c>
      <c r="D1399" s="1" t="n">
        <v>44602</v>
      </c>
      <c r="E1399" s="1" t="n">
        <v>46307</v>
      </c>
      <c r="F1399" t="inlineStr">
        <is>
          <t>VÄRMLANDS LÄN</t>
        </is>
      </c>
      <c r="G1399" t="inlineStr">
        <is>
          <t>HAGFORS</t>
        </is>
      </c>
      <c r="I1399" t="n">
        <v>1.2</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9359-2022</t>
        </is>
      </c>
      <c r="B1400" t="inlineStr">
        <is>
          <t>avverkningsanmälan</t>
        </is>
      </c>
      <c r="C1400" t="inlineStr">
        <is>
          <t>Föryngringsavverkning</t>
        </is>
      </c>
      <c r="D1400" s="1" t="n">
        <v>44616</v>
      </c>
      <c r="E1400" s="1" t="n">
        <v>46307</v>
      </c>
      <c r="F1400" t="inlineStr">
        <is>
          <t>VÄRMLANDS LÄN</t>
        </is>
      </c>
      <c r="G1400" t="inlineStr">
        <is>
          <t>SÄFFLE</t>
        </is>
      </c>
      <c r="I1400" t="n">
        <v>0.5</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61514-2021</t>
        </is>
      </c>
      <c r="B1401" t="inlineStr">
        <is>
          <t>avverkningsanmälan</t>
        </is>
      </c>
      <c r="C1401" t="inlineStr">
        <is>
          <t>Föryngringsavverkning</t>
        </is>
      </c>
      <c r="D1401" s="1" t="n">
        <v>44501</v>
      </c>
      <c r="E1401" s="1" t="n">
        <v>46307</v>
      </c>
      <c r="F1401" t="inlineStr">
        <is>
          <t>VÄRMLANDS LÄN</t>
        </is>
      </c>
      <c r="G1401" t="inlineStr">
        <is>
          <t>KARLSTAD</t>
        </is>
      </c>
      <c r="I1401" t="n">
        <v>2.2</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62334-2021</t>
        </is>
      </c>
      <c r="B1402" t="inlineStr">
        <is>
          <t>avverkningsanmälan</t>
        </is>
      </c>
      <c r="C1402" t="inlineStr">
        <is>
          <t>Föryngringsavverkning</t>
        </is>
      </c>
      <c r="D1402" s="1" t="n">
        <v>44501</v>
      </c>
      <c r="E1402" s="1" t="n">
        <v>46307</v>
      </c>
      <c r="F1402" t="inlineStr">
        <is>
          <t>VÄRMLANDS LÄN</t>
        </is>
      </c>
      <c r="G1402" t="inlineStr">
        <is>
          <t>SUNNE</t>
        </is>
      </c>
      <c r="I1402" t="n">
        <v>2.3</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13514-2022</t>
        </is>
      </c>
      <c r="B1403" t="inlineStr">
        <is>
          <t>avverkningsanmälan</t>
        </is>
      </c>
      <c r="C1403" t="inlineStr">
        <is>
          <t>Föryngringsavverkning</t>
        </is>
      </c>
      <c r="D1403" s="1" t="n">
        <v>44648</v>
      </c>
      <c r="E1403" s="1" t="n">
        <v>46307</v>
      </c>
      <c r="F1403" t="inlineStr">
        <is>
          <t>VÄRMLANDS LÄN</t>
        </is>
      </c>
      <c r="G1403" t="inlineStr">
        <is>
          <t>ARVIKA</t>
        </is>
      </c>
      <c r="H1403" t="inlineStr">
        <is>
          <t>Bergvik skog väst AB</t>
        </is>
      </c>
      <c r="I1403" t="n">
        <v>0.6</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13578-2022</t>
        </is>
      </c>
      <c r="B1404" t="inlineStr">
        <is>
          <t>avverkningsanmälan</t>
        </is>
      </c>
      <c r="C1404" t="inlineStr">
        <is>
          <t>Föryngringsavverkning</t>
        </is>
      </c>
      <c r="D1404" s="1" t="n">
        <v>44648</v>
      </c>
      <c r="E1404" s="1" t="n">
        <v>46307</v>
      </c>
      <c r="F1404" t="inlineStr">
        <is>
          <t>VÄRMLANDS LÄN</t>
        </is>
      </c>
      <c r="G1404" t="inlineStr">
        <is>
          <t>MUNKFORS</t>
        </is>
      </c>
      <c r="I1404" t="n">
        <v>1.1</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16400-2022</t>
        </is>
      </c>
      <c r="B1405" t="inlineStr">
        <is>
          <t>avverkningsanmälan</t>
        </is>
      </c>
      <c r="C1405" t="inlineStr">
        <is>
          <t>Föryngringsavverkning</t>
        </is>
      </c>
      <c r="D1405" s="1" t="n">
        <v>44671</v>
      </c>
      <c r="E1405" s="1" t="n">
        <v>46307</v>
      </c>
      <c r="F1405" t="inlineStr">
        <is>
          <t>VÄRMLANDS LÄN</t>
        </is>
      </c>
      <c r="G1405" t="inlineStr">
        <is>
          <t>ÅRJÄNG</t>
        </is>
      </c>
      <c r="I1405" t="n">
        <v>1</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57734-2021</t>
        </is>
      </c>
      <c r="B1406" t="inlineStr">
        <is>
          <t>avverkningsanmälan</t>
        </is>
      </c>
      <c r="C1406" t="inlineStr">
        <is>
          <t>Föryngringsavverkning</t>
        </is>
      </c>
      <c r="D1406" s="1" t="n">
        <v>44484</v>
      </c>
      <c r="E1406" s="1" t="n">
        <v>46307</v>
      </c>
      <c r="F1406" t="inlineStr">
        <is>
          <t>VÄRMLANDS LÄN</t>
        </is>
      </c>
      <c r="G1406" t="inlineStr">
        <is>
          <t>STORFORS</t>
        </is>
      </c>
      <c r="H1406" t="inlineStr">
        <is>
          <t>Naturvårdsverket</t>
        </is>
      </c>
      <c r="I1406" t="n">
        <v>0.9</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65060-2021</t>
        </is>
      </c>
      <c r="B1407" t="inlineStr">
        <is>
          <t>avverkningsanmälan</t>
        </is>
      </c>
      <c r="C1407" t="inlineStr">
        <is>
          <t>Föryngringsavverkning</t>
        </is>
      </c>
      <c r="D1407" s="1" t="n">
        <v>44515</v>
      </c>
      <c r="E1407" s="1" t="n">
        <v>46307</v>
      </c>
      <c r="F1407" t="inlineStr">
        <is>
          <t>VÄRMLANDS LÄN</t>
        </is>
      </c>
      <c r="G1407" t="inlineStr">
        <is>
          <t>EDA</t>
        </is>
      </c>
      <c r="H1407" t="inlineStr">
        <is>
          <t>Bergvik skog väst AB</t>
        </is>
      </c>
      <c r="I1407" t="n">
        <v>11.5</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65074-2021</t>
        </is>
      </c>
      <c r="B1408" t="inlineStr">
        <is>
          <t>avverkningsanmälan</t>
        </is>
      </c>
      <c r="C1408" t="inlineStr">
        <is>
          <t>Föryngringsavverkning</t>
        </is>
      </c>
      <c r="D1408" s="1" t="n">
        <v>44515</v>
      </c>
      <c r="E1408" s="1" t="n">
        <v>46307</v>
      </c>
      <c r="F1408" t="inlineStr">
        <is>
          <t>VÄRMLANDS LÄN</t>
        </is>
      </c>
      <c r="G1408" t="inlineStr">
        <is>
          <t>SUNNE</t>
        </is>
      </c>
      <c r="I1408" t="n">
        <v>0.9</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18303-2022</t>
        </is>
      </c>
      <c r="B1409" t="inlineStr">
        <is>
          <t>avverkningsanmälan</t>
        </is>
      </c>
      <c r="C1409" t="inlineStr">
        <is>
          <t>Föryngringsavverkning</t>
        </is>
      </c>
      <c r="D1409" s="1" t="n">
        <v>44685</v>
      </c>
      <c r="E1409" s="1" t="n">
        <v>46307</v>
      </c>
      <c r="F1409" t="inlineStr">
        <is>
          <t>VÄRMLANDS LÄN</t>
        </is>
      </c>
      <c r="G1409" t="inlineStr">
        <is>
          <t>MUNKFORS</t>
        </is>
      </c>
      <c r="H1409" t="inlineStr">
        <is>
          <t>Bergvik skog väst AB</t>
        </is>
      </c>
      <c r="I1409" t="n">
        <v>1</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18406-2022</t>
        </is>
      </c>
      <c r="B1410" t="inlineStr">
        <is>
          <t>avverkningsanmälan</t>
        </is>
      </c>
      <c r="C1410" t="inlineStr">
        <is>
          <t>Föryngringsavverkning</t>
        </is>
      </c>
      <c r="D1410" s="1" t="n">
        <v>44686</v>
      </c>
      <c r="E1410" s="1" t="n">
        <v>46307</v>
      </c>
      <c r="F1410" t="inlineStr">
        <is>
          <t>VÄRMLANDS LÄN</t>
        </is>
      </c>
      <c r="G1410" t="inlineStr">
        <is>
          <t>SUNNE</t>
        </is>
      </c>
      <c r="I1410" t="n">
        <v>0.4</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7289-2022</t>
        </is>
      </c>
      <c r="B1411" t="inlineStr">
        <is>
          <t>avverkningsanmälan</t>
        </is>
      </c>
      <c r="C1411" t="inlineStr">
        <is>
          <t>Föryngringsavverkning</t>
        </is>
      </c>
      <c r="D1411" s="1" t="n">
        <v>44606</v>
      </c>
      <c r="E1411" s="1" t="n">
        <v>46307</v>
      </c>
      <c r="F1411" t="inlineStr">
        <is>
          <t>VÄRMLANDS LÄN</t>
        </is>
      </c>
      <c r="G1411" t="inlineStr">
        <is>
          <t>FORSHAGA</t>
        </is>
      </c>
      <c r="I1411" t="n">
        <v>1</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14320-2022</t>
        </is>
      </c>
      <c r="B1412" t="inlineStr">
        <is>
          <t>avverkningsanmälan</t>
        </is>
      </c>
      <c r="C1412" t="inlineStr">
        <is>
          <t>Föryngringsavverkning</t>
        </is>
      </c>
      <c r="D1412" s="1" t="n">
        <v>44652</v>
      </c>
      <c r="E1412" s="1" t="n">
        <v>46307</v>
      </c>
      <c r="F1412" t="inlineStr">
        <is>
          <t>VÄRMLANDS LÄN</t>
        </is>
      </c>
      <c r="G1412" t="inlineStr">
        <is>
          <t>TORSBY</t>
        </is>
      </c>
      <c r="I1412" t="n">
        <v>0.8</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64543-2021</t>
        </is>
      </c>
      <c r="B1413" t="inlineStr">
        <is>
          <t>avverkningsanmälan</t>
        </is>
      </c>
      <c r="C1413" t="inlineStr">
        <is>
          <t>Föryngringsavverkning</t>
        </is>
      </c>
      <c r="D1413" s="1" t="n">
        <v>44511</v>
      </c>
      <c r="E1413" s="1" t="n">
        <v>46307</v>
      </c>
      <c r="F1413" t="inlineStr">
        <is>
          <t>VÄRMLANDS LÄN</t>
        </is>
      </c>
      <c r="G1413" t="inlineStr">
        <is>
          <t>KIL</t>
        </is>
      </c>
      <c r="I1413" t="n">
        <v>0.6</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64559-2021</t>
        </is>
      </c>
      <c r="B1414" t="inlineStr">
        <is>
          <t>avverkningsanmälan</t>
        </is>
      </c>
      <c r="C1414" t="inlineStr">
        <is>
          <t>Föryngringsavverkning</t>
        </is>
      </c>
      <c r="D1414" s="1" t="n">
        <v>44511</v>
      </c>
      <c r="E1414" s="1" t="n">
        <v>46307</v>
      </c>
      <c r="F1414" t="inlineStr">
        <is>
          <t>VÄRMLANDS LÄN</t>
        </is>
      </c>
      <c r="G1414" t="inlineStr">
        <is>
          <t>KIL</t>
        </is>
      </c>
      <c r="I1414" t="n">
        <v>0.4</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51759-2022</t>
        </is>
      </c>
      <c r="B1415" t="inlineStr">
        <is>
          <t>avverkningsanmälan</t>
        </is>
      </c>
      <c r="C1415" t="inlineStr">
        <is>
          <t>Föryngringsavverkning</t>
        </is>
      </c>
      <c r="D1415" s="1" t="n">
        <v>44872</v>
      </c>
      <c r="E1415" s="1" t="n">
        <v>46307</v>
      </c>
      <c r="F1415" t="inlineStr">
        <is>
          <t>VÄRMLANDS LÄN</t>
        </is>
      </c>
      <c r="G1415" t="inlineStr">
        <is>
          <t>HAGFORS</t>
        </is>
      </c>
      <c r="H1415" t="inlineStr">
        <is>
          <t>Bergvik skog väst AB</t>
        </is>
      </c>
      <c r="I1415" t="n">
        <v>11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35116-2022</t>
        </is>
      </c>
      <c r="B1416" t="inlineStr">
        <is>
          <t>avverkningsanmälan</t>
        </is>
      </c>
      <c r="C1416" t="inlineStr">
        <is>
          <t>Föryngringsavverkning</t>
        </is>
      </c>
      <c r="D1416" s="1" t="n">
        <v>44797</v>
      </c>
      <c r="E1416" s="1" t="n">
        <v>46307</v>
      </c>
      <c r="F1416" t="inlineStr">
        <is>
          <t>VÄRMLANDS LÄN</t>
        </is>
      </c>
      <c r="G1416" t="inlineStr">
        <is>
          <t>ARVIKA</t>
        </is>
      </c>
      <c r="H1416" t="inlineStr">
        <is>
          <t>Bergvik skog väst AB</t>
        </is>
      </c>
      <c r="I1416" t="n">
        <v>0.9</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62310-2021</t>
        </is>
      </c>
      <c r="B1417" t="inlineStr">
        <is>
          <t>avverkningsanmälan</t>
        </is>
      </c>
      <c r="C1417" t="inlineStr">
        <is>
          <t>Föryngringsavverkning</t>
        </is>
      </c>
      <c r="D1417" s="1" t="n">
        <v>44501</v>
      </c>
      <c r="E1417" s="1" t="n">
        <v>46307</v>
      </c>
      <c r="F1417" t="inlineStr">
        <is>
          <t>VÄRMLANDS LÄN</t>
        </is>
      </c>
      <c r="G1417" t="inlineStr">
        <is>
          <t>SUNNE</t>
        </is>
      </c>
      <c r="I1417" t="n">
        <v>8.800000000000001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17923-2022</t>
        </is>
      </c>
      <c r="B1418" t="inlineStr">
        <is>
          <t>avverkningsanmälan</t>
        </is>
      </c>
      <c r="C1418" t="inlineStr">
        <is>
          <t>Föryngringsavverkning</t>
        </is>
      </c>
      <c r="D1418" s="1" t="n">
        <v>44683</v>
      </c>
      <c r="E1418" s="1" t="n">
        <v>46307</v>
      </c>
      <c r="F1418" t="inlineStr">
        <is>
          <t>VÄRMLANDS LÄN</t>
        </is>
      </c>
      <c r="G1418" t="inlineStr">
        <is>
          <t>HAGFORS</t>
        </is>
      </c>
      <c r="H1418" t="inlineStr">
        <is>
          <t>Bergvik skog väst AB</t>
        </is>
      </c>
      <c r="I1418" t="n">
        <v>0.6</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15380-2022</t>
        </is>
      </c>
      <c r="B1419" t="inlineStr">
        <is>
          <t>avverkningsanmälan</t>
        </is>
      </c>
      <c r="C1419" t="inlineStr">
        <is>
          <t>Föryngringsavverkning</t>
        </is>
      </c>
      <c r="D1419" s="1" t="n">
        <v>44659</v>
      </c>
      <c r="E1419" s="1" t="n">
        <v>46307</v>
      </c>
      <c r="F1419" t="inlineStr">
        <is>
          <t>VÄRMLANDS LÄN</t>
        </is>
      </c>
      <c r="G1419" t="inlineStr">
        <is>
          <t>EDA</t>
        </is>
      </c>
      <c r="I1419" t="n">
        <v>2.3</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14582-2022</t>
        </is>
      </c>
      <c r="B1420" t="inlineStr">
        <is>
          <t>avverkningsanmälan</t>
        </is>
      </c>
      <c r="C1420" t="inlineStr">
        <is>
          <t>Föryngringsavverkning</t>
        </is>
      </c>
      <c r="D1420" s="1" t="n">
        <v>44655</v>
      </c>
      <c r="E1420" s="1" t="n">
        <v>46307</v>
      </c>
      <c r="F1420" t="inlineStr">
        <is>
          <t>VÄRMLANDS LÄN</t>
        </is>
      </c>
      <c r="G1420" t="inlineStr">
        <is>
          <t>FILIPSTAD</t>
        </is>
      </c>
      <c r="H1420" t="inlineStr">
        <is>
          <t>Bergvik skog väst AB</t>
        </is>
      </c>
      <c r="I1420" t="n">
        <v>4</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14615-2022</t>
        </is>
      </c>
      <c r="B1421" t="inlineStr">
        <is>
          <t>avverkningsanmälan</t>
        </is>
      </c>
      <c r="C1421" t="inlineStr">
        <is>
          <t>Föryngringsavverkning</t>
        </is>
      </c>
      <c r="D1421" s="1" t="n">
        <v>44655</v>
      </c>
      <c r="E1421" s="1" t="n">
        <v>46307</v>
      </c>
      <c r="F1421" t="inlineStr">
        <is>
          <t>VÄRMLANDS LÄN</t>
        </is>
      </c>
      <c r="G1421" t="inlineStr">
        <is>
          <t>ARVIKA</t>
        </is>
      </c>
      <c r="I1421" t="n">
        <v>1.1</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11184-2022</t>
        </is>
      </c>
      <c r="B1422" t="inlineStr">
        <is>
          <t>avverkningsanmälan</t>
        </is>
      </c>
      <c r="C1422" t="inlineStr">
        <is>
          <t>Föryngringsavverkning</t>
        </is>
      </c>
      <c r="D1422" s="1" t="n">
        <v>44629</v>
      </c>
      <c r="E1422" s="1" t="n">
        <v>46307</v>
      </c>
      <c r="F1422" t="inlineStr">
        <is>
          <t>VÄRMLANDS LÄN</t>
        </is>
      </c>
      <c r="G1422" t="inlineStr">
        <is>
          <t>SÄFFLE</t>
        </is>
      </c>
      <c r="I1422" t="n">
        <v>3.8</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26786-2022</t>
        </is>
      </c>
      <c r="B1423" t="inlineStr">
        <is>
          <t>avverkningsanmälan</t>
        </is>
      </c>
      <c r="C1423" t="inlineStr">
        <is>
          <t>Föryngringsavverkning</t>
        </is>
      </c>
      <c r="D1423" s="1" t="n">
        <v>44740</v>
      </c>
      <c r="E1423" s="1" t="n">
        <v>46307</v>
      </c>
      <c r="F1423" t="inlineStr">
        <is>
          <t>VÄRMLANDS LÄN</t>
        </is>
      </c>
      <c r="G1423" t="inlineStr">
        <is>
          <t>EDA</t>
        </is>
      </c>
      <c r="I1423" t="n">
        <v>0.9</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29507-2022</t>
        </is>
      </c>
      <c r="B1424" t="inlineStr">
        <is>
          <t>avverkningsanmälan</t>
        </is>
      </c>
      <c r="C1424" t="inlineStr">
        <is>
          <t>Föryngringsavverkning</t>
        </is>
      </c>
      <c r="D1424" s="1" t="n">
        <v>44753</v>
      </c>
      <c r="E1424" s="1" t="n">
        <v>46307</v>
      </c>
      <c r="F1424" t="inlineStr">
        <is>
          <t>VÄRMLANDS LÄN</t>
        </is>
      </c>
      <c r="G1424" t="inlineStr">
        <is>
          <t>FORSHAGA</t>
        </is>
      </c>
      <c r="H1424" t="inlineStr">
        <is>
          <t>Kommuner</t>
        </is>
      </c>
      <c r="I1424" t="n">
        <v>0.9</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73470-2021</t>
        </is>
      </c>
      <c r="B1425" t="inlineStr">
        <is>
          <t>avverkningsanmälan</t>
        </is>
      </c>
      <c r="C1425" t="inlineStr">
        <is>
          <t>Föryngringsavverkning</t>
        </is>
      </c>
      <c r="D1425" s="1" t="n">
        <v>44551</v>
      </c>
      <c r="E1425" s="1" t="n">
        <v>46307</v>
      </c>
      <c r="F1425" t="inlineStr">
        <is>
          <t>VÄRMLANDS LÄN</t>
        </is>
      </c>
      <c r="G1425" t="inlineStr">
        <is>
          <t>SUNNE</t>
        </is>
      </c>
      <c r="I1425" t="n">
        <v>6.1</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14077-2022</t>
        </is>
      </c>
      <c r="B1426" t="inlineStr">
        <is>
          <t>avverkningsanmälan</t>
        </is>
      </c>
      <c r="C1426" t="inlineStr">
        <is>
          <t>Föryngringsavverkning</t>
        </is>
      </c>
      <c r="D1426" s="1" t="n">
        <v>44651</v>
      </c>
      <c r="E1426" s="1" t="n">
        <v>46307</v>
      </c>
      <c r="F1426" t="inlineStr">
        <is>
          <t>VÄRMLANDS LÄN</t>
        </is>
      </c>
      <c r="G1426" t="inlineStr">
        <is>
          <t>FILIPSTAD</t>
        </is>
      </c>
      <c r="H1426" t="inlineStr">
        <is>
          <t>Bergvik skog väst AB</t>
        </is>
      </c>
      <c r="I1426" t="n">
        <v>18.7</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8739-2022</t>
        </is>
      </c>
      <c r="B1427" t="inlineStr">
        <is>
          <t>avverkningsanmälan</t>
        </is>
      </c>
      <c r="C1427" t="inlineStr">
        <is>
          <t>Föryngringsavverkning</t>
        </is>
      </c>
      <c r="D1427" s="1" t="n">
        <v>44615</v>
      </c>
      <c r="E1427" s="1" t="n">
        <v>46307</v>
      </c>
      <c r="F1427" t="inlineStr">
        <is>
          <t>VÄRMLANDS LÄN</t>
        </is>
      </c>
      <c r="G1427" t="inlineStr">
        <is>
          <t>TORSBY</t>
        </is>
      </c>
      <c r="I1427" t="n">
        <v>1.8</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18628-2022</t>
        </is>
      </c>
      <c r="B1428" t="inlineStr">
        <is>
          <t>avverkningsanmälan</t>
        </is>
      </c>
      <c r="C1428" t="inlineStr">
        <is>
          <t>Föryngringsavverkning</t>
        </is>
      </c>
      <c r="D1428" s="1" t="n">
        <v>44687</v>
      </c>
      <c r="E1428" s="1" t="n">
        <v>46307</v>
      </c>
      <c r="F1428" t="inlineStr">
        <is>
          <t>VÄRMLANDS LÄN</t>
        </is>
      </c>
      <c r="G1428" t="inlineStr">
        <is>
          <t>TORSBY</t>
        </is>
      </c>
      <c r="I1428" t="n">
        <v>0.7</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27160-2022</t>
        </is>
      </c>
      <c r="B1429" t="inlineStr">
        <is>
          <t>avverkningsanmälan</t>
        </is>
      </c>
      <c r="C1429" t="inlineStr">
        <is>
          <t>Föryngringsavverkning</t>
        </is>
      </c>
      <c r="D1429" s="1" t="n">
        <v>44741</v>
      </c>
      <c r="E1429" s="1" t="n">
        <v>46307</v>
      </c>
      <c r="F1429" t="inlineStr">
        <is>
          <t>VÄRMLANDS LÄN</t>
        </is>
      </c>
      <c r="G1429" t="inlineStr">
        <is>
          <t>KRISTINEHAMN</t>
        </is>
      </c>
      <c r="I1429" t="n">
        <v>2.6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71837-2021</t>
        </is>
      </c>
      <c r="B1430" t="inlineStr">
        <is>
          <t>avverkningsanmälan</t>
        </is>
      </c>
      <c r="C1430" t="inlineStr">
        <is>
          <t>Föryngringsavverkning</t>
        </is>
      </c>
      <c r="D1430" s="1" t="n">
        <v>44543</v>
      </c>
      <c r="E1430" s="1" t="n">
        <v>46307</v>
      </c>
      <c r="F1430" t="inlineStr">
        <is>
          <t>VÄRMLANDS LÄN</t>
        </is>
      </c>
      <c r="G1430" t="inlineStr">
        <is>
          <t>ÅRJÄNG</t>
        </is>
      </c>
      <c r="I1430" t="n">
        <v>7.2</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70921-2021</t>
        </is>
      </c>
      <c r="B1431" t="inlineStr">
        <is>
          <t>avverkningsanmälan</t>
        </is>
      </c>
      <c r="C1431" t="inlineStr">
        <is>
          <t>Föryngringsavverkning</t>
        </is>
      </c>
      <c r="D1431" s="1" t="n">
        <v>44537</v>
      </c>
      <c r="E1431" s="1" t="n">
        <v>46307</v>
      </c>
      <c r="F1431" t="inlineStr">
        <is>
          <t>VÄRMLANDS LÄN</t>
        </is>
      </c>
      <c r="G1431" t="inlineStr">
        <is>
          <t>KARLSTAD</t>
        </is>
      </c>
      <c r="I1431" t="n">
        <v>2.4</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23075-2022</t>
        </is>
      </c>
      <c r="B1432" t="inlineStr">
        <is>
          <t>avverkningsanmälan</t>
        </is>
      </c>
      <c r="C1432" t="inlineStr">
        <is>
          <t>Föryngringsavverkning</t>
        </is>
      </c>
      <c r="D1432" s="1" t="n">
        <v>44718</v>
      </c>
      <c r="E1432" s="1" t="n">
        <v>46307</v>
      </c>
      <c r="F1432" t="inlineStr">
        <is>
          <t>VÄRMLANDS LÄN</t>
        </is>
      </c>
      <c r="G1432" t="inlineStr">
        <is>
          <t>ARVIKA</t>
        </is>
      </c>
      <c r="I1432" t="n">
        <v>2.2</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23086-2022</t>
        </is>
      </c>
      <c r="B1433" t="inlineStr">
        <is>
          <t>avverkningsanmälan</t>
        </is>
      </c>
      <c r="C1433" t="inlineStr">
        <is>
          <t>Föryngringsavverkning</t>
        </is>
      </c>
      <c r="D1433" s="1" t="n">
        <v>44719</v>
      </c>
      <c r="E1433" s="1" t="n">
        <v>46307</v>
      </c>
      <c r="F1433" t="inlineStr">
        <is>
          <t>VÄRMLANDS LÄN</t>
        </is>
      </c>
      <c r="G1433" t="inlineStr">
        <is>
          <t>SÄFFLE</t>
        </is>
      </c>
      <c r="I1433" t="n">
        <v>3.8</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27394-2022</t>
        </is>
      </c>
      <c r="B1434" t="inlineStr">
        <is>
          <t>avverkningsanmälan</t>
        </is>
      </c>
      <c r="C1434" t="inlineStr">
        <is>
          <t>Föryngringsavverkning</t>
        </is>
      </c>
      <c r="D1434" s="1" t="n">
        <v>44742</v>
      </c>
      <c r="E1434" s="1" t="n">
        <v>46307</v>
      </c>
      <c r="F1434" t="inlineStr">
        <is>
          <t>VÄRMLANDS LÄN</t>
        </is>
      </c>
      <c r="G1434" t="inlineStr">
        <is>
          <t>KRISTINEHAMN</t>
        </is>
      </c>
      <c r="I1434" t="n">
        <v>1.5</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64552-2021</t>
        </is>
      </c>
      <c r="B1435" t="inlineStr">
        <is>
          <t>avverkningsanmälan</t>
        </is>
      </c>
      <c r="C1435" t="inlineStr">
        <is>
          <t>Föryngringsavverkning</t>
        </is>
      </c>
      <c r="D1435" s="1" t="n">
        <v>44511</v>
      </c>
      <c r="E1435" s="1" t="n">
        <v>46307</v>
      </c>
      <c r="F1435" t="inlineStr">
        <is>
          <t>VÄRMLANDS LÄN</t>
        </is>
      </c>
      <c r="G1435" t="inlineStr">
        <is>
          <t>KIL</t>
        </is>
      </c>
      <c r="I1435" t="n">
        <v>0.3</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23063-2022</t>
        </is>
      </c>
      <c r="B1436" t="inlineStr">
        <is>
          <t>avverkningsanmälan</t>
        </is>
      </c>
      <c r="C1436" t="inlineStr">
        <is>
          <t>Föryngringsavverkning</t>
        </is>
      </c>
      <c r="D1436" s="1" t="n">
        <v>44719</v>
      </c>
      <c r="E1436" s="1" t="n">
        <v>46307</v>
      </c>
      <c r="F1436" t="inlineStr">
        <is>
          <t>VÄRMLANDS LÄN</t>
        </is>
      </c>
      <c r="G1436" t="inlineStr">
        <is>
          <t>FILIPSTAD</t>
        </is>
      </c>
      <c r="I1436" t="n">
        <v>0.7</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23090-2022</t>
        </is>
      </c>
      <c r="B1437" t="inlineStr">
        <is>
          <t>avverkningsanmälan</t>
        </is>
      </c>
      <c r="C1437" t="inlineStr">
        <is>
          <t>Föryngringsavverkning</t>
        </is>
      </c>
      <c r="D1437" s="1" t="n">
        <v>44719</v>
      </c>
      <c r="E1437" s="1" t="n">
        <v>46307</v>
      </c>
      <c r="F1437" t="inlineStr">
        <is>
          <t>VÄRMLANDS LÄN</t>
        </is>
      </c>
      <c r="G1437" t="inlineStr">
        <is>
          <t>SÄFFLE</t>
        </is>
      </c>
      <c r="I1437" t="n">
        <v>3.3</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7292-2022</t>
        </is>
      </c>
      <c r="B1438" t="inlineStr">
        <is>
          <t>avverkningsanmälan</t>
        </is>
      </c>
      <c r="C1438" t="inlineStr">
        <is>
          <t>Föryngringsavverkning</t>
        </is>
      </c>
      <c r="D1438" s="1" t="n">
        <v>44606</v>
      </c>
      <c r="E1438" s="1" t="n">
        <v>46307</v>
      </c>
      <c r="F1438" t="inlineStr">
        <is>
          <t>VÄRMLANDS LÄN</t>
        </is>
      </c>
      <c r="G1438" t="inlineStr">
        <is>
          <t>FILIPSTAD</t>
        </is>
      </c>
      <c r="H1438" t="inlineStr">
        <is>
          <t>Bergvik skog väst AB</t>
        </is>
      </c>
      <c r="I1438" t="n">
        <v>4.8</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8945-2022</t>
        </is>
      </c>
      <c r="B1439" t="inlineStr">
        <is>
          <t>avverkningsanmälan</t>
        </is>
      </c>
      <c r="C1439" t="inlineStr">
        <is>
          <t>Föryngringsavverkning</t>
        </is>
      </c>
      <c r="D1439" s="1" t="n">
        <v>44614</v>
      </c>
      <c r="E1439" s="1" t="n">
        <v>46307</v>
      </c>
      <c r="F1439" t="inlineStr">
        <is>
          <t>VÄRMLANDS LÄN</t>
        </is>
      </c>
      <c r="G1439" t="inlineStr">
        <is>
          <t>EDA</t>
        </is>
      </c>
      <c r="I1439" t="n">
        <v>5</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71255-2021</t>
        </is>
      </c>
      <c r="B1440" t="inlineStr">
        <is>
          <t>avverkningsanmälan</t>
        </is>
      </c>
      <c r="C1440" t="inlineStr">
        <is>
          <t>Avverkning för annat ändamål</t>
        </is>
      </c>
      <c r="D1440" s="1" t="n">
        <v>44538</v>
      </c>
      <c r="E1440" s="1" t="n">
        <v>46307</v>
      </c>
      <c r="F1440" t="inlineStr">
        <is>
          <t>VÄRMLANDS LÄN</t>
        </is>
      </c>
      <c r="G1440" t="inlineStr">
        <is>
          <t>TORSBY</t>
        </is>
      </c>
      <c r="I1440" t="n">
        <v>3.1</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66553-2021</t>
        </is>
      </c>
      <c r="B1441" t="inlineStr">
        <is>
          <t>avverkningsanmälan</t>
        </is>
      </c>
      <c r="C1441" t="inlineStr">
        <is>
          <t>Föryngringsavverkning</t>
        </is>
      </c>
      <c r="D1441" s="1" t="n">
        <v>44519</v>
      </c>
      <c r="E1441" s="1" t="n">
        <v>46307</v>
      </c>
      <c r="F1441" t="inlineStr">
        <is>
          <t>VÄRMLANDS LÄN</t>
        </is>
      </c>
      <c r="G1441" t="inlineStr">
        <is>
          <t>ARVIKA</t>
        </is>
      </c>
      <c r="I1441" t="n">
        <v>3</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62135-2021</t>
        </is>
      </c>
      <c r="B1442" t="inlineStr">
        <is>
          <t>avverkningsanmälan</t>
        </is>
      </c>
      <c r="C1442" t="inlineStr">
        <is>
          <t>Föryngringsavverkning</t>
        </is>
      </c>
      <c r="D1442" s="1" t="n">
        <v>44502</v>
      </c>
      <c r="E1442" s="1" t="n">
        <v>46307</v>
      </c>
      <c r="F1442" t="inlineStr">
        <is>
          <t>VÄRMLANDS LÄN</t>
        </is>
      </c>
      <c r="G1442" t="inlineStr">
        <is>
          <t>KIL</t>
        </is>
      </c>
      <c r="I1442" t="n">
        <v>1.6</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35349-2022</t>
        </is>
      </c>
      <c r="B1443" t="inlineStr">
        <is>
          <t>avverkningsanmälan</t>
        </is>
      </c>
      <c r="C1443" t="inlineStr">
        <is>
          <t>Föryngringsavverkning</t>
        </is>
      </c>
      <c r="D1443" s="1" t="n">
        <v>44798</v>
      </c>
      <c r="E1443" s="1" t="n">
        <v>46307</v>
      </c>
      <c r="F1443" t="inlineStr">
        <is>
          <t>VÄRMLANDS LÄN</t>
        </is>
      </c>
      <c r="G1443" t="inlineStr">
        <is>
          <t>SUNNE</t>
        </is>
      </c>
      <c r="I1443" t="n">
        <v>6</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64526-2021</t>
        </is>
      </c>
      <c r="B1444" t="inlineStr">
        <is>
          <t>avverkningsanmälan</t>
        </is>
      </c>
      <c r="C1444" t="inlineStr">
        <is>
          <t>Föryngringsavverkning</t>
        </is>
      </c>
      <c r="D1444" s="1" t="n">
        <v>44511</v>
      </c>
      <c r="E1444" s="1" t="n">
        <v>46307</v>
      </c>
      <c r="F1444" t="inlineStr">
        <is>
          <t>VÄRMLANDS LÄN</t>
        </is>
      </c>
      <c r="G1444" t="inlineStr">
        <is>
          <t>FILIPSTAD</t>
        </is>
      </c>
      <c r="I1444" t="n">
        <v>4</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1301-2022</t>
        </is>
      </c>
      <c r="B1445" t="inlineStr">
        <is>
          <t>avverkningsanmälan</t>
        </is>
      </c>
      <c r="C1445" t="inlineStr">
        <is>
          <t>Föryngringsavverkning</t>
        </is>
      </c>
      <c r="D1445" s="1" t="n">
        <v>44572</v>
      </c>
      <c r="E1445" s="1" t="n">
        <v>46307</v>
      </c>
      <c r="F1445" t="inlineStr">
        <is>
          <t>VÄRMLANDS LÄN</t>
        </is>
      </c>
      <c r="G1445" t="inlineStr">
        <is>
          <t>SUNNE</t>
        </is>
      </c>
      <c r="I1445" t="n">
        <v>1</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20176-2022</t>
        </is>
      </c>
      <c r="B1446" t="inlineStr">
        <is>
          <t>avverkningsanmälan</t>
        </is>
      </c>
      <c r="C1446" t="inlineStr">
        <is>
          <t>Föryngringsavverkning</t>
        </is>
      </c>
      <c r="D1446" s="1" t="n">
        <v>44698</v>
      </c>
      <c r="E1446" s="1" t="n">
        <v>46307</v>
      </c>
      <c r="F1446" t="inlineStr">
        <is>
          <t>VÄRMLANDS LÄN</t>
        </is>
      </c>
      <c r="G1446" t="inlineStr">
        <is>
          <t>ARVIKA</t>
        </is>
      </c>
      <c r="I1446" t="n">
        <v>3.5</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10376-2022</t>
        </is>
      </c>
      <c r="B1447" t="inlineStr">
        <is>
          <t>avverkningsanmälan</t>
        </is>
      </c>
      <c r="C1447" t="inlineStr">
        <is>
          <t>Föryngringsavverkning</t>
        </is>
      </c>
      <c r="D1447" s="1" t="n">
        <v>44623</v>
      </c>
      <c r="E1447" s="1" t="n">
        <v>46307</v>
      </c>
      <c r="F1447" t="inlineStr">
        <is>
          <t>VÄRMLANDS LÄN</t>
        </is>
      </c>
      <c r="G1447" t="inlineStr">
        <is>
          <t>KARLSTAD</t>
        </is>
      </c>
      <c r="I1447" t="n">
        <v>0.4</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56835-2021</t>
        </is>
      </c>
      <c r="B1448" t="inlineStr">
        <is>
          <t>avverkningsanmälan</t>
        </is>
      </c>
      <c r="C1448" t="inlineStr">
        <is>
          <t>Föryngringsavverkning</t>
        </is>
      </c>
      <c r="D1448" s="1" t="n">
        <v>44481</v>
      </c>
      <c r="E1448" s="1" t="n">
        <v>46307</v>
      </c>
      <c r="F1448" t="inlineStr">
        <is>
          <t>VÄRMLANDS LÄN</t>
        </is>
      </c>
      <c r="G1448" t="inlineStr">
        <is>
          <t>HAMMARÖ</t>
        </is>
      </c>
      <c r="H1448" t="inlineStr">
        <is>
          <t>Kommuner</t>
        </is>
      </c>
      <c r="I1448" t="n">
        <v>18.8</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25616-2022</t>
        </is>
      </c>
      <c r="B1449" t="inlineStr">
        <is>
          <t>avverkningsanmälan</t>
        </is>
      </c>
      <c r="C1449" t="inlineStr">
        <is>
          <t>Föryngringsavverkning</t>
        </is>
      </c>
      <c r="D1449" s="1" t="n">
        <v>44732</v>
      </c>
      <c r="E1449" s="1" t="n">
        <v>46307</v>
      </c>
      <c r="F1449" t="inlineStr">
        <is>
          <t>VÄRMLANDS LÄN</t>
        </is>
      </c>
      <c r="G1449" t="inlineStr">
        <is>
          <t>SUNNE</t>
        </is>
      </c>
      <c r="I1449" t="n">
        <v>3.1</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31251-2022</t>
        </is>
      </c>
      <c r="B1450" t="inlineStr">
        <is>
          <t>avverkningsanmälan</t>
        </is>
      </c>
      <c r="C1450" t="inlineStr">
        <is>
          <t>Föryngringsavverkning</t>
        </is>
      </c>
      <c r="D1450" s="1" t="n">
        <v>44771</v>
      </c>
      <c r="E1450" s="1" t="n">
        <v>46307</v>
      </c>
      <c r="F1450" t="inlineStr">
        <is>
          <t>VÄRMLANDS LÄN</t>
        </is>
      </c>
      <c r="G1450" t="inlineStr">
        <is>
          <t>FORSHAGA</t>
        </is>
      </c>
      <c r="I1450" t="n">
        <v>0.6</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37334-2022</t>
        </is>
      </c>
      <c r="B1451" t="inlineStr">
        <is>
          <t>avverkningsanmälan</t>
        </is>
      </c>
      <c r="C1451" t="inlineStr">
        <is>
          <t>Föryngringsavverkning</t>
        </is>
      </c>
      <c r="D1451" s="1" t="n">
        <v>44809</v>
      </c>
      <c r="E1451" s="1" t="n">
        <v>46307</v>
      </c>
      <c r="F1451" t="inlineStr">
        <is>
          <t>VÄRMLANDS LÄN</t>
        </is>
      </c>
      <c r="G1451" t="inlineStr">
        <is>
          <t>SUNNE</t>
        </is>
      </c>
      <c r="I1451" t="n">
        <v>1.4</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38179-2022</t>
        </is>
      </c>
      <c r="B1452" t="inlineStr">
        <is>
          <t>avverkningsanmälan</t>
        </is>
      </c>
      <c r="C1452" t="inlineStr">
        <is>
          <t>Föryngringsavverkning</t>
        </is>
      </c>
      <c r="D1452" s="1" t="n">
        <v>44812</v>
      </c>
      <c r="E1452" s="1" t="n">
        <v>46307</v>
      </c>
      <c r="F1452" t="inlineStr">
        <is>
          <t>VÄRMLANDS LÄN</t>
        </is>
      </c>
      <c r="G1452" t="inlineStr">
        <is>
          <t>TORSBY</t>
        </is>
      </c>
      <c r="I1452" t="n">
        <v>0.7</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37917-2022</t>
        </is>
      </c>
      <c r="B1453" t="inlineStr">
        <is>
          <t>avverkningsanmälan</t>
        </is>
      </c>
      <c r="C1453" t="inlineStr">
        <is>
          <t>Föryngringsavverkning</t>
        </is>
      </c>
      <c r="D1453" s="1" t="n">
        <v>44811</v>
      </c>
      <c r="E1453" s="1" t="n">
        <v>46307</v>
      </c>
      <c r="F1453" t="inlineStr">
        <is>
          <t>VÄRMLANDS LÄN</t>
        </is>
      </c>
      <c r="G1453" t="inlineStr">
        <is>
          <t>TORSBY</t>
        </is>
      </c>
      <c r="I1453" t="n">
        <v>0.8</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9894-2022</t>
        </is>
      </c>
      <c r="B1454" t="inlineStr">
        <is>
          <t>avverkningsanmälan</t>
        </is>
      </c>
      <c r="C1454" t="inlineStr">
        <is>
          <t>Föryngringsavverkning</t>
        </is>
      </c>
      <c r="D1454" s="1" t="n">
        <v>44620</v>
      </c>
      <c r="E1454" s="1" t="n">
        <v>46307</v>
      </c>
      <c r="F1454" t="inlineStr">
        <is>
          <t>VÄRMLANDS LÄN</t>
        </is>
      </c>
      <c r="G1454" t="inlineStr">
        <is>
          <t>SUNNE</t>
        </is>
      </c>
      <c r="I1454" t="n">
        <v>0.7</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37773-2022</t>
        </is>
      </c>
      <c r="B1455" t="inlineStr">
        <is>
          <t>avverkningsanmälan</t>
        </is>
      </c>
      <c r="C1455" t="inlineStr">
        <is>
          <t>Föryngringsavverkning</t>
        </is>
      </c>
      <c r="D1455" s="1" t="n">
        <v>44810</v>
      </c>
      <c r="E1455" s="1" t="n">
        <v>46307</v>
      </c>
      <c r="F1455" t="inlineStr">
        <is>
          <t>VÄRMLANDS LÄN</t>
        </is>
      </c>
      <c r="G1455" t="inlineStr">
        <is>
          <t>HAGFORS</t>
        </is>
      </c>
      <c r="I1455" t="n">
        <v>10.3</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61520-2021</t>
        </is>
      </c>
      <c r="B1456" t="inlineStr">
        <is>
          <t>avverkningsanmälan</t>
        </is>
      </c>
      <c r="C1456" t="inlineStr">
        <is>
          <t>Föryngringsavverkning</t>
        </is>
      </c>
      <c r="D1456" s="1" t="n">
        <v>44501</v>
      </c>
      <c r="E1456" s="1" t="n">
        <v>46307</v>
      </c>
      <c r="F1456" t="inlineStr">
        <is>
          <t>VÄRMLANDS LÄN</t>
        </is>
      </c>
      <c r="G1456" t="inlineStr">
        <is>
          <t>ARVIKA</t>
        </is>
      </c>
      <c r="I1456" t="n">
        <v>1.1</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35973-2022</t>
        </is>
      </c>
      <c r="B1457" t="inlineStr">
        <is>
          <t>avverkningsanmälan</t>
        </is>
      </c>
      <c r="C1457" t="inlineStr">
        <is>
          <t>Föryngringsavverkning</t>
        </is>
      </c>
      <c r="D1457" s="1" t="n">
        <v>44802</v>
      </c>
      <c r="E1457" s="1" t="n">
        <v>46307</v>
      </c>
      <c r="F1457" t="inlineStr">
        <is>
          <t>VÄRMLANDS LÄN</t>
        </is>
      </c>
      <c r="G1457" t="inlineStr">
        <is>
          <t>SUNNE</t>
        </is>
      </c>
      <c r="I1457" t="n">
        <v>1.3</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25694-2022</t>
        </is>
      </c>
      <c r="B1458" t="inlineStr">
        <is>
          <t>avverkningsanmälan</t>
        </is>
      </c>
      <c r="C1458" t="inlineStr">
        <is>
          <t>Föryngringsavverkning</t>
        </is>
      </c>
      <c r="D1458" s="1" t="n">
        <v>44732</v>
      </c>
      <c r="E1458" s="1" t="n">
        <v>46307</v>
      </c>
      <c r="F1458" t="inlineStr">
        <is>
          <t>VÄRMLANDS LÄN</t>
        </is>
      </c>
      <c r="G1458" t="inlineStr">
        <is>
          <t>GRUMS</t>
        </is>
      </c>
      <c r="I1458" t="n">
        <v>2</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14145-2022</t>
        </is>
      </c>
      <c r="B1459" t="inlineStr">
        <is>
          <t>avverkningsanmälan</t>
        </is>
      </c>
      <c r="C1459" t="inlineStr">
        <is>
          <t>Föryngringsavverkning</t>
        </is>
      </c>
      <c r="D1459" s="1" t="n">
        <v>44651</v>
      </c>
      <c r="E1459" s="1" t="n">
        <v>46307</v>
      </c>
      <c r="F1459" t="inlineStr">
        <is>
          <t>VÄRMLANDS LÄN</t>
        </is>
      </c>
      <c r="G1459" t="inlineStr">
        <is>
          <t>TORSBY</t>
        </is>
      </c>
      <c r="I1459" t="n">
        <v>2</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5346-2022</t>
        </is>
      </c>
      <c r="B1460" t="inlineStr">
        <is>
          <t>avverkningsanmälan</t>
        </is>
      </c>
      <c r="C1460" t="inlineStr">
        <is>
          <t>Föryngringsavverkning</t>
        </is>
      </c>
      <c r="D1460" s="1" t="n">
        <v>44594</v>
      </c>
      <c r="E1460" s="1" t="n">
        <v>46307</v>
      </c>
      <c r="F1460" t="inlineStr">
        <is>
          <t>VÄRMLANDS LÄN</t>
        </is>
      </c>
      <c r="G1460" t="inlineStr">
        <is>
          <t>ÅRJÄNG</t>
        </is>
      </c>
      <c r="I1460" t="n">
        <v>0.4</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47180-2022</t>
        </is>
      </c>
      <c r="B1461" t="inlineStr">
        <is>
          <t>avverkningsanmälan</t>
        </is>
      </c>
      <c r="C1461" t="inlineStr">
        <is>
          <t>Föryngringsavverkning</t>
        </is>
      </c>
      <c r="D1461" s="1" t="n">
        <v>44852</v>
      </c>
      <c r="E1461" s="1" t="n">
        <v>46307</v>
      </c>
      <c r="F1461" t="inlineStr">
        <is>
          <t>VÄRMLANDS LÄN</t>
        </is>
      </c>
      <c r="G1461" t="inlineStr">
        <is>
          <t>EDA</t>
        </is>
      </c>
      <c r="I1461" t="n">
        <v>1.3</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47466-2022</t>
        </is>
      </c>
      <c r="B1462" t="inlineStr">
        <is>
          <t>avverkningsanmälan</t>
        </is>
      </c>
      <c r="C1462" t="inlineStr">
        <is>
          <t>Föryngringsavverkning</t>
        </is>
      </c>
      <c r="D1462" s="1" t="n">
        <v>44852</v>
      </c>
      <c r="E1462" s="1" t="n">
        <v>46307</v>
      </c>
      <c r="F1462" t="inlineStr">
        <is>
          <t>VÄRMLANDS LÄN</t>
        </is>
      </c>
      <c r="G1462" t="inlineStr">
        <is>
          <t>TORSBY</t>
        </is>
      </c>
      <c r="I1462" t="n">
        <v>3</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22356-2022</t>
        </is>
      </c>
      <c r="B1463" t="inlineStr">
        <is>
          <t>avverkningsanmälan</t>
        </is>
      </c>
      <c r="C1463" t="inlineStr">
        <is>
          <t>Avverkning för annat ändamål</t>
        </is>
      </c>
      <c r="D1463" s="1" t="n">
        <v>44713</v>
      </c>
      <c r="E1463" s="1" t="n">
        <v>46307</v>
      </c>
      <c r="F1463" t="inlineStr">
        <is>
          <t>VÄRMLANDS LÄN</t>
        </is>
      </c>
      <c r="G1463" t="inlineStr">
        <is>
          <t>FILIPSTAD</t>
        </is>
      </c>
      <c r="H1463" t="inlineStr">
        <is>
          <t>Bergvik skog väst AB</t>
        </is>
      </c>
      <c r="I1463" t="n">
        <v>0.6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34219-2022</t>
        </is>
      </c>
      <c r="B1464" t="inlineStr">
        <is>
          <t>avverkningsanmälan</t>
        </is>
      </c>
      <c r="C1464" t="inlineStr">
        <is>
          <t>Föryngringsavverkning</t>
        </is>
      </c>
      <c r="D1464" s="1" t="n">
        <v>44791</v>
      </c>
      <c r="E1464" s="1" t="n">
        <v>46307</v>
      </c>
      <c r="F1464" t="inlineStr">
        <is>
          <t>VÄRMLANDS LÄN</t>
        </is>
      </c>
      <c r="G1464" t="inlineStr">
        <is>
          <t>HAGFORS</t>
        </is>
      </c>
      <c r="I1464" t="n">
        <v>3.7</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73568-2021</t>
        </is>
      </c>
      <c r="B1465" t="inlineStr">
        <is>
          <t>avverkningsanmälan</t>
        </is>
      </c>
      <c r="C1465" t="inlineStr">
        <is>
          <t>Föryngringsavverkning</t>
        </is>
      </c>
      <c r="D1465" s="1" t="n">
        <v>44551</v>
      </c>
      <c r="E1465" s="1" t="n">
        <v>46307</v>
      </c>
      <c r="F1465" t="inlineStr">
        <is>
          <t>VÄRMLANDS LÄN</t>
        </is>
      </c>
      <c r="G1465" t="inlineStr">
        <is>
          <t>KRISTINEHAMN</t>
        </is>
      </c>
      <c r="I1465" t="n">
        <v>13.9</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42160-2022</t>
        </is>
      </c>
      <c r="B1466" t="inlineStr">
        <is>
          <t>avverkningsanmälan</t>
        </is>
      </c>
      <c r="C1466" t="inlineStr">
        <is>
          <t>Föryngringsavverkning</t>
        </is>
      </c>
      <c r="D1466" s="1" t="n">
        <v>44830</v>
      </c>
      <c r="E1466" s="1" t="n">
        <v>46307</v>
      </c>
      <c r="F1466" t="inlineStr">
        <is>
          <t>VÄRMLANDS LÄN</t>
        </is>
      </c>
      <c r="G1466" t="inlineStr">
        <is>
          <t>ARVIKA</t>
        </is>
      </c>
      <c r="I1466" t="n">
        <v>0.4</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70713-2021</t>
        </is>
      </c>
      <c r="B1467" t="inlineStr">
        <is>
          <t>avverkningsanmälan</t>
        </is>
      </c>
      <c r="C1467" t="inlineStr">
        <is>
          <t>Föryngringsavverkning</t>
        </is>
      </c>
      <c r="D1467" s="1" t="n">
        <v>44537</v>
      </c>
      <c r="E1467" s="1" t="n">
        <v>46307</v>
      </c>
      <c r="F1467" t="inlineStr">
        <is>
          <t>VÄRMLANDS LÄN</t>
        </is>
      </c>
      <c r="G1467" t="inlineStr">
        <is>
          <t>HAGFORS</t>
        </is>
      </c>
      <c r="H1467" t="inlineStr">
        <is>
          <t>Kommuner</t>
        </is>
      </c>
      <c r="I1467" t="n">
        <v>2.3</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17514-2022</t>
        </is>
      </c>
      <c r="B1468" t="inlineStr">
        <is>
          <t>avverkningsanmälan</t>
        </is>
      </c>
      <c r="C1468" t="inlineStr">
        <is>
          <t>Föryngringsavverkning</t>
        </is>
      </c>
      <c r="D1468" s="1" t="n">
        <v>44679</v>
      </c>
      <c r="E1468" s="1" t="n">
        <v>46307</v>
      </c>
      <c r="F1468" t="inlineStr">
        <is>
          <t>VÄRMLANDS LÄN</t>
        </is>
      </c>
      <c r="G1468" t="inlineStr">
        <is>
          <t>SUNNE</t>
        </is>
      </c>
      <c r="I1468" t="n">
        <v>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2089-2022</t>
        </is>
      </c>
      <c r="B1469" t="inlineStr">
        <is>
          <t>avverkningsanmälan</t>
        </is>
      </c>
      <c r="C1469" t="inlineStr">
        <is>
          <t>Föryngringsavverkning</t>
        </is>
      </c>
      <c r="D1469" s="1" t="n">
        <v>44577</v>
      </c>
      <c r="E1469" s="1" t="n">
        <v>46307</v>
      </c>
      <c r="F1469" t="inlineStr">
        <is>
          <t>VÄRMLANDS LÄN</t>
        </is>
      </c>
      <c r="G1469" t="inlineStr">
        <is>
          <t>GRUMS</t>
        </is>
      </c>
      <c r="I1469" t="n">
        <v>1.4</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35577-2022</t>
        </is>
      </c>
      <c r="B1470" t="inlineStr">
        <is>
          <t>avverkningsanmälan</t>
        </is>
      </c>
      <c r="C1470" t="inlineStr">
        <is>
          <t>Föryngringsavverkning</t>
        </is>
      </c>
      <c r="D1470" s="1" t="n">
        <v>44799</v>
      </c>
      <c r="E1470" s="1" t="n">
        <v>46307</v>
      </c>
      <c r="F1470" t="inlineStr">
        <is>
          <t>VÄRMLANDS LÄN</t>
        </is>
      </c>
      <c r="G1470" t="inlineStr">
        <is>
          <t>EDA</t>
        </is>
      </c>
      <c r="I1470" t="n">
        <v>6.4</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35622-2022</t>
        </is>
      </c>
      <c r="B1471" t="inlineStr">
        <is>
          <t>avverkningsanmälan</t>
        </is>
      </c>
      <c r="C1471" t="inlineStr">
        <is>
          <t>Föryngringsavverkning</t>
        </is>
      </c>
      <c r="D1471" s="1" t="n">
        <v>44799</v>
      </c>
      <c r="E1471" s="1" t="n">
        <v>46307</v>
      </c>
      <c r="F1471" t="inlineStr">
        <is>
          <t>VÄRMLANDS LÄN</t>
        </is>
      </c>
      <c r="G1471" t="inlineStr">
        <is>
          <t>HAGFORS</t>
        </is>
      </c>
      <c r="I1471" t="n">
        <v>2.5</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2143-2022</t>
        </is>
      </c>
      <c r="B1472" t="inlineStr">
        <is>
          <t>avverkningsanmälan</t>
        </is>
      </c>
      <c r="C1472" t="inlineStr">
        <is>
          <t>Föryngringsavverkning</t>
        </is>
      </c>
      <c r="D1472" s="1" t="n">
        <v>44571</v>
      </c>
      <c r="E1472" s="1" t="n">
        <v>46307</v>
      </c>
      <c r="F1472" t="inlineStr">
        <is>
          <t>VÄRMLANDS LÄN</t>
        </is>
      </c>
      <c r="G1472" t="inlineStr">
        <is>
          <t>ÅRJÄNG</t>
        </is>
      </c>
      <c r="I1472" t="n">
        <v>2.5</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29720-2022</t>
        </is>
      </c>
      <c r="B1473" t="inlineStr">
        <is>
          <t>avverkningsanmälan</t>
        </is>
      </c>
      <c r="C1473" t="inlineStr">
        <is>
          <t>Föryngringsavverkning</t>
        </is>
      </c>
      <c r="D1473" s="1" t="n">
        <v>44755</v>
      </c>
      <c r="E1473" s="1" t="n">
        <v>46307</v>
      </c>
      <c r="F1473" t="inlineStr">
        <is>
          <t>VÄRMLANDS LÄN</t>
        </is>
      </c>
      <c r="G1473" t="inlineStr">
        <is>
          <t>TORSBY</t>
        </is>
      </c>
      <c r="I1473" t="n">
        <v>1.1</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64202-2021</t>
        </is>
      </c>
      <c r="B1474" t="inlineStr">
        <is>
          <t>avverkningsanmälan</t>
        </is>
      </c>
      <c r="C1474" t="inlineStr">
        <is>
          <t>Föryngringsavverkning</t>
        </is>
      </c>
      <c r="D1474" s="1" t="n">
        <v>44510</v>
      </c>
      <c r="E1474" s="1" t="n">
        <v>46307</v>
      </c>
      <c r="F1474" t="inlineStr">
        <is>
          <t>VÄRMLANDS LÄN</t>
        </is>
      </c>
      <c r="G1474" t="inlineStr">
        <is>
          <t>EDA</t>
        </is>
      </c>
      <c r="I1474" t="n">
        <v>0.6</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20436-2022</t>
        </is>
      </c>
      <c r="B1475" t="inlineStr">
        <is>
          <t>avverkningsanmälan</t>
        </is>
      </c>
      <c r="C1475" t="inlineStr">
        <is>
          <t>Föryngringsavverkning</t>
        </is>
      </c>
      <c r="D1475" s="1" t="n">
        <v>44699</v>
      </c>
      <c r="E1475" s="1" t="n">
        <v>46307</v>
      </c>
      <c r="F1475" t="inlineStr">
        <is>
          <t>VÄRMLANDS LÄN</t>
        </is>
      </c>
      <c r="G1475" t="inlineStr">
        <is>
          <t>HAGFORS</t>
        </is>
      </c>
      <c r="I1475" t="n">
        <v>0.7</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29098-2022</t>
        </is>
      </c>
      <c r="B1476" t="inlineStr">
        <is>
          <t>avverkningsanmälan</t>
        </is>
      </c>
      <c r="C1476" t="inlineStr">
        <is>
          <t>Avverkning för annat ändamål</t>
        </is>
      </c>
      <c r="D1476" s="1" t="n">
        <v>44750</v>
      </c>
      <c r="E1476" s="1" t="n">
        <v>46307</v>
      </c>
      <c r="F1476" t="inlineStr">
        <is>
          <t>VÄRMLANDS LÄN</t>
        </is>
      </c>
      <c r="G1476" t="inlineStr">
        <is>
          <t>ÅRJÄNG</t>
        </is>
      </c>
      <c r="I1476" t="n">
        <v>1.1</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29174-2022</t>
        </is>
      </c>
      <c r="B1477" t="inlineStr">
        <is>
          <t>avverkningsanmälan</t>
        </is>
      </c>
      <c r="C1477" t="inlineStr">
        <is>
          <t>Avverkning för annat ändamål</t>
        </is>
      </c>
      <c r="D1477" s="1" t="n">
        <v>44750</v>
      </c>
      <c r="E1477" s="1" t="n">
        <v>46307</v>
      </c>
      <c r="F1477" t="inlineStr">
        <is>
          <t>VÄRMLANDS LÄN</t>
        </is>
      </c>
      <c r="G1477" t="inlineStr">
        <is>
          <t>ÅRJÄNG</t>
        </is>
      </c>
      <c r="I1477" t="n">
        <v>0.1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17135-2022</t>
        </is>
      </c>
      <c r="B1478" t="inlineStr">
        <is>
          <t>avverkningsanmälan</t>
        </is>
      </c>
      <c r="C1478" t="inlineStr">
        <is>
          <t>Föryngringsavverkning</t>
        </is>
      </c>
      <c r="D1478" s="1" t="n">
        <v>44677</v>
      </c>
      <c r="E1478" s="1" t="n">
        <v>46307</v>
      </c>
      <c r="F1478" t="inlineStr">
        <is>
          <t>VÄRMLANDS LÄN</t>
        </is>
      </c>
      <c r="G1478" t="inlineStr">
        <is>
          <t>ÅRJÄNG</t>
        </is>
      </c>
      <c r="I1478" t="n">
        <v>9</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54133-2022</t>
        </is>
      </c>
      <c r="B1479" t="inlineStr">
        <is>
          <t>avverkningsanmälan</t>
        </is>
      </c>
      <c r="C1479" t="inlineStr">
        <is>
          <t>Avverkning för annat ändamål</t>
        </is>
      </c>
      <c r="D1479" s="1" t="n">
        <v>44881</v>
      </c>
      <c r="E1479" s="1" t="n">
        <v>46307</v>
      </c>
      <c r="F1479" t="inlineStr">
        <is>
          <t>VÄRMLANDS LÄN</t>
        </is>
      </c>
      <c r="G1479" t="inlineStr">
        <is>
          <t>EDA</t>
        </is>
      </c>
      <c r="I1479" t="n">
        <v>0.2</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54137-2022</t>
        </is>
      </c>
      <c r="B1480" t="inlineStr">
        <is>
          <t>avverkningsanmälan</t>
        </is>
      </c>
      <c r="C1480" t="inlineStr">
        <is>
          <t>Avverkning för annat ändamål</t>
        </is>
      </c>
      <c r="D1480" s="1" t="n">
        <v>44881</v>
      </c>
      <c r="E1480" s="1" t="n">
        <v>46307</v>
      </c>
      <c r="F1480" t="inlineStr">
        <is>
          <t>VÄRMLANDS LÄN</t>
        </is>
      </c>
      <c r="G1480" t="inlineStr">
        <is>
          <t>EDA</t>
        </is>
      </c>
      <c r="I1480" t="n">
        <v>0.1</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56928-2021</t>
        </is>
      </c>
      <c r="B1481" t="inlineStr">
        <is>
          <t>avverkningsanmälan</t>
        </is>
      </c>
      <c r="C1481" t="inlineStr">
        <is>
          <t>Föryngringsavverkning</t>
        </is>
      </c>
      <c r="D1481" s="1" t="n">
        <v>44482</v>
      </c>
      <c r="E1481" s="1" t="n">
        <v>46307</v>
      </c>
      <c r="F1481" t="inlineStr">
        <is>
          <t>VÄRMLANDS LÄN</t>
        </is>
      </c>
      <c r="G1481" t="inlineStr">
        <is>
          <t>KARLSTAD</t>
        </is>
      </c>
      <c r="I1481" t="n">
        <v>1.4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56993-2021</t>
        </is>
      </c>
      <c r="B1482" t="inlineStr">
        <is>
          <t>avverkningsanmälan</t>
        </is>
      </c>
      <c r="C1482" t="inlineStr">
        <is>
          <t>Föryngringsavverkning</t>
        </is>
      </c>
      <c r="D1482" s="1" t="n">
        <v>44482</v>
      </c>
      <c r="E1482" s="1" t="n">
        <v>46307</v>
      </c>
      <c r="F1482" t="inlineStr">
        <is>
          <t>VÄRMLANDS LÄN</t>
        </is>
      </c>
      <c r="G1482" t="inlineStr">
        <is>
          <t>ÅRJÄNG</t>
        </is>
      </c>
      <c r="I1482" t="n">
        <v>3.8</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57090-2021</t>
        </is>
      </c>
      <c r="B1483" t="inlineStr">
        <is>
          <t>avverkningsanmälan</t>
        </is>
      </c>
      <c r="C1483" t="inlineStr">
        <is>
          <t>Föryngringsavverkning</t>
        </is>
      </c>
      <c r="D1483" s="1" t="n">
        <v>44482</v>
      </c>
      <c r="E1483" s="1" t="n">
        <v>46307</v>
      </c>
      <c r="F1483" t="inlineStr">
        <is>
          <t>VÄRMLANDS LÄN</t>
        </is>
      </c>
      <c r="G1483" t="inlineStr">
        <is>
          <t>FILIPSTAD</t>
        </is>
      </c>
      <c r="I1483" t="n">
        <v>1.9</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13146-2022</t>
        </is>
      </c>
      <c r="B1484" t="inlineStr">
        <is>
          <t>avverkningsanmälan</t>
        </is>
      </c>
      <c r="C1484" t="inlineStr">
        <is>
          <t>Föryngringsavverkning</t>
        </is>
      </c>
      <c r="D1484" s="1" t="n">
        <v>44644</v>
      </c>
      <c r="E1484" s="1" t="n">
        <v>46307</v>
      </c>
      <c r="F1484" t="inlineStr">
        <is>
          <t>VÄRMLANDS LÄN</t>
        </is>
      </c>
      <c r="G1484" t="inlineStr">
        <is>
          <t>SÄFFLE</t>
        </is>
      </c>
      <c r="I1484" t="n">
        <v>2.4</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50803-2022</t>
        </is>
      </c>
      <c r="B1485" t="inlineStr">
        <is>
          <t>avverkningsanmälan</t>
        </is>
      </c>
      <c r="C1485" t="inlineStr">
        <is>
          <t>Föryngringsavverkning</t>
        </is>
      </c>
      <c r="D1485" s="1" t="n">
        <v>44867</v>
      </c>
      <c r="E1485" s="1" t="n">
        <v>46307</v>
      </c>
      <c r="F1485" t="inlineStr">
        <is>
          <t>VÄRMLANDS LÄN</t>
        </is>
      </c>
      <c r="G1485" t="inlineStr">
        <is>
          <t>KARLSTAD</t>
        </is>
      </c>
      <c r="I1485" t="n">
        <v>2.8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32145-2022</t>
        </is>
      </c>
      <c r="B1486" t="inlineStr">
        <is>
          <t>avverkningsanmälan</t>
        </is>
      </c>
      <c r="C1486" t="inlineStr">
        <is>
          <t>Föryngringsavverkning</t>
        </is>
      </c>
      <c r="D1486" s="1" t="n">
        <v>44780</v>
      </c>
      <c r="E1486" s="1" t="n">
        <v>46307</v>
      </c>
      <c r="F1486" t="inlineStr">
        <is>
          <t>VÄRMLANDS LÄN</t>
        </is>
      </c>
      <c r="G1486" t="inlineStr">
        <is>
          <t>SÄFFLE</t>
        </is>
      </c>
      <c r="I1486" t="n">
        <v>0.4</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32147-2022</t>
        </is>
      </c>
      <c r="B1487" t="inlineStr">
        <is>
          <t>avverkningsanmälan</t>
        </is>
      </c>
      <c r="C1487" t="inlineStr">
        <is>
          <t>Föryngringsavverkning</t>
        </is>
      </c>
      <c r="D1487" s="1" t="n">
        <v>44780</v>
      </c>
      <c r="E1487" s="1" t="n">
        <v>46307</v>
      </c>
      <c r="F1487" t="inlineStr">
        <is>
          <t>VÄRMLANDS LÄN</t>
        </is>
      </c>
      <c r="G1487" t="inlineStr">
        <is>
          <t>SÄFFLE</t>
        </is>
      </c>
      <c r="I1487" t="n">
        <v>2.3</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13152-2022</t>
        </is>
      </c>
      <c r="B1488" t="inlineStr">
        <is>
          <t>avverkningsanmälan</t>
        </is>
      </c>
      <c r="C1488" t="inlineStr">
        <is>
          <t>Föryngringsavverkning</t>
        </is>
      </c>
      <c r="D1488" s="1" t="n">
        <v>44643</v>
      </c>
      <c r="E1488" s="1" t="n">
        <v>46307</v>
      </c>
      <c r="F1488" t="inlineStr">
        <is>
          <t>VÄRMLANDS LÄN</t>
        </is>
      </c>
      <c r="G1488" t="inlineStr">
        <is>
          <t>ÅRJÄNG</t>
        </is>
      </c>
      <c r="I1488" t="n">
        <v>4</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66103-2021</t>
        </is>
      </c>
      <c r="B1489" t="inlineStr">
        <is>
          <t>avverkningsanmälan</t>
        </is>
      </c>
      <c r="C1489" t="inlineStr">
        <is>
          <t>Föryngringsavverkning</t>
        </is>
      </c>
      <c r="D1489" s="1" t="n">
        <v>44517</v>
      </c>
      <c r="E1489" s="1" t="n">
        <v>46307</v>
      </c>
      <c r="F1489" t="inlineStr">
        <is>
          <t>VÄRMLANDS LÄN</t>
        </is>
      </c>
      <c r="G1489" t="inlineStr">
        <is>
          <t>TORSBY</t>
        </is>
      </c>
      <c r="I1489" t="n">
        <v>1.6</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32680-2022</t>
        </is>
      </c>
      <c r="B1490" t="inlineStr">
        <is>
          <t>avverkningsanmälan</t>
        </is>
      </c>
      <c r="C1490" t="inlineStr">
        <is>
          <t>Föryngringsavverkning</t>
        </is>
      </c>
      <c r="D1490" s="1" t="n">
        <v>44783</v>
      </c>
      <c r="E1490" s="1" t="n">
        <v>46307</v>
      </c>
      <c r="F1490" t="inlineStr">
        <is>
          <t>VÄRMLANDS LÄN</t>
        </is>
      </c>
      <c r="G1490" t="inlineStr">
        <is>
          <t>FILIPSTAD</t>
        </is>
      </c>
      <c r="H1490" t="inlineStr">
        <is>
          <t>Bergvik skog väst AB</t>
        </is>
      </c>
      <c r="I1490" t="n">
        <v>30.5</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70962-2021</t>
        </is>
      </c>
      <c r="B1491" t="inlineStr">
        <is>
          <t>avverkningsanmälan</t>
        </is>
      </c>
      <c r="C1491" t="inlineStr">
        <is>
          <t>Föryngringsavverkning</t>
        </is>
      </c>
      <c r="D1491" s="1" t="n">
        <v>44538</v>
      </c>
      <c r="E1491" s="1" t="n">
        <v>46307</v>
      </c>
      <c r="F1491" t="inlineStr">
        <is>
          <t>VÄRMLANDS LÄN</t>
        </is>
      </c>
      <c r="G1491" t="inlineStr">
        <is>
          <t>SÄFFLE</t>
        </is>
      </c>
      <c r="I1491" t="n">
        <v>4.1</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73022-2021</t>
        </is>
      </c>
      <c r="B1492" t="inlineStr">
        <is>
          <t>avverkningsanmälan</t>
        </is>
      </c>
      <c r="C1492" t="inlineStr">
        <is>
          <t>Föryngringsavverkning</t>
        </is>
      </c>
      <c r="D1492" s="1" t="n">
        <v>44550</v>
      </c>
      <c r="E1492" s="1" t="n">
        <v>46307</v>
      </c>
      <c r="F1492" t="inlineStr">
        <is>
          <t>VÄRMLANDS LÄN</t>
        </is>
      </c>
      <c r="G1492" t="inlineStr">
        <is>
          <t>KIL</t>
        </is>
      </c>
      <c r="I1492" t="n">
        <v>0.9</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45928-2022</t>
        </is>
      </c>
      <c r="B1493" t="inlineStr">
        <is>
          <t>avverkningsanmälan</t>
        </is>
      </c>
      <c r="C1493" t="inlineStr">
        <is>
          <t>Föryngringsavverkning</t>
        </is>
      </c>
      <c r="D1493" s="1" t="n">
        <v>44846</v>
      </c>
      <c r="E1493" s="1" t="n">
        <v>46307</v>
      </c>
      <c r="F1493" t="inlineStr">
        <is>
          <t>VÄRMLANDS LÄN</t>
        </is>
      </c>
      <c r="G1493" t="inlineStr">
        <is>
          <t>SUNNE</t>
        </is>
      </c>
      <c r="I1493" t="n">
        <v>0.5</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33033-2022</t>
        </is>
      </c>
      <c r="B1494" t="inlineStr">
        <is>
          <t>avverkningsanmälan</t>
        </is>
      </c>
      <c r="C1494" t="inlineStr">
        <is>
          <t>Föryngringsavverkning</t>
        </is>
      </c>
      <c r="D1494" s="1" t="n">
        <v>44785</v>
      </c>
      <c r="E1494" s="1" t="n">
        <v>46307</v>
      </c>
      <c r="F1494" t="inlineStr">
        <is>
          <t>VÄRMLANDS LÄN</t>
        </is>
      </c>
      <c r="G1494" t="inlineStr">
        <is>
          <t>FORSHAGA</t>
        </is>
      </c>
      <c r="H1494" t="inlineStr">
        <is>
          <t>Bergvik skog väst AB</t>
        </is>
      </c>
      <c r="I1494" t="n">
        <v>0.4</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31611-2022</t>
        </is>
      </c>
      <c r="B1495" t="inlineStr">
        <is>
          <t>avverkningsanmälan</t>
        </is>
      </c>
      <c r="C1495" t="inlineStr">
        <is>
          <t>Föryngringsavverkning</t>
        </is>
      </c>
      <c r="D1495" s="1" t="n">
        <v>44775</v>
      </c>
      <c r="E1495" s="1" t="n">
        <v>46307</v>
      </c>
      <c r="F1495" t="inlineStr">
        <is>
          <t>VÄRMLANDS LÄN</t>
        </is>
      </c>
      <c r="G1495" t="inlineStr">
        <is>
          <t>SUNNE</t>
        </is>
      </c>
      <c r="I1495" t="n">
        <v>0.9</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8408-2022</t>
        </is>
      </c>
      <c r="B1496" t="inlineStr">
        <is>
          <t>avverkningsanmälan</t>
        </is>
      </c>
      <c r="C1496" t="inlineStr">
        <is>
          <t>Föryngringsavverkning</t>
        </is>
      </c>
      <c r="D1496" s="1" t="n">
        <v>44610</v>
      </c>
      <c r="E1496" s="1" t="n">
        <v>46307</v>
      </c>
      <c r="F1496" t="inlineStr">
        <is>
          <t>VÄRMLANDS LÄN</t>
        </is>
      </c>
      <c r="G1496" t="inlineStr">
        <is>
          <t>ÅRJÄNG</t>
        </is>
      </c>
      <c r="I1496" t="n">
        <v>3.9</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7144-2022</t>
        </is>
      </c>
      <c r="B1497" t="inlineStr">
        <is>
          <t>avverkningsanmälan</t>
        </is>
      </c>
      <c r="C1497" t="inlineStr">
        <is>
          <t>Föryngringsavverkning</t>
        </is>
      </c>
      <c r="D1497" s="1" t="n">
        <v>44603</v>
      </c>
      <c r="E1497" s="1" t="n">
        <v>46307</v>
      </c>
      <c r="F1497" t="inlineStr">
        <is>
          <t>VÄRMLANDS LÄN</t>
        </is>
      </c>
      <c r="G1497" t="inlineStr">
        <is>
          <t>ARVIKA</t>
        </is>
      </c>
      <c r="I1497" t="n">
        <v>0.9</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39059-2022</t>
        </is>
      </c>
      <c r="B1498" t="inlineStr">
        <is>
          <t>avverkningsanmälan</t>
        </is>
      </c>
      <c r="C1498" t="inlineStr">
        <is>
          <t>Föryngringsavverkning</t>
        </is>
      </c>
      <c r="D1498" s="1" t="n">
        <v>44817</v>
      </c>
      <c r="E1498" s="1" t="n">
        <v>46307</v>
      </c>
      <c r="F1498" t="inlineStr">
        <is>
          <t>VÄRMLANDS LÄN</t>
        </is>
      </c>
      <c r="G1498" t="inlineStr">
        <is>
          <t>HAGFORS</t>
        </is>
      </c>
      <c r="H1498" t="inlineStr">
        <is>
          <t>Bergvik skog väst AB</t>
        </is>
      </c>
      <c r="I1498" t="n">
        <v>6.7</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37794-2022</t>
        </is>
      </c>
      <c r="B1499" t="inlineStr">
        <is>
          <t>avverkningsanmälan</t>
        </is>
      </c>
      <c r="C1499" t="inlineStr">
        <is>
          <t>Föryngringsavverkning</t>
        </is>
      </c>
      <c r="D1499" s="1" t="n">
        <v>44810</v>
      </c>
      <c r="E1499" s="1" t="n">
        <v>46307</v>
      </c>
      <c r="F1499" t="inlineStr">
        <is>
          <t>VÄRMLANDS LÄN</t>
        </is>
      </c>
      <c r="G1499" t="inlineStr">
        <is>
          <t>KRISTINEHAMN</t>
        </is>
      </c>
      <c r="I1499" t="n">
        <v>0.6</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29654-2022</t>
        </is>
      </c>
      <c r="B1500" t="inlineStr">
        <is>
          <t>avverkningsanmälan</t>
        </is>
      </c>
      <c r="C1500" t="inlineStr">
        <is>
          <t>Föryngringsavverkning</t>
        </is>
      </c>
      <c r="D1500" s="1" t="n">
        <v>44754</v>
      </c>
      <c r="E1500" s="1" t="n">
        <v>46307</v>
      </c>
      <c r="F1500" t="inlineStr">
        <is>
          <t>VÄRMLANDS LÄN</t>
        </is>
      </c>
      <c r="G1500" t="inlineStr">
        <is>
          <t>KARLSTAD</t>
        </is>
      </c>
      <c r="H1500" t="inlineStr">
        <is>
          <t>Kommuner</t>
        </is>
      </c>
      <c r="I1500" t="n">
        <v>1.7</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22205-2022</t>
        </is>
      </c>
      <c r="B1501" t="inlineStr">
        <is>
          <t>avverkningsanmälan</t>
        </is>
      </c>
      <c r="C1501" t="inlineStr">
        <is>
          <t>Föryngringsavverkning</t>
        </is>
      </c>
      <c r="D1501" s="1" t="n">
        <v>44712</v>
      </c>
      <c r="E1501" s="1" t="n">
        <v>46307</v>
      </c>
      <c r="F1501" t="inlineStr">
        <is>
          <t>VÄRMLANDS LÄN</t>
        </is>
      </c>
      <c r="G1501" t="inlineStr">
        <is>
          <t>KARLSTAD</t>
        </is>
      </c>
      <c r="I1501" t="n">
        <v>3.5</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48210-2022</t>
        </is>
      </c>
      <c r="B1502" t="inlineStr">
        <is>
          <t>avverkningsanmälan</t>
        </is>
      </c>
      <c r="C1502" t="inlineStr">
        <is>
          <t>Föryngringsavverkning</t>
        </is>
      </c>
      <c r="D1502" s="1" t="n">
        <v>44858</v>
      </c>
      <c r="E1502" s="1" t="n">
        <v>46307</v>
      </c>
      <c r="F1502" t="inlineStr">
        <is>
          <t>VÄRMLANDS LÄN</t>
        </is>
      </c>
      <c r="G1502" t="inlineStr">
        <is>
          <t>HAGFORS</t>
        </is>
      </c>
      <c r="I1502" t="n">
        <v>0.5</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4096-2022</t>
        </is>
      </c>
      <c r="B1503" t="inlineStr">
        <is>
          <t>avverkningsanmälan</t>
        </is>
      </c>
      <c r="C1503" t="inlineStr">
        <is>
          <t>Föryngringsavverkning</t>
        </is>
      </c>
      <c r="D1503" s="1" t="n">
        <v>44588</v>
      </c>
      <c r="E1503" s="1" t="n">
        <v>46307</v>
      </c>
      <c r="F1503" t="inlineStr">
        <is>
          <t>VÄRMLANDS LÄN</t>
        </is>
      </c>
      <c r="G1503" t="inlineStr">
        <is>
          <t>EDA</t>
        </is>
      </c>
      <c r="I1503" t="n">
        <v>4.4</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70123-2021</t>
        </is>
      </c>
      <c r="B1504" t="inlineStr">
        <is>
          <t>avverkningsanmälan</t>
        </is>
      </c>
      <c r="C1504" t="inlineStr">
        <is>
          <t>Föryngringsavverkning</t>
        </is>
      </c>
      <c r="D1504" s="1" t="n">
        <v>44533</v>
      </c>
      <c r="E1504" s="1" t="n">
        <v>46307</v>
      </c>
      <c r="F1504" t="inlineStr">
        <is>
          <t>VÄRMLANDS LÄN</t>
        </is>
      </c>
      <c r="G1504" t="inlineStr">
        <is>
          <t>KARLSTAD</t>
        </is>
      </c>
      <c r="I1504" t="n">
        <v>1.7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70144-2021</t>
        </is>
      </c>
      <c r="B1505" t="inlineStr">
        <is>
          <t>avverkningsanmälan</t>
        </is>
      </c>
      <c r="C1505" t="inlineStr">
        <is>
          <t>Föryngringsavverkning</t>
        </is>
      </c>
      <c r="D1505" s="1" t="n">
        <v>44533</v>
      </c>
      <c r="E1505" s="1" t="n">
        <v>46307</v>
      </c>
      <c r="F1505" t="inlineStr">
        <is>
          <t>VÄRMLANDS LÄN</t>
        </is>
      </c>
      <c r="G1505" t="inlineStr">
        <is>
          <t>KARLSTAD</t>
        </is>
      </c>
      <c r="I1505" t="n">
        <v>0.7</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55792-2022</t>
        </is>
      </c>
      <c r="B1506" t="inlineStr">
        <is>
          <t>avverkningsanmälan</t>
        </is>
      </c>
      <c r="C1506" t="inlineStr">
        <is>
          <t>Föryngringsavverkning</t>
        </is>
      </c>
      <c r="D1506" s="1" t="n">
        <v>44888</v>
      </c>
      <c r="E1506" s="1" t="n">
        <v>46307</v>
      </c>
      <c r="F1506" t="inlineStr">
        <is>
          <t>VÄRMLANDS LÄN</t>
        </is>
      </c>
      <c r="G1506" t="inlineStr">
        <is>
          <t>ARVIKA</t>
        </is>
      </c>
      <c r="I1506" t="n">
        <v>4.8</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65630-2021</t>
        </is>
      </c>
      <c r="B1507" t="inlineStr">
        <is>
          <t>avverkningsanmälan</t>
        </is>
      </c>
      <c r="C1507" t="inlineStr">
        <is>
          <t>Föryngringsavverkning</t>
        </is>
      </c>
      <c r="D1507" s="1" t="n">
        <v>44516</v>
      </c>
      <c r="E1507" s="1" t="n">
        <v>46307</v>
      </c>
      <c r="F1507" t="inlineStr">
        <is>
          <t>VÄRMLANDS LÄN</t>
        </is>
      </c>
      <c r="G1507" t="inlineStr">
        <is>
          <t>KARLSTAD</t>
        </is>
      </c>
      <c r="I1507" t="n">
        <v>2.1</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17033-2022</t>
        </is>
      </c>
      <c r="B1508" t="inlineStr">
        <is>
          <t>avverkningsanmälan</t>
        </is>
      </c>
      <c r="C1508" t="inlineStr">
        <is>
          <t>Avverkning för annat ändamål</t>
        </is>
      </c>
      <c r="D1508" s="1" t="n">
        <v>44676</v>
      </c>
      <c r="E1508" s="1" t="n">
        <v>46307</v>
      </c>
      <c r="F1508" t="inlineStr">
        <is>
          <t>VÄRMLANDS LÄN</t>
        </is>
      </c>
      <c r="G1508" t="inlineStr">
        <is>
          <t>SUNNE</t>
        </is>
      </c>
      <c r="I1508" t="n">
        <v>1.1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44517-2022</t>
        </is>
      </c>
      <c r="B1509" t="inlineStr">
        <is>
          <t>avverkningsanmälan</t>
        </is>
      </c>
      <c r="C1509" t="inlineStr">
        <is>
          <t>Föryngringsavverkning</t>
        </is>
      </c>
      <c r="D1509" s="1" t="n">
        <v>44840</v>
      </c>
      <c r="E1509" s="1" t="n">
        <v>46307</v>
      </c>
      <c r="F1509" t="inlineStr">
        <is>
          <t>VÄRMLANDS LÄN</t>
        </is>
      </c>
      <c r="G1509" t="inlineStr">
        <is>
          <t>TORSBY</t>
        </is>
      </c>
      <c r="I1509" t="n">
        <v>0.6</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7499-2022</t>
        </is>
      </c>
      <c r="B1510" t="inlineStr">
        <is>
          <t>avverkningsanmälan</t>
        </is>
      </c>
      <c r="C1510" t="inlineStr">
        <is>
          <t>Föryngringsavverkning</t>
        </is>
      </c>
      <c r="D1510" s="1" t="n">
        <v>44607</v>
      </c>
      <c r="E1510" s="1" t="n">
        <v>46307</v>
      </c>
      <c r="F1510" t="inlineStr">
        <is>
          <t>VÄRMLANDS LÄN</t>
        </is>
      </c>
      <c r="G1510" t="inlineStr">
        <is>
          <t>SÄFFLE</t>
        </is>
      </c>
      <c r="I1510" t="n">
        <v>8.6</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7502-2022</t>
        </is>
      </c>
      <c r="B1511" t="inlineStr">
        <is>
          <t>avverkningsanmälan</t>
        </is>
      </c>
      <c r="C1511" t="inlineStr">
        <is>
          <t>Föryngringsavverkning</t>
        </is>
      </c>
      <c r="D1511" s="1" t="n">
        <v>44607</v>
      </c>
      <c r="E1511" s="1" t="n">
        <v>46307</v>
      </c>
      <c r="F1511" t="inlineStr">
        <is>
          <t>VÄRMLANDS LÄN</t>
        </is>
      </c>
      <c r="G1511" t="inlineStr">
        <is>
          <t>SÄFFLE</t>
        </is>
      </c>
      <c r="I1511" t="n">
        <v>4.1</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3028-2022</t>
        </is>
      </c>
      <c r="B1512" t="inlineStr">
        <is>
          <t>avverkningsanmälan</t>
        </is>
      </c>
      <c r="C1512" t="inlineStr">
        <is>
          <t>Föryngringsavverkning</t>
        </is>
      </c>
      <c r="D1512" s="1" t="n">
        <v>44581</v>
      </c>
      <c r="E1512" s="1" t="n">
        <v>46307</v>
      </c>
      <c r="F1512" t="inlineStr">
        <is>
          <t>VÄRMLANDS LÄN</t>
        </is>
      </c>
      <c r="G1512" t="inlineStr">
        <is>
          <t>EDA</t>
        </is>
      </c>
      <c r="I1512" t="n">
        <v>4.8</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44327-2022</t>
        </is>
      </c>
      <c r="B1513" t="inlineStr">
        <is>
          <t>avverkningsanmälan</t>
        </is>
      </c>
      <c r="C1513" t="inlineStr">
        <is>
          <t>Föryngringsavverkning</t>
        </is>
      </c>
      <c r="D1513" s="1" t="n">
        <v>44839</v>
      </c>
      <c r="E1513" s="1" t="n">
        <v>46307</v>
      </c>
      <c r="F1513" t="inlineStr">
        <is>
          <t>VÄRMLANDS LÄN</t>
        </is>
      </c>
      <c r="G1513" t="inlineStr">
        <is>
          <t>TORSBY</t>
        </is>
      </c>
      <c r="I1513" t="n">
        <v>3.5</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6773-2022</t>
        </is>
      </c>
      <c r="B1514" t="inlineStr">
        <is>
          <t>avverkningsanmälan</t>
        </is>
      </c>
      <c r="C1514" t="inlineStr">
        <is>
          <t>Föryngringsavverkning</t>
        </is>
      </c>
      <c r="D1514" s="1" t="n">
        <v>44602</v>
      </c>
      <c r="E1514" s="1" t="n">
        <v>46307</v>
      </c>
      <c r="F1514" t="inlineStr">
        <is>
          <t>VÄRMLANDS LÄN</t>
        </is>
      </c>
      <c r="G1514" t="inlineStr">
        <is>
          <t>SÄFFLE</t>
        </is>
      </c>
      <c r="I1514" t="n">
        <v>1.8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40872-2022</t>
        </is>
      </c>
      <c r="B1515" t="inlineStr">
        <is>
          <t>avverkningsanmälan</t>
        </is>
      </c>
      <c r="C1515" t="inlineStr">
        <is>
          <t>Föryngringsavverkning</t>
        </is>
      </c>
      <c r="D1515" s="1" t="n">
        <v>44825</v>
      </c>
      <c r="E1515" s="1" t="n">
        <v>46307</v>
      </c>
      <c r="F1515" t="inlineStr">
        <is>
          <t>VÄRMLANDS LÄN</t>
        </is>
      </c>
      <c r="G1515" t="inlineStr">
        <is>
          <t>ÅRJÄNG</t>
        </is>
      </c>
      <c r="I1515" t="n">
        <v>0.5</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57391-2021</t>
        </is>
      </c>
      <c r="B1516" t="inlineStr">
        <is>
          <t>avverkningsanmälan</t>
        </is>
      </c>
      <c r="C1516" t="inlineStr">
        <is>
          <t>Föryngringsavverkning</t>
        </is>
      </c>
      <c r="D1516" s="1" t="n">
        <v>44483</v>
      </c>
      <c r="E1516" s="1" t="n">
        <v>46307</v>
      </c>
      <c r="F1516" t="inlineStr">
        <is>
          <t>VÄRMLANDS LÄN</t>
        </is>
      </c>
      <c r="G1516" t="inlineStr">
        <is>
          <t>KARLSTAD</t>
        </is>
      </c>
      <c r="H1516" t="inlineStr">
        <is>
          <t>Kommuner</t>
        </is>
      </c>
      <c r="I1516" t="n">
        <v>2.8</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19889-2022</t>
        </is>
      </c>
      <c r="B1517" t="inlineStr">
        <is>
          <t>avverkningsanmälan</t>
        </is>
      </c>
      <c r="C1517" t="inlineStr">
        <is>
          <t>Föryngringsavverkning</t>
        </is>
      </c>
      <c r="D1517" s="1" t="n">
        <v>44697</v>
      </c>
      <c r="E1517" s="1" t="n">
        <v>46307</v>
      </c>
      <c r="F1517" t="inlineStr">
        <is>
          <t>VÄRMLANDS LÄN</t>
        </is>
      </c>
      <c r="G1517" t="inlineStr">
        <is>
          <t>ARVIKA</t>
        </is>
      </c>
      <c r="I1517" t="n">
        <v>6</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19893-2022</t>
        </is>
      </c>
      <c r="B1518" t="inlineStr">
        <is>
          <t>avverkningsanmälan</t>
        </is>
      </c>
      <c r="C1518" t="inlineStr">
        <is>
          <t>Föryngringsavverkning</t>
        </is>
      </c>
      <c r="D1518" s="1" t="n">
        <v>44697</v>
      </c>
      <c r="E1518" s="1" t="n">
        <v>46307</v>
      </c>
      <c r="F1518" t="inlineStr">
        <is>
          <t>VÄRMLANDS LÄN</t>
        </is>
      </c>
      <c r="G1518" t="inlineStr">
        <is>
          <t>ÅRJÄNG</t>
        </is>
      </c>
      <c r="I1518" t="n">
        <v>2.5</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61768-2021</t>
        </is>
      </c>
      <c r="B1519" t="inlineStr">
        <is>
          <t>avverkningsanmälan</t>
        </is>
      </c>
      <c r="C1519" t="inlineStr">
        <is>
          <t>Föryngringsavverkning</t>
        </is>
      </c>
      <c r="D1519" s="1" t="n">
        <v>44501</v>
      </c>
      <c r="E1519" s="1" t="n">
        <v>46307</v>
      </c>
      <c r="F1519" t="inlineStr">
        <is>
          <t>VÄRMLANDS LÄN</t>
        </is>
      </c>
      <c r="G1519" t="inlineStr">
        <is>
          <t>KRISTINEHAMN</t>
        </is>
      </c>
      <c r="I1519" t="n">
        <v>2</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35606-2022</t>
        </is>
      </c>
      <c r="B1520" t="inlineStr">
        <is>
          <t>avverkningsanmälan</t>
        </is>
      </c>
      <c r="C1520" t="inlineStr">
        <is>
          <t>Avverkning för annat ändamål</t>
        </is>
      </c>
      <c r="D1520" s="1" t="n">
        <v>44799</v>
      </c>
      <c r="E1520" s="1" t="n">
        <v>46307</v>
      </c>
      <c r="F1520" t="inlineStr">
        <is>
          <t>VÄRMLANDS LÄN</t>
        </is>
      </c>
      <c r="G1520" t="inlineStr">
        <is>
          <t>TORSBY</t>
        </is>
      </c>
      <c r="I1520" t="n">
        <v>1.5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72375-2021</t>
        </is>
      </c>
      <c r="B1521" t="inlineStr">
        <is>
          <t>avverkningsanmälan</t>
        </is>
      </c>
      <c r="C1521" t="inlineStr">
        <is>
          <t>Föryngringsavverkning</t>
        </is>
      </c>
      <c r="D1521" s="1" t="n">
        <v>44545</v>
      </c>
      <c r="E1521" s="1" t="n">
        <v>46307</v>
      </c>
      <c r="F1521" t="inlineStr">
        <is>
          <t>VÄRMLANDS LÄN</t>
        </is>
      </c>
      <c r="G1521" t="inlineStr">
        <is>
          <t>HAGFORS</t>
        </is>
      </c>
      <c r="I1521" t="n">
        <v>4.5</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40391-2022</t>
        </is>
      </c>
      <c r="B1522" t="inlineStr">
        <is>
          <t>avverkningsanmälan</t>
        </is>
      </c>
      <c r="C1522" t="inlineStr">
        <is>
          <t>Föryngringsavverkning</t>
        </is>
      </c>
      <c r="D1522" s="1" t="n">
        <v>44819</v>
      </c>
      <c r="E1522" s="1" t="n">
        <v>46307</v>
      </c>
      <c r="F1522" t="inlineStr">
        <is>
          <t>VÄRMLANDS LÄN</t>
        </is>
      </c>
      <c r="G1522" t="inlineStr">
        <is>
          <t>SÄFFLE</t>
        </is>
      </c>
      <c r="I1522" t="n">
        <v>0.7</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34909-2022</t>
        </is>
      </c>
      <c r="B1523" t="inlineStr">
        <is>
          <t>avverkningsanmälan</t>
        </is>
      </c>
      <c r="C1523" t="inlineStr">
        <is>
          <t>Föryngringsavverkning</t>
        </is>
      </c>
      <c r="D1523" s="1" t="n">
        <v>44796</v>
      </c>
      <c r="E1523" s="1" t="n">
        <v>46307</v>
      </c>
      <c r="F1523" t="inlineStr">
        <is>
          <t>VÄRMLANDS LÄN</t>
        </is>
      </c>
      <c r="G1523" t="inlineStr">
        <is>
          <t>SUNNE</t>
        </is>
      </c>
      <c r="I1523" t="n">
        <v>2.3</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71818-2021</t>
        </is>
      </c>
      <c r="B1524" t="inlineStr">
        <is>
          <t>avverkningsanmälan</t>
        </is>
      </c>
      <c r="C1524" t="inlineStr">
        <is>
          <t>Föryngringsavverkning</t>
        </is>
      </c>
      <c r="D1524" s="1" t="n">
        <v>44543</v>
      </c>
      <c r="E1524" s="1" t="n">
        <v>46307</v>
      </c>
      <c r="F1524" t="inlineStr">
        <is>
          <t>VÄRMLANDS LÄN</t>
        </is>
      </c>
      <c r="G1524" t="inlineStr">
        <is>
          <t>SUNNE</t>
        </is>
      </c>
      <c r="I1524" t="n">
        <v>3.2</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71840-2021</t>
        </is>
      </c>
      <c r="B1525" t="inlineStr">
        <is>
          <t>avverkningsanmälan</t>
        </is>
      </c>
      <c r="C1525" t="inlineStr">
        <is>
          <t>Föryngringsavverkning</t>
        </is>
      </c>
      <c r="D1525" s="1" t="n">
        <v>44543</v>
      </c>
      <c r="E1525" s="1" t="n">
        <v>46307</v>
      </c>
      <c r="F1525" t="inlineStr">
        <is>
          <t>VÄRMLANDS LÄN</t>
        </is>
      </c>
      <c r="G1525" t="inlineStr">
        <is>
          <t>ÅRJÄNG</t>
        </is>
      </c>
      <c r="I1525" t="n">
        <v>6.5</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64442-2021</t>
        </is>
      </c>
      <c r="B1526" t="inlineStr">
        <is>
          <t>avverkningsanmälan</t>
        </is>
      </c>
      <c r="C1526" t="inlineStr">
        <is>
          <t>Föryngringsavverkning</t>
        </is>
      </c>
      <c r="D1526" s="1" t="n">
        <v>44511</v>
      </c>
      <c r="E1526" s="1" t="n">
        <v>46307</v>
      </c>
      <c r="F1526" t="inlineStr">
        <is>
          <t>VÄRMLANDS LÄN</t>
        </is>
      </c>
      <c r="G1526" t="inlineStr">
        <is>
          <t>SÄFFLE</t>
        </is>
      </c>
      <c r="I1526" t="n">
        <v>5</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47921-2022</t>
        </is>
      </c>
      <c r="B1527" t="inlineStr">
        <is>
          <t>avverkningsanmälan</t>
        </is>
      </c>
      <c r="C1527" t="inlineStr">
        <is>
          <t>Föryngringsavverkning</t>
        </is>
      </c>
      <c r="D1527" s="1" t="n">
        <v>44855</v>
      </c>
      <c r="E1527" s="1" t="n">
        <v>46307</v>
      </c>
      <c r="F1527" t="inlineStr">
        <is>
          <t>VÄRMLANDS LÄN</t>
        </is>
      </c>
      <c r="G1527" t="inlineStr">
        <is>
          <t>KRISTINEHAMN</t>
        </is>
      </c>
      <c r="I1527" t="n">
        <v>0.7</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14401-2022</t>
        </is>
      </c>
      <c r="B1528" t="inlineStr">
        <is>
          <t>avverkningsanmälan</t>
        </is>
      </c>
      <c r="C1528" t="inlineStr">
        <is>
          <t>Föryngringsavverkning</t>
        </is>
      </c>
      <c r="D1528" s="1" t="n">
        <v>44652</v>
      </c>
      <c r="E1528" s="1" t="n">
        <v>46307</v>
      </c>
      <c r="F1528" t="inlineStr">
        <is>
          <t>VÄRMLANDS LÄN</t>
        </is>
      </c>
      <c r="G1528" t="inlineStr">
        <is>
          <t>KARLSTAD</t>
        </is>
      </c>
      <c r="H1528" t="inlineStr">
        <is>
          <t>Naturvårdsverket</t>
        </is>
      </c>
      <c r="I1528" t="n">
        <v>1.1</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51101-2022</t>
        </is>
      </c>
      <c r="B1529" t="inlineStr">
        <is>
          <t>avverkningsanmälan</t>
        </is>
      </c>
      <c r="C1529" t="inlineStr">
        <is>
          <t>Föryngringsavverkning</t>
        </is>
      </c>
      <c r="D1529" s="1" t="n">
        <v>44868</v>
      </c>
      <c r="E1529" s="1" t="n">
        <v>46307</v>
      </c>
      <c r="F1529" t="inlineStr">
        <is>
          <t>VÄRMLANDS LÄN</t>
        </is>
      </c>
      <c r="G1529" t="inlineStr">
        <is>
          <t>EDA</t>
        </is>
      </c>
      <c r="I1529" t="n">
        <v>9.9</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51113-2022</t>
        </is>
      </c>
      <c r="B1530" t="inlineStr">
        <is>
          <t>avverkningsanmälan</t>
        </is>
      </c>
      <c r="C1530" t="inlineStr">
        <is>
          <t>Föryngringsavverkning</t>
        </is>
      </c>
      <c r="D1530" s="1" t="n">
        <v>44868</v>
      </c>
      <c r="E1530" s="1" t="n">
        <v>46307</v>
      </c>
      <c r="F1530" t="inlineStr">
        <is>
          <t>VÄRMLANDS LÄN</t>
        </is>
      </c>
      <c r="G1530" t="inlineStr">
        <is>
          <t>SÄFFLE</t>
        </is>
      </c>
      <c r="I1530" t="n">
        <v>0.6</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6692-2022</t>
        </is>
      </c>
      <c r="B1531" t="inlineStr">
        <is>
          <t>avverkningsanmälan</t>
        </is>
      </c>
      <c r="C1531" t="inlineStr">
        <is>
          <t>Föryngringsavverkning</t>
        </is>
      </c>
      <c r="D1531" s="1" t="n">
        <v>44602</v>
      </c>
      <c r="E1531" s="1" t="n">
        <v>46307</v>
      </c>
      <c r="F1531" t="inlineStr">
        <is>
          <t>VÄRMLANDS LÄN</t>
        </is>
      </c>
      <c r="G1531" t="inlineStr">
        <is>
          <t>SUNNE</t>
        </is>
      </c>
      <c r="I1531" t="n">
        <v>1.7</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11210-2022</t>
        </is>
      </c>
      <c r="B1532" t="inlineStr">
        <is>
          <t>avverkningsanmälan</t>
        </is>
      </c>
      <c r="C1532" t="inlineStr">
        <is>
          <t>Föryngringsavverkning</t>
        </is>
      </c>
      <c r="D1532" s="1" t="n">
        <v>44629</v>
      </c>
      <c r="E1532" s="1" t="n">
        <v>46307</v>
      </c>
      <c r="F1532" t="inlineStr">
        <is>
          <t>VÄRMLANDS LÄN</t>
        </is>
      </c>
      <c r="G1532" t="inlineStr">
        <is>
          <t>SÄFFLE</t>
        </is>
      </c>
      <c r="I1532" t="n">
        <v>1.8</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47004-2022</t>
        </is>
      </c>
      <c r="B1533" t="inlineStr">
        <is>
          <t>avverkningsanmälan</t>
        </is>
      </c>
      <c r="C1533" t="inlineStr">
        <is>
          <t>Föryngringsavverkning</t>
        </is>
      </c>
      <c r="D1533" s="1" t="n">
        <v>44852</v>
      </c>
      <c r="E1533" s="1" t="n">
        <v>46307</v>
      </c>
      <c r="F1533" t="inlineStr">
        <is>
          <t>VÄRMLANDS LÄN</t>
        </is>
      </c>
      <c r="G1533" t="inlineStr">
        <is>
          <t>ARVIKA</t>
        </is>
      </c>
      <c r="I1533" t="n">
        <v>0.2</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10612-2022</t>
        </is>
      </c>
      <c r="B1534" t="inlineStr">
        <is>
          <t>avverkningsanmälan</t>
        </is>
      </c>
      <c r="C1534" t="inlineStr">
        <is>
          <t>Föryngringsavverkning</t>
        </is>
      </c>
      <c r="D1534" s="1" t="n">
        <v>44624</v>
      </c>
      <c r="E1534" s="1" t="n">
        <v>46307</v>
      </c>
      <c r="F1534" t="inlineStr">
        <is>
          <t>VÄRMLANDS LÄN</t>
        </is>
      </c>
      <c r="G1534" t="inlineStr">
        <is>
          <t>ÅRJÄNG</t>
        </is>
      </c>
      <c r="I1534" t="n">
        <v>6.8</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72996-2021</t>
        </is>
      </c>
      <c r="B1535" t="inlineStr">
        <is>
          <t>avverkningsanmälan</t>
        </is>
      </c>
      <c r="C1535" t="inlineStr">
        <is>
          <t>Föryngringsavverkning</t>
        </is>
      </c>
      <c r="D1535" s="1" t="n">
        <v>44549</v>
      </c>
      <c r="E1535" s="1" t="n">
        <v>46307</v>
      </c>
      <c r="F1535" t="inlineStr">
        <is>
          <t>VÄRMLANDS LÄN</t>
        </is>
      </c>
      <c r="G1535" t="inlineStr">
        <is>
          <t>ÅRJÄNG</t>
        </is>
      </c>
      <c r="I1535" t="n">
        <v>1.2</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73004-2021</t>
        </is>
      </c>
      <c r="B1536" t="inlineStr">
        <is>
          <t>avverkningsanmälan</t>
        </is>
      </c>
      <c r="C1536" t="inlineStr">
        <is>
          <t>Avverkning för annat ändamål</t>
        </is>
      </c>
      <c r="D1536" s="1" t="n">
        <v>44547</v>
      </c>
      <c r="E1536" s="1" t="n">
        <v>46307</v>
      </c>
      <c r="F1536" t="inlineStr">
        <is>
          <t>VÄRMLANDS LÄN</t>
        </is>
      </c>
      <c r="G1536" t="inlineStr">
        <is>
          <t>KARLSTAD</t>
        </is>
      </c>
      <c r="I1536" t="n">
        <v>0.2</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7921-2022</t>
        </is>
      </c>
      <c r="B1537" t="inlineStr">
        <is>
          <t>avverkningsanmälan</t>
        </is>
      </c>
      <c r="C1537" t="inlineStr">
        <is>
          <t>Avverkning för annat ändamål</t>
        </is>
      </c>
      <c r="D1537" s="1" t="n">
        <v>44608</v>
      </c>
      <c r="E1537" s="1" t="n">
        <v>46307</v>
      </c>
      <c r="F1537" t="inlineStr">
        <is>
          <t>VÄRMLANDS LÄN</t>
        </is>
      </c>
      <c r="G1537" t="inlineStr">
        <is>
          <t>TORSBY</t>
        </is>
      </c>
      <c r="I1537" t="n">
        <v>1.4</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67198-2021</t>
        </is>
      </c>
      <c r="B1538" t="inlineStr">
        <is>
          <t>avverkningsanmälan</t>
        </is>
      </c>
      <c r="C1538" t="inlineStr">
        <is>
          <t>Föryngringsavverkning</t>
        </is>
      </c>
      <c r="D1538" s="1" t="n">
        <v>44523</v>
      </c>
      <c r="E1538" s="1" t="n">
        <v>46307</v>
      </c>
      <c r="F1538" t="inlineStr">
        <is>
          <t>VÄRMLANDS LÄN</t>
        </is>
      </c>
      <c r="G1538" t="inlineStr">
        <is>
          <t>FORSHAGA</t>
        </is>
      </c>
      <c r="I1538" t="n">
        <v>4.8</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59453-2021</t>
        </is>
      </c>
      <c r="B1539" t="inlineStr">
        <is>
          <t>avverkningsanmälan</t>
        </is>
      </c>
      <c r="C1539" t="inlineStr">
        <is>
          <t>Föryngringsavverkning</t>
        </is>
      </c>
      <c r="D1539" s="1" t="n">
        <v>44491</v>
      </c>
      <c r="E1539" s="1" t="n">
        <v>46307</v>
      </c>
      <c r="F1539" t="inlineStr">
        <is>
          <t>VÄRMLANDS LÄN</t>
        </is>
      </c>
      <c r="G1539" t="inlineStr">
        <is>
          <t>ÅRJÄNG</t>
        </is>
      </c>
      <c r="I1539" t="n">
        <v>2.3</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54444-2022</t>
        </is>
      </c>
      <c r="B1540" t="inlineStr">
        <is>
          <t>avverkningsanmälan</t>
        </is>
      </c>
      <c r="C1540" t="inlineStr">
        <is>
          <t>Föryngringsavverkning</t>
        </is>
      </c>
      <c r="D1540" s="1" t="n">
        <v>44882</v>
      </c>
      <c r="E1540" s="1" t="n">
        <v>46307</v>
      </c>
      <c r="F1540" t="inlineStr">
        <is>
          <t>VÄRMLANDS LÄN</t>
        </is>
      </c>
      <c r="G1540" t="inlineStr">
        <is>
          <t>GRUMS</t>
        </is>
      </c>
      <c r="I1540" t="n">
        <v>0.5</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4915-2022</t>
        </is>
      </c>
      <c r="B1541" t="inlineStr">
        <is>
          <t>avverkningsanmälan</t>
        </is>
      </c>
      <c r="C1541" t="inlineStr">
        <is>
          <t>Föryngringsavverkning</t>
        </is>
      </c>
      <c r="D1541" s="1" t="n">
        <v>44593</v>
      </c>
      <c r="E1541" s="1" t="n">
        <v>46307</v>
      </c>
      <c r="F1541" t="inlineStr">
        <is>
          <t>VÄRMLANDS LÄN</t>
        </is>
      </c>
      <c r="G1541" t="inlineStr">
        <is>
          <t>ÅRJÄNG</t>
        </is>
      </c>
      <c r="I1541" t="n">
        <v>3.7</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58501-2021</t>
        </is>
      </c>
      <c r="B1542" t="inlineStr">
        <is>
          <t>avverkningsanmälan</t>
        </is>
      </c>
      <c r="C1542" t="inlineStr">
        <is>
          <t>Föryngringsavverkning</t>
        </is>
      </c>
      <c r="D1542" s="1" t="n">
        <v>44488</v>
      </c>
      <c r="E1542" s="1" t="n">
        <v>46307</v>
      </c>
      <c r="F1542" t="inlineStr">
        <is>
          <t>VÄRMLANDS LÄN</t>
        </is>
      </c>
      <c r="G1542" t="inlineStr">
        <is>
          <t>KARLSTAD</t>
        </is>
      </c>
      <c r="I1542" t="n">
        <v>0.6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20777-2022</t>
        </is>
      </c>
      <c r="B1543" t="inlineStr">
        <is>
          <t>avverkningsanmälan</t>
        </is>
      </c>
      <c r="C1543" t="inlineStr">
        <is>
          <t>Föryngringsavverkning</t>
        </is>
      </c>
      <c r="D1543" s="1" t="n">
        <v>44701</v>
      </c>
      <c r="E1543" s="1" t="n">
        <v>46307</v>
      </c>
      <c r="F1543" t="inlineStr">
        <is>
          <t>VÄRMLANDS LÄN</t>
        </is>
      </c>
      <c r="G1543" t="inlineStr">
        <is>
          <t>KARLSTAD</t>
        </is>
      </c>
      <c r="H1543" t="inlineStr">
        <is>
          <t>Bergvik skog väst AB</t>
        </is>
      </c>
      <c r="I1543" t="n">
        <v>1</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21323-2022</t>
        </is>
      </c>
      <c r="B1544" t="inlineStr">
        <is>
          <t>avverkningsanmälan</t>
        </is>
      </c>
      <c r="C1544" t="inlineStr">
        <is>
          <t>Föryngringsavverkning</t>
        </is>
      </c>
      <c r="D1544" s="1" t="n">
        <v>44705</v>
      </c>
      <c r="E1544" s="1" t="n">
        <v>46307</v>
      </c>
      <c r="F1544" t="inlineStr">
        <is>
          <t>VÄRMLANDS LÄN</t>
        </is>
      </c>
      <c r="G1544" t="inlineStr">
        <is>
          <t>EDA</t>
        </is>
      </c>
      <c r="I1544" t="n">
        <v>0.7</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53262-2022</t>
        </is>
      </c>
      <c r="B1545" t="inlineStr">
        <is>
          <t>avverkningsanmälan</t>
        </is>
      </c>
      <c r="C1545" t="inlineStr">
        <is>
          <t>Avverkning för annat ändamål</t>
        </is>
      </c>
      <c r="D1545" s="1" t="n">
        <v>44876</v>
      </c>
      <c r="E1545" s="1" t="n">
        <v>46307</v>
      </c>
      <c r="F1545" t="inlineStr">
        <is>
          <t>VÄRMLANDS LÄN</t>
        </is>
      </c>
      <c r="G1545" t="inlineStr">
        <is>
          <t>ÅRJÄNG</t>
        </is>
      </c>
      <c r="I1545" t="n">
        <v>0.7</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31829-2022</t>
        </is>
      </c>
      <c r="B1546" t="inlineStr">
        <is>
          <t>avverkningsanmälan</t>
        </is>
      </c>
      <c r="C1546" t="inlineStr">
        <is>
          <t>Föryngringsavverkning</t>
        </is>
      </c>
      <c r="D1546" s="1" t="n">
        <v>44776</v>
      </c>
      <c r="E1546" s="1" t="n">
        <v>46307</v>
      </c>
      <c r="F1546" t="inlineStr">
        <is>
          <t>VÄRMLANDS LÄN</t>
        </is>
      </c>
      <c r="G1546" t="inlineStr">
        <is>
          <t>ARVIKA</t>
        </is>
      </c>
      <c r="I1546" t="n">
        <v>0.6</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3278-2022</t>
        </is>
      </c>
      <c r="B1547" t="inlineStr">
        <is>
          <t>avverkningsanmälan</t>
        </is>
      </c>
      <c r="C1547" t="inlineStr">
        <is>
          <t>Föryngringsavverkning</t>
        </is>
      </c>
      <c r="D1547" s="1" t="n">
        <v>44584</v>
      </c>
      <c r="E1547" s="1" t="n">
        <v>46307</v>
      </c>
      <c r="F1547" t="inlineStr">
        <is>
          <t>VÄRMLANDS LÄN</t>
        </is>
      </c>
      <c r="G1547" t="inlineStr">
        <is>
          <t>KRISTINEHAMN</t>
        </is>
      </c>
      <c r="I1547" t="n">
        <v>1</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30539-2022</t>
        </is>
      </c>
      <c r="B1548" t="inlineStr">
        <is>
          <t>avverkningsanmälan</t>
        </is>
      </c>
      <c r="C1548" t="inlineStr">
        <is>
          <t>Föryngringsavverkning</t>
        </is>
      </c>
      <c r="D1548" s="1" t="n">
        <v>44762</v>
      </c>
      <c r="E1548" s="1" t="n">
        <v>46307</v>
      </c>
      <c r="F1548" t="inlineStr">
        <is>
          <t>VÄRMLANDS LÄN</t>
        </is>
      </c>
      <c r="G1548" t="inlineStr">
        <is>
          <t>GRUMS</t>
        </is>
      </c>
      <c r="I1548" t="n">
        <v>10.2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43839-2022</t>
        </is>
      </c>
      <c r="B1549" t="inlineStr">
        <is>
          <t>avverkningsanmälan</t>
        </is>
      </c>
      <c r="C1549" t="inlineStr">
        <is>
          <t>Föryngringsavverkning</t>
        </is>
      </c>
      <c r="D1549" s="1" t="n">
        <v>44838</v>
      </c>
      <c r="E1549" s="1" t="n">
        <v>46307</v>
      </c>
      <c r="F1549" t="inlineStr">
        <is>
          <t>VÄRMLANDS LÄN</t>
        </is>
      </c>
      <c r="G1549" t="inlineStr">
        <is>
          <t>SUNNE</t>
        </is>
      </c>
      <c r="I1549" t="n">
        <v>6</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71819-2021</t>
        </is>
      </c>
      <c r="B1550" t="inlineStr">
        <is>
          <t>avverkningsanmälan</t>
        </is>
      </c>
      <c r="C1550" t="inlineStr">
        <is>
          <t>Föryngringsavverkning</t>
        </is>
      </c>
      <c r="D1550" s="1" t="n">
        <v>44540</v>
      </c>
      <c r="E1550" s="1" t="n">
        <v>46307</v>
      </c>
      <c r="F1550" t="inlineStr">
        <is>
          <t>VÄRMLANDS LÄN</t>
        </is>
      </c>
      <c r="G1550" t="inlineStr">
        <is>
          <t>ÅRJÄNG</t>
        </is>
      </c>
      <c r="H1550" t="inlineStr">
        <is>
          <t>Övriga Aktiebolag</t>
        </is>
      </c>
      <c r="I1550" t="n">
        <v>7.5</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25686-2022</t>
        </is>
      </c>
      <c r="B1551" t="inlineStr">
        <is>
          <t>avverkningsanmälan</t>
        </is>
      </c>
      <c r="C1551" t="inlineStr">
        <is>
          <t>Föryngringsavverkning</t>
        </is>
      </c>
      <c r="D1551" s="1" t="n">
        <v>44733</v>
      </c>
      <c r="E1551" s="1" t="n">
        <v>46307</v>
      </c>
      <c r="F1551" t="inlineStr">
        <is>
          <t>VÄRMLANDS LÄN</t>
        </is>
      </c>
      <c r="G1551" t="inlineStr">
        <is>
          <t>EDA</t>
        </is>
      </c>
      <c r="I1551" t="n">
        <v>2.4</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21939-2022</t>
        </is>
      </c>
      <c r="B1552" t="inlineStr">
        <is>
          <t>avverkningsanmälan</t>
        </is>
      </c>
      <c r="C1552" t="inlineStr">
        <is>
          <t>Avverkning för annat ändamål</t>
        </is>
      </c>
      <c r="D1552" s="1" t="n">
        <v>44711</v>
      </c>
      <c r="E1552" s="1" t="n">
        <v>46307</v>
      </c>
      <c r="F1552" t="inlineStr">
        <is>
          <t>VÄRMLANDS LÄN</t>
        </is>
      </c>
      <c r="G1552" t="inlineStr">
        <is>
          <t>ÅRJÄNG</t>
        </is>
      </c>
      <c r="I1552" t="n">
        <v>0.1</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32723-2022</t>
        </is>
      </c>
      <c r="B1553" t="inlineStr">
        <is>
          <t>avverkningsanmälan</t>
        </is>
      </c>
      <c r="C1553" t="inlineStr">
        <is>
          <t>Föryngringsavverkning</t>
        </is>
      </c>
      <c r="D1553" s="1" t="n">
        <v>44783</v>
      </c>
      <c r="E1553" s="1" t="n">
        <v>46307</v>
      </c>
      <c r="F1553" t="inlineStr">
        <is>
          <t>VÄRMLANDS LÄN</t>
        </is>
      </c>
      <c r="G1553" t="inlineStr">
        <is>
          <t>ARVIKA</t>
        </is>
      </c>
      <c r="I1553" t="n">
        <v>1.6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47421-2022</t>
        </is>
      </c>
      <c r="B1554" t="inlineStr">
        <is>
          <t>avverkningsanmälan</t>
        </is>
      </c>
      <c r="C1554" t="inlineStr">
        <is>
          <t>Föryngringsavverkning</t>
        </is>
      </c>
      <c r="D1554" s="1" t="n">
        <v>44853</v>
      </c>
      <c r="E1554" s="1" t="n">
        <v>46307</v>
      </c>
      <c r="F1554" t="inlineStr">
        <is>
          <t>VÄRMLANDS LÄN</t>
        </is>
      </c>
      <c r="G1554" t="inlineStr">
        <is>
          <t>EDA</t>
        </is>
      </c>
      <c r="I1554" t="n">
        <v>8.300000000000001</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7304-2022</t>
        </is>
      </c>
      <c r="B1555" t="inlineStr">
        <is>
          <t>avverkningsanmälan</t>
        </is>
      </c>
      <c r="C1555" t="inlineStr">
        <is>
          <t>Föryngringsavverkning</t>
        </is>
      </c>
      <c r="D1555" s="1" t="n">
        <v>44606</v>
      </c>
      <c r="E1555" s="1" t="n">
        <v>46307</v>
      </c>
      <c r="F1555" t="inlineStr">
        <is>
          <t>VÄRMLANDS LÄN</t>
        </is>
      </c>
      <c r="G1555" t="inlineStr">
        <is>
          <t>HAGFORS</t>
        </is>
      </c>
      <c r="I1555" t="n">
        <v>0.3</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36632-2022</t>
        </is>
      </c>
      <c r="B1556" t="inlineStr">
        <is>
          <t>avverkningsanmälan</t>
        </is>
      </c>
      <c r="C1556" t="inlineStr">
        <is>
          <t>Föryngringsavverkning</t>
        </is>
      </c>
      <c r="D1556" s="1" t="n">
        <v>44804</v>
      </c>
      <c r="E1556" s="1" t="n">
        <v>46307</v>
      </c>
      <c r="F1556" t="inlineStr">
        <is>
          <t>VÄRMLANDS LÄN</t>
        </is>
      </c>
      <c r="G1556" t="inlineStr">
        <is>
          <t>SUNNE</t>
        </is>
      </c>
      <c r="I1556" t="n">
        <v>0.6</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42423-2022</t>
        </is>
      </c>
      <c r="B1557" t="inlineStr">
        <is>
          <t>avverkningsanmälan</t>
        </is>
      </c>
      <c r="C1557" t="inlineStr">
        <is>
          <t>Föryngringsavverkning</t>
        </is>
      </c>
      <c r="D1557" s="1" t="n">
        <v>44830</v>
      </c>
      <c r="E1557" s="1" t="n">
        <v>46307</v>
      </c>
      <c r="F1557" t="inlineStr">
        <is>
          <t>VÄRMLANDS LÄN</t>
        </is>
      </c>
      <c r="G1557" t="inlineStr">
        <is>
          <t>HAGFORS</t>
        </is>
      </c>
      <c r="I1557" t="n">
        <v>10.9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42538-2022</t>
        </is>
      </c>
      <c r="B1558" t="inlineStr">
        <is>
          <t>avverkningsanmälan</t>
        </is>
      </c>
      <c r="C1558" t="inlineStr">
        <is>
          <t>Föryngringsavverkning</t>
        </is>
      </c>
      <c r="D1558" s="1" t="n">
        <v>44831</v>
      </c>
      <c r="E1558" s="1" t="n">
        <v>46307</v>
      </c>
      <c r="F1558" t="inlineStr">
        <is>
          <t>VÄRMLANDS LÄN</t>
        </is>
      </c>
      <c r="G1558" t="inlineStr">
        <is>
          <t>SUNNE</t>
        </is>
      </c>
      <c r="I1558" t="n">
        <v>0.9</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47693-2022</t>
        </is>
      </c>
      <c r="B1559" t="inlineStr">
        <is>
          <t>avverkningsanmälan</t>
        </is>
      </c>
      <c r="C1559" t="inlineStr">
        <is>
          <t>Föryngringsavverkning</t>
        </is>
      </c>
      <c r="D1559" s="1" t="n">
        <v>44854</v>
      </c>
      <c r="E1559" s="1" t="n">
        <v>46307</v>
      </c>
      <c r="F1559" t="inlineStr">
        <is>
          <t>VÄRMLANDS LÄN</t>
        </is>
      </c>
      <c r="G1559" t="inlineStr">
        <is>
          <t>FILIPSTAD</t>
        </is>
      </c>
      <c r="H1559" t="inlineStr">
        <is>
          <t>Bergvik skog väst AB</t>
        </is>
      </c>
      <c r="I1559" t="n">
        <v>5.9</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22604-2022</t>
        </is>
      </c>
      <c r="B1560" t="inlineStr">
        <is>
          <t>avverkningsanmälan</t>
        </is>
      </c>
      <c r="C1560" t="inlineStr">
        <is>
          <t>Föryngringsavverkning</t>
        </is>
      </c>
      <c r="D1560" s="1" t="n">
        <v>44714</v>
      </c>
      <c r="E1560" s="1" t="n">
        <v>46307</v>
      </c>
      <c r="F1560" t="inlineStr">
        <is>
          <t>VÄRMLANDS LÄN</t>
        </is>
      </c>
      <c r="G1560" t="inlineStr">
        <is>
          <t>ARVIKA</t>
        </is>
      </c>
      <c r="I1560" t="n">
        <v>0.6</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51975-2022</t>
        </is>
      </c>
      <c r="B1561" t="inlineStr">
        <is>
          <t>avverkningsanmälan</t>
        </is>
      </c>
      <c r="C1561" t="inlineStr">
        <is>
          <t>Föryngringsavverkning</t>
        </is>
      </c>
      <c r="D1561" s="1" t="n">
        <v>44872</v>
      </c>
      <c r="E1561" s="1" t="n">
        <v>46307</v>
      </c>
      <c r="F1561" t="inlineStr">
        <is>
          <t>VÄRMLANDS LÄN</t>
        </is>
      </c>
      <c r="G1561" t="inlineStr">
        <is>
          <t>ÅRJÄNG</t>
        </is>
      </c>
      <c r="I1561" t="n">
        <v>0.6</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9122-2022</t>
        </is>
      </c>
      <c r="B1562" t="inlineStr">
        <is>
          <t>avverkningsanmälan</t>
        </is>
      </c>
      <c r="C1562" t="inlineStr">
        <is>
          <t>Föryngringsavverkning</t>
        </is>
      </c>
      <c r="D1562" s="1" t="n">
        <v>44615</v>
      </c>
      <c r="E1562" s="1" t="n">
        <v>46307</v>
      </c>
      <c r="F1562" t="inlineStr">
        <is>
          <t>VÄRMLANDS LÄN</t>
        </is>
      </c>
      <c r="G1562" t="inlineStr">
        <is>
          <t>ARVIKA</t>
        </is>
      </c>
      <c r="I1562" t="n">
        <v>1.3</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23277-2022</t>
        </is>
      </c>
      <c r="B1563" t="inlineStr">
        <is>
          <t>avverkningsanmälan</t>
        </is>
      </c>
      <c r="C1563" t="inlineStr">
        <is>
          <t>Föryngringsavverkning</t>
        </is>
      </c>
      <c r="D1563" s="1" t="n">
        <v>44720</v>
      </c>
      <c r="E1563" s="1" t="n">
        <v>46307</v>
      </c>
      <c r="F1563" t="inlineStr">
        <is>
          <t>VÄRMLANDS LÄN</t>
        </is>
      </c>
      <c r="G1563" t="inlineStr">
        <is>
          <t>ARVIKA</t>
        </is>
      </c>
      <c r="I1563" t="n">
        <v>1.4</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50060-2022</t>
        </is>
      </c>
      <c r="B1564" t="inlineStr">
        <is>
          <t>avverkningsanmälan</t>
        </is>
      </c>
      <c r="C1564" t="inlineStr">
        <is>
          <t>Föryngringsavverkning</t>
        </is>
      </c>
      <c r="D1564" s="1" t="n">
        <v>44865</v>
      </c>
      <c r="E1564" s="1" t="n">
        <v>46307</v>
      </c>
      <c r="F1564" t="inlineStr">
        <is>
          <t>VÄRMLANDS LÄN</t>
        </is>
      </c>
      <c r="G1564" t="inlineStr">
        <is>
          <t>FORSHAGA</t>
        </is>
      </c>
      <c r="I1564" t="n">
        <v>2.5</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22121-2022</t>
        </is>
      </c>
      <c r="B1565" t="inlineStr">
        <is>
          <t>avverkningsanmälan</t>
        </is>
      </c>
      <c r="C1565" t="inlineStr">
        <is>
          <t>Föryngringsavverkning</t>
        </is>
      </c>
      <c r="D1565" s="1" t="n">
        <v>44712</v>
      </c>
      <c r="E1565" s="1" t="n">
        <v>46307</v>
      </c>
      <c r="F1565" t="inlineStr">
        <is>
          <t>VÄRMLANDS LÄN</t>
        </is>
      </c>
      <c r="G1565" t="inlineStr">
        <is>
          <t>SUNNE</t>
        </is>
      </c>
      <c r="I1565" t="n">
        <v>5.8</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37949-2022</t>
        </is>
      </c>
      <c r="B1566" t="inlineStr">
        <is>
          <t>avverkningsanmälan</t>
        </is>
      </c>
      <c r="C1566" t="inlineStr">
        <is>
          <t>Föryngringsavverkning</t>
        </is>
      </c>
      <c r="D1566" s="1" t="n">
        <v>44811</v>
      </c>
      <c r="E1566" s="1" t="n">
        <v>46307</v>
      </c>
      <c r="F1566" t="inlineStr">
        <is>
          <t>VÄRMLANDS LÄN</t>
        </is>
      </c>
      <c r="G1566" t="inlineStr">
        <is>
          <t>ÅRJÄNG</t>
        </is>
      </c>
      <c r="I1566" t="n">
        <v>0.5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37962-2022</t>
        </is>
      </c>
      <c r="B1567" t="inlineStr">
        <is>
          <t>avverkningsanmälan</t>
        </is>
      </c>
      <c r="C1567" t="inlineStr">
        <is>
          <t>Avverkning för annat ändamål</t>
        </is>
      </c>
      <c r="D1567" s="1" t="n">
        <v>44811</v>
      </c>
      <c r="E1567" s="1" t="n">
        <v>46307</v>
      </c>
      <c r="F1567" t="inlineStr">
        <is>
          <t>VÄRMLANDS LÄN</t>
        </is>
      </c>
      <c r="G1567" t="inlineStr">
        <is>
          <t>KIL</t>
        </is>
      </c>
      <c r="I1567" t="n">
        <v>1</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26154-2022</t>
        </is>
      </c>
      <c r="B1568" t="inlineStr">
        <is>
          <t>avverkningsanmälan</t>
        </is>
      </c>
      <c r="C1568" t="inlineStr">
        <is>
          <t>Avverkning för annat ändamål</t>
        </is>
      </c>
      <c r="D1568" s="1" t="n">
        <v>44735</v>
      </c>
      <c r="E1568" s="1" t="n">
        <v>46307</v>
      </c>
      <c r="F1568" t="inlineStr">
        <is>
          <t>VÄRMLANDS LÄN</t>
        </is>
      </c>
      <c r="G1568" t="inlineStr">
        <is>
          <t>FORSHAGA</t>
        </is>
      </c>
      <c r="H1568" t="inlineStr">
        <is>
          <t>Bergvik skog väst AB</t>
        </is>
      </c>
      <c r="I1568" t="n">
        <v>0.3</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23318-2022</t>
        </is>
      </c>
      <c r="B1569" t="inlineStr">
        <is>
          <t>avverkningsanmälan</t>
        </is>
      </c>
      <c r="C1569" t="inlineStr">
        <is>
          <t>Föryngringsavverkning</t>
        </is>
      </c>
      <c r="D1569" s="1" t="n">
        <v>44720</v>
      </c>
      <c r="E1569" s="1" t="n">
        <v>46307</v>
      </c>
      <c r="F1569" t="inlineStr">
        <is>
          <t>VÄRMLANDS LÄN</t>
        </is>
      </c>
      <c r="G1569" t="inlineStr">
        <is>
          <t>SUNNE</t>
        </is>
      </c>
      <c r="I1569" t="n">
        <v>2</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24960-2022</t>
        </is>
      </c>
      <c r="B1570" t="inlineStr">
        <is>
          <t>avverkningsanmälan</t>
        </is>
      </c>
      <c r="C1570" t="inlineStr">
        <is>
          <t>Föryngringsavverkning</t>
        </is>
      </c>
      <c r="D1570" s="1" t="n">
        <v>44728</v>
      </c>
      <c r="E1570" s="1" t="n">
        <v>46307</v>
      </c>
      <c r="F1570" t="inlineStr">
        <is>
          <t>VÄRMLANDS LÄN</t>
        </is>
      </c>
      <c r="G1570" t="inlineStr">
        <is>
          <t>TORSBY</t>
        </is>
      </c>
      <c r="I1570" t="n">
        <v>0.9</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45893-2022</t>
        </is>
      </c>
      <c r="B1571" t="inlineStr">
        <is>
          <t>avverkningsanmälan</t>
        </is>
      </c>
      <c r="C1571" t="inlineStr">
        <is>
          <t>Avverkning för att bevara och utveckla /försöksver</t>
        </is>
      </c>
      <c r="D1571" s="1" t="n">
        <v>44846</v>
      </c>
      <c r="E1571" s="1" t="n">
        <v>46307</v>
      </c>
      <c r="F1571" t="inlineStr">
        <is>
          <t>VÄRMLANDS LÄN</t>
        </is>
      </c>
      <c r="G1571" t="inlineStr">
        <is>
          <t>SÄFFLE</t>
        </is>
      </c>
      <c r="H1571" t="inlineStr">
        <is>
          <t>Kyrkan</t>
        </is>
      </c>
      <c r="I1571" t="n">
        <v>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32003-2022</t>
        </is>
      </c>
      <c r="B1572" t="inlineStr">
        <is>
          <t>avverkningsanmälan</t>
        </is>
      </c>
      <c r="C1572" t="inlineStr">
        <is>
          <t>Föryngringsavverkning</t>
        </is>
      </c>
      <c r="D1572" s="1" t="n">
        <v>44778</v>
      </c>
      <c r="E1572" s="1" t="n">
        <v>46307</v>
      </c>
      <c r="F1572" t="inlineStr">
        <is>
          <t>VÄRMLANDS LÄN</t>
        </is>
      </c>
      <c r="G1572" t="inlineStr">
        <is>
          <t>TORSBY</t>
        </is>
      </c>
      <c r="I1572" t="n">
        <v>1.4</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65900-2021</t>
        </is>
      </c>
      <c r="B1573" t="inlineStr">
        <is>
          <t>avverkningsanmälan</t>
        </is>
      </c>
      <c r="C1573" t="inlineStr">
        <is>
          <t>Föryngringsavverkning</t>
        </is>
      </c>
      <c r="D1573" s="1" t="n">
        <v>44517</v>
      </c>
      <c r="E1573" s="1" t="n">
        <v>46307</v>
      </c>
      <c r="F1573" t="inlineStr">
        <is>
          <t>VÄRMLANDS LÄN</t>
        </is>
      </c>
      <c r="G1573" t="inlineStr">
        <is>
          <t>KIL</t>
        </is>
      </c>
      <c r="I1573" t="n">
        <v>1.6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65910-2021</t>
        </is>
      </c>
      <c r="B1574" t="inlineStr">
        <is>
          <t>avverkningsanmälan</t>
        </is>
      </c>
      <c r="C1574" t="inlineStr">
        <is>
          <t>Föryngringsavverkning</t>
        </is>
      </c>
      <c r="D1574" s="1" t="n">
        <v>44517</v>
      </c>
      <c r="E1574" s="1" t="n">
        <v>46307</v>
      </c>
      <c r="F1574" t="inlineStr">
        <is>
          <t>VÄRMLANDS LÄN</t>
        </is>
      </c>
      <c r="G1574" t="inlineStr">
        <is>
          <t>SUNNE</t>
        </is>
      </c>
      <c r="I1574" t="n">
        <v>1.9</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70253-2021</t>
        </is>
      </c>
      <c r="B1575" t="inlineStr">
        <is>
          <t>avverkningsanmälan</t>
        </is>
      </c>
      <c r="C1575" t="inlineStr">
        <is>
          <t>Avverkning för annat ändamål</t>
        </is>
      </c>
      <c r="D1575" s="1" t="n">
        <v>44536</v>
      </c>
      <c r="E1575" s="1" t="n">
        <v>46307</v>
      </c>
      <c r="F1575" t="inlineStr">
        <is>
          <t>VÄRMLANDS LÄN</t>
        </is>
      </c>
      <c r="G1575" t="inlineStr">
        <is>
          <t>TORSBY</t>
        </is>
      </c>
      <c r="I1575" t="n">
        <v>4.3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14074-2022</t>
        </is>
      </c>
      <c r="B1576" t="inlineStr">
        <is>
          <t>avverkningsanmälan</t>
        </is>
      </c>
      <c r="C1576" t="inlineStr">
        <is>
          <t>Föryngringsavverkning</t>
        </is>
      </c>
      <c r="D1576" s="1" t="n">
        <v>44651</v>
      </c>
      <c r="E1576" s="1" t="n">
        <v>46307</v>
      </c>
      <c r="F1576" t="inlineStr">
        <is>
          <t>VÄRMLANDS LÄN</t>
        </is>
      </c>
      <c r="G1576" t="inlineStr">
        <is>
          <t>FILIPSTAD</t>
        </is>
      </c>
      <c r="H1576" t="inlineStr">
        <is>
          <t>Bergvik skog väst AB</t>
        </is>
      </c>
      <c r="I1576" t="n">
        <v>1.6</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70381-2021</t>
        </is>
      </c>
      <c r="B1577" t="inlineStr">
        <is>
          <t>avverkningsanmälan</t>
        </is>
      </c>
      <c r="C1577" t="inlineStr">
        <is>
          <t>Föryngringsavverkning</t>
        </is>
      </c>
      <c r="D1577" s="1" t="n">
        <v>44536</v>
      </c>
      <c r="E1577" s="1" t="n">
        <v>46307</v>
      </c>
      <c r="F1577" t="inlineStr">
        <is>
          <t>VÄRMLANDS LÄN</t>
        </is>
      </c>
      <c r="G1577" t="inlineStr">
        <is>
          <t>ARVIKA</t>
        </is>
      </c>
      <c r="I1577" t="n">
        <v>1.8</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35712-2022</t>
        </is>
      </c>
      <c r="B1578" t="inlineStr">
        <is>
          <t>avverkningsanmälan</t>
        </is>
      </c>
      <c r="C1578" t="inlineStr">
        <is>
          <t>Föryngringsavverkning</t>
        </is>
      </c>
      <c r="D1578" s="1" t="n">
        <v>44799</v>
      </c>
      <c r="E1578" s="1" t="n">
        <v>46307</v>
      </c>
      <c r="F1578" t="inlineStr">
        <is>
          <t>VÄRMLANDS LÄN</t>
        </is>
      </c>
      <c r="G1578" t="inlineStr">
        <is>
          <t>FILIPSTAD</t>
        </is>
      </c>
      <c r="H1578" t="inlineStr">
        <is>
          <t>Bergvik skog väst AB</t>
        </is>
      </c>
      <c r="I1578" t="n">
        <v>0.6</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41686-2022</t>
        </is>
      </c>
      <c r="B1579" t="inlineStr">
        <is>
          <t>avverkningsanmälan</t>
        </is>
      </c>
      <c r="C1579" t="inlineStr">
        <is>
          <t>Föryngringsavverkning</t>
        </is>
      </c>
      <c r="D1579" s="1" t="n">
        <v>44826</v>
      </c>
      <c r="E1579" s="1" t="n">
        <v>46307</v>
      </c>
      <c r="F1579" t="inlineStr">
        <is>
          <t>VÄRMLANDS LÄN</t>
        </is>
      </c>
      <c r="G1579" t="inlineStr">
        <is>
          <t>SÄFFLE</t>
        </is>
      </c>
      <c r="I1579" t="n">
        <v>0.6</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61834-2021</t>
        </is>
      </c>
      <c r="B1580" t="inlineStr">
        <is>
          <t>avverkningsanmälan</t>
        </is>
      </c>
      <c r="C1580" t="inlineStr">
        <is>
          <t>Föryngringsavverkning</t>
        </is>
      </c>
      <c r="D1580" s="1" t="n">
        <v>44501</v>
      </c>
      <c r="E1580" s="1" t="n">
        <v>46307</v>
      </c>
      <c r="F1580" t="inlineStr">
        <is>
          <t>VÄRMLANDS LÄN</t>
        </is>
      </c>
      <c r="G1580" t="inlineStr">
        <is>
          <t>ARVIKA</t>
        </is>
      </c>
      <c r="I1580" t="n">
        <v>0.7</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69024-2021</t>
        </is>
      </c>
      <c r="B1581" t="inlineStr">
        <is>
          <t>avverkningsanmälan</t>
        </is>
      </c>
      <c r="C1581" t="inlineStr">
        <is>
          <t>Föryngringsavverkning</t>
        </is>
      </c>
      <c r="D1581" s="1" t="n">
        <v>44530</v>
      </c>
      <c r="E1581" s="1" t="n">
        <v>46307</v>
      </c>
      <c r="F1581" t="inlineStr">
        <is>
          <t>VÄRMLANDS LÄN</t>
        </is>
      </c>
      <c r="G1581" t="inlineStr">
        <is>
          <t>ÅRJÄNG</t>
        </is>
      </c>
      <c r="I1581" t="n">
        <v>0.3</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9296-2022</t>
        </is>
      </c>
      <c r="B1582" t="inlineStr">
        <is>
          <t>avverkningsanmälan</t>
        </is>
      </c>
      <c r="C1582" t="inlineStr">
        <is>
          <t>Föryngringsavverkning</t>
        </is>
      </c>
      <c r="D1582" s="1" t="n">
        <v>44616</v>
      </c>
      <c r="E1582" s="1" t="n">
        <v>46307</v>
      </c>
      <c r="F1582" t="inlineStr">
        <is>
          <t>VÄRMLANDS LÄN</t>
        </is>
      </c>
      <c r="G1582" t="inlineStr">
        <is>
          <t>SÄFFLE</t>
        </is>
      </c>
      <c r="I1582" t="n">
        <v>12.1</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37040-2022</t>
        </is>
      </c>
      <c r="B1583" t="inlineStr">
        <is>
          <t>avverkningsanmälan</t>
        </is>
      </c>
      <c r="C1583" t="inlineStr">
        <is>
          <t>Föryngringsavverkning</t>
        </is>
      </c>
      <c r="D1583" s="1" t="n">
        <v>44806</v>
      </c>
      <c r="E1583" s="1" t="n">
        <v>46307</v>
      </c>
      <c r="F1583" t="inlineStr">
        <is>
          <t>VÄRMLANDS LÄN</t>
        </is>
      </c>
      <c r="G1583" t="inlineStr">
        <is>
          <t>SÄFFLE</t>
        </is>
      </c>
      <c r="I1583" t="n">
        <v>1</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37045-2022</t>
        </is>
      </c>
      <c r="B1584" t="inlineStr">
        <is>
          <t>avverkningsanmälan</t>
        </is>
      </c>
      <c r="C1584" t="inlineStr">
        <is>
          <t>Föryngringsavverkning</t>
        </is>
      </c>
      <c r="D1584" s="1" t="n">
        <v>44806</v>
      </c>
      <c r="E1584" s="1" t="n">
        <v>46307</v>
      </c>
      <c r="F1584" t="inlineStr">
        <is>
          <t>VÄRMLANDS LÄN</t>
        </is>
      </c>
      <c r="G1584" t="inlineStr">
        <is>
          <t>GRUMS</t>
        </is>
      </c>
      <c r="I1584" t="n">
        <v>2.9</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32438-2022</t>
        </is>
      </c>
      <c r="B1585" t="inlineStr">
        <is>
          <t>avverkningsanmälan</t>
        </is>
      </c>
      <c r="C1585" t="inlineStr">
        <is>
          <t>Föryngringsavverkning</t>
        </is>
      </c>
      <c r="D1585" s="1" t="n">
        <v>44782</v>
      </c>
      <c r="E1585" s="1" t="n">
        <v>46307</v>
      </c>
      <c r="F1585" t="inlineStr">
        <is>
          <t>VÄRMLANDS LÄN</t>
        </is>
      </c>
      <c r="G1585" t="inlineStr">
        <is>
          <t>TORSBY</t>
        </is>
      </c>
      <c r="I1585" t="n">
        <v>1.5</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40643-2022</t>
        </is>
      </c>
      <c r="B1586" t="inlineStr">
        <is>
          <t>avverkningsanmälan</t>
        </is>
      </c>
      <c r="C1586" t="inlineStr">
        <is>
          <t>Föryngringsavverkning</t>
        </is>
      </c>
      <c r="D1586" s="1" t="n">
        <v>44824</v>
      </c>
      <c r="E1586" s="1" t="n">
        <v>46307</v>
      </c>
      <c r="F1586" t="inlineStr">
        <is>
          <t>VÄRMLANDS LÄN</t>
        </is>
      </c>
      <c r="G1586" t="inlineStr">
        <is>
          <t>ÅRJÄNG</t>
        </is>
      </c>
      <c r="I1586" t="n">
        <v>0.4</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15497-2022</t>
        </is>
      </c>
      <c r="B1587" t="inlineStr">
        <is>
          <t>avverkningsanmälan</t>
        </is>
      </c>
      <c r="C1587" t="inlineStr">
        <is>
          <t>Avverkning för annat ändamål</t>
        </is>
      </c>
      <c r="D1587" s="1" t="n">
        <v>44662</v>
      </c>
      <c r="E1587" s="1" t="n">
        <v>46307</v>
      </c>
      <c r="F1587" t="inlineStr">
        <is>
          <t>VÄRMLANDS LÄN</t>
        </is>
      </c>
      <c r="G1587" t="inlineStr">
        <is>
          <t>EDA</t>
        </is>
      </c>
      <c r="I1587" t="n">
        <v>1</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74085-2021</t>
        </is>
      </c>
      <c r="B1588" t="inlineStr">
        <is>
          <t>avverkningsanmälan</t>
        </is>
      </c>
      <c r="C1588" t="inlineStr">
        <is>
          <t>Föryngringsavverkning</t>
        </is>
      </c>
      <c r="D1588" s="1" t="n">
        <v>44557</v>
      </c>
      <c r="E1588" s="1" t="n">
        <v>46307</v>
      </c>
      <c r="F1588" t="inlineStr">
        <is>
          <t>VÄRMLANDS LÄN</t>
        </is>
      </c>
      <c r="G1588" t="inlineStr">
        <is>
          <t>EDA</t>
        </is>
      </c>
      <c r="H1588" t="inlineStr">
        <is>
          <t>Övriga Aktiebolag</t>
        </is>
      </c>
      <c r="I1588" t="n">
        <v>4.8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74166-2021</t>
        </is>
      </c>
      <c r="B1589" t="inlineStr">
        <is>
          <t>avverkningsanmälan</t>
        </is>
      </c>
      <c r="C1589" t="inlineStr">
        <is>
          <t>Föryngringsavverkning</t>
        </is>
      </c>
      <c r="D1589" s="1" t="n">
        <v>44558</v>
      </c>
      <c r="E1589" s="1" t="n">
        <v>46307</v>
      </c>
      <c r="F1589" t="inlineStr">
        <is>
          <t>VÄRMLANDS LÄN</t>
        </is>
      </c>
      <c r="G1589" t="inlineStr">
        <is>
          <t>ÅRJÄNG</t>
        </is>
      </c>
      <c r="I1589" t="n">
        <v>1.4</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66376-2021</t>
        </is>
      </c>
      <c r="B1590" t="inlineStr">
        <is>
          <t>avverkningsanmälan</t>
        </is>
      </c>
      <c r="C1590" t="inlineStr">
        <is>
          <t>Föryngringsavverkning</t>
        </is>
      </c>
      <c r="D1590" s="1" t="n">
        <v>44518</v>
      </c>
      <c r="E1590" s="1" t="n">
        <v>46307</v>
      </c>
      <c r="F1590" t="inlineStr">
        <is>
          <t>VÄRMLANDS LÄN</t>
        </is>
      </c>
      <c r="G1590" t="inlineStr">
        <is>
          <t>FILIPSTAD</t>
        </is>
      </c>
      <c r="H1590" t="inlineStr">
        <is>
          <t>Bergvik skog väst AB</t>
        </is>
      </c>
      <c r="I1590" t="n">
        <v>9.800000000000001</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69281-2021</t>
        </is>
      </c>
      <c r="B1591" t="inlineStr">
        <is>
          <t>avverkningsanmälan</t>
        </is>
      </c>
      <c r="C1591" t="inlineStr">
        <is>
          <t>Föryngringsavverkning</t>
        </is>
      </c>
      <c r="D1591" s="1" t="n">
        <v>44526</v>
      </c>
      <c r="E1591" s="1" t="n">
        <v>46307</v>
      </c>
      <c r="F1591" t="inlineStr">
        <is>
          <t>VÄRMLANDS LÄN</t>
        </is>
      </c>
      <c r="G1591" t="inlineStr">
        <is>
          <t>TORSBY</t>
        </is>
      </c>
      <c r="I1591" t="n">
        <v>7.5</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9799-2022</t>
        </is>
      </c>
      <c r="B1592" t="inlineStr">
        <is>
          <t>avverkningsanmälan</t>
        </is>
      </c>
      <c r="C1592" t="inlineStr">
        <is>
          <t>Föryngringsavverkning</t>
        </is>
      </c>
      <c r="D1592" s="1" t="n">
        <v>44620</v>
      </c>
      <c r="E1592" s="1" t="n">
        <v>46307</v>
      </c>
      <c r="F1592" t="inlineStr">
        <is>
          <t>VÄRMLANDS LÄN</t>
        </is>
      </c>
      <c r="G1592" t="inlineStr">
        <is>
          <t>GRUMS</t>
        </is>
      </c>
      <c r="I1592" t="n">
        <v>1.6</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59746-2021</t>
        </is>
      </c>
      <c r="B1593" t="inlineStr">
        <is>
          <t>avverkningsanmälan</t>
        </is>
      </c>
      <c r="C1593" t="inlineStr">
        <is>
          <t>Föryngringsavverkning</t>
        </is>
      </c>
      <c r="D1593" s="1" t="n">
        <v>44494</v>
      </c>
      <c r="E1593" s="1" t="n">
        <v>46307</v>
      </c>
      <c r="F1593" t="inlineStr">
        <is>
          <t>VÄRMLANDS LÄN</t>
        </is>
      </c>
      <c r="G1593" t="inlineStr">
        <is>
          <t>GRUMS</t>
        </is>
      </c>
      <c r="I1593" t="n">
        <v>1.6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72658-2021</t>
        </is>
      </c>
      <c r="B1594" t="inlineStr">
        <is>
          <t>avverkningsanmälan</t>
        </is>
      </c>
      <c r="C1594" t="inlineStr">
        <is>
          <t>Föryngringsavverkning</t>
        </is>
      </c>
      <c r="D1594" s="1" t="n">
        <v>44546</v>
      </c>
      <c r="E1594" s="1" t="n">
        <v>46307</v>
      </c>
      <c r="F1594" t="inlineStr">
        <is>
          <t>VÄRMLANDS LÄN</t>
        </is>
      </c>
      <c r="G1594" t="inlineStr">
        <is>
          <t>SUNNE</t>
        </is>
      </c>
      <c r="I1594" t="n">
        <v>1.5</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72722-2021</t>
        </is>
      </c>
      <c r="B1595" t="inlineStr">
        <is>
          <t>avverkningsanmälan</t>
        </is>
      </c>
      <c r="C1595" t="inlineStr">
        <is>
          <t>Föryngringsavverkning</t>
        </is>
      </c>
      <c r="D1595" s="1" t="n">
        <v>44546</v>
      </c>
      <c r="E1595" s="1" t="n">
        <v>46307</v>
      </c>
      <c r="F1595" t="inlineStr">
        <is>
          <t>VÄRMLANDS LÄN</t>
        </is>
      </c>
      <c r="G1595" t="inlineStr">
        <is>
          <t>EDA</t>
        </is>
      </c>
      <c r="I1595" t="n">
        <v>0.3</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29142-2022</t>
        </is>
      </c>
      <c r="B1596" t="inlineStr">
        <is>
          <t>avverkningsanmälan</t>
        </is>
      </c>
      <c r="C1596" t="inlineStr">
        <is>
          <t>Föryngringsavverkning</t>
        </is>
      </c>
      <c r="D1596" s="1" t="n">
        <v>44750</v>
      </c>
      <c r="E1596" s="1" t="n">
        <v>46307</v>
      </c>
      <c r="F1596" t="inlineStr">
        <is>
          <t>VÄRMLANDS LÄN</t>
        </is>
      </c>
      <c r="G1596" t="inlineStr">
        <is>
          <t>TORSBY</t>
        </is>
      </c>
      <c r="I1596" t="n">
        <v>2.3</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9080-2022</t>
        </is>
      </c>
      <c r="B1597" t="inlineStr">
        <is>
          <t>avverkningsanmälan</t>
        </is>
      </c>
      <c r="C1597" t="inlineStr">
        <is>
          <t>Föryngringsavverkning</t>
        </is>
      </c>
      <c r="D1597" s="1" t="n">
        <v>44615</v>
      </c>
      <c r="E1597" s="1" t="n">
        <v>46307</v>
      </c>
      <c r="F1597" t="inlineStr">
        <is>
          <t>VÄRMLANDS LÄN</t>
        </is>
      </c>
      <c r="G1597" t="inlineStr">
        <is>
          <t>ARVIKA</t>
        </is>
      </c>
      <c r="I1597" t="n">
        <v>3.3</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10765-2022</t>
        </is>
      </c>
      <c r="B1598" t="inlineStr">
        <is>
          <t>avverkningsanmälan</t>
        </is>
      </c>
      <c r="C1598" t="inlineStr">
        <is>
          <t>Föryngringsavverkning</t>
        </is>
      </c>
      <c r="D1598" s="1" t="n">
        <v>44627</v>
      </c>
      <c r="E1598" s="1" t="n">
        <v>46307</v>
      </c>
      <c r="F1598" t="inlineStr">
        <is>
          <t>VÄRMLANDS LÄN</t>
        </is>
      </c>
      <c r="G1598" t="inlineStr">
        <is>
          <t>FORSHAGA</t>
        </is>
      </c>
      <c r="I1598" t="n">
        <v>6.1</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17512-2022</t>
        </is>
      </c>
      <c r="B1599" t="inlineStr">
        <is>
          <t>avverkningsanmälan</t>
        </is>
      </c>
      <c r="C1599" t="inlineStr">
        <is>
          <t>Föryngringsavverkning</t>
        </is>
      </c>
      <c r="D1599" s="1" t="n">
        <v>44679</v>
      </c>
      <c r="E1599" s="1" t="n">
        <v>46307</v>
      </c>
      <c r="F1599" t="inlineStr">
        <is>
          <t>VÄRMLANDS LÄN</t>
        </is>
      </c>
      <c r="G1599" t="inlineStr">
        <is>
          <t>SUNNE</t>
        </is>
      </c>
      <c r="I1599" t="n">
        <v>0.5</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24600-2022</t>
        </is>
      </c>
      <c r="B1600" t="inlineStr">
        <is>
          <t>avverkningsanmälan</t>
        </is>
      </c>
      <c r="C1600" t="inlineStr">
        <is>
          <t>Föryngringsavverkning</t>
        </is>
      </c>
      <c r="D1600" s="1" t="n">
        <v>44727</v>
      </c>
      <c r="E1600" s="1" t="n">
        <v>46307</v>
      </c>
      <c r="F1600" t="inlineStr">
        <is>
          <t>VÄRMLANDS LÄN</t>
        </is>
      </c>
      <c r="G1600" t="inlineStr">
        <is>
          <t>SUNNE</t>
        </is>
      </c>
      <c r="I1600" t="n">
        <v>3.5</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60713-2021</t>
        </is>
      </c>
      <c r="B1601" t="inlineStr">
        <is>
          <t>avverkningsanmälan</t>
        </is>
      </c>
      <c r="C1601" t="inlineStr">
        <is>
          <t>Föryngringsavverkning</t>
        </is>
      </c>
      <c r="D1601" s="1" t="n">
        <v>44496</v>
      </c>
      <c r="E1601" s="1" t="n">
        <v>46307</v>
      </c>
      <c r="F1601" t="inlineStr">
        <is>
          <t>VÄRMLANDS LÄN</t>
        </is>
      </c>
      <c r="G1601" t="inlineStr">
        <is>
          <t>ÅRJÄNG</t>
        </is>
      </c>
      <c r="I1601" t="n">
        <v>9.199999999999999</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23078-2022</t>
        </is>
      </c>
      <c r="B1602" t="inlineStr">
        <is>
          <t>avverkningsanmälan</t>
        </is>
      </c>
      <c r="C1602" t="inlineStr">
        <is>
          <t>Avverkning för annat ändamål</t>
        </is>
      </c>
      <c r="D1602" s="1" t="n">
        <v>44718</v>
      </c>
      <c r="E1602" s="1" t="n">
        <v>46307</v>
      </c>
      <c r="F1602" t="inlineStr">
        <is>
          <t>VÄRMLANDS LÄN</t>
        </is>
      </c>
      <c r="G1602" t="inlineStr">
        <is>
          <t>ARVIKA</t>
        </is>
      </c>
      <c r="I1602" t="n">
        <v>1.6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73208-2021</t>
        </is>
      </c>
      <c r="B1603" t="inlineStr">
        <is>
          <t>avverkningsanmälan</t>
        </is>
      </c>
      <c r="C1603" t="inlineStr">
        <is>
          <t>Föryngringsavverkning</t>
        </is>
      </c>
      <c r="D1603" s="1" t="n">
        <v>44550</v>
      </c>
      <c r="E1603" s="1" t="n">
        <v>46307</v>
      </c>
      <c r="F1603" t="inlineStr">
        <is>
          <t>VÄRMLANDS LÄN</t>
        </is>
      </c>
      <c r="G1603" t="inlineStr">
        <is>
          <t>ARVIKA</t>
        </is>
      </c>
      <c r="I1603" t="n">
        <v>3</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38894-2022</t>
        </is>
      </c>
      <c r="B1604" t="inlineStr">
        <is>
          <t>avverkningsanmälan</t>
        </is>
      </c>
      <c r="C1604" t="inlineStr">
        <is>
          <t>Föryngringsavverkning</t>
        </is>
      </c>
      <c r="D1604" s="1" t="n">
        <v>44816</v>
      </c>
      <c r="E1604" s="1" t="n">
        <v>46307</v>
      </c>
      <c r="F1604" t="inlineStr">
        <is>
          <t>VÄRMLANDS LÄN</t>
        </is>
      </c>
      <c r="G1604" t="inlineStr">
        <is>
          <t>ARVIKA</t>
        </is>
      </c>
      <c r="I1604" t="n">
        <v>0.6</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73318-2021</t>
        </is>
      </c>
      <c r="B1605" t="inlineStr">
        <is>
          <t>avverkningsanmälan</t>
        </is>
      </c>
      <c r="C1605" t="inlineStr">
        <is>
          <t>Föryngringsavverkning</t>
        </is>
      </c>
      <c r="D1605" s="1" t="n">
        <v>44550</v>
      </c>
      <c r="E1605" s="1" t="n">
        <v>46307</v>
      </c>
      <c r="F1605" t="inlineStr">
        <is>
          <t>VÄRMLANDS LÄN</t>
        </is>
      </c>
      <c r="G1605" t="inlineStr">
        <is>
          <t>KARLSTAD</t>
        </is>
      </c>
      <c r="I1605" t="n">
        <v>2</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73322-2021</t>
        </is>
      </c>
      <c r="B1606" t="inlineStr">
        <is>
          <t>avverkningsanmälan</t>
        </is>
      </c>
      <c r="C1606" t="inlineStr">
        <is>
          <t>Föryngringsavverkning</t>
        </is>
      </c>
      <c r="D1606" s="1" t="n">
        <v>44551</v>
      </c>
      <c r="E1606" s="1" t="n">
        <v>46307</v>
      </c>
      <c r="F1606" t="inlineStr">
        <is>
          <t>VÄRMLANDS LÄN</t>
        </is>
      </c>
      <c r="G1606" t="inlineStr">
        <is>
          <t>SUNNE</t>
        </is>
      </c>
      <c r="I1606" t="n">
        <v>1.2</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72410-2021</t>
        </is>
      </c>
      <c r="B1607" t="inlineStr">
        <is>
          <t>avverkningsanmälan</t>
        </is>
      </c>
      <c r="C1607" t="inlineStr">
        <is>
          <t>Föryngringsavverkning</t>
        </is>
      </c>
      <c r="D1607" s="1" t="n">
        <v>44545</v>
      </c>
      <c r="E1607" s="1" t="n">
        <v>46307</v>
      </c>
      <c r="F1607" t="inlineStr">
        <is>
          <t>VÄRMLANDS LÄN</t>
        </is>
      </c>
      <c r="G1607" t="inlineStr">
        <is>
          <t>SUNNE</t>
        </is>
      </c>
      <c r="I1607" t="n">
        <v>2.2</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56762-2021</t>
        </is>
      </c>
      <c r="B1608" t="inlineStr">
        <is>
          <t>avverkningsanmälan</t>
        </is>
      </c>
      <c r="C1608" t="inlineStr">
        <is>
          <t>Föryngringsavverkning</t>
        </is>
      </c>
      <c r="D1608" s="1" t="n">
        <v>44481</v>
      </c>
      <c r="E1608" s="1" t="n">
        <v>46307</v>
      </c>
      <c r="F1608" t="inlineStr">
        <is>
          <t>VÄRMLANDS LÄN</t>
        </is>
      </c>
      <c r="G1608" t="inlineStr">
        <is>
          <t>KIL</t>
        </is>
      </c>
      <c r="I1608" t="n">
        <v>1.6</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29520-2022</t>
        </is>
      </c>
      <c r="B1609" t="inlineStr">
        <is>
          <t>avverkningsanmälan</t>
        </is>
      </c>
      <c r="C1609" t="inlineStr">
        <is>
          <t>Föryngringsavverkning</t>
        </is>
      </c>
      <c r="D1609" s="1" t="n">
        <v>44753</v>
      </c>
      <c r="E1609" s="1" t="n">
        <v>46307</v>
      </c>
      <c r="F1609" t="inlineStr">
        <is>
          <t>VÄRMLANDS LÄN</t>
        </is>
      </c>
      <c r="G1609" t="inlineStr">
        <is>
          <t>FORSHAGA</t>
        </is>
      </c>
      <c r="H1609" t="inlineStr">
        <is>
          <t>Kommuner</t>
        </is>
      </c>
      <c r="I1609" t="n">
        <v>0.8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60715-2021</t>
        </is>
      </c>
      <c r="B1610" t="inlineStr">
        <is>
          <t>avverkningsanmälan</t>
        </is>
      </c>
      <c r="C1610" t="inlineStr">
        <is>
          <t>Föryngringsavverkning</t>
        </is>
      </c>
      <c r="D1610" s="1" t="n">
        <v>44496</v>
      </c>
      <c r="E1610" s="1" t="n">
        <v>46307</v>
      </c>
      <c r="F1610" t="inlineStr">
        <is>
          <t>VÄRMLANDS LÄN</t>
        </is>
      </c>
      <c r="G1610" t="inlineStr">
        <is>
          <t>ÅRJÄNG</t>
        </is>
      </c>
      <c r="I1610" t="n">
        <v>7.4</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8577-2022</t>
        </is>
      </c>
      <c r="B1611" t="inlineStr">
        <is>
          <t>avverkningsanmälan</t>
        </is>
      </c>
      <c r="C1611" t="inlineStr">
        <is>
          <t>Avverkning för att bevara och utveckla /försöksver</t>
        </is>
      </c>
      <c r="D1611" s="1" t="n">
        <v>44613</v>
      </c>
      <c r="E1611" s="1" t="n">
        <v>46307</v>
      </c>
      <c r="F1611" t="inlineStr">
        <is>
          <t>VÄRMLANDS LÄN</t>
        </is>
      </c>
      <c r="G1611" t="inlineStr">
        <is>
          <t>HAGFORS</t>
        </is>
      </c>
      <c r="H1611" t="inlineStr">
        <is>
          <t>Bergvik skog väst AB</t>
        </is>
      </c>
      <c r="I1611" t="n">
        <v>1.9</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45303-2022</t>
        </is>
      </c>
      <c r="B1612" t="inlineStr">
        <is>
          <t>avverkningsanmälan</t>
        </is>
      </c>
      <c r="C1612" t="inlineStr">
        <is>
          <t>Föryngringsavverkning</t>
        </is>
      </c>
      <c r="D1612" s="1" t="n">
        <v>44844</v>
      </c>
      <c r="E1612" s="1" t="n">
        <v>46307</v>
      </c>
      <c r="F1612" t="inlineStr">
        <is>
          <t>VÄRMLANDS LÄN</t>
        </is>
      </c>
      <c r="G1612" t="inlineStr">
        <is>
          <t>TORSBY</t>
        </is>
      </c>
      <c r="I1612" t="n">
        <v>1</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73138-2021</t>
        </is>
      </c>
      <c r="B1613" t="inlineStr">
        <is>
          <t>avverkningsanmälan</t>
        </is>
      </c>
      <c r="C1613" t="inlineStr">
        <is>
          <t>Föryngringsavverkning</t>
        </is>
      </c>
      <c r="D1613" s="1" t="n">
        <v>44550</v>
      </c>
      <c r="E1613" s="1" t="n">
        <v>46307</v>
      </c>
      <c r="F1613" t="inlineStr">
        <is>
          <t>VÄRMLANDS LÄN</t>
        </is>
      </c>
      <c r="G1613" t="inlineStr">
        <is>
          <t>ÅRJÄNG</t>
        </is>
      </c>
      <c r="I1613" t="n">
        <v>4.3</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41551-2022</t>
        </is>
      </c>
      <c r="B1614" t="inlineStr">
        <is>
          <t>avverkningsanmälan</t>
        </is>
      </c>
      <c r="C1614" t="inlineStr">
        <is>
          <t>Föryngringsavverkning</t>
        </is>
      </c>
      <c r="D1614" s="1" t="n">
        <v>44825</v>
      </c>
      <c r="E1614" s="1" t="n">
        <v>46307</v>
      </c>
      <c r="F1614" t="inlineStr">
        <is>
          <t>VÄRMLANDS LÄN</t>
        </is>
      </c>
      <c r="G1614" t="inlineStr">
        <is>
          <t>KRISTINEHAMN</t>
        </is>
      </c>
      <c r="I1614" t="n">
        <v>1</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3443-2022</t>
        </is>
      </c>
      <c r="B1615" t="inlineStr">
        <is>
          <t>avverkningsanmälan</t>
        </is>
      </c>
      <c r="C1615" t="inlineStr">
        <is>
          <t>Föryngringsavverkning</t>
        </is>
      </c>
      <c r="D1615" s="1" t="n">
        <v>44585</v>
      </c>
      <c r="E1615" s="1" t="n">
        <v>46307</v>
      </c>
      <c r="F1615" t="inlineStr">
        <is>
          <t>VÄRMLANDS LÄN</t>
        </is>
      </c>
      <c r="G1615" t="inlineStr">
        <is>
          <t>ARVIKA</t>
        </is>
      </c>
      <c r="I1615" t="n">
        <v>0.2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44554-2022</t>
        </is>
      </c>
      <c r="B1616" t="inlineStr">
        <is>
          <t>avverkningsanmälan</t>
        </is>
      </c>
      <c r="C1616" t="inlineStr">
        <is>
          <t>Föryngringsavverkning</t>
        </is>
      </c>
      <c r="D1616" s="1" t="n">
        <v>44840</v>
      </c>
      <c r="E1616" s="1" t="n">
        <v>46307</v>
      </c>
      <c r="F1616" t="inlineStr">
        <is>
          <t>VÄRMLANDS LÄN</t>
        </is>
      </c>
      <c r="G1616" t="inlineStr">
        <is>
          <t>SÄFFLE</t>
        </is>
      </c>
      <c r="I1616" t="n">
        <v>6.3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44561-2022</t>
        </is>
      </c>
      <c r="B1617" t="inlineStr">
        <is>
          <t>avverkningsanmälan</t>
        </is>
      </c>
      <c r="C1617" t="inlineStr">
        <is>
          <t>Föryngringsavverkning</t>
        </is>
      </c>
      <c r="D1617" s="1" t="n">
        <v>44840</v>
      </c>
      <c r="E1617" s="1" t="n">
        <v>46307</v>
      </c>
      <c r="F1617" t="inlineStr">
        <is>
          <t>VÄRMLANDS LÄN</t>
        </is>
      </c>
      <c r="G1617" t="inlineStr">
        <is>
          <t>SÄFFLE</t>
        </is>
      </c>
      <c r="I1617" t="n">
        <v>6.6</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22719-2022</t>
        </is>
      </c>
      <c r="B1618" t="inlineStr">
        <is>
          <t>avverkningsanmälan</t>
        </is>
      </c>
      <c r="C1618" t="inlineStr">
        <is>
          <t>Föryngringsavverkning</t>
        </is>
      </c>
      <c r="D1618" s="1" t="n">
        <v>44714</v>
      </c>
      <c r="E1618" s="1" t="n">
        <v>46307</v>
      </c>
      <c r="F1618" t="inlineStr">
        <is>
          <t>VÄRMLANDS LÄN</t>
        </is>
      </c>
      <c r="G1618" t="inlineStr">
        <is>
          <t>EDA</t>
        </is>
      </c>
      <c r="I1618" t="n">
        <v>1.8</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74147-2021</t>
        </is>
      </c>
      <c r="B1619" t="inlineStr">
        <is>
          <t>avverkningsanmälan</t>
        </is>
      </c>
      <c r="C1619" t="inlineStr">
        <is>
          <t>Föryngringsavverkning</t>
        </is>
      </c>
      <c r="D1619" s="1" t="n">
        <v>44557</v>
      </c>
      <c r="E1619" s="1" t="n">
        <v>46307</v>
      </c>
      <c r="F1619" t="inlineStr">
        <is>
          <t>VÄRMLANDS LÄN</t>
        </is>
      </c>
      <c r="G1619" t="inlineStr">
        <is>
          <t>SÄFFLE</t>
        </is>
      </c>
      <c r="I1619" t="n">
        <v>6.5</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74189-2021</t>
        </is>
      </c>
      <c r="B1620" t="inlineStr">
        <is>
          <t>avverkningsanmälan</t>
        </is>
      </c>
      <c r="C1620" t="inlineStr">
        <is>
          <t>Föryngringsavverkning</t>
        </is>
      </c>
      <c r="D1620" s="1" t="n">
        <v>44553</v>
      </c>
      <c r="E1620" s="1" t="n">
        <v>46307</v>
      </c>
      <c r="F1620" t="inlineStr">
        <is>
          <t>VÄRMLANDS LÄN</t>
        </is>
      </c>
      <c r="G1620" t="inlineStr">
        <is>
          <t>ÅRJÄNG</t>
        </is>
      </c>
      <c r="I1620" t="n">
        <v>1.9</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53721-2022</t>
        </is>
      </c>
      <c r="B1621" t="inlineStr">
        <is>
          <t>avverkningsanmälan</t>
        </is>
      </c>
      <c r="C1621" t="inlineStr">
        <is>
          <t>Föryngringsavverkning</t>
        </is>
      </c>
      <c r="D1621" s="1" t="n">
        <v>44880</v>
      </c>
      <c r="E1621" s="1" t="n">
        <v>46307</v>
      </c>
      <c r="F1621" t="inlineStr">
        <is>
          <t>VÄRMLANDS LÄN</t>
        </is>
      </c>
      <c r="G1621" t="inlineStr">
        <is>
          <t>KRISTINEHAMN</t>
        </is>
      </c>
      <c r="I1621" t="n">
        <v>0.6</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53913-2022</t>
        </is>
      </c>
      <c r="B1622" t="inlineStr">
        <is>
          <t>avverkningsanmälan</t>
        </is>
      </c>
      <c r="C1622" t="inlineStr">
        <is>
          <t>Föryngringsavverkning</t>
        </is>
      </c>
      <c r="D1622" s="1" t="n">
        <v>44880</v>
      </c>
      <c r="E1622" s="1" t="n">
        <v>46307</v>
      </c>
      <c r="F1622" t="inlineStr">
        <is>
          <t>VÄRMLANDS LÄN</t>
        </is>
      </c>
      <c r="G1622" t="inlineStr">
        <is>
          <t>FORSHAGA</t>
        </is>
      </c>
      <c r="I1622" t="n">
        <v>0.6</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13757-2022</t>
        </is>
      </c>
      <c r="B1623" t="inlineStr">
        <is>
          <t>avverkningsanmälan</t>
        </is>
      </c>
      <c r="C1623" t="inlineStr">
        <is>
          <t>Föryngringsavverkning</t>
        </is>
      </c>
      <c r="D1623" s="1" t="n">
        <v>44649</v>
      </c>
      <c r="E1623" s="1" t="n">
        <v>46307</v>
      </c>
      <c r="F1623" t="inlineStr">
        <is>
          <t>VÄRMLANDS LÄN</t>
        </is>
      </c>
      <c r="G1623" t="inlineStr">
        <is>
          <t>SÄFFLE</t>
        </is>
      </c>
      <c r="I1623" t="n">
        <v>15.1</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33181-2022</t>
        </is>
      </c>
      <c r="B1624" t="inlineStr">
        <is>
          <t>avverkningsanmälan</t>
        </is>
      </c>
      <c r="C1624" t="inlineStr">
        <is>
          <t>Föryngringsavverkning</t>
        </is>
      </c>
      <c r="D1624" s="1" t="n">
        <v>44785</v>
      </c>
      <c r="E1624" s="1" t="n">
        <v>46307</v>
      </c>
      <c r="F1624" t="inlineStr">
        <is>
          <t>VÄRMLANDS LÄN</t>
        </is>
      </c>
      <c r="G1624" t="inlineStr">
        <is>
          <t>TORSBY</t>
        </is>
      </c>
      <c r="I1624" t="n">
        <v>0.7</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21515-2022</t>
        </is>
      </c>
      <c r="B1625" t="inlineStr">
        <is>
          <t>avverkningsanmälan</t>
        </is>
      </c>
      <c r="C1625" t="inlineStr">
        <is>
          <t>Föryngringsavverkning</t>
        </is>
      </c>
      <c r="D1625" s="1" t="n">
        <v>44706</v>
      </c>
      <c r="E1625" s="1" t="n">
        <v>46307</v>
      </c>
      <c r="F1625" t="inlineStr">
        <is>
          <t>VÄRMLANDS LÄN</t>
        </is>
      </c>
      <c r="G1625" t="inlineStr">
        <is>
          <t>KRISTINEHAMN</t>
        </is>
      </c>
      <c r="I1625" t="n">
        <v>2.6</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33907-2022</t>
        </is>
      </c>
      <c r="B1626" t="inlineStr">
        <is>
          <t>avverkningsanmälan</t>
        </is>
      </c>
      <c r="C1626" t="inlineStr">
        <is>
          <t>Föryngringsavverkning</t>
        </is>
      </c>
      <c r="D1626" s="1" t="n">
        <v>44790</v>
      </c>
      <c r="E1626" s="1" t="n">
        <v>46307</v>
      </c>
      <c r="F1626" t="inlineStr">
        <is>
          <t>VÄRMLANDS LÄN</t>
        </is>
      </c>
      <c r="G1626" t="inlineStr">
        <is>
          <t>KIL</t>
        </is>
      </c>
      <c r="H1626" t="inlineStr">
        <is>
          <t>Kommuner</t>
        </is>
      </c>
      <c r="I1626" t="n">
        <v>2.1</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60428-2021</t>
        </is>
      </c>
      <c r="B1627" t="inlineStr">
        <is>
          <t>avverkningsanmälan</t>
        </is>
      </c>
      <c r="C1627" t="inlineStr">
        <is>
          <t>Föryngringsavverkning</t>
        </is>
      </c>
      <c r="D1627" s="1" t="n">
        <v>44496</v>
      </c>
      <c r="E1627" s="1" t="n">
        <v>46307</v>
      </c>
      <c r="F1627" t="inlineStr">
        <is>
          <t>VÄRMLANDS LÄN</t>
        </is>
      </c>
      <c r="G1627" t="inlineStr">
        <is>
          <t>TORSBY</t>
        </is>
      </c>
      <c r="I1627" t="n">
        <v>0.5</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13156-2022</t>
        </is>
      </c>
      <c r="B1628" t="inlineStr">
        <is>
          <t>avverkningsanmälan</t>
        </is>
      </c>
      <c r="C1628" t="inlineStr">
        <is>
          <t>Föryngringsavverkning</t>
        </is>
      </c>
      <c r="D1628" s="1" t="n">
        <v>44643</v>
      </c>
      <c r="E1628" s="1" t="n">
        <v>46307</v>
      </c>
      <c r="F1628" t="inlineStr">
        <is>
          <t>VÄRMLANDS LÄN</t>
        </is>
      </c>
      <c r="G1628" t="inlineStr">
        <is>
          <t>ÅRJÄNG</t>
        </is>
      </c>
      <c r="I1628" t="n">
        <v>7.8</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44783-2022</t>
        </is>
      </c>
      <c r="B1629" t="inlineStr">
        <is>
          <t>avverkningsanmälan</t>
        </is>
      </c>
      <c r="C1629" t="inlineStr">
        <is>
          <t>Föryngringsavverkning</t>
        </is>
      </c>
      <c r="D1629" s="1" t="n">
        <v>44841</v>
      </c>
      <c r="E1629" s="1" t="n">
        <v>46307</v>
      </c>
      <c r="F1629" t="inlineStr">
        <is>
          <t>VÄRMLANDS LÄN</t>
        </is>
      </c>
      <c r="G1629" t="inlineStr">
        <is>
          <t>STORFORS</t>
        </is>
      </c>
      <c r="I1629" t="n">
        <v>0.7</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9138-2022</t>
        </is>
      </c>
      <c r="B1630" t="inlineStr">
        <is>
          <t>avverkningsanmälan</t>
        </is>
      </c>
      <c r="C1630" t="inlineStr">
        <is>
          <t>Föryngringsavverkning</t>
        </is>
      </c>
      <c r="D1630" s="1" t="n">
        <v>44615</v>
      </c>
      <c r="E1630" s="1" t="n">
        <v>46307</v>
      </c>
      <c r="F1630" t="inlineStr">
        <is>
          <t>VÄRMLANDS LÄN</t>
        </is>
      </c>
      <c r="G1630" t="inlineStr">
        <is>
          <t>SUNNE</t>
        </is>
      </c>
      <c r="I1630" t="n">
        <v>1.2</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27686-2022</t>
        </is>
      </c>
      <c r="B1631" t="inlineStr">
        <is>
          <t>avverkningsanmälan</t>
        </is>
      </c>
      <c r="C1631" t="inlineStr">
        <is>
          <t>Föryngringsavverkning</t>
        </is>
      </c>
      <c r="D1631" s="1" t="n">
        <v>44743</v>
      </c>
      <c r="E1631" s="1" t="n">
        <v>46307</v>
      </c>
      <c r="F1631" t="inlineStr">
        <is>
          <t>VÄRMLANDS LÄN</t>
        </is>
      </c>
      <c r="G1631" t="inlineStr">
        <is>
          <t>TORSBY</t>
        </is>
      </c>
      <c r="I1631" t="n">
        <v>1.5</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61373-2021</t>
        </is>
      </c>
      <c r="B1632" t="inlineStr">
        <is>
          <t>avverkningsanmälan</t>
        </is>
      </c>
      <c r="C1632" t="inlineStr">
        <is>
          <t>Föryngringsavverkning</t>
        </is>
      </c>
      <c r="D1632" s="1" t="n">
        <v>44499</v>
      </c>
      <c r="E1632" s="1" t="n">
        <v>46307</v>
      </c>
      <c r="F1632" t="inlineStr">
        <is>
          <t>VÄRMLANDS LÄN</t>
        </is>
      </c>
      <c r="G1632" t="inlineStr">
        <is>
          <t>SUNNE</t>
        </is>
      </c>
      <c r="I1632" t="n">
        <v>0.4</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39194-2022</t>
        </is>
      </c>
      <c r="B1633" t="inlineStr">
        <is>
          <t>avverkningsanmälan</t>
        </is>
      </c>
      <c r="C1633" t="inlineStr">
        <is>
          <t>Föryngringsavverkning</t>
        </is>
      </c>
      <c r="D1633" s="1" t="n">
        <v>44817</v>
      </c>
      <c r="E1633" s="1" t="n">
        <v>46307</v>
      </c>
      <c r="F1633" t="inlineStr">
        <is>
          <t>VÄRMLANDS LÄN</t>
        </is>
      </c>
      <c r="G1633" t="inlineStr">
        <is>
          <t>EDA</t>
        </is>
      </c>
      <c r="I1633" t="n">
        <v>0.6</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9407-2022</t>
        </is>
      </c>
      <c r="B1634" t="inlineStr">
        <is>
          <t>avverkningsanmälan</t>
        </is>
      </c>
      <c r="C1634" t="inlineStr">
        <is>
          <t>Föryngringsavverkning</t>
        </is>
      </c>
      <c r="D1634" s="1" t="n">
        <v>44616</v>
      </c>
      <c r="E1634" s="1" t="n">
        <v>46307</v>
      </c>
      <c r="F1634" t="inlineStr">
        <is>
          <t>VÄRMLANDS LÄN</t>
        </is>
      </c>
      <c r="G1634" t="inlineStr">
        <is>
          <t>ÅRJÄNG</t>
        </is>
      </c>
      <c r="I1634" t="n">
        <v>0.9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35851-2022</t>
        </is>
      </c>
      <c r="B1635" t="inlineStr">
        <is>
          <t>avverkningsanmälan</t>
        </is>
      </c>
      <c r="C1635" t="inlineStr">
        <is>
          <t>Föryngringsavverkning</t>
        </is>
      </c>
      <c r="D1635" s="1" t="n">
        <v>44802</v>
      </c>
      <c r="E1635" s="1" t="n">
        <v>46307</v>
      </c>
      <c r="F1635" t="inlineStr">
        <is>
          <t>VÄRMLANDS LÄN</t>
        </is>
      </c>
      <c r="G1635" t="inlineStr">
        <is>
          <t>TORSBY</t>
        </is>
      </c>
      <c r="I1635" t="n">
        <v>2.3</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8938-2022</t>
        </is>
      </c>
      <c r="B1636" t="inlineStr">
        <is>
          <t>avverkningsanmälan</t>
        </is>
      </c>
      <c r="C1636" t="inlineStr">
        <is>
          <t>Föryngringsavverkning</t>
        </is>
      </c>
      <c r="D1636" s="1" t="n">
        <v>44614</v>
      </c>
      <c r="E1636" s="1" t="n">
        <v>46307</v>
      </c>
      <c r="F1636" t="inlineStr">
        <is>
          <t>VÄRMLANDS LÄN</t>
        </is>
      </c>
      <c r="G1636" t="inlineStr">
        <is>
          <t>ÅRJÄNG</t>
        </is>
      </c>
      <c r="I1636" t="n">
        <v>11.9</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8943-2022</t>
        </is>
      </c>
      <c r="B1637" t="inlineStr">
        <is>
          <t>avverkningsanmälan</t>
        </is>
      </c>
      <c r="C1637" t="inlineStr">
        <is>
          <t>Föryngringsavverkning</t>
        </is>
      </c>
      <c r="D1637" s="1" t="n">
        <v>44614</v>
      </c>
      <c r="E1637" s="1" t="n">
        <v>46307</v>
      </c>
      <c r="F1637" t="inlineStr">
        <is>
          <t>VÄRMLANDS LÄN</t>
        </is>
      </c>
      <c r="G1637" t="inlineStr">
        <is>
          <t>EDA</t>
        </is>
      </c>
      <c r="I1637" t="n">
        <v>2.1</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13572-2022</t>
        </is>
      </c>
      <c r="B1638" t="inlineStr">
        <is>
          <t>avverkningsanmälan</t>
        </is>
      </c>
      <c r="C1638" t="inlineStr">
        <is>
          <t>Föryngringsavverkning</t>
        </is>
      </c>
      <c r="D1638" s="1" t="n">
        <v>44648</v>
      </c>
      <c r="E1638" s="1" t="n">
        <v>46307</v>
      </c>
      <c r="F1638" t="inlineStr">
        <is>
          <t>VÄRMLANDS LÄN</t>
        </is>
      </c>
      <c r="G1638" t="inlineStr">
        <is>
          <t>MUNKFORS</t>
        </is>
      </c>
      <c r="I1638" t="n">
        <v>2</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13654-2022</t>
        </is>
      </c>
      <c r="B1639" t="inlineStr">
        <is>
          <t>avverkningsanmälan</t>
        </is>
      </c>
      <c r="C1639" t="inlineStr">
        <is>
          <t>Föryngringsavverkning</t>
        </is>
      </c>
      <c r="D1639" s="1" t="n">
        <v>44648</v>
      </c>
      <c r="E1639" s="1" t="n">
        <v>46307</v>
      </c>
      <c r="F1639" t="inlineStr">
        <is>
          <t>VÄRMLANDS LÄN</t>
        </is>
      </c>
      <c r="G1639" t="inlineStr">
        <is>
          <t>ÅRJÄNG</t>
        </is>
      </c>
      <c r="I1639" t="n">
        <v>0.9</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73442-2021</t>
        </is>
      </c>
      <c r="B1640" t="inlineStr">
        <is>
          <t>avverkningsanmälan</t>
        </is>
      </c>
      <c r="C1640" t="inlineStr">
        <is>
          <t>Föryngringsavverkning</t>
        </is>
      </c>
      <c r="D1640" s="1" t="n">
        <v>44551</v>
      </c>
      <c r="E1640" s="1" t="n">
        <v>46307</v>
      </c>
      <c r="F1640" t="inlineStr">
        <is>
          <t>VÄRMLANDS LÄN</t>
        </is>
      </c>
      <c r="G1640" t="inlineStr">
        <is>
          <t>TORSBY</t>
        </is>
      </c>
      <c r="H1640" t="inlineStr">
        <is>
          <t>Bergvik skog väst AB</t>
        </is>
      </c>
      <c r="I1640" t="n">
        <v>4.1</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11664-2022</t>
        </is>
      </c>
      <c r="B1641" t="inlineStr">
        <is>
          <t>avverkningsanmälan</t>
        </is>
      </c>
      <c r="C1641" t="inlineStr">
        <is>
          <t>Föryngringsavverkning</t>
        </is>
      </c>
      <c r="D1641" s="1" t="n">
        <v>44632</v>
      </c>
      <c r="E1641" s="1" t="n">
        <v>46307</v>
      </c>
      <c r="F1641" t="inlineStr">
        <is>
          <t>VÄRMLANDS LÄN</t>
        </is>
      </c>
      <c r="G1641" t="inlineStr">
        <is>
          <t>TORSBY</t>
        </is>
      </c>
      <c r="I1641" t="n">
        <v>1.1</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34581-2022</t>
        </is>
      </c>
      <c r="B1642" t="inlineStr">
        <is>
          <t>avverkningsanmälan</t>
        </is>
      </c>
      <c r="C1642" t="inlineStr">
        <is>
          <t>Föryngringsavverkning</t>
        </is>
      </c>
      <c r="D1642" s="1" t="n">
        <v>44792</v>
      </c>
      <c r="E1642" s="1" t="n">
        <v>46307</v>
      </c>
      <c r="F1642" t="inlineStr">
        <is>
          <t>VÄRMLANDS LÄN</t>
        </is>
      </c>
      <c r="G1642" t="inlineStr">
        <is>
          <t>TORSBY</t>
        </is>
      </c>
      <c r="I1642" t="n">
        <v>9.800000000000001</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57087-2021</t>
        </is>
      </c>
      <c r="B1643" t="inlineStr">
        <is>
          <t>avverkningsanmälan</t>
        </is>
      </c>
      <c r="C1643" t="inlineStr">
        <is>
          <t>Föryngringsavverkning</t>
        </is>
      </c>
      <c r="D1643" s="1" t="n">
        <v>44482</v>
      </c>
      <c r="E1643" s="1" t="n">
        <v>46307</v>
      </c>
      <c r="F1643" t="inlineStr">
        <is>
          <t>VÄRMLANDS LÄN</t>
        </is>
      </c>
      <c r="G1643" t="inlineStr">
        <is>
          <t>FILIPSTAD</t>
        </is>
      </c>
      <c r="I1643" t="n">
        <v>4.4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10029-2022</t>
        </is>
      </c>
      <c r="B1644" t="inlineStr">
        <is>
          <t>avverkningsanmälan</t>
        </is>
      </c>
      <c r="C1644" t="inlineStr">
        <is>
          <t>Föryngringsavverkning</t>
        </is>
      </c>
      <c r="D1644" s="1" t="n">
        <v>44621</v>
      </c>
      <c r="E1644" s="1" t="n">
        <v>46307</v>
      </c>
      <c r="F1644" t="inlineStr">
        <is>
          <t>VÄRMLANDS LÄN</t>
        </is>
      </c>
      <c r="G1644" t="inlineStr">
        <is>
          <t>SUNNE</t>
        </is>
      </c>
      <c r="I1644" t="n">
        <v>0.8</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46195-2023</t>
        </is>
      </c>
      <c r="B1645" t="inlineStr">
        <is>
          <t>avverkningsanmälan</t>
        </is>
      </c>
      <c r="C1645" t="inlineStr">
        <is>
          <t>Föryngringsavverkning</t>
        </is>
      </c>
      <c r="D1645" s="1" t="n">
        <v>45196</v>
      </c>
      <c r="E1645" s="1" t="n">
        <v>46307</v>
      </c>
      <c r="F1645" t="inlineStr">
        <is>
          <t>VÄRMLANDS LÄN</t>
        </is>
      </c>
      <c r="G1645" t="inlineStr">
        <is>
          <t>TORSBY</t>
        </is>
      </c>
      <c r="I1645" t="n">
        <v>2.3</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11744-2024</t>
        </is>
      </c>
      <c r="B1646" t="inlineStr">
        <is>
          <t>avverkningsanmälan</t>
        </is>
      </c>
      <c r="C1646" t="inlineStr">
        <is>
          <t>Föryngringsavverkning</t>
        </is>
      </c>
      <c r="D1646" s="1" t="n">
        <v>45373</v>
      </c>
      <c r="E1646" s="1" t="n">
        <v>46307</v>
      </c>
      <c r="F1646" t="inlineStr">
        <is>
          <t>VÄRMLANDS LÄN</t>
        </is>
      </c>
      <c r="G1646" t="inlineStr">
        <is>
          <t>HAGFORS</t>
        </is>
      </c>
      <c r="H1646" t="inlineStr">
        <is>
          <t>Bergvik skog väst AB</t>
        </is>
      </c>
      <c r="I1646" t="n">
        <v>1.4</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17904-2022</t>
        </is>
      </c>
      <c r="B1647" t="inlineStr">
        <is>
          <t>avverkningsanmälan</t>
        </is>
      </c>
      <c r="C1647" t="inlineStr">
        <is>
          <t>Föryngringsavverkning</t>
        </is>
      </c>
      <c r="D1647" s="1" t="n">
        <v>44683</v>
      </c>
      <c r="E1647" s="1" t="n">
        <v>46307</v>
      </c>
      <c r="F1647" t="inlineStr">
        <is>
          <t>VÄRMLANDS LÄN</t>
        </is>
      </c>
      <c r="G1647" t="inlineStr">
        <is>
          <t>SÄFFLE</t>
        </is>
      </c>
      <c r="I1647" t="n">
        <v>0.8</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37754-2022</t>
        </is>
      </c>
      <c r="B1648" t="inlineStr">
        <is>
          <t>avverkningsanmälan</t>
        </is>
      </c>
      <c r="C1648" t="inlineStr">
        <is>
          <t>Föryngringsavverkning</t>
        </is>
      </c>
      <c r="D1648" s="1" t="n">
        <v>44810</v>
      </c>
      <c r="E1648" s="1" t="n">
        <v>46307</v>
      </c>
      <c r="F1648" t="inlineStr">
        <is>
          <t>VÄRMLANDS LÄN</t>
        </is>
      </c>
      <c r="G1648" t="inlineStr">
        <is>
          <t>TORSBY</t>
        </is>
      </c>
      <c r="H1648" t="inlineStr">
        <is>
          <t>Kyrkan</t>
        </is>
      </c>
      <c r="I1648" t="n">
        <v>0.9</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66809-2021</t>
        </is>
      </c>
      <c r="B1649" t="inlineStr">
        <is>
          <t>avverkningsanmälan</t>
        </is>
      </c>
      <c r="C1649" t="inlineStr">
        <is>
          <t>Föryngringsavverkning</t>
        </is>
      </c>
      <c r="D1649" s="1" t="n">
        <v>44522</v>
      </c>
      <c r="E1649" s="1" t="n">
        <v>46307</v>
      </c>
      <c r="F1649" t="inlineStr">
        <is>
          <t>VÄRMLANDS LÄN</t>
        </is>
      </c>
      <c r="G1649" t="inlineStr">
        <is>
          <t>KIL</t>
        </is>
      </c>
      <c r="I1649" t="n">
        <v>13.7</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10518-2022</t>
        </is>
      </c>
      <c r="B1650" t="inlineStr">
        <is>
          <t>avverkningsanmälan</t>
        </is>
      </c>
      <c r="C1650" t="inlineStr">
        <is>
          <t>Föryngringsavverkning</t>
        </is>
      </c>
      <c r="D1650" s="1" t="n">
        <v>44623</v>
      </c>
      <c r="E1650" s="1" t="n">
        <v>46307</v>
      </c>
      <c r="F1650" t="inlineStr">
        <is>
          <t>VÄRMLANDS LÄN</t>
        </is>
      </c>
      <c r="G1650" t="inlineStr">
        <is>
          <t>ÅRJÄNG</t>
        </is>
      </c>
      <c r="I1650" t="n">
        <v>0.5</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57833-2021</t>
        </is>
      </c>
      <c r="B1651" t="inlineStr">
        <is>
          <t>avverkningsanmälan</t>
        </is>
      </c>
      <c r="C1651" t="inlineStr">
        <is>
          <t>Föryngringsavverkning</t>
        </is>
      </c>
      <c r="D1651" s="1" t="n">
        <v>44484</v>
      </c>
      <c r="E1651" s="1" t="n">
        <v>46307</v>
      </c>
      <c r="F1651" t="inlineStr">
        <is>
          <t>VÄRMLANDS LÄN</t>
        </is>
      </c>
      <c r="G1651" t="inlineStr">
        <is>
          <t>ÅRJÄNG</t>
        </is>
      </c>
      <c r="I1651" t="n">
        <v>8.300000000000001</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26362-2022</t>
        </is>
      </c>
      <c r="B1652" t="inlineStr">
        <is>
          <t>avverkningsanmälan</t>
        </is>
      </c>
      <c r="C1652" t="inlineStr">
        <is>
          <t>Föryngringsavverkning</t>
        </is>
      </c>
      <c r="D1652" s="1" t="n">
        <v>44735</v>
      </c>
      <c r="E1652" s="1" t="n">
        <v>46307</v>
      </c>
      <c r="F1652" t="inlineStr">
        <is>
          <t>VÄRMLANDS LÄN</t>
        </is>
      </c>
      <c r="G1652" t="inlineStr">
        <is>
          <t>GRUMS</t>
        </is>
      </c>
      <c r="I1652" t="n">
        <v>0.8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5928-2022</t>
        </is>
      </c>
      <c r="B1653" t="inlineStr">
        <is>
          <t>avverkningsanmälan</t>
        </is>
      </c>
      <c r="C1653" t="inlineStr">
        <is>
          <t>Föryngringsavverkning</t>
        </is>
      </c>
      <c r="D1653" s="1" t="n">
        <v>44598</v>
      </c>
      <c r="E1653" s="1" t="n">
        <v>46307</v>
      </c>
      <c r="F1653" t="inlineStr">
        <is>
          <t>VÄRMLANDS LÄN</t>
        </is>
      </c>
      <c r="G1653" t="inlineStr">
        <is>
          <t>FILIPSTAD</t>
        </is>
      </c>
      <c r="I1653" t="n">
        <v>1.6</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12311-2024</t>
        </is>
      </c>
      <c r="B1654" t="inlineStr">
        <is>
          <t>avverkningsanmälan</t>
        </is>
      </c>
      <c r="C1654" t="inlineStr">
        <is>
          <t>Föryngringsavverkning</t>
        </is>
      </c>
      <c r="D1654" s="1" t="n">
        <v>45378</v>
      </c>
      <c r="E1654" s="1" t="n">
        <v>46307</v>
      </c>
      <c r="F1654" t="inlineStr">
        <is>
          <t>VÄRMLANDS LÄN</t>
        </is>
      </c>
      <c r="G1654" t="inlineStr">
        <is>
          <t>GRUMS</t>
        </is>
      </c>
      <c r="I1654" t="n">
        <v>2</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6437-2024</t>
        </is>
      </c>
      <c r="B1655" t="inlineStr">
        <is>
          <t>avverkningsanmälan</t>
        </is>
      </c>
      <c r="C1655" t="inlineStr">
        <is>
          <t>Föryngringsavverkning</t>
        </is>
      </c>
      <c r="D1655" s="1" t="n">
        <v>45338</v>
      </c>
      <c r="E1655" s="1" t="n">
        <v>46307</v>
      </c>
      <c r="F1655" t="inlineStr">
        <is>
          <t>VÄRMLANDS LÄN</t>
        </is>
      </c>
      <c r="G1655" t="inlineStr">
        <is>
          <t>HAGFORS</t>
        </is>
      </c>
      <c r="I1655" t="n">
        <v>0.5</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49732-2022</t>
        </is>
      </c>
      <c r="B1656" t="inlineStr">
        <is>
          <t>avverkningsanmälan</t>
        </is>
      </c>
      <c r="C1656" t="inlineStr">
        <is>
          <t>Föryngringsavverkning</t>
        </is>
      </c>
      <c r="D1656" s="1" t="n">
        <v>44862</v>
      </c>
      <c r="E1656" s="1" t="n">
        <v>46307</v>
      </c>
      <c r="F1656" t="inlineStr">
        <is>
          <t>VÄRMLANDS LÄN</t>
        </is>
      </c>
      <c r="G1656" t="inlineStr">
        <is>
          <t>SUNNE</t>
        </is>
      </c>
      <c r="I1656" t="n">
        <v>4.3</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36016-2022</t>
        </is>
      </c>
      <c r="B1657" t="inlineStr">
        <is>
          <t>avverkningsanmälan</t>
        </is>
      </c>
      <c r="C1657" t="inlineStr">
        <is>
          <t>Föryngringsavverkning</t>
        </is>
      </c>
      <c r="D1657" s="1" t="n">
        <v>44802</v>
      </c>
      <c r="E1657" s="1" t="n">
        <v>46307</v>
      </c>
      <c r="F1657" t="inlineStr">
        <is>
          <t>VÄRMLANDS LÄN</t>
        </is>
      </c>
      <c r="G1657" t="inlineStr">
        <is>
          <t>ÅRJÄNG</t>
        </is>
      </c>
      <c r="I1657" t="n">
        <v>1</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3285-2022</t>
        </is>
      </c>
      <c r="B1658" t="inlineStr">
        <is>
          <t>avverkningsanmälan</t>
        </is>
      </c>
      <c r="C1658" t="inlineStr">
        <is>
          <t>Föryngringsavverkning</t>
        </is>
      </c>
      <c r="D1658" s="1" t="n">
        <v>44584</v>
      </c>
      <c r="E1658" s="1" t="n">
        <v>46307</v>
      </c>
      <c r="F1658" t="inlineStr">
        <is>
          <t>VÄRMLANDS LÄN</t>
        </is>
      </c>
      <c r="G1658" t="inlineStr">
        <is>
          <t>EDA</t>
        </is>
      </c>
      <c r="I1658" t="n">
        <v>2.4</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47516-2023</t>
        </is>
      </c>
      <c r="B1659" t="inlineStr">
        <is>
          <t>avverkningsanmälan</t>
        </is>
      </c>
      <c r="C1659" t="inlineStr">
        <is>
          <t>Föryngringsavverkning</t>
        </is>
      </c>
      <c r="D1659" s="1" t="n">
        <v>45203</v>
      </c>
      <c r="E1659" s="1" t="n">
        <v>46307</v>
      </c>
      <c r="F1659" t="inlineStr">
        <is>
          <t>VÄRMLANDS LÄN</t>
        </is>
      </c>
      <c r="G1659" t="inlineStr">
        <is>
          <t>HAGFORS</t>
        </is>
      </c>
      <c r="I1659" t="n">
        <v>0.8</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47536-2023</t>
        </is>
      </c>
      <c r="B1660" t="inlineStr">
        <is>
          <t>avverkningsanmälan</t>
        </is>
      </c>
      <c r="C1660" t="inlineStr">
        <is>
          <t>Föryngringsavverkning</t>
        </is>
      </c>
      <c r="D1660" s="1" t="n">
        <v>45203</v>
      </c>
      <c r="E1660" s="1" t="n">
        <v>46307</v>
      </c>
      <c r="F1660" t="inlineStr">
        <is>
          <t>VÄRMLANDS LÄN</t>
        </is>
      </c>
      <c r="G1660" t="inlineStr">
        <is>
          <t>FILIPSTAD</t>
        </is>
      </c>
      <c r="H1660" t="inlineStr">
        <is>
          <t>Bergvik skog väst AB</t>
        </is>
      </c>
      <c r="I1660" t="n">
        <v>2.5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15095-2022</t>
        </is>
      </c>
      <c r="B1661" t="inlineStr">
        <is>
          <t>avverkningsanmälan</t>
        </is>
      </c>
      <c r="C1661" t="inlineStr">
        <is>
          <t>Föryngringsavverkning</t>
        </is>
      </c>
      <c r="D1661" s="1" t="n">
        <v>44657</v>
      </c>
      <c r="E1661" s="1" t="n">
        <v>46307</v>
      </c>
      <c r="F1661" t="inlineStr">
        <is>
          <t>VÄRMLANDS LÄN</t>
        </is>
      </c>
      <c r="G1661" t="inlineStr">
        <is>
          <t>KRISTINEHAMN</t>
        </is>
      </c>
      <c r="I1661" t="n">
        <v>1.7</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12998-2022</t>
        </is>
      </c>
      <c r="B1662" t="inlineStr">
        <is>
          <t>avverkningsanmälan</t>
        </is>
      </c>
      <c r="C1662" t="inlineStr">
        <is>
          <t>Föryngringsavverkning</t>
        </is>
      </c>
      <c r="D1662" s="1" t="n">
        <v>44643</v>
      </c>
      <c r="E1662" s="1" t="n">
        <v>46307</v>
      </c>
      <c r="F1662" t="inlineStr">
        <is>
          <t>VÄRMLANDS LÄN</t>
        </is>
      </c>
      <c r="G1662" t="inlineStr">
        <is>
          <t>EDA</t>
        </is>
      </c>
      <c r="I1662" t="n">
        <v>0.5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65565-2021</t>
        </is>
      </c>
      <c r="B1663" t="inlineStr">
        <is>
          <t>avverkningsanmälan</t>
        </is>
      </c>
      <c r="C1663" t="inlineStr">
        <is>
          <t>Föryngringsavverkning</t>
        </is>
      </c>
      <c r="D1663" s="1" t="n">
        <v>44516</v>
      </c>
      <c r="E1663" s="1" t="n">
        <v>46307</v>
      </c>
      <c r="F1663" t="inlineStr">
        <is>
          <t>VÄRMLANDS LÄN</t>
        </is>
      </c>
      <c r="G1663" t="inlineStr">
        <is>
          <t>HAGFORS</t>
        </is>
      </c>
      <c r="I1663" t="n">
        <v>1</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21679-2022</t>
        </is>
      </c>
      <c r="B1664" t="inlineStr">
        <is>
          <t>avverkningsanmälan</t>
        </is>
      </c>
      <c r="C1664" t="inlineStr">
        <is>
          <t>Föryngringsavverkning</t>
        </is>
      </c>
      <c r="D1664" s="1" t="n">
        <v>44707</v>
      </c>
      <c r="E1664" s="1" t="n">
        <v>46307</v>
      </c>
      <c r="F1664" t="inlineStr">
        <is>
          <t>VÄRMLANDS LÄN</t>
        </is>
      </c>
      <c r="G1664" t="inlineStr">
        <is>
          <t>KRISTINEHAMN</t>
        </is>
      </c>
      <c r="I1664" t="n">
        <v>1</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23735-2022</t>
        </is>
      </c>
      <c r="B1665" t="inlineStr">
        <is>
          <t>avverkningsanmälan</t>
        </is>
      </c>
      <c r="C1665" t="inlineStr">
        <is>
          <t>Föryngringsavverkning</t>
        </is>
      </c>
      <c r="D1665" s="1" t="n">
        <v>44722</v>
      </c>
      <c r="E1665" s="1" t="n">
        <v>46307</v>
      </c>
      <c r="F1665" t="inlineStr">
        <is>
          <t>VÄRMLANDS LÄN</t>
        </is>
      </c>
      <c r="G1665" t="inlineStr">
        <is>
          <t>TORSBY</t>
        </is>
      </c>
      <c r="I1665" t="n">
        <v>1.9</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17402-2022</t>
        </is>
      </c>
      <c r="B1666" t="inlineStr">
        <is>
          <t>avverkningsanmälan</t>
        </is>
      </c>
      <c r="C1666" t="inlineStr">
        <is>
          <t>Avverkning för annat ändamål</t>
        </is>
      </c>
      <c r="D1666" s="1" t="n">
        <v>44678</v>
      </c>
      <c r="E1666" s="1" t="n">
        <v>46307</v>
      </c>
      <c r="F1666" t="inlineStr">
        <is>
          <t>VÄRMLANDS LÄN</t>
        </is>
      </c>
      <c r="G1666" t="inlineStr">
        <is>
          <t>HAGFORS</t>
        </is>
      </c>
      <c r="I1666" t="n">
        <v>0.6</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17496-2022</t>
        </is>
      </c>
      <c r="B1667" t="inlineStr">
        <is>
          <t>avverkningsanmälan</t>
        </is>
      </c>
      <c r="C1667" t="inlineStr">
        <is>
          <t>Föryngringsavverkning</t>
        </is>
      </c>
      <c r="D1667" s="1" t="n">
        <v>44679</v>
      </c>
      <c r="E1667" s="1" t="n">
        <v>46307</v>
      </c>
      <c r="F1667" t="inlineStr">
        <is>
          <t>VÄRMLANDS LÄN</t>
        </is>
      </c>
      <c r="G1667" t="inlineStr">
        <is>
          <t>SÄFFLE</t>
        </is>
      </c>
      <c r="I1667" t="n">
        <v>1.4</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10154-2025</t>
        </is>
      </c>
      <c r="B1668" t="inlineStr">
        <is>
          <t>avverkningsanmälan</t>
        </is>
      </c>
      <c r="C1668" t="inlineStr">
        <is>
          <t>Föryngringsavverkning</t>
        </is>
      </c>
      <c r="D1668" s="1" t="n">
        <v>45719</v>
      </c>
      <c r="E1668" s="1" t="n">
        <v>46307</v>
      </c>
      <c r="F1668" t="inlineStr">
        <is>
          <t>VÄRMLANDS LÄN</t>
        </is>
      </c>
      <c r="G1668" t="inlineStr">
        <is>
          <t>EDA</t>
        </is>
      </c>
      <c r="I1668" t="n">
        <v>2.7</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26544-2023</t>
        </is>
      </c>
      <c r="B1669" t="inlineStr">
        <is>
          <t>avverkningsanmälan</t>
        </is>
      </c>
      <c r="C1669" t="inlineStr">
        <is>
          <t>Föryngringsavverkning</t>
        </is>
      </c>
      <c r="D1669" s="1" t="n">
        <v>45092</v>
      </c>
      <c r="E1669" s="1" t="n">
        <v>46307</v>
      </c>
      <c r="F1669" t="inlineStr">
        <is>
          <t>VÄRMLANDS LÄN</t>
        </is>
      </c>
      <c r="G1669" t="inlineStr">
        <is>
          <t>ARVIKA</t>
        </is>
      </c>
      <c r="H1669" t="inlineStr">
        <is>
          <t>Bergvik skog väst AB</t>
        </is>
      </c>
      <c r="I1669" t="n">
        <v>1.2</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68505-2021</t>
        </is>
      </c>
      <c r="B1670" t="inlineStr">
        <is>
          <t>avverkningsanmälan</t>
        </is>
      </c>
      <c r="C1670" t="inlineStr">
        <is>
          <t>Föryngringsavverkning</t>
        </is>
      </c>
      <c r="D1670" s="1" t="n">
        <v>44525</v>
      </c>
      <c r="E1670" s="1" t="n">
        <v>46307</v>
      </c>
      <c r="F1670" t="inlineStr">
        <is>
          <t>VÄRMLANDS LÄN</t>
        </is>
      </c>
      <c r="G1670" t="inlineStr">
        <is>
          <t>KRISTINEHAMN</t>
        </is>
      </c>
      <c r="I1670" t="n">
        <v>2.9</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73115-2021</t>
        </is>
      </c>
      <c r="B1671" t="inlineStr">
        <is>
          <t>avverkningsanmälan</t>
        </is>
      </c>
      <c r="C1671" t="inlineStr">
        <is>
          <t>Föryngringsavverkning</t>
        </is>
      </c>
      <c r="D1671" s="1" t="n">
        <v>44546</v>
      </c>
      <c r="E1671" s="1" t="n">
        <v>46307</v>
      </c>
      <c r="F1671" t="inlineStr">
        <is>
          <t>VÄRMLANDS LÄN</t>
        </is>
      </c>
      <c r="G1671" t="inlineStr">
        <is>
          <t>SÄFFLE</t>
        </is>
      </c>
      <c r="I1671" t="n">
        <v>1.4</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73162-2021</t>
        </is>
      </c>
      <c r="B1672" t="inlineStr">
        <is>
          <t>avverkningsanmälan</t>
        </is>
      </c>
      <c r="C1672" t="inlineStr">
        <is>
          <t>Avverkning för annat ändamål</t>
        </is>
      </c>
      <c r="D1672" s="1" t="n">
        <v>44550</v>
      </c>
      <c r="E1672" s="1" t="n">
        <v>46307</v>
      </c>
      <c r="F1672" t="inlineStr">
        <is>
          <t>VÄRMLANDS LÄN</t>
        </is>
      </c>
      <c r="G1672" t="inlineStr">
        <is>
          <t>SÄFFLE</t>
        </is>
      </c>
      <c r="I1672" t="n">
        <v>0.4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21549-2022</t>
        </is>
      </c>
      <c r="B1673" t="inlineStr">
        <is>
          <t>avverkningsanmälan</t>
        </is>
      </c>
      <c r="C1673" t="inlineStr">
        <is>
          <t>Föryngringsavverkning</t>
        </is>
      </c>
      <c r="D1673" s="1" t="n">
        <v>44706</v>
      </c>
      <c r="E1673" s="1" t="n">
        <v>46307</v>
      </c>
      <c r="F1673" t="inlineStr">
        <is>
          <t>VÄRMLANDS LÄN</t>
        </is>
      </c>
      <c r="G1673" t="inlineStr">
        <is>
          <t>KRISTINEHAMN</t>
        </is>
      </c>
      <c r="I1673" t="n">
        <v>11.3</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54678-2022</t>
        </is>
      </c>
      <c r="B1674" t="inlineStr">
        <is>
          <t>avverkningsanmälan</t>
        </is>
      </c>
      <c r="C1674" t="inlineStr">
        <is>
          <t>Föryngringsavverkning</t>
        </is>
      </c>
      <c r="D1674" s="1" t="n">
        <v>44883</v>
      </c>
      <c r="E1674" s="1" t="n">
        <v>46307</v>
      </c>
      <c r="F1674" t="inlineStr">
        <is>
          <t>VÄRMLANDS LÄN</t>
        </is>
      </c>
      <c r="G1674" t="inlineStr">
        <is>
          <t>EDA</t>
        </is>
      </c>
      <c r="I1674" t="n">
        <v>1</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57346-2022</t>
        </is>
      </c>
      <c r="B1675" t="inlineStr">
        <is>
          <t>avverkningsanmälan</t>
        </is>
      </c>
      <c r="C1675" t="inlineStr">
        <is>
          <t>Föryngringsavverkning</t>
        </is>
      </c>
      <c r="D1675" s="1" t="n">
        <v>44896</v>
      </c>
      <c r="E1675" s="1" t="n">
        <v>46307</v>
      </c>
      <c r="F1675" t="inlineStr">
        <is>
          <t>VÄRMLANDS LÄN</t>
        </is>
      </c>
      <c r="G1675" t="inlineStr">
        <is>
          <t>ARVIKA</t>
        </is>
      </c>
      <c r="I1675" t="n">
        <v>1</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57359-2022</t>
        </is>
      </c>
      <c r="B1676" t="inlineStr">
        <is>
          <t>avverkningsanmälan</t>
        </is>
      </c>
      <c r="C1676" t="inlineStr">
        <is>
          <t>Föryngringsavverkning</t>
        </is>
      </c>
      <c r="D1676" s="1" t="n">
        <v>44896</v>
      </c>
      <c r="E1676" s="1" t="n">
        <v>46307</v>
      </c>
      <c r="F1676" t="inlineStr">
        <is>
          <t>VÄRMLANDS LÄN</t>
        </is>
      </c>
      <c r="G1676" t="inlineStr">
        <is>
          <t>HAGFORS</t>
        </is>
      </c>
      <c r="I1676" t="n">
        <v>0.7</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21442-2022</t>
        </is>
      </c>
      <c r="B1677" t="inlineStr">
        <is>
          <t>avverkningsanmälan</t>
        </is>
      </c>
      <c r="C1677" t="inlineStr">
        <is>
          <t>Föryngringsavverkning</t>
        </is>
      </c>
      <c r="D1677" s="1" t="n">
        <v>44706</v>
      </c>
      <c r="E1677" s="1" t="n">
        <v>46307</v>
      </c>
      <c r="F1677" t="inlineStr">
        <is>
          <t>VÄRMLANDS LÄN</t>
        </is>
      </c>
      <c r="G1677" t="inlineStr">
        <is>
          <t>HAGFORS</t>
        </is>
      </c>
      <c r="H1677" t="inlineStr">
        <is>
          <t>Bergvik skog väst AB</t>
        </is>
      </c>
      <c r="I1677" t="n">
        <v>2.4</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31430-2022</t>
        </is>
      </c>
      <c r="B1678" t="inlineStr">
        <is>
          <t>avverkningsanmälan</t>
        </is>
      </c>
      <c r="C1678" t="inlineStr">
        <is>
          <t>Föryngringsavverkning</t>
        </is>
      </c>
      <c r="D1678" s="1" t="n">
        <v>44774</v>
      </c>
      <c r="E1678" s="1" t="n">
        <v>46307</v>
      </c>
      <c r="F1678" t="inlineStr">
        <is>
          <t>VÄRMLANDS LÄN</t>
        </is>
      </c>
      <c r="G1678" t="inlineStr">
        <is>
          <t>SUNNE</t>
        </is>
      </c>
      <c r="I1678" t="n">
        <v>0.7</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29699-2022</t>
        </is>
      </c>
      <c r="B1679" t="inlineStr">
        <is>
          <t>avverkningsanmälan</t>
        </is>
      </c>
      <c r="C1679" t="inlineStr">
        <is>
          <t>Föryngringsavverkning</t>
        </is>
      </c>
      <c r="D1679" s="1" t="n">
        <v>44755</v>
      </c>
      <c r="E1679" s="1" t="n">
        <v>46307</v>
      </c>
      <c r="F1679" t="inlineStr">
        <is>
          <t>VÄRMLANDS LÄN</t>
        </is>
      </c>
      <c r="G1679" t="inlineStr">
        <is>
          <t>GRUMS</t>
        </is>
      </c>
      <c r="I1679" t="n">
        <v>3.7</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15228-2024</t>
        </is>
      </c>
      <c r="B1680" t="inlineStr">
        <is>
          <t>avverkningsanmälan</t>
        </is>
      </c>
      <c r="C1680" t="inlineStr">
        <is>
          <t>Föryngringsavverkning</t>
        </is>
      </c>
      <c r="D1680" s="1" t="n">
        <v>45400</v>
      </c>
      <c r="E1680" s="1" t="n">
        <v>46307</v>
      </c>
      <c r="F1680" t="inlineStr">
        <is>
          <t>VÄRMLANDS LÄN</t>
        </is>
      </c>
      <c r="G1680" t="inlineStr">
        <is>
          <t>HAGFORS</t>
        </is>
      </c>
      <c r="I1680" t="n">
        <v>1.8</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59659-2022</t>
        </is>
      </c>
      <c r="B1681" t="inlineStr">
        <is>
          <t>avverkningsanmälan</t>
        </is>
      </c>
      <c r="C1681" t="inlineStr">
        <is>
          <t>Föryngringsavverkning</t>
        </is>
      </c>
      <c r="D1681" s="1" t="n">
        <v>44908</v>
      </c>
      <c r="E1681" s="1" t="n">
        <v>46307</v>
      </c>
      <c r="F1681" t="inlineStr">
        <is>
          <t>VÄRMLANDS LÄN</t>
        </is>
      </c>
      <c r="G1681" t="inlineStr">
        <is>
          <t>EDA</t>
        </is>
      </c>
      <c r="I1681" t="n">
        <v>2.6</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33334-2022</t>
        </is>
      </c>
      <c r="B1682" t="inlineStr">
        <is>
          <t>avverkningsanmälan</t>
        </is>
      </c>
      <c r="C1682" t="inlineStr">
        <is>
          <t>Föryngringsavverkning</t>
        </is>
      </c>
      <c r="D1682" s="1" t="n">
        <v>44788</v>
      </c>
      <c r="E1682" s="1" t="n">
        <v>46307</v>
      </c>
      <c r="F1682" t="inlineStr">
        <is>
          <t>VÄRMLANDS LÄN</t>
        </is>
      </c>
      <c r="G1682" t="inlineStr">
        <is>
          <t>KARLSTAD</t>
        </is>
      </c>
      <c r="I1682" t="n">
        <v>10.6</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37353-2024</t>
        </is>
      </c>
      <c r="B1683" t="inlineStr">
        <is>
          <t>avverkningsanmälan</t>
        </is>
      </c>
      <c r="C1683" t="inlineStr">
        <is>
          <t>Föryngringsavverkning</t>
        </is>
      </c>
      <c r="D1683" s="1" t="n">
        <v>45540</v>
      </c>
      <c r="E1683" s="1" t="n">
        <v>46307</v>
      </c>
      <c r="F1683" t="inlineStr">
        <is>
          <t>VÄRMLANDS LÄN</t>
        </is>
      </c>
      <c r="G1683" t="inlineStr">
        <is>
          <t>ÅRJÄNG</t>
        </is>
      </c>
      <c r="I1683" t="n">
        <v>1.2</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22496-2023</t>
        </is>
      </c>
      <c r="B1684" t="inlineStr">
        <is>
          <t>avverkningsanmälan</t>
        </is>
      </c>
      <c r="C1684" t="inlineStr">
        <is>
          <t>Föryngringsavverkning</t>
        </is>
      </c>
      <c r="D1684" s="1" t="n">
        <v>45071</v>
      </c>
      <c r="E1684" s="1" t="n">
        <v>46307</v>
      </c>
      <c r="F1684" t="inlineStr">
        <is>
          <t>VÄRMLANDS LÄN</t>
        </is>
      </c>
      <c r="G1684" t="inlineStr">
        <is>
          <t>ARVIKA</t>
        </is>
      </c>
      <c r="I1684" t="n">
        <v>0.9</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18479-2022</t>
        </is>
      </c>
      <c r="B1685" t="inlineStr">
        <is>
          <t>avverkningsanmälan</t>
        </is>
      </c>
      <c r="C1685" t="inlineStr">
        <is>
          <t>Föryngringsavverkning</t>
        </is>
      </c>
      <c r="D1685" s="1" t="n">
        <v>44686</v>
      </c>
      <c r="E1685" s="1" t="n">
        <v>46307</v>
      </c>
      <c r="F1685" t="inlineStr">
        <is>
          <t>VÄRMLANDS LÄN</t>
        </is>
      </c>
      <c r="G1685" t="inlineStr">
        <is>
          <t>SÄFFLE</t>
        </is>
      </c>
      <c r="I1685" t="n">
        <v>2.4</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24456-2022</t>
        </is>
      </c>
      <c r="B1686" t="inlineStr">
        <is>
          <t>avverkningsanmälan</t>
        </is>
      </c>
      <c r="C1686" t="inlineStr">
        <is>
          <t>Föryngringsavverkning</t>
        </is>
      </c>
      <c r="D1686" s="1" t="n">
        <v>44726</v>
      </c>
      <c r="E1686" s="1" t="n">
        <v>46307</v>
      </c>
      <c r="F1686" t="inlineStr">
        <is>
          <t>VÄRMLANDS LÄN</t>
        </is>
      </c>
      <c r="G1686" t="inlineStr">
        <is>
          <t>EDA</t>
        </is>
      </c>
      <c r="I1686" t="n">
        <v>2.5</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30334-2022</t>
        </is>
      </c>
      <c r="B1687" t="inlineStr">
        <is>
          <t>avverkningsanmälan</t>
        </is>
      </c>
      <c r="C1687" t="inlineStr">
        <is>
          <t>Föryngringsavverkning</t>
        </is>
      </c>
      <c r="D1687" s="1" t="n">
        <v>44760</v>
      </c>
      <c r="E1687" s="1" t="n">
        <v>46307</v>
      </c>
      <c r="F1687" t="inlineStr">
        <is>
          <t>VÄRMLANDS LÄN</t>
        </is>
      </c>
      <c r="G1687" t="inlineStr">
        <is>
          <t>GRUMS</t>
        </is>
      </c>
      <c r="I1687" t="n">
        <v>0.5</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8944-2022</t>
        </is>
      </c>
      <c r="B1688" t="inlineStr">
        <is>
          <t>avverkningsanmälan</t>
        </is>
      </c>
      <c r="C1688" t="inlineStr">
        <is>
          <t>Föryngringsavverkning</t>
        </is>
      </c>
      <c r="D1688" s="1" t="n">
        <v>44614</v>
      </c>
      <c r="E1688" s="1" t="n">
        <v>46307</v>
      </c>
      <c r="F1688" t="inlineStr">
        <is>
          <t>VÄRMLANDS LÄN</t>
        </is>
      </c>
      <c r="G1688" t="inlineStr">
        <is>
          <t>EDA</t>
        </is>
      </c>
      <c r="I1688" t="n">
        <v>0.7</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20042-2022</t>
        </is>
      </c>
      <c r="B1689" t="inlineStr">
        <is>
          <t>avverkningsanmälan</t>
        </is>
      </c>
      <c r="C1689" t="inlineStr">
        <is>
          <t>Föryngringsavverkning</t>
        </is>
      </c>
      <c r="D1689" s="1" t="n">
        <v>44697</v>
      </c>
      <c r="E1689" s="1" t="n">
        <v>46307</v>
      </c>
      <c r="F1689" t="inlineStr">
        <is>
          <t>VÄRMLANDS LÄN</t>
        </is>
      </c>
      <c r="G1689" t="inlineStr">
        <is>
          <t>SUNNE</t>
        </is>
      </c>
      <c r="I1689" t="n">
        <v>2.6</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47974-2022</t>
        </is>
      </c>
      <c r="B1690" t="inlineStr">
        <is>
          <t>avverkningsanmälan</t>
        </is>
      </c>
      <c r="C1690" t="inlineStr">
        <is>
          <t>Föryngringsavverkning</t>
        </is>
      </c>
      <c r="D1690" s="1" t="n">
        <v>44853</v>
      </c>
      <c r="E1690" s="1" t="n">
        <v>46307</v>
      </c>
      <c r="F1690" t="inlineStr">
        <is>
          <t>VÄRMLANDS LÄN</t>
        </is>
      </c>
      <c r="G1690" t="inlineStr">
        <is>
          <t>KRISTINEHAMN</t>
        </is>
      </c>
      <c r="I1690" t="n">
        <v>4</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65891-2021</t>
        </is>
      </c>
      <c r="B1691" t="inlineStr">
        <is>
          <t>avverkningsanmälan</t>
        </is>
      </c>
      <c r="C1691" t="inlineStr">
        <is>
          <t>Föryngringsavverkning</t>
        </is>
      </c>
      <c r="D1691" s="1" t="n">
        <v>44517</v>
      </c>
      <c r="E1691" s="1" t="n">
        <v>46307</v>
      </c>
      <c r="F1691" t="inlineStr">
        <is>
          <t>VÄRMLANDS LÄN</t>
        </is>
      </c>
      <c r="G1691" t="inlineStr">
        <is>
          <t>KIL</t>
        </is>
      </c>
      <c r="I1691" t="n">
        <v>1</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21303-2022</t>
        </is>
      </c>
      <c r="B1692" t="inlineStr">
        <is>
          <t>avverkningsanmälan</t>
        </is>
      </c>
      <c r="C1692" t="inlineStr">
        <is>
          <t>Föryngringsavverkning</t>
        </is>
      </c>
      <c r="D1692" s="1" t="n">
        <v>44705</v>
      </c>
      <c r="E1692" s="1" t="n">
        <v>46307</v>
      </c>
      <c r="F1692" t="inlineStr">
        <is>
          <t>VÄRMLANDS LÄN</t>
        </is>
      </c>
      <c r="G1692" t="inlineStr">
        <is>
          <t>ARVIKA</t>
        </is>
      </c>
      <c r="I1692" t="n">
        <v>0.5</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21052-2022</t>
        </is>
      </c>
      <c r="B1693" t="inlineStr">
        <is>
          <t>avverkningsanmälan</t>
        </is>
      </c>
      <c r="C1693" t="inlineStr">
        <is>
          <t>Föryngringsavverkning</t>
        </is>
      </c>
      <c r="D1693" s="1" t="n">
        <v>44704</v>
      </c>
      <c r="E1693" s="1" t="n">
        <v>46307</v>
      </c>
      <c r="F1693" t="inlineStr">
        <is>
          <t>VÄRMLANDS LÄN</t>
        </is>
      </c>
      <c r="G1693" t="inlineStr">
        <is>
          <t>ARVIKA</t>
        </is>
      </c>
      <c r="H1693" t="inlineStr">
        <is>
          <t>Kyrkan</t>
        </is>
      </c>
      <c r="I1693" t="n">
        <v>1.1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64331-2021</t>
        </is>
      </c>
      <c r="B1694" t="inlineStr">
        <is>
          <t>avverkningsanmälan</t>
        </is>
      </c>
      <c r="C1694" t="inlineStr">
        <is>
          <t>Föryngringsavverkning</t>
        </is>
      </c>
      <c r="D1694" s="1" t="n">
        <v>44510</v>
      </c>
      <c r="E1694" s="1" t="n">
        <v>46307</v>
      </c>
      <c r="F1694" t="inlineStr">
        <is>
          <t>VÄRMLANDS LÄN</t>
        </is>
      </c>
      <c r="G1694" t="inlineStr">
        <is>
          <t>ARVIKA</t>
        </is>
      </c>
      <c r="I1694" t="n">
        <v>0.8</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67913-2021</t>
        </is>
      </c>
      <c r="B1695" t="inlineStr">
        <is>
          <t>avverkningsanmälan</t>
        </is>
      </c>
      <c r="C1695" t="inlineStr">
        <is>
          <t>Föryngringsavverkning</t>
        </is>
      </c>
      <c r="D1695" s="1" t="n">
        <v>44525</v>
      </c>
      <c r="E1695" s="1" t="n">
        <v>46307</v>
      </c>
      <c r="F1695" t="inlineStr">
        <is>
          <t>VÄRMLANDS LÄN</t>
        </is>
      </c>
      <c r="G1695" t="inlineStr">
        <is>
          <t>TORSBY</t>
        </is>
      </c>
      <c r="H1695" t="inlineStr">
        <is>
          <t>Bergvik skog väst AB</t>
        </is>
      </c>
      <c r="I1695" t="n">
        <v>8</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39217-2022</t>
        </is>
      </c>
      <c r="B1696" t="inlineStr">
        <is>
          <t>avverkningsanmälan</t>
        </is>
      </c>
      <c r="C1696" t="inlineStr">
        <is>
          <t>Föryngringsavverkning</t>
        </is>
      </c>
      <c r="D1696" s="1" t="n">
        <v>44817</v>
      </c>
      <c r="E1696" s="1" t="n">
        <v>46307</v>
      </c>
      <c r="F1696" t="inlineStr">
        <is>
          <t>VÄRMLANDS LÄN</t>
        </is>
      </c>
      <c r="G1696" t="inlineStr">
        <is>
          <t>TORSBY</t>
        </is>
      </c>
      <c r="I1696" t="n">
        <v>4.6</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39221-2022</t>
        </is>
      </c>
      <c r="B1697" t="inlineStr">
        <is>
          <t>avverkningsanmälan</t>
        </is>
      </c>
      <c r="C1697" t="inlineStr">
        <is>
          <t>Föryngringsavverkning</t>
        </is>
      </c>
      <c r="D1697" s="1" t="n">
        <v>44817</v>
      </c>
      <c r="E1697" s="1" t="n">
        <v>46307</v>
      </c>
      <c r="F1697" t="inlineStr">
        <is>
          <t>VÄRMLANDS LÄN</t>
        </is>
      </c>
      <c r="G1697" t="inlineStr">
        <is>
          <t>TORSBY</t>
        </is>
      </c>
      <c r="I1697" t="n">
        <v>1.6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4075-2022</t>
        </is>
      </c>
      <c r="B1698" t="inlineStr">
        <is>
          <t>avverkningsanmälan</t>
        </is>
      </c>
      <c r="C1698" t="inlineStr">
        <is>
          <t>Föryngringsavverkning</t>
        </is>
      </c>
      <c r="D1698" s="1" t="n">
        <v>44588</v>
      </c>
      <c r="E1698" s="1" t="n">
        <v>46307</v>
      </c>
      <c r="F1698" t="inlineStr">
        <is>
          <t>VÄRMLANDS LÄN</t>
        </is>
      </c>
      <c r="G1698" t="inlineStr">
        <is>
          <t>ARVIKA</t>
        </is>
      </c>
      <c r="I1698" t="n">
        <v>0.5</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66385-2021</t>
        </is>
      </c>
      <c r="B1699" t="inlineStr">
        <is>
          <t>avverkningsanmälan</t>
        </is>
      </c>
      <c r="C1699" t="inlineStr">
        <is>
          <t>Föryngringsavverkning</t>
        </is>
      </c>
      <c r="D1699" s="1" t="n">
        <v>44518</v>
      </c>
      <c r="E1699" s="1" t="n">
        <v>46307</v>
      </c>
      <c r="F1699" t="inlineStr">
        <is>
          <t>VÄRMLANDS LÄN</t>
        </is>
      </c>
      <c r="G1699" t="inlineStr">
        <is>
          <t>SÄFFLE</t>
        </is>
      </c>
      <c r="I1699" t="n">
        <v>3.2</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73306-2021</t>
        </is>
      </c>
      <c r="B1700" t="inlineStr">
        <is>
          <t>avverkningsanmälan</t>
        </is>
      </c>
      <c r="C1700" t="inlineStr">
        <is>
          <t>Föryngringsavverkning</t>
        </is>
      </c>
      <c r="D1700" s="1" t="n">
        <v>44547</v>
      </c>
      <c r="E1700" s="1" t="n">
        <v>46307</v>
      </c>
      <c r="F1700" t="inlineStr">
        <is>
          <t>VÄRMLANDS LÄN</t>
        </is>
      </c>
      <c r="G1700" t="inlineStr">
        <is>
          <t>GRUMS</t>
        </is>
      </c>
      <c r="I1700" t="n">
        <v>0.9</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28925-2022</t>
        </is>
      </c>
      <c r="B1701" t="inlineStr">
        <is>
          <t>avverkningsanmälan</t>
        </is>
      </c>
      <c r="C1701" t="inlineStr">
        <is>
          <t>Föryngringsavverkning</t>
        </is>
      </c>
      <c r="D1701" s="1" t="n">
        <v>44749</v>
      </c>
      <c r="E1701" s="1" t="n">
        <v>46307</v>
      </c>
      <c r="F1701" t="inlineStr">
        <is>
          <t>VÄRMLANDS LÄN</t>
        </is>
      </c>
      <c r="G1701" t="inlineStr">
        <is>
          <t>ÅRJÄNG</t>
        </is>
      </c>
      <c r="I1701" t="n">
        <v>0.6</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8438-2022</t>
        </is>
      </c>
      <c r="B1702" t="inlineStr">
        <is>
          <t>avverkningsanmälan</t>
        </is>
      </c>
      <c r="C1702" t="inlineStr">
        <is>
          <t>Föryngringsavverkning</t>
        </is>
      </c>
      <c r="D1702" s="1" t="n">
        <v>44612</v>
      </c>
      <c r="E1702" s="1" t="n">
        <v>46307</v>
      </c>
      <c r="F1702" t="inlineStr">
        <is>
          <t>VÄRMLANDS LÄN</t>
        </is>
      </c>
      <c r="G1702" t="inlineStr">
        <is>
          <t>ÅRJÄNG</t>
        </is>
      </c>
      <c r="I1702" t="n">
        <v>3.4</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10899-2022</t>
        </is>
      </c>
      <c r="B1703" t="inlineStr">
        <is>
          <t>avverkningsanmälan</t>
        </is>
      </c>
      <c r="C1703" t="inlineStr">
        <is>
          <t>Föryngringsavverkning</t>
        </is>
      </c>
      <c r="D1703" s="1" t="n">
        <v>44627</v>
      </c>
      <c r="E1703" s="1" t="n">
        <v>46307</v>
      </c>
      <c r="F1703" t="inlineStr">
        <is>
          <t>VÄRMLANDS LÄN</t>
        </is>
      </c>
      <c r="G1703" t="inlineStr">
        <is>
          <t>ÅRJÄNG</t>
        </is>
      </c>
      <c r="I1703" t="n">
        <v>2.9</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20119-2022</t>
        </is>
      </c>
      <c r="B1704" t="inlineStr">
        <is>
          <t>avverkningsanmälan</t>
        </is>
      </c>
      <c r="C1704" t="inlineStr">
        <is>
          <t>Föryngringsavverkning</t>
        </is>
      </c>
      <c r="D1704" s="1" t="n">
        <v>44698</v>
      </c>
      <c r="E1704" s="1" t="n">
        <v>46307</v>
      </c>
      <c r="F1704" t="inlineStr">
        <is>
          <t>VÄRMLANDS LÄN</t>
        </is>
      </c>
      <c r="G1704" t="inlineStr">
        <is>
          <t>SÄFFLE</t>
        </is>
      </c>
      <c r="I1704" t="n">
        <v>2.5</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71130-2021</t>
        </is>
      </c>
      <c r="B1705" t="inlineStr">
        <is>
          <t>avverkningsanmälan</t>
        </is>
      </c>
      <c r="C1705" t="inlineStr">
        <is>
          <t>Föryngringsavverkning</t>
        </is>
      </c>
      <c r="D1705" s="1" t="n">
        <v>44539</v>
      </c>
      <c r="E1705" s="1" t="n">
        <v>46307</v>
      </c>
      <c r="F1705" t="inlineStr">
        <is>
          <t>VÄRMLANDS LÄN</t>
        </is>
      </c>
      <c r="G1705" t="inlineStr">
        <is>
          <t>ARVIKA</t>
        </is>
      </c>
      <c r="I1705" t="n">
        <v>0.9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28876-2022</t>
        </is>
      </c>
      <c r="B1706" t="inlineStr">
        <is>
          <t>avverkningsanmälan</t>
        </is>
      </c>
      <c r="C1706" t="inlineStr">
        <is>
          <t>Föryngringsavverkning</t>
        </is>
      </c>
      <c r="D1706" s="1" t="n">
        <v>44749</v>
      </c>
      <c r="E1706" s="1" t="n">
        <v>46307</v>
      </c>
      <c r="F1706" t="inlineStr">
        <is>
          <t>VÄRMLANDS LÄN</t>
        </is>
      </c>
      <c r="G1706" t="inlineStr">
        <is>
          <t>SUNNE</t>
        </is>
      </c>
      <c r="I1706" t="n">
        <v>1.3</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10874-2022</t>
        </is>
      </c>
      <c r="B1707" t="inlineStr">
        <is>
          <t>avverkningsanmälan</t>
        </is>
      </c>
      <c r="C1707" t="inlineStr">
        <is>
          <t>Föryngringsavverkning</t>
        </is>
      </c>
      <c r="D1707" s="1" t="n">
        <v>44627</v>
      </c>
      <c r="E1707" s="1" t="n">
        <v>46307</v>
      </c>
      <c r="F1707" t="inlineStr">
        <is>
          <t>VÄRMLANDS LÄN</t>
        </is>
      </c>
      <c r="G1707" t="inlineStr">
        <is>
          <t>SÄFFLE</t>
        </is>
      </c>
      <c r="I1707" t="n">
        <v>0.5</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63251-2021</t>
        </is>
      </c>
      <c r="B1708" t="inlineStr">
        <is>
          <t>avverkningsanmälan</t>
        </is>
      </c>
      <c r="C1708" t="inlineStr">
        <is>
          <t>Föryngringsavverkning</t>
        </is>
      </c>
      <c r="D1708" s="1" t="n">
        <v>44508</v>
      </c>
      <c r="E1708" s="1" t="n">
        <v>46307</v>
      </c>
      <c r="F1708" t="inlineStr">
        <is>
          <t>VÄRMLANDS LÄN</t>
        </is>
      </c>
      <c r="G1708" t="inlineStr">
        <is>
          <t>TORSBY</t>
        </is>
      </c>
      <c r="I1708" t="n">
        <v>0.7</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35503-2024</t>
        </is>
      </c>
      <c r="B1709" t="inlineStr">
        <is>
          <t>avverkningsanmälan</t>
        </is>
      </c>
      <c r="C1709" t="inlineStr">
        <is>
          <t>Föryngringsavverkning</t>
        </is>
      </c>
      <c r="D1709" s="1" t="n">
        <v>45531</v>
      </c>
      <c r="E1709" s="1" t="n">
        <v>46307</v>
      </c>
      <c r="F1709" t="inlineStr">
        <is>
          <t>VÄRMLANDS LÄN</t>
        </is>
      </c>
      <c r="G1709" t="inlineStr">
        <is>
          <t>ARVIKA</t>
        </is>
      </c>
      <c r="H1709" t="inlineStr">
        <is>
          <t>Bergvik skog väst AB</t>
        </is>
      </c>
      <c r="I1709" t="n">
        <v>3</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11424-2022</t>
        </is>
      </c>
      <c r="B1710" t="inlineStr">
        <is>
          <t>avverkningsanmälan</t>
        </is>
      </c>
      <c r="C1710" t="inlineStr">
        <is>
          <t>Föryngringsavverkning</t>
        </is>
      </c>
      <c r="D1710" s="1" t="n">
        <v>44630</v>
      </c>
      <c r="E1710" s="1" t="n">
        <v>46307</v>
      </c>
      <c r="F1710" t="inlineStr">
        <is>
          <t>VÄRMLANDS LÄN</t>
        </is>
      </c>
      <c r="G1710" t="inlineStr">
        <is>
          <t>SUNNE</t>
        </is>
      </c>
      <c r="I1710" t="n">
        <v>0.7</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35940-2024</t>
        </is>
      </c>
      <c r="B1711" t="inlineStr">
        <is>
          <t>avverkningsanmälan</t>
        </is>
      </c>
      <c r="C1711" t="inlineStr">
        <is>
          <t>Föryngringsavverkning</t>
        </is>
      </c>
      <c r="D1711" s="1" t="n">
        <v>45533</v>
      </c>
      <c r="E1711" s="1" t="n">
        <v>46307</v>
      </c>
      <c r="F1711" t="inlineStr">
        <is>
          <t>VÄRMLANDS LÄN</t>
        </is>
      </c>
      <c r="G1711" t="inlineStr">
        <is>
          <t>FORSHAGA</t>
        </is>
      </c>
      <c r="I1711" t="n">
        <v>6.7</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3387-2025</t>
        </is>
      </c>
      <c r="B1712" t="inlineStr">
        <is>
          <t>avverkningsanmälan</t>
        </is>
      </c>
      <c r="C1712" t="inlineStr">
        <is>
          <t>Föryngringsavverkning</t>
        </is>
      </c>
      <c r="D1712" s="1" t="n">
        <v>45680</v>
      </c>
      <c r="E1712" s="1" t="n">
        <v>46307</v>
      </c>
      <c r="F1712" t="inlineStr">
        <is>
          <t>VÄRMLANDS LÄN</t>
        </is>
      </c>
      <c r="G1712" t="inlineStr">
        <is>
          <t>TORSBY</t>
        </is>
      </c>
      <c r="H1712" t="inlineStr">
        <is>
          <t>Kommuner</t>
        </is>
      </c>
      <c r="I1712" t="n">
        <v>0.9</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20171-2025</t>
        </is>
      </c>
      <c r="B1713" t="inlineStr">
        <is>
          <t>avverkningsanmälan</t>
        </is>
      </c>
      <c r="C1713" t="inlineStr">
        <is>
          <t>Föryngringsavverkning</t>
        </is>
      </c>
      <c r="D1713" s="1" t="n">
        <v>45772</v>
      </c>
      <c r="E1713" s="1" t="n">
        <v>46307</v>
      </c>
      <c r="F1713" t="inlineStr">
        <is>
          <t>VÄRMLANDS LÄN</t>
        </is>
      </c>
      <c r="G1713" t="inlineStr">
        <is>
          <t>ARVIKA</t>
        </is>
      </c>
      <c r="H1713" t="inlineStr">
        <is>
          <t>Bergvik skog väst AB</t>
        </is>
      </c>
      <c r="I1713" t="n">
        <v>0.7</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20920-2023</t>
        </is>
      </c>
      <c r="B1714" t="inlineStr">
        <is>
          <t>avverkningsanmälan</t>
        </is>
      </c>
      <c r="C1714" t="inlineStr">
        <is>
          <t>Föryngringsavverkning</t>
        </is>
      </c>
      <c r="D1714" s="1" t="n">
        <v>45061</v>
      </c>
      <c r="E1714" s="1" t="n">
        <v>46307</v>
      </c>
      <c r="F1714" t="inlineStr">
        <is>
          <t>VÄRMLANDS LÄN</t>
        </is>
      </c>
      <c r="G1714" t="inlineStr">
        <is>
          <t>EDA</t>
        </is>
      </c>
      <c r="I1714" t="n">
        <v>5.7</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11229-2024</t>
        </is>
      </c>
      <c r="B1715" t="inlineStr">
        <is>
          <t>avverkningsanmälan</t>
        </is>
      </c>
      <c r="C1715" t="inlineStr">
        <is>
          <t>Föryngringsavverkning</t>
        </is>
      </c>
      <c r="D1715" s="1" t="n">
        <v>45371</v>
      </c>
      <c r="E1715" s="1" t="n">
        <v>46307</v>
      </c>
      <c r="F1715" t="inlineStr">
        <is>
          <t>VÄRMLANDS LÄN</t>
        </is>
      </c>
      <c r="G1715" t="inlineStr">
        <is>
          <t>SUNNE</t>
        </is>
      </c>
      <c r="I1715" t="n">
        <v>0.7</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23246-2024</t>
        </is>
      </c>
      <c r="B1716" t="inlineStr">
        <is>
          <t>avverkningsanmälan</t>
        </is>
      </c>
      <c r="C1716" t="inlineStr">
        <is>
          <t>Föryngringsavverkning</t>
        </is>
      </c>
      <c r="D1716" s="1" t="n">
        <v>45450</v>
      </c>
      <c r="E1716" s="1" t="n">
        <v>46307</v>
      </c>
      <c r="F1716" t="inlineStr">
        <is>
          <t>VÄRMLANDS LÄN</t>
        </is>
      </c>
      <c r="G1716" t="inlineStr">
        <is>
          <t>KRISTINEHAMN</t>
        </is>
      </c>
      <c r="H1716" t="inlineStr">
        <is>
          <t>Kommuner</t>
        </is>
      </c>
      <c r="I1716" t="n">
        <v>1.6</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48052-2023</t>
        </is>
      </c>
      <c r="B1717" t="inlineStr">
        <is>
          <t>avverkningsanmälan</t>
        </is>
      </c>
      <c r="C1717" t="inlineStr">
        <is>
          <t>Föryngringsavverkning</t>
        </is>
      </c>
      <c r="D1717" s="1" t="n">
        <v>45204</v>
      </c>
      <c r="E1717" s="1" t="n">
        <v>46307</v>
      </c>
      <c r="F1717" t="inlineStr">
        <is>
          <t>VÄRMLANDS LÄN</t>
        </is>
      </c>
      <c r="G1717" t="inlineStr">
        <is>
          <t>SUNNE</t>
        </is>
      </c>
      <c r="I1717" t="n">
        <v>11.9</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48106-2023</t>
        </is>
      </c>
      <c r="B1718" t="inlineStr">
        <is>
          <t>avverkningsanmälan</t>
        </is>
      </c>
      <c r="C1718" t="inlineStr">
        <is>
          <t>Föryngringsavverkning</t>
        </is>
      </c>
      <c r="D1718" s="1" t="n">
        <v>45205</v>
      </c>
      <c r="E1718" s="1" t="n">
        <v>46307</v>
      </c>
      <c r="F1718" t="inlineStr">
        <is>
          <t>VÄRMLANDS LÄN</t>
        </is>
      </c>
      <c r="G1718" t="inlineStr">
        <is>
          <t>TORSBY</t>
        </is>
      </c>
      <c r="I1718" t="n">
        <v>3.9</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30459-2022</t>
        </is>
      </c>
      <c r="B1719" t="inlineStr">
        <is>
          <t>avverkningsanmälan</t>
        </is>
      </c>
      <c r="C1719" t="inlineStr">
        <is>
          <t>Föryngringsavverkning</t>
        </is>
      </c>
      <c r="D1719" s="1" t="n">
        <v>44761</v>
      </c>
      <c r="E1719" s="1" t="n">
        <v>46307</v>
      </c>
      <c r="F1719" t="inlineStr">
        <is>
          <t>VÄRMLANDS LÄN</t>
        </is>
      </c>
      <c r="G1719" t="inlineStr">
        <is>
          <t>ÅRJÄNG</t>
        </is>
      </c>
      <c r="I1719" t="n">
        <v>1.1</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37486-2022</t>
        </is>
      </c>
      <c r="B1720" t="inlineStr">
        <is>
          <t>avverkningsanmälan</t>
        </is>
      </c>
      <c r="C1720" t="inlineStr">
        <is>
          <t>Föryngringsavverkning</t>
        </is>
      </c>
      <c r="D1720" s="1" t="n">
        <v>44809</v>
      </c>
      <c r="E1720" s="1" t="n">
        <v>46307</v>
      </c>
      <c r="F1720" t="inlineStr">
        <is>
          <t>VÄRMLANDS LÄN</t>
        </is>
      </c>
      <c r="G1720" t="inlineStr">
        <is>
          <t>GRUMS</t>
        </is>
      </c>
      <c r="I1720" t="n">
        <v>8.6</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38534-2022</t>
        </is>
      </c>
      <c r="B1721" t="inlineStr">
        <is>
          <t>avverkningsanmälan</t>
        </is>
      </c>
      <c r="C1721" t="inlineStr">
        <is>
          <t>Föryngringsavverkning</t>
        </is>
      </c>
      <c r="D1721" s="1" t="n">
        <v>44813</v>
      </c>
      <c r="E1721" s="1" t="n">
        <v>46307</v>
      </c>
      <c r="F1721" t="inlineStr">
        <is>
          <t>VÄRMLANDS LÄN</t>
        </is>
      </c>
      <c r="G1721" t="inlineStr">
        <is>
          <t>SÄFFLE</t>
        </is>
      </c>
      <c r="I1721" t="n">
        <v>3.1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1329-2023</t>
        </is>
      </c>
      <c r="B1722" t="inlineStr">
        <is>
          <t>avverkningsanmälan</t>
        </is>
      </c>
      <c r="C1722" t="inlineStr">
        <is>
          <t>Föryngringsavverkning</t>
        </is>
      </c>
      <c r="D1722" s="1" t="n">
        <v>44936</v>
      </c>
      <c r="E1722" s="1" t="n">
        <v>46307</v>
      </c>
      <c r="F1722" t="inlineStr">
        <is>
          <t>VÄRMLANDS LÄN</t>
        </is>
      </c>
      <c r="G1722" t="inlineStr">
        <is>
          <t>SÄFFLE</t>
        </is>
      </c>
      <c r="I1722" t="n">
        <v>5.4</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39640-2022</t>
        </is>
      </c>
      <c r="B1723" t="inlineStr">
        <is>
          <t>avverkningsanmälan</t>
        </is>
      </c>
      <c r="C1723" t="inlineStr">
        <is>
          <t>Föryngringsavverkning</t>
        </is>
      </c>
      <c r="D1723" s="1" t="n">
        <v>44817</v>
      </c>
      <c r="E1723" s="1" t="n">
        <v>46307</v>
      </c>
      <c r="F1723" t="inlineStr">
        <is>
          <t>VÄRMLANDS LÄN</t>
        </is>
      </c>
      <c r="G1723" t="inlineStr">
        <is>
          <t>HAGFORS</t>
        </is>
      </c>
      <c r="I1723" t="n">
        <v>2.8</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23847-2023</t>
        </is>
      </c>
      <c r="B1724" t="inlineStr">
        <is>
          <t>avverkningsanmälan</t>
        </is>
      </c>
      <c r="C1724" t="inlineStr">
        <is>
          <t>Föryngringsavverkning</t>
        </is>
      </c>
      <c r="D1724" s="1" t="n">
        <v>45078</v>
      </c>
      <c r="E1724" s="1" t="n">
        <v>46307</v>
      </c>
      <c r="F1724" t="inlineStr">
        <is>
          <t>VÄRMLANDS LÄN</t>
        </is>
      </c>
      <c r="G1724" t="inlineStr">
        <is>
          <t>ÅRJÄNG</t>
        </is>
      </c>
      <c r="I1724" t="n">
        <v>1.9</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15327-2022</t>
        </is>
      </c>
      <c r="B1725" t="inlineStr">
        <is>
          <t>avverkningsanmälan</t>
        </is>
      </c>
      <c r="C1725" t="inlineStr">
        <is>
          <t>Föryngringsavverkning</t>
        </is>
      </c>
      <c r="D1725" s="1" t="n">
        <v>44659</v>
      </c>
      <c r="E1725" s="1" t="n">
        <v>46307</v>
      </c>
      <c r="F1725" t="inlineStr">
        <is>
          <t>VÄRMLANDS LÄN</t>
        </is>
      </c>
      <c r="G1725" t="inlineStr">
        <is>
          <t>ÅRJÄNG</t>
        </is>
      </c>
      <c r="I1725" t="n">
        <v>4</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51914-2022</t>
        </is>
      </c>
      <c r="B1726" t="inlineStr">
        <is>
          <t>avverkningsanmälan</t>
        </is>
      </c>
      <c r="C1726" t="inlineStr">
        <is>
          <t>Föryngringsavverkning</t>
        </is>
      </c>
      <c r="D1726" s="1" t="n">
        <v>44872</v>
      </c>
      <c r="E1726" s="1" t="n">
        <v>46307</v>
      </c>
      <c r="F1726" t="inlineStr">
        <is>
          <t>VÄRMLANDS LÄN</t>
        </is>
      </c>
      <c r="G1726" t="inlineStr">
        <is>
          <t>KARLSTAD</t>
        </is>
      </c>
      <c r="H1726" t="inlineStr">
        <is>
          <t>Bergvik skog väst AB</t>
        </is>
      </c>
      <c r="I1726" t="n">
        <v>10</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40485-2022</t>
        </is>
      </c>
      <c r="B1727" t="inlineStr">
        <is>
          <t>avverkningsanmälan</t>
        </is>
      </c>
      <c r="C1727" t="inlineStr">
        <is>
          <t>Föryngringsavverkning</t>
        </is>
      </c>
      <c r="D1727" s="1" t="n">
        <v>44823</v>
      </c>
      <c r="E1727" s="1" t="n">
        <v>46307</v>
      </c>
      <c r="F1727" t="inlineStr">
        <is>
          <t>VÄRMLANDS LÄN</t>
        </is>
      </c>
      <c r="G1727" t="inlineStr">
        <is>
          <t>SUNNE</t>
        </is>
      </c>
      <c r="I1727" t="n">
        <v>2</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40490-2022</t>
        </is>
      </c>
      <c r="B1728" t="inlineStr">
        <is>
          <t>avverkningsanmälan</t>
        </is>
      </c>
      <c r="C1728" t="inlineStr">
        <is>
          <t>Föryngringsavverkning</t>
        </is>
      </c>
      <c r="D1728" s="1" t="n">
        <v>44823</v>
      </c>
      <c r="E1728" s="1" t="n">
        <v>46307</v>
      </c>
      <c r="F1728" t="inlineStr">
        <is>
          <t>VÄRMLANDS LÄN</t>
        </is>
      </c>
      <c r="G1728" t="inlineStr">
        <is>
          <t>ÅRJÄNG</t>
        </is>
      </c>
      <c r="I1728" t="n">
        <v>1.4</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37306-2023</t>
        </is>
      </c>
      <c r="B1729" t="inlineStr">
        <is>
          <t>avverkningsanmälan</t>
        </is>
      </c>
      <c r="C1729" t="inlineStr">
        <is>
          <t>Föryngringsavverkning</t>
        </is>
      </c>
      <c r="D1729" s="1" t="n">
        <v>45156</v>
      </c>
      <c r="E1729" s="1" t="n">
        <v>46307</v>
      </c>
      <c r="F1729" t="inlineStr">
        <is>
          <t>VÄRMLANDS LÄN</t>
        </is>
      </c>
      <c r="G1729" t="inlineStr">
        <is>
          <t>SÄFFLE</t>
        </is>
      </c>
      <c r="I1729" t="n">
        <v>2.6</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39990-2022</t>
        </is>
      </c>
      <c r="B1730" t="inlineStr">
        <is>
          <t>avverkningsanmälan</t>
        </is>
      </c>
      <c r="C1730" t="inlineStr">
        <is>
          <t>Föryngringsavverkning</t>
        </is>
      </c>
      <c r="D1730" s="1" t="n">
        <v>44820</v>
      </c>
      <c r="E1730" s="1" t="n">
        <v>46307</v>
      </c>
      <c r="F1730" t="inlineStr">
        <is>
          <t>VÄRMLANDS LÄN</t>
        </is>
      </c>
      <c r="G1730" t="inlineStr">
        <is>
          <t>SÄFFLE</t>
        </is>
      </c>
      <c r="H1730" t="inlineStr">
        <is>
          <t>Kyrkan</t>
        </is>
      </c>
      <c r="I1730" t="n">
        <v>1</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25807-2023</t>
        </is>
      </c>
      <c r="B1731" t="inlineStr">
        <is>
          <t>avverkningsanmälan</t>
        </is>
      </c>
      <c r="C1731" t="inlineStr">
        <is>
          <t>Föryngringsavverkning</t>
        </is>
      </c>
      <c r="D1731" s="1" t="n">
        <v>45090</v>
      </c>
      <c r="E1731" s="1" t="n">
        <v>46307</v>
      </c>
      <c r="F1731" t="inlineStr">
        <is>
          <t>VÄRMLANDS LÄN</t>
        </is>
      </c>
      <c r="G1731" t="inlineStr">
        <is>
          <t>EDA</t>
        </is>
      </c>
      <c r="I1731" t="n">
        <v>0.9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28548-2022</t>
        </is>
      </c>
      <c r="B1732" t="inlineStr">
        <is>
          <t>avverkningsanmälan</t>
        </is>
      </c>
      <c r="C1732" t="inlineStr">
        <is>
          <t>Föryngringsavverkning</t>
        </is>
      </c>
      <c r="D1732" s="1" t="n">
        <v>44748</v>
      </c>
      <c r="E1732" s="1" t="n">
        <v>46307</v>
      </c>
      <c r="F1732" t="inlineStr">
        <is>
          <t>VÄRMLANDS LÄN</t>
        </is>
      </c>
      <c r="G1732" t="inlineStr">
        <is>
          <t>ARVIKA</t>
        </is>
      </c>
      <c r="H1732" t="inlineStr">
        <is>
          <t>Bergvik skog väst AB</t>
        </is>
      </c>
      <c r="I1732" t="n">
        <v>1.2</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567-2024</t>
        </is>
      </c>
      <c r="B1733" t="inlineStr">
        <is>
          <t>avverkningsanmälan</t>
        </is>
      </c>
      <c r="C1733" t="inlineStr">
        <is>
          <t>Föryngringsavverkning</t>
        </is>
      </c>
      <c r="D1733" s="1" t="n">
        <v>45299</v>
      </c>
      <c r="E1733" s="1" t="n">
        <v>46307</v>
      </c>
      <c r="F1733" t="inlineStr">
        <is>
          <t>VÄRMLANDS LÄN</t>
        </is>
      </c>
      <c r="G1733" t="inlineStr">
        <is>
          <t>ARVIKA</t>
        </is>
      </c>
      <c r="I1733" t="n">
        <v>1.2</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32078-2023</t>
        </is>
      </c>
      <c r="B1734" t="inlineStr">
        <is>
          <t>avverkningsanmälan</t>
        </is>
      </c>
      <c r="C1734" t="inlineStr">
        <is>
          <t>Föryngringsavverkning</t>
        </is>
      </c>
      <c r="D1734" s="1" t="n">
        <v>45107</v>
      </c>
      <c r="E1734" s="1" t="n">
        <v>46307</v>
      </c>
      <c r="F1734" t="inlineStr">
        <is>
          <t>VÄRMLANDS LÄN</t>
        </is>
      </c>
      <c r="G1734" t="inlineStr">
        <is>
          <t>SÄFFLE</t>
        </is>
      </c>
      <c r="I1734" t="n">
        <v>3.3</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14840-2023</t>
        </is>
      </c>
      <c r="B1735" t="inlineStr">
        <is>
          <t>avverkningsanmälan</t>
        </is>
      </c>
      <c r="C1735" t="inlineStr">
        <is>
          <t>Föryngringsavverkning</t>
        </is>
      </c>
      <c r="D1735" s="1" t="n">
        <v>45014</v>
      </c>
      <c r="E1735" s="1" t="n">
        <v>46307</v>
      </c>
      <c r="F1735" t="inlineStr">
        <is>
          <t>VÄRMLANDS LÄN</t>
        </is>
      </c>
      <c r="G1735" t="inlineStr">
        <is>
          <t>FILIPSTAD</t>
        </is>
      </c>
      <c r="H1735" t="inlineStr">
        <is>
          <t>Kyrkan</t>
        </is>
      </c>
      <c r="I1735" t="n">
        <v>4</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54162-2023</t>
        </is>
      </c>
      <c r="B1736" t="inlineStr">
        <is>
          <t>avverkningsanmälan</t>
        </is>
      </c>
      <c r="C1736" t="inlineStr">
        <is>
          <t>Föryngringsavverkning</t>
        </is>
      </c>
      <c r="D1736" s="1" t="n">
        <v>45232</v>
      </c>
      <c r="E1736" s="1" t="n">
        <v>46307</v>
      </c>
      <c r="F1736" t="inlineStr">
        <is>
          <t>VÄRMLANDS LÄN</t>
        </is>
      </c>
      <c r="G1736" t="inlineStr">
        <is>
          <t>TORSBY</t>
        </is>
      </c>
      <c r="H1736" t="inlineStr">
        <is>
          <t>Bergvik skog väst AB</t>
        </is>
      </c>
      <c r="I1736" t="n">
        <v>8.4</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25759-2023</t>
        </is>
      </c>
      <c r="B1737" t="inlineStr">
        <is>
          <t>avverkningsanmälan</t>
        </is>
      </c>
      <c r="C1737" t="inlineStr">
        <is>
          <t>Föryngringsavverkning</t>
        </is>
      </c>
      <c r="D1737" s="1" t="n">
        <v>45090</v>
      </c>
      <c r="E1737" s="1" t="n">
        <v>46307</v>
      </c>
      <c r="F1737" t="inlineStr">
        <is>
          <t>VÄRMLANDS LÄN</t>
        </is>
      </c>
      <c r="G1737" t="inlineStr">
        <is>
          <t>HAGFORS</t>
        </is>
      </c>
      <c r="H1737" t="inlineStr">
        <is>
          <t>Bergvik skog väst AB</t>
        </is>
      </c>
      <c r="I1737" t="n">
        <v>7.6</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54191-2023</t>
        </is>
      </c>
      <c r="B1738" t="inlineStr">
        <is>
          <t>avverkningsanmälan</t>
        </is>
      </c>
      <c r="C1738" t="inlineStr">
        <is>
          <t>Föryngringsavverkning</t>
        </is>
      </c>
      <c r="D1738" s="1" t="n">
        <v>45232</v>
      </c>
      <c r="E1738" s="1" t="n">
        <v>46307</v>
      </c>
      <c r="F1738" t="inlineStr">
        <is>
          <t>VÄRMLANDS LÄN</t>
        </is>
      </c>
      <c r="G1738" t="inlineStr">
        <is>
          <t>TORSBY</t>
        </is>
      </c>
      <c r="H1738" t="inlineStr">
        <is>
          <t>Bergvik skog väst AB</t>
        </is>
      </c>
      <c r="I1738" t="n">
        <v>3.1</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16789-2024</t>
        </is>
      </c>
      <c r="B1739" t="inlineStr">
        <is>
          <t>avverkningsanmälan</t>
        </is>
      </c>
      <c r="C1739" t="inlineStr">
        <is>
          <t>Föryngringsavverkning</t>
        </is>
      </c>
      <c r="D1739" s="1" t="n">
        <v>45411</v>
      </c>
      <c r="E1739" s="1" t="n">
        <v>46307</v>
      </c>
      <c r="F1739" t="inlineStr">
        <is>
          <t>VÄRMLANDS LÄN</t>
        </is>
      </c>
      <c r="G1739" t="inlineStr">
        <is>
          <t>TORSBY</t>
        </is>
      </c>
      <c r="I1739" t="n">
        <v>2.4</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27222-2023</t>
        </is>
      </c>
      <c r="B1740" t="inlineStr">
        <is>
          <t>avverkningsanmälan</t>
        </is>
      </c>
      <c r="C1740" t="inlineStr">
        <is>
          <t>Föryngringsavverkning</t>
        </is>
      </c>
      <c r="D1740" s="1" t="n">
        <v>45096</v>
      </c>
      <c r="E1740" s="1" t="n">
        <v>46307</v>
      </c>
      <c r="F1740" t="inlineStr">
        <is>
          <t>VÄRMLANDS LÄN</t>
        </is>
      </c>
      <c r="G1740" t="inlineStr">
        <is>
          <t>GRUMS</t>
        </is>
      </c>
      <c r="I1740" t="n">
        <v>1.3</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3851-2025</t>
        </is>
      </c>
      <c r="B1741" t="inlineStr">
        <is>
          <t>avverkningsanmälan</t>
        </is>
      </c>
      <c r="C1741" t="inlineStr">
        <is>
          <t>Föryngringsavverkning</t>
        </is>
      </c>
      <c r="D1741" s="1" t="n">
        <v>45683</v>
      </c>
      <c r="E1741" s="1" t="n">
        <v>46307</v>
      </c>
      <c r="F1741" t="inlineStr">
        <is>
          <t>VÄRMLANDS LÄN</t>
        </is>
      </c>
      <c r="G1741" t="inlineStr">
        <is>
          <t>KIL</t>
        </is>
      </c>
      <c r="I1741" t="n">
        <v>2.5</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58591-2023</t>
        </is>
      </c>
      <c r="B1742" t="inlineStr">
        <is>
          <t>avverkningsanmälan</t>
        </is>
      </c>
      <c r="C1742" t="inlineStr">
        <is>
          <t>Föryngringsavverkning</t>
        </is>
      </c>
      <c r="D1742" s="1" t="n">
        <v>45251</v>
      </c>
      <c r="E1742" s="1" t="n">
        <v>46307</v>
      </c>
      <c r="F1742" t="inlineStr">
        <is>
          <t>VÄRMLANDS LÄN</t>
        </is>
      </c>
      <c r="G1742" t="inlineStr">
        <is>
          <t>ARVIKA</t>
        </is>
      </c>
      <c r="I1742" t="n">
        <v>15.3</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43088-2023</t>
        </is>
      </c>
      <c r="B1743" t="inlineStr">
        <is>
          <t>avverkningsanmälan</t>
        </is>
      </c>
      <c r="C1743" t="inlineStr">
        <is>
          <t>Föryngringsavverkning</t>
        </is>
      </c>
      <c r="D1743" s="1" t="n">
        <v>45182</v>
      </c>
      <c r="E1743" s="1" t="n">
        <v>46307</v>
      </c>
      <c r="F1743" t="inlineStr">
        <is>
          <t>VÄRMLANDS LÄN</t>
        </is>
      </c>
      <c r="G1743" t="inlineStr">
        <is>
          <t>SUNNE</t>
        </is>
      </c>
      <c r="I1743" t="n">
        <v>12.9</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54442-2022</t>
        </is>
      </c>
      <c r="B1744" t="inlineStr">
        <is>
          <t>avverkningsanmälan</t>
        </is>
      </c>
      <c r="C1744" t="inlineStr">
        <is>
          <t>Föryngringsavverkning</t>
        </is>
      </c>
      <c r="D1744" s="1" t="n">
        <v>44882</v>
      </c>
      <c r="E1744" s="1" t="n">
        <v>46307</v>
      </c>
      <c r="F1744" t="inlineStr">
        <is>
          <t>VÄRMLANDS LÄN</t>
        </is>
      </c>
      <c r="G1744" t="inlineStr">
        <is>
          <t>KARLSTAD</t>
        </is>
      </c>
      <c r="H1744" t="inlineStr">
        <is>
          <t>Kommuner</t>
        </is>
      </c>
      <c r="I1744" t="n">
        <v>1.1</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4430-2023</t>
        </is>
      </c>
      <c r="B1745" t="inlineStr">
        <is>
          <t>avverkningsanmälan</t>
        </is>
      </c>
      <c r="C1745" t="inlineStr">
        <is>
          <t>Föryngringsavverkning</t>
        </is>
      </c>
      <c r="D1745" s="1" t="n">
        <v>44956</v>
      </c>
      <c r="E1745" s="1" t="n">
        <v>46307</v>
      </c>
      <c r="F1745" t="inlineStr">
        <is>
          <t>VÄRMLANDS LÄN</t>
        </is>
      </c>
      <c r="G1745" t="inlineStr">
        <is>
          <t>ARVIKA</t>
        </is>
      </c>
      <c r="I1745" t="n">
        <v>1.7</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12097-2023</t>
        </is>
      </c>
      <c r="B1746" t="inlineStr">
        <is>
          <t>avverkningsanmälan</t>
        </is>
      </c>
      <c r="C1746" t="inlineStr">
        <is>
          <t>Föryngringsavverkning</t>
        </is>
      </c>
      <c r="D1746" s="1" t="n">
        <v>44995</v>
      </c>
      <c r="E1746" s="1" t="n">
        <v>46307</v>
      </c>
      <c r="F1746" t="inlineStr">
        <is>
          <t>VÄRMLANDS LÄN</t>
        </is>
      </c>
      <c r="G1746" t="inlineStr">
        <is>
          <t>SUNNE</t>
        </is>
      </c>
      <c r="I1746" t="n">
        <v>2.1</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12134-2023</t>
        </is>
      </c>
      <c r="B1747" t="inlineStr">
        <is>
          <t>avverkningsanmälan</t>
        </is>
      </c>
      <c r="C1747" t="inlineStr">
        <is>
          <t>Föryngringsavverkning</t>
        </is>
      </c>
      <c r="D1747" s="1" t="n">
        <v>44998</v>
      </c>
      <c r="E1747" s="1" t="n">
        <v>46307</v>
      </c>
      <c r="F1747" t="inlineStr">
        <is>
          <t>VÄRMLANDS LÄN</t>
        </is>
      </c>
      <c r="G1747" t="inlineStr">
        <is>
          <t>SÄFFLE</t>
        </is>
      </c>
      <c r="I1747" t="n">
        <v>11.1</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6860-2024</t>
        </is>
      </c>
      <c r="B1748" t="inlineStr">
        <is>
          <t>avverkningsanmälan</t>
        </is>
      </c>
      <c r="C1748" t="inlineStr">
        <is>
          <t>Föryngringsavverkning</t>
        </is>
      </c>
      <c r="D1748" s="1" t="n">
        <v>45342</v>
      </c>
      <c r="E1748" s="1" t="n">
        <v>46307</v>
      </c>
      <c r="F1748" t="inlineStr">
        <is>
          <t>VÄRMLANDS LÄN</t>
        </is>
      </c>
      <c r="G1748" t="inlineStr">
        <is>
          <t>FILIPSTAD</t>
        </is>
      </c>
      <c r="I1748" t="n">
        <v>1.3</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18341-2025</t>
        </is>
      </c>
      <c r="B1749" t="inlineStr">
        <is>
          <t>avverkningsanmälan</t>
        </is>
      </c>
      <c r="C1749" t="inlineStr">
        <is>
          <t>Föryngringsavverkning</t>
        </is>
      </c>
      <c r="D1749" s="1" t="n">
        <v>45762</v>
      </c>
      <c r="E1749" s="1" t="n">
        <v>46307</v>
      </c>
      <c r="F1749" t="inlineStr">
        <is>
          <t>VÄRMLANDS LÄN</t>
        </is>
      </c>
      <c r="G1749" t="inlineStr">
        <is>
          <t>GRUMS</t>
        </is>
      </c>
      <c r="I1749" t="n">
        <v>3.1</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53038-2022</t>
        </is>
      </c>
      <c r="B1750" t="inlineStr">
        <is>
          <t>avverkningsanmälan</t>
        </is>
      </c>
      <c r="C1750" t="inlineStr">
        <is>
          <t>Föryngringsavverkning</t>
        </is>
      </c>
      <c r="D1750" s="1" t="n">
        <v>44873</v>
      </c>
      <c r="E1750" s="1" t="n">
        <v>46307</v>
      </c>
      <c r="F1750" t="inlineStr">
        <is>
          <t>VÄRMLANDS LÄN</t>
        </is>
      </c>
      <c r="G1750" t="inlineStr">
        <is>
          <t>KARLSTAD</t>
        </is>
      </c>
      <c r="I1750" t="n">
        <v>1.5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44246-2022</t>
        </is>
      </c>
      <c r="B1751" t="inlineStr">
        <is>
          <t>avverkningsanmälan</t>
        </is>
      </c>
      <c r="C1751" t="inlineStr">
        <is>
          <t>Föryngringsavverkning</t>
        </is>
      </c>
      <c r="D1751" s="1" t="n">
        <v>44839</v>
      </c>
      <c r="E1751" s="1" t="n">
        <v>46307</v>
      </c>
      <c r="F1751" t="inlineStr">
        <is>
          <t>VÄRMLANDS LÄN</t>
        </is>
      </c>
      <c r="G1751" t="inlineStr">
        <is>
          <t>HAGFORS</t>
        </is>
      </c>
      <c r="I1751" t="n">
        <v>3.8</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10522-2024</t>
        </is>
      </c>
      <c r="B1752" t="inlineStr">
        <is>
          <t>avverkningsanmälan</t>
        </is>
      </c>
      <c r="C1752" t="inlineStr">
        <is>
          <t>Föryngringsavverkning</t>
        </is>
      </c>
      <c r="D1752" s="1" t="n">
        <v>45366</v>
      </c>
      <c r="E1752" s="1" t="n">
        <v>46307</v>
      </c>
      <c r="F1752" t="inlineStr">
        <is>
          <t>VÄRMLANDS LÄN</t>
        </is>
      </c>
      <c r="G1752" t="inlineStr">
        <is>
          <t>KRISTINEHAMN</t>
        </is>
      </c>
      <c r="I1752" t="n">
        <v>19</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13671-2025</t>
        </is>
      </c>
      <c r="B1753" t="inlineStr">
        <is>
          <t>avverkningsanmälan</t>
        </is>
      </c>
      <c r="C1753" t="inlineStr">
        <is>
          <t>Föryngringsavverkning</t>
        </is>
      </c>
      <c r="D1753" s="1" t="n">
        <v>45736</v>
      </c>
      <c r="E1753" s="1" t="n">
        <v>46307</v>
      </c>
      <c r="F1753" t="inlineStr">
        <is>
          <t>VÄRMLANDS LÄN</t>
        </is>
      </c>
      <c r="G1753" t="inlineStr">
        <is>
          <t>ARVIKA</t>
        </is>
      </c>
      <c r="I1753" t="n">
        <v>0.6</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18999-2024</t>
        </is>
      </c>
      <c r="B1754" t="inlineStr">
        <is>
          <t>avverkningsanmälan</t>
        </is>
      </c>
      <c r="C1754" t="inlineStr">
        <is>
          <t>Föryngringsavverkning</t>
        </is>
      </c>
      <c r="D1754" s="1" t="n">
        <v>45427</v>
      </c>
      <c r="E1754" s="1" t="n">
        <v>46307</v>
      </c>
      <c r="F1754" t="inlineStr">
        <is>
          <t>VÄRMLANDS LÄN</t>
        </is>
      </c>
      <c r="G1754" t="inlineStr">
        <is>
          <t>FILIPSTAD</t>
        </is>
      </c>
      <c r="H1754" t="inlineStr">
        <is>
          <t>Bergvik skog väst AB</t>
        </is>
      </c>
      <c r="I1754" t="n">
        <v>0.5</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38616-2023</t>
        </is>
      </c>
      <c r="B1755" t="inlineStr">
        <is>
          <t>avverkningsanmälan</t>
        </is>
      </c>
      <c r="C1755" t="inlineStr">
        <is>
          <t>Föryngringsavverkning</t>
        </is>
      </c>
      <c r="D1755" s="1" t="n">
        <v>45162</v>
      </c>
      <c r="E1755" s="1" t="n">
        <v>46307</v>
      </c>
      <c r="F1755" t="inlineStr">
        <is>
          <t>VÄRMLANDS LÄN</t>
        </is>
      </c>
      <c r="G1755" t="inlineStr">
        <is>
          <t>EDA</t>
        </is>
      </c>
      <c r="I1755" t="n">
        <v>5.5</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26037-2023</t>
        </is>
      </c>
      <c r="B1756" t="inlineStr">
        <is>
          <t>avverkningsanmälan</t>
        </is>
      </c>
      <c r="C1756" t="inlineStr">
        <is>
          <t>Föryngringsavverkning</t>
        </is>
      </c>
      <c r="D1756" s="1" t="n">
        <v>45091</v>
      </c>
      <c r="E1756" s="1" t="n">
        <v>46307</v>
      </c>
      <c r="F1756" t="inlineStr">
        <is>
          <t>VÄRMLANDS LÄN</t>
        </is>
      </c>
      <c r="G1756" t="inlineStr">
        <is>
          <t>FORSHAGA</t>
        </is>
      </c>
      <c r="I1756" t="n">
        <v>1.8</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37658-2023</t>
        </is>
      </c>
      <c r="B1757" t="inlineStr">
        <is>
          <t>avverkningsanmälan</t>
        </is>
      </c>
      <c r="C1757" t="inlineStr">
        <is>
          <t>Föryngringsavverkning</t>
        </is>
      </c>
      <c r="D1757" s="1" t="n">
        <v>45159</v>
      </c>
      <c r="E1757" s="1" t="n">
        <v>46307</v>
      </c>
      <c r="F1757" t="inlineStr">
        <is>
          <t>VÄRMLANDS LÄN</t>
        </is>
      </c>
      <c r="G1757" t="inlineStr">
        <is>
          <t>ARVIKA</t>
        </is>
      </c>
      <c r="I1757" t="n">
        <v>1</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27091-2022</t>
        </is>
      </c>
      <c r="B1758" t="inlineStr">
        <is>
          <t>avverkningsanmälan</t>
        </is>
      </c>
      <c r="C1758" t="inlineStr">
        <is>
          <t>Föryngringsavverkning</t>
        </is>
      </c>
      <c r="D1758" s="1" t="n">
        <v>44741</v>
      </c>
      <c r="E1758" s="1" t="n">
        <v>46307</v>
      </c>
      <c r="F1758" t="inlineStr">
        <is>
          <t>VÄRMLANDS LÄN</t>
        </is>
      </c>
      <c r="G1758" t="inlineStr">
        <is>
          <t>SUNNE</t>
        </is>
      </c>
      <c r="I1758" t="n">
        <v>0.4</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6237-2025</t>
        </is>
      </c>
      <c r="B1759" t="inlineStr">
        <is>
          <t>avverkningsanmälan</t>
        </is>
      </c>
      <c r="C1759" t="inlineStr">
        <is>
          <t>Föryngringsavverkning</t>
        </is>
      </c>
      <c r="D1759" s="1" t="n">
        <v>45698</v>
      </c>
      <c r="E1759" s="1" t="n">
        <v>46307</v>
      </c>
      <c r="F1759" t="inlineStr">
        <is>
          <t>VÄRMLANDS LÄN</t>
        </is>
      </c>
      <c r="G1759" t="inlineStr">
        <is>
          <t>ARVIKA</t>
        </is>
      </c>
      <c r="I1759" t="n">
        <v>3.3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49814-2022</t>
        </is>
      </c>
      <c r="B1760" t="inlineStr">
        <is>
          <t>avverkningsanmälan</t>
        </is>
      </c>
      <c r="C1760" t="inlineStr">
        <is>
          <t>Föryngringsavverkning</t>
        </is>
      </c>
      <c r="D1760" s="1" t="n">
        <v>44859</v>
      </c>
      <c r="E1760" s="1" t="n">
        <v>46307</v>
      </c>
      <c r="F1760" t="inlineStr">
        <is>
          <t>VÄRMLANDS LÄN</t>
        </is>
      </c>
      <c r="G1760" t="inlineStr">
        <is>
          <t>TORSBY</t>
        </is>
      </c>
      <c r="H1760" t="inlineStr">
        <is>
          <t>Kyrkan</t>
        </is>
      </c>
      <c r="I1760" t="n">
        <v>2.4</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25797-2024</t>
        </is>
      </c>
      <c r="B1761" t="inlineStr">
        <is>
          <t>avverkningsanmälan</t>
        </is>
      </c>
      <c r="C1761" t="inlineStr">
        <is>
          <t>Föryngringsavverkning</t>
        </is>
      </c>
      <c r="D1761" s="1" t="n">
        <v>45467</v>
      </c>
      <c r="E1761" s="1" t="n">
        <v>46307</v>
      </c>
      <c r="F1761" t="inlineStr">
        <is>
          <t>VÄRMLANDS LÄN</t>
        </is>
      </c>
      <c r="G1761" t="inlineStr">
        <is>
          <t>SUNNE</t>
        </is>
      </c>
      <c r="I1761" t="n">
        <v>2.6</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22896-2023</t>
        </is>
      </c>
      <c r="B1762" t="inlineStr">
        <is>
          <t>avverkningsanmälan</t>
        </is>
      </c>
      <c r="C1762" t="inlineStr">
        <is>
          <t>Avverkning för annat ändamål</t>
        </is>
      </c>
      <c r="D1762" s="1" t="n">
        <v>45072</v>
      </c>
      <c r="E1762" s="1" t="n">
        <v>46307</v>
      </c>
      <c r="F1762" t="inlineStr">
        <is>
          <t>VÄRMLANDS LÄN</t>
        </is>
      </c>
      <c r="G1762" t="inlineStr">
        <is>
          <t>KRISTINEHAMN</t>
        </is>
      </c>
      <c r="H1762" t="inlineStr">
        <is>
          <t>Bergvik skog väst AB</t>
        </is>
      </c>
      <c r="I1762" t="n">
        <v>0.7</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40630-2022</t>
        </is>
      </c>
      <c r="B1763" t="inlineStr">
        <is>
          <t>avverkningsanmälan</t>
        </is>
      </c>
      <c r="C1763" t="inlineStr">
        <is>
          <t>Avverkning för annat ändamål</t>
        </is>
      </c>
      <c r="D1763" s="1" t="n">
        <v>44823</v>
      </c>
      <c r="E1763" s="1" t="n">
        <v>46307</v>
      </c>
      <c r="F1763" t="inlineStr">
        <is>
          <t>VÄRMLANDS LÄN</t>
        </is>
      </c>
      <c r="G1763" t="inlineStr">
        <is>
          <t>SÄFFLE</t>
        </is>
      </c>
      <c r="I1763" t="n">
        <v>1.5</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26263-2023</t>
        </is>
      </c>
      <c r="B1764" t="inlineStr">
        <is>
          <t>avverkningsanmälan</t>
        </is>
      </c>
      <c r="C1764" t="inlineStr">
        <is>
          <t>Föryngringsavverkning</t>
        </is>
      </c>
      <c r="D1764" s="1" t="n">
        <v>45091</v>
      </c>
      <c r="E1764" s="1" t="n">
        <v>46307</v>
      </c>
      <c r="F1764" t="inlineStr">
        <is>
          <t>VÄRMLANDS LÄN</t>
        </is>
      </c>
      <c r="G1764" t="inlineStr">
        <is>
          <t>KIL</t>
        </is>
      </c>
      <c r="I1764" t="n">
        <v>1</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39664-2022</t>
        </is>
      </c>
      <c r="B1765" t="inlineStr">
        <is>
          <t>avverkningsanmälan</t>
        </is>
      </c>
      <c r="C1765" t="inlineStr">
        <is>
          <t>Föryngringsavverkning</t>
        </is>
      </c>
      <c r="D1765" s="1" t="n">
        <v>44818</v>
      </c>
      <c r="E1765" s="1" t="n">
        <v>46307</v>
      </c>
      <c r="F1765" t="inlineStr">
        <is>
          <t>VÄRMLANDS LÄN</t>
        </is>
      </c>
      <c r="G1765" t="inlineStr">
        <is>
          <t>EDA</t>
        </is>
      </c>
      <c r="I1765" t="n">
        <v>0.9</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72240-2021</t>
        </is>
      </c>
      <c r="B1766" t="inlineStr">
        <is>
          <t>avverkningsanmälan</t>
        </is>
      </c>
      <c r="C1766" t="inlineStr">
        <is>
          <t>Föryngringsavverkning</t>
        </is>
      </c>
      <c r="D1766" s="1" t="n">
        <v>44544</v>
      </c>
      <c r="E1766" s="1" t="n">
        <v>46307</v>
      </c>
      <c r="F1766" t="inlineStr">
        <is>
          <t>VÄRMLANDS LÄN</t>
        </is>
      </c>
      <c r="G1766" t="inlineStr">
        <is>
          <t>FORSHAGA</t>
        </is>
      </c>
      <c r="I1766" t="n">
        <v>1.8</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2385-2024</t>
        </is>
      </c>
      <c r="B1767" t="inlineStr">
        <is>
          <t>avverkningsanmälan</t>
        </is>
      </c>
      <c r="C1767" t="inlineStr">
        <is>
          <t>Föryngringsavverkning</t>
        </is>
      </c>
      <c r="D1767" s="1" t="n">
        <v>45310</v>
      </c>
      <c r="E1767" s="1" t="n">
        <v>46307</v>
      </c>
      <c r="F1767" t="inlineStr">
        <is>
          <t>VÄRMLANDS LÄN</t>
        </is>
      </c>
      <c r="G1767" t="inlineStr">
        <is>
          <t>SUNNE</t>
        </is>
      </c>
      <c r="I1767" t="n">
        <v>3.6</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249-2022</t>
        </is>
      </c>
      <c r="B1768" t="inlineStr">
        <is>
          <t>avverkningsanmälan</t>
        </is>
      </c>
      <c r="C1768" t="inlineStr">
        <is>
          <t>Föryngringsavverkning</t>
        </is>
      </c>
      <c r="D1768" s="1" t="n">
        <v>44565</v>
      </c>
      <c r="E1768" s="1" t="n">
        <v>46307</v>
      </c>
      <c r="F1768" t="inlineStr">
        <is>
          <t>VÄRMLANDS LÄN</t>
        </is>
      </c>
      <c r="G1768" t="inlineStr">
        <is>
          <t>KIL</t>
        </is>
      </c>
      <c r="I1768" t="n">
        <v>5.5</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35339-2024</t>
        </is>
      </c>
      <c r="B1769" t="inlineStr">
        <is>
          <t>avverkningsanmälan</t>
        </is>
      </c>
      <c r="C1769" t="inlineStr">
        <is>
          <t>Föryngringsavverkning</t>
        </is>
      </c>
      <c r="D1769" s="1" t="n">
        <v>45530</v>
      </c>
      <c r="E1769" s="1" t="n">
        <v>46307</v>
      </c>
      <c r="F1769" t="inlineStr">
        <is>
          <t>VÄRMLANDS LÄN</t>
        </is>
      </c>
      <c r="G1769" t="inlineStr">
        <is>
          <t>ARVIKA</t>
        </is>
      </c>
      <c r="I1769" t="n">
        <v>3.2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2390-2024</t>
        </is>
      </c>
      <c r="B1770" t="inlineStr">
        <is>
          <t>avverkningsanmälan</t>
        </is>
      </c>
      <c r="C1770" t="inlineStr">
        <is>
          <t>Föryngringsavverkning</t>
        </is>
      </c>
      <c r="D1770" s="1" t="n">
        <v>45310</v>
      </c>
      <c r="E1770" s="1" t="n">
        <v>46307</v>
      </c>
      <c r="F1770" t="inlineStr">
        <is>
          <t>VÄRMLANDS LÄN</t>
        </is>
      </c>
      <c r="G1770" t="inlineStr">
        <is>
          <t>EDA</t>
        </is>
      </c>
      <c r="I1770" t="n">
        <v>1.7</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34374-2023</t>
        </is>
      </c>
      <c r="B1771" t="inlineStr">
        <is>
          <t>avverkningsanmälan</t>
        </is>
      </c>
      <c r="C1771" t="inlineStr">
        <is>
          <t>Föryngringsavverkning</t>
        </is>
      </c>
      <c r="D1771" s="1" t="n">
        <v>45131</v>
      </c>
      <c r="E1771" s="1" t="n">
        <v>46307</v>
      </c>
      <c r="F1771" t="inlineStr">
        <is>
          <t>VÄRMLANDS LÄN</t>
        </is>
      </c>
      <c r="G1771" t="inlineStr">
        <is>
          <t>SUNNE</t>
        </is>
      </c>
      <c r="I1771" t="n">
        <v>11.7</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252-2022</t>
        </is>
      </c>
      <c r="B1772" t="inlineStr">
        <is>
          <t>avverkningsanmälan</t>
        </is>
      </c>
      <c r="C1772" t="inlineStr">
        <is>
          <t>Föryngringsavverkning</t>
        </is>
      </c>
      <c r="D1772" s="1" t="n">
        <v>44565</v>
      </c>
      <c r="E1772" s="1" t="n">
        <v>46307</v>
      </c>
      <c r="F1772" t="inlineStr">
        <is>
          <t>VÄRMLANDS LÄN</t>
        </is>
      </c>
      <c r="G1772" t="inlineStr">
        <is>
          <t>SUNNE</t>
        </is>
      </c>
      <c r="I1772" t="n">
        <v>2</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56710-2022</t>
        </is>
      </c>
      <c r="B1773" t="inlineStr">
        <is>
          <t>avverkningsanmälan</t>
        </is>
      </c>
      <c r="C1773" t="inlineStr">
        <is>
          <t>Föryngringsavverkning</t>
        </is>
      </c>
      <c r="D1773" s="1" t="n">
        <v>44893</v>
      </c>
      <c r="E1773" s="1" t="n">
        <v>46307</v>
      </c>
      <c r="F1773" t="inlineStr">
        <is>
          <t>VÄRMLANDS LÄN</t>
        </is>
      </c>
      <c r="G1773" t="inlineStr">
        <is>
          <t>ARVIKA</t>
        </is>
      </c>
      <c r="I1773" t="n">
        <v>3.2</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13863-2023</t>
        </is>
      </c>
      <c r="B1774" t="inlineStr">
        <is>
          <t>avverkningsanmälan</t>
        </is>
      </c>
      <c r="C1774" t="inlineStr">
        <is>
          <t>Föryngringsavverkning</t>
        </is>
      </c>
      <c r="D1774" s="1" t="n">
        <v>45007</v>
      </c>
      <c r="E1774" s="1" t="n">
        <v>46307</v>
      </c>
      <c r="F1774" t="inlineStr">
        <is>
          <t>VÄRMLANDS LÄN</t>
        </is>
      </c>
      <c r="G1774" t="inlineStr">
        <is>
          <t>KARLSTAD</t>
        </is>
      </c>
      <c r="I1774" t="n">
        <v>0.8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68136-2021</t>
        </is>
      </c>
      <c r="B1775" t="inlineStr">
        <is>
          <t>avverkningsanmälan</t>
        </is>
      </c>
      <c r="C1775" t="inlineStr">
        <is>
          <t>Föryngringsavverkning</t>
        </is>
      </c>
      <c r="D1775" s="1" t="n">
        <v>44526</v>
      </c>
      <c r="E1775" s="1" t="n">
        <v>46307</v>
      </c>
      <c r="F1775" t="inlineStr">
        <is>
          <t>VÄRMLANDS LÄN</t>
        </is>
      </c>
      <c r="G1775" t="inlineStr">
        <is>
          <t>TORSBY</t>
        </is>
      </c>
      <c r="I1775" t="n">
        <v>2.9</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21255-2023</t>
        </is>
      </c>
      <c r="B1776" t="inlineStr">
        <is>
          <t>avverkningsanmälan</t>
        </is>
      </c>
      <c r="C1776" t="inlineStr">
        <is>
          <t>Föryngringsavverkning</t>
        </is>
      </c>
      <c r="D1776" s="1" t="n">
        <v>45058</v>
      </c>
      <c r="E1776" s="1" t="n">
        <v>46307</v>
      </c>
      <c r="F1776" t="inlineStr">
        <is>
          <t>VÄRMLANDS LÄN</t>
        </is>
      </c>
      <c r="G1776" t="inlineStr">
        <is>
          <t>TORSBY</t>
        </is>
      </c>
      <c r="I1776" t="n">
        <v>3.6</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10155-2022</t>
        </is>
      </c>
      <c r="B1777" t="inlineStr">
        <is>
          <t>avverkningsanmälan</t>
        </is>
      </c>
      <c r="C1777" t="inlineStr">
        <is>
          <t>Föryngringsavverkning</t>
        </is>
      </c>
      <c r="D1777" s="1" t="n">
        <v>44622</v>
      </c>
      <c r="E1777" s="1" t="n">
        <v>46307</v>
      </c>
      <c r="F1777" t="inlineStr">
        <is>
          <t>VÄRMLANDS LÄN</t>
        </is>
      </c>
      <c r="G1777" t="inlineStr">
        <is>
          <t>KARLSTAD</t>
        </is>
      </c>
      <c r="I1777" t="n">
        <v>3</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11214-2024</t>
        </is>
      </c>
      <c r="B1778" t="inlineStr">
        <is>
          <t>avverkningsanmälan</t>
        </is>
      </c>
      <c r="C1778" t="inlineStr">
        <is>
          <t>Föryngringsavverkning</t>
        </is>
      </c>
      <c r="D1778" s="1" t="n">
        <v>45371</v>
      </c>
      <c r="E1778" s="1" t="n">
        <v>46307</v>
      </c>
      <c r="F1778" t="inlineStr">
        <is>
          <t>VÄRMLANDS LÄN</t>
        </is>
      </c>
      <c r="G1778" t="inlineStr">
        <is>
          <t>TORSBY</t>
        </is>
      </c>
      <c r="I1778" t="n">
        <v>0.4</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4195-2024</t>
        </is>
      </c>
      <c r="B1779" t="inlineStr">
        <is>
          <t>avverkningsanmälan</t>
        </is>
      </c>
      <c r="C1779" t="inlineStr">
        <is>
          <t>Föryngringsavverkning</t>
        </is>
      </c>
      <c r="D1779" s="1" t="n">
        <v>45324</v>
      </c>
      <c r="E1779" s="1" t="n">
        <v>46307</v>
      </c>
      <c r="F1779" t="inlineStr">
        <is>
          <t>VÄRMLANDS LÄN</t>
        </is>
      </c>
      <c r="G1779" t="inlineStr">
        <is>
          <t>ARVIKA</t>
        </is>
      </c>
      <c r="I1779" t="n">
        <v>1.1</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36706-2024</t>
        </is>
      </c>
      <c r="B1780" t="inlineStr">
        <is>
          <t>avverkningsanmälan</t>
        </is>
      </c>
      <c r="C1780" t="inlineStr">
        <is>
          <t>Föryngringsavverkning</t>
        </is>
      </c>
      <c r="D1780" s="1" t="n">
        <v>45537</v>
      </c>
      <c r="E1780" s="1" t="n">
        <v>46307</v>
      </c>
      <c r="F1780" t="inlineStr">
        <is>
          <t>VÄRMLANDS LÄN</t>
        </is>
      </c>
      <c r="G1780" t="inlineStr">
        <is>
          <t>ÅRJÄNG</t>
        </is>
      </c>
      <c r="I1780" t="n">
        <v>5.3</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46750-2024</t>
        </is>
      </c>
      <c r="B1781" t="inlineStr">
        <is>
          <t>avverkningsanmälan</t>
        </is>
      </c>
      <c r="C1781" t="inlineStr">
        <is>
          <t>Föryngringsavverkning</t>
        </is>
      </c>
      <c r="D1781" s="1" t="n">
        <v>45583</v>
      </c>
      <c r="E1781" s="1" t="n">
        <v>46307</v>
      </c>
      <c r="F1781" t="inlineStr">
        <is>
          <t>VÄRMLANDS LÄN</t>
        </is>
      </c>
      <c r="G1781" t="inlineStr">
        <is>
          <t>ARVIKA</t>
        </is>
      </c>
      <c r="H1781" t="inlineStr">
        <is>
          <t>Bergvik skog väst AB</t>
        </is>
      </c>
      <c r="I1781" t="n">
        <v>4.9</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25375-2023</t>
        </is>
      </c>
      <c r="B1782" t="inlineStr">
        <is>
          <t>avverkningsanmälan</t>
        </is>
      </c>
      <c r="C1782" t="inlineStr">
        <is>
          <t>Föryngringsavverkning</t>
        </is>
      </c>
      <c r="D1782" s="1" t="n">
        <v>45088</v>
      </c>
      <c r="E1782" s="1" t="n">
        <v>46307</v>
      </c>
      <c r="F1782" t="inlineStr">
        <is>
          <t>VÄRMLANDS LÄN</t>
        </is>
      </c>
      <c r="G1782" t="inlineStr">
        <is>
          <t>FILIPSTAD</t>
        </is>
      </c>
      <c r="I1782" t="n">
        <v>0.5</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7214-2025</t>
        </is>
      </c>
      <c r="B1783" t="inlineStr">
        <is>
          <t>avverkningsanmälan</t>
        </is>
      </c>
      <c r="C1783" t="inlineStr">
        <is>
          <t>Föryngringsavverkning</t>
        </is>
      </c>
      <c r="D1783" s="1" t="n">
        <v>45702</v>
      </c>
      <c r="E1783" s="1" t="n">
        <v>46307</v>
      </c>
      <c r="F1783" t="inlineStr">
        <is>
          <t>VÄRMLANDS LÄN</t>
        </is>
      </c>
      <c r="G1783" t="inlineStr">
        <is>
          <t>TORSBY</t>
        </is>
      </c>
      <c r="I1783" t="n">
        <v>1.1</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71812-2021</t>
        </is>
      </c>
      <c r="B1784" t="inlineStr">
        <is>
          <t>avverkningsanmälan</t>
        </is>
      </c>
      <c r="C1784" t="inlineStr">
        <is>
          <t>Föryngringsavverkning</t>
        </is>
      </c>
      <c r="D1784" s="1" t="n">
        <v>44539</v>
      </c>
      <c r="E1784" s="1" t="n">
        <v>46307</v>
      </c>
      <c r="F1784" t="inlineStr">
        <is>
          <t>VÄRMLANDS LÄN</t>
        </is>
      </c>
      <c r="G1784" t="inlineStr">
        <is>
          <t>ÅRJÄNG</t>
        </is>
      </c>
      <c r="I1784" t="n">
        <v>9</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41074-2022</t>
        </is>
      </c>
      <c r="B1785" t="inlineStr">
        <is>
          <t>avverkningsanmälan</t>
        </is>
      </c>
      <c r="C1785" t="inlineStr">
        <is>
          <t>Föryngringsavverkning</t>
        </is>
      </c>
      <c r="D1785" s="1" t="n">
        <v>44825</v>
      </c>
      <c r="E1785" s="1" t="n">
        <v>46307</v>
      </c>
      <c r="F1785" t="inlineStr">
        <is>
          <t>VÄRMLANDS LÄN</t>
        </is>
      </c>
      <c r="G1785" t="inlineStr">
        <is>
          <t>KIL</t>
        </is>
      </c>
      <c r="I1785" t="n">
        <v>4.8</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1431-2025</t>
        </is>
      </c>
      <c r="B1786" t="inlineStr">
        <is>
          <t>avverkningsanmälan</t>
        </is>
      </c>
      <c r="C1786" t="inlineStr">
        <is>
          <t>Föryngringsavverkning</t>
        </is>
      </c>
      <c r="D1786" s="1" t="n">
        <v>45669</v>
      </c>
      <c r="E1786" s="1" t="n">
        <v>46307</v>
      </c>
      <c r="F1786" t="inlineStr">
        <is>
          <t>VÄRMLANDS LÄN</t>
        </is>
      </c>
      <c r="G1786" t="inlineStr">
        <is>
          <t>STORFORS</t>
        </is>
      </c>
      <c r="I1786" t="n">
        <v>3.2</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34430-2023</t>
        </is>
      </c>
      <c r="B1787" t="inlineStr">
        <is>
          <t>avverkningsanmälan</t>
        </is>
      </c>
      <c r="C1787" t="inlineStr">
        <is>
          <t>Föryngringsavverkning</t>
        </is>
      </c>
      <c r="D1787" s="1" t="n">
        <v>45139</v>
      </c>
      <c r="E1787" s="1" t="n">
        <v>46307</v>
      </c>
      <c r="F1787" t="inlineStr">
        <is>
          <t>VÄRMLANDS LÄN</t>
        </is>
      </c>
      <c r="G1787" t="inlineStr">
        <is>
          <t>TORSBY</t>
        </is>
      </c>
      <c r="I1787" t="n">
        <v>3.3</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34431-2023</t>
        </is>
      </c>
      <c r="B1788" t="inlineStr">
        <is>
          <t>avverkningsanmälan</t>
        </is>
      </c>
      <c r="C1788" t="inlineStr">
        <is>
          <t>Föryngringsavverkning</t>
        </is>
      </c>
      <c r="D1788" s="1" t="n">
        <v>45139</v>
      </c>
      <c r="E1788" s="1" t="n">
        <v>46307</v>
      </c>
      <c r="F1788" t="inlineStr">
        <is>
          <t>VÄRMLANDS LÄN</t>
        </is>
      </c>
      <c r="G1788" t="inlineStr">
        <is>
          <t>EDA</t>
        </is>
      </c>
      <c r="I1788" t="n">
        <v>0.9</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39055-2024</t>
        </is>
      </c>
      <c r="B1789" t="inlineStr">
        <is>
          <t>avverkningsanmälan</t>
        </is>
      </c>
      <c r="C1789" t="inlineStr">
        <is>
          <t>Föryngringsavverkning</t>
        </is>
      </c>
      <c r="D1789" s="1" t="n">
        <v>45548</v>
      </c>
      <c r="E1789" s="1" t="n">
        <v>46307</v>
      </c>
      <c r="F1789" t="inlineStr">
        <is>
          <t>VÄRMLANDS LÄN</t>
        </is>
      </c>
      <c r="G1789" t="inlineStr">
        <is>
          <t>KIL</t>
        </is>
      </c>
      <c r="H1789" t="inlineStr">
        <is>
          <t>Kyrkan</t>
        </is>
      </c>
      <c r="I1789" t="n">
        <v>1.1</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57138-2023</t>
        </is>
      </c>
      <c r="B1790" t="inlineStr">
        <is>
          <t>avverkningsanmälan</t>
        </is>
      </c>
      <c r="C1790" t="inlineStr">
        <is>
          <t>Föryngringsavverkning</t>
        </is>
      </c>
      <c r="D1790" s="1" t="n">
        <v>45245</v>
      </c>
      <c r="E1790" s="1" t="n">
        <v>46307</v>
      </c>
      <c r="F1790" t="inlineStr">
        <is>
          <t>VÄRMLANDS LÄN</t>
        </is>
      </c>
      <c r="G1790" t="inlineStr">
        <is>
          <t>EDA</t>
        </is>
      </c>
      <c r="H1790" t="inlineStr">
        <is>
          <t>Övriga Aktiebolag</t>
        </is>
      </c>
      <c r="I1790" t="n">
        <v>0.8</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53303-2023</t>
        </is>
      </c>
      <c r="B1791" t="inlineStr">
        <is>
          <t>avverkningsanmälan</t>
        </is>
      </c>
      <c r="C1791" t="inlineStr">
        <is>
          <t>Föryngringsavverkning</t>
        </is>
      </c>
      <c r="D1791" s="1" t="n">
        <v>45229</v>
      </c>
      <c r="E1791" s="1" t="n">
        <v>46307</v>
      </c>
      <c r="F1791" t="inlineStr">
        <is>
          <t>VÄRMLANDS LÄN</t>
        </is>
      </c>
      <c r="G1791" t="inlineStr">
        <is>
          <t>SÄFFLE</t>
        </is>
      </c>
      <c r="I1791" t="n">
        <v>1.8</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34141-2023</t>
        </is>
      </c>
      <c r="B1792" t="inlineStr">
        <is>
          <t>avverkningsanmälan</t>
        </is>
      </c>
      <c r="C1792" t="inlineStr">
        <is>
          <t>Föryngringsavverkning</t>
        </is>
      </c>
      <c r="D1792" s="1" t="n">
        <v>45136</v>
      </c>
      <c r="E1792" s="1" t="n">
        <v>46307</v>
      </c>
      <c r="F1792" t="inlineStr">
        <is>
          <t>VÄRMLANDS LÄN</t>
        </is>
      </c>
      <c r="G1792" t="inlineStr">
        <is>
          <t>SUNNE</t>
        </is>
      </c>
      <c r="I1792" t="n">
        <v>0.6</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16312-2023</t>
        </is>
      </c>
      <c r="B1793" t="inlineStr">
        <is>
          <t>avverkningsanmälan</t>
        </is>
      </c>
      <c r="C1793" t="inlineStr">
        <is>
          <t>Föryngringsavverkning</t>
        </is>
      </c>
      <c r="D1793" s="1" t="n">
        <v>45028</v>
      </c>
      <c r="E1793" s="1" t="n">
        <v>46307</v>
      </c>
      <c r="F1793" t="inlineStr">
        <is>
          <t>VÄRMLANDS LÄN</t>
        </is>
      </c>
      <c r="G1793" t="inlineStr">
        <is>
          <t>KARLSTAD</t>
        </is>
      </c>
      <c r="I1793" t="n">
        <v>4</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2443-2022</t>
        </is>
      </c>
      <c r="B1794" t="inlineStr">
        <is>
          <t>avverkningsanmälan</t>
        </is>
      </c>
      <c r="C1794" t="inlineStr">
        <is>
          <t>Föryngringsavverkning</t>
        </is>
      </c>
      <c r="D1794" s="1" t="n">
        <v>44579</v>
      </c>
      <c r="E1794" s="1" t="n">
        <v>46307</v>
      </c>
      <c r="F1794" t="inlineStr">
        <is>
          <t>VÄRMLANDS LÄN</t>
        </is>
      </c>
      <c r="G1794" t="inlineStr">
        <is>
          <t>FILIPSTAD</t>
        </is>
      </c>
      <c r="I1794" t="n">
        <v>1.6</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30692-2022</t>
        </is>
      </c>
      <c r="B1795" t="inlineStr">
        <is>
          <t>avverkningsanmälan</t>
        </is>
      </c>
      <c r="C1795" t="inlineStr">
        <is>
          <t>Föryngringsavverkning</t>
        </is>
      </c>
      <c r="D1795" s="1" t="n">
        <v>44763</v>
      </c>
      <c r="E1795" s="1" t="n">
        <v>46307</v>
      </c>
      <c r="F1795" t="inlineStr">
        <is>
          <t>VÄRMLANDS LÄN</t>
        </is>
      </c>
      <c r="G1795" t="inlineStr">
        <is>
          <t>KARLSTAD</t>
        </is>
      </c>
      <c r="H1795" t="inlineStr">
        <is>
          <t>Kyrkan</t>
        </is>
      </c>
      <c r="I1795" t="n">
        <v>2.7</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11241-2024</t>
        </is>
      </c>
      <c r="B1796" t="inlineStr">
        <is>
          <t>avverkningsanmälan</t>
        </is>
      </c>
      <c r="C1796" t="inlineStr">
        <is>
          <t>Föryngringsavverkning</t>
        </is>
      </c>
      <c r="D1796" s="1" t="n">
        <v>45371</v>
      </c>
      <c r="E1796" s="1" t="n">
        <v>46307</v>
      </c>
      <c r="F1796" t="inlineStr">
        <is>
          <t>VÄRMLANDS LÄN</t>
        </is>
      </c>
      <c r="G1796" t="inlineStr">
        <is>
          <t>HAGFORS</t>
        </is>
      </c>
      <c r="I1796" t="n">
        <v>4.8</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73165-2021</t>
        </is>
      </c>
      <c r="B1797" t="inlineStr">
        <is>
          <t>avverkningsanmälan</t>
        </is>
      </c>
      <c r="C1797" t="inlineStr">
        <is>
          <t>Föryngringsavverkning</t>
        </is>
      </c>
      <c r="D1797" s="1" t="n">
        <v>44550</v>
      </c>
      <c r="E1797" s="1" t="n">
        <v>46307</v>
      </c>
      <c r="F1797" t="inlineStr">
        <is>
          <t>VÄRMLANDS LÄN</t>
        </is>
      </c>
      <c r="G1797" t="inlineStr">
        <is>
          <t>TORSBY</t>
        </is>
      </c>
      <c r="I1797" t="n">
        <v>1.8</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41858-2022</t>
        </is>
      </c>
      <c r="B1798" t="inlineStr">
        <is>
          <t>avverkningsanmälan</t>
        </is>
      </c>
      <c r="C1798" t="inlineStr">
        <is>
          <t>Föryngringsavverkning</t>
        </is>
      </c>
      <c r="D1798" s="1" t="n">
        <v>44829</v>
      </c>
      <c r="E1798" s="1" t="n">
        <v>46307</v>
      </c>
      <c r="F1798" t="inlineStr">
        <is>
          <t>VÄRMLANDS LÄN</t>
        </is>
      </c>
      <c r="G1798" t="inlineStr">
        <is>
          <t>SÄFFLE</t>
        </is>
      </c>
      <c r="I1798" t="n">
        <v>1.2</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17946-2024</t>
        </is>
      </c>
      <c r="B1799" t="inlineStr">
        <is>
          <t>avverkningsanmälan</t>
        </is>
      </c>
      <c r="C1799" t="inlineStr">
        <is>
          <t>Föryngringsavverkning</t>
        </is>
      </c>
      <c r="D1799" s="1" t="n">
        <v>45419</v>
      </c>
      <c r="E1799" s="1" t="n">
        <v>46307</v>
      </c>
      <c r="F1799" t="inlineStr">
        <is>
          <t>VÄRMLANDS LÄN</t>
        </is>
      </c>
      <c r="G1799" t="inlineStr">
        <is>
          <t>KIL</t>
        </is>
      </c>
      <c r="I1799" t="n">
        <v>0.5</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10645-2024</t>
        </is>
      </c>
      <c r="B1800" t="inlineStr">
        <is>
          <t>avverkningsanmälan</t>
        </is>
      </c>
      <c r="C1800" t="inlineStr">
        <is>
          <t>Föryngringsavverkning</t>
        </is>
      </c>
      <c r="D1800" s="1" t="n">
        <v>45367</v>
      </c>
      <c r="E1800" s="1" t="n">
        <v>46307</v>
      </c>
      <c r="F1800" t="inlineStr">
        <is>
          <t>VÄRMLANDS LÄN</t>
        </is>
      </c>
      <c r="G1800" t="inlineStr">
        <is>
          <t>SÄFFLE</t>
        </is>
      </c>
      <c r="I1800" t="n">
        <v>1.8</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36716-2023</t>
        </is>
      </c>
      <c r="B1801" t="inlineStr">
        <is>
          <t>avverkningsanmälan</t>
        </is>
      </c>
      <c r="C1801" t="inlineStr">
        <is>
          <t>Föryngringsavverkning</t>
        </is>
      </c>
      <c r="D1801" s="1" t="n">
        <v>45153</v>
      </c>
      <c r="E1801" s="1" t="n">
        <v>46307</v>
      </c>
      <c r="F1801" t="inlineStr">
        <is>
          <t>VÄRMLANDS LÄN</t>
        </is>
      </c>
      <c r="G1801" t="inlineStr">
        <is>
          <t>EDA</t>
        </is>
      </c>
      <c r="I1801" t="n">
        <v>5.7</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54126-2022</t>
        </is>
      </c>
      <c r="B1802" t="inlineStr">
        <is>
          <t>avverkningsanmälan</t>
        </is>
      </c>
      <c r="C1802" t="inlineStr">
        <is>
          <t>Föryngringsavverkning</t>
        </is>
      </c>
      <c r="D1802" s="1" t="n">
        <v>44881</v>
      </c>
      <c r="E1802" s="1" t="n">
        <v>46307</v>
      </c>
      <c r="F1802" t="inlineStr">
        <is>
          <t>VÄRMLANDS LÄN</t>
        </is>
      </c>
      <c r="G1802" t="inlineStr">
        <is>
          <t>SÄFFLE</t>
        </is>
      </c>
      <c r="H1802" t="inlineStr">
        <is>
          <t>Kyrkan</t>
        </is>
      </c>
      <c r="I1802" t="n">
        <v>1.4</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34580-2023</t>
        </is>
      </c>
      <c r="B1803" t="inlineStr">
        <is>
          <t>avverkningsanmälan</t>
        </is>
      </c>
      <c r="C1803" t="inlineStr">
        <is>
          <t>Föryngringsavverkning</t>
        </is>
      </c>
      <c r="D1803" s="1" t="n">
        <v>45135</v>
      </c>
      <c r="E1803" s="1" t="n">
        <v>46307</v>
      </c>
      <c r="F1803" t="inlineStr">
        <is>
          <t>VÄRMLANDS LÄN</t>
        </is>
      </c>
      <c r="G1803" t="inlineStr">
        <is>
          <t>ÅRJÄNG</t>
        </is>
      </c>
      <c r="H1803" t="inlineStr">
        <is>
          <t>Övriga Aktiebolag</t>
        </is>
      </c>
      <c r="I1803" t="n">
        <v>4</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18105-2022</t>
        </is>
      </c>
      <c r="B1804" t="inlineStr">
        <is>
          <t>avverkningsanmälan</t>
        </is>
      </c>
      <c r="C1804" t="inlineStr">
        <is>
          <t>Föryngringsavverkning</t>
        </is>
      </c>
      <c r="D1804" s="1" t="n">
        <v>44684</v>
      </c>
      <c r="E1804" s="1" t="n">
        <v>46307</v>
      </c>
      <c r="F1804" t="inlineStr">
        <is>
          <t>VÄRMLANDS LÄN</t>
        </is>
      </c>
      <c r="G1804" t="inlineStr">
        <is>
          <t>TORSBY</t>
        </is>
      </c>
      <c r="I1804" t="n">
        <v>2.1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18115-2022</t>
        </is>
      </c>
      <c r="B1805" t="inlineStr">
        <is>
          <t>avverkningsanmälan</t>
        </is>
      </c>
      <c r="C1805" t="inlineStr">
        <is>
          <t>Föryngringsavverkning</t>
        </is>
      </c>
      <c r="D1805" s="1" t="n">
        <v>44684</v>
      </c>
      <c r="E1805" s="1" t="n">
        <v>46307</v>
      </c>
      <c r="F1805" t="inlineStr">
        <is>
          <t>VÄRMLANDS LÄN</t>
        </is>
      </c>
      <c r="G1805" t="inlineStr">
        <is>
          <t>SUNNE</t>
        </is>
      </c>
      <c r="I1805" t="n">
        <v>1</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54195-2022</t>
        </is>
      </c>
      <c r="B1806" t="inlineStr">
        <is>
          <t>avverkningsanmälan</t>
        </is>
      </c>
      <c r="C1806" t="inlineStr">
        <is>
          <t>Föryngringsavverkning</t>
        </is>
      </c>
      <c r="D1806" s="1" t="n">
        <v>44881</v>
      </c>
      <c r="E1806" s="1" t="n">
        <v>46307</v>
      </c>
      <c r="F1806" t="inlineStr">
        <is>
          <t>VÄRMLANDS LÄN</t>
        </is>
      </c>
      <c r="G1806" t="inlineStr">
        <is>
          <t>EDA</t>
        </is>
      </c>
      <c r="I1806" t="n">
        <v>11</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52483-2022</t>
        </is>
      </c>
      <c r="B1807" t="inlineStr">
        <is>
          <t>avverkningsanmälan</t>
        </is>
      </c>
      <c r="C1807" t="inlineStr">
        <is>
          <t>Föryngringsavverkning</t>
        </is>
      </c>
      <c r="D1807" s="1" t="n">
        <v>44874</v>
      </c>
      <c r="E1807" s="1" t="n">
        <v>46307</v>
      </c>
      <c r="F1807" t="inlineStr">
        <is>
          <t>VÄRMLANDS LÄN</t>
        </is>
      </c>
      <c r="G1807" t="inlineStr">
        <is>
          <t>TORSBY</t>
        </is>
      </c>
      <c r="I1807" t="n">
        <v>1.7</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49073-2022</t>
        </is>
      </c>
      <c r="B1808" t="inlineStr">
        <is>
          <t>avverkningsanmälan</t>
        </is>
      </c>
      <c r="C1808" t="inlineStr">
        <is>
          <t>Föryngringsavverkning</t>
        </is>
      </c>
      <c r="D1808" s="1" t="n">
        <v>44860</v>
      </c>
      <c r="E1808" s="1" t="n">
        <v>46307</v>
      </c>
      <c r="F1808" t="inlineStr">
        <is>
          <t>VÄRMLANDS LÄN</t>
        </is>
      </c>
      <c r="G1808" t="inlineStr">
        <is>
          <t>TORSBY</t>
        </is>
      </c>
      <c r="I1808" t="n">
        <v>4.7</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54452-2022</t>
        </is>
      </c>
      <c r="B1809" t="inlineStr">
        <is>
          <t>avverkningsanmälan</t>
        </is>
      </c>
      <c r="C1809" t="inlineStr">
        <is>
          <t>Föryngringsavverkning</t>
        </is>
      </c>
      <c r="D1809" s="1" t="n">
        <v>44880</v>
      </c>
      <c r="E1809" s="1" t="n">
        <v>46307</v>
      </c>
      <c r="F1809" t="inlineStr">
        <is>
          <t>VÄRMLANDS LÄN</t>
        </is>
      </c>
      <c r="G1809" t="inlineStr">
        <is>
          <t>TORSBY</t>
        </is>
      </c>
      <c r="H1809" t="inlineStr">
        <is>
          <t>Kyrkan</t>
        </is>
      </c>
      <c r="I1809" t="n">
        <v>10.6</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54556-2023</t>
        </is>
      </c>
      <c r="B1810" t="inlineStr">
        <is>
          <t>avverkningsanmälan</t>
        </is>
      </c>
      <c r="C1810" t="inlineStr">
        <is>
          <t>Föryngringsavverkning</t>
        </is>
      </c>
      <c r="D1810" s="1" t="n">
        <v>45233</v>
      </c>
      <c r="E1810" s="1" t="n">
        <v>46307</v>
      </c>
      <c r="F1810" t="inlineStr">
        <is>
          <t>VÄRMLANDS LÄN</t>
        </is>
      </c>
      <c r="G1810" t="inlineStr">
        <is>
          <t>TORSBY</t>
        </is>
      </c>
      <c r="I1810" t="n">
        <v>0.6</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56656-2024</t>
        </is>
      </c>
      <c r="B1811" t="inlineStr">
        <is>
          <t>avverkningsanmälan</t>
        </is>
      </c>
      <c r="C1811" t="inlineStr">
        <is>
          <t>Föryngringsavverkning</t>
        </is>
      </c>
      <c r="D1811" s="1" t="n">
        <v>45625</v>
      </c>
      <c r="E1811" s="1" t="n">
        <v>46307</v>
      </c>
      <c r="F1811" t="inlineStr">
        <is>
          <t>VÄRMLANDS LÄN</t>
        </is>
      </c>
      <c r="G1811" t="inlineStr">
        <is>
          <t>KRISTINEHAMN</t>
        </is>
      </c>
      <c r="I1811" t="n">
        <v>8.800000000000001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39566-2023</t>
        </is>
      </c>
      <c r="B1812" t="inlineStr">
        <is>
          <t>avverkningsanmälan</t>
        </is>
      </c>
      <c r="C1812" t="inlineStr">
        <is>
          <t>Föryngringsavverkning</t>
        </is>
      </c>
      <c r="D1812" s="1" t="n">
        <v>45167</v>
      </c>
      <c r="E1812" s="1" t="n">
        <v>46307</v>
      </c>
      <c r="F1812" t="inlineStr">
        <is>
          <t>VÄRMLANDS LÄN</t>
        </is>
      </c>
      <c r="G1812" t="inlineStr">
        <is>
          <t>FILIPSTAD</t>
        </is>
      </c>
      <c r="H1812" t="inlineStr">
        <is>
          <t>Bergvik skog väst AB</t>
        </is>
      </c>
      <c r="I1812" t="n">
        <v>3.2</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34405-2023</t>
        </is>
      </c>
      <c r="B1813" t="inlineStr">
        <is>
          <t>avverkningsanmälan</t>
        </is>
      </c>
      <c r="C1813" t="inlineStr">
        <is>
          <t>Föryngringsavverkning</t>
        </is>
      </c>
      <c r="D1813" s="1" t="n">
        <v>45139</v>
      </c>
      <c r="E1813" s="1" t="n">
        <v>46307</v>
      </c>
      <c r="F1813" t="inlineStr">
        <is>
          <t>VÄRMLANDS LÄN</t>
        </is>
      </c>
      <c r="G1813" t="inlineStr">
        <is>
          <t>TORSBY</t>
        </is>
      </c>
      <c r="I1813" t="n">
        <v>4.6</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44340-2022</t>
        </is>
      </c>
      <c r="B1814" t="inlineStr">
        <is>
          <t>avverkningsanmälan</t>
        </is>
      </c>
      <c r="C1814" t="inlineStr">
        <is>
          <t>Föryngringsavverkning</t>
        </is>
      </c>
      <c r="D1814" s="1" t="n">
        <v>44838</v>
      </c>
      <c r="E1814" s="1" t="n">
        <v>46307</v>
      </c>
      <c r="F1814" t="inlineStr">
        <is>
          <t>VÄRMLANDS LÄN</t>
        </is>
      </c>
      <c r="G1814" t="inlineStr">
        <is>
          <t>TORSBY</t>
        </is>
      </c>
      <c r="I1814" t="n">
        <v>0.5</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38495-2024</t>
        </is>
      </c>
      <c r="B1815" t="inlineStr">
        <is>
          <t>avverkningsanmälan</t>
        </is>
      </c>
      <c r="C1815" t="inlineStr">
        <is>
          <t>Föryngringsavverkning</t>
        </is>
      </c>
      <c r="D1815" s="1" t="n">
        <v>45546</v>
      </c>
      <c r="E1815" s="1" t="n">
        <v>46307</v>
      </c>
      <c r="F1815" t="inlineStr">
        <is>
          <t>VÄRMLANDS LÄN</t>
        </is>
      </c>
      <c r="G1815" t="inlineStr">
        <is>
          <t>KARLSTAD</t>
        </is>
      </c>
      <c r="I1815" t="n">
        <v>1.9</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38497-2024</t>
        </is>
      </c>
      <c r="B1816" t="inlineStr">
        <is>
          <t>avverkningsanmälan</t>
        </is>
      </c>
      <c r="C1816" t="inlineStr">
        <is>
          <t>Föryngringsavverkning</t>
        </is>
      </c>
      <c r="D1816" s="1" t="n">
        <v>45546</v>
      </c>
      <c r="E1816" s="1" t="n">
        <v>46307</v>
      </c>
      <c r="F1816" t="inlineStr">
        <is>
          <t>VÄRMLANDS LÄN</t>
        </is>
      </c>
      <c r="G1816" t="inlineStr">
        <is>
          <t>TORSBY</t>
        </is>
      </c>
      <c r="I1816" t="n">
        <v>1.5</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35558-2023</t>
        </is>
      </c>
      <c r="B1817" t="inlineStr">
        <is>
          <t>avverkningsanmälan</t>
        </is>
      </c>
      <c r="C1817" t="inlineStr">
        <is>
          <t>Föryngringsavverkning</t>
        </is>
      </c>
      <c r="D1817" s="1" t="n">
        <v>45147</v>
      </c>
      <c r="E1817" s="1" t="n">
        <v>46307</v>
      </c>
      <c r="F1817" t="inlineStr">
        <is>
          <t>VÄRMLANDS LÄN</t>
        </is>
      </c>
      <c r="G1817" t="inlineStr">
        <is>
          <t>SUNNE</t>
        </is>
      </c>
      <c r="I1817" t="n">
        <v>2.4</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26495-2023</t>
        </is>
      </c>
      <c r="B1818" t="inlineStr">
        <is>
          <t>avverkningsanmälan</t>
        </is>
      </c>
      <c r="C1818" t="inlineStr">
        <is>
          <t>Föryngringsavverkning</t>
        </is>
      </c>
      <c r="D1818" s="1" t="n">
        <v>45092</v>
      </c>
      <c r="E1818" s="1" t="n">
        <v>46307</v>
      </c>
      <c r="F1818" t="inlineStr">
        <is>
          <t>VÄRMLANDS LÄN</t>
        </is>
      </c>
      <c r="G1818" t="inlineStr">
        <is>
          <t>EDA</t>
        </is>
      </c>
      <c r="I1818" t="n">
        <v>1.3</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26501-2023</t>
        </is>
      </c>
      <c r="B1819" t="inlineStr">
        <is>
          <t>avverkningsanmälan</t>
        </is>
      </c>
      <c r="C1819" t="inlineStr">
        <is>
          <t>Föryngringsavverkning</t>
        </is>
      </c>
      <c r="D1819" s="1" t="n">
        <v>45092</v>
      </c>
      <c r="E1819" s="1" t="n">
        <v>46307</v>
      </c>
      <c r="F1819" t="inlineStr">
        <is>
          <t>VÄRMLANDS LÄN</t>
        </is>
      </c>
      <c r="G1819" t="inlineStr">
        <is>
          <t>EDA</t>
        </is>
      </c>
      <c r="I1819" t="n">
        <v>0.9</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27458-2023</t>
        </is>
      </c>
      <c r="B1820" t="inlineStr">
        <is>
          <t>avverkningsanmälan</t>
        </is>
      </c>
      <c r="C1820" t="inlineStr">
        <is>
          <t>Föryngringsavverkning</t>
        </is>
      </c>
      <c r="D1820" s="1" t="n">
        <v>45097</v>
      </c>
      <c r="E1820" s="1" t="n">
        <v>46307</v>
      </c>
      <c r="F1820" t="inlineStr">
        <is>
          <t>VÄRMLANDS LÄN</t>
        </is>
      </c>
      <c r="G1820" t="inlineStr">
        <is>
          <t>TORSBY</t>
        </is>
      </c>
      <c r="I1820" t="n">
        <v>1</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29489-2022</t>
        </is>
      </c>
      <c r="B1821" t="inlineStr">
        <is>
          <t>avverkningsanmälan</t>
        </is>
      </c>
      <c r="C1821" t="inlineStr">
        <is>
          <t>Föryngringsavverkning</t>
        </is>
      </c>
      <c r="D1821" s="1" t="n">
        <v>44753</v>
      </c>
      <c r="E1821" s="1" t="n">
        <v>46307</v>
      </c>
      <c r="F1821" t="inlineStr">
        <is>
          <t>VÄRMLANDS LÄN</t>
        </is>
      </c>
      <c r="G1821" t="inlineStr">
        <is>
          <t>SUNNE</t>
        </is>
      </c>
      <c r="H1821" t="inlineStr">
        <is>
          <t>Övriga Aktiebolag</t>
        </is>
      </c>
      <c r="I1821" t="n">
        <v>1</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19351-2025</t>
        </is>
      </c>
      <c r="B1822" t="inlineStr">
        <is>
          <t>avverkningsanmälan</t>
        </is>
      </c>
      <c r="C1822" t="inlineStr">
        <is>
          <t>Avverkning för annat ändamål</t>
        </is>
      </c>
      <c r="D1822" s="1" t="n">
        <v>45769</v>
      </c>
      <c r="E1822" s="1" t="n">
        <v>46307</v>
      </c>
      <c r="F1822" t="inlineStr">
        <is>
          <t>VÄRMLANDS LÄN</t>
        </is>
      </c>
      <c r="G1822" t="inlineStr">
        <is>
          <t>FILIPSTAD</t>
        </is>
      </c>
      <c r="I1822" t="n">
        <v>1.1</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71625-2021</t>
        </is>
      </c>
      <c r="B1823" t="inlineStr">
        <is>
          <t>avverkningsanmälan</t>
        </is>
      </c>
      <c r="C1823" t="inlineStr">
        <is>
          <t>Föryngringsavverkning</t>
        </is>
      </c>
      <c r="D1823" s="1" t="n">
        <v>44542</v>
      </c>
      <c r="E1823" s="1" t="n">
        <v>46307</v>
      </c>
      <c r="F1823" t="inlineStr">
        <is>
          <t>VÄRMLANDS LÄN</t>
        </is>
      </c>
      <c r="G1823" t="inlineStr">
        <is>
          <t>FORSHAGA</t>
        </is>
      </c>
      <c r="I1823" t="n">
        <v>4.2</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12365-2022</t>
        </is>
      </c>
      <c r="B1824" t="inlineStr">
        <is>
          <t>avverkningsanmälan</t>
        </is>
      </c>
      <c r="C1824" t="inlineStr">
        <is>
          <t>Föryngringsavverkning</t>
        </is>
      </c>
      <c r="D1824" s="1" t="n">
        <v>44637</v>
      </c>
      <c r="E1824" s="1" t="n">
        <v>46307</v>
      </c>
      <c r="F1824" t="inlineStr">
        <is>
          <t>VÄRMLANDS LÄN</t>
        </is>
      </c>
      <c r="G1824" t="inlineStr">
        <is>
          <t>TORSBY</t>
        </is>
      </c>
      <c r="I1824" t="n">
        <v>3.5</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21451-2024</t>
        </is>
      </c>
      <c r="B1825" t="inlineStr">
        <is>
          <t>avverkningsanmälan</t>
        </is>
      </c>
      <c r="C1825" t="inlineStr">
        <is>
          <t>Föryngringsavverkning</t>
        </is>
      </c>
      <c r="D1825" s="1" t="n">
        <v>45441</v>
      </c>
      <c r="E1825" s="1" t="n">
        <v>46307</v>
      </c>
      <c r="F1825" t="inlineStr">
        <is>
          <t>VÄRMLANDS LÄN</t>
        </is>
      </c>
      <c r="G1825" t="inlineStr">
        <is>
          <t>HAGFORS</t>
        </is>
      </c>
      <c r="I1825" t="n">
        <v>3.8</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15164-2023</t>
        </is>
      </c>
      <c r="B1826" t="inlineStr">
        <is>
          <t>avverkningsanmälan</t>
        </is>
      </c>
      <c r="C1826" t="inlineStr">
        <is>
          <t>Föryngringsavverkning</t>
        </is>
      </c>
      <c r="D1826" s="1" t="n">
        <v>45016</v>
      </c>
      <c r="E1826" s="1" t="n">
        <v>46307</v>
      </c>
      <c r="F1826" t="inlineStr">
        <is>
          <t>VÄRMLANDS LÄN</t>
        </is>
      </c>
      <c r="G1826" t="inlineStr">
        <is>
          <t>ÅRJÄNG</t>
        </is>
      </c>
      <c r="I1826" t="n">
        <v>0.8</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38286-2023</t>
        </is>
      </c>
      <c r="B1827" t="inlineStr">
        <is>
          <t>avverkningsanmälan</t>
        </is>
      </c>
      <c r="C1827" t="inlineStr">
        <is>
          <t>Föryngringsavverkning</t>
        </is>
      </c>
      <c r="D1827" s="1" t="n">
        <v>45161</v>
      </c>
      <c r="E1827" s="1" t="n">
        <v>46307</v>
      </c>
      <c r="F1827" t="inlineStr">
        <is>
          <t>VÄRMLANDS LÄN</t>
        </is>
      </c>
      <c r="G1827" t="inlineStr">
        <is>
          <t>TORSBY</t>
        </is>
      </c>
      <c r="H1827" t="inlineStr">
        <is>
          <t>Kyrkan</t>
        </is>
      </c>
      <c r="I1827" t="n">
        <v>6.5</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20103-2024</t>
        </is>
      </c>
      <c r="B1828" t="inlineStr">
        <is>
          <t>avverkningsanmälan</t>
        </is>
      </c>
      <c r="C1828" t="inlineStr">
        <is>
          <t>Föryngringsavverkning</t>
        </is>
      </c>
      <c r="D1828" s="1" t="n">
        <v>45434</v>
      </c>
      <c r="E1828" s="1" t="n">
        <v>46307</v>
      </c>
      <c r="F1828" t="inlineStr">
        <is>
          <t>VÄRMLANDS LÄN</t>
        </is>
      </c>
      <c r="G1828" t="inlineStr">
        <is>
          <t>HAGFORS</t>
        </is>
      </c>
      <c r="H1828" t="inlineStr">
        <is>
          <t>Bergvik skog väst AB</t>
        </is>
      </c>
      <c r="I1828" t="n">
        <v>3.9</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52800-2024</t>
        </is>
      </c>
      <c r="B1829" t="inlineStr">
        <is>
          <t>avverkningsanmälan</t>
        </is>
      </c>
      <c r="C1829" t="inlineStr">
        <is>
          <t>Föryngringsavverkning</t>
        </is>
      </c>
      <c r="D1829" s="1" t="n">
        <v>45610</v>
      </c>
      <c r="E1829" s="1" t="n">
        <v>46307</v>
      </c>
      <c r="F1829" t="inlineStr">
        <is>
          <t>VÄRMLANDS LÄN</t>
        </is>
      </c>
      <c r="G1829" t="inlineStr">
        <is>
          <t>SUNNE</t>
        </is>
      </c>
      <c r="I1829" t="n">
        <v>1.9</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18642-2025</t>
        </is>
      </c>
      <c r="B1830" t="inlineStr">
        <is>
          <t>avverkningsanmälan</t>
        </is>
      </c>
      <c r="C1830" t="inlineStr">
        <is>
          <t>Föryngringsavverkning</t>
        </is>
      </c>
      <c r="D1830" s="1" t="n">
        <v>45763</v>
      </c>
      <c r="E1830" s="1" t="n">
        <v>46307</v>
      </c>
      <c r="F1830" t="inlineStr">
        <is>
          <t>VÄRMLANDS LÄN</t>
        </is>
      </c>
      <c r="G1830" t="inlineStr">
        <is>
          <t>EDA</t>
        </is>
      </c>
      <c r="I1830" t="n">
        <v>1.6</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59385-2023</t>
        </is>
      </c>
      <c r="B1831" t="inlineStr">
        <is>
          <t>avverkningsanmälan</t>
        </is>
      </c>
      <c r="C1831" t="inlineStr">
        <is>
          <t>Föryngringsavverkning</t>
        </is>
      </c>
      <c r="D1831" s="1" t="n">
        <v>45253</v>
      </c>
      <c r="E1831" s="1" t="n">
        <v>46307</v>
      </c>
      <c r="F1831" t="inlineStr">
        <is>
          <t>VÄRMLANDS LÄN</t>
        </is>
      </c>
      <c r="G1831" t="inlineStr">
        <is>
          <t>ÅRJÄNG</t>
        </is>
      </c>
      <c r="I1831" t="n">
        <v>2.2</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359-2023</t>
        </is>
      </c>
      <c r="B1832" t="inlineStr">
        <is>
          <t>avverkningsanmälan</t>
        </is>
      </c>
      <c r="C1832" t="inlineStr">
        <is>
          <t>Föryngringsavverkning</t>
        </is>
      </c>
      <c r="D1832" s="1" t="n">
        <v>44923</v>
      </c>
      <c r="E1832" s="1" t="n">
        <v>46307</v>
      </c>
      <c r="F1832" t="inlineStr">
        <is>
          <t>VÄRMLANDS LÄN</t>
        </is>
      </c>
      <c r="G1832" t="inlineStr">
        <is>
          <t>KRISTINEHAMN</t>
        </is>
      </c>
      <c r="I1832" t="n">
        <v>1.5</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30104-2023</t>
        </is>
      </c>
      <c r="B1833" t="inlineStr">
        <is>
          <t>avverkningsanmälan</t>
        </is>
      </c>
      <c r="C1833" t="inlineStr">
        <is>
          <t>Föryngringsavverkning</t>
        </is>
      </c>
      <c r="D1833" s="1" t="n">
        <v>45110</v>
      </c>
      <c r="E1833" s="1" t="n">
        <v>46307</v>
      </c>
      <c r="F1833" t="inlineStr">
        <is>
          <t>VÄRMLANDS LÄN</t>
        </is>
      </c>
      <c r="G1833" t="inlineStr">
        <is>
          <t>TORSBY</t>
        </is>
      </c>
      <c r="I1833" t="n">
        <v>1.5</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24347-2024</t>
        </is>
      </c>
      <c r="B1834" t="inlineStr">
        <is>
          <t>avverkningsanmälan</t>
        </is>
      </c>
      <c r="C1834" t="inlineStr">
        <is>
          <t>Föryngringsavverkning</t>
        </is>
      </c>
      <c r="D1834" s="1" t="n">
        <v>45457</v>
      </c>
      <c r="E1834" s="1" t="n">
        <v>46307</v>
      </c>
      <c r="F1834" t="inlineStr">
        <is>
          <t>VÄRMLANDS LÄN</t>
        </is>
      </c>
      <c r="G1834" t="inlineStr">
        <is>
          <t>SÄFFLE</t>
        </is>
      </c>
      <c r="I1834" t="n">
        <v>1</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53492-2022</t>
        </is>
      </c>
      <c r="B1835" t="inlineStr">
        <is>
          <t>avverkningsanmälan</t>
        </is>
      </c>
      <c r="C1835" t="inlineStr">
        <is>
          <t>Föryngringsavverkning</t>
        </is>
      </c>
      <c r="D1835" s="1" t="n">
        <v>44879</v>
      </c>
      <c r="E1835" s="1" t="n">
        <v>46307</v>
      </c>
      <c r="F1835" t="inlineStr">
        <is>
          <t>VÄRMLANDS LÄN</t>
        </is>
      </c>
      <c r="G1835" t="inlineStr">
        <is>
          <t>TORSBY</t>
        </is>
      </c>
      <c r="I1835" t="n">
        <v>2.3</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17972-2025</t>
        </is>
      </c>
      <c r="B1836" t="inlineStr">
        <is>
          <t>avverkningsanmälan</t>
        </is>
      </c>
      <c r="C1836" t="inlineStr">
        <is>
          <t>Föryngringsavverkning</t>
        </is>
      </c>
      <c r="D1836" s="1" t="n">
        <v>45761</v>
      </c>
      <c r="E1836" s="1" t="n">
        <v>46307</v>
      </c>
      <c r="F1836" t="inlineStr">
        <is>
          <t>VÄRMLANDS LÄN</t>
        </is>
      </c>
      <c r="G1836" t="inlineStr">
        <is>
          <t>GRUMS</t>
        </is>
      </c>
      <c r="I1836" t="n">
        <v>0.7</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62864-2023</t>
        </is>
      </c>
      <c r="B1837" t="inlineStr">
        <is>
          <t>avverkningsanmälan</t>
        </is>
      </c>
      <c r="C1837" t="inlineStr">
        <is>
          <t>Föryngringsavverkning</t>
        </is>
      </c>
      <c r="D1837" s="1" t="n">
        <v>45272</v>
      </c>
      <c r="E1837" s="1" t="n">
        <v>46307</v>
      </c>
      <c r="F1837" t="inlineStr">
        <is>
          <t>VÄRMLANDS LÄN</t>
        </is>
      </c>
      <c r="G1837" t="inlineStr">
        <is>
          <t>KRISTINEHAMN</t>
        </is>
      </c>
      <c r="I1837" t="n">
        <v>5.3</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51008-2023</t>
        </is>
      </c>
      <c r="B1838" t="inlineStr">
        <is>
          <t>avverkningsanmälan</t>
        </is>
      </c>
      <c r="C1838" t="inlineStr">
        <is>
          <t>Avverkning för annat ändamål</t>
        </is>
      </c>
      <c r="D1838" s="1" t="n">
        <v>45218</v>
      </c>
      <c r="E1838" s="1" t="n">
        <v>46307</v>
      </c>
      <c r="F1838" t="inlineStr">
        <is>
          <t>VÄRMLANDS LÄN</t>
        </is>
      </c>
      <c r="G1838" t="inlineStr">
        <is>
          <t>HAMMARÖ</t>
        </is>
      </c>
      <c r="H1838" t="inlineStr">
        <is>
          <t>Kommuner</t>
        </is>
      </c>
      <c r="I1838" t="n">
        <v>0.5</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62896-2023</t>
        </is>
      </c>
      <c r="B1839" t="inlineStr">
        <is>
          <t>avverkningsanmälan</t>
        </is>
      </c>
      <c r="C1839" t="inlineStr">
        <is>
          <t>Föryngringsavverkning</t>
        </is>
      </c>
      <c r="D1839" s="1" t="n">
        <v>45272</v>
      </c>
      <c r="E1839" s="1" t="n">
        <v>46307</v>
      </c>
      <c r="F1839" t="inlineStr">
        <is>
          <t>VÄRMLANDS LÄN</t>
        </is>
      </c>
      <c r="G1839" t="inlineStr">
        <is>
          <t>GRUMS</t>
        </is>
      </c>
      <c r="I1839" t="n">
        <v>13.8</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52438-2022</t>
        </is>
      </c>
      <c r="B1840" t="inlineStr">
        <is>
          <t>avverkningsanmälan</t>
        </is>
      </c>
      <c r="C1840" t="inlineStr">
        <is>
          <t>Föryngringsavverkning</t>
        </is>
      </c>
      <c r="D1840" s="1" t="n">
        <v>44874</v>
      </c>
      <c r="E1840" s="1" t="n">
        <v>46307</v>
      </c>
      <c r="F1840" t="inlineStr">
        <is>
          <t>VÄRMLANDS LÄN</t>
        </is>
      </c>
      <c r="G1840" t="inlineStr">
        <is>
          <t>KIL</t>
        </is>
      </c>
      <c r="I1840" t="n">
        <v>2.6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15471-2024</t>
        </is>
      </c>
      <c r="B1841" t="inlineStr">
        <is>
          <t>avverkningsanmälan</t>
        </is>
      </c>
      <c r="C1841" t="inlineStr">
        <is>
          <t>Föryngringsavverkning</t>
        </is>
      </c>
      <c r="D1841" s="1" t="n">
        <v>45401</v>
      </c>
      <c r="E1841" s="1" t="n">
        <v>46307</v>
      </c>
      <c r="F1841" t="inlineStr">
        <is>
          <t>VÄRMLANDS LÄN</t>
        </is>
      </c>
      <c r="G1841" t="inlineStr">
        <is>
          <t>FILIPSTAD</t>
        </is>
      </c>
      <c r="I1841" t="n">
        <v>0.5</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57667-2022</t>
        </is>
      </c>
      <c r="B1842" t="inlineStr">
        <is>
          <t>avverkningsanmälan</t>
        </is>
      </c>
      <c r="C1842" t="inlineStr">
        <is>
          <t>Föryngringsavverkning</t>
        </is>
      </c>
      <c r="D1842" s="1" t="n">
        <v>44897</v>
      </c>
      <c r="E1842" s="1" t="n">
        <v>46307</v>
      </c>
      <c r="F1842" t="inlineStr">
        <is>
          <t>VÄRMLANDS LÄN</t>
        </is>
      </c>
      <c r="G1842" t="inlineStr">
        <is>
          <t>SUNNE</t>
        </is>
      </c>
      <c r="I1842" t="n">
        <v>3.4</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59064-2023</t>
        </is>
      </c>
      <c r="B1843" t="inlineStr">
        <is>
          <t>avverkningsanmälan</t>
        </is>
      </c>
      <c r="C1843" t="inlineStr">
        <is>
          <t>Föryngringsavverkning</t>
        </is>
      </c>
      <c r="D1843" s="1" t="n">
        <v>45252</v>
      </c>
      <c r="E1843" s="1" t="n">
        <v>46307</v>
      </c>
      <c r="F1843" t="inlineStr">
        <is>
          <t>VÄRMLANDS LÄN</t>
        </is>
      </c>
      <c r="G1843" t="inlineStr">
        <is>
          <t>KIL</t>
        </is>
      </c>
      <c r="I1843" t="n">
        <v>1.1</v>
      </c>
      <c r="J1843" t="n">
        <v>0</v>
      </c>
      <c r="K1843" t="n">
        <v>0</v>
      </c>
      <c r="L1843" t="n">
        <v>0</v>
      </c>
      <c r="M1843" t="n">
        <v>0</v>
      </c>
      <c r="N1843" t="n">
        <v>0</v>
      </c>
      <c r="O1843" t="n">
        <v>0</v>
      </c>
      <c r="P1843" t="n">
        <v>0</v>
      </c>
      <c r="Q1843" t="n">
        <v>0</v>
      </c>
      <c r="R1843" t="n">
        <v>0</v>
      </c>
      <c r="S1843" t="n">
        <v>0</v>
      </c>
      <c r="T1843" t="n">
        <v>0</v>
      </c>
      <c r="U1843" t="n">
        <v>0</v>
      </c>
      <c r="V1843" s="2" t="inlineStr"/>
      <c r="Z1843">
        <f>HYPERLINK("https://klasma.github.io/Logging_1715/knärot/A 59064-2023 karta knärot.png", "A 59064-2023")</f>
        <v/>
      </c>
      <c r="AA1843">
        <f>HYPERLINK("https://klasma.github.io/Logging_1715/klagomål/A 59064-2023 FSC-klagomål.docx", "A 59064-2023")</f>
        <v/>
      </c>
      <c r="AB1843">
        <f>HYPERLINK("https://klasma.github.io/Logging_1715/klagomålsmail/A 59064-2023 FSC-klagomål mail.docx", "A 59064-2023")</f>
        <v/>
      </c>
      <c r="AC1843">
        <f>HYPERLINK("https://klasma.github.io/Logging_1715/tillsyn/A 59064-2023 tillsynsbegäran.docx", "A 59064-2023")</f>
        <v/>
      </c>
      <c r="AD1843">
        <f>HYPERLINK("https://klasma.github.io/Logging_1715/tillsynsmail/A 59064-2023 tillsynsbegäran mail.docx", "A 59064-2023")</f>
        <v/>
      </c>
    </row>
    <row r="1844" ht="15" customHeight="1">
      <c r="A1844" t="inlineStr">
        <is>
          <t>A 9902-2024</t>
        </is>
      </c>
      <c r="B1844" t="inlineStr">
        <is>
          <t>avverkningsanmälan</t>
        </is>
      </c>
      <c r="C1844" t="inlineStr">
        <is>
          <t>Föryngringsavverkning</t>
        </is>
      </c>
      <c r="D1844" s="1" t="n">
        <v>45363</v>
      </c>
      <c r="E1844" s="1" t="n">
        <v>46307</v>
      </c>
      <c r="F1844" t="inlineStr">
        <is>
          <t>VÄRMLANDS LÄN</t>
        </is>
      </c>
      <c r="G1844" t="inlineStr">
        <is>
          <t>TORSBY</t>
        </is>
      </c>
      <c r="I1844" t="n">
        <v>4.4</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9909-2024</t>
        </is>
      </c>
      <c r="B1845" t="inlineStr">
        <is>
          <t>avverkningsanmälan</t>
        </is>
      </c>
      <c r="C1845" t="inlineStr">
        <is>
          <t>Föryngringsavverkning</t>
        </is>
      </c>
      <c r="D1845" s="1" t="n">
        <v>45363</v>
      </c>
      <c r="E1845" s="1" t="n">
        <v>46307</v>
      </c>
      <c r="F1845" t="inlineStr">
        <is>
          <t>VÄRMLANDS LÄN</t>
        </is>
      </c>
      <c r="G1845" t="inlineStr">
        <is>
          <t>ÅRJÄNG</t>
        </is>
      </c>
      <c r="I1845" t="n">
        <v>3</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14551-2023</t>
        </is>
      </c>
      <c r="B1846" t="inlineStr">
        <is>
          <t>avverkningsanmälan</t>
        </is>
      </c>
      <c r="C1846" t="inlineStr">
        <is>
          <t>Föryngringsavverkning</t>
        </is>
      </c>
      <c r="D1846" s="1" t="n">
        <v>45013</v>
      </c>
      <c r="E1846" s="1" t="n">
        <v>46307</v>
      </c>
      <c r="F1846" t="inlineStr">
        <is>
          <t>VÄRMLANDS LÄN</t>
        </is>
      </c>
      <c r="G1846" t="inlineStr">
        <is>
          <t>ARVIKA</t>
        </is>
      </c>
      <c r="I1846" t="n">
        <v>0.6</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61818-2023</t>
        </is>
      </c>
      <c r="B1847" t="inlineStr">
        <is>
          <t>avverkningsanmälan</t>
        </is>
      </c>
      <c r="C1847" t="inlineStr">
        <is>
          <t>Föryngringsavverkning</t>
        </is>
      </c>
      <c r="D1847" s="1" t="n">
        <v>45266</v>
      </c>
      <c r="E1847" s="1" t="n">
        <v>46307</v>
      </c>
      <c r="F1847" t="inlineStr">
        <is>
          <t>VÄRMLANDS LÄN</t>
        </is>
      </c>
      <c r="G1847" t="inlineStr">
        <is>
          <t>HAGFORS</t>
        </is>
      </c>
      <c r="I1847" t="n">
        <v>8.6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8428-2025</t>
        </is>
      </c>
      <c r="B1848" t="inlineStr">
        <is>
          <t>avverkningsanmälan</t>
        </is>
      </c>
      <c r="C1848" t="inlineStr">
        <is>
          <t>Föryngringsavverkning</t>
        </is>
      </c>
      <c r="D1848" s="1" t="n">
        <v>45709</v>
      </c>
      <c r="E1848" s="1" t="n">
        <v>46307</v>
      </c>
      <c r="F1848" t="inlineStr">
        <is>
          <t>VÄRMLANDS LÄN</t>
        </is>
      </c>
      <c r="G1848" t="inlineStr">
        <is>
          <t>TORSBY</t>
        </is>
      </c>
      <c r="I1848" t="n">
        <v>1.1</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14564-2023</t>
        </is>
      </c>
      <c r="B1849" t="inlineStr">
        <is>
          <t>avverkningsanmälan</t>
        </is>
      </c>
      <c r="C1849" t="inlineStr">
        <is>
          <t>Föryngringsavverkning</t>
        </is>
      </c>
      <c r="D1849" s="1" t="n">
        <v>45013</v>
      </c>
      <c r="E1849" s="1" t="n">
        <v>46307</v>
      </c>
      <c r="F1849" t="inlineStr">
        <is>
          <t>VÄRMLANDS LÄN</t>
        </is>
      </c>
      <c r="G1849" t="inlineStr">
        <is>
          <t>SUNNE</t>
        </is>
      </c>
      <c r="I1849" t="n">
        <v>1.5</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44646-2024</t>
        </is>
      </c>
      <c r="B1850" t="inlineStr">
        <is>
          <t>avverkningsanmälan</t>
        </is>
      </c>
      <c r="C1850" t="inlineStr">
        <is>
          <t>Föryngringsavverkning</t>
        </is>
      </c>
      <c r="D1850" s="1" t="n">
        <v>45574</v>
      </c>
      <c r="E1850" s="1" t="n">
        <v>46307</v>
      </c>
      <c r="F1850" t="inlineStr">
        <is>
          <t>VÄRMLANDS LÄN</t>
        </is>
      </c>
      <c r="G1850" t="inlineStr">
        <is>
          <t>KIL</t>
        </is>
      </c>
      <c r="I1850" t="n">
        <v>1.3</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336-2023</t>
        </is>
      </c>
      <c r="B1851" t="inlineStr">
        <is>
          <t>avverkningsanmälan</t>
        </is>
      </c>
      <c r="C1851" t="inlineStr">
        <is>
          <t>Föryngringsavverkning</t>
        </is>
      </c>
      <c r="D1851" s="1" t="n">
        <v>44929</v>
      </c>
      <c r="E1851" s="1" t="n">
        <v>46307</v>
      </c>
      <c r="F1851" t="inlineStr">
        <is>
          <t>VÄRMLANDS LÄN</t>
        </is>
      </c>
      <c r="G1851" t="inlineStr">
        <is>
          <t>SÄFFLE</t>
        </is>
      </c>
      <c r="I1851" t="n">
        <v>0.7</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19869-2025</t>
        </is>
      </c>
      <c r="B1852" t="inlineStr">
        <is>
          <t>avverkningsanmälan</t>
        </is>
      </c>
      <c r="C1852" t="inlineStr">
        <is>
          <t>Föryngringsavverkning</t>
        </is>
      </c>
      <c r="D1852" s="1" t="n">
        <v>45771</v>
      </c>
      <c r="E1852" s="1" t="n">
        <v>46307</v>
      </c>
      <c r="F1852" t="inlineStr">
        <is>
          <t>VÄRMLANDS LÄN</t>
        </is>
      </c>
      <c r="G1852" t="inlineStr">
        <is>
          <t>SÄFFLE</t>
        </is>
      </c>
      <c r="I1852" t="n">
        <v>1.1</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13849-2024</t>
        </is>
      </c>
      <c r="B1853" t="inlineStr">
        <is>
          <t>avverkningsanmälan</t>
        </is>
      </c>
      <c r="C1853" t="inlineStr">
        <is>
          <t>Föryngringsavverkning</t>
        </is>
      </c>
      <c r="D1853" s="1" t="n">
        <v>45390</v>
      </c>
      <c r="E1853" s="1" t="n">
        <v>46307</v>
      </c>
      <c r="F1853" t="inlineStr">
        <is>
          <t>VÄRMLANDS LÄN</t>
        </is>
      </c>
      <c r="G1853" t="inlineStr">
        <is>
          <t>KARLSTAD</t>
        </is>
      </c>
      <c r="I1853" t="n">
        <v>2.7</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53788-2022</t>
        </is>
      </c>
      <c r="B1854" t="inlineStr">
        <is>
          <t>avverkningsanmälan</t>
        </is>
      </c>
      <c r="C1854" t="inlineStr">
        <is>
          <t>Avverkning för annat ändamål</t>
        </is>
      </c>
      <c r="D1854" s="1" t="n">
        <v>44880</v>
      </c>
      <c r="E1854" s="1" t="n">
        <v>46307</v>
      </c>
      <c r="F1854" t="inlineStr">
        <is>
          <t>VÄRMLANDS LÄN</t>
        </is>
      </c>
      <c r="G1854" t="inlineStr">
        <is>
          <t>SÄFFLE</t>
        </is>
      </c>
      <c r="I1854" t="n">
        <v>1</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51109-2022</t>
        </is>
      </c>
      <c r="B1855" t="inlineStr">
        <is>
          <t>avverkningsanmälan</t>
        </is>
      </c>
      <c r="C1855" t="inlineStr">
        <is>
          <t>Föryngringsavverkning</t>
        </is>
      </c>
      <c r="D1855" s="1" t="n">
        <v>44868</v>
      </c>
      <c r="E1855" s="1" t="n">
        <v>46307</v>
      </c>
      <c r="F1855" t="inlineStr">
        <is>
          <t>VÄRMLANDS LÄN</t>
        </is>
      </c>
      <c r="G1855" t="inlineStr">
        <is>
          <t>ÅRJÄNG</t>
        </is>
      </c>
      <c r="I1855" t="n">
        <v>4.3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3961-2023</t>
        </is>
      </c>
      <c r="B1856" t="inlineStr">
        <is>
          <t>avverkningsanmälan</t>
        </is>
      </c>
      <c r="C1856" t="inlineStr">
        <is>
          <t>Föryngringsavverkning</t>
        </is>
      </c>
      <c r="D1856" s="1" t="n">
        <v>44952</v>
      </c>
      <c r="E1856" s="1" t="n">
        <v>46307</v>
      </c>
      <c r="F1856" t="inlineStr">
        <is>
          <t>VÄRMLANDS LÄN</t>
        </is>
      </c>
      <c r="G1856" t="inlineStr">
        <is>
          <t>KARLSTAD</t>
        </is>
      </c>
      <c r="I1856" t="n">
        <v>10.7</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28517-2024</t>
        </is>
      </c>
      <c r="B1857" t="inlineStr">
        <is>
          <t>avverkningsanmälan</t>
        </is>
      </c>
      <c r="C1857" t="inlineStr">
        <is>
          <t>Föryngringsavverkning</t>
        </is>
      </c>
      <c r="D1857" s="1" t="n">
        <v>45478</v>
      </c>
      <c r="E1857" s="1" t="n">
        <v>46307</v>
      </c>
      <c r="F1857" t="inlineStr">
        <is>
          <t>VÄRMLANDS LÄN</t>
        </is>
      </c>
      <c r="G1857" t="inlineStr">
        <is>
          <t>FORSHAGA</t>
        </is>
      </c>
      <c r="H1857" t="inlineStr">
        <is>
          <t>Bergvik skog väst AB</t>
        </is>
      </c>
      <c r="I1857" t="n">
        <v>4.6</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53378-2024</t>
        </is>
      </c>
      <c r="B1858" t="inlineStr">
        <is>
          <t>avverkningsanmälan</t>
        </is>
      </c>
      <c r="C1858" t="inlineStr">
        <is>
          <t>Föryngringsavverkning</t>
        </is>
      </c>
      <c r="D1858" s="1" t="n">
        <v>45609</v>
      </c>
      <c r="E1858" s="1" t="n">
        <v>46307</v>
      </c>
      <c r="F1858" t="inlineStr">
        <is>
          <t>VÄRMLANDS LÄN</t>
        </is>
      </c>
      <c r="G1858" t="inlineStr">
        <is>
          <t>SÄFFLE</t>
        </is>
      </c>
      <c r="I1858" t="n">
        <v>2.2</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52239-2024</t>
        </is>
      </c>
      <c r="B1859" t="inlineStr">
        <is>
          <t>avverkningsanmälan</t>
        </is>
      </c>
      <c r="C1859" t="inlineStr">
        <is>
          <t>Föryngringsavverkning</t>
        </is>
      </c>
      <c r="D1859" s="1" t="n">
        <v>45608</v>
      </c>
      <c r="E1859" s="1" t="n">
        <v>46307</v>
      </c>
      <c r="F1859" t="inlineStr">
        <is>
          <t>VÄRMLANDS LÄN</t>
        </is>
      </c>
      <c r="G1859" t="inlineStr">
        <is>
          <t>TORSBY</t>
        </is>
      </c>
      <c r="H1859" t="inlineStr">
        <is>
          <t>Bergvik skog väst AB</t>
        </is>
      </c>
      <c r="I1859" t="n">
        <v>3.4</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55137-2024</t>
        </is>
      </c>
      <c r="B1860" t="inlineStr">
        <is>
          <t>avverkningsanmälan</t>
        </is>
      </c>
      <c r="C1860" t="inlineStr">
        <is>
          <t>Föryngringsavverkning</t>
        </is>
      </c>
      <c r="D1860" s="1" t="n">
        <v>45621</v>
      </c>
      <c r="E1860" s="1" t="n">
        <v>46307</v>
      </c>
      <c r="F1860" t="inlineStr">
        <is>
          <t>VÄRMLANDS LÄN</t>
        </is>
      </c>
      <c r="G1860" t="inlineStr">
        <is>
          <t>HAGFORS</t>
        </is>
      </c>
      <c r="I1860" t="n">
        <v>0.5</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6504-2023</t>
        </is>
      </c>
      <c r="B1861" t="inlineStr">
        <is>
          <t>avverkningsanmälan</t>
        </is>
      </c>
      <c r="C1861" t="inlineStr">
        <is>
          <t>Avverkning för annat ändamål</t>
        </is>
      </c>
      <c r="D1861" s="1" t="n">
        <v>44966</v>
      </c>
      <c r="E1861" s="1" t="n">
        <v>46307</v>
      </c>
      <c r="F1861" t="inlineStr">
        <is>
          <t>VÄRMLANDS LÄN</t>
        </is>
      </c>
      <c r="G1861" t="inlineStr">
        <is>
          <t>EDA</t>
        </is>
      </c>
      <c r="I1861" t="n">
        <v>1.7</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39781-2023</t>
        </is>
      </c>
      <c r="B1862" t="inlineStr">
        <is>
          <t>avverkningsanmälan</t>
        </is>
      </c>
      <c r="C1862" t="inlineStr">
        <is>
          <t>Föryngringsavverkning</t>
        </is>
      </c>
      <c r="D1862" s="1" t="n">
        <v>45167</v>
      </c>
      <c r="E1862" s="1" t="n">
        <v>46307</v>
      </c>
      <c r="F1862" t="inlineStr">
        <is>
          <t>VÄRMLANDS LÄN</t>
        </is>
      </c>
      <c r="G1862" t="inlineStr">
        <is>
          <t>KRISTINEHAMN</t>
        </is>
      </c>
      <c r="I1862" t="n">
        <v>8.4</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41986-2022</t>
        </is>
      </c>
      <c r="B1863" t="inlineStr">
        <is>
          <t>avverkningsanmälan</t>
        </is>
      </c>
      <c r="C1863" t="inlineStr">
        <is>
          <t>Föryngringsavverkning</t>
        </is>
      </c>
      <c r="D1863" s="1" t="n">
        <v>44830</v>
      </c>
      <c r="E1863" s="1" t="n">
        <v>46307</v>
      </c>
      <c r="F1863" t="inlineStr">
        <is>
          <t>VÄRMLANDS LÄN</t>
        </is>
      </c>
      <c r="G1863" t="inlineStr">
        <is>
          <t>ÅRJÄNG</t>
        </is>
      </c>
      <c r="I1863" t="n">
        <v>4.3</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39779-2023</t>
        </is>
      </c>
      <c r="B1864" t="inlineStr">
        <is>
          <t>avverkningsanmälan</t>
        </is>
      </c>
      <c r="C1864" t="inlineStr">
        <is>
          <t>Föryngringsavverkning</t>
        </is>
      </c>
      <c r="D1864" s="1" t="n">
        <v>45167</v>
      </c>
      <c r="E1864" s="1" t="n">
        <v>46307</v>
      </c>
      <c r="F1864" t="inlineStr">
        <is>
          <t>VÄRMLANDS LÄN</t>
        </is>
      </c>
      <c r="G1864" t="inlineStr">
        <is>
          <t>KRISTINEHAMN</t>
        </is>
      </c>
      <c r="I1864" t="n">
        <v>2</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25142-2023</t>
        </is>
      </c>
      <c r="B1865" t="inlineStr">
        <is>
          <t>avverkningsanmälan</t>
        </is>
      </c>
      <c r="C1865" t="inlineStr">
        <is>
          <t>Föryngringsavverkning</t>
        </is>
      </c>
      <c r="D1865" s="1" t="n">
        <v>45078</v>
      </c>
      <c r="E1865" s="1" t="n">
        <v>46307</v>
      </c>
      <c r="F1865" t="inlineStr">
        <is>
          <t>VÄRMLANDS LÄN</t>
        </is>
      </c>
      <c r="G1865" t="inlineStr">
        <is>
          <t>SÄFFLE</t>
        </is>
      </c>
      <c r="I1865" t="n">
        <v>5.4</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53755-2022</t>
        </is>
      </c>
      <c r="B1866" t="inlineStr">
        <is>
          <t>avverkningsanmälan</t>
        </is>
      </c>
      <c r="C1866" t="inlineStr">
        <is>
          <t>Föryngringsavverkning</t>
        </is>
      </c>
      <c r="D1866" s="1" t="n">
        <v>44880</v>
      </c>
      <c r="E1866" s="1" t="n">
        <v>46307</v>
      </c>
      <c r="F1866" t="inlineStr">
        <is>
          <t>VÄRMLANDS LÄN</t>
        </is>
      </c>
      <c r="G1866" t="inlineStr">
        <is>
          <t>SUNNE</t>
        </is>
      </c>
      <c r="I1866" t="n">
        <v>2.8</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18330-2024</t>
        </is>
      </c>
      <c r="B1867" t="inlineStr">
        <is>
          <t>avverkningsanmälan</t>
        </is>
      </c>
      <c r="C1867" t="inlineStr">
        <is>
          <t>Föryngringsavverkning</t>
        </is>
      </c>
      <c r="D1867" s="1" t="n">
        <v>45422</v>
      </c>
      <c r="E1867" s="1" t="n">
        <v>46307</v>
      </c>
      <c r="F1867" t="inlineStr">
        <is>
          <t>VÄRMLANDS LÄN</t>
        </is>
      </c>
      <c r="G1867" t="inlineStr">
        <is>
          <t>TORSBY</t>
        </is>
      </c>
      <c r="I1867" t="n">
        <v>1.4</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18349-2024</t>
        </is>
      </c>
      <c r="B1868" t="inlineStr">
        <is>
          <t>avverkningsanmälan</t>
        </is>
      </c>
      <c r="C1868" t="inlineStr">
        <is>
          <t>Avverkning för annat ändamål</t>
        </is>
      </c>
      <c r="D1868" s="1" t="n">
        <v>45422</v>
      </c>
      <c r="E1868" s="1" t="n">
        <v>46307</v>
      </c>
      <c r="F1868" t="inlineStr">
        <is>
          <t>VÄRMLANDS LÄN</t>
        </is>
      </c>
      <c r="G1868" t="inlineStr">
        <is>
          <t>ARVIKA</t>
        </is>
      </c>
      <c r="I1868" t="n">
        <v>0.5</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26343-2023</t>
        </is>
      </c>
      <c r="B1869" t="inlineStr">
        <is>
          <t>avverkningsanmälan</t>
        </is>
      </c>
      <c r="C1869" t="inlineStr">
        <is>
          <t>Föryngringsavverkning</t>
        </is>
      </c>
      <c r="D1869" s="1" t="n">
        <v>45091</v>
      </c>
      <c r="E1869" s="1" t="n">
        <v>46307</v>
      </c>
      <c r="F1869" t="inlineStr">
        <is>
          <t>VÄRMLANDS LÄN</t>
        </is>
      </c>
      <c r="G1869" t="inlineStr">
        <is>
          <t>TORSBY</t>
        </is>
      </c>
      <c r="I1869" t="n">
        <v>0.8</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20238-2024</t>
        </is>
      </c>
      <c r="B1870" t="inlineStr">
        <is>
          <t>avverkningsanmälan</t>
        </is>
      </c>
      <c r="C1870" t="inlineStr">
        <is>
          <t>Föryngringsavverkning</t>
        </is>
      </c>
      <c r="D1870" s="1" t="n">
        <v>45434</v>
      </c>
      <c r="E1870" s="1" t="n">
        <v>46307</v>
      </c>
      <c r="F1870" t="inlineStr">
        <is>
          <t>VÄRMLANDS LÄN</t>
        </is>
      </c>
      <c r="G1870" t="inlineStr">
        <is>
          <t>GRUMS</t>
        </is>
      </c>
      <c r="I1870" t="n">
        <v>1.3</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18472-2024</t>
        </is>
      </c>
      <c r="B1871" t="inlineStr">
        <is>
          <t>avverkningsanmälan</t>
        </is>
      </c>
      <c r="C1871" t="inlineStr">
        <is>
          <t>Föryngringsavverkning</t>
        </is>
      </c>
      <c r="D1871" s="1" t="n">
        <v>45425</v>
      </c>
      <c r="E1871" s="1" t="n">
        <v>46307</v>
      </c>
      <c r="F1871" t="inlineStr">
        <is>
          <t>VÄRMLANDS LÄN</t>
        </is>
      </c>
      <c r="G1871" t="inlineStr">
        <is>
          <t>HAGFORS</t>
        </is>
      </c>
      <c r="I1871" t="n">
        <v>0.4</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19511-2024</t>
        </is>
      </c>
      <c r="B1872" t="inlineStr">
        <is>
          <t>avverkningsanmälan</t>
        </is>
      </c>
      <c r="C1872" t="inlineStr">
        <is>
          <t>Föryngringsavverkning</t>
        </is>
      </c>
      <c r="D1872" s="1" t="n">
        <v>45429</v>
      </c>
      <c r="E1872" s="1" t="n">
        <v>46307</v>
      </c>
      <c r="F1872" t="inlineStr">
        <is>
          <t>VÄRMLANDS LÄN</t>
        </is>
      </c>
      <c r="G1872" t="inlineStr">
        <is>
          <t>ÅRJÄNG</t>
        </is>
      </c>
      <c r="I1872" t="n">
        <v>1.2</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19516-2024</t>
        </is>
      </c>
      <c r="B1873" t="inlineStr">
        <is>
          <t>avverkningsanmälan</t>
        </is>
      </c>
      <c r="C1873" t="inlineStr">
        <is>
          <t>Föryngringsavverkning</t>
        </is>
      </c>
      <c r="D1873" s="1" t="n">
        <v>45429</v>
      </c>
      <c r="E1873" s="1" t="n">
        <v>46307</v>
      </c>
      <c r="F1873" t="inlineStr">
        <is>
          <t>VÄRMLANDS LÄN</t>
        </is>
      </c>
      <c r="G1873" t="inlineStr">
        <is>
          <t>ÅRJÄNG</t>
        </is>
      </c>
      <c r="I1873" t="n">
        <v>1.2</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37398-2023</t>
        </is>
      </c>
      <c r="B1874" t="inlineStr">
        <is>
          <t>avverkningsanmälan</t>
        </is>
      </c>
      <c r="C1874" t="inlineStr">
        <is>
          <t>Föryngringsavverkning</t>
        </is>
      </c>
      <c r="D1874" s="1" t="n">
        <v>45156</v>
      </c>
      <c r="E1874" s="1" t="n">
        <v>46307</v>
      </c>
      <c r="F1874" t="inlineStr">
        <is>
          <t>VÄRMLANDS LÄN</t>
        </is>
      </c>
      <c r="G1874" t="inlineStr">
        <is>
          <t>ARVIKA</t>
        </is>
      </c>
      <c r="I1874" t="n">
        <v>2.3</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18339-2024</t>
        </is>
      </c>
      <c r="B1875" t="inlineStr">
        <is>
          <t>avverkningsanmälan</t>
        </is>
      </c>
      <c r="C1875" t="inlineStr">
        <is>
          <t>Föryngringsavverkning</t>
        </is>
      </c>
      <c r="D1875" s="1" t="n">
        <v>45422</v>
      </c>
      <c r="E1875" s="1" t="n">
        <v>46307</v>
      </c>
      <c r="F1875" t="inlineStr">
        <is>
          <t>VÄRMLANDS LÄN</t>
        </is>
      </c>
      <c r="G1875" t="inlineStr">
        <is>
          <t>TORSBY</t>
        </is>
      </c>
      <c r="I1875" t="n">
        <v>0.6</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25251-2023</t>
        </is>
      </c>
      <c r="B1876" t="inlineStr">
        <is>
          <t>avverkningsanmälan</t>
        </is>
      </c>
      <c r="C1876" t="inlineStr">
        <is>
          <t>Föryngringsavverkning</t>
        </is>
      </c>
      <c r="D1876" s="1" t="n">
        <v>45086</v>
      </c>
      <c r="E1876" s="1" t="n">
        <v>46307</v>
      </c>
      <c r="F1876" t="inlineStr">
        <is>
          <t>VÄRMLANDS LÄN</t>
        </is>
      </c>
      <c r="G1876" t="inlineStr">
        <is>
          <t>ARVIKA</t>
        </is>
      </c>
      <c r="I1876" t="n">
        <v>1.5</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17246-2025</t>
        </is>
      </c>
      <c r="B1877" t="inlineStr">
        <is>
          <t>avverkningsanmälan</t>
        </is>
      </c>
      <c r="C1877" t="inlineStr">
        <is>
          <t>Föryngringsavverkning</t>
        </is>
      </c>
      <c r="D1877" s="1" t="n">
        <v>45756</v>
      </c>
      <c r="E1877" s="1" t="n">
        <v>46307</v>
      </c>
      <c r="F1877" t="inlineStr">
        <is>
          <t>VÄRMLANDS LÄN</t>
        </is>
      </c>
      <c r="G1877" t="inlineStr">
        <is>
          <t>EDA</t>
        </is>
      </c>
      <c r="I1877" t="n">
        <v>0.7</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21577-2024</t>
        </is>
      </c>
      <c r="B1878" t="inlineStr">
        <is>
          <t>avverkningsanmälan</t>
        </is>
      </c>
      <c r="C1878" t="inlineStr">
        <is>
          <t>Föryngringsavverkning</t>
        </is>
      </c>
      <c r="D1878" s="1" t="n">
        <v>45441</v>
      </c>
      <c r="E1878" s="1" t="n">
        <v>46307</v>
      </c>
      <c r="F1878" t="inlineStr">
        <is>
          <t>VÄRMLANDS LÄN</t>
        </is>
      </c>
      <c r="G1878" t="inlineStr">
        <is>
          <t>SUNNE</t>
        </is>
      </c>
      <c r="I1878" t="n">
        <v>1.8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27292-2024</t>
        </is>
      </c>
      <c r="B1879" t="inlineStr">
        <is>
          <t>avverkningsanmälan</t>
        </is>
      </c>
      <c r="C1879" t="inlineStr">
        <is>
          <t>Föryngringsavverkning</t>
        </is>
      </c>
      <c r="D1879" s="1" t="n">
        <v>45471</v>
      </c>
      <c r="E1879" s="1" t="n">
        <v>46307</v>
      </c>
      <c r="F1879" t="inlineStr">
        <is>
          <t>VÄRMLANDS LÄN</t>
        </is>
      </c>
      <c r="G1879" t="inlineStr">
        <is>
          <t>TORSBY</t>
        </is>
      </c>
      <c r="I1879" t="n">
        <v>1</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58125-2022</t>
        </is>
      </c>
      <c r="B1880" t="inlineStr">
        <is>
          <t>avverkningsanmälan</t>
        </is>
      </c>
      <c r="C1880" t="inlineStr">
        <is>
          <t>Föryngringsavverkning</t>
        </is>
      </c>
      <c r="D1880" s="1" t="n">
        <v>44900</v>
      </c>
      <c r="E1880" s="1" t="n">
        <v>46307</v>
      </c>
      <c r="F1880" t="inlineStr">
        <is>
          <t>VÄRMLANDS LÄN</t>
        </is>
      </c>
      <c r="G1880" t="inlineStr">
        <is>
          <t>STORFORS</t>
        </is>
      </c>
      <c r="I1880" t="n">
        <v>3.4</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14571-2025</t>
        </is>
      </c>
      <c r="B1881" t="inlineStr">
        <is>
          <t>avverkningsanmälan</t>
        </is>
      </c>
      <c r="C1881" t="inlineStr">
        <is>
          <t>Föryngringsavverkning</t>
        </is>
      </c>
      <c r="D1881" s="1" t="n">
        <v>45741</v>
      </c>
      <c r="E1881" s="1" t="n">
        <v>46307</v>
      </c>
      <c r="F1881" t="inlineStr">
        <is>
          <t>VÄRMLANDS LÄN</t>
        </is>
      </c>
      <c r="G1881" t="inlineStr">
        <is>
          <t>SUNNE</t>
        </is>
      </c>
      <c r="I1881" t="n">
        <v>6.7</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32696-2023</t>
        </is>
      </c>
      <c r="B1882" t="inlineStr">
        <is>
          <t>avverkningsanmälan</t>
        </is>
      </c>
      <c r="C1882" t="inlineStr">
        <is>
          <t>Föryngringsavverkning</t>
        </is>
      </c>
      <c r="D1882" s="1" t="n">
        <v>45112</v>
      </c>
      <c r="E1882" s="1" t="n">
        <v>46307</v>
      </c>
      <c r="F1882" t="inlineStr">
        <is>
          <t>VÄRMLANDS LÄN</t>
        </is>
      </c>
      <c r="G1882" t="inlineStr">
        <is>
          <t>HAGFORS</t>
        </is>
      </c>
      <c r="I1882" t="n">
        <v>0.9</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56473-2022</t>
        </is>
      </c>
      <c r="B1883" t="inlineStr">
        <is>
          <t>avverkningsanmälan</t>
        </is>
      </c>
      <c r="C1883" t="inlineStr">
        <is>
          <t>Föryngringsavverkning</t>
        </is>
      </c>
      <c r="D1883" s="1" t="n">
        <v>44893</v>
      </c>
      <c r="E1883" s="1" t="n">
        <v>46307</v>
      </c>
      <c r="F1883" t="inlineStr">
        <is>
          <t>VÄRMLANDS LÄN</t>
        </is>
      </c>
      <c r="G1883" t="inlineStr">
        <is>
          <t>TORSBY</t>
        </is>
      </c>
      <c r="I1883" t="n">
        <v>5.4</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40887-2022</t>
        </is>
      </c>
      <c r="B1884" t="inlineStr">
        <is>
          <t>avverkningsanmälan</t>
        </is>
      </c>
      <c r="C1884" t="inlineStr">
        <is>
          <t>Föryngringsavverkning</t>
        </is>
      </c>
      <c r="D1884" s="1" t="n">
        <v>44825</v>
      </c>
      <c r="E1884" s="1" t="n">
        <v>46307</v>
      </c>
      <c r="F1884" t="inlineStr">
        <is>
          <t>VÄRMLANDS LÄN</t>
        </is>
      </c>
      <c r="G1884" t="inlineStr">
        <is>
          <t>SÄFFLE</t>
        </is>
      </c>
      <c r="I1884" t="n">
        <v>1.5</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15501-2025</t>
        </is>
      </c>
      <c r="B1885" t="inlineStr">
        <is>
          <t>avverkningsanmälan</t>
        </is>
      </c>
      <c r="C1885" t="inlineStr">
        <is>
          <t>Föryngringsavverkning</t>
        </is>
      </c>
      <c r="D1885" s="1" t="n">
        <v>45747</v>
      </c>
      <c r="E1885" s="1" t="n">
        <v>46307</v>
      </c>
      <c r="F1885" t="inlineStr">
        <is>
          <t>VÄRMLANDS LÄN</t>
        </is>
      </c>
      <c r="G1885" t="inlineStr">
        <is>
          <t>SÄFFLE</t>
        </is>
      </c>
      <c r="I1885" t="n">
        <v>2.2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6938-2024</t>
        </is>
      </c>
      <c r="B1886" t="inlineStr">
        <is>
          <t>avverkningsanmälan</t>
        </is>
      </c>
      <c r="C1886" t="inlineStr">
        <is>
          <t>Avverkning för annat ändamål</t>
        </is>
      </c>
      <c r="D1886" s="1" t="n">
        <v>45343</v>
      </c>
      <c r="E1886" s="1" t="n">
        <v>46307</v>
      </c>
      <c r="F1886" t="inlineStr">
        <is>
          <t>VÄRMLANDS LÄN</t>
        </is>
      </c>
      <c r="G1886" t="inlineStr">
        <is>
          <t>GRUMS</t>
        </is>
      </c>
      <c r="I1886" t="n">
        <v>2.8</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74463-2021</t>
        </is>
      </c>
      <c r="B1887" t="inlineStr">
        <is>
          <t>avverkningsanmälan</t>
        </is>
      </c>
      <c r="C1887" t="inlineStr">
        <is>
          <t>Föryngringsavverkning</t>
        </is>
      </c>
      <c r="D1887" s="1" t="n">
        <v>44560</v>
      </c>
      <c r="E1887" s="1" t="n">
        <v>46307</v>
      </c>
      <c r="F1887" t="inlineStr">
        <is>
          <t>VÄRMLANDS LÄN</t>
        </is>
      </c>
      <c r="G1887" t="inlineStr">
        <is>
          <t>ÅRJÄNG</t>
        </is>
      </c>
      <c r="I1887" t="n">
        <v>1</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46117-2022</t>
        </is>
      </c>
      <c r="B1888" t="inlineStr">
        <is>
          <t>avverkningsanmälan</t>
        </is>
      </c>
      <c r="C1888" t="inlineStr">
        <is>
          <t>Föryngringsavverkning</t>
        </is>
      </c>
      <c r="D1888" s="1" t="n">
        <v>44847</v>
      </c>
      <c r="E1888" s="1" t="n">
        <v>46307</v>
      </c>
      <c r="F1888" t="inlineStr">
        <is>
          <t>VÄRMLANDS LÄN</t>
        </is>
      </c>
      <c r="G1888" t="inlineStr">
        <is>
          <t>KIL</t>
        </is>
      </c>
      <c r="I1888" t="n">
        <v>3</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39187-2024</t>
        </is>
      </c>
      <c r="B1889" t="inlineStr">
        <is>
          <t>avverkningsanmälan</t>
        </is>
      </c>
      <c r="C1889" t="inlineStr">
        <is>
          <t>Föryngringsavverkning</t>
        </is>
      </c>
      <c r="D1889" s="1" t="n">
        <v>45548</v>
      </c>
      <c r="E1889" s="1" t="n">
        <v>46307</v>
      </c>
      <c r="F1889" t="inlineStr">
        <is>
          <t>VÄRMLANDS LÄN</t>
        </is>
      </c>
      <c r="G1889" t="inlineStr">
        <is>
          <t>ÅRJÄNG</t>
        </is>
      </c>
      <c r="I1889" t="n">
        <v>1.2</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42179-2022</t>
        </is>
      </c>
      <c r="B1890" t="inlineStr">
        <is>
          <t>avverkningsanmälan</t>
        </is>
      </c>
      <c r="C1890" t="inlineStr">
        <is>
          <t>Föryngringsavverkning</t>
        </is>
      </c>
      <c r="D1890" s="1" t="n">
        <v>44830</v>
      </c>
      <c r="E1890" s="1" t="n">
        <v>46307</v>
      </c>
      <c r="F1890" t="inlineStr">
        <is>
          <t>VÄRMLANDS LÄN</t>
        </is>
      </c>
      <c r="G1890" t="inlineStr">
        <is>
          <t>ARVIKA</t>
        </is>
      </c>
      <c r="I1890" t="n">
        <v>2.8</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45328-2022</t>
        </is>
      </c>
      <c r="B1891" t="inlineStr">
        <is>
          <t>avverkningsanmälan</t>
        </is>
      </c>
      <c r="C1891" t="inlineStr">
        <is>
          <t>Föryngringsavverkning</t>
        </is>
      </c>
      <c r="D1891" s="1" t="n">
        <v>44844</v>
      </c>
      <c r="E1891" s="1" t="n">
        <v>46307</v>
      </c>
      <c r="F1891" t="inlineStr">
        <is>
          <t>VÄRMLANDS LÄN</t>
        </is>
      </c>
      <c r="G1891" t="inlineStr">
        <is>
          <t>TORSBY</t>
        </is>
      </c>
      <c r="I1891" t="n">
        <v>2.4</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61419-2023</t>
        </is>
      </c>
      <c r="B1892" t="inlineStr">
        <is>
          <t>avverkningsanmälan</t>
        </is>
      </c>
      <c r="C1892" t="inlineStr">
        <is>
          <t>Föryngringsavverkning</t>
        </is>
      </c>
      <c r="D1892" s="1" t="n">
        <v>45264</v>
      </c>
      <c r="E1892" s="1" t="n">
        <v>46307</v>
      </c>
      <c r="F1892" t="inlineStr">
        <is>
          <t>VÄRMLANDS LÄN</t>
        </is>
      </c>
      <c r="G1892" t="inlineStr">
        <is>
          <t>SUNNE</t>
        </is>
      </c>
      <c r="I1892" t="n">
        <v>5.4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62963-2023</t>
        </is>
      </c>
      <c r="B1893" t="inlineStr">
        <is>
          <t>avverkningsanmälan</t>
        </is>
      </c>
      <c r="C1893" t="inlineStr">
        <is>
          <t>Avverkning för annat ändamål</t>
        </is>
      </c>
      <c r="D1893" s="1" t="n">
        <v>45271</v>
      </c>
      <c r="E1893" s="1" t="n">
        <v>46307</v>
      </c>
      <c r="F1893" t="inlineStr">
        <is>
          <t>VÄRMLANDS LÄN</t>
        </is>
      </c>
      <c r="G1893" t="inlineStr">
        <is>
          <t>ÅRJÄNG</t>
        </is>
      </c>
      <c r="I1893" t="n">
        <v>0.5</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13734-2024</t>
        </is>
      </c>
      <c r="B1894" t="inlineStr">
        <is>
          <t>avverkningsanmälan</t>
        </is>
      </c>
      <c r="C1894" t="inlineStr">
        <is>
          <t>Föryngringsavverkning</t>
        </is>
      </c>
      <c r="D1894" s="1" t="n">
        <v>45387</v>
      </c>
      <c r="E1894" s="1" t="n">
        <v>46307</v>
      </c>
      <c r="F1894" t="inlineStr">
        <is>
          <t>VÄRMLANDS LÄN</t>
        </is>
      </c>
      <c r="G1894" t="inlineStr">
        <is>
          <t>ÅRJÄNG</t>
        </is>
      </c>
      <c r="H1894" t="inlineStr">
        <is>
          <t>Övriga Aktiebolag</t>
        </is>
      </c>
      <c r="I1894" t="n">
        <v>0.8</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25659-2023</t>
        </is>
      </c>
      <c r="B1895" t="inlineStr">
        <is>
          <t>avverkningsanmälan</t>
        </is>
      </c>
      <c r="C1895" t="inlineStr">
        <is>
          <t>Föryngringsavverkning</t>
        </is>
      </c>
      <c r="D1895" s="1" t="n">
        <v>45089</v>
      </c>
      <c r="E1895" s="1" t="n">
        <v>46307</v>
      </c>
      <c r="F1895" t="inlineStr">
        <is>
          <t>VÄRMLANDS LÄN</t>
        </is>
      </c>
      <c r="G1895" t="inlineStr">
        <is>
          <t>SÄFFLE</t>
        </is>
      </c>
      <c r="I1895" t="n">
        <v>1.6</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13824-2024</t>
        </is>
      </c>
      <c r="B1896" t="inlineStr">
        <is>
          <t>avverkningsanmälan</t>
        </is>
      </c>
      <c r="C1896" t="inlineStr">
        <is>
          <t>Föryngringsavverkning</t>
        </is>
      </c>
      <c r="D1896" s="1" t="n">
        <v>45391</v>
      </c>
      <c r="E1896" s="1" t="n">
        <v>46307</v>
      </c>
      <c r="F1896" t="inlineStr">
        <is>
          <t>VÄRMLANDS LÄN</t>
        </is>
      </c>
      <c r="G1896" t="inlineStr">
        <is>
          <t>ÅRJÄNG</t>
        </is>
      </c>
      <c r="I1896" t="n">
        <v>1.9</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39211-2022</t>
        </is>
      </c>
      <c r="B1897" t="inlineStr">
        <is>
          <t>avverkningsanmälan</t>
        </is>
      </c>
      <c r="C1897" t="inlineStr">
        <is>
          <t>Föryngringsavverkning</t>
        </is>
      </c>
      <c r="D1897" s="1" t="n">
        <v>44817</v>
      </c>
      <c r="E1897" s="1" t="n">
        <v>46307</v>
      </c>
      <c r="F1897" t="inlineStr">
        <is>
          <t>VÄRMLANDS LÄN</t>
        </is>
      </c>
      <c r="G1897" t="inlineStr">
        <is>
          <t>HAGFORS</t>
        </is>
      </c>
      <c r="I1897" t="n">
        <v>2.7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71195-2021</t>
        </is>
      </c>
      <c r="B1898" t="inlineStr">
        <is>
          <t>avverkningsanmälan</t>
        </is>
      </c>
      <c r="C1898" t="inlineStr">
        <is>
          <t>Föryngringsavverkning</t>
        </is>
      </c>
      <c r="D1898" s="1" t="n">
        <v>44539</v>
      </c>
      <c r="E1898" s="1" t="n">
        <v>46307</v>
      </c>
      <c r="F1898" t="inlineStr">
        <is>
          <t>VÄRMLANDS LÄN</t>
        </is>
      </c>
      <c r="G1898" t="inlineStr">
        <is>
          <t>SUNNE</t>
        </is>
      </c>
      <c r="I1898" t="n">
        <v>1.5</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74430-2021</t>
        </is>
      </c>
      <c r="B1899" t="inlineStr">
        <is>
          <t>avverkningsanmälan</t>
        </is>
      </c>
      <c r="C1899" t="inlineStr">
        <is>
          <t>Föryngringsavverkning</t>
        </is>
      </c>
      <c r="D1899" s="1" t="n">
        <v>44560</v>
      </c>
      <c r="E1899" s="1" t="n">
        <v>46307</v>
      </c>
      <c r="F1899" t="inlineStr">
        <is>
          <t>VÄRMLANDS LÄN</t>
        </is>
      </c>
      <c r="G1899" t="inlineStr">
        <is>
          <t>ÅRJÄNG</t>
        </is>
      </c>
      <c r="I1899" t="n">
        <v>0.9</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16403-2024</t>
        </is>
      </c>
      <c r="B1900" t="inlineStr">
        <is>
          <t>avverkningsanmälan</t>
        </is>
      </c>
      <c r="C1900" t="inlineStr">
        <is>
          <t>Föryngringsavverkning</t>
        </is>
      </c>
      <c r="D1900" s="1" t="n">
        <v>45407</v>
      </c>
      <c r="E1900" s="1" t="n">
        <v>46307</v>
      </c>
      <c r="F1900" t="inlineStr">
        <is>
          <t>VÄRMLANDS LÄN</t>
        </is>
      </c>
      <c r="G1900" t="inlineStr">
        <is>
          <t>SUNNE</t>
        </is>
      </c>
      <c r="H1900" t="inlineStr">
        <is>
          <t>Bergvik skog väst AB</t>
        </is>
      </c>
      <c r="I1900" t="n">
        <v>0.6</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31083-2023</t>
        </is>
      </c>
      <c r="B1901" t="inlineStr">
        <is>
          <t>avverkningsanmälan</t>
        </is>
      </c>
      <c r="C1901" t="inlineStr">
        <is>
          <t>Föryngringsavverkning</t>
        </is>
      </c>
      <c r="D1901" s="1" t="n">
        <v>45113</v>
      </c>
      <c r="E1901" s="1" t="n">
        <v>46307</v>
      </c>
      <c r="F1901" t="inlineStr">
        <is>
          <t>VÄRMLANDS LÄN</t>
        </is>
      </c>
      <c r="G1901" t="inlineStr">
        <is>
          <t>ARVIKA</t>
        </is>
      </c>
      <c r="I1901" t="n">
        <v>0.6</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17364-2023</t>
        </is>
      </c>
      <c r="B1902" t="inlineStr">
        <is>
          <t>avverkningsanmälan</t>
        </is>
      </c>
      <c r="C1902" t="inlineStr">
        <is>
          <t>Föryngringsavverkning</t>
        </is>
      </c>
      <c r="D1902" s="1" t="n">
        <v>45035</v>
      </c>
      <c r="E1902" s="1" t="n">
        <v>46307</v>
      </c>
      <c r="F1902" t="inlineStr">
        <is>
          <t>VÄRMLANDS LÄN</t>
        </is>
      </c>
      <c r="G1902" t="inlineStr">
        <is>
          <t>KARLSTAD</t>
        </is>
      </c>
      <c r="H1902" t="inlineStr">
        <is>
          <t>Kommuner</t>
        </is>
      </c>
      <c r="I1902" t="n">
        <v>0.4</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7919-2023</t>
        </is>
      </c>
      <c r="B1903" t="inlineStr">
        <is>
          <t>avverkningsanmälan</t>
        </is>
      </c>
      <c r="C1903" t="inlineStr">
        <is>
          <t>Föryngringsavverkning</t>
        </is>
      </c>
      <c r="D1903" s="1" t="n">
        <v>44973</v>
      </c>
      <c r="E1903" s="1" t="n">
        <v>46307</v>
      </c>
      <c r="F1903" t="inlineStr">
        <is>
          <t>VÄRMLANDS LÄN</t>
        </is>
      </c>
      <c r="G1903" t="inlineStr">
        <is>
          <t>FORSHAGA</t>
        </is>
      </c>
      <c r="I1903" t="n">
        <v>0.6</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13035-2025</t>
        </is>
      </c>
      <c r="B1904" t="inlineStr">
        <is>
          <t>avverkningsanmälan</t>
        </is>
      </c>
      <c r="C1904" t="inlineStr">
        <is>
          <t>Föryngringsavverkning</t>
        </is>
      </c>
      <c r="D1904" s="1" t="n">
        <v>45734</v>
      </c>
      <c r="E1904" s="1" t="n">
        <v>46307</v>
      </c>
      <c r="F1904" t="inlineStr">
        <is>
          <t>VÄRMLANDS LÄN</t>
        </is>
      </c>
      <c r="G1904" t="inlineStr">
        <is>
          <t>SUNNE</t>
        </is>
      </c>
      <c r="I1904" t="n">
        <v>2.1</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15101-2024</t>
        </is>
      </c>
      <c r="B1905" t="inlineStr">
        <is>
          <t>avverkningsanmälan</t>
        </is>
      </c>
      <c r="C1905" t="inlineStr">
        <is>
          <t>Föryngringsavverkning</t>
        </is>
      </c>
      <c r="D1905" s="1" t="n">
        <v>45399</v>
      </c>
      <c r="E1905" s="1" t="n">
        <v>46307</v>
      </c>
      <c r="F1905" t="inlineStr">
        <is>
          <t>VÄRMLANDS LÄN</t>
        </is>
      </c>
      <c r="G1905" t="inlineStr">
        <is>
          <t>TORSBY</t>
        </is>
      </c>
      <c r="I1905" t="n">
        <v>1.9</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12029-2023</t>
        </is>
      </c>
      <c r="B1906" t="inlineStr">
        <is>
          <t>avverkningsanmälan</t>
        </is>
      </c>
      <c r="C1906" t="inlineStr">
        <is>
          <t>Föryngringsavverkning</t>
        </is>
      </c>
      <c r="D1906" s="1" t="n">
        <v>44995</v>
      </c>
      <c r="E1906" s="1" t="n">
        <v>46307</v>
      </c>
      <c r="F1906" t="inlineStr">
        <is>
          <t>VÄRMLANDS LÄN</t>
        </is>
      </c>
      <c r="G1906" t="inlineStr">
        <is>
          <t>KARLSTAD</t>
        </is>
      </c>
      <c r="I1906" t="n">
        <v>0.4</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10473-2025</t>
        </is>
      </c>
      <c r="B1907" t="inlineStr">
        <is>
          <t>avverkningsanmälan</t>
        </is>
      </c>
      <c r="C1907" t="inlineStr">
        <is>
          <t>Föryngringsavverkning</t>
        </is>
      </c>
      <c r="D1907" s="1" t="n">
        <v>45720</v>
      </c>
      <c r="E1907" s="1" t="n">
        <v>46307</v>
      </c>
      <c r="F1907" t="inlineStr">
        <is>
          <t>VÄRMLANDS LÄN</t>
        </is>
      </c>
      <c r="G1907" t="inlineStr">
        <is>
          <t>SÄFFLE</t>
        </is>
      </c>
      <c r="H1907" t="inlineStr">
        <is>
          <t>Kyrkan</t>
        </is>
      </c>
      <c r="I1907" t="n">
        <v>2.8</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13956-2023</t>
        </is>
      </c>
      <c r="B1908" t="inlineStr">
        <is>
          <t>avverkningsanmälan</t>
        </is>
      </c>
      <c r="C1908" t="inlineStr">
        <is>
          <t>Föryngringsavverkning</t>
        </is>
      </c>
      <c r="D1908" s="1" t="n">
        <v>45007</v>
      </c>
      <c r="E1908" s="1" t="n">
        <v>46307</v>
      </c>
      <c r="F1908" t="inlineStr">
        <is>
          <t>VÄRMLANDS LÄN</t>
        </is>
      </c>
      <c r="G1908" t="inlineStr">
        <is>
          <t>ARVIKA</t>
        </is>
      </c>
      <c r="I1908" t="n">
        <v>2</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16192-2025</t>
        </is>
      </c>
      <c r="B1909" t="inlineStr">
        <is>
          <t>avverkningsanmälan</t>
        </is>
      </c>
      <c r="C1909" t="inlineStr">
        <is>
          <t>Föryngringsavverkning</t>
        </is>
      </c>
      <c r="D1909" s="1" t="n">
        <v>45750</v>
      </c>
      <c r="E1909" s="1" t="n">
        <v>46307</v>
      </c>
      <c r="F1909" t="inlineStr">
        <is>
          <t>VÄRMLANDS LÄN</t>
        </is>
      </c>
      <c r="G1909" t="inlineStr">
        <is>
          <t>TORSBY</t>
        </is>
      </c>
      <c r="I1909" t="n">
        <v>1.8</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54751-2022</t>
        </is>
      </c>
      <c r="B1910" t="inlineStr">
        <is>
          <t>avverkningsanmälan</t>
        </is>
      </c>
      <c r="C1910" t="inlineStr">
        <is>
          <t>Föryngringsavverkning</t>
        </is>
      </c>
      <c r="D1910" s="1" t="n">
        <v>44883</v>
      </c>
      <c r="E1910" s="1" t="n">
        <v>46307</v>
      </c>
      <c r="F1910" t="inlineStr">
        <is>
          <t>VÄRMLANDS LÄN</t>
        </is>
      </c>
      <c r="G1910" t="inlineStr">
        <is>
          <t>HAGFORS</t>
        </is>
      </c>
      <c r="H1910" t="inlineStr">
        <is>
          <t>Bergvik skog väst AB</t>
        </is>
      </c>
      <c r="I1910" t="n">
        <v>3.4</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7221-2024</t>
        </is>
      </c>
      <c r="B1911" t="inlineStr">
        <is>
          <t>avverkningsanmälan</t>
        </is>
      </c>
      <c r="C1911" t="inlineStr">
        <is>
          <t>Föryngringsavverkning</t>
        </is>
      </c>
      <c r="D1911" s="1" t="n">
        <v>45344</v>
      </c>
      <c r="E1911" s="1" t="n">
        <v>46307</v>
      </c>
      <c r="F1911" t="inlineStr">
        <is>
          <t>VÄRMLANDS LÄN</t>
        </is>
      </c>
      <c r="G1911" t="inlineStr">
        <is>
          <t>TORSBY</t>
        </is>
      </c>
      <c r="I1911" t="n">
        <v>8.1</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61719-2023</t>
        </is>
      </c>
      <c r="B1912" t="inlineStr">
        <is>
          <t>avverkningsanmälan</t>
        </is>
      </c>
      <c r="C1912" t="inlineStr">
        <is>
          <t>Föryngringsavverkning</t>
        </is>
      </c>
      <c r="D1912" s="1" t="n">
        <v>45265</v>
      </c>
      <c r="E1912" s="1" t="n">
        <v>46307</v>
      </c>
      <c r="F1912" t="inlineStr">
        <is>
          <t>VÄRMLANDS LÄN</t>
        </is>
      </c>
      <c r="G1912" t="inlineStr">
        <is>
          <t>KRISTINEHAMN</t>
        </is>
      </c>
      <c r="H1912" t="inlineStr">
        <is>
          <t>Naturvårdsverket</t>
        </is>
      </c>
      <c r="I1912" t="n">
        <v>6.4</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4744-2025</t>
        </is>
      </c>
      <c r="B1913" t="inlineStr">
        <is>
          <t>avverkningsanmälan</t>
        </is>
      </c>
      <c r="C1913" t="inlineStr">
        <is>
          <t>Föryngringsavverkning</t>
        </is>
      </c>
      <c r="D1913" s="1" t="n">
        <v>45688</v>
      </c>
      <c r="E1913" s="1" t="n">
        <v>46307</v>
      </c>
      <c r="F1913" t="inlineStr">
        <is>
          <t>VÄRMLANDS LÄN</t>
        </is>
      </c>
      <c r="G1913" t="inlineStr">
        <is>
          <t>STORFORS</t>
        </is>
      </c>
      <c r="I1913" t="n">
        <v>2.3</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32786-2024</t>
        </is>
      </c>
      <c r="B1914" t="inlineStr">
        <is>
          <t>avverkningsanmälan</t>
        </is>
      </c>
      <c r="C1914" t="inlineStr">
        <is>
          <t>Föryngringsavverkning</t>
        </is>
      </c>
      <c r="D1914" s="1" t="n">
        <v>45516</v>
      </c>
      <c r="E1914" s="1" t="n">
        <v>46307</v>
      </c>
      <c r="F1914" t="inlineStr">
        <is>
          <t>VÄRMLANDS LÄN</t>
        </is>
      </c>
      <c r="G1914" t="inlineStr">
        <is>
          <t>FILIPSTAD</t>
        </is>
      </c>
      <c r="I1914" t="n">
        <v>1.7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33639-2024</t>
        </is>
      </c>
      <c r="B1915" t="inlineStr">
        <is>
          <t>avverkningsanmälan</t>
        </is>
      </c>
      <c r="C1915" t="inlineStr">
        <is>
          <t>Föryngringsavverkning</t>
        </is>
      </c>
      <c r="D1915" s="1" t="n">
        <v>45520</v>
      </c>
      <c r="E1915" s="1" t="n">
        <v>46307</v>
      </c>
      <c r="F1915" t="inlineStr">
        <is>
          <t>VÄRMLANDS LÄN</t>
        </is>
      </c>
      <c r="G1915" t="inlineStr">
        <is>
          <t>ARVIKA</t>
        </is>
      </c>
      <c r="H1915" t="inlineStr">
        <is>
          <t>Bergvik skog väst AB</t>
        </is>
      </c>
      <c r="I1915" t="n">
        <v>3.3</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54961-2024</t>
        </is>
      </c>
      <c r="B1916" t="inlineStr">
        <is>
          <t>avverkningsanmälan</t>
        </is>
      </c>
      <c r="C1916" t="inlineStr">
        <is>
          <t>Föryngringsavverkning</t>
        </is>
      </c>
      <c r="D1916" s="1" t="n">
        <v>45619</v>
      </c>
      <c r="E1916" s="1" t="n">
        <v>46307</v>
      </c>
      <c r="F1916" t="inlineStr">
        <is>
          <t>VÄRMLANDS LÄN</t>
        </is>
      </c>
      <c r="G1916" t="inlineStr">
        <is>
          <t>ÅRJÄNG</t>
        </is>
      </c>
      <c r="I1916" t="n">
        <v>0.9</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24483-2024</t>
        </is>
      </c>
      <c r="B1917" t="inlineStr">
        <is>
          <t>avverkningsanmälan</t>
        </is>
      </c>
      <c r="C1917" t="inlineStr">
        <is>
          <t>Föryngringsavverkning</t>
        </is>
      </c>
      <c r="D1917" s="1" t="n">
        <v>45459</v>
      </c>
      <c r="E1917" s="1" t="n">
        <v>46307</v>
      </c>
      <c r="F1917" t="inlineStr">
        <is>
          <t>VÄRMLANDS LÄN</t>
        </is>
      </c>
      <c r="G1917" t="inlineStr">
        <is>
          <t>ÅRJÄNG</t>
        </is>
      </c>
      <c r="I1917" t="n">
        <v>3.6</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19753-2024</t>
        </is>
      </c>
      <c r="B1918" t="inlineStr">
        <is>
          <t>avverkningsanmälan</t>
        </is>
      </c>
      <c r="C1918" t="inlineStr">
        <is>
          <t>Föryngringsavverkning</t>
        </is>
      </c>
      <c r="D1918" s="1" t="n">
        <v>45432</v>
      </c>
      <c r="E1918" s="1" t="n">
        <v>46307</v>
      </c>
      <c r="F1918" t="inlineStr">
        <is>
          <t>VÄRMLANDS LÄN</t>
        </is>
      </c>
      <c r="G1918" t="inlineStr">
        <is>
          <t>GRUMS</t>
        </is>
      </c>
      <c r="I1918" t="n">
        <v>1.5</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58799-2022</t>
        </is>
      </c>
      <c r="B1919" t="inlineStr">
        <is>
          <t>avverkningsanmälan</t>
        </is>
      </c>
      <c r="C1919" t="inlineStr">
        <is>
          <t>Föryngringsavverkning</t>
        </is>
      </c>
      <c r="D1919" s="1" t="n">
        <v>44903</v>
      </c>
      <c r="E1919" s="1" t="n">
        <v>46307</v>
      </c>
      <c r="F1919" t="inlineStr">
        <is>
          <t>VÄRMLANDS LÄN</t>
        </is>
      </c>
      <c r="G1919" t="inlineStr">
        <is>
          <t>HAGFORS</t>
        </is>
      </c>
      <c r="I1919" t="n">
        <v>2.3</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59092-2022</t>
        </is>
      </c>
      <c r="B1920" t="inlineStr">
        <is>
          <t>avverkningsanmälan</t>
        </is>
      </c>
      <c r="C1920" t="inlineStr">
        <is>
          <t>Föryngringsavverkning</t>
        </is>
      </c>
      <c r="D1920" s="1" t="n">
        <v>44904</v>
      </c>
      <c r="E1920" s="1" t="n">
        <v>46307</v>
      </c>
      <c r="F1920" t="inlineStr">
        <is>
          <t>VÄRMLANDS LÄN</t>
        </is>
      </c>
      <c r="G1920" t="inlineStr">
        <is>
          <t>HAGFORS</t>
        </is>
      </c>
      <c r="H1920" t="inlineStr">
        <is>
          <t>Bergvik skog väst AB</t>
        </is>
      </c>
      <c r="I1920" t="n">
        <v>1.6</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3269-2025</t>
        </is>
      </c>
      <c r="B1921" t="inlineStr">
        <is>
          <t>avverkningsanmälan</t>
        </is>
      </c>
      <c r="C1921" t="inlineStr">
        <is>
          <t>Föryngringsavverkning</t>
        </is>
      </c>
      <c r="D1921" s="1" t="n">
        <v>45679</v>
      </c>
      <c r="E1921" s="1" t="n">
        <v>46307</v>
      </c>
      <c r="F1921" t="inlineStr">
        <is>
          <t>VÄRMLANDS LÄN</t>
        </is>
      </c>
      <c r="G1921" t="inlineStr">
        <is>
          <t>TORSBY</t>
        </is>
      </c>
      <c r="I1921" t="n">
        <v>6.9</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44710-2023</t>
        </is>
      </c>
      <c r="B1922" t="inlineStr">
        <is>
          <t>avverkningsanmälan</t>
        </is>
      </c>
      <c r="C1922" t="inlineStr">
        <is>
          <t>Föryngringsavverkning</t>
        </is>
      </c>
      <c r="D1922" s="1" t="n">
        <v>45190</v>
      </c>
      <c r="E1922" s="1" t="n">
        <v>46307</v>
      </c>
      <c r="F1922" t="inlineStr">
        <is>
          <t>VÄRMLANDS LÄN</t>
        </is>
      </c>
      <c r="G1922" t="inlineStr">
        <is>
          <t>TORSBY</t>
        </is>
      </c>
      <c r="I1922" t="n">
        <v>1.4</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26880-2023</t>
        </is>
      </c>
      <c r="B1923" t="inlineStr">
        <is>
          <t>avverkningsanmälan</t>
        </is>
      </c>
      <c r="C1923" t="inlineStr">
        <is>
          <t>Föryngringsavverkning</t>
        </is>
      </c>
      <c r="D1923" s="1" t="n">
        <v>45093</v>
      </c>
      <c r="E1923" s="1" t="n">
        <v>46307</v>
      </c>
      <c r="F1923" t="inlineStr">
        <is>
          <t>VÄRMLANDS LÄN</t>
        </is>
      </c>
      <c r="G1923" t="inlineStr">
        <is>
          <t>ÅRJÄNG</t>
        </is>
      </c>
      <c r="I1923" t="n">
        <v>3.6</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34144-2022</t>
        </is>
      </c>
      <c r="B1924" t="inlineStr">
        <is>
          <t>avverkningsanmälan</t>
        </is>
      </c>
      <c r="C1924" t="inlineStr">
        <is>
          <t>Föryngringsavverkning</t>
        </is>
      </c>
      <c r="D1924" s="1" t="n">
        <v>44791</v>
      </c>
      <c r="E1924" s="1" t="n">
        <v>46307</v>
      </c>
      <c r="F1924" t="inlineStr">
        <is>
          <t>VÄRMLANDS LÄN</t>
        </is>
      </c>
      <c r="G1924" t="inlineStr">
        <is>
          <t>ÅRJÄNG</t>
        </is>
      </c>
      <c r="I1924" t="n">
        <v>1.6</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25376-2023</t>
        </is>
      </c>
      <c r="B1925" t="inlineStr">
        <is>
          <t>avverkningsanmälan</t>
        </is>
      </c>
      <c r="C1925" t="inlineStr">
        <is>
          <t>Föryngringsavverkning</t>
        </is>
      </c>
      <c r="D1925" s="1" t="n">
        <v>45088</v>
      </c>
      <c r="E1925" s="1" t="n">
        <v>46307</v>
      </c>
      <c r="F1925" t="inlineStr">
        <is>
          <t>VÄRMLANDS LÄN</t>
        </is>
      </c>
      <c r="G1925" t="inlineStr">
        <is>
          <t>FILIPSTAD</t>
        </is>
      </c>
      <c r="I1925" t="n">
        <v>3.2</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25491-2023</t>
        </is>
      </c>
      <c r="B1926" t="inlineStr">
        <is>
          <t>avverkningsanmälan</t>
        </is>
      </c>
      <c r="C1926" t="inlineStr">
        <is>
          <t>Föryngringsavverkning</t>
        </is>
      </c>
      <c r="D1926" s="1" t="n">
        <v>45089</v>
      </c>
      <c r="E1926" s="1" t="n">
        <v>46307</v>
      </c>
      <c r="F1926" t="inlineStr">
        <is>
          <t>VÄRMLANDS LÄN</t>
        </is>
      </c>
      <c r="G1926" t="inlineStr">
        <is>
          <t>ARVIKA</t>
        </is>
      </c>
      <c r="I1926" t="n">
        <v>3.2</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25494-2023</t>
        </is>
      </c>
      <c r="B1927" t="inlineStr">
        <is>
          <t>avverkningsanmälan</t>
        </is>
      </c>
      <c r="C1927" t="inlineStr">
        <is>
          <t>Föryngringsavverkning</t>
        </is>
      </c>
      <c r="D1927" s="1" t="n">
        <v>45081</v>
      </c>
      <c r="E1927" s="1" t="n">
        <v>46307</v>
      </c>
      <c r="F1927" t="inlineStr">
        <is>
          <t>VÄRMLANDS LÄN</t>
        </is>
      </c>
      <c r="G1927" t="inlineStr">
        <is>
          <t>KRISTINEHAMN</t>
        </is>
      </c>
      <c r="I1927" t="n">
        <v>6</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26698-2023</t>
        </is>
      </c>
      <c r="B1928" t="inlineStr">
        <is>
          <t>avverkningsanmälan</t>
        </is>
      </c>
      <c r="C1928" t="inlineStr">
        <is>
          <t>Föryngringsavverkning</t>
        </is>
      </c>
      <c r="D1928" s="1" t="n">
        <v>45093</v>
      </c>
      <c r="E1928" s="1" t="n">
        <v>46307</v>
      </c>
      <c r="F1928" t="inlineStr">
        <is>
          <t>VÄRMLANDS LÄN</t>
        </is>
      </c>
      <c r="G1928" t="inlineStr">
        <is>
          <t>ARVIKA</t>
        </is>
      </c>
      <c r="I1928" t="n">
        <v>1.1</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8557-2023</t>
        </is>
      </c>
      <c r="B1929" t="inlineStr">
        <is>
          <t>avverkningsanmälan</t>
        </is>
      </c>
      <c r="C1929" t="inlineStr">
        <is>
          <t>Föryngringsavverkning</t>
        </is>
      </c>
      <c r="D1929" s="1" t="n">
        <v>44972</v>
      </c>
      <c r="E1929" s="1" t="n">
        <v>46307</v>
      </c>
      <c r="F1929" t="inlineStr">
        <is>
          <t>VÄRMLANDS LÄN</t>
        </is>
      </c>
      <c r="G1929" t="inlineStr">
        <is>
          <t>KRISTINEHAMN</t>
        </is>
      </c>
      <c r="I1929" t="n">
        <v>4.7</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20466-2023</t>
        </is>
      </c>
      <c r="B1930" t="inlineStr">
        <is>
          <t>avverkningsanmälan</t>
        </is>
      </c>
      <c r="C1930" t="inlineStr">
        <is>
          <t>Föryngringsavverkning</t>
        </is>
      </c>
      <c r="D1930" s="1" t="n">
        <v>45057</v>
      </c>
      <c r="E1930" s="1" t="n">
        <v>46307</v>
      </c>
      <c r="F1930" t="inlineStr">
        <is>
          <t>VÄRMLANDS LÄN</t>
        </is>
      </c>
      <c r="G1930" t="inlineStr">
        <is>
          <t>HAGFORS</t>
        </is>
      </c>
      <c r="H1930" t="inlineStr">
        <is>
          <t>Kyrkan</t>
        </is>
      </c>
      <c r="I1930" t="n">
        <v>5.6</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25355-2024</t>
        </is>
      </c>
      <c r="B1931" t="inlineStr">
        <is>
          <t>avverkningsanmälan</t>
        </is>
      </c>
      <c r="C1931" t="inlineStr">
        <is>
          <t>Föryngringsavverkning</t>
        </is>
      </c>
      <c r="D1931" s="1" t="n">
        <v>45462</v>
      </c>
      <c r="E1931" s="1" t="n">
        <v>46307</v>
      </c>
      <c r="F1931" t="inlineStr">
        <is>
          <t>VÄRMLANDS LÄN</t>
        </is>
      </c>
      <c r="G1931" t="inlineStr">
        <is>
          <t>TORSBY</t>
        </is>
      </c>
      <c r="I1931" t="n">
        <v>1.7</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50428-2023</t>
        </is>
      </c>
      <c r="B1932" t="inlineStr">
        <is>
          <t>avverkningsanmälan</t>
        </is>
      </c>
      <c r="C1932" t="inlineStr">
        <is>
          <t>Föryngringsavverkning</t>
        </is>
      </c>
      <c r="D1932" s="1" t="n">
        <v>45216</v>
      </c>
      <c r="E1932" s="1" t="n">
        <v>46307</v>
      </c>
      <c r="F1932" t="inlineStr">
        <is>
          <t>VÄRMLANDS LÄN</t>
        </is>
      </c>
      <c r="G1932" t="inlineStr">
        <is>
          <t>MUNKFORS</t>
        </is>
      </c>
      <c r="I1932" t="n">
        <v>1.4</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48265-2022</t>
        </is>
      </c>
      <c r="B1933" t="inlineStr">
        <is>
          <t>avverkningsanmälan</t>
        </is>
      </c>
      <c r="C1933" t="inlineStr">
        <is>
          <t>Föryngringsavverkning</t>
        </is>
      </c>
      <c r="D1933" s="1" t="n">
        <v>44858</v>
      </c>
      <c r="E1933" s="1" t="n">
        <v>46307</v>
      </c>
      <c r="F1933" t="inlineStr">
        <is>
          <t>VÄRMLANDS LÄN</t>
        </is>
      </c>
      <c r="G1933" t="inlineStr">
        <is>
          <t>SUNNE</t>
        </is>
      </c>
      <c r="I1933" t="n">
        <v>4.5</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19291-2023</t>
        </is>
      </c>
      <c r="B1934" t="inlineStr">
        <is>
          <t>avverkningsanmälan</t>
        </is>
      </c>
      <c r="C1934" t="inlineStr">
        <is>
          <t>Föryngringsavverkning</t>
        </is>
      </c>
      <c r="D1934" s="1" t="n">
        <v>45049</v>
      </c>
      <c r="E1934" s="1" t="n">
        <v>46307</v>
      </c>
      <c r="F1934" t="inlineStr">
        <is>
          <t>VÄRMLANDS LÄN</t>
        </is>
      </c>
      <c r="G1934" t="inlineStr">
        <is>
          <t>KARLSTAD</t>
        </is>
      </c>
      <c r="I1934" t="n">
        <v>2.2</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7127-2023</t>
        </is>
      </c>
      <c r="B1935" t="inlineStr">
        <is>
          <t>avverkningsanmälan</t>
        </is>
      </c>
      <c r="C1935" t="inlineStr">
        <is>
          <t>Föryngringsavverkning</t>
        </is>
      </c>
      <c r="D1935" s="1" t="n">
        <v>44970</v>
      </c>
      <c r="E1935" s="1" t="n">
        <v>46307</v>
      </c>
      <c r="F1935" t="inlineStr">
        <is>
          <t>VÄRMLANDS LÄN</t>
        </is>
      </c>
      <c r="G1935" t="inlineStr">
        <is>
          <t>TORSBY</t>
        </is>
      </c>
      <c r="I1935" t="n">
        <v>1.7</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7131-2023</t>
        </is>
      </c>
      <c r="B1936" t="inlineStr">
        <is>
          <t>avverkningsanmälan</t>
        </is>
      </c>
      <c r="C1936" t="inlineStr">
        <is>
          <t>Föryngringsavverkning</t>
        </is>
      </c>
      <c r="D1936" s="1" t="n">
        <v>44970</v>
      </c>
      <c r="E1936" s="1" t="n">
        <v>46307</v>
      </c>
      <c r="F1936" t="inlineStr">
        <is>
          <t>VÄRMLANDS LÄN</t>
        </is>
      </c>
      <c r="G1936" t="inlineStr">
        <is>
          <t>SUNNE</t>
        </is>
      </c>
      <c r="I1936" t="n">
        <v>2.2</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13918-2024</t>
        </is>
      </c>
      <c r="B1937" t="inlineStr">
        <is>
          <t>avverkningsanmälan</t>
        </is>
      </c>
      <c r="C1937" t="inlineStr">
        <is>
          <t>Föryngringsavverkning</t>
        </is>
      </c>
      <c r="D1937" s="1" t="n">
        <v>45391</v>
      </c>
      <c r="E1937" s="1" t="n">
        <v>46307</v>
      </c>
      <c r="F1937" t="inlineStr">
        <is>
          <t>VÄRMLANDS LÄN</t>
        </is>
      </c>
      <c r="G1937" t="inlineStr">
        <is>
          <t>FILIPSTAD</t>
        </is>
      </c>
      <c r="I1937" t="n">
        <v>1.7</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13998-2024</t>
        </is>
      </c>
      <c r="B1938" t="inlineStr">
        <is>
          <t>avverkningsanmälan</t>
        </is>
      </c>
      <c r="C1938" t="inlineStr">
        <is>
          <t>Föryngringsavverkning</t>
        </is>
      </c>
      <c r="D1938" s="1" t="n">
        <v>45392</v>
      </c>
      <c r="E1938" s="1" t="n">
        <v>46307</v>
      </c>
      <c r="F1938" t="inlineStr">
        <is>
          <t>VÄRMLANDS LÄN</t>
        </is>
      </c>
      <c r="G1938" t="inlineStr">
        <is>
          <t>ÅRJÄNG</t>
        </is>
      </c>
      <c r="I1938" t="n">
        <v>1.8</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15953-2025</t>
        </is>
      </c>
      <c r="B1939" t="inlineStr">
        <is>
          <t>avverkningsanmälan</t>
        </is>
      </c>
      <c r="C1939" t="inlineStr">
        <is>
          <t>Föryngringsavverkning</t>
        </is>
      </c>
      <c r="D1939" s="1" t="n">
        <v>45749</v>
      </c>
      <c r="E1939" s="1" t="n">
        <v>46307</v>
      </c>
      <c r="F1939" t="inlineStr">
        <is>
          <t>VÄRMLANDS LÄN</t>
        </is>
      </c>
      <c r="G1939" t="inlineStr">
        <is>
          <t>ÅRJÄNG</t>
        </is>
      </c>
      <c r="H1939" t="inlineStr">
        <is>
          <t>Bergvik skog väst AB</t>
        </is>
      </c>
      <c r="I1939" t="n">
        <v>2.2</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14010-2024</t>
        </is>
      </c>
      <c r="B1940" t="inlineStr">
        <is>
          <t>avverkningsanmälan</t>
        </is>
      </c>
      <c r="C1940" t="inlineStr">
        <is>
          <t>Föryngringsavverkning</t>
        </is>
      </c>
      <c r="D1940" s="1" t="n">
        <v>45392</v>
      </c>
      <c r="E1940" s="1" t="n">
        <v>46307</v>
      </c>
      <c r="F1940" t="inlineStr">
        <is>
          <t>VÄRMLANDS LÄN</t>
        </is>
      </c>
      <c r="G1940" t="inlineStr">
        <is>
          <t>SÄFFLE</t>
        </is>
      </c>
      <c r="I1940" t="n">
        <v>1</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5322-2023</t>
        </is>
      </c>
      <c r="B1941" t="inlineStr">
        <is>
          <t>avverkningsanmälan</t>
        </is>
      </c>
      <c r="C1941" t="inlineStr">
        <is>
          <t>Föryngringsavverkning</t>
        </is>
      </c>
      <c r="D1941" s="1" t="n">
        <v>44959</v>
      </c>
      <c r="E1941" s="1" t="n">
        <v>46307</v>
      </c>
      <c r="F1941" t="inlineStr">
        <is>
          <t>VÄRMLANDS LÄN</t>
        </is>
      </c>
      <c r="G1941" t="inlineStr">
        <is>
          <t>ARVIKA</t>
        </is>
      </c>
      <c r="I1941" t="n">
        <v>0.8</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24273-2023</t>
        </is>
      </c>
      <c r="B1942" t="inlineStr">
        <is>
          <t>avverkningsanmälan</t>
        </is>
      </c>
      <c r="C1942" t="inlineStr">
        <is>
          <t>Föryngringsavverkning</t>
        </is>
      </c>
      <c r="D1942" s="1" t="n">
        <v>45079</v>
      </c>
      <c r="E1942" s="1" t="n">
        <v>46307</v>
      </c>
      <c r="F1942" t="inlineStr">
        <is>
          <t>VÄRMLANDS LÄN</t>
        </is>
      </c>
      <c r="G1942" t="inlineStr">
        <is>
          <t>ÅRJÄNG</t>
        </is>
      </c>
      <c r="I1942" t="n">
        <v>1.9</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46683-2022</t>
        </is>
      </c>
      <c r="B1943" t="inlineStr">
        <is>
          <t>avverkningsanmälan</t>
        </is>
      </c>
      <c r="C1943" t="inlineStr">
        <is>
          <t>Föryngringsavverkning</t>
        </is>
      </c>
      <c r="D1943" s="1" t="n">
        <v>44851</v>
      </c>
      <c r="E1943" s="1" t="n">
        <v>46307</v>
      </c>
      <c r="F1943" t="inlineStr">
        <is>
          <t>VÄRMLANDS LÄN</t>
        </is>
      </c>
      <c r="G1943" t="inlineStr">
        <is>
          <t>SUNNE</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18179-2023</t>
        </is>
      </c>
      <c r="B1944" t="inlineStr">
        <is>
          <t>avverkningsanmälan</t>
        </is>
      </c>
      <c r="C1944" t="inlineStr">
        <is>
          <t>Föryngringsavverkning</t>
        </is>
      </c>
      <c r="D1944" s="1" t="n">
        <v>45041</v>
      </c>
      <c r="E1944" s="1" t="n">
        <v>46307</v>
      </c>
      <c r="F1944" t="inlineStr">
        <is>
          <t>VÄRMLANDS LÄN</t>
        </is>
      </c>
      <c r="G1944" t="inlineStr">
        <is>
          <t>SUNNE</t>
        </is>
      </c>
      <c r="I1944" t="n">
        <v>1.8</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51046-2024</t>
        </is>
      </c>
      <c r="B1945" t="inlineStr">
        <is>
          <t>avverkningsanmälan</t>
        </is>
      </c>
      <c r="C1945" t="inlineStr">
        <is>
          <t>Föryngringsavverkning</t>
        </is>
      </c>
      <c r="D1945" s="1" t="n">
        <v>45603</v>
      </c>
      <c r="E1945" s="1" t="n">
        <v>46307</v>
      </c>
      <c r="F1945" t="inlineStr">
        <is>
          <t>VÄRMLANDS LÄN</t>
        </is>
      </c>
      <c r="G1945" t="inlineStr">
        <is>
          <t>SUNNE</t>
        </is>
      </c>
      <c r="H1945" t="inlineStr">
        <is>
          <t>Bergvik skog väst AB</t>
        </is>
      </c>
      <c r="I1945" t="n">
        <v>2.9</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23382-2024</t>
        </is>
      </c>
      <c r="B1946" t="inlineStr">
        <is>
          <t>avverkningsanmälan</t>
        </is>
      </c>
      <c r="C1946" t="inlineStr">
        <is>
          <t>Föryngringsavverkning</t>
        </is>
      </c>
      <c r="D1946" s="1" t="n">
        <v>45453</v>
      </c>
      <c r="E1946" s="1" t="n">
        <v>46307</v>
      </c>
      <c r="F1946" t="inlineStr">
        <is>
          <t>VÄRMLANDS LÄN</t>
        </is>
      </c>
      <c r="G1946" t="inlineStr">
        <is>
          <t>FILIPSTAD</t>
        </is>
      </c>
      <c r="H1946" t="inlineStr">
        <is>
          <t>Bergvik skog väst AB</t>
        </is>
      </c>
      <c r="I1946" t="n">
        <v>2.9</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27033-2023</t>
        </is>
      </c>
      <c r="B1947" t="inlineStr">
        <is>
          <t>avverkningsanmälan</t>
        </is>
      </c>
      <c r="C1947" t="inlineStr">
        <is>
          <t>Föryngringsavverkning</t>
        </is>
      </c>
      <c r="D1947" s="1" t="n">
        <v>45095</v>
      </c>
      <c r="E1947" s="1" t="n">
        <v>46307</v>
      </c>
      <c r="F1947" t="inlineStr">
        <is>
          <t>VÄRMLANDS LÄN</t>
        </is>
      </c>
      <c r="G1947" t="inlineStr">
        <is>
          <t>KRISTINEHAMN</t>
        </is>
      </c>
      <c r="I1947" t="n">
        <v>0.5</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53585-2024</t>
        </is>
      </c>
      <c r="B1948" t="inlineStr">
        <is>
          <t>avverkningsanmälan</t>
        </is>
      </c>
      <c r="C1948" t="inlineStr">
        <is>
          <t>Föryngringsavverkning</t>
        </is>
      </c>
      <c r="D1948" s="1" t="n">
        <v>45614</v>
      </c>
      <c r="E1948" s="1" t="n">
        <v>46307</v>
      </c>
      <c r="F1948" t="inlineStr">
        <is>
          <t>VÄRMLANDS LÄN</t>
        </is>
      </c>
      <c r="G1948" t="inlineStr">
        <is>
          <t>FORSHAGA</t>
        </is>
      </c>
      <c r="I1948" t="n">
        <v>1.3</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17011-2024</t>
        </is>
      </c>
      <c r="B1949" t="inlineStr">
        <is>
          <t>avverkningsanmälan</t>
        </is>
      </c>
      <c r="C1949" t="inlineStr">
        <is>
          <t>Föryngringsavverkning</t>
        </is>
      </c>
      <c r="D1949" s="1" t="n">
        <v>45412</v>
      </c>
      <c r="E1949" s="1" t="n">
        <v>46307</v>
      </c>
      <c r="F1949" t="inlineStr">
        <is>
          <t>VÄRMLANDS LÄN</t>
        </is>
      </c>
      <c r="G1949" t="inlineStr">
        <is>
          <t>ARVIKA</t>
        </is>
      </c>
      <c r="H1949" t="inlineStr">
        <is>
          <t>Bergvik skog väst AB</t>
        </is>
      </c>
      <c r="I1949" t="n">
        <v>2</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56940-2024</t>
        </is>
      </c>
      <c r="B1950" t="inlineStr">
        <is>
          <t>avverkningsanmälan</t>
        </is>
      </c>
      <c r="C1950" t="inlineStr">
        <is>
          <t>Föryngringsavverkning</t>
        </is>
      </c>
      <c r="D1950" s="1" t="n">
        <v>45628</v>
      </c>
      <c r="E1950" s="1" t="n">
        <v>46307</v>
      </c>
      <c r="F1950" t="inlineStr">
        <is>
          <t>VÄRMLANDS LÄN</t>
        </is>
      </c>
      <c r="G1950" t="inlineStr">
        <is>
          <t>ÅRJÄNG</t>
        </is>
      </c>
      <c r="I1950" t="n">
        <v>3.1</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56893-2023</t>
        </is>
      </c>
      <c r="B1951" t="inlineStr">
        <is>
          <t>avverkningsanmälan</t>
        </is>
      </c>
      <c r="C1951" t="inlineStr">
        <is>
          <t>Föryngringsavverkning</t>
        </is>
      </c>
      <c r="D1951" s="1" t="n">
        <v>45244</v>
      </c>
      <c r="E1951" s="1" t="n">
        <v>46307</v>
      </c>
      <c r="F1951" t="inlineStr">
        <is>
          <t>VÄRMLANDS LÄN</t>
        </is>
      </c>
      <c r="G1951" t="inlineStr">
        <is>
          <t>HAGFORS</t>
        </is>
      </c>
      <c r="I1951" t="n">
        <v>0.5</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27080-2023</t>
        </is>
      </c>
      <c r="B1952" t="inlineStr">
        <is>
          <t>avverkningsanmälan</t>
        </is>
      </c>
      <c r="C1952" t="inlineStr">
        <is>
          <t>Föryngringsavverkning</t>
        </is>
      </c>
      <c r="D1952" s="1" t="n">
        <v>45096</v>
      </c>
      <c r="E1952" s="1" t="n">
        <v>46307</v>
      </c>
      <c r="F1952" t="inlineStr">
        <is>
          <t>VÄRMLANDS LÄN</t>
        </is>
      </c>
      <c r="G1952" t="inlineStr">
        <is>
          <t>FILIPSTAD</t>
        </is>
      </c>
      <c r="I1952" t="n">
        <v>0.6</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53396-2023</t>
        </is>
      </c>
      <c r="B1953" t="inlineStr">
        <is>
          <t>avverkningsanmälan</t>
        </is>
      </c>
      <c r="C1953" t="inlineStr">
        <is>
          <t>Avverkning för annat ändamål</t>
        </is>
      </c>
      <c r="D1953" s="1" t="n">
        <v>45229</v>
      </c>
      <c r="E1953" s="1" t="n">
        <v>46307</v>
      </c>
      <c r="F1953" t="inlineStr">
        <is>
          <t>VÄRMLANDS LÄN</t>
        </is>
      </c>
      <c r="G1953" t="inlineStr">
        <is>
          <t>EDA</t>
        </is>
      </c>
      <c r="I1953" t="n">
        <v>1.5</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32031-2024</t>
        </is>
      </c>
      <c r="B1954" t="inlineStr">
        <is>
          <t>avverkningsanmälan</t>
        </is>
      </c>
      <c r="C1954" t="inlineStr">
        <is>
          <t>Föryngringsavverkning</t>
        </is>
      </c>
      <c r="D1954" s="1" t="n">
        <v>45510</v>
      </c>
      <c r="E1954" s="1" t="n">
        <v>46307</v>
      </c>
      <c r="F1954" t="inlineStr">
        <is>
          <t>VÄRMLANDS LÄN</t>
        </is>
      </c>
      <c r="G1954" t="inlineStr">
        <is>
          <t>HAGFORS</t>
        </is>
      </c>
      <c r="I1954" t="n">
        <v>2.4</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21528-2024</t>
        </is>
      </c>
      <c r="B1955" t="inlineStr">
        <is>
          <t>avverkningsanmälan</t>
        </is>
      </c>
      <c r="C1955" t="inlineStr">
        <is>
          <t>Föryngringsavverkning</t>
        </is>
      </c>
      <c r="D1955" s="1" t="n">
        <v>45441</v>
      </c>
      <c r="E1955" s="1" t="n">
        <v>46307</v>
      </c>
      <c r="F1955" t="inlineStr">
        <is>
          <t>VÄRMLANDS LÄN</t>
        </is>
      </c>
      <c r="G1955" t="inlineStr">
        <is>
          <t>GRUMS</t>
        </is>
      </c>
      <c r="I1955" t="n">
        <v>1.4</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27131-2022</t>
        </is>
      </c>
      <c r="B1956" t="inlineStr">
        <is>
          <t>avverkningsanmälan</t>
        </is>
      </c>
      <c r="C1956" t="inlineStr">
        <is>
          <t>Föryngringsavverkning</t>
        </is>
      </c>
      <c r="D1956" s="1" t="n">
        <v>44741</v>
      </c>
      <c r="E1956" s="1" t="n">
        <v>46307</v>
      </c>
      <c r="F1956" t="inlineStr">
        <is>
          <t>VÄRMLANDS LÄN</t>
        </is>
      </c>
      <c r="G1956" t="inlineStr">
        <is>
          <t>ARVIKA</t>
        </is>
      </c>
      <c r="I1956" t="n">
        <v>1.7</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46530-2023</t>
        </is>
      </c>
      <c r="B1957" t="inlineStr">
        <is>
          <t>avverkningsanmälan</t>
        </is>
      </c>
      <c r="C1957" t="inlineStr">
        <is>
          <t>Föryngringsavverkning</t>
        </is>
      </c>
      <c r="D1957" s="1" t="n">
        <v>45197</v>
      </c>
      <c r="E1957" s="1" t="n">
        <v>46307</v>
      </c>
      <c r="F1957" t="inlineStr">
        <is>
          <t>VÄRMLANDS LÄN</t>
        </is>
      </c>
      <c r="G1957" t="inlineStr">
        <is>
          <t>FORSHAGA</t>
        </is>
      </c>
      <c r="H1957" t="inlineStr">
        <is>
          <t>Bergvik skog väst AB</t>
        </is>
      </c>
      <c r="I1957" t="n">
        <v>4.1</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13029-2024</t>
        </is>
      </c>
      <c r="B1958" t="inlineStr">
        <is>
          <t>avverkningsanmälan</t>
        </is>
      </c>
      <c r="C1958" t="inlineStr">
        <is>
          <t>Föryngringsavverkning</t>
        </is>
      </c>
      <c r="D1958" s="1" t="n">
        <v>45385</v>
      </c>
      <c r="E1958" s="1" t="n">
        <v>46307</v>
      </c>
      <c r="F1958" t="inlineStr">
        <is>
          <t>VÄRMLANDS LÄN</t>
        </is>
      </c>
      <c r="G1958" t="inlineStr">
        <is>
          <t>SÄFFLE</t>
        </is>
      </c>
      <c r="I1958" t="n">
        <v>7.9</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30074-2024</t>
        </is>
      </c>
      <c r="B1959" t="inlineStr">
        <is>
          <t>avverkningsanmälan</t>
        </is>
      </c>
      <c r="C1959" t="inlineStr">
        <is>
          <t>Föryngringsavverkning</t>
        </is>
      </c>
      <c r="D1959" s="1" t="n">
        <v>45489</v>
      </c>
      <c r="E1959" s="1" t="n">
        <v>46307</v>
      </c>
      <c r="F1959" t="inlineStr">
        <is>
          <t>VÄRMLANDS LÄN</t>
        </is>
      </c>
      <c r="G1959" t="inlineStr">
        <is>
          <t>TORSBY</t>
        </is>
      </c>
      <c r="H1959" t="inlineStr">
        <is>
          <t>Kyrkan</t>
        </is>
      </c>
      <c r="I1959" t="n">
        <v>6.5</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33993-2024</t>
        </is>
      </c>
      <c r="B1960" t="inlineStr">
        <is>
          <t>avverkningsanmälan</t>
        </is>
      </c>
      <c r="C1960" t="inlineStr">
        <is>
          <t>Föryngringsavverkning</t>
        </is>
      </c>
      <c r="D1960" s="1" t="n">
        <v>45523</v>
      </c>
      <c r="E1960" s="1" t="n">
        <v>46307</v>
      </c>
      <c r="F1960" t="inlineStr">
        <is>
          <t>VÄRMLANDS LÄN</t>
        </is>
      </c>
      <c r="G1960" t="inlineStr">
        <is>
          <t>SÄFFLE</t>
        </is>
      </c>
      <c r="I1960" t="n">
        <v>4.8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12652-2024</t>
        </is>
      </c>
      <c r="B1961" t="inlineStr">
        <is>
          <t>avverkningsanmälan</t>
        </is>
      </c>
      <c r="C1961" t="inlineStr">
        <is>
          <t>Föryngringsavverkning</t>
        </is>
      </c>
      <c r="D1961" s="1" t="n">
        <v>45384</v>
      </c>
      <c r="E1961" s="1" t="n">
        <v>46307</v>
      </c>
      <c r="F1961" t="inlineStr">
        <is>
          <t>VÄRMLANDS LÄN</t>
        </is>
      </c>
      <c r="G1961" t="inlineStr">
        <is>
          <t>KIL</t>
        </is>
      </c>
      <c r="I1961" t="n">
        <v>5.4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12701-2024</t>
        </is>
      </c>
      <c r="B1962" t="inlineStr">
        <is>
          <t>avverkningsanmälan</t>
        </is>
      </c>
      <c r="C1962" t="inlineStr">
        <is>
          <t>Föryngringsavverkning</t>
        </is>
      </c>
      <c r="D1962" s="1" t="n">
        <v>45384</v>
      </c>
      <c r="E1962" s="1" t="n">
        <v>46307</v>
      </c>
      <c r="F1962" t="inlineStr">
        <is>
          <t>VÄRMLANDS LÄN</t>
        </is>
      </c>
      <c r="G1962" t="inlineStr">
        <is>
          <t>TORSBY</t>
        </is>
      </c>
      <c r="I1962" t="n">
        <v>1.3</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56871-2023</t>
        </is>
      </c>
      <c r="B1963" t="inlineStr">
        <is>
          <t>avverkningsanmälan</t>
        </is>
      </c>
      <c r="C1963" t="inlineStr">
        <is>
          <t>Föryngringsavverkning</t>
        </is>
      </c>
      <c r="D1963" s="1" t="n">
        <v>45244</v>
      </c>
      <c r="E1963" s="1" t="n">
        <v>46307</v>
      </c>
      <c r="F1963" t="inlineStr">
        <is>
          <t>VÄRMLANDS LÄN</t>
        </is>
      </c>
      <c r="G1963" t="inlineStr">
        <is>
          <t>SUNNE</t>
        </is>
      </c>
      <c r="I1963" t="n">
        <v>1.8</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60595-2022</t>
        </is>
      </c>
      <c r="B1964" t="inlineStr">
        <is>
          <t>avverkningsanmälan</t>
        </is>
      </c>
      <c r="C1964" t="inlineStr">
        <is>
          <t>Föryngringsavverkning</t>
        </is>
      </c>
      <c r="D1964" s="1" t="n">
        <v>44906</v>
      </c>
      <c r="E1964" s="1" t="n">
        <v>46307</v>
      </c>
      <c r="F1964" t="inlineStr">
        <is>
          <t>VÄRMLANDS LÄN</t>
        </is>
      </c>
      <c r="G1964" t="inlineStr">
        <is>
          <t>ARVIKA</t>
        </is>
      </c>
      <c r="I1964" t="n">
        <v>1</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56884-2023</t>
        </is>
      </c>
      <c r="B1965" t="inlineStr">
        <is>
          <t>avverkningsanmälan</t>
        </is>
      </c>
      <c r="C1965" t="inlineStr">
        <is>
          <t>Föryngringsavverkning</t>
        </is>
      </c>
      <c r="D1965" s="1" t="n">
        <v>45244</v>
      </c>
      <c r="E1965" s="1" t="n">
        <v>46307</v>
      </c>
      <c r="F1965" t="inlineStr">
        <is>
          <t>VÄRMLANDS LÄN</t>
        </is>
      </c>
      <c r="G1965" t="inlineStr">
        <is>
          <t>HAGFORS</t>
        </is>
      </c>
      <c r="I1965" t="n">
        <v>1.3</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56902-2023</t>
        </is>
      </c>
      <c r="B1966" t="inlineStr">
        <is>
          <t>avverkningsanmälan</t>
        </is>
      </c>
      <c r="C1966" t="inlineStr">
        <is>
          <t>Föryngringsavverkning</t>
        </is>
      </c>
      <c r="D1966" s="1" t="n">
        <v>45244</v>
      </c>
      <c r="E1966" s="1" t="n">
        <v>46307</v>
      </c>
      <c r="F1966" t="inlineStr">
        <is>
          <t>VÄRMLANDS LÄN</t>
        </is>
      </c>
      <c r="G1966" t="inlineStr">
        <is>
          <t>TORSBY</t>
        </is>
      </c>
      <c r="I1966" t="n">
        <v>17.4</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17363-2023</t>
        </is>
      </c>
      <c r="B1967" t="inlineStr">
        <is>
          <t>avverkningsanmälan</t>
        </is>
      </c>
      <c r="C1967" t="inlineStr">
        <is>
          <t>Föryngringsavverkning</t>
        </is>
      </c>
      <c r="D1967" s="1" t="n">
        <v>45035</v>
      </c>
      <c r="E1967" s="1" t="n">
        <v>46307</v>
      </c>
      <c r="F1967" t="inlineStr">
        <is>
          <t>VÄRMLANDS LÄN</t>
        </is>
      </c>
      <c r="G1967" t="inlineStr">
        <is>
          <t>ARVIKA</t>
        </is>
      </c>
      <c r="I1967" t="n">
        <v>19.4</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53192-2022</t>
        </is>
      </c>
      <c r="B1968" t="inlineStr">
        <is>
          <t>avverkningsanmälan</t>
        </is>
      </c>
      <c r="C1968" t="inlineStr">
        <is>
          <t>Föryngringsavverkning</t>
        </is>
      </c>
      <c r="D1968" s="1" t="n">
        <v>44876</v>
      </c>
      <c r="E1968" s="1" t="n">
        <v>46307</v>
      </c>
      <c r="F1968" t="inlineStr">
        <is>
          <t>VÄRMLANDS LÄN</t>
        </is>
      </c>
      <c r="G1968" t="inlineStr">
        <is>
          <t>HAGFORS</t>
        </is>
      </c>
      <c r="H1968" t="inlineStr">
        <is>
          <t>Bergvik skog väst AB</t>
        </is>
      </c>
      <c r="I1968" t="n">
        <v>5.3</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10354-2025</t>
        </is>
      </c>
      <c r="B1969" t="inlineStr">
        <is>
          <t>avverkningsanmälan</t>
        </is>
      </c>
      <c r="C1969" t="inlineStr">
        <is>
          <t>Föryngringsavverkning</t>
        </is>
      </c>
      <c r="D1969" s="1" t="n">
        <v>45720</v>
      </c>
      <c r="E1969" s="1" t="n">
        <v>46307</v>
      </c>
      <c r="F1969" t="inlineStr">
        <is>
          <t>VÄRMLANDS LÄN</t>
        </is>
      </c>
      <c r="G1969" t="inlineStr">
        <is>
          <t>SÄFFLE</t>
        </is>
      </c>
      <c r="H1969" t="inlineStr">
        <is>
          <t>Kyrkan</t>
        </is>
      </c>
      <c r="I1969" t="n">
        <v>1.5</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14984-2024</t>
        </is>
      </c>
      <c r="B1970" t="inlineStr">
        <is>
          <t>avverkningsanmälan</t>
        </is>
      </c>
      <c r="C1970" t="inlineStr">
        <is>
          <t>Föryngringsavverkning</t>
        </is>
      </c>
      <c r="D1970" s="1" t="n">
        <v>45399</v>
      </c>
      <c r="E1970" s="1" t="n">
        <v>46307</v>
      </c>
      <c r="F1970" t="inlineStr">
        <is>
          <t>VÄRMLANDS LÄN</t>
        </is>
      </c>
      <c r="G1970" t="inlineStr">
        <is>
          <t>KIL</t>
        </is>
      </c>
      <c r="I1970" t="n">
        <v>3.5</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14987-2024</t>
        </is>
      </c>
      <c r="B1971" t="inlineStr">
        <is>
          <t>avverkningsanmälan</t>
        </is>
      </c>
      <c r="C1971" t="inlineStr">
        <is>
          <t>Föryngringsavverkning</t>
        </is>
      </c>
      <c r="D1971" s="1" t="n">
        <v>45399</v>
      </c>
      <c r="E1971" s="1" t="n">
        <v>46307</v>
      </c>
      <c r="F1971" t="inlineStr">
        <is>
          <t>VÄRMLANDS LÄN</t>
        </is>
      </c>
      <c r="G1971" t="inlineStr">
        <is>
          <t>KIL</t>
        </is>
      </c>
      <c r="I1971" t="n">
        <v>3</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27045-2023</t>
        </is>
      </c>
      <c r="B1972" t="inlineStr">
        <is>
          <t>avverkningsanmälan</t>
        </is>
      </c>
      <c r="C1972" t="inlineStr">
        <is>
          <t>Föryngringsavverkning</t>
        </is>
      </c>
      <c r="D1972" s="1" t="n">
        <v>45095</v>
      </c>
      <c r="E1972" s="1" t="n">
        <v>46307</v>
      </c>
      <c r="F1972" t="inlineStr">
        <is>
          <t>VÄRMLANDS LÄN</t>
        </is>
      </c>
      <c r="G1972" t="inlineStr">
        <is>
          <t>MUNKFORS</t>
        </is>
      </c>
      <c r="I1972" t="n">
        <v>2.1</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27050-2023</t>
        </is>
      </c>
      <c r="B1973" t="inlineStr">
        <is>
          <t>avverkningsanmälan</t>
        </is>
      </c>
      <c r="C1973" t="inlineStr">
        <is>
          <t>Föryngringsavverkning</t>
        </is>
      </c>
      <c r="D1973" s="1" t="n">
        <v>45095</v>
      </c>
      <c r="E1973" s="1" t="n">
        <v>46307</v>
      </c>
      <c r="F1973" t="inlineStr">
        <is>
          <t>VÄRMLANDS LÄN</t>
        </is>
      </c>
      <c r="G1973" t="inlineStr">
        <is>
          <t>KARLSTAD</t>
        </is>
      </c>
      <c r="I1973" t="n">
        <v>3</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9282-2024</t>
        </is>
      </c>
      <c r="B1974" t="inlineStr">
        <is>
          <t>avverkningsanmälan</t>
        </is>
      </c>
      <c r="C1974" t="inlineStr">
        <is>
          <t>Föryngringsavverkning</t>
        </is>
      </c>
      <c r="D1974" s="1" t="n">
        <v>45358</v>
      </c>
      <c r="E1974" s="1" t="n">
        <v>46307</v>
      </c>
      <c r="F1974" t="inlineStr">
        <is>
          <t>VÄRMLANDS LÄN</t>
        </is>
      </c>
      <c r="G1974" t="inlineStr">
        <is>
          <t>SÄFFLE</t>
        </is>
      </c>
      <c r="I1974" t="n">
        <v>2</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12689-2024</t>
        </is>
      </c>
      <c r="B1975" t="inlineStr">
        <is>
          <t>avverkningsanmälan</t>
        </is>
      </c>
      <c r="C1975" t="inlineStr">
        <is>
          <t>Avverkning för annat ändamål</t>
        </is>
      </c>
      <c r="D1975" s="1" t="n">
        <v>45384</v>
      </c>
      <c r="E1975" s="1" t="n">
        <v>46307</v>
      </c>
      <c r="F1975" t="inlineStr">
        <is>
          <t>VÄRMLANDS LÄN</t>
        </is>
      </c>
      <c r="G1975" t="inlineStr">
        <is>
          <t>ARVIKA</t>
        </is>
      </c>
      <c r="I1975" t="n">
        <v>2.3</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40422-2024</t>
        </is>
      </c>
      <c r="B1976" t="inlineStr">
        <is>
          <t>avverkningsanmälan</t>
        </is>
      </c>
      <c r="C1976" t="inlineStr">
        <is>
          <t>Föryngringsavverkning</t>
        </is>
      </c>
      <c r="D1976" s="1" t="n">
        <v>45555</v>
      </c>
      <c r="E1976" s="1" t="n">
        <v>46307</v>
      </c>
      <c r="F1976" t="inlineStr">
        <is>
          <t>VÄRMLANDS LÄN</t>
        </is>
      </c>
      <c r="G1976" t="inlineStr">
        <is>
          <t>ARVIKA</t>
        </is>
      </c>
      <c r="I1976" t="n">
        <v>1.1</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26829-2023</t>
        </is>
      </c>
      <c r="B1977" t="inlineStr">
        <is>
          <t>avverkningsanmälan</t>
        </is>
      </c>
      <c r="C1977" t="inlineStr">
        <is>
          <t>Föryngringsavverkning</t>
        </is>
      </c>
      <c r="D1977" s="1" t="n">
        <v>45093</v>
      </c>
      <c r="E1977" s="1" t="n">
        <v>46307</v>
      </c>
      <c r="F1977" t="inlineStr">
        <is>
          <t>VÄRMLANDS LÄN</t>
        </is>
      </c>
      <c r="G1977" t="inlineStr">
        <is>
          <t>GRUMS</t>
        </is>
      </c>
      <c r="I1977" t="n">
        <v>1.5</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10383-2023</t>
        </is>
      </c>
      <c r="B1978" t="inlineStr">
        <is>
          <t>avverkningsanmälan</t>
        </is>
      </c>
      <c r="C1978" t="inlineStr">
        <is>
          <t>Föryngringsavverkning</t>
        </is>
      </c>
      <c r="D1978" s="1" t="n">
        <v>44987</v>
      </c>
      <c r="E1978" s="1" t="n">
        <v>46307</v>
      </c>
      <c r="F1978" t="inlineStr">
        <is>
          <t>VÄRMLANDS LÄN</t>
        </is>
      </c>
      <c r="G1978" t="inlineStr">
        <is>
          <t>FORSHAGA</t>
        </is>
      </c>
      <c r="I1978" t="n">
        <v>1.3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39781-2022</t>
        </is>
      </c>
      <c r="B1979" t="inlineStr">
        <is>
          <t>avverkningsanmälan</t>
        </is>
      </c>
      <c r="C1979" t="inlineStr">
        <is>
          <t>Föryngringsavverkning</t>
        </is>
      </c>
      <c r="D1979" s="1" t="n">
        <v>44819</v>
      </c>
      <c r="E1979" s="1" t="n">
        <v>46307</v>
      </c>
      <c r="F1979" t="inlineStr">
        <is>
          <t>VÄRMLANDS LÄN</t>
        </is>
      </c>
      <c r="G1979" t="inlineStr">
        <is>
          <t>TORSBY</t>
        </is>
      </c>
      <c r="I1979" t="n">
        <v>1.5</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26831-2023</t>
        </is>
      </c>
      <c r="B1980" t="inlineStr">
        <is>
          <t>avverkningsanmälan</t>
        </is>
      </c>
      <c r="C1980" t="inlineStr">
        <is>
          <t>Föryngringsavverkning</t>
        </is>
      </c>
      <c r="D1980" s="1" t="n">
        <v>45090</v>
      </c>
      <c r="E1980" s="1" t="n">
        <v>46307</v>
      </c>
      <c r="F1980" t="inlineStr">
        <is>
          <t>VÄRMLANDS LÄN</t>
        </is>
      </c>
      <c r="G1980" t="inlineStr">
        <is>
          <t>EDA</t>
        </is>
      </c>
      <c r="I1980" t="n">
        <v>2.9</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61814-2024</t>
        </is>
      </c>
      <c r="B1981" t="inlineStr">
        <is>
          <t>avverkningsanmälan</t>
        </is>
      </c>
      <c r="C1981" t="inlineStr">
        <is>
          <t>Föryngringsavverkning</t>
        </is>
      </c>
      <c r="D1981" s="1" t="n">
        <v>45646</v>
      </c>
      <c r="E1981" s="1" t="n">
        <v>46307</v>
      </c>
      <c r="F1981" t="inlineStr">
        <is>
          <t>VÄRMLANDS LÄN</t>
        </is>
      </c>
      <c r="G1981" t="inlineStr">
        <is>
          <t>ÅRJÄNG</t>
        </is>
      </c>
      <c r="I1981" t="n">
        <v>5.3</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64525-2023</t>
        </is>
      </c>
      <c r="B1982" t="inlineStr">
        <is>
          <t>avverkningsanmälan</t>
        </is>
      </c>
      <c r="C1982" t="inlineStr">
        <is>
          <t>Föryngringsavverkning</t>
        </is>
      </c>
      <c r="D1982" s="1" t="n">
        <v>45281</v>
      </c>
      <c r="E1982" s="1" t="n">
        <v>46307</v>
      </c>
      <c r="F1982" t="inlineStr">
        <is>
          <t>VÄRMLANDS LÄN</t>
        </is>
      </c>
      <c r="G1982" t="inlineStr">
        <is>
          <t>KARLSTAD</t>
        </is>
      </c>
      <c r="I1982" t="n">
        <v>2.2</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19053-2024</t>
        </is>
      </c>
      <c r="B1983" t="inlineStr">
        <is>
          <t>avverkningsanmälan</t>
        </is>
      </c>
      <c r="C1983" t="inlineStr">
        <is>
          <t>Föryngringsavverkning</t>
        </is>
      </c>
      <c r="D1983" s="1" t="n">
        <v>45427</v>
      </c>
      <c r="E1983" s="1" t="n">
        <v>46307</v>
      </c>
      <c r="F1983" t="inlineStr">
        <is>
          <t>VÄRMLANDS LÄN</t>
        </is>
      </c>
      <c r="G1983" t="inlineStr">
        <is>
          <t>GRUMS</t>
        </is>
      </c>
      <c r="I1983" t="n">
        <v>3.7</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1410-2025</t>
        </is>
      </c>
      <c r="B1984" t="inlineStr">
        <is>
          <t>avverkningsanmälan</t>
        </is>
      </c>
      <c r="C1984" t="inlineStr">
        <is>
          <t>Föryngringsavverkning</t>
        </is>
      </c>
      <c r="D1984" s="1" t="n">
        <v>45667</v>
      </c>
      <c r="E1984" s="1" t="n">
        <v>46307</v>
      </c>
      <c r="F1984" t="inlineStr">
        <is>
          <t>VÄRMLANDS LÄN</t>
        </is>
      </c>
      <c r="G1984" t="inlineStr">
        <is>
          <t>ARVIKA</t>
        </is>
      </c>
      <c r="I1984" t="n">
        <v>2.5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19159-2024</t>
        </is>
      </c>
      <c r="B1985" t="inlineStr">
        <is>
          <t>avverkningsanmälan</t>
        </is>
      </c>
      <c r="C1985" t="inlineStr">
        <is>
          <t>Föryngringsavverkning</t>
        </is>
      </c>
      <c r="D1985" s="1" t="n">
        <v>45428</v>
      </c>
      <c r="E1985" s="1" t="n">
        <v>46307</v>
      </c>
      <c r="F1985" t="inlineStr">
        <is>
          <t>VÄRMLANDS LÄN</t>
        </is>
      </c>
      <c r="G1985" t="inlineStr">
        <is>
          <t>FILIPSTAD</t>
        </is>
      </c>
      <c r="H1985" t="inlineStr">
        <is>
          <t>Bergvik skog väst AB</t>
        </is>
      </c>
      <c r="I1985" t="n">
        <v>8.4</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19161-2024</t>
        </is>
      </c>
      <c r="B1986" t="inlineStr">
        <is>
          <t>avverkningsanmälan</t>
        </is>
      </c>
      <c r="C1986" t="inlineStr">
        <is>
          <t>Föryngringsavverkning</t>
        </is>
      </c>
      <c r="D1986" s="1" t="n">
        <v>45428</v>
      </c>
      <c r="E1986" s="1" t="n">
        <v>46307</v>
      </c>
      <c r="F1986" t="inlineStr">
        <is>
          <t>VÄRMLANDS LÄN</t>
        </is>
      </c>
      <c r="G1986" t="inlineStr">
        <is>
          <t>SÄFFLE</t>
        </is>
      </c>
      <c r="I1986" t="n">
        <v>1.3</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48853-2022</t>
        </is>
      </c>
      <c r="B1987" t="inlineStr">
        <is>
          <t>avverkningsanmälan</t>
        </is>
      </c>
      <c r="C1987" t="inlineStr">
        <is>
          <t>Föryngringsavverkning</t>
        </is>
      </c>
      <c r="D1987" s="1" t="n">
        <v>44859</v>
      </c>
      <c r="E1987" s="1" t="n">
        <v>46307</v>
      </c>
      <c r="F1987" t="inlineStr">
        <is>
          <t>VÄRMLANDS LÄN</t>
        </is>
      </c>
      <c r="G1987" t="inlineStr">
        <is>
          <t>SUNNE</t>
        </is>
      </c>
      <c r="I1987" t="n">
        <v>1.1</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11143-2024</t>
        </is>
      </c>
      <c r="B1988" t="inlineStr">
        <is>
          <t>avverkningsanmälan</t>
        </is>
      </c>
      <c r="C1988" t="inlineStr">
        <is>
          <t>Föryngringsavverkning</t>
        </is>
      </c>
      <c r="D1988" s="1" t="n">
        <v>45371</v>
      </c>
      <c r="E1988" s="1" t="n">
        <v>46307</v>
      </c>
      <c r="F1988" t="inlineStr">
        <is>
          <t>VÄRMLANDS LÄN</t>
        </is>
      </c>
      <c r="G1988" t="inlineStr">
        <is>
          <t>TORSBY</t>
        </is>
      </c>
      <c r="I1988" t="n">
        <v>2</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27525-2022</t>
        </is>
      </c>
      <c r="B1989" t="inlineStr">
        <is>
          <t>avverkningsanmälan</t>
        </is>
      </c>
      <c r="C1989" t="inlineStr">
        <is>
          <t>Föryngringsavverkning</t>
        </is>
      </c>
      <c r="D1989" s="1" t="n">
        <v>44742</v>
      </c>
      <c r="E1989" s="1" t="n">
        <v>46307</v>
      </c>
      <c r="F1989" t="inlineStr">
        <is>
          <t>VÄRMLANDS LÄN</t>
        </is>
      </c>
      <c r="G1989" t="inlineStr">
        <is>
          <t>KRISTINEHAMN</t>
        </is>
      </c>
      <c r="I1989" t="n">
        <v>2.7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34786-2024</t>
        </is>
      </c>
      <c r="B1990" t="inlineStr">
        <is>
          <t>avverkningsanmälan</t>
        </is>
      </c>
      <c r="C1990" t="inlineStr">
        <is>
          <t>Föryngringsavverkning</t>
        </is>
      </c>
      <c r="D1990" s="1" t="n">
        <v>45526</v>
      </c>
      <c r="E1990" s="1" t="n">
        <v>46307</v>
      </c>
      <c r="F1990" t="inlineStr">
        <is>
          <t>VÄRMLANDS LÄN</t>
        </is>
      </c>
      <c r="G1990" t="inlineStr">
        <is>
          <t>FORSHAGA</t>
        </is>
      </c>
      <c r="H1990" t="inlineStr">
        <is>
          <t>Bergvik skog väst AB</t>
        </is>
      </c>
      <c r="I1990" t="n">
        <v>1.2</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2155-2023</t>
        </is>
      </c>
      <c r="B1991" t="inlineStr">
        <is>
          <t>avverkningsanmälan</t>
        </is>
      </c>
      <c r="C1991" t="inlineStr">
        <is>
          <t>Föryngringsavverkning</t>
        </is>
      </c>
      <c r="D1991" s="1" t="n">
        <v>44941</v>
      </c>
      <c r="E1991" s="1" t="n">
        <v>46307</v>
      </c>
      <c r="F1991" t="inlineStr">
        <is>
          <t>VÄRMLANDS LÄN</t>
        </is>
      </c>
      <c r="G1991" t="inlineStr">
        <is>
          <t>ARVIKA</t>
        </is>
      </c>
      <c r="I1991" t="n">
        <v>5.2</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15575-2025</t>
        </is>
      </c>
      <c r="B1992" t="inlineStr">
        <is>
          <t>avverkningsanmälan</t>
        </is>
      </c>
      <c r="C1992" t="inlineStr">
        <is>
          <t>Föryngringsavverkning</t>
        </is>
      </c>
      <c r="D1992" s="1" t="n">
        <v>45747</v>
      </c>
      <c r="E1992" s="1" t="n">
        <v>46307</v>
      </c>
      <c r="F1992" t="inlineStr">
        <is>
          <t>VÄRMLANDS LÄN</t>
        </is>
      </c>
      <c r="G1992" t="inlineStr">
        <is>
          <t>ÅRJÄNG</t>
        </is>
      </c>
      <c r="I1992" t="n">
        <v>0.7</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15577-2025</t>
        </is>
      </c>
      <c r="B1993" t="inlineStr">
        <is>
          <t>avverkningsanmälan</t>
        </is>
      </c>
      <c r="C1993" t="inlineStr">
        <is>
          <t>Föryngringsavverkning</t>
        </is>
      </c>
      <c r="D1993" s="1" t="n">
        <v>45747</v>
      </c>
      <c r="E1993" s="1" t="n">
        <v>46307</v>
      </c>
      <c r="F1993" t="inlineStr">
        <is>
          <t>VÄRMLANDS LÄN</t>
        </is>
      </c>
      <c r="G1993" t="inlineStr">
        <is>
          <t>ÅRJÄNG</t>
        </is>
      </c>
      <c r="I1993" t="n">
        <v>2.4</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62902-2023</t>
        </is>
      </c>
      <c r="B1994" t="inlineStr">
        <is>
          <t>avverkningsanmälan</t>
        </is>
      </c>
      <c r="C1994" t="inlineStr">
        <is>
          <t>Föryngringsavverkning</t>
        </is>
      </c>
      <c r="D1994" s="1" t="n">
        <v>45272</v>
      </c>
      <c r="E1994" s="1" t="n">
        <v>46307</v>
      </c>
      <c r="F1994" t="inlineStr">
        <is>
          <t>VÄRMLANDS LÄN</t>
        </is>
      </c>
      <c r="G1994" t="inlineStr">
        <is>
          <t>KARLSTAD</t>
        </is>
      </c>
      <c r="I1994" t="n">
        <v>2.4</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58097-2022</t>
        </is>
      </c>
      <c r="B1995" t="inlineStr">
        <is>
          <t>avverkningsanmälan</t>
        </is>
      </c>
      <c r="C1995" t="inlineStr">
        <is>
          <t>Föryngringsavverkning</t>
        </is>
      </c>
      <c r="D1995" s="1" t="n">
        <v>44900</v>
      </c>
      <c r="E1995" s="1" t="n">
        <v>46307</v>
      </c>
      <c r="F1995" t="inlineStr">
        <is>
          <t>VÄRMLANDS LÄN</t>
        </is>
      </c>
      <c r="G1995" t="inlineStr">
        <is>
          <t>SUNNE</t>
        </is>
      </c>
      <c r="I1995" t="n">
        <v>1.9</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36344-2023</t>
        </is>
      </c>
      <c r="B1996" t="inlineStr">
        <is>
          <t>avverkningsanmälan</t>
        </is>
      </c>
      <c r="C1996" t="inlineStr">
        <is>
          <t>Föryngringsavverkning</t>
        </is>
      </c>
      <c r="D1996" s="1" t="n">
        <v>45152</v>
      </c>
      <c r="E1996" s="1" t="n">
        <v>46307</v>
      </c>
      <c r="F1996" t="inlineStr">
        <is>
          <t>VÄRMLANDS LÄN</t>
        </is>
      </c>
      <c r="G1996" t="inlineStr">
        <is>
          <t>ÅRJÄNG</t>
        </is>
      </c>
      <c r="I1996" t="n">
        <v>7.7</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2812-2023</t>
        </is>
      </c>
      <c r="B1997" t="inlineStr">
        <is>
          <t>avverkningsanmälan</t>
        </is>
      </c>
      <c r="C1997" t="inlineStr">
        <is>
          <t>Föryngringsavverkning</t>
        </is>
      </c>
      <c r="D1997" s="1" t="n">
        <v>44944</v>
      </c>
      <c r="E1997" s="1" t="n">
        <v>46307</v>
      </c>
      <c r="F1997" t="inlineStr">
        <is>
          <t>VÄRMLANDS LÄN</t>
        </is>
      </c>
      <c r="G1997" t="inlineStr">
        <is>
          <t>FORSHAGA</t>
        </is>
      </c>
      <c r="I1997" t="n">
        <v>0.7</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3681-2024</t>
        </is>
      </c>
      <c r="B1998" t="inlineStr">
        <is>
          <t>avverkningsanmälan</t>
        </is>
      </c>
      <c r="C1998" t="inlineStr">
        <is>
          <t>Föryngringsavverkning</t>
        </is>
      </c>
      <c r="D1998" s="1" t="n">
        <v>45321</v>
      </c>
      <c r="E1998" s="1" t="n">
        <v>46307</v>
      </c>
      <c r="F1998" t="inlineStr">
        <is>
          <t>VÄRMLANDS LÄN</t>
        </is>
      </c>
      <c r="G1998" t="inlineStr">
        <is>
          <t>HAGFORS</t>
        </is>
      </c>
      <c r="I1998" t="n">
        <v>1.7</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53416-2023</t>
        </is>
      </c>
      <c r="B1999" t="inlineStr">
        <is>
          <t>avverkningsanmälan</t>
        </is>
      </c>
      <c r="C1999" t="inlineStr">
        <is>
          <t>Föryngringsavverkning</t>
        </is>
      </c>
      <c r="D1999" s="1" t="n">
        <v>45229</v>
      </c>
      <c r="E1999" s="1" t="n">
        <v>46307</v>
      </c>
      <c r="F1999" t="inlineStr">
        <is>
          <t>VÄRMLANDS LÄN</t>
        </is>
      </c>
      <c r="G1999" t="inlineStr">
        <is>
          <t>KIL</t>
        </is>
      </c>
      <c r="I1999" t="n">
        <v>2.5</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62014-2024</t>
        </is>
      </c>
      <c r="B2000" t="inlineStr">
        <is>
          <t>avverkningsanmälan</t>
        </is>
      </c>
      <c r="C2000" t="inlineStr">
        <is>
          <t>Föryngringsavverkning</t>
        </is>
      </c>
      <c r="D2000" s="1" t="n">
        <v>45655</v>
      </c>
      <c r="E2000" s="1" t="n">
        <v>46307</v>
      </c>
      <c r="F2000" t="inlineStr">
        <is>
          <t>VÄRMLANDS LÄN</t>
        </is>
      </c>
      <c r="G2000" t="inlineStr">
        <is>
          <t>FILIPSTAD</t>
        </is>
      </c>
      <c r="I2000" t="n">
        <v>1.6</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262-2023</t>
        </is>
      </c>
      <c r="B2001" t="inlineStr">
        <is>
          <t>avverkningsanmälan</t>
        </is>
      </c>
      <c r="C2001" t="inlineStr">
        <is>
          <t>Föryngringsavverkning</t>
        </is>
      </c>
      <c r="D2001" s="1" t="n">
        <v>44928</v>
      </c>
      <c r="E2001" s="1" t="n">
        <v>46307</v>
      </c>
      <c r="F2001" t="inlineStr">
        <is>
          <t>VÄRMLANDS LÄN</t>
        </is>
      </c>
      <c r="G2001" t="inlineStr">
        <is>
          <t>SUNNE</t>
        </is>
      </c>
      <c r="I2001" t="n">
        <v>4.2</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29231-2023</t>
        </is>
      </c>
      <c r="B2002" t="inlineStr">
        <is>
          <t>avverkningsanmälan</t>
        </is>
      </c>
      <c r="C2002" t="inlineStr">
        <is>
          <t>Föryngringsavverkning</t>
        </is>
      </c>
      <c r="D2002" s="1" t="n">
        <v>45105</v>
      </c>
      <c r="E2002" s="1" t="n">
        <v>46307</v>
      </c>
      <c r="F2002" t="inlineStr">
        <is>
          <t>VÄRMLANDS LÄN</t>
        </is>
      </c>
      <c r="G2002" t="inlineStr">
        <is>
          <t>FORSHAGA</t>
        </is>
      </c>
      <c r="I2002" t="n">
        <v>1.9</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26608-2023</t>
        </is>
      </c>
      <c r="B2003" t="inlineStr">
        <is>
          <t>avverkningsanmälan</t>
        </is>
      </c>
      <c r="C2003" t="inlineStr">
        <is>
          <t>Föryngringsavverkning</t>
        </is>
      </c>
      <c r="D2003" s="1" t="n">
        <v>45092</v>
      </c>
      <c r="E2003" s="1" t="n">
        <v>46307</v>
      </c>
      <c r="F2003" t="inlineStr">
        <is>
          <t>VÄRMLANDS LÄN</t>
        </is>
      </c>
      <c r="G2003" t="inlineStr">
        <is>
          <t>SUNNE</t>
        </is>
      </c>
      <c r="I2003" t="n">
        <v>0.9</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23904-2023</t>
        </is>
      </c>
      <c r="B2004" t="inlineStr">
        <is>
          <t>avverkningsanmälan</t>
        </is>
      </c>
      <c r="C2004" t="inlineStr">
        <is>
          <t>Föryngringsavverkning</t>
        </is>
      </c>
      <c r="D2004" s="1" t="n">
        <v>45078</v>
      </c>
      <c r="E2004" s="1" t="n">
        <v>46307</v>
      </c>
      <c r="F2004" t="inlineStr">
        <is>
          <t>VÄRMLANDS LÄN</t>
        </is>
      </c>
      <c r="G2004" t="inlineStr">
        <is>
          <t>ÅRJÄNG</t>
        </is>
      </c>
      <c r="I2004" t="n">
        <v>2.4</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53562-2023</t>
        </is>
      </c>
      <c r="B2005" t="inlineStr">
        <is>
          <t>avverkningsanmälan</t>
        </is>
      </c>
      <c r="C2005" t="inlineStr">
        <is>
          <t>Föryngringsavverkning</t>
        </is>
      </c>
      <c r="D2005" s="1" t="n">
        <v>45230</v>
      </c>
      <c r="E2005" s="1" t="n">
        <v>46307</v>
      </c>
      <c r="F2005" t="inlineStr">
        <is>
          <t>VÄRMLANDS LÄN</t>
        </is>
      </c>
      <c r="G2005" t="inlineStr">
        <is>
          <t>FILIPSTAD</t>
        </is>
      </c>
      <c r="H2005" t="inlineStr">
        <is>
          <t>Bergvik skog väst AB</t>
        </is>
      </c>
      <c r="I2005" t="n">
        <v>9.9</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14743-2025</t>
        </is>
      </c>
      <c r="B2006" t="inlineStr">
        <is>
          <t>avverkningsanmälan</t>
        </is>
      </c>
      <c r="C2006" t="inlineStr">
        <is>
          <t>Föryngringsavverkning</t>
        </is>
      </c>
      <c r="D2006" s="1" t="n">
        <v>45742</v>
      </c>
      <c r="E2006" s="1" t="n">
        <v>46307</v>
      </c>
      <c r="F2006" t="inlineStr">
        <is>
          <t>VÄRMLANDS LÄN</t>
        </is>
      </c>
      <c r="G2006" t="inlineStr">
        <is>
          <t>SUNNE</t>
        </is>
      </c>
      <c r="I2006" t="n">
        <v>0.7</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21177-2023</t>
        </is>
      </c>
      <c r="B2007" t="inlineStr">
        <is>
          <t>avverkningsanmälan</t>
        </is>
      </c>
      <c r="C2007" t="inlineStr">
        <is>
          <t>Föryngringsavverkning</t>
        </is>
      </c>
      <c r="D2007" s="1" t="n">
        <v>45062</v>
      </c>
      <c r="E2007" s="1" t="n">
        <v>46307</v>
      </c>
      <c r="F2007" t="inlineStr">
        <is>
          <t>VÄRMLANDS LÄN</t>
        </is>
      </c>
      <c r="G2007" t="inlineStr">
        <is>
          <t>ÅRJÄNG</t>
        </is>
      </c>
      <c r="I2007" t="n">
        <v>0.7</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21184-2023</t>
        </is>
      </c>
      <c r="B2008" t="inlineStr">
        <is>
          <t>avverkningsanmälan</t>
        </is>
      </c>
      <c r="C2008" t="inlineStr">
        <is>
          <t>Föryngringsavverkning</t>
        </is>
      </c>
      <c r="D2008" s="1" t="n">
        <v>45062</v>
      </c>
      <c r="E2008" s="1" t="n">
        <v>46307</v>
      </c>
      <c r="F2008" t="inlineStr">
        <is>
          <t>VÄRMLANDS LÄN</t>
        </is>
      </c>
      <c r="G2008" t="inlineStr">
        <is>
          <t>SÄFFLE</t>
        </is>
      </c>
      <c r="I2008" t="n">
        <v>7.6</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13895-2024</t>
        </is>
      </c>
      <c r="B2009" t="inlineStr">
        <is>
          <t>avverkningsanmälan</t>
        </is>
      </c>
      <c r="C2009" t="inlineStr">
        <is>
          <t>Föryngringsavverkning</t>
        </is>
      </c>
      <c r="D2009" s="1" t="n">
        <v>45391</v>
      </c>
      <c r="E2009" s="1" t="n">
        <v>46307</v>
      </c>
      <c r="F2009" t="inlineStr">
        <is>
          <t>VÄRMLANDS LÄN</t>
        </is>
      </c>
      <c r="G2009" t="inlineStr">
        <is>
          <t>GRUMS</t>
        </is>
      </c>
      <c r="H2009" t="inlineStr">
        <is>
          <t>Bergvik skog väst AB</t>
        </is>
      </c>
      <c r="I2009" t="n">
        <v>3.9</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58956-2022</t>
        </is>
      </c>
      <c r="B2010" t="inlineStr">
        <is>
          <t>avverkningsanmälan</t>
        </is>
      </c>
      <c r="C2010" t="inlineStr">
        <is>
          <t>Föryngringsavverkning</t>
        </is>
      </c>
      <c r="D2010" s="1" t="n">
        <v>44903</v>
      </c>
      <c r="E2010" s="1" t="n">
        <v>46307</v>
      </c>
      <c r="F2010" t="inlineStr">
        <is>
          <t>VÄRMLANDS LÄN</t>
        </is>
      </c>
      <c r="G2010" t="inlineStr">
        <is>
          <t>TORSBY</t>
        </is>
      </c>
      <c r="I2010" t="n">
        <v>3.5</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23871-2023</t>
        </is>
      </c>
      <c r="B2011" t="inlineStr">
        <is>
          <t>avverkningsanmälan</t>
        </is>
      </c>
      <c r="C2011" t="inlineStr">
        <is>
          <t>Föryngringsavverkning</t>
        </is>
      </c>
      <c r="D2011" s="1" t="n">
        <v>45078</v>
      </c>
      <c r="E2011" s="1" t="n">
        <v>46307</v>
      </c>
      <c r="F2011" t="inlineStr">
        <is>
          <t>VÄRMLANDS LÄN</t>
        </is>
      </c>
      <c r="G2011" t="inlineStr">
        <is>
          <t>ÅRJÄNG</t>
        </is>
      </c>
      <c r="I2011" t="n">
        <v>4</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21258-2023</t>
        </is>
      </c>
      <c r="B2012" t="inlineStr">
        <is>
          <t>avverkningsanmälan</t>
        </is>
      </c>
      <c r="C2012" t="inlineStr">
        <is>
          <t>Föryngringsavverkning</t>
        </is>
      </c>
      <c r="D2012" s="1" t="n">
        <v>45058</v>
      </c>
      <c r="E2012" s="1" t="n">
        <v>46307</v>
      </c>
      <c r="F2012" t="inlineStr">
        <is>
          <t>VÄRMLANDS LÄN</t>
        </is>
      </c>
      <c r="G2012" t="inlineStr">
        <is>
          <t>TORSBY</t>
        </is>
      </c>
      <c r="I2012" t="n">
        <v>1.9</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14874-2025</t>
        </is>
      </c>
      <c r="B2013" t="inlineStr">
        <is>
          <t>avverkningsanmälan</t>
        </is>
      </c>
      <c r="C2013" t="inlineStr">
        <is>
          <t>Föryngringsavverkning</t>
        </is>
      </c>
      <c r="D2013" s="1" t="n">
        <v>45743</v>
      </c>
      <c r="E2013" s="1" t="n">
        <v>46307</v>
      </c>
      <c r="F2013" t="inlineStr">
        <is>
          <t>VÄRMLANDS LÄN</t>
        </is>
      </c>
      <c r="G2013" t="inlineStr">
        <is>
          <t>SUNNE</t>
        </is>
      </c>
      <c r="I2013" t="n">
        <v>0.7</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46317-2024</t>
        </is>
      </c>
      <c r="B2014" t="inlineStr">
        <is>
          <t>avverkningsanmälan</t>
        </is>
      </c>
      <c r="C2014" t="inlineStr">
        <is>
          <t>Föryngringsavverkning</t>
        </is>
      </c>
      <c r="D2014" s="1" t="n">
        <v>45581</v>
      </c>
      <c r="E2014" s="1" t="n">
        <v>46307</v>
      </c>
      <c r="F2014" t="inlineStr">
        <is>
          <t>VÄRMLANDS LÄN</t>
        </is>
      </c>
      <c r="G2014" t="inlineStr">
        <is>
          <t>ÅRJÄNG</t>
        </is>
      </c>
      <c r="I2014" t="n">
        <v>3.5</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26818-2023</t>
        </is>
      </c>
      <c r="B2015" t="inlineStr">
        <is>
          <t>avverkningsanmälan</t>
        </is>
      </c>
      <c r="C2015" t="inlineStr">
        <is>
          <t>Föryngringsavverkning</t>
        </is>
      </c>
      <c r="D2015" s="1" t="n">
        <v>45090</v>
      </c>
      <c r="E2015" s="1" t="n">
        <v>46307</v>
      </c>
      <c r="F2015" t="inlineStr">
        <is>
          <t>VÄRMLANDS LÄN</t>
        </is>
      </c>
      <c r="G2015" t="inlineStr">
        <is>
          <t>EDA</t>
        </is>
      </c>
      <c r="I2015" t="n">
        <v>2.7</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4998-2024</t>
        </is>
      </c>
      <c r="B2016" t="inlineStr">
        <is>
          <t>avverkningsanmälan</t>
        </is>
      </c>
      <c r="C2016" t="inlineStr">
        <is>
          <t>Föryngringsavverkning</t>
        </is>
      </c>
      <c r="D2016" s="1" t="n">
        <v>45329</v>
      </c>
      <c r="E2016" s="1" t="n">
        <v>46307</v>
      </c>
      <c r="F2016" t="inlineStr">
        <is>
          <t>VÄRMLANDS LÄN</t>
        </is>
      </c>
      <c r="G2016" t="inlineStr">
        <is>
          <t>STORFORS</t>
        </is>
      </c>
      <c r="I2016" t="n">
        <v>0.9</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21593-2023</t>
        </is>
      </c>
      <c r="B2017" t="inlineStr">
        <is>
          <t>avverkningsanmälan</t>
        </is>
      </c>
      <c r="C2017" t="inlineStr">
        <is>
          <t>Föryngringsavverkning</t>
        </is>
      </c>
      <c r="D2017" s="1" t="n">
        <v>45063</v>
      </c>
      <c r="E2017" s="1" t="n">
        <v>46307</v>
      </c>
      <c r="F2017" t="inlineStr">
        <is>
          <t>VÄRMLANDS LÄN</t>
        </is>
      </c>
      <c r="G2017" t="inlineStr">
        <is>
          <t>FILIPSTAD</t>
        </is>
      </c>
      <c r="I2017" t="n">
        <v>5.5</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26815-2023</t>
        </is>
      </c>
      <c r="B2018" t="inlineStr">
        <is>
          <t>avverkningsanmälan</t>
        </is>
      </c>
      <c r="C2018" t="inlineStr">
        <is>
          <t>Föryngringsavverkning</t>
        </is>
      </c>
      <c r="D2018" s="1" t="n">
        <v>45093</v>
      </c>
      <c r="E2018" s="1" t="n">
        <v>46307</v>
      </c>
      <c r="F2018" t="inlineStr">
        <is>
          <t>VÄRMLANDS LÄN</t>
        </is>
      </c>
      <c r="G2018" t="inlineStr">
        <is>
          <t>GRUMS</t>
        </is>
      </c>
      <c r="I2018" t="n">
        <v>1.1</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17686-2023</t>
        </is>
      </c>
      <c r="B2019" t="inlineStr">
        <is>
          <t>avverkningsanmälan</t>
        </is>
      </c>
      <c r="C2019" t="inlineStr">
        <is>
          <t>Föryngringsavverkning</t>
        </is>
      </c>
      <c r="D2019" s="1" t="n">
        <v>45037</v>
      </c>
      <c r="E2019" s="1" t="n">
        <v>46307</v>
      </c>
      <c r="F2019" t="inlineStr">
        <is>
          <t>VÄRMLANDS LÄN</t>
        </is>
      </c>
      <c r="G2019" t="inlineStr">
        <is>
          <t>FILIPSTAD</t>
        </is>
      </c>
      <c r="I2019" t="n">
        <v>3</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47608-2023</t>
        </is>
      </c>
      <c r="B2020" t="inlineStr">
        <is>
          <t>avverkningsanmälan</t>
        </is>
      </c>
      <c r="C2020" t="inlineStr">
        <is>
          <t>Föryngringsavverkning</t>
        </is>
      </c>
      <c r="D2020" s="1" t="n">
        <v>45203</v>
      </c>
      <c r="E2020" s="1" t="n">
        <v>46307</v>
      </c>
      <c r="F2020" t="inlineStr">
        <is>
          <t>VÄRMLANDS LÄN</t>
        </is>
      </c>
      <c r="G2020" t="inlineStr">
        <is>
          <t>KARLSTAD</t>
        </is>
      </c>
      <c r="I2020" t="n">
        <v>0.6</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57441-2022</t>
        </is>
      </c>
      <c r="B2021" t="inlineStr">
        <is>
          <t>avverkningsanmälan</t>
        </is>
      </c>
      <c r="C2021" t="inlineStr">
        <is>
          <t>Föryngringsavverkning</t>
        </is>
      </c>
      <c r="D2021" s="1" t="n">
        <v>44896</v>
      </c>
      <c r="E2021" s="1" t="n">
        <v>46307</v>
      </c>
      <c r="F2021" t="inlineStr">
        <is>
          <t>VÄRMLANDS LÄN</t>
        </is>
      </c>
      <c r="G2021" t="inlineStr">
        <is>
          <t>KARLSTAD</t>
        </is>
      </c>
      <c r="I2021" t="n">
        <v>1.6</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36050-2023</t>
        </is>
      </c>
      <c r="B2022" t="inlineStr">
        <is>
          <t>avverkningsanmälan</t>
        </is>
      </c>
      <c r="C2022" t="inlineStr">
        <is>
          <t>Föryngringsavverkning</t>
        </is>
      </c>
      <c r="D2022" s="1" t="n">
        <v>45149</v>
      </c>
      <c r="E2022" s="1" t="n">
        <v>46307</v>
      </c>
      <c r="F2022" t="inlineStr">
        <is>
          <t>VÄRMLANDS LÄN</t>
        </is>
      </c>
      <c r="G2022" t="inlineStr">
        <is>
          <t>TORSBY</t>
        </is>
      </c>
      <c r="H2022" t="inlineStr">
        <is>
          <t>Kommuner</t>
        </is>
      </c>
      <c r="I2022" t="n">
        <v>0.7</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58070-2021</t>
        </is>
      </c>
      <c r="B2023" t="inlineStr">
        <is>
          <t>avverkningsanmälan</t>
        </is>
      </c>
      <c r="C2023" t="inlineStr">
        <is>
          <t>Föryngringsavverkning</t>
        </is>
      </c>
      <c r="D2023" s="1" t="n">
        <v>44487</v>
      </c>
      <c r="E2023" s="1" t="n">
        <v>46307</v>
      </c>
      <c r="F2023" t="inlineStr">
        <is>
          <t>VÄRMLANDS LÄN</t>
        </is>
      </c>
      <c r="G2023" t="inlineStr">
        <is>
          <t>SÄFFLE</t>
        </is>
      </c>
      <c r="I2023" t="n">
        <v>4</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691-2024</t>
        </is>
      </c>
      <c r="B2024" t="inlineStr">
        <is>
          <t>avverkningsanmälan</t>
        </is>
      </c>
      <c r="C2024" t="inlineStr">
        <is>
          <t>Föryngringsavverkning</t>
        </is>
      </c>
      <c r="D2024" s="1" t="n">
        <v>45300</v>
      </c>
      <c r="E2024" s="1" t="n">
        <v>46307</v>
      </c>
      <c r="F2024" t="inlineStr">
        <is>
          <t>VÄRMLANDS LÄN</t>
        </is>
      </c>
      <c r="G2024" t="inlineStr">
        <is>
          <t>ARVIKA</t>
        </is>
      </c>
      <c r="I2024" t="n">
        <v>0.5</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17124-2024</t>
        </is>
      </c>
      <c r="B2025" t="inlineStr">
        <is>
          <t>avverkningsanmälan</t>
        </is>
      </c>
      <c r="C2025" t="inlineStr">
        <is>
          <t>Föryngringsavverkning</t>
        </is>
      </c>
      <c r="D2025" s="1" t="n">
        <v>45412</v>
      </c>
      <c r="E2025" s="1" t="n">
        <v>46307</v>
      </c>
      <c r="F2025" t="inlineStr">
        <is>
          <t>VÄRMLANDS LÄN</t>
        </is>
      </c>
      <c r="G2025" t="inlineStr">
        <is>
          <t>SUNNE</t>
        </is>
      </c>
      <c r="I2025" t="n">
        <v>0.7</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13187-2025</t>
        </is>
      </c>
      <c r="B2026" t="inlineStr">
        <is>
          <t>avverkningsanmälan</t>
        </is>
      </c>
      <c r="C2026" t="inlineStr">
        <is>
          <t>Föryngringsavverkning</t>
        </is>
      </c>
      <c r="D2026" s="1" t="n">
        <v>45735</v>
      </c>
      <c r="E2026" s="1" t="n">
        <v>46307</v>
      </c>
      <c r="F2026" t="inlineStr">
        <is>
          <t>VÄRMLANDS LÄN</t>
        </is>
      </c>
      <c r="G2026" t="inlineStr">
        <is>
          <t>ARVIKA</t>
        </is>
      </c>
      <c r="H2026" t="inlineStr">
        <is>
          <t>Bergvik skog väst AB</t>
        </is>
      </c>
      <c r="I2026" t="n">
        <v>0.6</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2371-2025</t>
        </is>
      </c>
      <c r="B2027" t="inlineStr">
        <is>
          <t>avverkningsanmälan</t>
        </is>
      </c>
      <c r="C2027" t="inlineStr">
        <is>
          <t>Föryngringsavverkning</t>
        </is>
      </c>
      <c r="D2027" s="1" t="n">
        <v>45673</v>
      </c>
      <c r="E2027" s="1" t="n">
        <v>46307</v>
      </c>
      <c r="F2027" t="inlineStr">
        <is>
          <t>VÄRMLANDS LÄN</t>
        </is>
      </c>
      <c r="G2027" t="inlineStr">
        <is>
          <t>HAGFORS</t>
        </is>
      </c>
      <c r="I2027" t="n">
        <v>4.9</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18014-2024</t>
        </is>
      </c>
      <c r="B2028" t="inlineStr">
        <is>
          <t>avverkningsanmälan</t>
        </is>
      </c>
      <c r="C2028" t="inlineStr">
        <is>
          <t>Föryngringsavverkning</t>
        </is>
      </c>
      <c r="D2028" s="1" t="n">
        <v>45419</v>
      </c>
      <c r="E2028" s="1" t="n">
        <v>46307</v>
      </c>
      <c r="F2028" t="inlineStr">
        <is>
          <t>VÄRMLANDS LÄN</t>
        </is>
      </c>
      <c r="G2028" t="inlineStr">
        <is>
          <t>HAGFORS</t>
        </is>
      </c>
      <c r="H2028" t="inlineStr">
        <is>
          <t>Bergvik skog väst AB</t>
        </is>
      </c>
      <c r="I2028" t="n">
        <v>5.2</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20413-2025</t>
        </is>
      </c>
      <c r="B2029" t="inlineStr">
        <is>
          <t>avverkningsanmälan</t>
        </is>
      </c>
      <c r="C2029" t="inlineStr">
        <is>
          <t>Föryngringsavverkning</t>
        </is>
      </c>
      <c r="D2029" s="1" t="n">
        <v>45775</v>
      </c>
      <c r="E2029" s="1" t="n">
        <v>46307</v>
      </c>
      <c r="F2029" t="inlineStr">
        <is>
          <t>VÄRMLANDS LÄN</t>
        </is>
      </c>
      <c r="G2029" t="inlineStr">
        <is>
          <t>EDA</t>
        </is>
      </c>
      <c r="I2029" t="n">
        <v>0.9</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45473-2023</t>
        </is>
      </c>
      <c r="B2030" t="inlineStr">
        <is>
          <t>avverkningsanmälan</t>
        </is>
      </c>
      <c r="C2030" t="inlineStr">
        <is>
          <t>Föryngringsavverkning</t>
        </is>
      </c>
      <c r="D2030" s="1" t="n">
        <v>45188</v>
      </c>
      <c r="E2030" s="1" t="n">
        <v>46307</v>
      </c>
      <c r="F2030" t="inlineStr">
        <is>
          <t>VÄRMLANDS LÄN</t>
        </is>
      </c>
      <c r="G2030" t="inlineStr">
        <is>
          <t>SUNNE</t>
        </is>
      </c>
      <c r="I2030" t="n">
        <v>5</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8825-2025</t>
        </is>
      </c>
      <c r="B2031" t="inlineStr">
        <is>
          <t>avverkningsanmälan</t>
        </is>
      </c>
      <c r="C2031" t="inlineStr">
        <is>
          <t>Föryngringsavverkning</t>
        </is>
      </c>
      <c r="D2031" s="1" t="n">
        <v>45712</v>
      </c>
      <c r="E2031" s="1" t="n">
        <v>46307</v>
      </c>
      <c r="F2031" t="inlineStr">
        <is>
          <t>VÄRMLANDS LÄN</t>
        </is>
      </c>
      <c r="G2031" t="inlineStr">
        <is>
          <t>ARVIKA</t>
        </is>
      </c>
      <c r="I2031" t="n">
        <v>8.1</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8826-2025</t>
        </is>
      </c>
      <c r="B2032" t="inlineStr">
        <is>
          <t>avverkningsanmälan</t>
        </is>
      </c>
      <c r="C2032" t="inlineStr">
        <is>
          <t>Föryngringsavverkning</t>
        </is>
      </c>
      <c r="D2032" s="1" t="n">
        <v>45712</v>
      </c>
      <c r="E2032" s="1" t="n">
        <v>46307</v>
      </c>
      <c r="F2032" t="inlineStr">
        <is>
          <t>VÄRMLANDS LÄN</t>
        </is>
      </c>
      <c r="G2032" t="inlineStr">
        <is>
          <t>SÄFFLE</t>
        </is>
      </c>
      <c r="H2032" t="inlineStr">
        <is>
          <t>Kommuner</t>
        </is>
      </c>
      <c r="I2032" t="n">
        <v>1.6</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38023-2023</t>
        </is>
      </c>
      <c r="B2033" t="inlineStr">
        <is>
          <t>avverkningsanmälan</t>
        </is>
      </c>
      <c r="C2033" t="inlineStr">
        <is>
          <t>Föryngringsavverkning</t>
        </is>
      </c>
      <c r="D2033" s="1" t="n">
        <v>45160</v>
      </c>
      <c r="E2033" s="1" t="n">
        <v>46307</v>
      </c>
      <c r="F2033" t="inlineStr">
        <is>
          <t>VÄRMLANDS LÄN</t>
        </is>
      </c>
      <c r="G2033" t="inlineStr">
        <is>
          <t>KARLSTAD</t>
        </is>
      </c>
      <c r="I2033" t="n">
        <v>7.3</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38086-2023</t>
        </is>
      </c>
      <c r="B2034" t="inlineStr">
        <is>
          <t>avverkningsanmälan</t>
        </is>
      </c>
      <c r="C2034" t="inlineStr">
        <is>
          <t>Föryngringsavverkning</t>
        </is>
      </c>
      <c r="D2034" s="1" t="n">
        <v>45160</v>
      </c>
      <c r="E2034" s="1" t="n">
        <v>46307</v>
      </c>
      <c r="F2034" t="inlineStr">
        <is>
          <t>VÄRMLANDS LÄN</t>
        </is>
      </c>
      <c r="G2034" t="inlineStr">
        <is>
          <t>TORSBY</t>
        </is>
      </c>
      <c r="I2034" t="n">
        <v>6.2</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8831-2025</t>
        </is>
      </c>
      <c r="B2035" t="inlineStr">
        <is>
          <t>avverkningsanmälan</t>
        </is>
      </c>
      <c r="C2035" t="inlineStr">
        <is>
          <t>Föryngringsavverkning</t>
        </is>
      </c>
      <c r="D2035" s="1" t="n">
        <v>45712</v>
      </c>
      <c r="E2035" s="1" t="n">
        <v>46307</v>
      </c>
      <c r="F2035" t="inlineStr">
        <is>
          <t>VÄRMLANDS LÄN</t>
        </is>
      </c>
      <c r="G2035" t="inlineStr">
        <is>
          <t>ÅRJÄNG</t>
        </is>
      </c>
      <c r="I2035" t="n">
        <v>32.9</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8834-2025</t>
        </is>
      </c>
      <c r="B2036" t="inlineStr">
        <is>
          <t>avverkningsanmälan</t>
        </is>
      </c>
      <c r="C2036" t="inlineStr">
        <is>
          <t>Föryngringsavverkning</t>
        </is>
      </c>
      <c r="D2036" s="1" t="n">
        <v>45712</v>
      </c>
      <c r="E2036" s="1" t="n">
        <v>46307</v>
      </c>
      <c r="F2036" t="inlineStr">
        <is>
          <t>VÄRMLANDS LÄN</t>
        </is>
      </c>
      <c r="G2036" t="inlineStr">
        <is>
          <t>ÅRJÄNG</t>
        </is>
      </c>
      <c r="I2036" t="n">
        <v>2.2</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8842-2025</t>
        </is>
      </c>
      <c r="B2037" t="inlineStr">
        <is>
          <t>avverkningsanmälan</t>
        </is>
      </c>
      <c r="C2037" t="inlineStr">
        <is>
          <t>Föryngringsavverkning</t>
        </is>
      </c>
      <c r="D2037" s="1" t="n">
        <v>45713</v>
      </c>
      <c r="E2037" s="1" t="n">
        <v>46307</v>
      </c>
      <c r="F2037" t="inlineStr">
        <is>
          <t>VÄRMLANDS LÄN</t>
        </is>
      </c>
      <c r="G2037" t="inlineStr">
        <is>
          <t>HAGFORS</t>
        </is>
      </c>
      <c r="H2037" t="inlineStr">
        <is>
          <t>Bergvik skog väst AB</t>
        </is>
      </c>
      <c r="I2037" t="n">
        <v>1.1</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34434-2022</t>
        </is>
      </c>
      <c r="B2038" t="inlineStr">
        <is>
          <t>avverkningsanmälan</t>
        </is>
      </c>
      <c r="C2038" t="inlineStr">
        <is>
          <t>Föryngringsavverkning</t>
        </is>
      </c>
      <c r="D2038" s="1" t="n">
        <v>44792</v>
      </c>
      <c r="E2038" s="1" t="n">
        <v>46307</v>
      </c>
      <c r="F2038" t="inlineStr">
        <is>
          <t>VÄRMLANDS LÄN</t>
        </is>
      </c>
      <c r="G2038" t="inlineStr">
        <is>
          <t>TORSBY</t>
        </is>
      </c>
      <c r="I2038" t="n">
        <v>4.6</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38107-2023</t>
        </is>
      </c>
      <c r="B2039" t="inlineStr">
        <is>
          <t>avverkningsanmälan</t>
        </is>
      </c>
      <c r="C2039" t="inlineStr">
        <is>
          <t>Föryngringsavverkning</t>
        </is>
      </c>
      <c r="D2039" s="1" t="n">
        <v>45161</v>
      </c>
      <c r="E2039" s="1" t="n">
        <v>46307</v>
      </c>
      <c r="F2039" t="inlineStr">
        <is>
          <t>VÄRMLANDS LÄN</t>
        </is>
      </c>
      <c r="G2039" t="inlineStr">
        <is>
          <t>ARVIKA</t>
        </is>
      </c>
      <c r="I2039" t="n">
        <v>1.7</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38108-2023</t>
        </is>
      </c>
      <c r="B2040" t="inlineStr">
        <is>
          <t>avverkningsanmälan</t>
        </is>
      </c>
      <c r="C2040" t="inlineStr">
        <is>
          <t>Föryngringsavverkning</t>
        </is>
      </c>
      <c r="D2040" s="1" t="n">
        <v>45161</v>
      </c>
      <c r="E2040" s="1" t="n">
        <v>46307</v>
      </c>
      <c r="F2040" t="inlineStr">
        <is>
          <t>VÄRMLANDS LÄN</t>
        </is>
      </c>
      <c r="G2040" t="inlineStr">
        <is>
          <t>EDA</t>
        </is>
      </c>
      <c r="I2040" t="n">
        <v>5.1</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48984-2022</t>
        </is>
      </c>
      <c r="B2041" t="inlineStr">
        <is>
          <t>avverkningsanmälan</t>
        </is>
      </c>
      <c r="C2041" t="inlineStr">
        <is>
          <t>Föryngringsavverkning</t>
        </is>
      </c>
      <c r="D2041" s="1" t="n">
        <v>44855</v>
      </c>
      <c r="E2041" s="1" t="n">
        <v>46307</v>
      </c>
      <c r="F2041" t="inlineStr">
        <is>
          <t>VÄRMLANDS LÄN</t>
        </is>
      </c>
      <c r="G2041" t="inlineStr">
        <is>
          <t>KARLSTAD</t>
        </is>
      </c>
      <c r="I2041" t="n">
        <v>7.2</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69340-2021</t>
        </is>
      </c>
      <c r="B2042" t="inlineStr">
        <is>
          <t>avverkningsanmälan</t>
        </is>
      </c>
      <c r="C2042" t="inlineStr">
        <is>
          <t>Föryngringsavverkning</t>
        </is>
      </c>
      <c r="D2042" s="1" t="n">
        <v>44531</v>
      </c>
      <c r="E2042" s="1" t="n">
        <v>46307</v>
      </c>
      <c r="F2042" t="inlineStr">
        <is>
          <t>VÄRMLANDS LÄN</t>
        </is>
      </c>
      <c r="G2042" t="inlineStr">
        <is>
          <t>ARVIKA</t>
        </is>
      </c>
      <c r="I2042" t="n">
        <v>2.4</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18169-2025</t>
        </is>
      </c>
      <c r="B2043" t="inlineStr">
        <is>
          <t>avverkningsanmälan</t>
        </is>
      </c>
      <c r="C2043" t="inlineStr">
        <is>
          <t>Föryngringsavverkning</t>
        </is>
      </c>
      <c r="D2043" s="1" t="n">
        <v>45761</v>
      </c>
      <c r="E2043" s="1" t="n">
        <v>46307</v>
      </c>
      <c r="F2043" t="inlineStr">
        <is>
          <t>VÄRMLANDS LÄN</t>
        </is>
      </c>
      <c r="G2043" t="inlineStr">
        <is>
          <t>KARLSTAD</t>
        </is>
      </c>
      <c r="I2043" t="n">
        <v>2.3</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18171-2025</t>
        </is>
      </c>
      <c r="B2044" t="inlineStr">
        <is>
          <t>avverkningsanmälan</t>
        </is>
      </c>
      <c r="C2044" t="inlineStr">
        <is>
          <t>Föryngringsavverkning</t>
        </is>
      </c>
      <c r="D2044" s="1" t="n">
        <v>45761</v>
      </c>
      <c r="E2044" s="1" t="n">
        <v>46307</v>
      </c>
      <c r="F2044" t="inlineStr">
        <is>
          <t>VÄRMLANDS LÄN</t>
        </is>
      </c>
      <c r="G2044" t="inlineStr">
        <is>
          <t>SUNNE</t>
        </is>
      </c>
      <c r="H2044" t="inlineStr">
        <is>
          <t>Bergvik skog väst AB</t>
        </is>
      </c>
      <c r="I2044" t="n">
        <v>7.5</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15237-2025</t>
        </is>
      </c>
      <c r="B2045" t="inlineStr">
        <is>
          <t>avverkningsanmälan</t>
        </is>
      </c>
      <c r="C2045" t="inlineStr">
        <is>
          <t>Föryngringsavverkning</t>
        </is>
      </c>
      <c r="D2045" s="1" t="n">
        <v>45744</v>
      </c>
      <c r="E2045" s="1" t="n">
        <v>46307</v>
      </c>
      <c r="F2045" t="inlineStr">
        <is>
          <t>VÄRMLANDS LÄN</t>
        </is>
      </c>
      <c r="G2045" t="inlineStr">
        <is>
          <t>ÅRJÄNG</t>
        </is>
      </c>
      <c r="I2045" t="n">
        <v>29.5</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54611-2024</t>
        </is>
      </c>
      <c r="B2046" t="inlineStr">
        <is>
          <t>avverkningsanmälan</t>
        </is>
      </c>
      <c r="C2046" t="inlineStr">
        <is>
          <t>Föryngringsavverkning</t>
        </is>
      </c>
      <c r="D2046" s="1" t="n">
        <v>45617</v>
      </c>
      <c r="E2046" s="1" t="n">
        <v>46307</v>
      </c>
      <c r="F2046" t="inlineStr">
        <is>
          <t>VÄRMLANDS LÄN</t>
        </is>
      </c>
      <c r="G2046" t="inlineStr">
        <is>
          <t>KARLSTAD</t>
        </is>
      </c>
      <c r="I2046" t="n">
        <v>0.6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37852-2023</t>
        </is>
      </c>
      <c r="B2047" t="inlineStr">
        <is>
          <t>avverkningsanmälan</t>
        </is>
      </c>
      <c r="C2047" t="inlineStr">
        <is>
          <t>Föryngringsavverkning</t>
        </is>
      </c>
      <c r="D2047" s="1" t="n">
        <v>45158</v>
      </c>
      <c r="E2047" s="1" t="n">
        <v>46307</v>
      </c>
      <c r="F2047" t="inlineStr">
        <is>
          <t>VÄRMLANDS LÄN</t>
        </is>
      </c>
      <c r="G2047" t="inlineStr">
        <is>
          <t>ARVIKA</t>
        </is>
      </c>
      <c r="I2047" t="n">
        <v>0.9</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20721-2023</t>
        </is>
      </c>
      <c r="B2048" t="inlineStr">
        <is>
          <t>avverkningsanmälan</t>
        </is>
      </c>
      <c r="C2048" t="inlineStr">
        <is>
          <t>Föryngringsavverkning</t>
        </is>
      </c>
      <c r="D2048" s="1" t="n">
        <v>45058</v>
      </c>
      <c r="E2048" s="1" t="n">
        <v>46307</v>
      </c>
      <c r="F2048" t="inlineStr">
        <is>
          <t>VÄRMLANDS LÄN</t>
        </is>
      </c>
      <c r="G2048" t="inlineStr">
        <is>
          <t>TORSBY</t>
        </is>
      </c>
      <c r="I2048" t="n">
        <v>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68000-2021</t>
        </is>
      </c>
      <c r="B2049" t="inlineStr">
        <is>
          <t>avverkningsanmälan</t>
        </is>
      </c>
      <c r="C2049" t="inlineStr">
        <is>
          <t>Föryngringsavverkning</t>
        </is>
      </c>
      <c r="D2049" s="1" t="n">
        <v>44525</v>
      </c>
      <c r="E2049" s="1" t="n">
        <v>46307</v>
      </c>
      <c r="F2049" t="inlineStr">
        <is>
          <t>VÄRMLANDS LÄN</t>
        </is>
      </c>
      <c r="G2049" t="inlineStr">
        <is>
          <t>SUNNE</t>
        </is>
      </c>
      <c r="I2049" t="n">
        <v>1.1</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20081-2025</t>
        </is>
      </c>
      <c r="B2050" t="inlineStr">
        <is>
          <t>avverkningsanmälan</t>
        </is>
      </c>
      <c r="C2050" t="inlineStr">
        <is>
          <t>Föryngringsavverkning</t>
        </is>
      </c>
      <c r="D2050" s="1" t="n">
        <v>45772</v>
      </c>
      <c r="E2050" s="1" t="n">
        <v>46307</v>
      </c>
      <c r="F2050" t="inlineStr">
        <is>
          <t>VÄRMLANDS LÄN</t>
        </is>
      </c>
      <c r="G2050" t="inlineStr">
        <is>
          <t>HAGFORS</t>
        </is>
      </c>
      <c r="H2050" t="inlineStr">
        <is>
          <t>Bergvik skog väst AB</t>
        </is>
      </c>
      <c r="I2050" t="n">
        <v>0.5</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67203-2021</t>
        </is>
      </c>
      <c r="B2051" t="inlineStr">
        <is>
          <t>avverkningsanmälan</t>
        </is>
      </c>
      <c r="C2051" t="inlineStr">
        <is>
          <t>Föryngringsavverkning</t>
        </is>
      </c>
      <c r="D2051" s="1" t="n">
        <v>44523</v>
      </c>
      <c r="E2051" s="1" t="n">
        <v>46307</v>
      </c>
      <c r="F2051" t="inlineStr">
        <is>
          <t>VÄRMLANDS LÄN</t>
        </is>
      </c>
      <c r="G2051" t="inlineStr">
        <is>
          <t>SÄFFLE</t>
        </is>
      </c>
      <c r="I2051" t="n">
        <v>0.6</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2157-2023</t>
        </is>
      </c>
      <c r="B2052" t="inlineStr">
        <is>
          <t>avverkningsanmälan</t>
        </is>
      </c>
      <c r="C2052" t="inlineStr">
        <is>
          <t>Föryngringsavverkning</t>
        </is>
      </c>
      <c r="D2052" s="1" t="n">
        <v>44941</v>
      </c>
      <c r="E2052" s="1" t="n">
        <v>46307</v>
      </c>
      <c r="F2052" t="inlineStr">
        <is>
          <t>VÄRMLANDS LÄN</t>
        </is>
      </c>
      <c r="G2052" t="inlineStr">
        <is>
          <t>ARVIKA</t>
        </is>
      </c>
      <c r="I2052" t="n">
        <v>5.5</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36305-2022</t>
        </is>
      </c>
      <c r="B2053" t="inlineStr">
        <is>
          <t>avverkningsanmälan</t>
        </is>
      </c>
      <c r="C2053" t="inlineStr">
        <is>
          <t>Föryngringsavverkning</t>
        </is>
      </c>
      <c r="D2053" s="1" t="n">
        <v>44803</v>
      </c>
      <c r="E2053" s="1" t="n">
        <v>46307</v>
      </c>
      <c r="F2053" t="inlineStr">
        <is>
          <t>VÄRMLANDS LÄN</t>
        </is>
      </c>
      <c r="G2053" t="inlineStr">
        <is>
          <t>KIL</t>
        </is>
      </c>
      <c r="I2053" t="n">
        <v>2.3</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36310-2022</t>
        </is>
      </c>
      <c r="B2054" t="inlineStr">
        <is>
          <t>avverkningsanmälan</t>
        </is>
      </c>
      <c r="C2054" t="inlineStr">
        <is>
          <t>Föryngringsavverkning</t>
        </is>
      </c>
      <c r="D2054" s="1" t="n">
        <v>44803</v>
      </c>
      <c r="E2054" s="1" t="n">
        <v>46307</v>
      </c>
      <c r="F2054" t="inlineStr">
        <is>
          <t>VÄRMLANDS LÄN</t>
        </is>
      </c>
      <c r="G2054" t="inlineStr">
        <is>
          <t>SUNNE</t>
        </is>
      </c>
      <c r="I2054" t="n">
        <v>3.1</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60761-2022</t>
        </is>
      </c>
      <c r="B2055" t="inlineStr">
        <is>
          <t>avverkningsanmälan</t>
        </is>
      </c>
      <c r="C2055" t="inlineStr">
        <is>
          <t>Föryngringsavverkning</t>
        </is>
      </c>
      <c r="D2055" s="1" t="n">
        <v>44914</v>
      </c>
      <c r="E2055" s="1" t="n">
        <v>46307</v>
      </c>
      <c r="F2055" t="inlineStr">
        <is>
          <t>VÄRMLANDS LÄN</t>
        </is>
      </c>
      <c r="G2055" t="inlineStr">
        <is>
          <t>SUNNE</t>
        </is>
      </c>
      <c r="I2055" t="n">
        <v>12.1</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19994-2025</t>
        </is>
      </c>
      <c r="B2056" t="inlineStr">
        <is>
          <t>avverkningsanmälan</t>
        </is>
      </c>
      <c r="C2056" t="inlineStr">
        <is>
          <t>Föryngringsavverkning</t>
        </is>
      </c>
      <c r="D2056" s="1" t="n">
        <v>45771</v>
      </c>
      <c r="E2056" s="1" t="n">
        <v>46307</v>
      </c>
      <c r="F2056" t="inlineStr">
        <is>
          <t>VÄRMLANDS LÄN</t>
        </is>
      </c>
      <c r="G2056" t="inlineStr">
        <is>
          <t>MUNKFORS</t>
        </is>
      </c>
      <c r="I2056" t="n">
        <v>0.9</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14197-2025</t>
        </is>
      </c>
      <c r="B2057" t="inlineStr">
        <is>
          <t>avverkningsanmälan</t>
        </is>
      </c>
      <c r="C2057" t="inlineStr">
        <is>
          <t>Föryngringsavverkning</t>
        </is>
      </c>
      <c r="D2057" s="1" t="n">
        <v>45740</v>
      </c>
      <c r="E2057" s="1" t="n">
        <v>46307</v>
      </c>
      <c r="F2057" t="inlineStr">
        <is>
          <t>VÄRMLANDS LÄN</t>
        </is>
      </c>
      <c r="G2057" t="inlineStr">
        <is>
          <t>SÄFFLE</t>
        </is>
      </c>
      <c r="H2057" t="inlineStr">
        <is>
          <t>Bergvik skog väst AB</t>
        </is>
      </c>
      <c r="I2057" t="n">
        <v>1.3</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49295-2023</t>
        </is>
      </c>
      <c r="B2058" t="inlineStr">
        <is>
          <t>avverkningsanmälan</t>
        </is>
      </c>
      <c r="C2058" t="inlineStr">
        <is>
          <t>Avverkning för annat ändamål</t>
        </is>
      </c>
      <c r="D2058" s="1" t="n">
        <v>45210</v>
      </c>
      <c r="E2058" s="1" t="n">
        <v>46307</v>
      </c>
      <c r="F2058" t="inlineStr">
        <is>
          <t>VÄRMLANDS LÄN</t>
        </is>
      </c>
      <c r="G2058" t="inlineStr">
        <is>
          <t>ARVIKA</t>
        </is>
      </c>
      <c r="I2058" t="n">
        <v>0.2</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46300-2022</t>
        </is>
      </c>
      <c r="B2059" t="inlineStr">
        <is>
          <t>avverkningsanmälan</t>
        </is>
      </c>
      <c r="C2059" t="inlineStr">
        <is>
          <t>Föryngringsavverkning</t>
        </is>
      </c>
      <c r="D2059" s="1" t="n">
        <v>44847</v>
      </c>
      <c r="E2059" s="1" t="n">
        <v>46307</v>
      </c>
      <c r="F2059" t="inlineStr">
        <is>
          <t>VÄRMLANDS LÄN</t>
        </is>
      </c>
      <c r="G2059" t="inlineStr">
        <is>
          <t>FORSHAGA</t>
        </is>
      </c>
      <c r="I2059" t="n">
        <v>0.7</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2171-2023</t>
        </is>
      </c>
      <c r="B2060" t="inlineStr">
        <is>
          <t>avverkningsanmälan</t>
        </is>
      </c>
      <c r="C2060" t="inlineStr">
        <is>
          <t>Föryngringsavverkning</t>
        </is>
      </c>
      <c r="D2060" s="1" t="n">
        <v>44941</v>
      </c>
      <c r="E2060" s="1" t="n">
        <v>46307</v>
      </c>
      <c r="F2060" t="inlineStr">
        <is>
          <t>VÄRMLANDS LÄN</t>
        </is>
      </c>
      <c r="G2060" t="inlineStr">
        <is>
          <t>SUNNE</t>
        </is>
      </c>
      <c r="I2060" t="n">
        <v>0.8</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63781-2023</t>
        </is>
      </c>
      <c r="B2061" t="inlineStr">
        <is>
          <t>avverkningsanmälan</t>
        </is>
      </c>
      <c r="C2061" t="inlineStr">
        <is>
          <t>Avverkning för annat ändamål</t>
        </is>
      </c>
      <c r="D2061" s="1" t="n">
        <v>45278</v>
      </c>
      <c r="E2061" s="1" t="n">
        <v>46307</v>
      </c>
      <c r="F2061" t="inlineStr">
        <is>
          <t>VÄRMLANDS LÄN</t>
        </is>
      </c>
      <c r="G2061" t="inlineStr">
        <is>
          <t>SÄFFLE</t>
        </is>
      </c>
      <c r="H2061" t="inlineStr">
        <is>
          <t>Kommuner</t>
        </is>
      </c>
      <c r="I2061" t="n">
        <v>2.5</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4982-2024</t>
        </is>
      </c>
      <c r="B2062" t="inlineStr">
        <is>
          <t>avverkningsanmälan</t>
        </is>
      </c>
      <c r="C2062" t="inlineStr">
        <is>
          <t>Föryngringsavverkning</t>
        </is>
      </c>
      <c r="D2062" s="1" t="n">
        <v>45329</v>
      </c>
      <c r="E2062" s="1" t="n">
        <v>46307</v>
      </c>
      <c r="F2062" t="inlineStr">
        <is>
          <t>VÄRMLANDS LÄN</t>
        </is>
      </c>
      <c r="G2062" t="inlineStr">
        <is>
          <t>GRUMS</t>
        </is>
      </c>
      <c r="I2062" t="n">
        <v>1.6</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33842-2024</t>
        </is>
      </c>
      <c r="B2063" t="inlineStr">
        <is>
          <t>avverkningsanmälan</t>
        </is>
      </c>
      <c r="C2063" t="inlineStr">
        <is>
          <t>Föryngringsavverkning</t>
        </is>
      </c>
      <c r="D2063" s="1" t="n">
        <v>45520</v>
      </c>
      <c r="E2063" s="1" t="n">
        <v>46307</v>
      </c>
      <c r="F2063" t="inlineStr">
        <is>
          <t>VÄRMLANDS LÄN</t>
        </is>
      </c>
      <c r="G2063" t="inlineStr">
        <is>
          <t>EDA</t>
        </is>
      </c>
      <c r="I2063" t="n">
        <v>1.1</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33881-2024</t>
        </is>
      </c>
      <c r="B2064" t="inlineStr">
        <is>
          <t>avverkningsanmälan</t>
        </is>
      </c>
      <c r="C2064" t="inlineStr">
        <is>
          <t>Föryngringsavverkning</t>
        </is>
      </c>
      <c r="D2064" s="1" t="n">
        <v>45522</v>
      </c>
      <c r="E2064" s="1" t="n">
        <v>46307</v>
      </c>
      <c r="F2064" t="inlineStr">
        <is>
          <t>VÄRMLANDS LÄN</t>
        </is>
      </c>
      <c r="G2064" t="inlineStr">
        <is>
          <t>SÄFFLE</t>
        </is>
      </c>
      <c r="I2064" t="n">
        <v>0.9</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31452-2023</t>
        </is>
      </c>
      <c r="B2065" t="inlineStr">
        <is>
          <t>avverkningsanmälan</t>
        </is>
      </c>
      <c r="C2065" t="inlineStr">
        <is>
          <t>Föryngringsavverkning</t>
        </is>
      </c>
      <c r="D2065" s="1" t="n">
        <v>45114</v>
      </c>
      <c r="E2065" s="1" t="n">
        <v>46307</v>
      </c>
      <c r="F2065" t="inlineStr">
        <is>
          <t>VÄRMLANDS LÄN</t>
        </is>
      </c>
      <c r="G2065" t="inlineStr">
        <is>
          <t>ARVIKA</t>
        </is>
      </c>
      <c r="I2065" t="n">
        <v>4.7</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42957-2023</t>
        </is>
      </c>
      <c r="B2066" t="inlineStr">
        <is>
          <t>avverkningsanmälan</t>
        </is>
      </c>
      <c r="C2066" t="inlineStr">
        <is>
          <t>Föryngringsavverkning</t>
        </is>
      </c>
      <c r="D2066" s="1" t="n">
        <v>45182</v>
      </c>
      <c r="E2066" s="1" t="n">
        <v>46307</v>
      </c>
      <c r="F2066" t="inlineStr">
        <is>
          <t>VÄRMLANDS LÄN</t>
        </is>
      </c>
      <c r="G2066" t="inlineStr">
        <is>
          <t>HAMMARÖ</t>
        </is>
      </c>
      <c r="H2066" t="inlineStr">
        <is>
          <t>Övriga Aktiebolag</t>
        </is>
      </c>
      <c r="I2066" t="n">
        <v>0.5</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30645-2024</t>
        </is>
      </c>
      <c r="B2067" t="inlineStr">
        <is>
          <t>avverkningsanmälan</t>
        </is>
      </c>
      <c r="C2067" t="inlineStr">
        <is>
          <t>Föryngringsavverkning</t>
        </is>
      </c>
      <c r="D2067" s="1" t="n">
        <v>45495</v>
      </c>
      <c r="E2067" s="1" t="n">
        <v>46307</v>
      </c>
      <c r="F2067" t="inlineStr">
        <is>
          <t>VÄRMLANDS LÄN</t>
        </is>
      </c>
      <c r="G2067" t="inlineStr">
        <is>
          <t>SUNNE</t>
        </is>
      </c>
      <c r="H2067" t="inlineStr">
        <is>
          <t>Bergvik skog väst AB</t>
        </is>
      </c>
      <c r="I2067" t="n">
        <v>4.1</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10493-2024</t>
        </is>
      </c>
      <c r="B2068" t="inlineStr">
        <is>
          <t>avverkningsanmälan</t>
        </is>
      </c>
      <c r="C2068" t="inlineStr">
        <is>
          <t>Föryngringsavverkning</t>
        </is>
      </c>
      <c r="D2068" s="1" t="n">
        <v>45366</v>
      </c>
      <c r="E2068" s="1" t="n">
        <v>46307</v>
      </c>
      <c r="F2068" t="inlineStr">
        <is>
          <t>VÄRMLANDS LÄN</t>
        </is>
      </c>
      <c r="G2068" t="inlineStr">
        <is>
          <t>ARVIKA</t>
        </is>
      </c>
      <c r="I2068" t="n">
        <v>2</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10511-2024</t>
        </is>
      </c>
      <c r="B2069" t="inlineStr">
        <is>
          <t>avverkningsanmälan</t>
        </is>
      </c>
      <c r="C2069" t="inlineStr">
        <is>
          <t>Föryngringsavverkning</t>
        </is>
      </c>
      <c r="D2069" s="1" t="n">
        <v>45366</v>
      </c>
      <c r="E2069" s="1" t="n">
        <v>46307</v>
      </c>
      <c r="F2069" t="inlineStr">
        <is>
          <t>VÄRMLANDS LÄN</t>
        </is>
      </c>
      <c r="G2069" t="inlineStr">
        <is>
          <t>KARLSTAD</t>
        </is>
      </c>
      <c r="I2069" t="n">
        <v>0.5</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6354-2024</t>
        </is>
      </c>
      <c r="B2070" t="inlineStr">
        <is>
          <t>avverkningsanmälan</t>
        </is>
      </c>
      <c r="C2070" t="inlineStr">
        <is>
          <t>Föryngringsavverkning</t>
        </is>
      </c>
      <c r="D2070" s="1" t="n">
        <v>45338</v>
      </c>
      <c r="E2070" s="1" t="n">
        <v>46307</v>
      </c>
      <c r="F2070" t="inlineStr">
        <is>
          <t>VÄRMLANDS LÄN</t>
        </is>
      </c>
      <c r="G2070" t="inlineStr">
        <is>
          <t>ÅRJÄNG</t>
        </is>
      </c>
      <c r="H2070" t="inlineStr">
        <is>
          <t>Bergvik skog väst AB</t>
        </is>
      </c>
      <c r="I2070" t="n">
        <v>0.5</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39557-2023</t>
        </is>
      </c>
      <c r="B2071" t="inlineStr">
        <is>
          <t>avverkningsanmälan</t>
        </is>
      </c>
      <c r="C2071" t="inlineStr">
        <is>
          <t>Föryngringsavverkning</t>
        </is>
      </c>
      <c r="D2071" s="1" t="n">
        <v>45167</v>
      </c>
      <c r="E2071" s="1" t="n">
        <v>46307</v>
      </c>
      <c r="F2071" t="inlineStr">
        <is>
          <t>VÄRMLANDS LÄN</t>
        </is>
      </c>
      <c r="G2071" t="inlineStr">
        <is>
          <t>ÅRJÄNG</t>
        </is>
      </c>
      <c r="I2071" t="n">
        <v>1.5</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1045-2024</t>
        </is>
      </c>
      <c r="B2072" t="inlineStr">
        <is>
          <t>avverkningsanmälan</t>
        </is>
      </c>
      <c r="C2072" t="inlineStr">
        <is>
          <t>Föryngringsavverkning</t>
        </is>
      </c>
      <c r="D2072" s="1" t="n">
        <v>45301</v>
      </c>
      <c r="E2072" s="1" t="n">
        <v>46307</v>
      </c>
      <c r="F2072" t="inlineStr">
        <is>
          <t>VÄRMLANDS LÄN</t>
        </is>
      </c>
      <c r="G2072" t="inlineStr">
        <is>
          <t>SUNNE</t>
        </is>
      </c>
      <c r="I2072" t="n">
        <v>1.1</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21861-2023</t>
        </is>
      </c>
      <c r="B2073" t="inlineStr">
        <is>
          <t>avverkningsanmälan</t>
        </is>
      </c>
      <c r="C2073" t="inlineStr">
        <is>
          <t>Föryngringsavverkning</t>
        </is>
      </c>
      <c r="D2073" s="1" t="n">
        <v>45068</v>
      </c>
      <c r="E2073" s="1" t="n">
        <v>46307</v>
      </c>
      <c r="F2073" t="inlineStr">
        <is>
          <t>VÄRMLANDS LÄN</t>
        </is>
      </c>
      <c r="G2073" t="inlineStr">
        <is>
          <t>KRISTINEHAMN</t>
        </is>
      </c>
      <c r="I2073" t="n">
        <v>1.3</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49206-2022</t>
        </is>
      </c>
      <c r="B2074" t="inlineStr">
        <is>
          <t>avverkningsanmälan</t>
        </is>
      </c>
      <c r="C2074" t="inlineStr">
        <is>
          <t>Föryngringsavverkning</t>
        </is>
      </c>
      <c r="D2074" s="1" t="n">
        <v>44860</v>
      </c>
      <c r="E2074" s="1" t="n">
        <v>46307</v>
      </c>
      <c r="F2074" t="inlineStr">
        <is>
          <t>VÄRMLANDS LÄN</t>
        </is>
      </c>
      <c r="G2074" t="inlineStr">
        <is>
          <t>TORSBY</t>
        </is>
      </c>
      <c r="I2074" t="n">
        <v>2.4</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9908-2024</t>
        </is>
      </c>
      <c r="B2075" t="inlineStr">
        <is>
          <t>avverkningsanmälan</t>
        </is>
      </c>
      <c r="C2075" t="inlineStr">
        <is>
          <t>Föryngringsavverkning</t>
        </is>
      </c>
      <c r="D2075" s="1" t="n">
        <v>45363</v>
      </c>
      <c r="E2075" s="1" t="n">
        <v>46307</v>
      </c>
      <c r="F2075" t="inlineStr">
        <is>
          <t>VÄRMLANDS LÄN</t>
        </is>
      </c>
      <c r="G2075" t="inlineStr">
        <is>
          <t>TORSBY</t>
        </is>
      </c>
      <c r="I2075" t="n">
        <v>2.6</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18314-2025</t>
        </is>
      </c>
      <c r="B2076" t="inlineStr">
        <is>
          <t>avverkningsanmälan</t>
        </is>
      </c>
      <c r="C2076" t="inlineStr">
        <is>
          <t>Föryngringsavverkning</t>
        </is>
      </c>
      <c r="D2076" s="1" t="n">
        <v>45762</v>
      </c>
      <c r="E2076" s="1" t="n">
        <v>46307</v>
      </c>
      <c r="F2076" t="inlineStr">
        <is>
          <t>VÄRMLANDS LÄN</t>
        </is>
      </c>
      <c r="G2076" t="inlineStr">
        <is>
          <t>TORSBY</t>
        </is>
      </c>
      <c r="I2076" t="n">
        <v>0.7</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235-2024</t>
        </is>
      </c>
      <c r="B2077" t="inlineStr">
        <is>
          <t>avverkningsanmälan</t>
        </is>
      </c>
      <c r="C2077" t="inlineStr">
        <is>
          <t>Föryngringsavverkning</t>
        </is>
      </c>
      <c r="D2077" s="1" t="n">
        <v>45294</v>
      </c>
      <c r="E2077" s="1" t="n">
        <v>46307</v>
      </c>
      <c r="F2077" t="inlineStr">
        <is>
          <t>VÄRMLANDS LÄN</t>
        </is>
      </c>
      <c r="G2077" t="inlineStr">
        <is>
          <t>TORSBY</t>
        </is>
      </c>
      <c r="I2077" t="n">
        <v>0.8</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37474-2024</t>
        </is>
      </c>
      <c r="B2078" t="inlineStr">
        <is>
          <t>avverkningsanmälan</t>
        </is>
      </c>
      <c r="C2078" t="inlineStr">
        <is>
          <t>Föryngringsavverkning</t>
        </is>
      </c>
      <c r="D2078" s="1" t="n">
        <v>45541</v>
      </c>
      <c r="E2078" s="1" t="n">
        <v>46307</v>
      </c>
      <c r="F2078" t="inlineStr">
        <is>
          <t>VÄRMLANDS LÄN</t>
        </is>
      </c>
      <c r="G2078" t="inlineStr">
        <is>
          <t>SUNNE</t>
        </is>
      </c>
      <c r="I2078" t="n">
        <v>1.2</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18059-2023</t>
        </is>
      </c>
      <c r="B2079" t="inlineStr">
        <is>
          <t>avverkningsanmälan</t>
        </is>
      </c>
      <c r="C2079" t="inlineStr">
        <is>
          <t>Föryngringsavverkning</t>
        </is>
      </c>
      <c r="D2079" s="1" t="n">
        <v>45040</v>
      </c>
      <c r="E2079" s="1" t="n">
        <v>46307</v>
      </c>
      <c r="F2079" t="inlineStr">
        <is>
          <t>VÄRMLANDS LÄN</t>
        </is>
      </c>
      <c r="G2079" t="inlineStr">
        <is>
          <t>EDA</t>
        </is>
      </c>
      <c r="I2079" t="n">
        <v>1.8</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39148-2024</t>
        </is>
      </c>
      <c r="B2080" t="inlineStr">
        <is>
          <t>avverkningsanmälan</t>
        </is>
      </c>
      <c r="C2080" t="inlineStr">
        <is>
          <t>Föryngringsavverkning</t>
        </is>
      </c>
      <c r="D2080" s="1" t="n">
        <v>45548</v>
      </c>
      <c r="E2080" s="1" t="n">
        <v>46307</v>
      </c>
      <c r="F2080" t="inlineStr">
        <is>
          <t>VÄRMLANDS LÄN</t>
        </is>
      </c>
      <c r="G2080" t="inlineStr">
        <is>
          <t>SÄFFLE</t>
        </is>
      </c>
      <c r="I2080" t="n">
        <v>2.2</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5122-2025</t>
        </is>
      </c>
      <c r="B2081" t="inlineStr">
        <is>
          <t>avverkningsanmälan</t>
        </is>
      </c>
      <c r="C2081" t="inlineStr">
        <is>
          <t>Föryngringsavverkning</t>
        </is>
      </c>
      <c r="D2081" s="1" t="n">
        <v>45691</v>
      </c>
      <c r="E2081" s="1" t="n">
        <v>46307</v>
      </c>
      <c r="F2081" t="inlineStr">
        <is>
          <t>VÄRMLANDS LÄN</t>
        </is>
      </c>
      <c r="G2081" t="inlineStr">
        <is>
          <t>ÅRJÄNG</t>
        </is>
      </c>
      <c r="I2081" t="n">
        <v>5.7</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37290-2022</t>
        </is>
      </c>
      <c r="B2082" t="inlineStr">
        <is>
          <t>avverkningsanmälan</t>
        </is>
      </c>
      <c r="C2082" t="inlineStr">
        <is>
          <t>Föryngringsavverkning</t>
        </is>
      </c>
      <c r="D2082" s="1" t="n">
        <v>44808</v>
      </c>
      <c r="E2082" s="1" t="n">
        <v>46307</v>
      </c>
      <c r="F2082" t="inlineStr">
        <is>
          <t>VÄRMLANDS LÄN</t>
        </is>
      </c>
      <c r="G2082" t="inlineStr">
        <is>
          <t>SUNNE</t>
        </is>
      </c>
      <c r="I2082" t="n">
        <v>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18736-2024</t>
        </is>
      </c>
      <c r="B2083" t="inlineStr">
        <is>
          <t>avverkningsanmälan</t>
        </is>
      </c>
      <c r="C2083" t="inlineStr">
        <is>
          <t>Föryngringsavverkning</t>
        </is>
      </c>
      <c r="D2083" s="1" t="n">
        <v>45426</v>
      </c>
      <c r="E2083" s="1" t="n">
        <v>46307</v>
      </c>
      <c r="F2083" t="inlineStr">
        <is>
          <t>VÄRMLANDS LÄN</t>
        </is>
      </c>
      <c r="G2083" t="inlineStr">
        <is>
          <t>SUNNE</t>
        </is>
      </c>
      <c r="I2083" t="n">
        <v>0.7</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14143-2024</t>
        </is>
      </c>
      <c r="B2084" t="inlineStr">
        <is>
          <t>avverkningsanmälan</t>
        </is>
      </c>
      <c r="C2084" t="inlineStr">
        <is>
          <t>Föryngringsavverkning</t>
        </is>
      </c>
      <c r="D2084" s="1" t="n">
        <v>45392</v>
      </c>
      <c r="E2084" s="1" t="n">
        <v>46307</v>
      </c>
      <c r="F2084" t="inlineStr">
        <is>
          <t>VÄRMLANDS LÄN</t>
        </is>
      </c>
      <c r="G2084" t="inlineStr">
        <is>
          <t>KIL</t>
        </is>
      </c>
      <c r="I2084" t="n">
        <v>1</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38873-2024</t>
        </is>
      </c>
      <c r="B2085" t="inlineStr">
        <is>
          <t>avverkningsanmälan</t>
        </is>
      </c>
      <c r="C2085" t="inlineStr">
        <is>
          <t>Föryngringsavverkning</t>
        </is>
      </c>
      <c r="D2085" s="1" t="n">
        <v>45547</v>
      </c>
      <c r="E2085" s="1" t="n">
        <v>46307</v>
      </c>
      <c r="F2085" t="inlineStr">
        <is>
          <t>VÄRMLANDS LÄN</t>
        </is>
      </c>
      <c r="G2085" t="inlineStr">
        <is>
          <t>SUNNE</t>
        </is>
      </c>
      <c r="I2085" t="n">
        <v>7.2</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11776-2025</t>
        </is>
      </c>
      <c r="B2086" t="inlineStr">
        <is>
          <t>avverkningsanmälan</t>
        </is>
      </c>
      <c r="C2086" t="inlineStr">
        <is>
          <t>Föryngringsavverkning</t>
        </is>
      </c>
      <c r="D2086" s="1" t="n">
        <v>45727</v>
      </c>
      <c r="E2086" s="1" t="n">
        <v>46307</v>
      </c>
      <c r="F2086" t="inlineStr">
        <is>
          <t>VÄRMLANDS LÄN</t>
        </is>
      </c>
      <c r="G2086" t="inlineStr">
        <is>
          <t>ÅRJÄNG</t>
        </is>
      </c>
      <c r="I2086" t="n">
        <v>7.2</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43536-2023</t>
        </is>
      </c>
      <c r="B2087" t="inlineStr">
        <is>
          <t>avverkningsanmälan</t>
        </is>
      </c>
      <c r="C2087" t="inlineStr">
        <is>
          <t>Föryngringsavverkning</t>
        </is>
      </c>
      <c r="D2087" s="1" t="n">
        <v>45181</v>
      </c>
      <c r="E2087" s="1" t="n">
        <v>46307</v>
      </c>
      <c r="F2087" t="inlineStr">
        <is>
          <t>VÄRMLANDS LÄN</t>
        </is>
      </c>
      <c r="G2087" t="inlineStr">
        <is>
          <t>TORSBY</t>
        </is>
      </c>
      <c r="I2087" t="n">
        <v>0.6</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60145-2022</t>
        </is>
      </c>
      <c r="B2088" t="inlineStr">
        <is>
          <t>avverkningsanmälan</t>
        </is>
      </c>
      <c r="C2088" t="inlineStr">
        <is>
          <t>Föryngringsavverkning</t>
        </is>
      </c>
      <c r="D2088" s="1" t="n">
        <v>44909</v>
      </c>
      <c r="E2088" s="1" t="n">
        <v>46307</v>
      </c>
      <c r="F2088" t="inlineStr">
        <is>
          <t>VÄRMLANDS LÄN</t>
        </is>
      </c>
      <c r="G2088" t="inlineStr">
        <is>
          <t>SUNNE</t>
        </is>
      </c>
      <c r="I2088" t="n">
        <v>1.5</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9015-2024</t>
        </is>
      </c>
      <c r="B2089" t="inlineStr">
        <is>
          <t>avverkningsanmälan</t>
        </is>
      </c>
      <c r="C2089" t="inlineStr">
        <is>
          <t>Föryngringsavverkning</t>
        </is>
      </c>
      <c r="D2089" s="1" t="n">
        <v>45356</v>
      </c>
      <c r="E2089" s="1" t="n">
        <v>46307</v>
      </c>
      <c r="F2089" t="inlineStr">
        <is>
          <t>VÄRMLANDS LÄN</t>
        </is>
      </c>
      <c r="G2089" t="inlineStr">
        <is>
          <t>SÄFFLE</t>
        </is>
      </c>
      <c r="H2089" t="inlineStr">
        <is>
          <t>Bergvik skog väst AB</t>
        </is>
      </c>
      <c r="I2089" t="n">
        <v>1.4</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18167-2024</t>
        </is>
      </c>
      <c r="B2090" t="inlineStr">
        <is>
          <t>avverkningsanmälan</t>
        </is>
      </c>
      <c r="C2090" t="inlineStr">
        <is>
          <t>Föryngringsavverkning</t>
        </is>
      </c>
      <c r="D2090" s="1" t="n">
        <v>45420</v>
      </c>
      <c r="E2090" s="1" t="n">
        <v>46307</v>
      </c>
      <c r="F2090" t="inlineStr">
        <is>
          <t>VÄRMLANDS LÄN</t>
        </is>
      </c>
      <c r="G2090" t="inlineStr">
        <is>
          <t>MUNKFORS</t>
        </is>
      </c>
      <c r="I2090" t="n">
        <v>0.6</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12087-2022</t>
        </is>
      </c>
      <c r="B2091" t="inlineStr">
        <is>
          <t>avverkningsanmälan</t>
        </is>
      </c>
      <c r="C2091" t="inlineStr">
        <is>
          <t>Föryngringsavverkning</t>
        </is>
      </c>
      <c r="D2091" s="1" t="n">
        <v>44636</v>
      </c>
      <c r="E2091" s="1" t="n">
        <v>46307</v>
      </c>
      <c r="F2091" t="inlineStr">
        <is>
          <t>VÄRMLANDS LÄN</t>
        </is>
      </c>
      <c r="G2091" t="inlineStr">
        <is>
          <t>EDA</t>
        </is>
      </c>
      <c r="I2091" t="n">
        <v>1.8</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12114-2022</t>
        </is>
      </c>
      <c r="B2092" t="inlineStr">
        <is>
          <t>avverkningsanmälan</t>
        </is>
      </c>
      <c r="C2092" t="inlineStr">
        <is>
          <t>Föryngringsavverkning</t>
        </is>
      </c>
      <c r="D2092" s="1" t="n">
        <v>44636</v>
      </c>
      <c r="E2092" s="1" t="n">
        <v>46307</v>
      </c>
      <c r="F2092" t="inlineStr">
        <is>
          <t>VÄRMLANDS LÄN</t>
        </is>
      </c>
      <c r="G2092" t="inlineStr">
        <is>
          <t>MUNKFORS</t>
        </is>
      </c>
      <c r="I2092" t="n">
        <v>3.1</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19554-2024</t>
        </is>
      </c>
      <c r="B2093" t="inlineStr">
        <is>
          <t>avverkningsanmälan</t>
        </is>
      </c>
      <c r="C2093" t="inlineStr">
        <is>
          <t>Avverkning för att bevara och utveckla /försöksver</t>
        </is>
      </c>
      <c r="D2093" s="1" t="n">
        <v>45429</v>
      </c>
      <c r="E2093" s="1" t="n">
        <v>46307</v>
      </c>
      <c r="F2093" t="inlineStr">
        <is>
          <t>VÄRMLANDS LÄN</t>
        </is>
      </c>
      <c r="G2093" t="inlineStr">
        <is>
          <t>HAGFORS</t>
        </is>
      </c>
      <c r="H2093" t="inlineStr">
        <is>
          <t>Bergvik skog väst AB</t>
        </is>
      </c>
      <c r="I2093" t="n">
        <v>3.8</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17565-2025</t>
        </is>
      </c>
      <c r="B2094" t="inlineStr">
        <is>
          <t>avverkningsanmälan</t>
        </is>
      </c>
      <c r="C2094" t="inlineStr">
        <is>
          <t>Föryngringsavverkning</t>
        </is>
      </c>
      <c r="D2094" s="1" t="n">
        <v>45757</v>
      </c>
      <c r="E2094" s="1" t="n">
        <v>46307</v>
      </c>
      <c r="F2094" t="inlineStr">
        <is>
          <t>VÄRMLANDS LÄN</t>
        </is>
      </c>
      <c r="G2094" t="inlineStr">
        <is>
          <t>GRUMS</t>
        </is>
      </c>
      <c r="I2094" t="n">
        <v>1.1</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37790-2024</t>
        </is>
      </c>
      <c r="B2095" t="inlineStr">
        <is>
          <t>avverkningsanmälan</t>
        </is>
      </c>
      <c r="C2095" t="inlineStr">
        <is>
          <t>Föryngringsavverkning</t>
        </is>
      </c>
      <c r="D2095" s="1" t="n">
        <v>45543</v>
      </c>
      <c r="E2095" s="1" t="n">
        <v>46307</v>
      </c>
      <c r="F2095" t="inlineStr">
        <is>
          <t>VÄRMLANDS LÄN</t>
        </is>
      </c>
      <c r="G2095" t="inlineStr">
        <is>
          <t>SUNNE</t>
        </is>
      </c>
      <c r="I2095" t="n">
        <v>1.9</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28627-2023</t>
        </is>
      </c>
      <c r="B2096" t="inlineStr">
        <is>
          <t>avverkningsanmälan</t>
        </is>
      </c>
      <c r="C2096" t="inlineStr">
        <is>
          <t>Föryngringsavverkning</t>
        </is>
      </c>
      <c r="D2096" s="1" t="n">
        <v>45103</v>
      </c>
      <c r="E2096" s="1" t="n">
        <v>46307</v>
      </c>
      <c r="F2096" t="inlineStr">
        <is>
          <t>VÄRMLANDS LÄN</t>
        </is>
      </c>
      <c r="G2096" t="inlineStr">
        <is>
          <t>ARVIKA</t>
        </is>
      </c>
      <c r="H2096" t="inlineStr">
        <is>
          <t>Bergvik skog väst AB</t>
        </is>
      </c>
      <c r="I2096" t="n">
        <v>2.3</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7985-2025</t>
        </is>
      </c>
      <c r="B2097" t="inlineStr">
        <is>
          <t>avverkningsanmälan</t>
        </is>
      </c>
      <c r="C2097" t="inlineStr">
        <is>
          <t>Föryngringsavverkning</t>
        </is>
      </c>
      <c r="D2097" s="1" t="n">
        <v>45707</v>
      </c>
      <c r="E2097" s="1" t="n">
        <v>46307</v>
      </c>
      <c r="F2097" t="inlineStr">
        <is>
          <t>VÄRMLANDS LÄN</t>
        </is>
      </c>
      <c r="G2097" t="inlineStr">
        <is>
          <t>ARVIKA</t>
        </is>
      </c>
      <c r="I2097" t="n">
        <v>3.4</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2551-2025</t>
        </is>
      </c>
      <c r="B2098" t="inlineStr">
        <is>
          <t>avverkningsanmälan</t>
        </is>
      </c>
      <c r="C2098" t="inlineStr">
        <is>
          <t>Föryngringsavverkning</t>
        </is>
      </c>
      <c r="D2098" s="1" t="n">
        <v>45674</v>
      </c>
      <c r="E2098" s="1" t="n">
        <v>46307</v>
      </c>
      <c r="F2098" t="inlineStr">
        <is>
          <t>VÄRMLANDS LÄN</t>
        </is>
      </c>
      <c r="G2098" t="inlineStr">
        <is>
          <t>ÅRJÄNG</t>
        </is>
      </c>
      <c r="I2098" t="n">
        <v>0.5</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3848-2025</t>
        </is>
      </c>
      <c r="B2099" t="inlineStr">
        <is>
          <t>avverkningsanmälan</t>
        </is>
      </c>
      <c r="C2099" t="inlineStr">
        <is>
          <t>Föryngringsavverkning</t>
        </is>
      </c>
      <c r="D2099" s="1" t="n">
        <v>45683</v>
      </c>
      <c r="E2099" s="1" t="n">
        <v>46307</v>
      </c>
      <c r="F2099" t="inlineStr">
        <is>
          <t>VÄRMLANDS LÄN</t>
        </is>
      </c>
      <c r="G2099" t="inlineStr">
        <is>
          <t>ÅRJÄNG</t>
        </is>
      </c>
      <c r="I2099" t="n">
        <v>0.9</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25437-2023</t>
        </is>
      </c>
      <c r="B2100" t="inlineStr">
        <is>
          <t>avverkningsanmälan</t>
        </is>
      </c>
      <c r="C2100" t="inlineStr">
        <is>
          <t>Föryngringsavverkning</t>
        </is>
      </c>
      <c r="D2100" s="1" t="n">
        <v>45089</v>
      </c>
      <c r="E2100" s="1" t="n">
        <v>46307</v>
      </c>
      <c r="F2100" t="inlineStr">
        <is>
          <t>VÄRMLANDS LÄN</t>
        </is>
      </c>
      <c r="G2100" t="inlineStr">
        <is>
          <t>EDA</t>
        </is>
      </c>
      <c r="I2100" t="n">
        <v>3.7</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25443-2023</t>
        </is>
      </c>
      <c r="B2101" t="inlineStr">
        <is>
          <t>avverkningsanmälan</t>
        </is>
      </c>
      <c r="C2101" t="inlineStr">
        <is>
          <t>Föryngringsavverkning</t>
        </is>
      </c>
      <c r="D2101" s="1" t="n">
        <v>45089</v>
      </c>
      <c r="E2101" s="1" t="n">
        <v>46307</v>
      </c>
      <c r="F2101" t="inlineStr">
        <is>
          <t>VÄRMLANDS LÄN</t>
        </is>
      </c>
      <c r="G2101" t="inlineStr">
        <is>
          <t>GRUMS</t>
        </is>
      </c>
      <c r="I2101" t="n">
        <v>3.8</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28654-2023</t>
        </is>
      </c>
      <c r="B2102" t="inlineStr">
        <is>
          <t>avverkningsanmälan</t>
        </is>
      </c>
      <c r="C2102" t="inlineStr">
        <is>
          <t>Föryngringsavverkning</t>
        </is>
      </c>
      <c r="D2102" s="1" t="n">
        <v>45103</v>
      </c>
      <c r="E2102" s="1" t="n">
        <v>46307</v>
      </c>
      <c r="F2102" t="inlineStr">
        <is>
          <t>VÄRMLANDS LÄN</t>
        </is>
      </c>
      <c r="G2102" t="inlineStr">
        <is>
          <t>HAGFORS</t>
        </is>
      </c>
      <c r="I2102" t="n">
        <v>0.8</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12611-2024</t>
        </is>
      </c>
      <c r="B2103" t="inlineStr">
        <is>
          <t>avverkningsanmälan</t>
        </is>
      </c>
      <c r="C2103" t="inlineStr">
        <is>
          <t>Föryngringsavverkning</t>
        </is>
      </c>
      <c r="D2103" s="1" t="n">
        <v>45382</v>
      </c>
      <c r="E2103" s="1" t="n">
        <v>46307</v>
      </c>
      <c r="F2103" t="inlineStr">
        <is>
          <t>VÄRMLANDS LÄN</t>
        </is>
      </c>
      <c r="G2103" t="inlineStr">
        <is>
          <t>KARLSTAD</t>
        </is>
      </c>
      <c r="I2103" t="n">
        <v>6</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4418-2024</t>
        </is>
      </c>
      <c r="B2104" t="inlineStr">
        <is>
          <t>avverkningsanmälan</t>
        </is>
      </c>
      <c r="C2104" t="inlineStr">
        <is>
          <t>Föryngringsavverkning</t>
        </is>
      </c>
      <c r="D2104" s="1" t="n">
        <v>45327</v>
      </c>
      <c r="E2104" s="1" t="n">
        <v>46307</v>
      </c>
      <c r="F2104" t="inlineStr">
        <is>
          <t>VÄRMLANDS LÄN</t>
        </is>
      </c>
      <c r="G2104" t="inlineStr">
        <is>
          <t>FILIPSTAD</t>
        </is>
      </c>
      <c r="H2104" t="inlineStr">
        <is>
          <t>Bergvik skog väst AB</t>
        </is>
      </c>
      <c r="I2104" t="n">
        <v>9.300000000000001</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28136-2023</t>
        </is>
      </c>
      <c r="B2105" t="inlineStr">
        <is>
          <t>avverkningsanmälan</t>
        </is>
      </c>
      <c r="C2105" t="inlineStr">
        <is>
          <t>Föryngringsavverkning</t>
        </is>
      </c>
      <c r="D2105" s="1" t="n">
        <v>45099</v>
      </c>
      <c r="E2105" s="1" t="n">
        <v>46307</v>
      </c>
      <c r="F2105" t="inlineStr">
        <is>
          <t>VÄRMLANDS LÄN</t>
        </is>
      </c>
      <c r="G2105" t="inlineStr">
        <is>
          <t>SÄFFLE</t>
        </is>
      </c>
      <c r="I2105" t="n">
        <v>1.6</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47466-2023</t>
        </is>
      </c>
      <c r="B2106" t="inlineStr">
        <is>
          <t>avverkningsanmälan</t>
        </is>
      </c>
      <c r="C2106" t="inlineStr">
        <is>
          <t>Föryngringsavverkning</t>
        </is>
      </c>
      <c r="D2106" s="1" t="n">
        <v>45202</v>
      </c>
      <c r="E2106" s="1" t="n">
        <v>46307</v>
      </c>
      <c r="F2106" t="inlineStr">
        <is>
          <t>VÄRMLANDS LÄN</t>
        </is>
      </c>
      <c r="G2106" t="inlineStr">
        <is>
          <t>KRISTINEHAMN</t>
        </is>
      </c>
      <c r="I2106" t="n">
        <v>0.8</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63158-2023</t>
        </is>
      </c>
      <c r="B2107" t="inlineStr">
        <is>
          <t>avverkningsanmälan</t>
        </is>
      </c>
      <c r="C2107" t="inlineStr">
        <is>
          <t>Föryngringsavverkning</t>
        </is>
      </c>
      <c r="D2107" s="1" t="n">
        <v>45273</v>
      </c>
      <c r="E2107" s="1" t="n">
        <v>46307</v>
      </c>
      <c r="F2107" t="inlineStr">
        <is>
          <t>VÄRMLANDS LÄN</t>
        </is>
      </c>
      <c r="G2107" t="inlineStr">
        <is>
          <t>TORSBY</t>
        </is>
      </c>
      <c r="I2107" t="n">
        <v>0.9</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20393-2023</t>
        </is>
      </c>
      <c r="B2108" t="inlineStr">
        <is>
          <t>avverkningsanmälan</t>
        </is>
      </c>
      <c r="C2108" t="inlineStr">
        <is>
          <t>Föryngringsavverkning</t>
        </is>
      </c>
      <c r="D2108" s="1" t="n">
        <v>45056</v>
      </c>
      <c r="E2108" s="1" t="n">
        <v>46307</v>
      </c>
      <c r="F2108" t="inlineStr">
        <is>
          <t>VÄRMLANDS LÄN</t>
        </is>
      </c>
      <c r="G2108" t="inlineStr">
        <is>
          <t>TORSBY</t>
        </is>
      </c>
      <c r="I2108" t="n">
        <v>4.2</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47619-2023</t>
        </is>
      </c>
      <c r="B2109" t="inlineStr">
        <is>
          <t>avverkningsanmälan</t>
        </is>
      </c>
      <c r="C2109" t="inlineStr">
        <is>
          <t>Föryngringsavverkning</t>
        </is>
      </c>
      <c r="D2109" s="1" t="n">
        <v>45203</v>
      </c>
      <c r="E2109" s="1" t="n">
        <v>46307</v>
      </c>
      <c r="F2109" t="inlineStr">
        <is>
          <t>VÄRMLANDS LÄN</t>
        </is>
      </c>
      <c r="G2109" t="inlineStr">
        <is>
          <t>EDA</t>
        </is>
      </c>
      <c r="I2109" t="n">
        <v>1.2</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47833-2023</t>
        </is>
      </c>
      <c r="B2110" t="inlineStr">
        <is>
          <t>avverkningsanmälan</t>
        </is>
      </c>
      <c r="C2110" t="inlineStr">
        <is>
          <t>Föryngringsavverkning</t>
        </is>
      </c>
      <c r="D2110" s="1" t="n">
        <v>45204</v>
      </c>
      <c r="E2110" s="1" t="n">
        <v>46307</v>
      </c>
      <c r="F2110" t="inlineStr">
        <is>
          <t>VÄRMLANDS LÄN</t>
        </is>
      </c>
      <c r="G2110" t="inlineStr">
        <is>
          <t>ÅRJÄNG</t>
        </is>
      </c>
      <c r="I2110" t="n">
        <v>4.4</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17806-2023</t>
        </is>
      </c>
      <c r="B2111" t="inlineStr">
        <is>
          <t>avverkningsanmälan</t>
        </is>
      </c>
      <c r="C2111" t="inlineStr">
        <is>
          <t>Föryngringsavverkning</t>
        </is>
      </c>
      <c r="D2111" s="1" t="n">
        <v>45037</v>
      </c>
      <c r="E2111" s="1" t="n">
        <v>46307</v>
      </c>
      <c r="F2111" t="inlineStr">
        <is>
          <t>VÄRMLANDS LÄN</t>
        </is>
      </c>
      <c r="G2111" t="inlineStr">
        <is>
          <t>KIL</t>
        </is>
      </c>
      <c r="I2111" t="n">
        <v>0.7</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34105-2023</t>
        </is>
      </c>
      <c r="B2112" t="inlineStr">
        <is>
          <t>avverkningsanmälan</t>
        </is>
      </c>
      <c r="C2112" t="inlineStr">
        <is>
          <t>Föryngringsavverkning</t>
        </is>
      </c>
      <c r="D2112" s="1" t="n">
        <v>45126</v>
      </c>
      <c r="E2112" s="1" t="n">
        <v>46307</v>
      </c>
      <c r="F2112" t="inlineStr">
        <is>
          <t>VÄRMLANDS LÄN</t>
        </is>
      </c>
      <c r="G2112" t="inlineStr">
        <is>
          <t>TORSBY</t>
        </is>
      </c>
      <c r="I2112" t="n">
        <v>2.4</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30624-2024</t>
        </is>
      </c>
      <c r="B2113" t="inlineStr">
        <is>
          <t>avverkningsanmälan</t>
        </is>
      </c>
      <c r="C2113" t="inlineStr">
        <is>
          <t>Föryngringsavverkning</t>
        </is>
      </c>
      <c r="D2113" s="1" t="n">
        <v>45495</v>
      </c>
      <c r="E2113" s="1" t="n">
        <v>46307</v>
      </c>
      <c r="F2113" t="inlineStr">
        <is>
          <t>VÄRMLANDS LÄN</t>
        </is>
      </c>
      <c r="G2113" t="inlineStr">
        <is>
          <t>SÄFFLE</t>
        </is>
      </c>
      <c r="I2113" t="n">
        <v>2.6</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20049-2023</t>
        </is>
      </c>
      <c r="B2114" t="inlineStr">
        <is>
          <t>avverkningsanmälan</t>
        </is>
      </c>
      <c r="C2114" t="inlineStr">
        <is>
          <t>Föryngringsavverkning</t>
        </is>
      </c>
      <c r="D2114" s="1" t="n">
        <v>45054</v>
      </c>
      <c r="E2114" s="1" t="n">
        <v>46307</v>
      </c>
      <c r="F2114" t="inlineStr">
        <is>
          <t>VÄRMLANDS LÄN</t>
        </is>
      </c>
      <c r="G2114" t="inlineStr">
        <is>
          <t>EDA</t>
        </is>
      </c>
      <c r="I2114" t="n">
        <v>0.6</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20052-2023</t>
        </is>
      </c>
      <c r="B2115" t="inlineStr">
        <is>
          <t>avverkningsanmälan</t>
        </is>
      </c>
      <c r="C2115" t="inlineStr">
        <is>
          <t>Föryngringsavverkning</t>
        </is>
      </c>
      <c r="D2115" s="1" t="n">
        <v>45054</v>
      </c>
      <c r="E2115" s="1" t="n">
        <v>46307</v>
      </c>
      <c r="F2115" t="inlineStr">
        <is>
          <t>VÄRMLANDS LÄN</t>
        </is>
      </c>
      <c r="G2115" t="inlineStr">
        <is>
          <t>EDA</t>
        </is>
      </c>
      <c r="I2115" t="n">
        <v>6.8</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41493-2024</t>
        </is>
      </c>
      <c r="B2116" t="inlineStr">
        <is>
          <t>avverkningsanmälan</t>
        </is>
      </c>
      <c r="C2116" t="inlineStr">
        <is>
          <t>Föryngringsavverkning</t>
        </is>
      </c>
      <c r="D2116" s="1" t="n">
        <v>45560</v>
      </c>
      <c r="E2116" s="1" t="n">
        <v>46307</v>
      </c>
      <c r="F2116" t="inlineStr">
        <is>
          <t>VÄRMLANDS LÄN</t>
        </is>
      </c>
      <c r="G2116" t="inlineStr">
        <is>
          <t>ARVIKA</t>
        </is>
      </c>
      <c r="H2116" t="inlineStr">
        <is>
          <t>Bergvik skog väst AB</t>
        </is>
      </c>
      <c r="I2116" t="n">
        <v>3.8</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18208-2024</t>
        </is>
      </c>
      <c r="B2117" t="inlineStr">
        <is>
          <t>avverkningsanmälan</t>
        </is>
      </c>
      <c r="C2117" t="inlineStr">
        <is>
          <t>Föryngringsavverkning</t>
        </is>
      </c>
      <c r="D2117" s="1" t="n">
        <v>45420</v>
      </c>
      <c r="E2117" s="1" t="n">
        <v>46307</v>
      </c>
      <c r="F2117" t="inlineStr">
        <is>
          <t>VÄRMLANDS LÄN</t>
        </is>
      </c>
      <c r="G2117" t="inlineStr">
        <is>
          <t>SUNNE</t>
        </is>
      </c>
      <c r="I2117" t="n">
        <v>1.9</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41529-2024</t>
        </is>
      </c>
      <c r="B2118" t="inlineStr">
        <is>
          <t>avverkningsanmälan</t>
        </is>
      </c>
      <c r="C2118" t="inlineStr">
        <is>
          <t>Föryngringsavverkning</t>
        </is>
      </c>
      <c r="D2118" s="1" t="n">
        <v>45560</v>
      </c>
      <c r="E2118" s="1" t="n">
        <v>46307</v>
      </c>
      <c r="F2118" t="inlineStr">
        <is>
          <t>VÄRMLANDS LÄN</t>
        </is>
      </c>
      <c r="G2118" t="inlineStr">
        <is>
          <t>TORSBY</t>
        </is>
      </c>
      <c r="H2118" t="inlineStr">
        <is>
          <t>Bergvik skog väst AB</t>
        </is>
      </c>
      <c r="I2118" t="n">
        <v>4.8</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56433-2022</t>
        </is>
      </c>
      <c r="B2119" t="inlineStr">
        <is>
          <t>avverkningsanmälan</t>
        </is>
      </c>
      <c r="C2119" t="inlineStr">
        <is>
          <t>Föryngringsavverkning</t>
        </is>
      </c>
      <c r="D2119" s="1" t="n">
        <v>44891</v>
      </c>
      <c r="E2119" s="1" t="n">
        <v>46307</v>
      </c>
      <c r="F2119" t="inlineStr">
        <is>
          <t>VÄRMLANDS LÄN</t>
        </is>
      </c>
      <c r="G2119" t="inlineStr">
        <is>
          <t>SUNNE</t>
        </is>
      </c>
      <c r="I2119" t="n">
        <v>1.6</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15406-2024</t>
        </is>
      </c>
      <c r="B2120" t="inlineStr">
        <is>
          <t>avverkningsanmälan</t>
        </is>
      </c>
      <c r="C2120" t="inlineStr">
        <is>
          <t>Föryngringsavverkning</t>
        </is>
      </c>
      <c r="D2120" s="1" t="n">
        <v>45401</v>
      </c>
      <c r="E2120" s="1" t="n">
        <v>46307</v>
      </c>
      <c r="F2120" t="inlineStr">
        <is>
          <t>VÄRMLANDS LÄN</t>
        </is>
      </c>
      <c r="G2120" t="inlineStr">
        <is>
          <t>KRISTINEHAMN</t>
        </is>
      </c>
      <c r="I2120" t="n">
        <v>1.6</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3669-2025</t>
        </is>
      </c>
      <c r="B2121" t="inlineStr">
        <is>
          <t>avverkningsanmälan</t>
        </is>
      </c>
      <c r="C2121" t="inlineStr">
        <is>
          <t>Föryngringsavverkning</t>
        </is>
      </c>
      <c r="D2121" s="1" t="n">
        <v>45681</v>
      </c>
      <c r="E2121" s="1" t="n">
        <v>46307</v>
      </c>
      <c r="F2121" t="inlineStr">
        <is>
          <t>VÄRMLANDS LÄN</t>
        </is>
      </c>
      <c r="G2121" t="inlineStr">
        <is>
          <t>HAGFORS</t>
        </is>
      </c>
      <c r="I2121" t="n">
        <v>0.4</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41954-2023</t>
        </is>
      </c>
      <c r="B2122" t="inlineStr">
        <is>
          <t>avverkningsanmälan</t>
        </is>
      </c>
      <c r="C2122" t="inlineStr">
        <is>
          <t>Föryngringsavverkning</t>
        </is>
      </c>
      <c r="D2122" s="1" t="n">
        <v>45177</v>
      </c>
      <c r="E2122" s="1" t="n">
        <v>46307</v>
      </c>
      <c r="F2122" t="inlineStr">
        <is>
          <t>VÄRMLANDS LÄN</t>
        </is>
      </c>
      <c r="G2122" t="inlineStr">
        <is>
          <t>SUNNE</t>
        </is>
      </c>
      <c r="I2122" t="n">
        <v>1.2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41963-2023</t>
        </is>
      </c>
      <c r="B2123" t="inlineStr">
        <is>
          <t>avverkningsanmälan</t>
        </is>
      </c>
      <c r="C2123" t="inlineStr">
        <is>
          <t>Föryngringsavverkning</t>
        </is>
      </c>
      <c r="D2123" s="1" t="n">
        <v>45177</v>
      </c>
      <c r="E2123" s="1" t="n">
        <v>46307</v>
      </c>
      <c r="F2123" t="inlineStr">
        <is>
          <t>VÄRMLANDS LÄN</t>
        </is>
      </c>
      <c r="G2123" t="inlineStr">
        <is>
          <t>KARLSTAD</t>
        </is>
      </c>
      <c r="I2123" t="n">
        <v>1.8</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62461-2023</t>
        </is>
      </c>
      <c r="B2124" t="inlineStr">
        <is>
          <t>avverkningsanmälan</t>
        </is>
      </c>
      <c r="C2124" t="inlineStr">
        <is>
          <t>Föryngringsavverkning</t>
        </is>
      </c>
      <c r="D2124" s="1" t="n">
        <v>45268</v>
      </c>
      <c r="E2124" s="1" t="n">
        <v>46307</v>
      </c>
      <c r="F2124" t="inlineStr">
        <is>
          <t>VÄRMLANDS LÄN</t>
        </is>
      </c>
      <c r="G2124" t="inlineStr">
        <is>
          <t>HAGFORS</t>
        </is>
      </c>
      <c r="H2124" t="inlineStr">
        <is>
          <t>Bergvik skog väst AB</t>
        </is>
      </c>
      <c r="I2124" t="n">
        <v>0.8</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8714-2025</t>
        </is>
      </c>
      <c r="B2125" t="inlineStr">
        <is>
          <t>avverkningsanmälan</t>
        </is>
      </c>
      <c r="C2125" t="inlineStr">
        <is>
          <t>Föryngringsavverkning</t>
        </is>
      </c>
      <c r="D2125" s="1" t="n">
        <v>45712</v>
      </c>
      <c r="E2125" s="1" t="n">
        <v>46307</v>
      </c>
      <c r="F2125" t="inlineStr">
        <is>
          <t>VÄRMLANDS LÄN</t>
        </is>
      </c>
      <c r="G2125" t="inlineStr">
        <is>
          <t>SUNNE</t>
        </is>
      </c>
      <c r="I2125" t="n">
        <v>0.5</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46097-2023</t>
        </is>
      </c>
      <c r="B2126" t="inlineStr">
        <is>
          <t>avverkningsanmälan</t>
        </is>
      </c>
      <c r="C2126" t="inlineStr">
        <is>
          <t>Föryngringsavverkning</t>
        </is>
      </c>
      <c r="D2126" s="1" t="n">
        <v>45196</v>
      </c>
      <c r="E2126" s="1" t="n">
        <v>46307</v>
      </c>
      <c r="F2126" t="inlineStr">
        <is>
          <t>VÄRMLANDS LÄN</t>
        </is>
      </c>
      <c r="G2126" t="inlineStr">
        <is>
          <t>KARLSTAD</t>
        </is>
      </c>
      <c r="I2126" t="n">
        <v>6</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18618-2023</t>
        </is>
      </c>
      <c r="B2127" t="inlineStr">
        <is>
          <t>avverkningsanmälan</t>
        </is>
      </c>
      <c r="C2127" t="inlineStr">
        <is>
          <t>Föryngringsavverkning</t>
        </is>
      </c>
      <c r="D2127" s="1" t="n">
        <v>45041</v>
      </c>
      <c r="E2127" s="1" t="n">
        <v>46307</v>
      </c>
      <c r="F2127" t="inlineStr">
        <is>
          <t>VÄRMLANDS LÄN</t>
        </is>
      </c>
      <c r="G2127" t="inlineStr">
        <is>
          <t>EDA</t>
        </is>
      </c>
      <c r="I2127" t="n">
        <v>0.5</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19964-2023</t>
        </is>
      </c>
      <c r="B2128" t="inlineStr">
        <is>
          <t>avverkningsanmälan</t>
        </is>
      </c>
      <c r="C2128" t="inlineStr">
        <is>
          <t>Föryngringsavverkning</t>
        </is>
      </c>
      <c r="D2128" s="1" t="n">
        <v>45051</v>
      </c>
      <c r="E2128" s="1" t="n">
        <v>46307</v>
      </c>
      <c r="F2128" t="inlineStr">
        <is>
          <t>VÄRMLANDS LÄN</t>
        </is>
      </c>
      <c r="G2128" t="inlineStr">
        <is>
          <t>ÅRJÄNG</t>
        </is>
      </c>
      <c r="I2128" t="n">
        <v>1.2</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30853-2024</t>
        </is>
      </c>
      <c r="B2129" t="inlineStr">
        <is>
          <t>avverkningsanmälan</t>
        </is>
      </c>
      <c r="C2129" t="inlineStr">
        <is>
          <t>Föryngringsavverkning</t>
        </is>
      </c>
      <c r="D2129" s="1" t="n">
        <v>45497</v>
      </c>
      <c r="E2129" s="1" t="n">
        <v>46307</v>
      </c>
      <c r="F2129" t="inlineStr">
        <is>
          <t>VÄRMLANDS LÄN</t>
        </is>
      </c>
      <c r="G2129" t="inlineStr">
        <is>
          <t>SUNNE</t>
        </is>
      </c>
      <c r="H2129" t="inlineStr">
        <is>
          <t>Bergvik skog väst AB</t>
        </is>
      </c>
      <c r="I2129" t="n">
        <v>0.8</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30855-2024</t>
        </is>
      </c>
      <c r="B2130" t="inlineStr">
        <is>
          <t>avverkningsanmälan</t>
        </is>
      </c>
      <c r="C2130" t="inlineStr">
        <is>
          <t>Föryngringsavverkning</t>
        </is>
      </c>
      <c r="D2130" s="1" t="n">
        <v>45497</v>
      </c>
      <c r="E2130" s="1" t="n">
        <v>46307</v>
      </c>
      <c r="F2130" t="inlineStr">
        <is>
          <t>VÄRMLANDS LÄN</t>
        </is>
      </c>
      <c r="G2130" t="inlineStr">
        <is>
          <t>SUNNE</t>
        </is>
      </c>
      <c r="H2130" t="inlineStr">
        <is>
          <t>Bergvik skog väst AB</t>
        </is>
      </c>
      <c r="I2130" t="n">
        <v>0.4</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50076-2023</t>
        </is>
      </c>
      <c r="B2131" t="inlineStr">
        <is>
          <t>avverkningsanmälan</t>
        </is>
      </c>
      <c r="C2131" t="inlineStr">
        <is>
          <t>Föryngringsavverkning</t>
        </is>
      </c>
      <c r="D2131" s="1" t="n">
        <v>45208</v>
      </c>
      <c r="E2131" s="1" t="n">
        <v>46307</v>
      </c>
      <c r="F2131" t="inlineStr">
        <is>
          <t>VÄRMLANDS LÄN</t>
        </is>
      </c>
      <c r="G2131" t="inlineStr">
        <is>
          <t>SÄFFLE</t>
        </is>
      </c>
      <c r="I2131" t="n">
        <v>3.3</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50103-2023</t>
        </is>
      </c>
      <c r="B2132" t="inlineStr">
        <is>
          <t>avverkningsanmälan</t>
        </is>
      </c>
      <c r="C2132" t="inlineStr">
        <is>
          <t>Föryngringsavverkning</t>
        </is>
      </c>
      <c r="D2132" s="1" t="n">
        <v>45208</v>
      </c>
      <c r="E2132" s="1" t="n">
        <v>46307</v>
      </c>
      <c r="F2132" t="inlineStr">
        <is>
          <t>VÄRMLANDS LÄN</t>
        </is>
      </c>
      <c r="G2132" t="inlineStr">
        <is>
          <t>KRISTINEHAMN</t>
        </is>
      </c>
      <c r="I2132" t="n">
        <v>3.5</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16079-2024</t>
        </is>
      </c>
      <c r="B2133" t="inlineStr">
        <is>
          <t>avverkningsanmälan</t>
        </is>
      </c>
      <c r="C2133" t="inlineStr">
        <is>
          <t>Föryngringsavverkning</t>
        </is>
      </c>
      <c r="D2133" s="1" t="n">
        <v>45406</v>
      </c>
      <c r="E2133" s="1" t="n">
        <v>46307</v>
      </c>
      <c r="F2133" t="inlineStr">
        <is>
          <t>VÄRMLANDS LÄN</t>
        </is>
      </c>
      <c r="G2133" t="inlineStr">
        <is>
          <t>ÅRJÄNG</t>
        </is>
      </c>
      <c r="I2133" t="n">
        <v>1.7</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12041-2024</t>
        </is>
      </c>
      <c r="B2134" t="inlineStr">
        <is>
          <t>avverkningsanmälan</t>
        </is>
      </c>
      <c r="C2134" t="inlineStr">
        <is>
          <t>Föryngringsavverkning</t>
        </is>
      </c>
      <c r="D2134" s="1" t="n">
        <v>45377</v>
      </c>
      <c r="E2134" s="1" t="n">
        <v>46307</v>
      </c>
      <c r="F2134" t="inlineStr">
        <is>
          <t>VÄRMLANDS LÄN</t>
        </is>
      </c>
      <c r="G2134" t="inlineStr">
        <is>
          <t>KRISTINEHAMN</t>
        </is>
      </c>
      <c r="I2134" t="n">
        <v>13.2</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41065-2022</t>
        </is>
      </c>
      <c r="B2135" t="inlineStr">
        <is>
          <t>avverkningsanmälan</t>
        </is>
      </c>
      <c r="C2135" t="inlineStr">
        <is>
          <t>Föryngringsavverkning</t>
        </is>
      </c>
      <c r="D2135" s="1" t="n">
        <v>44825</v>
      </c>
      <c r="E2135" s="1" t="n">
        <v>46307</v>
      </c>
      <c r="F2135" t="inlineStr">
        <is>
          <t>VÄRMLANDS LÄN</t>
        </is>
      </c>
      <c r="G2135" t="inlineStr">
        <is>
          <t>TORSBY</t>
        </is>
      </c>
      <c r="H2135" t="inlineStr">
        <is>
          <t>Kommuner</t>
        </is>
      </c>
      <c r="I2135" t="n">
        <v>1.8</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12072-2024</t>
        </is>
      </c>
      <c r="B2136" t="inlineStr">
        <is>
          <t>avverkningsanmälan</t>
        </is>
      </c>
      <c r="C2136" t="inlineStr">
        <is>
          <t>Föryngringsavverkning</t>
        </is>
      </c>
      <c r="D2136" s="1" t="n">
        <v>45377</v>
      </c>
      <c r="E2136" s="1" t="n">
        <v>46307</v>
      </c>
      <c r="F2136" t="inlineStr">
        <is>
          <t>VÄRMLANDS LÄN</t>
        </is>
      </c>
      <c r="G2136" t="inlineStr">
        <is>
          <t>ÅRJÄNG</t>
        </is>
      </c>
      <c r="I2136" t="n">
        <v>2.5</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47191-2023</t>
        </is>
      </c>
      <c r="B2137" t="inlineStr">
        <is>
          <t>avverkningsanmälan</t>
        </is>
      </c>
      <c r="C2137" t="inlineStr">
        <is>
          <t>Föryngringsavverkning</t>
        </is>
      </c>
      <c r="D2137" s="1" t="n">
        <v>45202</v>
      </c>
      <c r="E2137" s="1" t="n">
        <v>46307</v>
      </c>
      <c r="F2137" t="inlineStr">
        <is>
          <t>VÄRMLANDS LÄN</t>
        </is>
      </c>
      <c r="G2137" t="inlineStr">
        <is>
          <t>ARVIKA</t>
        </is>
      </c>
      <c r="I2137" t="n">
        <v>7.7</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47228-2023</t>
        </is>
      </c>
      <c r="B2138" t="inlineStr">
        <is>
          <t>avverkningsanmälan</t>
        </is>
      </c>
      <c r="C2138" t="inlineStr">
        <is>
          <t>Föryngringsavverkning</t>
        </is>
      </c>
      <c r="D2138" s="1" t="n">
        <v>45202</v>
      </c>
      <c r="E2138" s="1" t="n">
        <v>46307</v>
      </c>
      <c r="F2138" t="inlineStr">
        <is>
          <t>VÄRMLANDS LÄN</t>
        </is>
      </c>
      <c r="G2138" t="inlineStr">
        <is>
          <t>ÅRJÄNG</t>
        </is>
      </c>
      <c r="I2138" t="n">
        <v>1.1</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57588-2023</t>
        </is>
      </c>
      <c r="B2139" t="inlineStr">
        <is>
          <t>avverkningsanmälan</t>
        </is>
      </c>
      <c r="C2139" t="inlineStr">
        <is>
          <t>Föryngringsavverkning</t>
        </is>
      </c>
      <c r="D2139" s="1" t="n">
        <v>45246</v>
      </c>
      <c r="E2139" s="1" t="n">
        <v>46307</v>
      </c>
      <c r="F2139" t="inlineStr">
        <is>
          <t>VÄRMLANDS LÄN</t>
        </is>
      </c>
      <c r="G2139" t="inlineStr">
        <is>
          <t>FILIPSTAD</t>
        </is>
      </c>
      <c r="H2139" t="inlineStr">
        <is>
          <t>Bergvik skog väst AB</t>
        </is>
      </c>
      <c r="I2139" t="n">
        <v>2.3</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47343-2023</t>
        </is>
      </c>
      <c r="B2140" t="inlineStr">
        <is>
          <t>avverkningsanmälan</t>
        </is>
      </c>
      <c r="C2140" t="inlineStr">
        <is>
          <t>Föryngringsavverkning</t>
        </is>
      </c>
      <c r="D2140" s="1" t="n">
        <v>45202</v>
      </c>
      <c r="E2140" s="1" t="n">
        <v>46307</v>
      </c>
      <c r="F2140" t="inlineStr">
        <is>
          <t>VÄRMLANDS LÄN</t>
        </is>
      </c>
      <c r="G2140" t="inlineStr">
        <is>
          <t>ARVIKA</t>
        </is>
      </c>
      <c r="I2140" t="n">
        <v>1.5</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59449-2022</t>
        </is>
      </c>
      <c r="B2141" t="inlineStr">
        <is>
          <t>avverkningsanmälan</t>
        </is>
      </c>
      <c r="C2141" t="inlineStr">
        <is>
          <t>Föryngringsavverkning</t>
        </is>
      </c>
      <c r="D2141" s="1" t="n">
        <v>44907</v>
      </c>
      <c r="E2141" s="1" t="n">
        <v>46307</v>
      </c>
      <c r="F2141" t="inlineStr">
        <is>
          <t>VÄRMLANDS LÄN</t>
        </is>
      </c>
      <c r="G2141" t="inlineStr">
        <is>
          <t>STORFORS</t>
        </is>
      </c>
      <c r="I2141" t="n">
        <v>2.1</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38770-2022</t>
        </is>
      </c>
      <c r="B2142" t="inlineStr">
        <is>
          <t>avverkningsanmälan</t>
        </is>
      </c>
      <c r="C2142" t="inlineStr">
        <is>
          <t>Föryngringsavverkning</t>
        </is>
      </c>
      <c r="D2142" s="1" t="n">
        <v>44816</v>
      </c>
      <c r="E2142" s="1" t="n">
        <v>46307</v>
      </c>
      <c r="F2142" t="inlineStr">
        <is>
          <t>VÄRMLANDS LÄN</t>
        </is>
      </c>
      <c r="G2142" t="inlineStr">
        <is>
          <t>KARLSTAD</t>
        </is>
      </c>
      <c r="I2142" t="n">
        <v>1.5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47368-2023</t>
        </is>
      </c>
      <c r="B2143" t="inlineStr">
        <is>
          <t>avverkningsanmälan</t>
        </is>
      </c>
      <c r="C2143" t="inlineStr">
        <is>
          <t>Föryngringsavverkning</t>
        </is>
      </c>
      <c r="D2143" s="1" t="n">
        <v>45202</v>
      </c>
      <c r="E2143" s="1" t="n">
        <v>46307</v>
      </c>
      <c r="F2143" t="inlineStr">
        <is>
          <t>VÄRMLANDS LÄN</t>
        </is>
      </c>
      <c r="G2143" t="inlineStr">
        <is>
          <t>KRISTINEHAMN</t>
        </is>
      </c>
      <c r="I2143" t="n">
        <v>5</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11053-2024</t>
        </is>
      </c>
      <c r="B2144" t="inlineStr">
        <is>
          <t>avverkningsanmälan</t>
        </is>
      </c>
      <c r="C2144" t="inlineStr">
        <is>
          <t>Föryngringsavverkning</t>
        </is>
      </c>
      <c r="D2144" s="1" t="n">
        <v>45370</v>
      </c>
      <c r="E2144" s="1" t="n">
        <v>46307</v>
      </c>
      <c r="F2144" t="inlineStr">
        <is>
          <t>VÄRMLANDS LÄN</t>
        </is>
      </c>
      <c r="G2144" t="inlineStr">
        <is>
          <t>KARLSTAD</t>
        </is>
      </c>
      <c r="I2144" t="n">
        <v>1.8</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56574-2023</t>
        </is>
      </c>
      <c r="B2145" t="inlineStr">
        <is>
          <t>avverkningsanmälan</t>
        </is>
      </c>
      <c r="C2145" t="inlineStr">
        <is>
          <t>Föryngringsavverkning</t>
        </is>
      </c>
      <c r="D2145" s="1" t="n">
        <v>45243</v>
      </c>
      <c r="E2145" s="1" t="n">
        <v>46307</v>
      </c>
      <c r="F2145" t="inlineStr">
        <is>
          <t>VÄRMLANDS LÄN</t>
        </is>
      </c>
      <c r="G2145" t="inlineStr">
        <is>
          <t>KARLSTAD</t>
        </is>
      </c>
      <c r="I2145" t="n">
        <v>2.2</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43302-2022</t>
        </is>
      </c>
      <c r="B2146" t="inlineStr">
        <is>
          <t>avverkningsanmälan</t>
        </is>
      </c>
      <c r="C2146" t="inlineStr">
        <is>
          <t>Föryngringsavverkning</t>
        </is>
      </c>
      <c r="D2146" s="1" t="n">
        <v>44834</v>
      </c>
      <c r="E2146" s="1" t="n">
        <v>46307</v>
      </c>
      <c r="F2146" t="inlineStr">
        <is>
          <t>VÄRMLANDS LÄN</t>
        </is>
      </c>
      <c r="G2146" t="inlineStr">
        <is>
          <t>SUNNE</t>
        </is>
      </c>
      <c r="I2146" t="n">
        <v>1.2</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5744-2024</t>
        </is>
      </c>
      <c r="B2147" t="inlineStr">
        <is>
          <t>avverkningsanmälan</t>
        </is>
      </c>
      <c r="C2147" t="inlineStr">
        <is>
          <t>Föryngringsavverkning</t>
        </is>
      </c>
      <c r="D2147" s="1" t="n">
        <v>45335</v>
      </c>
      <c r="E2147" s="1" t="n">
        <v>46307</v>
      </c>
      <c r="F2147" t="inlineStr">
        <is>
          <t>VÄRMLANDS LÄN</t>
        </is>
      </c>
      <c r="G2147" t="inlineStr">
        <is>
          <t>ARVIKA</t>
        </is>
      </c>
      <c r="I2147" t="n">
        <v>6.2</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24112-2024</t>
        </is>
      </c>
      <c r="B2148" t="inlineStr">
        <is>
          <t>avverkningsanmälan</t>
        </is>
      </c>
      <c r="C2148" t="inlineStr">
        <is>
          <t>Föryngringsavverkning</t>
        </is>
      </c>
      <c r="D2148" s="1" t="n">
        <v>45456</v>
      </c>
      <c r="E2148" s="1" t="n">
        <v>46307</v>
      </c>
      <c r="F2148" t="inlineStr">
        <is>
          <t>VÄRMLANDS LÄN</t>
        </is>
      </c>
      <c r="G2148" t="inlineStr">
        <is>
          <t>EDA</t>
        </is>
      </c>
      <c r="I2148" t="n">
        <v>6.6</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56738-2024</t>
        </is>
      </c>
      <c r="B2149" t="inlineStr">
        <is>
          <t>avverkningsanmälan</t>
        </is>
      </c>
      <c r="C2149" t="inlineStr">
        <is>
          <t>Föryngringsavverkning</t>
        </is>
      </c>
      <c r="D2149" s="1" t="n">
        <v>45628</v>
      </c>
      <c r="E2149" s="1" t="n">
        <v>46307</v>
      </c>
      <c r="F2149" t="inlineStr">
        <is>
          <t>VÄRMLANDS LÄN</t>
        </is>
      </c>
      <c r="G2149" t="inlineStr">
        <is>
          <t>SUNNE</t>
        </is>
      </c>
      <c r="I2149" t="n">
        <v>2.3</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18740-2024</t>
        </is>
      </c>
      <c r="B2150" t="inlineStr">
        <is>
          <t>avverkningsanmälan</t>
        </is>
      </c>
      <c r="C2150" t="inlineStr">
        <is>
          <t>Föryngringsavverkning</t>
        </is>
      </c>
      <c r="D2150" s="1" t="n">
        <v>45426</v>
      </c>
      <c r="E2150" s="1" t="n">
        <v>46307</v>
      </c>
      <c r="F2150" t="inlineStr">
        <is>
          <t>VÄRMLANDS LÄN</t>
        </is>
      </c>
      <c r="G2150" t="inlineStr">
        <is>
          <t>SUNNE</t>
        </is>
      </c>
      <c r="I2150" t="n">
        <v>1.7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34891-2023</t>
        </is>
      </c>
      <c r="B2151" t="inlineStr">
        <is>
          <t>avverkningsanmälan</t>
        </is>
      </c>
      <c r="C2151" t="inlineStr">
        <is>
          <t>Föryngringsavverkning</t>
        </is>
      </c>
      <c r="D2151" s="1" t="n">
        <v>45141</v>
      </c>
      <c r="E2151" s="1" t="n">
        <v>46307</v>
      </c>
      <c r="F2151" t="inlineStr">
        <is>
          <t>VÄRMLANDS LÄN</t>
        </is>
      </c>
      <c r="G2151" t="inlineStr">
        <is>
          <t>KRISTINEHAMN</t>
        </is>
      </c>
      <c r="I2151" t="n">
        <v>3.7</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20337-2023</t>
        </is>
      </c>
      <c r="B2152" t="inlineStr">
        <is>
          <t>avverkningsanmälan</t>
        </is>
      </c>
      <c r="C2152" t="inlineStr">
        <is>
          <t>Föryngringsavverkning</t>
        </is>
      </c>
      <c r="D2152" s="1" t="n">
        <v>45056</v>
      </c>
      <c r="E2152" s="1" t="n">
        <v>46307</v>
      </c>
      <c r="F2152" t="inlineStr">
        <is>
          <t>VÄRMLANDS LÄN</t>
        </is>
      </c>
      <c r="G2152" t="inlineStr">
        <is>
          <t>ÅRJÄNG</t>
        </is>
      </c>
      <c r="I2152" t="n">
        <v>3.1</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29615-2022</t>
        </is>
      </c>
      <c r="B2153" t="inlineStr">
        <is>
          <t>avverkningsanmälan</t>
        </is>
      </c>
      <c r="C2153" t="inlineStr">
        <is>
          <t>Föryngringsavverkning</t>
        </is>
      </c>
      <c r="D2153" s="1" t="n">
        <v>44754</v>
      </c>
      <c r="E2153" s="1" t="n">
        <v>46307</v>
      </c>
      <c r="F2153" t="inlineStr">
        <is>
          <t>VÄRMLANDS LÄN</t>
        </is>
      </c>
      <c r="G2153" t="inlineStr">
        <is>
          <t>KIL</t>
        </is>
      </c>
      <c r="H2153" t="inlineStr">
        <is>
          <t>Kyrkan</t>
        </is>
      </c>
      <c r="I2153" t="n">
        <v>3.9</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30249-2022</t>
        </is>
      </c>
      <c r="B2154" t="inlineStr">
        <is>
          <t>avverkningsanmälan</t>
        </is>
      </c>
      <c r="C2154" t="inlineStr">
        <is>
          <t>Föryngringsavverkning</t>
        </is>
      </c>
      <c r="D2154" s="1" t="n">
        <v>44758</v>
      </c>
      <c r="E2154" s="1" t="n">
        <v>46307</v>
      </c>
      <c r="F2154" t="inlineStr">
        <is>
          <t>VÄRMLANDS LÄN</t>
        </is>
      </c>
      <c r="G2154" t="inlineStr">
        <is>
          <t>SÄFFLE</t>
        </is>
      </c>
      <c r="I2154" t="n">
        <v>1.5</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40352-2023</t>
        </is>
      </c>
      <c r="B2155" t="inlineStr">
        <is>
          <t>avverkningsanmälan</t>
        </is>
      </c>
      <c r="C2155" t="inlineStr">
        <is>
          <t>Föryngringsavverkning</t>
        </is>
      </c>
      <c r="D2155" s="1" t="n">
        <v>45168</v>
      </c>
      <c r="E2155" s="1" t="n">
        <v>46307</v>
      </c>
      <c r="F2155" t="inlineStr">
        <is>
          <t>VÄRMLANDS LÄN</t>
        </is>
      </c>
      <c r="G2155" t="inlineStr">
        <is>
          <t>ÅRJÄNG</t>
        </is>
      </c>
      <c r="I2155" t="n">
        <v>3.4</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929-2025</t>
        </is>
      </c>
      <c r="B2156" t="inlineStr">
        <is>
          <t>avverkningsanmälan</t>
        </is>
      </c>
      <c r="C2156" t="inlineStr">
        <is>
          <t>Föryngringsavverkning</t>
        </is>
      </c>
      <c r="D2156" s="1" t="n">
        <v>45665</v>
      </c>
      <c r="E2156" s="1" t="n">
        <v>46307</v>
      </c>
      <c r="F2156" t="inlineStr">
        <is>
          <t>VÄRMLANDS LÄN</t>
        </is>
      </c>
      <c r="G2156" t="inlineStr">
        <is>
          <t>ARVIKA</t>
        </is>
      </c>
      <c r="I2156" t="n">
        <v>0.5</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48524-2023</t>
        </is>
      </c>
      <c r="B2157" t="inlineStr">
        <is>
          <t>avverkningsanmälan</t>
        </is>
      </c>
      <c r="C2157" t="inlineStr">
        <is>
          <t>Föryngringsavverkning</t>
        </is>
      </c>
      <c r="D2157" s="1" t="n">
        <v>45208</v>
      </c>
      <c r="E2157" s="1" t="n">
        <v>46307</v>
      </c>
      <c r="F2157" t="inlineStr">
        <is>
          <t>VÄRMLANDS LÄN</t>
        </is>
      </c>
      <c r="G2157" t="inlineStr">
        <is>
          <t>FILIPSTAD</t>
        </is>
      </c>
      <c r="I2157" t="n">
        <v>2.1</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58707-2024</t>
        </is>
      </c>
      <c r="B2158" t="inlineStr">
        <is>
          <t>avverkningsanmälan</t>
        </is>
      </c>
      <c r="C2158" t="inlineStr">
        <is>
          <t>Föryngringsavverkning</t>
        </is>
      </c>
      <c r="D2158" s="1" t="n">
        <v>45635</v>
      </c>
      <c r="E2158" s="1" t="n">
        <v>46307</v>
      </c>
      <c r="F2158" t="inlineStr">
        <is>
          <t>VÄRMLANDS LÄN</t>
        </is>
      </c>
      <c r="G2158" t="inlineStr">
        <is>
          <t>TORSBY</t>
        </is>
      </c>
      <c r="I2158" t="n">
        <v>0.9</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57257-2024</t>
        </is>
      </c>
      <c r="B2159" t="inlineStr">
        <is>
          <t>avverkningsanmälan</t>
        </is>
      </c>
      <c r="C2159" t="inlineStr">
        <is>
          <t>Föryngringsavverkning</t>
        </is>
      </c>
      <c r="D2159" s="1" t="n">
        <v>45629</v>
      </c>
      <c r="E2159" s="1" t="n">
        <v>46307</v>
      </c>
      <c r="F2159" t="inlineStr">
        <is>
          <t>VÄRMLANDS LÄN</t>
        </is>
      </c>
      <c r="G2159" t="inlineStr">
        <is>
          <t>EDA</t>
        </is>
      </c>
      <c r="I2159" t="n">
        <v>1.2</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42045-2024</t>
        </is>
      </c>
      <c r="B2160" t="inlineStr">
        <is>
          <t>avverkningsanmälan</t>
        </is>
      </c>
      <c r="C2160" t="inlineStr">
        <is>
          <t>Föryngringsavverkning</t>
        </is>
      </c>
      <c r="D2160" s="1" t="n">
        <v>45561</v>
      </c>
      <c r="E2160" s="1" t="n">
        <v>46307</v>
      </c>
      <c r="F2160" t="inlineStr">
        <is>
          <t>VÄRMLANDS LÄN</t>
        </is>
      </c>
      <c r="G2160" t="inlineStr">
        <is>
          <t>ÅRJÄNG</t>
        </is>
      </c>
      <c r="I2160" t="n">
        <v>1.9</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27760-2023</t>
        </is>
      </c>
      <c r="B2161" t="inlineStr">
        <is>
          <t>avverkningsanmälan</t>
        </is>
      </c>
      <c r="C2161" t="inlineStr">
        <is>
          <t>Föryngringsavverkning</t>
        </is>
      </c>
      <c r="D2161" s="1" t="n">
        <v>45098</v>
      </c>
      <c r="E2161" s="1" t="n">
        <v>46307</v>
      </c>
      <c r="F2161" t="inlineStr">
        <is>
          <t>VÄRMLANDS LÄN</t>
        </is>
      </c>
      <c r="G2161" t="inlineStr">
        <is>
          <t>ARVIKA</t>
        </is>
      </c>
      <c r="I2161" t="n">
        <v>1</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14897-2024</t>
        </is>
      </c>
      <c r="B2162" t="inlineStr">
        <is>
          <t>avverkningsanmälan</t>
        </is>
      </c>
      <c r="C2162" t="inlineStr">
        <is>
          <t>Föryngringsavverkning</t>
        </is>
      </c>
      <c r="D2162" s="1" t="n">
        <v>45398</v>
      </c>
      <c r="E2162" s="1" t="n">
        <v>46307</v>
      </c>
      <c r="F2162" t="inlineStr">
        <is>
          <t>VÄRMLANDS LÄN</t>
        </is>
      </c>
      <c r="G2162" t="inlineStr">
        <is>
          <t>HAGFORS</t>
        </is>
      </c>
      <c r="I2162" t="n">
        <v>5.2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42557-2022</t>
        </is>
      </c>
      <c r="B2163" t="inlineStr">
        <is>
          <t>avverkningsanmälan</t>
        </is>
      </c>
      <c r="C2163" t="inlineStr">
        <is>
          <t>Föryngringsavverkning</t>
        </is>
      </c>
      <c r="D2163" s="1" t="n">
        <v>44831</v>
      </c>
      <c r="E2163" s="1" t="n">
        <v>46307</v>
      </c>
      <c r="F2163" t="inlineStr">
        <is>
          <t>VÄRMLANDS LÄN</t>
        </is>
      </c>
      <c r="G2163" t="inlineStr">
        <is>
          <t>GRUMS</t>
        </is>
      </c>
      <c r="I2163" t="n">
        <v>13.7</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1923-2024</t>
        </is>
      </c>
      <c r="B2164" t="inlineStr">
        <is>
          <t>avverkningsanmälan</t>
        </is>
      </c>
      <c r="C2164" t="inlineStr">
        <is>
          <t>Föryngringsavverkning</t>
        </is>
      </c>
      <c r="D2164" s="1" t="n">
        <v>45308</v>
      </c>
      <c r="E2164" s="1" t="n">
        <v>46307</v>
      </c>
      <c r="F2164" t="inlineStr">
        <is>
          <t>VÄRMLANDS LÄN</t>
        </is>
      </c>
      <c r="G2164" t="inlineStr">
        <is>
          <t>EDA</t>
        </is>
      </c>
      <c r="I2164" t="n">
        <v>1.2</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1931-2024</t>
        </is>
      </c>
      <c r="B2165" t="inlineStr">
        <is>
          <t>avverkningsanmälan</t>
        </is>
      </c>
      <c r="C2165" t="inlineStr">
        <is>
          <t>Föryngringsavverkning</t>
        </is>
      </c>
      <c r="D2165" s="1" t="n">
        <v>45308</v>
      </c>
      <c r="E2165" s="1" t="n">
        <v>46307</v>
      </c>
      <c r="F2165" t="inlineStr">
        <is>
          <t>VÄRMLANDS LÄN</t>
        </is>
      </c>
      <c r="G2165" t="inlineStr">
        <is>
          <t>HAGFORS</t>
        </is>
      </c>
      <c r="I2165" t="n">
        <v>1.7</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1963-2024</t>
        </is>
      </c>
      <c r="B2166" t="inlineStr">
        <is>
          <t>avverkningsanmälan</t>
        </is>
      </c>
      <c r="C2166" t="inlineStr">
        <is>
          <t>Föryngringsavverkning</t>
        </is>
      </c>
      <c r="D2166" s="1" t="n">
        <v>45308</v>
      </c>
      <c r="E2166" s="1" t="n">
        <v>46307</v>
      </c>
      <c r="F2166" t="inlineStr">
        <is>
          <t>VÄRMLANDS LÄN</t>
        </is>
      </c>
      <c r="G2166" t="inlineStr">
        <is>
          <t>SUNNE</t>
        </is>
      </c>
      <c r="I2166" t="n">
        <v>1</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26681-2023</t>
        </is>
      </c>
      <c r="B2167" t="inlineStr">
        <is>
          <t>avverkningsanmälan</t>
        </is>
      </c>
      <c r="C2167" t="inlineStr">
        <is>
          <t>Föryngringsavverkning</t>
        </is>
      </c>
      <c r="D2167" s="1" t="n">
        <v>45093</v>
      </c>
      <c r="E2167" s="1" t="n">
        <v>46307</v>
      </c>
      <c r="F2167" t="inlineStr">
        <is>
          <t>VÄRMLANDS LÄN</t>
        </is>
      </c>
      <c r="G2167" t="inlineStr">
        <is>
          <t>SUNNE</t>
        </is>
      </c>
      <c r="I2167" t="n">
        <v>2.4</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23189-2024</t>
        </is>
      </c>
      <c r="B2168" t="inlineStr">
        <is>
          <t>avverkningsanmälan</t>
        </is>
      </c>
      <c r="C2168" t="inlineStr">
        <is>
          <t>Föryngringsavverkning</t>
        </is>
      </c>
      <c r="D2168" s="1" t="n">
        <v>45450</v>
      </c>
      <c r="E2168" s="1" t="n">
        <v>46307</v>
      </c>
      <c r="F2168" t="inlineStr">
        <is>
          <t>VÄRMLANDS LÄN</t>
        </is>
      </c>
      <c r="G2168" t="inlineStr">
        <is>
          <t>GRUMS</t>
        </is>
      </c>
      <c r="H2168" t="inlineStr">
        <is>
          <t>Bergvik skog väst AB</t>
        </is>
      </c>
      <c r="I2168" t="n">
        <v>1.9</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53074-2022</t>
        </is>
      </c>
      <c r="B2169" t="inlineStr">
        <is>
          <t>avverkningsanmälan</t>
        </is>
      </c>
      <c r="C2169" t="inlineStr">
        <is>
          <t>Föryngringsavverkning</t>
        </is>
      </c>
      <c r="D2169" s="1" t="n">
        <v>44876</v>
      </c>
      <c r="E2169" s="1" t="n">
        <v>46307</v>
      </c>
      <c r="F2169" t="inlineStr">
        <is>
          <t>VÄRMLANDS LÄN</t>
        </is>
      </c>
      <c r="G2169" t="inlineStr">
        <is>
          <t>FORSHAGA</t>
        </is>
      </c>
      <c r="I2169" t="n">
        <v>5</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56634-2024</t>
        </is>
      </c>
      <c r="B2170" t="inlineStr">
        <is>
          <t>avverkningsanmälan</t>
        </is>
      </c>
      <c r="C2170" t="inlineStr">
        <is>
          <t>Föryngringsavverkning</t>
        </is>
      </c>
      <c r="D2170" s="1" t="n">
        <v>45625</v>
      </c>
      <c r="E2170" s="1" t="n">
        <v>46307</v>
      </c>
      <c r="F2170" t="inlineStr">
        <is>
          <t>VÄRMLANDS LÄN</t>
        </is>
      </c>
      <c r="G2170" t="inlineStr">
        <is>
          <t>TORSBY</t>
        </is>
      </c>
      <c r="I2170" t="n">
        <v>1</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55227-2023</t>
        </is>
      </c>
      <c r="B2171" t="inlineStr">
        <is>
          <t>avverkningsanmälan</t>
        </is>
      </c>
      <c r="C2171" t="inlineStr">
        <is>
          <t>Föryngringsavverkning</t>
        </is>
      </c>
      <c r="D2171" s="1" t="n">
        <v>45231</v>
      </c>
      <c r="E2171" s="1" t="n">
        <v>46307</v>
      </c>
      <c r="F2171" t="inlineStr">
        <is>
          <t>VÄRMLANDS LÄN</t>
        </is>
      </c>
      <c r="G2171" t="inlineStr">
        <is>
          <t>GRUMS</t>
        </is>
      </c>
      <c r="I2171" t="n">
        <v>2.4</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36001-2023</t>
        </is>
      </c>
      <c r="B2172" t="inlineStr">
        <is>
          <t>avverkningsanmälan</t>
        </is>
      </c>
      <c r="C2172" t="inlineStr">
        <is>
          <t>Föryngringsavverkning</t>
        </is>
      </c>
      <c r="D2172" s="1" t="n">
        <v>45149</v>
      </c>
      <c r="E2172" s="1" t="n">
        <v>46307</v>
      </c>
      <c r="F2172" t="inlineStr">
        <is>
          <t>VÄRMLANDS LÄN</t>
        </is>
      </c>
      <c r="G2172" t="inlineStr">
        <is>
          <t>SÄFFLE</t>
        </is>
      </c>
      <c r="I2172" t="n">
        <v>8.300000000000001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36013-2023</t>
        </is>
      </c>
      <c r="B2173" t="inlineStr">
        <is>
          <t>avverkningsanmälan</t>
        </is>
      </c>
      <c r="C2173" t="inlineStr">
        <is>
          <t>Föryngringsavverkning</t>
        </is>
      </c>
      <c r="D2173" s="1" t="n">
        <v>45149</v>
      </c>
      <c r="E2173" s="1" t="n">
        <v>46307</v>
      </c>
      <c r="F2173" t="inlineStr">
        <is>
          <t>VÄRMLANDS LÄN</t>
        </is>
      </c>
      <c r="G2173" t="inlineStr">
        <is>
          <t>HAGFORS</t>
        </is>
      </c>
      <c r="I2173" t="n">
        <v>3.9</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17620-2025</t>
        </is>
      </c>
      <c r="B2174" t="inlineStr">
        <is>
          <t>avverkningsanmälan</t>
        </is>
      </c>
      <c r="C2174" t="inlineStr">
        <is>
          <t>Föryngringsavverkning</t>
        </is>
      </c>
      <c r="D2174" s="1" t="n">
        <v>45757</v>
      </c>
      <c r="E2174" s="1" t="n">
        <v>46307</v>
      </c>
      <c r="F2174" t="inlineStr">
        <is>
          <t>VÄRMLANDS LÄN</t>
        </is>
      </c>
      <c r="G2174" t="inlineStr">
        <is>
          <t>ARVIKA</t>
        </is>
      </c>
      <c r="I2174" t="n">
        <v>0.9</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42241-2024</t>
        </is>
      </c>
      <c r="B2175" t="inlineStr">
        <is>
          <t>avverkningsanmälan</t>
        </is>
      </c>
      <c r="C2175" t="inlineStr">
        <is>
          <t>Föryngringsavverkning</t>
        </is>
      </c>
      <c r="D2175" s="1" t="n">
        <v>45562</v>
      </c>
      <c r="E2175" s="1" t="n">
        <v>46307</v>
      </c>
      <c r="F2175" t="inlineStr">
        <is>
          <t>VÄRMLANDS LÄN</t>
        </is>
      </c>
      <c r="G2175" t="inlineStr">
        <is>
          <t>ÅRJÄNG</t>
        </is>
      </c>
      <c r="I2175" t="n">
        <v>4</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29042-2023</t>
        </is>
      </c>
      <c r="B2176" t="inlineStr">
        <is>
          <t>avverkningsanmälan</t>
        </is>
      </c>
      <c r="C2176" t="inlineStr">
        <is>
          <t>Föryngringsavverkning</t>
        </is>
      </c>
      <c r="D2176" s="1" t="n">
        <v>45104</v>
      </c>
      <c r="E2176" s="1" t="n">
        <v>46307</v>
      </c>
      <c r="F2176" t="inlineStr">
        <is>
          <t>VÄRMLANDS LÄN</t>
        </is>
      </c>
      <c r="G2176" t="inlineStr">
        <is>
          <t>TORSBY</t>
        </is>
      </c>
      <c r="I2176" t="n">
        <v>2.8</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25495-2024</t>
        </is>
      </c>
      <c r="B2177" t="inlineStr">
        <is>
          <t>avverkningsanmälan</t>
        </is>
      </c>
      <c r="C2177" t="inlineStr">
        <is>
          <t>Föryngringsavverkning</t>
        </is>
      </c>
      <c r="D2177" s="1" t="n">
        <v>45463</v>
      </c>
      <c r="E2177" s="1" t="n">
        <v>46307</v>
      </c>
      <c r="F2177" t="inlineStr">
        <is>
          <t>VÄRMLANDS LÄN</t>
        </is>
      </c>
      <c r="G2177" t="inlineStr">
        <is>
          <t>ÅRJÄNG</t>
        </is>
      </c>
      <c r="H2177" t="inlineStr">
        <is>
          <t>Kyrkan</t>
        </is>
      </c>
      <c r="I2177" t="n">
        <v>9.800000000000001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42792-2024</t>
        </is>
      </c>
      <c r="B2178" t="inlineStr">
        <is>
          <t>avverkningsanmälan</t>
        </is>
      </c>
      <c r="C2178" t="inlineStr">
        <is>
          <t>Föryngringsavverkning</t>
        </is>
      </c>
      <c r="D2178" s="1" t="n">
        <v>45566</v>
      </c>
      <c r="E2178" s="1" t="n">
        <v>46307</v>
      </c>
      <c r="F2178" t="inlineStr">
        <is>
          <t>VÄRMLANDS LÄN</t>
        </is>
      </c>
      <c r="G2178" t="inlineStr">
        <is>
          <t>SUNNE</t>
        </is>
      </c>
      <c r="I2178" t="n">
        <v>2.8</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40323-2024</t>
        </is>
      </c>
      <c r="B2179" t="inlineStr">
        <is>
          <t>avverkningsanmälan</t>
        </is>
      </c>
      <c r="C2179" t="inlineStr">
        <is>
          <t>Föryngringsavverkning</t>
        </is>
      </c>
      <c r="D2179" s="1" t="n">
        <v>45554</v>
      </c>
      <c r="E2179" s="1" t="n">
        <v>46307</v>
      </c>
      <c r="F2179" t="inlineStr">
        <is>
          <t>VÄRMLANDS LÄN</t>
        </is>
      </c>
      <c r="G2179" t="inlineStr">
        <is>
          <t>EDA</t>
        </is>
      </c>
      <c r="I2179" t="n">
        <v>2.6</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54011-2024</t>
        </is>
      </c>
      <c r="B2180" t="inlineStr">
        <is>
          <t>avverkningsanmälan</t>
        </is>
      </c>
      <c r="C2180" t="inlineStr">
        <is>
          <t>Föryngringsavverkning</t>
        </is>
      </c>
      <c r="D2180" s="1" t="n">
        <v>45616</v>
      </c>
      <c r="E2180" s="1" t="n">
        <v>46307</v>
      </c>
      <c r="F2180" t="inlineStr">
        <is>
          <t>VÄRMLANDS LÄN</t>
        </is>
      </c>
      <c r="G2180" t="inlineStr">
        <is>
          <t>TORSBY</t>
        </is>
      </c>
      <c r="H2180" t="inlineStr">
        <is>
          <t>Kommuner</t>
        </is>
      </c>
      <c r="I2180" t="n">
        <v>0.9</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2522-2024</t>
        </is>
      </c>
      <c r="B2181" t="inlineStr">
        <is>
          <t>avverkningsanmälan</t>
        </is>
      </c>
      <c r="C2181" t="inlineStr">
        <is>
          <t>Föryngringsavverkning</t>
        </is>
      </c>
      <c r="D2181" s="1" t="n">
        <v>45313</v>
      </c>
      <c r="E2181" s="1" t="n">
        <v>46307</v>
      </c>
      <c r="F2181" t="inlineStr">
        <is>
          <t>VÄRMLANDS LÄN</t>
        </is>
      </c>
      <c r="G2181" t="inlineStr">
        <is>
          <t>KRISTINEHAMN</t>
        </is>
      </c>
      <c r="I2181" t="n">
        <v>11.2</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37752-2022</t>
        </is>
      </c>
      <c r="B2182" t="inlineStr">
        <is>
          <t>avverkningsanmälan</t>
        </is>
      </c>
      <c r="C2182" t="inlineStr">
        <is>
          <t>Föryngringsavverkning</t>
        </is>
      </c>
      <c r="D2182" s="1" t="n">
        <v>44810</v>
      </c>
      <c r="E2182" s="1" t="n">
        <v>46307</v>
      </c>
      <c r="F2182" t="inlineStr">
        <is>
          <t>VÄRMLANDS LÄN</t>
        </is>
      </c>
      <c r="G2182" t="inlineStr">
        <is>
          <t>TORSBY</t>
        </is>
      </c>
      <c r="H2182" t="inlineStr">
        <is>
          <t>Kyrkan</t>
        </is>
      </c>
      <c r="I2182" t="n">
        <v>4.5</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54026-2024</t>
        </is>
      </c>
      <c r="B2183" t="inlineStr">
        <is>
          <t>avverkningsanmälan</t>
        </is>
      </c>
      <c r="C2183" t="inlineStr">
        <is>
          <t>Föryngringsavverkning</t>
        </is>
      </c>
      <c r="D2183" s="1" t="n">
        <v>45616</v>
      </c>
      <c r="E2183" s="1" t="n">
        <v>46307</v>
      </c>
      <c r="F2183" t="inlineStr">
        <is>
          <t>VÄRMLANDS LÄN</t>
        </is>
      </c>
      <c r="G2183" t="inlineStr">
        <is>
          <t>TORSBY</t>
        </is>
      </c>
      <c r="I2183" t="n">
        <v>8.4</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61259-2024</t>
        </is>
      </c>
      <c r="B2184" t="inlineStr">
        <is>
          <t>avverkningsanmälan</t>
        </is>
      </c>
      <c r="C2184" t="inlineStr">
        <is>
          <t>Föryngringsavverkning</t>
        </is>
      </c>
      <c r="D2184" s="1" t="n">
        <v>45645</v>
      </c>
      <c r="E2184" s="1" t="n">
        <v>46307</v>
      </c>
      <c r="F2184" t="inlineStr">
        <is>
          <t>VÄRMLANDS LÄN</t>
        </is>
      </c>
      <c r="G2184" t="inlineStr">
        <is>
          <t>TORSBY</t>
        </is>
      </c>
      <c r="I2184" t="n">
        <v>1.2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42169-2024</t>
        </is>
      </c>
      <c r="B2185" t="inlineStr">
        <is>
          <t>avverkningsanmälan</t>
        </is>
      </c>
      <c r="C2185" t="inlineStr">
        <is>
          <t>Föryngringsavverkning</t>
        </is>
      </c>
      <c r="D2185" s="1" t="n">
        <v>45562</v>
      </c>
      <c r="E2185" s="1" t="n">
        <v>46307</v>
      </c>
      <c r="F2185" t="inlineStr">
        <is>
          <t>VÄRMLANDS LÄN</t>
        </is>
      </c>
      <c r="G2185" t="inlineStr">
        <is>
          <t>HAGFORS</t>
        </is>
      </c>
      <c r="H2185" t="inlineStr">
        <is>
          <t>Bergvik skog väst AB</t>
        </is>
      </c>
      <c r="I2185" t="n">
        <v>0.9</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10374-2022</t>
        </is>
      </c>
      <c r="B2186" t="inlineStr">
        <is>
          <t>avverkningsanmälan</t>
        </is>
      </c>
      <c r="C2186" t="inlineStr">
        <is>
          <t>Föryngringsavverkning</t>
        </is>
      </c>
      <c r="D2186" s="1" t="n">
        <v>44623</v>
      </c>
      <c r="E2186" s="1" t="n">
        <v>46307</v>
      </c>
      <c r="F2186" t="inlineStr">
        <is>
          <t>VÄRMLANDS LÄN</t>
        </is>
      </c>
      <c r="G2186" t="inlineStr">
        <is>
          <t>KIL</t>
        </is>
      </c>
      <c r="I2186" t="n">
        <v>1.5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56895-2023</t>
        </is>
      </c>
      <c r="B2187" t="inlineStr">
        <is>
          <t>avverkningsanmälan</t>
        </is>
      </c>
      <c r="C2187" t="inlineStr">
        <is>
          <t>Föryngringsavverkning</t>
        </is>
      </c>
      <c r="D2187" s="1" t="n">
        <v>45244</v>
      </c>
      <c r="E2187" s="1" t="n">
        <v>46307</v>
      </c>
      <c r="F2187" t="inlineStr">
        <is>
          <t>VÄRMLANDS LÄN</t>
        </is>
      </c>
      <c r="G2187" t="inlineStr">
        <is>
          <t>HAGFORS</t>
        </is>
      </c>
      <c r="I2187" t="n">
        <v>0.3</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540-2024</t>
        </is>
      </c>
      <c r="B2188" t="inlineStr">
        <is>
          <t>avverkningsanmälan</t>
        </is>
      </c>
      <c r="C2188" t="inlineStr">
        <is>
          <t>Föryngringsavverkning</t>
        </is>
      </c>
      <c r="D2188" s="1" t="n">
        <v>45299</v>
      </c>
      <c r="E2188" s="1" t="n">
        <v>46307</v>
      </c>
      <c r="F2188" t="inlineStr">
        <is>
          <t>VÄRMLANDS LÄN</t>
        </is>
      </c>
      <c r="G2188" t="inlineStr">
        <is>
          <t>ÅRJÄNG</t>
        </is>
      </c>
      <c r="H2188" t="inlineStr">
        <is>
          <t>Kyrkan</t>
        </is>
      </c>
      <c r="I2188" t="n">
        <v>7</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27243-2024</t>
        </is>
      </c>
      <c r="B2189" t="inlineStr">
        <is>
          <t>avverkningsanmälan</t>
        </is>
      </c>
      <c r="C2189" t="inlineStr">
        <is>
          <t>Föryngringsavverkning</t>
        </is>
      </c>
      <c r="D2189" s="1" t="n">
        <v>45471</v>
      </c>
      <c r="E2189" s="1" t="n">
        <v>46307</v>
      </c>
      <c r="F2189" t="inlineStr">
        <is>
          <t>VÄRMLANDS LÄN</t>
        </is>
      </c>
      <c r="G2189" t="inlineStr">
        <is>
          <t>SÄFFLE</t>
        </is>
      </c>
      <c r="I2189" t="n">
        <v>5.2</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16383-2022</t>
        </is>
      </c>
      <c r="B2190" t="inlineStr">
        <is>
          <t>avverkningsanmälan</t>
        </is>
      </c>
      <c r="C2190" t="inlineStr">
        <is>
          <t>Föryngringsavverkning</t>
        </is>
      </c>
      <c r="D2190" s="1" t="n">
        <v>44671</v>
      </c>
      <c r="E2190" s="1" t="n">
        <v>46307</v>
      </c>
      <c r="F2190" t="inlineStr">
        <is>
          <t>VÄRMLANDS LÄN</t>
        </is>
      </c>
      <c r="G2190" t="inlineStr">
        <is>
          <t>ÅRJÄNG</t>
        </is>
      </c>
      <c r="I2190" t="n">
        <v>1.8</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31532-2023</t>
        </is>
      </c>
      <c r="B2191" t="inlineStr">
        <is>
          <t>avverkningsanmälan</t>
        </is>
      </c>
      <c r="C2191" t="inlineStr">
        <is>
          <t>Föryngringsavverkning</t>
        </is>
      </c>
      <c r="D2191" s="1" t="n">
        <v>45116</v>
      </c>
      <c r="E2191" s="1" t="n">
        <v>46307</v>
      </c>
      <c r="F2191" t="inlineStr">
        <is>
          <t>VÄRMLANDS LÄN</t>
        </is>
      </c>
      <c r="G2191" t="inlineStr">
        <is>
          <t>ARVIKA</t>
        </is>
      </c>
      <c r="I2191" t="n">
        <v>2.5</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22826-2022</t>
        </is>
      </c>
      <c r="B2192" t="inlineStr">
        <is>
          <t>avverkningsanmälan</t>
        </is>
      </c>
      <c r="C2192" t="inlineStr">
        <is>
          <t>Föryngringsavverkning</t>
        </is>
      </c>
      <c r="D2192" s="1" t="n">
        <v>44714</v>
      </c>
      <c r="E2192" s="1" t="n">
        <v>46307</v>
      </c>
      <c r="F2192" t="inlineStr">
        <is>
          <t>VÄRMLANDS LÄN</t>
        </is>
      </c>
      <c r="G2192" t="inlineStr">
        <is>
          <t>TORSBY</t>
        </is>
      </c>
      <c r="I2192" t="n">
        <v>6.2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276-2024</t>
        </is>
      </c>
      <c r="B2193" t="inlineStr">
        <is>
          <t>avverkningsanmälan</t>
        </is>
      </c>
      <c r="C2193" t="inlineStr">
        <is>
          <t>Föryngringsavverkning</t>
        </is>
      </c>
      <c r="D2193" s="1" t="n">
        <v>45295</v>
      </c>
      <c r="E2193" s="1" t="n">
        <v>46307</v>
      </c>
      <c r="F2193" t="inlineStr">
        <is>
          <t>VÄRMLANDS LÄN</t>
        </is>
      </c>
      <c r="G2193" t="inlineStr">
        <is>
          <t>TORSBY</t>
        </is>
      </c>
      <c r="I2193" t="n">
        <v>2.5</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19410-2024</t>
        </is>
      </c>
      <c r="B2194" t="inlineStr">
        <is>
          <t>avverkningsanmälan</t>
        </is>
      </c>
      <c r="C2194" t="inlineStr">
        <is>
          <t>Föryngringsavverkning</t>
        </is>
      </c>
      <c r="D2194" s="1" t="n">
        <v>45429</v>
      </c>
      <c r="E2194" s="1" t="n">
        <v>46307</v>
      </c>
      <c r="F2194" t="inlineStr">
        <is>
          <t>VÄRMLANDS LÄN</t>
        </is>
      </c>
      <c r="G2194" t="inlineStr">
        <is>
          <t>ÅRJÄNG</t>
        </is>
      </c>
      <c r="I2194" t="n">
        <v>7.9</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19447-2024</t>
        </is>
      </c>
      <c r="B2195" t="inlineStr">
        <is>
          <t>avverkningsanmälan</t>
        </is>
      </c>
      <c r="C2195" t="inlineStr">
        <is>
          <t>Föryngringsavverkning</t>
        </is>
      </c>
      <c r="D2195" s="1" t="n">
        <v>45429</v>
      </c>
      <c r="E2195" s="1" t="n">
        <v>46307</v>
      </c>
      <c r="F2195" t="inlineStr">
        <is>
          <t>VÄRMLANDS LÄN</t>
        </is>
      </c>
      <c r="G2195" t="inlineStr">
        <is>
          <t>KRISTINEHAMN</t>
        </is>
      </c>
      <c r="I2195" t="n">
        <v>1</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65050-2023</t>
        </is>
      </c>
      <c r="B2196" t="inlineStr">
        <is>
          <t>avverkningsanmälan</t>
        </is>
      </c>
      <c r="C2196" t="inlineStr">
        <is>
          <t>Föryngringsavverkning</t>
        </is>
      </c>
      <c r="D2196" s="1" t="n">
        <v>45282</v>
      </c>
      <c r="E2196" s="1" t="n">
        <v>46307</v>
      </c>
      <c r="F2196" t="inlineStr">
        <is>
          <t>VÄRMLANDS LÄN</t>
        </is>
      </c>
      <c r="G2196" t="inlineStr">
        <is>
          <t>KRISTINEHAMN</t>
        </is>
      </c>
      <c r="I2196" t="n">
        <v>9.6</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3332-2025</t>
        </is>
      </c>
      <c r="B2197" t="inlineStr">
        <is>
          <t>avverkningsanmälan</t>
        </is>
      </c>
      <c r="C2197" t="inlineStr">
        <is>
          <t>Föryngringsavverkning</t>
        </is>
      </c>
      <c r="D2197" s="1" t="n">
        <v>45679</v>
      </c>
      <c r="E2197" s="1" t="n">
        <v>46307</v>
      </c>
      <c r="F2197" t="inlineStr">
        <is>
          <t>VÄRMLANDS LÄN</t>
        </is>
      </c>
      <c r="G2197" t="inlineStr">
        <is>
          <t>KRISTINEHAMN</t>
        </is>
      </c>
      <c r="I2197" t="n">
        <v>3.6</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9837-2023</t>
        </is>
      </c>
      <c r="B2198" t="inlineStr">
        <is>
          <t>avverkningsanmälan</t>
        </is>
      </c>
      <c r="C2198" t="inlineStr">
        <is>
          <t>Föryngringsavverkning</t>
        </is>
      </c>
      <c r="D2198" s="1" t="n">
        <v>44984</v>
      </c>
      <c r="E2198" s="1" t="n">
        <v>46307</v>
      </c>
      <c r="F2198" t="inlineStr">
        <is>
          <t>VÄRMLANDS LÄN</t>
        </is>
      </c>
      <c r="G2198" t="inlineStr">
        <is>
          <t>GRUMS</t>
        </is>
      </c>
      <c r="I2198" t="n">
        <v>0.6</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13620-2023</t>
        </is>
      </c>
      <c r="B2199" t="inlineStr">
        <is>
          <t>avverkningsanmälan</t>
        </is>
      </c>
      <c r="C2199" t="inlineStr">
        <is>
          <t>Föryngringsavverkning</t>
        </is>
      </c>
      <c r="D2199" s="1" t="n">
        <v>45006</v>
      </c>
      <c r="E2199" s="1" t="n">
        <v>46307</v>
      </c>
      <c r="F2199" t="inlineStr">
        <is>
          <t>VÄRMLANDS LÄN</t>
        </is>
      </c>
      <c r="G2199" t="inlineStr">
        <is>
          <t>ÅRJÄNG</t>
        </is>
      </c>
      <c r="I2199" t="n">
        <v>0.8</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2616-2025</t>
        </is>
      </c>
      <c r="B2200" t="inlineStr">
        <is>
          <t>avverkningsanmälan</t>
        </is>
      </c>
      <c r="C2200" t="inlineStr">
        <is>
          <t>Föryngringsavverkning</t>
        </is>
      </c>
      <c r="D2200" s="1" t="n">
        <v>45675</v>
      </c>
      <c r="E2200" s="1" t="n">
        <v>46307</v>
      </c>
      <c r="F2200" t="inlineStr">
        <is>
          <t>VÄRMLANDS LÄN</t>
        </is>
      </c>
      <c r="G2200" t="inlineStr">
        <is>
          <t>TORSBY</t>
        </is>
      </c>
      <c r="I2200" t="n">
        <v>4.1</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28530-2023</t>
        </is>
      </c>
      <c r="B2201" t="inlineStr">
        <is>
          <t>avverkningsanmälan</t>
        </is>
      </c>
      <c r="C2201" t="inlineStr">
        <is>
          <t>Föryngringsavverkning</t>
        </is>
      </c>
      <c r="D2201" s="1" t="n">
        <v>45103</v>
      </c>
      <c r="E2201" s="1" t="n">
        <v>46307</v>
      </c>
      <c r="F2201" t="inlineStr">
        <is>
          <t>VÄRMLANDS LÄN</t>
        </is>
      </c>
      <c r="G2201" t="inlineStr">
        <is>
          <t>KARLSTAD</t>
        </is>
      </c>
      <c r="I2201" t="n">
        <v>3.3</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4069-2025</t>
        </is>
      </c>
      <c r="B2202" t="inlineStr">
        <is>
          <t>avverkningsanmälan</t>
        </is>
      </c>
      <c r="C2202" t="inlineStr">
        <is>
          <t>Föryngringsavverkning</t>
        </is>
      </c>
      <c r="D2202" s="1" t="n">
        <v>45684</v>
      </c>
      <c r="E2202" s="1" t="n">
        <v>46307</v>
      </c>
      <c r="F2202" t="inlineStr">
        <is>
          <t>VÄRMLANDS LÄN</t>
        </is>
      </c>
      <c r="G2202" t="inlineStr">
        <is>
          <t>KIL</t>
        </is>
      </c>
      <c r="H2202" t="inlineStr">
        <is>
          <t>Kommuner</t>
        </is>
      </c>
      <c r="I2202" t="n">
        <v>0.4</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17031-2022</t>
        </is>
      </c>
      <c r="B2203" t="inlineStr">
        <is>
          <t>avverkningsanmälan</t>
        </is>
      </c>
      <c r="C2203" t="inlineStr">
        <is>
          <t>Avverkning för annat ändamål</t>
        </is>
      </c>
      <c r="D2203" s="1" t="n">
        <v>44676</v>
      </c>
      <c r="E2203" s="1" t="n">
        <v>46307</v>
      </c>
      <c r="F2203" t="inlineStr">
        <is>
          <t>VÄRMLANDS LÄN</t>
        </is>
      </c>
      <c r="G2203" t="inlineStr">
        <is>
          <t>SUNNE</t>
        </is>
      </c>
      <c r="I2203" t="n">
        <v>1.7</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22503-2024</t>
        </is>
      </c>
      <c r="B2204" t="inlineStr">
        <is>
          <t>avverkningsanmälan</t>
        </is>
      </c>
      <c r="C2204" t="inlineStr">
        <is>
          <t>Avverkning för annat ändamål</t>
        </is>
      </c>
      <c r="D2204" s="1" t="n">
        <v>45447</v>
      </c>
      <c r="E2204" s="1" t="n">
        <v>46307</v>
      </c>
      <c r="F2204" t="inlineStr">
        <is>
          <t>VÄRMLANDS LÄN</t>
        </is>
      </c>
      <c r="G2204" t="inlineStr">
        <is>
          <t>HAGFORS</t>
        </is>
      </c>
      <c r="I2204" t="n">
        <v>0.2</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35664-2023</t>
        </is>
      </c>
      <c r="B2205" t="inlineStr">
        <is>
          <t>avverkningsanmälan</t>
        </is>
      </c>
      <c r="C2205" t="inlineStr">
        <is>
          <t>Föryngringsavverkning</t>
        </is>
      </c>
      <c r="D2205" s="1" t="n">
        <v>45147</v>
      </c>
      <c r="E2205" s="1" t="n">
        <v>46307</v>
      </c>
      <c r="F2205" t="inlineStr">
        <is>
          <t>VÄRMLANDS LÄN</t>
        </is>
      </c>
      <c r="G2205" t="inlineStr">
        <is>
          <t>HAGFORS</t>
        </is>
      </c>
      <c r="I2205" t="n">
        <v>2.9</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23061-2024</t>
        </is>
      </c>
      <c r="B2206" t="inlineStr">
        <is>
          <t>avverkningsanmälan</t>
        </is>
      </c>
      <c r="C2206" t="inlineStr">
        <is>
          <t>Föryngringsavverkning</t>
        </is>
      </c>
      <c r="D2206" s="1" t="n">
        <v>45449</v>
      </c>
      <c r="E2206" s="1" t="n">
        <v>46307</v>
      </c>
      <c r="F2206" t="inlineStr">
        <is>
          <t>VÄRMLANDS LÄN</t>
        </is>
      </c>
      <c r="G2206" t="inlineStr">
        <is>
          <t>SUNNE</t>
        </is>
      </c>
      <c r="I2206" t="n">
        <v>0.9</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11784-2023</t>
        </is>
      </c>
      <c r="B2207" t="inlineStr">
        <is>
          <t>avverkningsanmälan</t>
        </is>
      </c>
      <c r="C2207" t="inlineStr">
        <is>
          <t>Föryngringsavverkning</t>
        </is>
      </c>
      <c r="D2207" s="1" t="n">
        <v>44994</v>
      </c>
      <c r="E2207" s="1" t="n">
        <v>46307</v>
      </c>
      <c r="F2207" t="inlineStr">
        <is>
          <t>VÄRMLANDS LÄN</t>
        </is>
      </c>
      <c r="G2207" t="inlineStr">
        <is>
          <t>KRISTINEHAMN</t>
        </is>
      </c>
      <c r="H2207" t="inlineStr">
        <is>
          <t>Sveaskog</t>
        </is>
      </c>
      <c r="I2207" t="n">
        <v>0.8</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11793-2023</t>
        </is>
      </c>
      <c r="B2208" t="inlineStr">
        <is>
          <t>avverkningsanmälan</t>
        </is>
      </c>
      <c r="C2208" t="inlineStr">
        <is>
          <t>Föryngringsavverkning</t>
        </is>
      </c>
      <c r="D2208" s="1" t="n">
        <v>44993</v>
      </c>
      <c r="E2208" s="1" t="n">
        <v>46307</v>
      </c>
      <c r="F2208" t="inlineStr">
        <is>
          <t>VÄRMLANDS LÄN</t>
        </is>
      </c>
      <c r="G2208" t="inlineStr">
        <is>
          <t>ÅRJÄNG</t>
        </is>
      </c>
      <c r="I2208" t="n">
        <v>1.7</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29230-2023</t>
        </is>
      </c>
      <c r="B2209" t="inlineStr">
        <is>
          <t>avverkningsanmälan</t>
        </is>
      </c>
      <c r="C2209" t="inlineStr">
        <is>
          <t>Föryngringsavverkning</t>
        </is>
      </c>
      <c r="D2209" s="1" t="n">
        <v>45105</v>
      </c>
      <c r="E2209" s="1" t="n">
        <v>46307</v>
      </c>
      <c r="F2209" t="inlineStr">
        <is>
          <t>VÄRMLANDS LÄN</t>
        </is>
      </c>
      <c r="G2209" t="inlineStr">
        <is>
          <t>EDA</t>
        </is>
      </c>
      <c r="I2209" t="n">
        <v>0.8</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58679-2021</t>
        </is>
      </c>
      <c r="B2210" t="inlineStr">
        <is>
          <t>avverkningsanmälan</t>
        </is>
      </c>
      <c r="C2210" t="inlineStr">
        <is>
          <t>Föryngringsavverkning</t>
        </is>
      </c>
      <c r="D2210" s="1" t="n">
        <v>44489</v>
      </c>
      <c r="E2210" s="1" t="n">
        <v>46307</v>
      </c>
      <c r="F2210" t="inlineStr">
        <is>
          <t>VÄRMLANDS LÄN</t>
        </is>
      </c>
      <c r="G2210" t="inlineStr">
        <is>
          <t>KIL</t>
        </is>
      </c>
      <c r="I2210" t="n">
        <v>5.1</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28598-2023</t>
        </is>
      </c>
      <c r="B2211" t="inlineStr">
        <is>
          <t>avverkningsanmälan</t>
        </is>
      </c>
      <c r="C2211" t="inlineStr">
        <is>
          <t>Föryngringsavverkning</t>
        </is>
      </c>
      <c r="D2211" s="1" t="n">
        <v>45103</v>
      </c>
      <c r="E2211" s="1" t="n">
        <v>46307</v>
      </c>
      <c r="F2211" t="inlineStr">
        <is>
          <t>VÄRMLANDS LÄN</t>
        </is>
      </c>
      <c r="G2211" t="inlineStr">
        <is>
          <t>TORSBY</t>
        </is>
      </c>
      <c r="I2211" t="n">
        <v>1.9</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5945-2025</t>
        </is>
      </c>
      <c r="B2212" t="inlineStr">
        <is>
          <t>avverkningsanmälan</t>
        </is>
      </c>
      <c r="C2212" t="inlineStr">
        <is>
          <t>Föryngringsavverkning</t>
        </is>
      </c>
      <c r="D2212" s="1" t="n">
        <v>45695</v>
      </c>
      <c r="E2212" s="1" t="n">
        <v>46307</v>
      </c>
      <c r="F2212" t="inlineStr">
        <is>
          <t>VÄRMLANDS LÄN</t>
        </is>
      </c>
      <c r="G2212" t="inlineStr">
        <is>
          <t>ARVIKA</t>
        </is>
      </c>
      <c r="I2212" t="n">
        <v>0.5</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46288-2022</t>
        </is>
      </c>
      <c r="B2213" t="inlineStr">
        <is>
          <t>avverkningsanmälan</t>
        </is>
      </c>
      <c r="C2213" t="inlineStr">
        <is>
          <t>Föryngringsavverkning</t>
        </is>
      </c>
      <c r="D2213" s="1" t="n">
        <v>44847</v>
      </c>
      <c r="E2213" s="1" t="n">
        <v>46307</v>
      </c>
      <c r="F2213" t="inlineStr">
        <is>
          <t>VÄRMLANDS LÄN</t>
        </is>
      </c>
      <c r="G2213" t="inlineStr">
        <is>
          <t>KIL</t>
        </is>
      </c>
      <c r="I2213" t="n">
        <v>2.3</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46290-2022</t>
        </is>
      </c>
      <c r="B2214" t="inlineStr">
        <is>
          <t>avverkningsanmälan</t>
        </is>
      </c>
      <c r="C2214" t="inlineStr">
        <is>
          <t>Föryngringsavverkning</t>
        </is>
      </c>
      <c r="D2214" s="1" t="n">
        <v>44847</v>
      </c>
      <c r="E2214" s="1" t="n">
        <v>46307</v>
      </c>
      <c r="F2214" t="inlineStr">
        <is>
          <t>VÄRMLANDS LÄN</t>
        </is>
      </c>
      <c r="G2214" t="inlineStr">
        <is>
          <t>KIL</t>
        </is>
      </c>
      <c r="I2214" t="n">
        <v>8.300000000000001</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54777-2023</t>
        </is>
      </c>
      <c r="B2215" t="inlineStr">
        <is>
          <t>avverkningsanmälan</t>
        </is>
      </c>
      <c r="C2215" t="inlineStr">
        <is>
          <t>Avverkning för att bevara och utveckla /försöksver</t>
        </is>
      </c>
      <c r="D2215" s="1" t="n">
        <v>45236</v>
      </c>
      <c r="E2215" s="1" t="n">
        <v>46307</v>
      </c>
      <c r="F2215" t="inlineStr">
        <is>
          <t>VÄRMLANDS LÄN</t>
        </is>
      </c>
      <c r="G2215" t="inlineStr">
        <is>
          <t>TORSBY</t>
        </is>
      </c>
      <c r="H2215" t="inlineStr">
        <is>
          <t>Bergvik skog väst AB</t>
        </is>
      </c>
      <c r="I2215" t="n">
        <v>7.9</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26259-2024</t>
        </is>
      </c>
      <c r="B2216" t="inlineStr">
        <is>
          <t>avverkningsanmälan</t>
        </is>
      </c>
      <c r="C2216" t="inlineStr">
        <is>
          <t>Föryngringsavverkning</t>
        </is>
      </c>
      <c r="D2216" s="1" t="n">
        <v>45468</v>
      </c>
      <c r="E2216" s="1" t="n">
        <v>46307</v>
      </c>
      <c r="F2216" t="inlineStr">
        <is>
          <t>VÄRMLANDS LÄN</t>
        </is>
      </c>
      <c r="G2216" t="inlineStr">
        <is>
          <t>ÅRJÄNG</t>
        </is>
      </c>
      <c r="I2216" t="n">
        <v>4.3</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16468-2025</t>
        </is>
      </c>
      <c r="B2217" t="inlineStr">
        <is>
          <t>avverkningsanmälan</t>
        </is>
      </c>
      <c r="C2217" t="inlineStr">
        <is>
          <t>Föryngringsavverkning</t>
        </is>
      </c>
      <c r="D2217" s="1" t="n">
        <v>45751</v>
      </c>
      <c r="E2217" s="1" t="n">
        <v>46307</v>
      </c>
      <c r="F2217" t="inlineStr">
        <is>
          <t>VÄRMLANDS LÄN</t>
        </is>
      </c>
      <c r="G2217" t="inlineStr">
        <is>
          <t>EDA</t>
        </is>
      </c>
      <c r="I2217" t="n">
        <v>1.1</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16472-2025</t>
        </is>
      </c>
      <c r="B2218" t="inlineStr">
        <is>
          <t>avverkningsanmälan</t>
        </is>
      </c>
      <c r="C2218" t="inlineStr">
        <is>
          <t>Föryngringsavverkning</t>
        </is>
      </c>
      <c r="D2218" s="1" t="n">
        <v>45751</v>
      </c>
      <c r="E2218" s="1" t="n">
        <v>46307</v>
      </c>
      <c r="F2218" t="inlineStr">
        <is>
          <t>VÄRMLANDS LÄN</t>
        </is>
      </c>
      <c r="G2218" t="inlineStr">
        <is>
          <t>ARVIKA</t>
        </is>
      </c>
      <c r="I2218" t="n">
        <v>4.1</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9690-2025</t>
        </is>
      </c>
      <c r="B2219" t="inlineStr">
        <is>
          <t>avverkningsanmälan</t>
        </is>
      </c>
      <c r="C2219" t="inlineStr">
        <is>
          <t>Föryngringsavverkning</t>
        </is>
      </c>
      <c r="D2219" s="1" t="n">
        <v>45716</v>
      </c>
      <c r="E2219" s="1" t="n">
        <v>46307</v>
      </c>
      <c r="F2219" t="inlineStr">
        <is>
          <t>VÄRMLANDS LÄN</t>
        </is>
      </c>
      <c r="G2219" t="inlineStr">
        <is>
          <t>ARVIKA</t>
        </is>
      </c>
      <c r="H2219" t="inlineStr">
        <is>
          <t>Bergvik skog väst AB</t>
        </is>
      </c>
      <c r="I2219" t="n">
        <v>1.7</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11649-2025</t>
        </is>
      </c>
      <c r="B2220" t="inlineStr">
        <is>
          <t>avverkningsanmälan</t>
        </is>
      </c>
      <c r="C2220" t="inlineStr">
        <is>
          <t>Föryngringsavverkning</t>
        </is>
      </c>
      <c r="D2220" s="1" t="n">
        <v>45727</v>
      </c>
      <c r="E2220" s="1" t="n">
        <v>46307</v>
      </c>
      <c r="F2220" t="inlineStr">
        <is>
          <t>VÄRMLANDS LÄN</t>
        </is>
      </c>
      <c r="G2220" t="inlineStr">
        <is>
          <t>EDA</t>
        </is>
      </c>
      <c r="I2220" t="n">
        <v>0.5</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11652-2025</t>
        </is>
      </c>
      <c r="B2221" t="inlineStr">
        <is>
          <t>avverkningsanmälan</t>
        </is>
      </c>
      <c r="C2221" t="inlineStr">
        <is>
          <t>Föryngringsavverkning</t>
        </is>
      </c>
      <c r="D2221" s="1" t="n">
        <v>45727</v>
      </c>
      <c r="E2221" s="1" t="n">
        <v>46307</v>
      </c>
      <c r="F2221" t="inlineStr">
        <is>
          <t>VÄRMLANDS LÄN</t>
        </is>
      </c>
      <c r="G2221" t="inlineStr">
        <is>
          <t>EDA</t>
        </is>
      </c>
      <c r="I2221" t="n">
        <v>0.9</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38132-2022</t>
        </is>
      </c>
      <c r="B2222" t="inlineStr">
        <is>
          <t>avverkningsanmälan</t>
        </is>
      </c>
      <c r="C2222" t="inlineStr">
        <is>
          <t>Föryngringsavverkning</t>
        </is>
      </c>
      <c r="D2222" s="1" t="n">
        <v>44812</v>
      </c>
      <c r="E2222" s="1" t="n">
        <v>46307</v>
      </c>
      <c r="F2222" t="inlineStr">
        <is>
          <t>VÄRMLANDS LÄN</t>
        </is>
      </c>
      <c r="G2222" t="inlineStr">
        <is>
          <t>HAGFORS</t>
        </is>
      </c>
      <c r="H2222" t="inlineStr">
        <is>
          <t>Kyrkan</t>
        </is>
      </c>
      <c r="I2222" t="n">
        <v>1.5</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9691-2025</t>
        </is>
      </c>
      <c r="B2223" t="inlineStr">
        <is>
          <t>avverkningsanmälan</t>
        </is>
      </c>
      <c r="C2223" t="inlineStr">
        <is>
          <t>Föryngringsavverkning</t>
        </is>
      </c>
      <c r="D2223" s="1" t="n">
        <v>45716</v>
      </c>
      <c r="E2223" s="1" t="n">
        <v>46307</v>
      </c>
      <c r="F2223" t="inlineStr">
        <is>
          <t>VÄRMLANDS LÄN</t>
        </is>
      </c>
      <c r="G2223" t="inlineStr">
        <is>
          <t>ARVIKA</t>
        </is>
      </c>
      <c r="H2223" t="inlineStr">
        <is>
          <t>Bergvik skog väst AB</t>
        </is>
      </c>
      <c r="I2223" t="n">
        <v>0.4</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44879-2022</t>
        </is>
      </c>
      <c r="B2224" t="inlineStr">
        <is>
          <t>avverkningsanmälan</t>
        </is>
      </c>
      <c r="C2224" t="inlineStr">
        <is>
          <t>Föryngringsavverkning</t>
        </is>
      </c>
      <c r="D2224" s="1" t="n">
        <v>44839</v>
      </c>
      <c r="E2224" s="1" t="n">
        <v>46307</v>
      </c>
      <c r="F2224" t="inlineStr">
        <is>
          <t>VÄRMLANDS LÄN</t>
        </is>
      </c>
      <c r="G2224" t="inlineStr">
        <is>
          <t>TORSBY</t>
        </is>
      </c>
      <c r="I2224" t="n">
        <v>3.5</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14304-2023</t>
        </is>
      </c>
      <c r="B2225" t="inlineStr">
        <is>
          <t>avverkningsanmälan</t>
        </is>
      </c>
      <c r="C2225" t="inlineStr">
        <is>
          <t>Föryngringsavverkning</t>
        </is>
      </c>
      <c r="D2225" s="1" t="n">
        <v>45011</v>
      </c>
      <c r="E2225" s="1" t="n">
        <v>46307</v>
      </c>
      <c r="F2225" t="inlineStr">
        <is>
          <t>VÄRMLANDS LÄN</t>
        </is>
      </c>
      <c r="G2225" t="inlineStr">
        <is>
          <t>TORSBY</t>
        </is>
      </c>
      <c r="I2225" t="n">
        <v>0.8</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14306-2023</t>
        </is>
      </c>
      <c r="B2226" t="inlineStr">
        <is>
          <t>avverkningsanmälan</t>
        </is>
      </c>
      <c r="C2226" t="inlineStr">
        <is>
          <t>Föryngringsavverkning</t>
        </is>
      </c>
      <c r="D2226" s="1" t="n">
        <v>45011</v>
      </c>
      <c r="E2226" s="1" t="n">
        <v>46307</v>
      </c>
      <c r="F2226" t="inlineStr">
        <is>
          <t>VÄRMLANDS LÄN</t>
        </is>
      </c>
      <c r="G2226" t="inlineStr">
        <is>
          <t>GRUMS</t>
        </is>
      </c>
      <c r="I2226" t="n">
        <v>4.3</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22637-2024</t>
        </is>
      </c>
      <c r="B2227" t="inlineStr">
        <is>
          <t>avverkningsanmälan</t>
        </is>
      </c>
      <c r="C2227" t="inlineStr">
        <is>
          <t>Föryngringsavverkning</t>
        </is>
      </c>
      <c r="D2227" s="1" t="n">
        <v>45447</v>
      </c>
      <c r="E2227" s="1" t="n">
        <v>46307</v>
      </c>
      <c r="F2227" t="inlineStr">
        <is>
          <t>VÄRMLANDS LÄN</t>
        </is>
      </c>
      <c r="G2227" t="inlineStr">
        <is>
          <t>KRISTINEHAMN</t>
        </is>
      </c>
      <c r="I2227" t="n">
        <v>1.9</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42168-2024</t>
        </is>
      </c>
      <c r="B2228" t="inlineStr">
        <is>
          <t>avverkningsanmälan</t>
        </is>
      </c>
      <c r="C2228" t="inlineStr">
        <is>
          <t>Föryngringsavverkning</t>
        </is>
      </c>
      <c r="D2228" s="1" t="n">
        <v>45562</v>
      </c>
      <c r="E2228" s="1" t="n">
        <v>46307</v>
      </c>
      <c r="F2228" t="inlineStr">
        <is>
          <t>VÄRMLANDS LÄN</t>
        </is>
      </c>
      <c r="G2228" t="inlineStr">
        <is>
          <t>HAGFORS</t>
        </is>
      </c>
      <c r="H2228" t="inlineStr">
        <is>
          <t>Bergvik skog väst AB</t>
        </is>
      </c>
      <c r="I2228" t="n">
        <v>0.9</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10996-2025</t>
        </is>
      </c>
      <c r="B2229" t="inlineStr">
        <is>
          <t>avverkningsanmälan</t>
        </is>
      </c>
      <c r="C2229" t="inlineStr">
        <is>
          <t>Föryngringsavverkning</t>
        </is>
      </c>
      <c r="D2229" s="1" t="n">
        <v>45723</v>
      </c>
      <c r="E2229" s="1" t="n">
        <v>46307</v>
      </c>
      <c r="F2229" t="inlineStr">
        <is>
          <t>VÄRMLANDS LÄN</t>
        </is>
      </c>
      <c r="G2229" t="inlineStr">
        <is>
          <t>FORSHAGA</t>
        </is>
      </c>
      <c r="I2229" t="n">
        <v>0.5</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47688-2023</t>
        </is>
      </c>
      <c r="B2230" t="inlineStr">
        <is>
          <t>avverkningsanmälan</t>
        </is>
      </c>
      <c r="C2230" t="inlineStr">
        <is>
          <t>Föryngringsavverkning</t>
        </is>
      </c>
      <c r="D2230" s="1" t="n">
        <v>45203</v>
      </c>
      <c r="E2230" s="1" t="n">
        <v>46307</v>
      </c>
      <c r="F2230" t="inlineStr">
        <is>
          <t>VÄRMLANDS LÄN</t>
        </is>
      </c>
      <c r="G2230" t="inlineStr">
        <is>
          <t>ÅRJÄNG</t>
        </is>
      </c>
      <c r="H2230" t="inlineStr">
        <is>
          <t>Övriga Aktiebolag</t>
        </is>
      </c>
      <c r="I2230" t="n">
        <v>20.3</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3904-2025</t>
        </is>
      </c>
      <c r="B2231" t="inlineStr">
        <is>
          <t>avverkningsanmälan</t>
        </is>
      </c>
      <c r="C2231" t="inlineStr">
        <is>
          <t>Föryngringsavverkning</t>
        </is>
      </c>
      <c r="D2231" s="1" t="n">
        <v>45684</v>
      </c>
      <c r="E2231" s="1" t="n">
        <v>46307</v>
      </c>
      <c r="F2231" t="inlineStr">
        <is>
          <t>VÄRMLANDS LÄN</t>
        </is>
      </c>
      <c r="G2231" t="inlineStr">
        <is>
          <t>TORSBY</t>
        </is>
      </c>
      <c r="H2231" t="inlineStr">
        <is>
          <t>Övriga statliga verk och myndigheter</t>
        </is>
      </c>
      <c r="I2231" t="n">
        <v>0.7</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59256-2023</t>
        </is>
      </c>
      <c r="B2232" t="inlineStr">
        <is>
          <t>avverkningsanmälan</t>
        </is>
      </c>
      <c r="C2232" t="inlineStr">
        <is>
          <t>Föryngringsavverkning</t>
        </is>
      </c>
      <c r="D2232" s="1" t="n">
        <v>45251</v>
      </c>
      <c r="E2232" s="1" t="n">
        <v>46307</v>
      </c>
      <c r="F2232" t="inlineStr">
        <is>
          <t>VÄRMLANDS LÄN</t>
        </is>
      </c>
      <c r="G2232" t="inlineStr">
        <is>
          <t>TORSBY</t>
        </is>
      </c>
      <c r="I2232" t="n">
        <v>1.6</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58234-2022</t>
        </is>
      </c>
      <c r="B2233" t="inlineStr">
        <is>
          <t>avverkningsanmälan</t>
        </is>
      </c>
      <c r="C2233" t="inlineStr">
        <is>
          <t>Föryngringsavverkning</t>
        </is>
      </c>
      <c r="D2233" s="1" t="n">
        <v>44901</v>
      </c>
      <c r="E2233" s="1" t="n">
        <v>46307</v>
      </c>
      <c r="F2233" t="inlineStr">
        <is>
          <t>VÄRMLANDS LÄN</t>
        </is>
      </c>
      <c r="G2233" t="inlineStr">
        <is>
          <t>EDA</t>
        </is>
      </c>
      <c r="I2233" t="n">
        <v>0.8</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28025-2023</t>
        </is>
      </c>
      <c r="B2234" t="inlineStr">
        <is>
          <t>avverkningsanmälan</t>
        </is>
      </c>
      <c r="C2234" t="inlineStr">
        <is>
          <t>Föryngringsavverkning</t>
        </is>
      </c>
      <c r="D2234" s="1" t="n">
        <v>45098</v>
      </c>
      <c r="E2234" s="1" t="n">
        <v>46307</v>
      </c>
      <c r="F2234" t="inlineStr">
        <is>
          <t>VÄRMLANDS LÄN</t>
        </is>
      </c>
      <c r="G2234" t="inlineStr">
        <is>
          <t>SUNNE</t>
        </is>
      </c>
      <c r="I2234" t="n">
        <v>5.6</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56098-2024</t>
        </is>
      </c>
      <c r="B2235" t="inlineStr">
        <is>
          <t>avverkningsanmälan</t>
        </is>
      </c>
      <c r="C2235" t="inlineStr">
        <is>
          <t>Föryngringsavverkning</t>
        </is>
      </c>
      <c r="D2235" s="1" t="n">
        <v>45624</v>
      </c>
      <c r="E2235" s="1" t="n">
        <v>46307</v>
      </c>
      <c r="F2235" t="inlineStr">
        <is>
          <t>VÄRMLANDS LÄN</t>
        </is>
      </c>
      <c r="G2235" t="inlineStr">
        <is>
          <t>TORSBY</t>
        </is>
      </c>
      <c r="I2235" t="n">
        <v>2.4</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58105-2021</t>
        </is>
      </c>
      <c r="B2236" t="inlineStr">
        <is>
          <t>avverkningsanmälan</t>
        </is>
      </c>
      <c r="C2236" t="inlineStr">
        <is>
          <t>Föryngringsavverkning</t>
        </is>
      </c>
      <c r="D2236" s="1" t="n">
        <v>44487</v>
      </c>
      <c r="E2236" s="1" t="n">
        <v>46307</v>
      </c>
      <c r="F2236" t="inlineStr">
        <is>
          <t>VÄRMLANDS LÄN</t>
        </is>
      </c>
      <c r="G2236" t="inlineStr">
        <is>
          <t>SÄFFLE</t>
        </is>
      </c>
      <c r="I2236" t="n">
        <v>1.3</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16666-2025</t>
        </is>
      </c>
      <c r="B2237" t="inlineStr">
        <is>
          <t>avverkningsanmälan</t>
        </is>
      </c>
      <c r="C2237" t="inlineStr">
        <is>
          <t>Föryngringsavverkning</t>
        </is>
      </c>
      <c r="D2237" s="1" t="n">
        <v>45754</v>
      </c>
      <c r="E2237" s="1" t="n">
        <v>46307</v>
      </c>
      <c r="F2237" t="inlineStr">
        <is>
          <t>VÄRMLANDS LÄN</t>
        </is>
      </c>
      <c r="G2237" t="inlineStr">
        <is>
          <t>ÅRJÄNG</t>
        </is>
      </c>
      <c r="I2237" t="n">
        <v>6.2</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6579-2025</t>
        </is>
      </c>
      <c r="B2238" t="inlineStr">
        <is>
          <t>avverkningsanmälan</t>
        </is>
      </c>
      <c r="C2238" t="inlineStr">
        <is>
          <t>Föryngringsavverkning</t>
        </is>
      </c>
      <c r="D2238" s="1" t="n">
        <v>45699</v>
      </c>
      <c r="E2238" s="1" t="n">
        <v>46307</v>
      </c>
      <c r="F2238" t="inlineStr">
        <is>
          <t>VÄRMLANDS LÄN</t>
        </is>
      </c>
      <c r="G2238" t="inlineStr">
        <is>
          <t>MUNKFORS</t>
        </is>
      </c>
      <c r="H2238" t="inlineStr">
        <is>
          <t>Kommuner</t>
        </is>
      </c>
      <c r="I2238" t="n">
        <v>1.4</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16806-2024</t>
        </is>
      </c>
      <c r="B2239" t="inlineStr">
        <is>
          <t>avverkningsanmälan</t>
        </is>
      </c>
      <c r="C2239" t="inlineStr">
        <is>
          <t>Föryngringsavverkning</t>
        </is>
      </c>
      <c r="D2239" s="1" t="n">
        <v>45411</v>
      </c>
      <c r="E2239" s="1" t="n">
        <v>46307</v>
      </c>
      <c r="F2239" t="inlineStr">
        <is>
          <t>VÄRMLANDS LÄN</t>
        </is>
      </c>
      <c r="G2239" t="inlineStr">
        <is>
          <t>ÅRJÄNG</t>
        </is>
      </c>
      <c r="I2239" t="n">
        <v>0.7</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9703-2023</t>
        </is>
      </c>
      <c r="B2240" t="inlineStr">
        <is>
          <t>avverkningsanmälan</t>
        </is>
      </c>
      <c r="C2240" t="inlineStr">
        <is>
          <t>Föryngringsavverkning</t>
        </is>
      </c>
      <c r="D2240" s="1" t="n">
        <v>44984</v>
      </c>
      <c r="E2240" s="1" t="n">
        <v>46307</v>
      </c>
      <c r="F2240" t="inlineStr">
        <is>
          <t>VÄRMLANDS LÄN</t>
        </is>
      </c>
      <c r="G2240" t="inlineStr">
        <is>
          <t>SUNNE</t>
        </is>
      </c>
      <c r="I2240" t="n">
        <v>2.4</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46471-2024</t>
        </is>
      </c>
      <c r="B2241" t="inlineStr">
        <is>
          <t>avverkningsanmälan</t>
        </is>
      </c>
      <c r="C2241" t="inlineStr">
        <is>
          <t>Föryngringsavverkning</t>
        </is>
      </c>
      <c r="D2241" s="1" t="n">
        <v>45582</v>
      </c>
      <c r="E2241" s="1" t="n">
        <v>46307</v>
      </c>
      <c r="F2241" t="inlineStr">
        <is>
          <t>VÄRMLANDS LÄN</t>
        </is>
      </c>
      <c r="G2241" t="inlineStr">
        <is>
          <t>TORSBY</t>
        </is>
      </c>
      <c r="I2241" t="n">
        <v>2.1</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51945-2023</t>
        </is>
      </c>
      <c r="B2242" t="inlineStr">
        <is>
          <t>avverkningsanmälan</t>
        </is>
      </c>
      <c r="C2242" t="inlineStr">
        <is>
          <t>Föryngringsavverkning</t>
        </is>
      </c>
      <c r="D2242" s="1" t="n">
        <v>45223</v>
      </c>
      <c r="E2242" s="1" t="n">
        <v>46307</v>
      </c>
      <c r="F2242" t="inlineStr">
        <is>
          <t>VÄRMLANDS LÄN</t>
        </is>
      </c>
      <c r="G2242" t="inlineStr">
        <is>
          <t>FILIPSTAD</t>
        </is>
      </c>
      <c r="H2242" t="inlineStr">
        <is>
          <t>Bergvik skog väst AB</t>
        </is>
      </c>
      <c r="I2242" t="n">
        <v>4.6</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22032-2023</t>
        </is>
      </c>
      <c r="B2243" t="inlineStr">
        <is>
          <t>avverkningsanmälan</t>
        </is>
      </c>
      <c r="C2243" t="inlineStr">
        <is>
          <t>Föryngringsavverkning</t>
        </is>
      </c>
      <c r="D2243" s="1" t="n">
        <v>45069</v>
      </c>
      <c r="E2243" s="1" t="n">
        <v>46307</v>
      </c>
      <c r="F2243" t="inlineStr">
        <is>
          <t>VÄRMLANDS LÄN</t>
        </is>
      </c>
      <c r="G2243" t="inlineStr">
        <is>
          <t>ÅRJÄNG</t>
        </is>
      </c>
      <c r="I2243" t="n">
        <v>2.4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61403-2023</t>
        </is>
      </c>
      <c r="B2244" t="inlineStr">
        <is>
          <t>avverkningsanmälan</t>
        </is>
      </c>
      <c r="C2244" t="inlineStr">
        <is>
          <t>Avverkning för annat ändamål</t>
        </is>
      </c>
      <c r="D2244" s="1" t="n">
        <v>45264</v>
      </c>
      <c r="E2244" s="1" t="n">
        <v>46307</v>
      </c>
      <c r="F2244" t="inlineStr">
        <is>
          <t>VÄRMLANDS LÄN</t>
        </is>
      </c>
      <c r="G2244" t="inlineStr">
        <is>
          <t>SUNNE</t>
        </is>
      </c>
      <c r="I2244" t="n">
        <v>0.5</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59944-2024</t>
        </is>
      </c>
      <c r="B2245" t="inlineStr">
        <is>
          <t>avverkningsanmälan</t>
        </is>
      </c>
      <c r="C2245" t="inlineStr">
        <is>
          <t>Föryngringsavverkning</t>
        </is>
      </c>
      <c r="D2245" s="1" t="n">
        <v>45642</v>
      </c>
      <c r="E2245" s="1" t="n">
        <v>46307</v>
      </c>
      <c r="F2245" t="inlineStr">
        <is>
          <t>VÄRMLANDS LÄN</t>
        </is>
      </c>
      <c r="G2245" t="inlineStr">
        <is>
          <t>KIL</t>
        </is>
      </c>
      <c r="I2245" t="n">
        <v>1.2</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39213-2024</t>
        </is>
      </c>
      <c r="B2246" t="inlineStr">
        <is>
          <t>avverkningsanmälan</t>
        </is>
      </c>
      <c r="C2246" t="inlineStr">
        <is>
          <t>Föryngringsavverkning</t>
        </is>
      </c>
      <c r="D2246" s="1" t="n">
        <v>45549</v>
      </c>
      <c r="E2246" s="1" t="n">
        <v>46307</v>
      </c>
      <c r="F2246" t="inlineStr">
        <is>
          <t>VÄRMLANDS LÄN</t>
        </is>
      </c>
      <c r="G2246" t="inlineStr">
        <is>
          <t>EDA</t>
        </is>
      </c>
      <c r="I2246" t="n">
        <v>0.7</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27363-2024</t>
        </is>
      </c>
      <c r="B2247" t="inlineStr">
        <is>
          <t>avverkningsanmälan</t>
        </is>
      </c>
      <c r="C2247" t="inlineStr">
        <is>
          <t>Föryngringsavverkning</t>
        </is>
      </c>
      <c r="D2247" s="1" t="n">
        <v>45473</v>
      </c>
      <c r="E2247" s="1" t="n">
        <v>46307</v>
      </c>
      <c r="F2247" t="inlineStr">
        <is>
          <t>VÄRMLANDS LÄN</t>
        </is>
      </c>
      <c r="G2247" t="inlineStr">
        <is>
          <t>TORSBY</t>
        </is>
      </c>
      <c r="I2247" t="n">
        <v>2.9</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27107-2024</t>
        </is>
      </c>
      <c r="B2248" t="inlineStr">
        <is>
          <t>avverkningsanmälan</t>
        </is>
      </c>
      <c r="C2248" t="inlineStr">
        <is>
          <t>Föryngringsavverkning</t>
        </is>
      </c>
      <c r="D2248" s="1" t="n">
        <v>45471</v>
      </c>
      <c r="E2248" s="1" t="n">
        <v>46307</v>
      </c>
      <c r="F2248" t="inlineStr">
        <is>
          <t>VÄRMLANDS LÄN</t>
        </is>
      </c>
      <c r="G2248" t="inlineStr">
        <is>
          <t>FILIPSTAD</t>
        </is>
      </c>
      <c r="H2248" t="inlineStr">
        <is>
          <t>Bergvik skog väst AB</t>
        </is>
      </c>
      <c r="I2248" t="n">
        <v>0.7</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62250-2023</t>
        </is>
      </c>
      <c r="B2249" t="inlineStr">
        <is>
          <t>avverkningsanmälan</t>
        </is>
      </c>
      <c r="C2249" t="inlineStr">
        <is>
          <t>Föryngringsavverkning</t>
        </is>
      </c>
      <c r="D2249" s="1" t="n">
        <v>45266</v>
      </c>
      <c r="E2249" s="1" t="n">
        <v>46307</v>
      </c>
      <c r="F2249" t="inlineStr">
        <is>
          <t>VÄRMLANDS LÄN</t>
        </is>
      </c>
      <c r="G2249" t="inlineStr">
        <is>
          <t>TORSBY</t>
        </is>
      </c>
      <c r="I2249" t="n">
        <v>4.7</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13142-2024</t>
        </is>
      </c>
      <c r="B2250" t="inlineStr">
        <is>
          <t>avverkningsanmälan</t>
        </is>
      </c>
      <c r="C2250" t="inlineStr">
        <is>
          <t>Föryngringsavverkning</t>
        </is>
      </c>
      <c r="D2250" s="1" t="n">
        <v>45386</v>
      </c>
      <c r="E2250" s="1" t="n">
        <v>46307</v>
      </c>
      <c r="F2250" t="inlineStr">
        <is>
          <t>VÄRMLANDS LÄN</t>
        </is>
      </c>
      <c r="G2250" t="inlineStr">
        <is>
          <t>SUNNE</t>
        </is>
      </c>
      <c r="I2250" t="n">
        <v>4</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32332-2023</t>
        </is>
      </c>
      <c r="B2251" t="inlineStr">
        <is>
          <t>avverkningsanmälan</t>
        </is>
      </c>
      <c r="C2251" t="inlineStr">
        <is>
          <t>Föryngringsavverkning</t>
        </is>
      </c>
      <c r="D2251" s="1" t="n">
        <v>45110</v>
      </c>
      <c r="E2251" s="1" t="n">
        <v>46307</v>
      </c>
      <c r="F2251" t="inlineStr">
        <is>
          <t>VÄRMLANDS LÄN</t>
        </is>
      </c>
      <c r="G2251" t="inlineStr">
        <is>
          <t>TORSBY</t>
        </is>
      </c>
      <c r="I2251" t="n">
        <v>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32367-2023</t>
        </is>
      </c>
      <c r="B2252" t="inlineStr">
        <is>
          <t>avverkningsanmälan</t>
        </is>
      </c>
      <c r="C2252" t="inlineStr">
        <is>
          <t>Föryngringsavverkning</t>
        </is>
      </c>
      <c r="D2252" s="1" t="n">
        <v>45120</v>
      </c>
      <c r="E2252" s="1" t="n">
        <v>46307</v>
      </c>
      <c r="F2252" t="inlineStr">
        <is>
          <t>VÄRMLANDS LÄN</t>
        </is>
      </c>
      <c r="G2252" t="inlineStr">
        <is>
          <t>ÅRJÄNG</t>
        </is>
      </c>
      <c r="I2252" t="n">
        <v>2.8</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32373-2023</t>
        </is>
      </c>
      <c r="B2253" t="inlineStr">
        <is>
          <t>avverkningsanmälan</t>
        </is>
      </c>
      <c r="C2253" t="inlineStr">
        <is>
          <t>Föryngringsavverkning</t>
        </is>
      </c>
      <c r="D2253" s="1" t="n">
        <v>45120</v>
      </c>
      <c r="E2253" s="1" t="n">
        <v>46307</v>
      </c>
      <c r="F2253" t="inlineStr">
        <is>
          <t>VÄRMLANDS LÄN</t>
        </is>
      </c>
      <c r="G2253" t="inlineStr">
        <is>
          <t>ÅRJÄNG</t>
        </is>
      </c>
      <c r="I2253" t="n">
        <v>1.7</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15085-2023</t>
        </is>
      </c>
      <c r="B2254" t="inlineStr">
        <is>
          <t>avverkningsanmälan</t>
        </is>
      </c>
      <c r="C2254" t="inlineStr">
        <is>
          <t>Föryngringsavverkning</t>
        </is>
      </c>
      <c r="D2254" s="1" t="n">
        <v>45016</v>
      </c>
      <c r="E2254" s="1" t="n">
        <v>46307</v>
      </c>
      <c r="F2254" t="inlineStr">
        <is>
          <t>VÄRMLANDS LÄN</t>
        </is>
      </c>
      <c r="G2254" t="inlineStr">
        <is>
          <t>TORSBY</t>
        </is>
      </c>
      <c r="I2254" t="n">
        <v>2.2</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32404-2023</t>
        </is>
      </c>
      <c r="B2255" t="inlineStr">
        <is>
          <t>avverkningsanmälan</t>
        </is>
      </c>
      <c r="C2255" t="inlineStr">
        <is>
          <t>Föryngringsavverkning</t>
        </is>
      </c>
      <c r="D2255" s="1" t="n">
        <v>45110</v>
      </c>
      <c r="E2255" s="1" t="n">
        <v>46307</v>
      </c>
      <c r="F2255" t="inlineStr">
        <is>
          <t>VÄRMLANDS LÄN</t>
        </is>
      </c>
      <c r="G2255" t="inlineStr">
        <is>
          <t>KRISTINEHAMN</t>
        </is>
      </c>
      <c r="I2255" t="n">
        <v>1.4</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71679-2021</t>
        </is>
      </c>
      <c r="B2256" t="inlineStr">
        <is>
          <t>avverkningsanmälan</t>
        </is>
      </c>
      <c r="C2256" t="inlineStr">
        <is>
          <t>Föryngringsavverkning</t>
        </is>
      </c>
      <c r="D2256" s="1" t="n">
        <v>44543</v>
      </c>
      <c r="E2256" s="1" t="n">
        <v>46307</v>
      </c>
      <c r="F2256" t="inlineStr">
        <is>
          <t>VÄRMLANDS LÄN</t>
        </is>
      </c>
      <c r="G2256" t="inlineStr">
        <is>
          <t>TORSBY</t>
        </is>
      </c>
      <c r="I2256" t="n">
        <v>2.3</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43935-2024</t>
        </is>
      </c>
      <c r="B2257" t="inlineStr">
        <is>
          <t>avverkningsanmälan</t>
        </is>
      </c>
      <c r="C2257" t="inlineStr">
        <is>
          <t>Föryngringsavverkning</t>
        </is>
      </c>
      <c r="D2257" s="1" t="n">
        <v>45572</v>
      </c>
      <c r="E2257" s="1" t="n">
        <v>46307</v>
      </c>
      <c r="F2257" t="inlineStr">
        <is>
          <t>VÄRMLANDS LÄN</t>
        </is>
      </c>
      <c r="G2257" t="inlineStr">
        <is>
          <t>ARVIKA</t>
        </is>
      </c>
      <c r="I2257" t="n">
        <v>5.3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55487-2024</t>
        </is>
      </c>
      <c r="B2258" t="inlineStr">
        <is>
          <t>avverkningsanmälan</t>
        </is>
      </c>
      <c r="C2258" t="inlineStr">
        <is>
          <t>Föryngringsavverkning</t>
        </is>
      </c>
      <c r="D2258" s="1" t="n">
        <v>45622</v>
      </c>
      <c r="E2258" s="1" t="n">
        <v>46307</v>
      </c>
      <c r="F2258" t="inlineStr">
        <is>
          <t>VÄRMLANDS LÄN</t>
        </is>
      </c>
      <c r="G2258" t="inlineStr">
        <is>
          <t>SUNNE</t>
        </is>
      </c>
      <c r="I2258" t="n">
        <v>5.1</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46096-2023</t>
        </is>
      </c>
      <c r="B2259" t="inlineStr">
        <is>
          <t>avverkningsanmälan</t>
        </is>
      </c>
      <c r="C2259" t="inlineStr">
        <is>
          <t>Föryngringsavverkning</t>
        </is>
      </c>
      <c r="D2259" s="1" t="n">
        <v>45196</v>
      </c>
      <c r="E2259" s="1" t="n">
        <v>46307</v>
      </c>
      <c r="F2259" t="inlineStr">
        <is>
          <t>VÄRMLANDS LÄN</t>
        </is>
      </c>
      <c r="G2259" t="inlineStr">
        <is>
          <t>KARLSTAD</t>
        </is>
      </c>
      <c r="I2259" t="n">
        <v>7.2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57062-2022</t>
        </is>
      </c>
      <c r="B2260" t="inlineStr">
        <is>
          <t>avverkningsanmälan</t>
        </is>
      </c>
      <c r="C2260" t="inlineStr">
        <is>
          <t>Föryngringsavverkning</t>
        </is>
      </c>
      <c r="D2260" s="1" t="n">
        <v>44895</v>
      </c>
      <c r="E2260" s="1" t="n">
        <v>46307</v>
      </c>
      <c r="F2260" t="inlineStr">
        <is>
          <t>VÄRMLANDS LÄN</t>
        </is>
      </c>
      <c r="G2260" t="inlineStr">
        <is>
          <t>ÅRJÄNG</t>
        </is>
      </c>
      <c r="I2260" t="n">
        <v>2.2</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24893-2024</t>
        </is>
      </c>
      <c r="B2261" t="inlineStr">
        <is>
          <t>avverkningsanmälan</t>
        </is>
      </c>
      <c r="C2261" t="inlineStr">
        <is>
          <t>Föryngringsavverkning</t>
        </is>
      </c>
      <c r="D2261" s="1" t="n">
        <v>45461</v>
      </c>
      <c r="E2261" s="1" t="n">
        <v>46307</v>
      </c>
      <c r="F2261" t="inlineStr">
        <is>
          <t>VÄRMLANDS LÄN</t>
        </is>
      </c>
      <c r="G2261" t="inlineStr">
        <is>
          <t>ÅRJÄNG</t>
        </is>
      </c>
      <c r="I2261" t="n">
        <v>3.1</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21867-2024</t>
        </is>
      </c>
      <c r="B2262" t="inlineStr">
        <is>
          <t>avverkningsanmälan</t>
        </is>
      </c>
      <c r="C2262" t="inlineStr">
        <is>
          <t>Föryngringsavverkning</t>
        </is>
      </c>
      <c r="D2262" s="1" t="n">
        <v>45443</v>
      </c>
      <c r="E2262" s="1" t="n">
        <v>46307</v>
      </c>
      <c r="F2262" t="inlineStr">
        <is>
          <t>VÄRMLANDS LÄN</t>
        </is>
      </c>
      <c r="G2262" t="inlineStr">
        <is>
          <t>HAGFORS</t>
        </is>
      </c>
      <c r="I2262" t="n">
        <v>0.8</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12613-2024</t>
        </is>
      </c>
      <c r="B2263" t="inlineStr">
        <is>
          <t>avverkningsanmälan</t>
        </is>
      </c>
      <c r="C2263" t="inlineStr">
        <is>
          <t>Föryngringsavverkning</t>
        </is>
      </c>
      <c r="D2263" s="1" t="n">
        <v>45382</v>
      </c>
      <c r="E2263" s="1" t="n">
        <v>46307</v>
      </c>
      <c r="F2263" t="inlineStr">
        <is>
          <t>VÄRMLANDS LÄN</t>
        </is>
      </c>
      <c r="G2263" t="inlineStr">
        <is>
          <t>KARLSTAD</t>
        </is>
      </c>
      <c r="I2263" t="n">
        <v>5.1</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47225-2023</t>
        </is>
      </c>
      <c r="B2264" t="inlineStr">
        <is>
          <t>avverkningsanmälan</t>
        </is>
      </c>
      <c r="C2264" t="inlineStr">
        <is>
          <t>Föryngringsavverkning</t>
        </is>
      </c>
      <c r="D2264" s="1" t="n">
        <v>45196</v>
      </c>
      <c r="E2264" s="1" t="n">
        <v>46307</v>
      </c>
      <c r="F2264" t="inlineStr">
        <is>
          <t>VÄRMLANDS LÄN</t>
        </is>
      </c>
      <c r="G2264" t="inlineStr">
        <is>
          <t>SUNNE</t>
        </is>
      </c>
      <c r="I2264" t="n">
        <v>0.6</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56661-2023</t>
        </is>
      </c>
      <c r="B2265" t="inlineStr">
        <is>
          <t>avverkningsanmälan</t>
        </is>
      </c>
      <c r="C2265" t="inlineStr">
        <is>
          <t>Föryngringsavverkning</t>
        </is>
      </c>
      <c r="D2265" s="1" t="n">
        <v>45243</v>
      </c>
      <c r="E2265" s="1" t="n">
        <v>46307</v>
      </c>
      <c r="F2265" t="inlineStr">
        <is>
          <t>VÄRMLANDS LÄN</t>
        </is>
      </c>
      <c r="G2265" t="inlineStr">
        <is>
          <t>KRISTINEHAMN</t>
        </is>
      </c>
      <c r="I2265" t="n">
        <v>1.2</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56664-2023</t>
        </is>
      </c>
      <c r="B2266" t="inlineStr">
        <is>
          <t>avverkningsanmälan</t>
        </is>
      </c>
      <c r="C2266" t="inlineStr">
        <is>
          <t>Föryngringsavverkning</t>
        </is>
      </c>
      <c r="D2266" s="1" t="n">
        <v>45243</v>
      </c>
      <c r="E2266" s="1" t="n">
        <v>46307</v>
      </c>
      <c r="F2266" t="inlineStr">
        <is>
          <t>VÄRMLANDS LÄN</t>
        </is>
      </c>
      <c r="G2266" t="inlineStr">
        <is>
          <t>KRISTINEHAMN</t>
        </is>
      </c>
      <c r="I2266" t="n">
        <v>1.6</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50537-2023</t>
        </is>
      </c>
      <c r="B2267" t="inlineStr">
        <is>
          <t>avverkningsanmälan</t>
        </is>
      </c>
      <c r="C2267" t="inlineStr">
        <is>
          <t>Föryngringsavverkning</t>
        </is>
      </c>
      <c r="D2267" s="1" t="n">
        <v>45217</v>
      </c>
      <c r="E2267" s="1" t="n">
        <v>46307</v>
      </c>
      <c r="F2267" t="inlineStr">
        <is>
          <t>VÄRMLANDS LÄN</t>
        </is>
      </c>
      <c r="G2267" t="inlineStr">
        <is>
          <t>ÅRJÄNG</t>
        </is>
      </c>
      <c r="I2267" t="n">
        <v>0.5</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26056-2024</t>
        </is>
      </c>
      <c r="B2268" t="inlineStr">
        <is>
          <t>avverkningsanmälan</t>
        </is>
      </c>
      <c r="C2268" t="inlineStr">
        <is>
          <t>Avverkning för annat ändamål</t>
        </is>
      </c>
      <c r="D2268" s="1" t="n">
        <v>45468</v>
      </c>
      <c r="E2268" s="1" t="n">
        <v>46307</v>
      </c>
      <c r="F2268" t="inlineStr">
        <is>
          <t>VÄRMLANDS LÄN</t>
        </is>
      </c>
      <c r="G2268" t="inlineStr">
        <is>
          <t>ARVIKA</t>
        </is>
      </c>
      <c r="H2268" t="inlineStr">
        <is>
          <t>Bergvik skog väst AB</t>
        </is>
      </c>
      <c r="I2268" t="n">
        <v>1.7</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35634-2022</t>
        </is>
      </c>
      <c r="B2269" t="inlineStr">
        <is>
          <t>avverkningsanmälan</t>
        </is>
      </c>
      <c r="C2269" t="inlineStr">
        <is>
          <t>Föryngringsavverkning</t>
        </is>
      </c>
      <c r="D2269" s="1" t="n">
        <v>44799</v>
      </c>
      <c r="E2269" s="1" t="n">
        <v>46307</v>
      </c>
      <c r="F2269" t="inlineStr">
        <is>
          <t>VÄRMLANDS LÄN</t>
        </is>
      </c>
      <c r="G2269" t="inlineStr">
        <is>
          <t>EDA</t>
        </is>
      </c>
      <c r="I2269" t="n">
        <v>2</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24281-2024</t>
        </is>
      </c>
      <c r="B2270" t="inlineStr">
        <is>
          <t>avverkningsanmälan</t>
        </is>
      </c>
      <c r="C2270" t="inlineStr">
        <is>
          <t>Föryngringsavverkning</t>
        </is>
      </c>
      <c r="D2270" s="1" t="n">
        <v>45457</v>
      </c>
      <c r="E2270" s="1" t="n">
        <v>46307</v>
      </c>
      <c r="F2270" t="inlineStr">
        <is>
          <t>VÄRMLANDS LÄN</t>
        </is>
      </c>
      <c r="G2270" t="inlineStr">
        <is>
          <t>ÅRJÄNG</t>
        </is>
      </c>
      <c r="I2270" t="n">
        <v>8.300000000000001</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11732-2022</t>
        </is>
      </c>
      <c r="B2271" t="inlineStr">
        <is>
          <t>avverkningsanmälan</t>
        </is>
      </c>
      <c r="C2271" t="inlineStr">
        <is>
          <t>Föryngringsavverkning</t>
        </is>
      </c>
      <c r="D2271" s="1" t="n">
        <v>44634</v>
      </c>
      <c r="E2271" s="1" t="n">
        <v>46307</v>
      </c>
      <c r="F2271" t="inlineStr">
        <is>
          <t>VÄRMLANDS LÄN</t>
        </is>
      </c>
      <c r="G2271" t="inlineStr">
        <is>
          <t>SUNNE</t>
        </is>
      </c>
      <c r="I2271" t="n">
        <v>2.4</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10649-2024</t>
        </is>
      </c>
      <c r="B2272" t="inlineStr">
        <is>
          <t>avverkningsanmälan</t>
        </is>
      </c>
      <c r="C2272" t="inlineStr">
        <is>
          <t>Avverkning för annat ändamål</t>
        </is>
      </c>
      <c r="D2272" s="1" t="n">
        <v>45368</v>
      </c>
      <c r="E2272" s="1" t="n">
        <v>46307</v>
      </c>
      <c r="F2272" t="inlineStr">
        <is>
          <t>VÄRMLANDS LÄN</t>
        </is>
      </c>
      <c r="G2272" t="inlineStr">
        <is>
          <t>SÄFFLE</t>
        </is>
      </c>
      <c r="I2272" t="n">
        <v>0.5</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19158-2025</t>
        </is>
      </c>
      <c r="B2273" t="inlineStr">
        <is>
          <t>avverkningsanmälan</t>
        </is>
      </c>
      <c r="C2273" t="inlineStr">
        <is>
          <t>Föryngringsavverkning</t>
        </is>
      </c>
      <c r="D2273" s="1" t="n">
        <v>45769</v>
      </c>
      <c r="E2273" s="1" t="n">
        <v>46307</v>
      </c>
      <c r="F2273" t="inlineStr">
        <is>
          <t>VÄRMLANDS LÄN</t>
        </is>
      </c>
      <c r="G2273" t="inlineStr">
        <is>
          <t>ARVIKA</t>
        </is>
      </c>
      <c r="H2273" t="inlineStr">
        <is>
          <t>Bergvik skog väst AB</t>
        </is>
      </c>
      <c r="I2273" t="n">
        <v>3.4</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45516-2024</t>
        </is>
      </c>
      <c r="B2274" t="inlineStr">
        <is>
          <t>avverkningsanmälan</t>
        </is>
      </c>
      <c r="C2274" t="inlineStr">
        <is>
          <t>Föryngringsavverkning</t>
        </is>
      </c>
      <c r="D2274" s="1" t="n">
        <v>45578</v>
      </c>
      <c r="E2274" s="1" t="n">
        <v>46307</v>
      </c>
      <c r="F2274" t="inlineStr">
        <is>
          <t>VÄRMLANDS LÄN</t>
        </is>
      </c>
      <c r="G2274" t="inlineStr">
        <is>
          <t>FILIPSTAD</t>
        </is>
      </c>
      <c r="I2274" t="n">
        <v>27</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56682-2021</t>
        </is>
      </c>
      <c r="B2275" t="inlineStr">
        <is>
          <t>avverkningsanmälan</t>
        </is>
      </c>
      <c r="C2275" t="inlineStr">
        <is>
          <t>Föryngringsavverkning</t>
        </is>
      </c>
      <c r="D2275" s="1" t="n">
        <v>44481</v>
      </c>
      <c r="E2275" s="1" t="n">
        <v>46307</v>
      </c>
      <c r="F2275" t="inlineStr">
        <is>
          <t>VÄRMLANDS LÄN</t>
        </is>
      </c>
      <c r="G2275" t="inlineStr">
        <is>
          <t>ÅRJÄNG</t>
        </is>
      </c>
      <c r="I2275" t="n">
        <v>2.5</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19323-2023</t>
        </is>
      </c>
      <c r="B2276" t="inlineStr">
        <is>
          <t>avverkningsanmälan</t>
        </is>
      </c>
      <c r="C2276" t="inlineStr">
        <is>
          <t>Föryngringsavverkning</t>
        </is>
      </c>
      <c r="D2276" s="1" t="n">
        <v>45049</v>
      </c>
      <c r="E2276" s="1" t="n">
        <v>46307</v>
      </c>
      <c r="F2276" t="inlineStr">
        <is>
          <t>VÄRMLANDS LÄN</t>
        </is>
      </c>
      <c r="G2276" t="inlineStr">
        <is>
          <t>FORSHAGA</t>
        </is>
      </c>
      <c r="I2276" t="n">
        <v>0.6</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21492-2023</t>
        </is>
      </c>
      <c r="B2277" t="inlineStr">
        <is>
          <t>avverkningsanmälan</t>
        </is>
      </c>
      <c r="C2277" t="inlineStr">
        <is>
          <t>Föryngringsavverkning</t>
        </is>
      </c>
      <c r="D2277" s="1" t="n">
        <v>45063</v>
      </c>
      <c r="E2277" s="1" t="n">
        <v>46307</v>
      </c>
      <c r="F2277" t="inlineStr">
        <is>
          <t>VÄRMLANDS LÄN</t>
        </is>
      </c>
      <c r="G2277" t="inlineStr">
        <is>
          <t>SÄFFLE</t>
        </is>
      </c>
      <c r="I2277" t="n">
        <v>9.800000000000001</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4424-2023</t>
        </is>
      </c>
      <c r="B2278" t="inlineStr">
        <is>
          <t>avverkningsanmälan</t>
        </is>
      </c>
      <c r="C2278" t="inlineStr">
        <is>
          <t>Föryngringsavverkning</t>
        </is>
      </c>
      <c r="D2278" s="1" t="n">
        <v>44956</v>
      </c>
      <c r="E2278" s="1" t="n">
        <v>46307</v>
      </c>
      <c r="F2278" t="inlineStr">
        <is>
          <t>VÄRMLANDS LÄN</t>
        </is>
      </c>
      <c r="G2278" t="inlineStr">
        <is>
          <t>EDA</t>
        </is>
      </c>
      <c r="I2278" t="n">
        <v>1.1</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31678-2022</t>
        </is>
      </c>
      <c r="B2279" t="inlineStr">
        <is>
          <t>avverkningsanmälan</t>
        </is>
      </c>
      <c r="C2279" t="inlineStr">
        <is>
          <t>Föryngringsavverkning</t>
        </is>
      </c>
      <c r="D2279" s="1" t="n">
        <v>44776</v>
      </c>
      <c r="E2279" s="1" t="n">
        <v>46307</v>
      </c>
      <c r="F2279" t="inlineStr">
        <is>
          <t>VÄRMLANDS LÄN</t>
        </is>
      </c>
      <c r="G2279" t="inlineStr">
        <is>
          <t>EDA</t>
        </is>
      </c>
      <c r="H2279" t="inlineStr">
        <is>
          <t>Kommuner</t>
        </is>
      </c>
      <c r="I2279" t="n">
        <v>2.5</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13291-2024</t>
        </is>
      </c>
      <c r="B2280" t="inlineStr">
        <is>
          <t>avverkningsanmälan</t>
        </is>
      </c>
      <c r="C2280" t="inlineStr">
        <is>
          <t>Föryngringsavverkning</t>
        </is>
      </c>
      <c r="D2280" s="1" t="n">
        <v>45386</v>
      </c>
      <c r="E2280" s="1" t="n">
        <v>46307</v>
      </c>
      <c r="F2280" t="inlineStr">
        <is>
          <t>VÄRMLANDS LÄN</t>
        </is>
      </c>
      <c r="G2280" t="inlineStr">
        <is>
          <t>KARLSTAD</t>
        </is>
      </c>
      <c r="I2280" t="n">
        <v>1.2</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13292-2024</t>
        </is>
      </c>
      <c r="B2281" t="inlineStr">
        <is>
          <t>avverkningsanmälan</t>
        </is>
      </c>
      <c r="C2281" t="inlineStr">
        <is>
          <t>Föryngringsavverkning</t>
        </is>
      </c>
      <c r="D2281" s="1" t="n">
        <v>45386</v>
      </c>
      <c r="E2281" s="1" t="n">
        <v>46307</v>
      </c>
      <c r="F2281" t="inlineStr">
        <is>
          <t>VÄRMLANDS LÄN</t>
        </is>
      </c>
      <c r="G2281" t="inlineStr">
        <is>
          <t>SÄFFLE</t>
        </is>
      </c>
      <c r="I2281" t="n">
        <v>1.1</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34004-2024</t>
        </is>
      </c>
      <c r="B2282" t="inlineStr">
        <is>
          <t>avverkningsanmälan</t>
        </is>
      </c>
      <c r="C2282" t="inlineStr">
        <is>
          <t>Föryngringsavverkning</t>
        </is>
      </c>
      <c r="D2282" s="1" t="n">
        <v>45523</v>
      </c>
      <c r="E2282" s="1" t="n">
        <v>46307</v>
      </c>
      <c r="F2282" t="inlineStr">
        <is>
          <t>VÄRMLANDS LÄN</t>
        </is>
      </c>
      <c r="G2282" t="inlineStr">
        <is>
          <t>SUNNE</t>
        </is>
      </c>
      <c r="I2282" t="n">
        <v>0.4</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2261-2024</t>
        </is>
      </c>
      <c r="B2283" t="inlineStr">
        <is>
          <t>avverkningsanmälan</t>
        </is>
      </c>
      <c r="C2283" t="inlineStr">
        <is>
          <t>Föryngringsavverkning</t>
        </is>
      </c>
      <c r="D2283" s="1" t="n">
        <v>45310</v>
      </c>
      <c r="E2283" s="1" t="n">
        <v>46307</v>
      </c>
      <c r="F2283" t="inlineStr">
        <is>
          <t>VÄRMLANDS LÄN</t>
        </is>
      </c>
      <c r="G2283" t="inlineStr">
        <is>
          <t>EDA</t>
        </is>
      </c>
      <c r="I2283" t="n">
        <v>1.7</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61873-2023</t>
        </is>
      </c>
      <c r="B2284" t="inlineStr">
        <is>
          <t>avverkningsanmälan</t>
        </is>
      </c>
      <c r="C2284" t="inlineStr">
        <is>
          <t>Föryngringsavverkning</t>
        </is>
      </c>
      <c r="D2284" s="1" t="n">
        <v>45266</v>
      </c>
      <c r="E2284" s="1" t="n">
        <v>46307</v>
      </c>
      <c r="F2284" t="inlineStr">
        <is>
          <t>VÄRMLANDS LÄN</t>
        </is>
      </c>
      <c r="G2284" t="inlineStr">
        <is>
          <t>ÅRJÄNG</t>
        </is>
      </c>
      <c r="I2284" t="n">
        <v>8.199999999999999</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21081-2023</t>
        </is>
      </c>
      <c r="B2285" t="inlineStr">
        <is>
          <t>avverkningsanmälan</t>
        </is>
      </c>
      <c r="C2285" t="inlineStr">
        <is>
          <t>Föryngringsavverkning</t>
        </is>
      </c>
      <c r="D2285" s="1" t="n">
        <v>45057</v>
      </c>
      <c r="E2285" s="1" t="n">
        <v>46307</v>
      </c>
      <c r="F2285" t="inlineStr">
        <is>
          <t>VÄRMLANDS LÄN</t>
        </is>
      </c>
      <c r="G2285" t="inlineStr">
        <is>
          <t>ÅRJÄNG</t>
        </is>
      </c>
      <c r="I2285" t="n">
        <v>5.1</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61643-2023</t>
        </is>
      </c>
      <c r="B2286" t="inlineStr">
        <is>
          <t>avverkningsanmälan</t>
        </is>
      </c>
      <c r="C2286" t="inlineStr">
        <is>
          <t>Föryngringsavverkning</t>
        </is>
      </c>
      <c r="D2286" s="1" t="n">
        <v>45261</v>
      </c>
      <c r="E2286" s="1" t="n">
        <v>46307</v>
      </c>
      <c r="F2286" t="inlineStr">
        <is>
          <t>VÄRMLANDS LÄN</t>
        </is>
      </c>
      <c r="G2286" t="inlineStr">
        <is>
          <t>SÄFFLE</t>
        </is>
      </c>
      <c r="I2286" t="n">
        <v>1.8</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3963-2025</t>
        </is>
      </c>
      <c r="B2287" t="inlineStr">
        <is>
          <t>avverkningsanmälan</t>
        </is>
      </c>
      <c r="C2287" t="inlineStr">
        <is>
          <t>Föryngringsavverkning</t>
        </is>
      </c>
      <c r="D2287" s="1" t="n">
        <v>45684</v>
      </c>
      <c r="E2287" s="1" t="n">
        <v>46307</v>
      </c>
      <c r="F2287" t="inlineStr">
        <is>
          <t>VÄRMLANDS LÄN</t>
        </is>
      </c>
      <c r="G2287" t="inlineStr">
        <is>
          <t>HAGFORS</t>
        </is>
      </c>
      <c r="I2287" t="n">
        <v>0.5</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40759-2024</t>
        </is>
      </c>
      <c r="B2288" t="inlineStr">
        <is>
          <t>avverkningsanmälan</t>
        </is>
      </c>
      <c r="C2288" t="inlineStr">
        <is>
          <t>Avverkning för annat ändamål</t>
        </is>
      </c>
      <c r="D2288" s="1" t="n">
        <v>45558</v>
      </c>
      <c r="E2288" s="1" t="n">
        <v>46307</v>
      </c>
      <c r="F2288" t="inlineStr">
        <is>
          <t>VÄRMLANDS LÄN</t>
        </is>
      </c>
      <c r="G2288" t="inlineStr">
        <is>
          <t>SÄFFLE</t>
        </is>
      </c>
      <c r="I2288" t="n">
        <v>0.6</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32340-2024</t>
        </is>
      </c>
      <c r="B2289" t="inlineStr">
        <is>
          <t>avverkningsanmälan</t>
        </is>
      </c>
      <c r="C2289" t="inlineStr">
        <is>
          <t>Föryngringsavverkning</t>
        </is>
      </c>
      <c r="D2289" s="1" t="n">
        <v>45512</v>
      </c>
      <c r="E2289" s="1" t="n">
        <v>46307</v>
      </c>
      <c r="F2289" t="inlineStr">
        <is>
          <t>VÄRMLANDS LÄN</t>
        </is>
      </c>
      <c r="G2289" t="inlineStr">
        <is>
          <t>TORSBY</t>
        </is>
      </c>
      <c r="I2289" t="n">
        <v>9.9</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46680-2024</t>
        </is>
      </c>
      <c r="B2290" t="inlineStr">
        <is>
          <t>avverkningsanmälan</t>
        </is>
      </c>
      <c r="C2290" t="inlineStr">
        <is>
          <t>Föryngringsavverkning</t>
        </is>
      </c>
      <c r="D2290" s="1" t="n">
        <v>45583</v>
      </c>
      <c r="E2290" s="1" t="n">
        <v>46307</v>
      </c>
      <c r="F2290" t="inlineStr">
        <is>
          <t>VÄRMLANDS LÄN</t>
        </is>
      </c>
      <c r="G2290" t="inlineStr">
        <is>
          <t>FILIPSTAD</t>
        </is>
      </c>
      <c r="H2290" t="inlineStr">
        <is>
          <t>Bergvik skog väst AB</t>
        </is>
      </c>
      <c r="I2290" t="n">
        <v>2.5</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40470-2023</t>
        </is>
      </c>
      <c r="B2291" t="inlineStr">
        <is>
          <t>avverkningsanmälan</t>
        </is>
      </c>
      <c r="C2291" t="inlineStr">
        <is>
          <t>Föryngringsavverkning</t>
        </is>
      </c>
      <c r="D2291" s="1" t="n">
        <v>45170</v>
      </c>
      <c r="E2291" s="1" t="n">
        <v>46307</v>
      </c>
      <c r="F2291" t="inlineStr">
        <is>
          <t>VÄRMLANDS LÄN</t>
        </is>
      </c>
      <c r="G2291" t="inlineStr">
        <is>
          <t>TORSBY</t>
        </is>
      </c>
      <c r="I2291" t="n">
        <v>0.9</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887-2024</t>
        </is>
      </c>
      <c r="B2292" t="inlineStr">
        <is>
          <t>avverkningsanmälan</t>
        </is>
      </c>
      <c r="C2292" t="inlineStr">
        <is>
          <t>Föryngringsavverkning</t>
        </is>
      </c>
      <c r="D2292" s="1" t="n">
        <v>45301</v>
      </c>
      <c r="E2292" s="1" t="n">
        <v>46307</v>
      </c>
      <c r="F2292" t="inlineStr">
        <is>
          <t>VÄRMLANDS LÄN</t>
        </is>
      </c>
      <c r="G2292" t="inlineStr">
        <is>
          <t>EDA</t>
        </is>
      </c>
      <c r="H2292" t="inlineStr">
        <is>
          <t>Kyrkan</t>
        </is>
      </c>
      <c r="I2292" t="n">
        <v>3.4</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53305-2023</t>
        </is>
      </c>
      <c r="B2293" t="inlineStr">
        <is>
          <t>avverkningsanmälan</t>
        </is>
      </c>
      <c r="C2293" t="inlineStr">
        <is>
          <t>Avverkning för annat ändamål</t>
        </is>
      </c>
      <c r="D2293" s="1" t="n">
        <v>45229</v>
      </c>
      <c r="E2293" s="1" t="n">
        <v>46307</v>
      </c>
      <c r="F2293" t="inlineStr">
        <is>
          <t>VÄRMLANDS LÄN</t>
        </is>
      </c>
      <c r="G2293" t="inlineStr">
        <is>
          <t>KARLSTAD</t>
        </is>
      </c>
      <c r="H2293" t="inlineStr">
        <is>
          <t>Övriga Aktiebolag</t>
        </is>
      </c>
      <c r="I2293" t="n">
        <v>0.6</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23624-2024</t>
        </is>
      </c>
      <c r="B2294" t="inlineStr">
        <is>
          <t>avverkningsanmälan</t>
        </is>
      </c>
      <c r="C2294" t="inlineStr">
        <is>
          <t>Avverkning för annat ändamål</t>
        </is>
      </c>
      <c r="D2294" s="1" t="n">
        <v>45454</v>
      </c>
      <c r="E2294" s="1" t="n">
        <v>46307</v>
      </c>
      <c r="F2294" t="inlineStr">
        <is>
          <t>VÄRMLANDS LÄN</t>
        </is>
      </c>
      <c r="G2294" t="inlineStr">
        <is>
          <t>SÄFFLE</t>
        </is>
      </c>
      <c r="H2294" t="inlineStr">
        <is>
          <t>Kommuner</t>
        </is>
      </c>
      <c r="I2294" t="n">
        <v>0</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64061-2021</t>
        </is>
      </c>
      <c r="B2295" t="inlineStr">
        <is>
          <t>avverkningsanmälan</t>
        </is>
      </c>
      <c r="C2295" t="inlineStr">
        <is>
          <t>Avverkning för att bevara och utveckla /försöksver</t>
        </is>
      </c>
      <c r="D2295" s="1" t="n">
        <v>44509</v>
      </c>
      <c r="E2295" s="1" t="n">
        <v>46307</v>
      </c>
      <c r="F2295" t="inlineStr">
        <is>
          <t>VÄRMLANDS LÄN</t>
        </is>
      </c>
      <c r="G2295" t="inlineStr">
        <is>
          <t>SÄFFLE</t>
        </is>
      </c>
      <c r="H2295" t="inlineStr">
        <is>
          <t>Bergvik skog väst AB</t>
        </is>
      </c>
      <c r="I2295" t="n">
        <v>12.6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59503-2022</t>
        </is>
      </c>
      <c r="B2296" t="inlineStr">
        <is>
          <t>avverkningsanmälan</t>
        </is>
      </c>
      <c r="C2296" t="inlineStr">
        <is>
          <t>Föryngringsavverkning</t>
        </is>
      </c>
      <c r="D2296" s="1" t="n">
        <v>44907</v>
      </c>
      <c r="E2296" s="1" t="n">
        <v>46307</v>
      </c>
      <c r="F2296" t="inlineStr">
        <is>
          <t>VÄRMLANDS LÄN</t>
        </is>
      </c>
      <c r="G2296" t="inlineStr">
        <is>
          <t>KIL</t>
        </is>
      </c>
      <c r="I2296" t="n">
        <v>0.7</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33245-2023</t>
        </is>
      </c>
      <c r="B2297" t="inlineStr">
        <is>
          <t>avverkningsanmälan</t>
        </is>
      </c>
      <c r="C2297" t="inlineStr">
        <is>
          <t>Avverkning för annat ändamål</t>
        </is>
      </c>
      <c r="D2297" s="1" t="n">
        <v>45127</v>
      </c>
      <c r="E2297" s="1" t="n">
        <v>46307</v>
      </c>
      <c r="F2297" t="inlineStr">
        <is>
          <t>VÄRMLANDS LÄN</t>
        </is>
      </c>
      <c r="G2297" t="inlineStr">
        <is>
          <t>SÄFFLE</t>
        </is>
      </c>
      <c r="I2297" t="n">
        <v>1.8</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52773-2022</t>
        </is>
      </c>
      <c r="B2298" t="inlineStr">
        <is>
          <t>avverkningsanmälan</t>
        </is>
      </c>
      <c r="C2298" t="inlineStr">
        <is>
          <t>Föryngringsavverkning</t>
        </is>
      </c>
      <c r="D2298" s="1" t="n">
        <v>44875</v>
      </c>
      <c r="E2298" s="1" t="n">
        <v>46307</v>
      </c>
      <c r="F2298" t="inlineStr">
        <is>
          <t>VÄRMLANDS LÄN</t>
        </is>
      </c>
      <c r="G2298" t="inlineStr">
        <is>
          <t>ÅRJÄNG</t>
        </is>
      </c>
      <c r="I2298" t="n">
        <v>4.1</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37159-2024</t>
        </is>
      </c>
      <c r="B2299" t="inlineStr">
        <is>
          <t>avverkningsanmälan</t>
        </is>
      </c>
      <c r="C2299" t="inlineStr">
        <is>
          <t>Föryngringsavverkning</t>
        </is>
      </c>
      <c r="D2299" s="1" t="n">
        <v>45539</v>
      </c>
      <c r="E2299" s="1" t="n">
        <v>46307</v>
      </c>
      <c r="F2299" t="inlineStr">
        <is>
          <t>VÄRMLANDS LÄN</t>
        </is>
      </c>
      <c r="G2299" t="inlineStr">
        <is>
          <t>EDA</t>
        </is>
      </c>
      <c r="I2299" t="n">
        <v>2.4</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40826-2024</t>
        </is>
      </c>
      <c r="B2300" t="inlineStr">
        <is>
          <t>avverkningsanmälan</t>
        </is>
      </c>
      <c r="C2300" t="inlineStr">
        <is>
          <t>Föryngringsavverkning</t>
        </is>
      </c>
      <c r="D2300" s="1" t="n">
        <v>45558</v>
      </c>
      <c r="E2300" s="1" t="n">
        <v>46307</v>
      </c>
      <c r="F2300" t="inlineStr">
        <is>
          <t>VÄRMLANDS LÄN</t>
        </is>
      </c>
      <c r="G2300" t="inlineStr">
        <is>
          <t>EDA</t>
        </is>
      </c>
      <c r="I2300" t="n">
        <v>1.3</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12118-2023</t>
        </is>
      </c>
      <c r="B2301" t="inlineStr">
        <is>
          <t>avverkningsanmälan</t>
        </is>
      </c>
      <c r="C2301" t="inlineStr">
        <is>
          <t>Föryngringsavverkning</t>
        </is>
      </c>
      <c r="D2301" s="1" t="n">
        <v>44998</v>
      </c>
      <c r="E2301" s="1" t="n">
        <v>46307</v>
      </c>
      <c r="F2301" t="inlineStr">
        <is>
          <t>VÄRMLANDS LÄN</t>
        </is>
      </c>
      <c r="G2301" t="inlineStr">
        <is>
          <t>EDA</t>
        </is>
      </c>
      <c r="I2301" t="n">
        <v>3.9</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12119-2023</t>
        </is>
      </c>
      <c r="B2302" t="inlineStr">
        <is>
          <t>avverkningsanmälan</t>
        </is>
      </c>
      <c r="C2302" t="inlineStr">
        <is>
          <t>Föryngringsavverkning</t>
        </is>
      </c>
      <c r="D2302" s="1" t="n">
        <v>44998</v>
      </c>
      <c r="E2302" s="1" t="n">
        <v>46307</v>
      </c>
      <c r="F2302" t="inlineStr">
        <is>
          <t>VÄRMLANDS LÄN</t>
        </is>
      </c>
      <c r="G2302" t="inlineStr">
        <is>
          <t>SUNNE</t>
        </is>
      </c>
      <c r="I2302" t="n">
        <v>1.5</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57153-2024</t>
        </is>
      </c>
      <c r="B2303" t="inlineStr">
        <is>
          <t>avverkningsanmälan</t>
        </is>
      </c>
      <c r="C2303" t="inlineStr">
        <is>
          <t>Föryngringsavverkning</t>
        </is>
      </c>
      <c r="D2303" s="1" t="n">
        <v>45629</v>
      </c>
      <c r="E2303" s="1" t="n">
        <v>46307</v>
      </c>
      <c r="F2303" t="inlineStr">
        <is>
          <t>VÄRMLANDS LÄN</t>
        </is>
      </c>
      <c r="G2303" t="inlineStr">
        <is>
          <t>KARLSTAD</t>
        </is>
      </c>
      <c r="I2303" t="n">
        <v>8.6</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58399-2023</t>
        </is>
      </c>
      <c r="B2304" t="inlineStr">
        <is>
          <t>avverkningsanmälan</t>
        </is>
      </c>
      <c r="C2304" t="inlineStr">
        <is>
          <t>Föryngringsavverkning</t>
        </is>
      </c>
      <c r="D2304" s="1" t="n">
        <v>45245</v>
      </c>
      <c r="E2304" s="1" t="n">
        <v>46307</v>
      </c>
      <c r="F2304" t="inlineStr">
        <is>
          <t>VÄRMLANDS LÄN</t>
        </is>
      </c>
      <c r="G2304" t="inlineStr">
        <is>
          <t>ARVIKA</t>
        </is>
      </c>
      <c r="I2304" t="n">
        <v>2.3</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19454-2022</t>
        </is>
      </c>
      <c r="B2305" t="inlineStr">
        <is>
          <t>avverkningsanmälan</t>
        </is>
      </c>
      <c r="C2305" t="inlineStr">
        <is>
          <t>Föryngringsavverkning</t>
        </is>
      </c>
      <c r="D2305" s="1" t="n">
        <v>44693</v>
      </c>
      <c r="E2305" s="1" t="n">
        <v>46307</v>
      </c>
      <c r="F2305" t="inlineStr">
        <is>
          <t>VÄRMLANDS LÄN</t>
        </is>
      </c>
      <c r="G2305" t="inlineStr">
        <is>
          <t>SUNNE</t>
        </is>
      </c>
      <c r="I2305" t="n">
        <v>8.9</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16764-2024</t>
        </is>
      </c>
      <c r="B2306" t="inlineStr">
        <is>
          <t>avverkningsanmälan</t>
        </is>
      </c>
      <c r="C2306" t="inlineStr">
        <is>
          <t>Föryngringsavverkning</t>
        </is>
      </c>
      <c r="D2306" s="1" t="n">
        <v>45411</v>
      </c>
      <c r="E2306" s="1" t="n">
        <v>46307</v>
      </c>
      <c r="F2306" t="inlineStr">
        <is>
          <t>VÄRMLANDS LÄN</t>
        </is>
      </c>
      <c r="G2306" t="inlineStr">
        <is>
          <t>ARVIKA</t>
        </is>
      </c>
      <c r="I2306" t="n">
        <v>1.2</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56763-2022</t>
        </is>
      </c>
      <c r="B2307" t="inlineStr">
        <is>
          <t>avverkningsanmälan</t>
        </is>
      </c>
      <c r="C2307" t="inlineStr">
        <is>
          <t>Föryngringsavverkning</t>
        </is>
      </c>
      <c r="D2307" s="1" t="n">
        <v>44894</v>
      </c>
      <c r="E2307" s="1" t="n">
        <v>46307</v>
      </c>
      <c r="F2307" t="inlineStr">
        <is>
          <t>VÄRMLANDS LÄN</t>
        </is>
      </c>
      <c r="G2307" t="inlineStr">
        <is>
          <t>EDA</t>
        </is>
      </c>
      <c r="I2307" t="n">
        <v>2.9</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22830-2023</t>
        </is>
      </c>
      <c r="B2308" t="inlineStr">
        <is>
          <t>avverkningsanmälan</t>
        </is>
      </c>
      <c r="C2308" t="inlineStr">
        <is>
          <t>Avverkning för annat ändamål</t>
        </is>
      </c>
      <c r="D2308" s="1" t="n">
        <v>45072</v>
      </c>
      <c r="E2308" s="1" t="n">
        <v>46307</v>
      </c>
      <c r="F2308" t="inlineStr">
        <is>
          <t>VÄRMLANDS LÄN</t>
        </is>
      </c>
      <c r="G2308" t="inlineStr">
        <is>
          <t>FILIPSTAD</t>
        </is>
      </c>
      <c r="H2308" t="inlineStr">
        <is>
          <t>Bergvik skog väst AB</t>
        </is>
      </c>
      <c r="I2308" t="n">
        <v>1</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5432-2025</t>
        </is>
      </c>
      <c r="B2309" t="inlineStr">
        <is>
          <t>avverkningsanmälan</t>
        </is>
      </c>
      <c r="C2309" t="inlineStr">
        <is>
          <t>Avverkning för annat ändamål</t>
        </is>
      </c>
      <c r="D2309" s="1" t="n">
        <v>45692</v>
      </c>
      <c r="E2309" s="1" t="n">
        <v>46307</v>
      </c>
      <c r="F2309" t="inlineStr">
        <is>
          <t>VÄRMLANDS LÄN</t>
        </is>
      </c>
      <c r="G2309" t="inlineStr">
        <is>
          <t>EDA</t>
        </is>
      </c>
      <c r="I2309" t="n">
        <v>0.4</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46071-2023</t>
        </is>
      </c>
      <c r="B2310" t="inlineStr">
        <is>
          <t>avverkningsanmälan</t>
        </is>
      </c>
      <c r="C2310" t="inlineStr">
        <is>
          <t>Föryngringsavverkning</t>
        </is>
      </c>
      <c r="D2310" s="1" t="n">
        <v>45196</v>
      </c>
      <c r="E2310" s="1" t="n">
        <v>46307</v>
      </c>
      <c r="F2310" t="inlineStr">
        <is>
          <t>VÄRMLANDS LÄN</t>
        </is>
      </c>
      <c r="G2310" t="inlineStr">
        <is>
          <t>SUNNE</t>
        </is>
      </c>
      <c r="I2310" t="n">
        <v>0.4</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9405-2025</t>
        </is>
      </c>
      <c r="B2311" t="inlineStr">
        <is>
          <t>avverkningsanmälan</t>
        </is>
      </c>
      <c r="C2311" t="inlineStr">
        <is>
          <t>Avverkning för annat ändamål</t>
        </is>
      </c>
      <c r="D2311" s="1" t="n">
        <v>45715</v>
      </c>
      <c r="E2311" s="1" t="n">
        <v>46307</v>
      </c>
      <c r="F2311" t="inlineStr">
        <is>
          <t>VÄRMLANDS LÄN</t>
        </is>
      </c>
      <c r="G2311" t="inlineStr">
        <is>
          <t>KARLSTAD</t>
        </is>
      </c>
      <c r="I2311" t="n">
        <v>0.6</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70785-2021</t>
        </is>
      </c>
      <c r="B2312" t="inlineStr">
        <is>
          <t>avverkningsanmälan</t>
        </is>
      </c>
      <c r="C2312" t="inlineStr">
        <is>
          <t>Föryngringsavverkning</t>
        </is>
      </c>
      <c r="D2312" s="1" t="n">
        <v>44537</v>
      </c>
      <c r="E2312" s="1" t="n">
        <v>46307</v>
      </c>
      <c r="F2312" t="inlineStr">
        <is>
          <t>VÄRMLANDS LÄN</t>
        </is>
      </c>
      <c r="G2312" t="inlineStr">
        <is>
          <t>TORSBY</t>
        </is>
      </c>
      <c r="I2312" t="n">
        <v>2.9</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16584-2024</t>
        </is>
      </c>
      <c r="B2313" t="inlineStr">
        <is>
          <t>avverkningsanmälan</t>
        </is>
      </c>
      <c r="C2313" t="inlineStr">
        <is>
          <t>Föryngringsavverkning</t>
        </is>
      </c>
      <c r="D2313" s="1" t="n">
        <v>45408</v>
      </c>
      <c r="E2313" s="1" t="n">
        <v>46307</v>
      </c>
      <c r="F2313" t="inlineStr">
        <is>
          <t>VÄRMLANDS LÄN</t>
        </is>
      </c>
      <c r="G2313" t="inlineStr">
        <is>
          <t>FILIPSTAD</t>
        </is>
      </c>
      <c r="H2313" t="inlineStr">
        <is>
          <t>Bergvik skog väst AB</t>
        </is>
      </c>
      <c r="I2313" t="n">
        <v>6.6</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16616-2024</t>
        </is>
      </c>
      <c r="B2314" t="inlineStr">
        <is>
          <t>avverkningsanmälan</t>
        </is>
      </c>
      <c r="C2314" t="inlineStr">
        <is>
          <t>Föryngringsavverkning</t>
        </is>
      </c>
      <c r="D2314" s="1" t="n">
        <v>45408</v>
      </c>
      <c r="E2314" s="1" t="n">
        <v>46307</v>
      </c>
      <c r="F2314" t="inlineStr">
        <is>
          <t>VÄRMLANDS LÄN</t>
        </is>
      </c>
      <c r="G2314" t="inlineStr">
        <is>
          <t>KARLSTAD</t>
        </is>
      </c>
      <c r="I2314" t="n">
        <v>3.2</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18120-2024</t>
        </is>
      </c>
      <c r="B2315" t="inlineStr">
        <is>
          <t>avverkningsanmälan</t>
        </is>
      </c>
      <c r="C2315" t="inlineStr">
        <is>
          <t>Föryngringsavverkning</t>
        </is>
      </c>
      <c r="D2315" s="1" t="n">
        <v>45420</v>
      </c>
      <c r="E2315" s="1" t="n">
        <v>46307</v>
      </c>
      <c r="F2315" t="inlineStr">
        <is>
          <t>VÄRMLANDS LÄN</t>
        </is>
      </c>
      <c r="G2315" t="inlineStr">
        <is>
          <t>ARVIKA</t>
        </is>
      </c>
      <c r="I2315" t="n">
        <v>0.6</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34295-2022</t>
        </is>
      </c>
      <c r="B2316" t="inlineStr">
        <is>
          <t>avverkningsanmälan</t>
        </is>
      </c>
      <c r="C2316" t="inlineStr">
        <is>
          <t>Föryngringsavverkning</t>
        </is>
      </c>
      <c r="D2316" s="1" t="n">
        <v>44792</v>
      </c>
      <c r="E2316" s="1" t="n">
        <v>46307</v>
      </c>
      <c r="F2316" t="inlineStr">
        <is>
          <t>VÄRMLANDS LÄN</t>
        </is>
      </c>
      <c r="G2316" t="inlineStr">
        <is>
          <t>SUNNE</t>
        </is>
      </c>
      <c r="I2316" t="n">
        <v>1.6</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15518-2025</t>
        </is>
      </c>
      <c r="B2317" t="inlineStr">
        <is>
          <t>avverkningsanmälan</t>
        </is>
      </c>
      <c r="C2317" t="inlineStr">
        <is>
          <t>Föryngringsavverkning</t>
        </is>
      </c>
      <c r="D2317" s="1" t="n">
        <v>45747</v>
      </c>
      <c r="E2317" s="1" t="n">
        <v>46307</v>
      </c>
      <c r="F2317" t="inlineStr">
        <is>
          <t>VÄRMLANDS LÄN</t>
        </is>
      </c>
      <c r="G2317" t="inlineStr">
        <is>
          <t>ARVIKA</t>
        </is>
      </c>
      <c r="I2317" t="n">
        <v>1.1</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36125-2022</t>
        </is>
      </c>
      <c r="B2318" t="inlineStr">
        <is>
          <t>avverkningsanmälan</t>
        </is>
      </c>
      <c r="C2318" t="inlineStr">
        <is>
          <t>Föryngringsavverkning</t>
        </is>
      </c>
      <c r="D2318" s="1" t="n">
        <v>44803</v>
      </c>
      <c r="E2318" s="1" t="n">
        <v>46307</v>
      </c>
      <c r="F2318" t="inlineStr">
        <is>
          <t>VÄRMLANDS LÄN</t>
        </is>
      </c>
      <c r="G2318" t="inlineStr">
        <is>
          <t>ARVIKA</t>
        </is>
      </c>
      <c r="I2318" t="n">
        <v>2.7</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3326-2024</t>
        </is>
      </c>
      <c r="B2319" t="inlineStr">
        <is>
          <t>avverkningsanmälan</t>
        </is>
      </c>
      <c r="C2319" t="inlineStr">
        <is>
          <t>Föryngringsavverkning</t>
        </is>
      </c>
      <c r="D2319" s="1" t="n">
        <v>45317</v>
      </c>
      <c r="E2319" s="1" t="n">
        <v>46307</v>
      </c>
      <c r="F2319" t="inlineStr">
        <is>
          <t>VÄRMLANDS LÄN</t>
        </is>
      </c>
      <c r="G2319" t="inlineStr">
        <is>
          <t>TORSBY</t>
        </is>
      </c>
      <c r="I2319" t="n">
        <v>3.1</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52923-2023</t>
        </is>
      </c>
      <c r="B2320" t="inlineStr">
        <is>
          <t>avverkningsanmälan</t>
        </is>
      </c>
      <c r="C2320" t="inlineStr">
        <is>
          <t>Föryngringsavverkning</t>
        </is>
      </c>
      <c r="D2320" s="1" t="n">
        <v>45226</v>
      </c>
      <c r="E2320" s="1" t="n">
        <v>46307</v>
      </c>
      <c r="F2320" t="inlineStr">
        <is>
          <t>VÄRMLANDS LÄN</t>
        </is>
      </c>
      <c r="G2320" t="inlineStr">
        <is>
          <t>HAGFORS</t>
        </is>
      </c>
      <c r="H2320" t="inlineStr">
        <is>
          <t>Bergvik skog väst AB</t>
        </is>
      </c>
      <c r="I2320" t="n">
        <v>1.2</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1556-2025</t>
        </is>
      </c>
      <c r="B2321" t="inlineStr">
        <is>
          <t>avverkningsanmälan</t>
        </is>
      </c>
      <c r="C2321" t="inlineStr">
        <is>
          <t>Föryngringsavverkning</t>
        </is>
      </c>
      <c r="D2321" s="1" t="n">
        <v>45670</v>
      </c>
      <c r="E2321" s="1" t="n">
        <v>46307</v>
      </c>
      <c r="F2321" t="inlineStr">
        <is>
          <t>VÄRMLANDS LÄN</t>
        </is>
      </c>
      <c r="G2321" t="inlineStr">
        <is>
          <t>GRUMS</t>
        </is>
      </c>
      <c r="I2321" t="n">
        <v>1.8</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51052-2022</t>
        </is>
      </c>
      <c r="B2322" t="inlineStr">
        <is>
          <t>avverkningsanmälan</t>
        </is>
      </c>
      <c r="C2322" t="inlineStr">
        <is>
          <t>Föryngringsavverkning</t>
        </is>
      </c>
      <c r="D2322" s="1" t="n">
        <v>44868</v>
      </c>
      <c r="E2322" s="1" t="n">
        <v>46307</v>
      </c>
      <c r="F2322" t="inlineStr">
        <is>
          <t>VÄRMLANDS LÄN</t>
        </is>
      </c>
      <c r="G2322" t="inlineStr">
        <is>
          <t>SÄFFLE</t>
        </is>
      </c>
      <c r="I2322" t="n">
        <v>0.1</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18213-2024</t>
        </is>
      </c>
      <c r="B2323" t="inlineStr">
        <is>
          <t>avverkningsanmälan</t>
        </is>
      </c>
      <c r="C2323" t="inlineStr">
        <is>
          <t>Föryngringsavverkning</t>
        </is>
      </c>
      <c r="D2323" s="1" t="n">
        <v>45420</v>
      </c>
      <c r="E2323" s="1" t="n">
        <v>46307</v>
      </c>
      <c r="F2323" t="inlineStr">
        <is>
          <t>VÄRMLANDS LÄN</t>
        </is>
      </c>
      <c r="G2323" t="inlineStr">
        <is>
          <t>HAGFORS</t>
        </is>
      </c>
      <c r="I2323" t="n">
        <v>11.5</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28260-2024</t>
        </is>
      </c>
      <c r="B2324" t="inlineStr">
        <is>
          <t>avverkningsanmälan</t>
        </is>
      </c>
      <c r="C2324" t="inlineStr">
        <is>
          <t>Föryngringsavverkning</t>
        </is>
      </c>
      <c r="D2324" s="1" t="n">
        <v>45477</v>
      </c>
      <c r="E2324" s="1" t="n">
        <v>46307</v>
      </c>
      <c r="F2324" t="inlineStr">
        <is>
          <t>VÄRMLANDS LÄN</t>
        </is>
      </c>
      <c r="G2324" t="inlineStr">
        <is>
          <t>ÅRJÄNG</t>
        </is>
      </c>
      <c r="I2324" t="n">
        <v>2.4</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3-2023</t>
        </is>
      </c>
      <c r="B2325" t="inlineStr">
        <is>
          <t>avverkningsanmälan</t>
        </is>
      </c>
      <c r="C2325" t="inlineStr">
        <is>
          <t>Föryngringsavverkning</t>
        </is>
      </c>
      <c r="D2325" s="1" t="n">
        <v>44927</v>
      </c>
      <c r="E2325" s="1" t="n">
        <v>46307</v>
      </c>
      <c r="F2325" t="inlineStr">
        <is>
          <t>VÄRMLANDS LÄN</t>
        </is>
      </c>
      <c r="G2325" t="inlineStr">
        <is>
          <t>KIL</t>
        </is>
      </c>
      <c r="I2325" t="n">
        <v>0.5</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65008-2023</t>
        </is>
      </c>
      <c r="B2326" t="inlineStr">
        <is>
          <t>avverkningsanmälan</t>
        </is>
      </c>
      <c r="C2326" t="inlineStr">
        <is>
          <t>Föryngringsavverkning</t>
        </is>
      </c>
      <c r="D2326" s="1" t="n">
        <v>45287</v>
      </c>
      <c r="E2326" s="1" t="n">
        <v>46307</v>
      </c>
      <c r="F2326" t="inlineStr">
        <is>
          <t>VÄRMLANDS LÄN</t>
        </is>
      </c>
      <c r="G2326" t="inlineStr">
        <is>
          <t>KIL</t>
        </is>
      </c>
      <c r="I2326" t="n">
        <v>2.1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50114-2022</t>
        </is>
      </c>
      <c r="B2327" t="inlineStr">
        <is>
          <t>avverkningsanmälan</t>
        </is>
      </c>
      <c r="C2327" t="inlineStr">
        <is>
          <t>Föryngringsavverkning</t>
        </is>
      </c>
      <c r="D2327" s="1" t="n">
        <v>44865</v>
      </c>
      <c r="E2327" s="1" t="n">
        <v>46307</v>
      </c>
      <c r="F2327" t="inlineStr">
        <is>
          <t>VÄRMLANDS LÄN</t>
        </is>
      </c>
      <c r="G2327" t="inlineStr">
        <is>
          <t>EDA</t>
        </is>
      </c>
      <c r="I2327" t="n">
        <v>2.1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29785-2024</t>
        </is>
      </c>
      <c r="B2328" t="inlineStr">
        <is>
          <t>avverkningsanmälan</t>
        </is>
      </c>
      <c r="C2328" t="inlineStr">
        <is>
          <t>Föryngringsavverkning</t>
        </is>
      </c>
      <c r="D2328" s="1" t="n">
        <v>45485</v>
      </c>
      <c r="E2328" s="1" t="n">
        <v>46307</v>
      </c>
      <c r="F2328" t="inlineStr">
        <is>
          <t>VÄRMLANDS LÄN</t>
        </is>
      </c>
      <c r="G2328" t="inlineStr">
        <is>
          <t>ARVIKA</t>
        </is>
      </c>
      <c r="I2328" t="n">
        <v>0.8</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1382-2025</t>
        </is>
      </c>
      <c r="B2329" t="inlineStr">
        <is>
          <t>avverkningsanmälan</t>
        </is>
      </c>
      <c r="C2329" t="inlineStr">
        <is>
          <t>Föryngringsavverkning</t>
        </is>
      </c>
      <c r="D2329" s="1" t="n">
        <v>45667</v>
      </c>
      <c r="E2329" s="1" t="n">
        <v>46307</v>
      </c>
      <c r="F2329" t="inlineStr">
        <is>
          <t>VÄRMLANDS LÄN</t>
        </is>
      </c>
      <c r="G2329" t="inlineStr">
        <is>
          <t>SÄFFLE</t>
        </is>
      </c>
      <c r="H2329" t="inlineStr">
        <is>
          <t>Kommuner</t>
        </is>
      </c>
      <c r="I2329" t="n">
        <v>1</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45063-2023</t>
        </is>
      </c>
      <c r="B2330" t="inlineStr">
        <is>
          <t>avverkningsanmälan</t>
        </is>
      </c>
      <c r="C2330" t="inlineStr">
        <is>
          <t>Föryngringsavverkning</t>
        </is>
      </c>
      <c r="D2330" s="1" t="n">
        <v>45191</v>
      </c>
      <c r="E2330" s="1" t="n">
        <v>46307</v>
      </c>
      <c r="F2330" t="inlineStr">
        <is>
          <t>VÄRMLANDS LÄN</t>
        </is>
      </c>
      <c r="G2330" t="inlineStr">
        <is>
          <t>ARVIKA</t>
        </is>
      </c>
      <c r="I2330" t="n">
        <v>4.8</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62807-2023</t>
        </is>
      </c>
      <c r="B2331" t="inlineStr">
        <is>
          <t>avverkningsanmälan</t>
        </is>
      </c>
      <c r="C2331" t="inlineStr">
        <is>
          <t>Föryngringsavverkning</t>
        </is>
      </c>
      <c r="D2331" s="1" t="n">
        <v>45271</v>
      </c>
      <c r="E2331" s="1" t="n">
        <v>46307</v>
      </c>
      <c r="F2331" t="inlineStr">
        <is>
          <t>VÄRMLANDS LÄN</t>
        </is>
      </c>
      <c r="G2331" t="inlineStr">
        <is>
          <t>KIL</t>
        </is>
      </c>
      <c r="I2331" t="n">
        <v>1.2</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12837-2024</t>
        </is>
      </c>
      <c r="B2332" t="inlineStr">
        <is>
          <t>avverkningsanmälan</t>
        </is>
      </c>
      <c r="C2332" t="inlineStr">
        <is>
          <t>Föryngringsavverkning</t>
        </is>
      </c>
      <c r="D2332" s="1" t="n">
        <v>45384</v>
      </c>
      <c r="E2332" s="1" t="n">
        <v>46307</v>
      </c>
      <c r="F2332" t="inlineStr">
        <is>
          <t>VÄRMLANDS LÄN</t>
        </is>
      </c>
      <c r="G2332" t="inlineStr">
        <is>
          <t>FILIPSTAD</t>
        </is>
      </c>
      <c r="H2332" t="inlineStr">
        <is>
          <t>Bergvik skog väst AB</t>
        </is>
      </c>
      <c r="I2332" t="n">
        <v>4.4</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13382-2024</t>
        </is>
      </c>
      <c r="B2333" t="inlineStr">
        <is>
          <t>avverkningsanmälan</t>
        </is>
      </c>
      <c r="C2333" t="inlineStr">
        <is>
          <t>Föryngringsavverkning</t>
        </is>
      </c>
      <c r="D2333" s="1" t="n">
        <v>45387</v>
      </c>
      <c r="E2333" s="1" t="n">
        <v>46307</v>
      </c>
      <c r="F2333" t="inlineStr">
        <is>
          <t>VÄRMLANDS LÄN</t>
        </is>
      </c>
      <c r="G2333" t="inlineStr">
        <is>
          <t>GRUMS</t>
        </is>
      </c>
      <c r="I2333" t="n">
        <v>1.1</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13397-2024</t>
        </is>
      </c>
      <c r="B2334" t="inlineStr">
        <is>
          <t>avverkningsanmälan</t>
        </is>
      </c>
      <c r="C2334" t="inlineStr">
        <is>
          <t>Föryngringsavverkning</t>
        </is>
      </c>
      <c r="D2334" s="1" t="n">
        <v>45387</v>
      </c>
      <c r="E2334" s="1" t="n">
        <v>46307</v>
      </c>
      <c r="F2334" t="inlineStr">
        <is>
          <t>VÄRMLANDS LÄN</t>
        </is>
      </c>
      <c r="G2334" t="inlineStr">
        <is>
          <t>SUNNE</t>
        </is>
      </c>
      <c r="I2334" t="n">
        <v>1.9</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37221-2022</t>
        </is>
      </c>
      <c r="B2335" t="inlineStr">
        <is>
          <t>avverkningsanmälan</t>
        </is>
      </c>
      <c r="C2335" t="inlineStr">
        <is>
          <t>Föryngringsavverkning</t>
        </is>
      </c>
      <c r="D2335" s="1" t="n">
        <v>44806</v>
      </c>
      <c r="E2335" s="1" t="n">
        <v>46307</v>
      </c>
      <c r="F2335" t="inlineStr">
        <is>
          <t>VÄRMLANDS LÄN</t>
        </is>
      </c>
      <c r="G2335" t="inlineStr">
        <is>
          <t>SUNNE</t>
        </is>
      </c>
      <c r="I2335" t="n">
        <v>11.9</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13402-2024</t>
        </is>
      </c>
      <c r="B2336" t="inlineStr">
        <is>
          <t>avverkningsanmälan</t>
        </is>
      </c>
      <c r="C2336" t="inlineStr">
        <is>
          <t>Föryngringsavverkning</t>
        </is>
      </c>
      <c r="D2336" s="1" t="n">
        <v>45387</v>
      </c>
      <c r="E2336" s="1" t="n">
        <v>46307</v>
      </c>
      <c r="F2336" t="inlineStr">
        <is>
          <t>VÄRMLANDS LÄN</t>
        </is>
      </c>
      <c r="G2336" t="inlineStr">
        <is>
          <t>KARLSTAD</t>
        </is>
      </c>
      <c r="H2336" t="inlineStr">
        <is>
          <t>Bergvik skog väst AB</t>
        </is>
      </c>
      <c r="I2336" t="n">
        <v>0.6</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13640-2024</t>
        </is>
      </c>
      <c r="B2337" t="inlineStr">
        <is>
          <t>avverkningsanmälan</t>
        </is>
      </c>
      <c r="C2337" t="inlineStr">
        <is>
          <t>Föryngringsavverkning</t>
        </is>
      </c>
      <c r="D2337" s="1" t="n">
        <v>45390</v>
      </c>
      <c r="E2337" s="1" t="n">
        <v>46307</v>
      </c>
      <c r="F2337" t="inlineStr">
        <is>
          <t>VÄRMLANDS LÄN</t>
        </is>
      </c>
      <c r="G2337" t="inlineStr">
        <is>
          <t>EDA</t>
        </is>
      </c>
      <c r="I2337" t="n">
        <v>4.3</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32856-2023</t>
        </is>
      </c>
      <c r="B2338" t="inlineStr">
        <is>
          <t>avverkningsanmälan</t>
        </is>
      </c>
      <c r="C2338" t="inlineStr">
        <is>
          <t>Föryngringsavverkning</t>
        </is>
      </c>
      <c r="D2338" s="1" t="n">
        <v>45124</v>
      </c>
      <c r="E2338" s="1" t="n">
        <v>46307</v>
      </c>
      <c r="F2338" t="inlineStr">
        <is>
          <t>VÄRMLANDS LÄN</t>
        </is>
      </c>
      <c r="G2338" t="inlineStr">
        <is>
          <t>ARVIKA</t>
        </is>
      </c>
      <c r="I2338" t="n">
        <v>1.2</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47915-2022</t>
        </is>
      </c>
      <c r="B2339" t="inlineStr">
        <is>
          <t>avverkningsanmälan</t>
        </is>
      </c>
      <c r="C2339" t="inlineStr">
        <is>
          <t>Föryngringsavverkning</t>
        </is>
      </c>
      <c r="D2339" s="1" t="n">
        <v>44855</v>
      </c>
      <c r="E2339" s="1" t="n">
        <v>46307</v>
      </c>
      <c r="F2339" t="inlineStr">
        <is>
          <t>VÄRMLANDS LÄN</t>
        </is>
      </c>
      <c r="G2339" t="inlineStr">
        <is>
          <t>KRISTINEHAMN</t>
        </is>
      </c>
      <c r="I2339" t="n">
        <v>1.4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55808-2024</t>
        </is>
      </c>
      <c r="B2340" t="inlineStr">
        <is>
          <t>avverkningsanmälan</t>
        </is>
      </c>
      <c r="C2340" t="inlineStr">
        <is>
          <t>Avverkning för annat ändamål</t>
        </is>
      </c>
      <c r="D2340" s="1" t="n">
        <v>45622</v>
      </c>
      <c r="E2340" s="1" t="n">
        <v>46307</v>
      </c>
      <c r="F2340" t="inlineStr">
        <is>
          <t>VÄRMLANDS LÄN</t>
        </is>
      </c>
      <c r="G2340" t="inlineStr">
        <is>
          <t>TORSBY</t>
        </is>
      </c>
      <c r="I2340" t="n">
        <v>0.4</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53690-2022</t>
        </is>
      </c>
      <c r="B2341" t="inlineStr">
        <is>
          <t>avverkningsanmälan</t>
        </is>
      </c>
      <c r="C2341" t="inlineStr">
        <is>
          <t>Föryngringsavverkning</t>
        </is>
      </c>
      <c r="D2341" s="1" t="n">
        <v>44880</v>
      </c>
      <c r="E2341" s="1" t="n">
        <v>46307</v>
      </c>
      <c r="F2341" t="inlineStr">
        <is>
          <t>VÄRMLANDS LÄN</t>
        </is>
      </c>
      <c r="G2341" t="inlineStr">
        <is>
          <t>FILIPSTAD</t>
        </is>
      </c>
      <c r="I2341" t="n">
        <v>2.1</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14340-2024</t>
        </is>
      </c>
      <c r="B2342" t="inlineStr">
        <is>
          <t>avverkningsanmälan</t>
        </is>
      </c>
      <c r="C2342" t="inlineStr">
        <is>
          <t>Föryngringsavverkning</t>
        </is>
      </c>
      <c r="D2342" s="1" t="n">
        <v>45393</v>
      </c>
      <c r="E2342" s="1" t="n">
        <v>46307</v>
      </c>
      <c r="F2342" t="inlineStr">
        <is>
          <t>VÄRMLANDS LÄN</t>
        </is>
      </c>
      <c r="G2342" t="inlineStr">
        <is>
          <t>KRISTINEHAMN</t>
        </is>
      </c>
      <c r="I2342" t="n">
        <v>1.8</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10562-2024</t>
        </is>
      </c>
      <c r="B2343" t="inlineStr">
        <is>
          <t>avverkningsanmälan</t>
        </is>
      </c>
      <c r="C2343" t="inlineStr">
        <is>
          <t>Föryngringsavverkning</t>
        </is>
      </c>
      <c r="D2343" s="1" t="n">
        <v>45366</v>
      </c>
      <c r="E2343" s="1" t="n">
        <v>46307</v>
      </c>
      <c r="F2343" t="inlineStr">
        <is>
          <t>VÄRMLANDS LÄN</t>
        </is>
      </c>
      <c r="G2343" t="inlineStr">
        <is>
          <t>HAGFORS</t>
        </is>
      </c>
      <c r="H2343" t="inlineStr">
        <is>
          <t>Bergvik skog väst AB</t>
        </is>
      </c>
      <c r="I2343" t="n">
        <v>7.1</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30710-2023</t>
        </is>
      </c>
      <c r="B2344" t="inlineStr">
        <is>
          <t>avverkningsanmälan</t>
        </is>
      </c>
      <c r="C2344" t="inlineStr">
        <is>
          <t>Föryngringsavverkning</t>
        </is>
      </c>
      <c r="D2344" s="1" t="n">
        <v>45112</v>
      </c>
      <c r="E2344" s="1" t="n">
        <v>46307</v>
      </c>
      <c r="F2344" t="inlineStr">
        <is>
          <t>VÄRMLANDS LÄN</t>
        </is>
      </c>
      <c r="G2344" t="inlineStr">
        <is>
          <t>ÅRJÄNG</t>
        </is>
      </c>
      <c r="I2344" t="n">
        <v>2.3</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61597-2022</t>
        </is>
      </c>
      <c r="B2345" t="inlineStr">
        <is>
          <t>avverkningsanmälan</t>
        </is>
      </c>
      <c r="C2345" t="inlineStr">
        <is>
          <t>Föryngringsavverkning</t>
        </is>
      </c>
      <c r="D2345" s="1" t="n">
        <v>44916</v>
      </c>
      <c r="E2345" s="1" t="n">
        <v>46307</v>
      </c>
      <c r="F2345" t="inlineStr">
        <is>
          <t>VÄRMLANDS LÄN</t>
        </is>
      </c>
      <c r="G2345" t="inlineStr">
        <is>
          <t>SÄFFLE</t>
        </is>
      </c>
      <c r="I2345" t="n">
        <v>1.7</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44728-2023</t>
        </is>
      </c>
      <c r="B2346" t="inlineStr">
        <is>
          <t>avverkningsanmälan</t>
        </is>
      </c>
      <c r="C2346" t="inlineStr">
        <is>
          <t>Föryngringsavverkning</t>
        </is>
      </c>
      <c r="D2346" s="1" t="n">
        <v>45190</v>
      </c>
      <c r="E2346" s="1" t="n">
        <v>46307</v>
      </c>
      <c r="F2346" t="inlineStr">
        <is>
          <t>VÄRMLANDS LÄN</t>
        </is>
      </c>
      <c r="G2346" t="inlineStr">
        <is>
          <t>HAGFORS</t>
        </is>
      </c>
      <c r="I2346" t="n">
        <v>1.4</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61991-2023</t>
        </is>
      </c>
      <c r="B2347" t="inlineStr">
        <is>
          <t>avverkningsanmälan</t>
        </is>
      </c>
      <c r="C2347" t="inlineStr">
        <is>
          <t>Föryngringsavverkning</t>
        </is>
      </c>
      <c r="D2347" s="1" t="n">
        <v>45266</v>
      </c>
      <c r="E2347" s="1" t="n">
        <v>46307</v>
      </c>
      <c r="F2347" t="inlineStr">
        <is>
          <t>VÄRMLANDS LÄN</t>
        </is>
      </c>
      <c r="G2347" t="inlineStr">
        <is>
          <t>SÄFFLE</t>
        </is>
      </c>
      <c r="I2347" t="n">
        <v>2.8</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30587-2023</t>
        </is>
      </c>
      <c r="B2348" t="inlineStr">
        <is>
          <t>avverkningsanmälan</t>
        </is>
      </c>
      <c r="C2348" t="inlineStr">
        <is>
          <t>Föryngringsavverkning</t>
        </is>
      </c>
      <c r="D2348" s="1" t="n">
        <v>45112</v>
      </c>
      <c r="E2348" s="1" t="n">
        <v>46307</v>
      </c>
      <c r="F2348" t="inlineStr">
        <is>
          <t>VÄRMLANDS LÄN</t>
        </is>
      </c>
      <c r="G2348" t="inlineStr">
        <is>
          <t>STORFORS</t>
        </is>
      </c>
      <c r="I2348" t="n">
        <v>1.7</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30599-2023</t>
        </is>
      </c>
      <c r="B2349" t="inlineStr">
        <is>
          <t>avverkningsanmälan</t>
        </is>
      </c>
      <c r="C2349" t="inlineStr">
        <is>
          <t>Föryngringsavverkning</t>
        </is>
      </c>
      <c r="D2349" s="1" t="n">
        <v>45112</v>
      </c>
      <c r="E2349" s="1" t="n">
        <v>46307</v>
      </c>
      <c r="F2349" t="inlineStr">
        <is>
          <t>VÄRMLANDS LÄN</t>
        </is>
      </c>
      <c r="G2349" t="inlineStr">
        <is>
          <t>KIL</t>
        </is>
      </c>
      <c r="I2349" t="n">
        <v>10.1</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8255-2025</t>
        </is>
      </c>
      <c r="B2350" t="inlineStr">
        <is>
          <t>avverkningsanmälan</t>
        </is>
      </c>
      <c r="C2350" t="inlineStr">
        <is>
          <t>Föryngringsavverkning</t>
        </is>
      </c>
      <c r="D2350" s="1" t="n">
        <v>45708</v>
      </c>
      <c r="E2350" s="1" t="n">
        <v>46307</v>
      </c>
      <c r="F2350" t="inlineStr">
        <is>
          <t>VÄRMLANDS LÄN</t>
        </is>
      </c>
      <c r="G2350" t="inlineStr">
        <is>
          <t>ÅRJÄNG</t>
        </is>
      </c>
      <c r="I2350" t="n">
        <v>4</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32795-2023</t>
        </is>
      </c>
      <c r="B2351" t="inlineStr">
        <is>
          <t>avverkningsanmälan</t>
        </is>
      </c>
      <c r="C2351" t="inlineStr">
        <is>
          <t>Föryngringsavverkning</t>
        </is>
      </c>
      <c r="D2351" s="1" t="n">
        <v>45124</v>
      </c>
      <c r="E2351" s="1" t="n">
        <v>46307</v>
      </c>
      <c r="F2351" t="inlineStr">
        <is>
          <t>VÄRMLANDS LÄN</t>
        </is>
      </c>
      <c r="G2351" t="inlineStr">
        <is>
          <t>FORSHAGA</t>
        </is>
      </c>
      <c r="H2351" t="inlineStr">
        <is>
          <t>Kommuner</t>
        </is>
      </c>
      <c r="I2351" t="n">
        <v>1.2</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10635-2024</t>
        </is>
      </c>
      <c r="B2352" t="inlineStr">
        <is>
          <t>avverkningsanmälan</t>
        </is>
      </c>
      <c r="C2352" t="inlineStr">
        <is>
          <t>Föryngringsavverkning</t>
        </is>
      </c>
      <c r="D2352" s="1" t="n">
        <v>45367</v>
      </c>
      <c r="E2352" s="1" t="n">
        <v>46307</v>
      </c>
      <c r="F2352" t="inlineStr">
        <is>
          <t>VÄRMLANDS LÄN</t>
        </is>
      </c>
      <c r="G2352" t="inlineStr">
        <is>
          <t>KIL</t>
        </is>
      </c>
      <c r="I2352" t="n">
        <v>1.3</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3557-2023</t>
        </is>
      </c>
      <c r="B2353" t="inlineStr">
        <is>
          <t>avverkningsanmälan</t>
        </is>
      </c>
      <c r="C2353" t="inlineStr">
        <is>
          <t>Föryngringsavverkning</t>
        </is>
      </c>
      <c r="D2353" s="1" t="n">
        <v>44950</v>
      </c>
      <c r="E2353" s="1" t="n">
        <v>46307</v>
      </c>
      <c r="F2353" t="inlineStr">
        <is>
          <t>VÄRMLANDS LÄN</t>
        </is>
      </c>
      <c r="G2353" t="inlineStr">
        <is>
          <t>HAGFORS</t>
        </is>
      </c>
      <c r="I2353" t="n">
        <v>0.7</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3566-2023</t>
        </is>
      </c>
      <c r="B2354" t="inlineStr">
        <is>
          <t>avverkningsanmälan</t>
        </is>
      </c>
      <c r="C2354" t="inlineStr">
        <is>
          <t>Föryngringsavverkning</t>
        </is>
      </c>
      <c r="D2354" s="1" t="n">
        <v>44950</v>
      </c>
      <c r="E2354" s="1" t="n">
        <v>46307</v>
      </c>
      <c r="F2354" t="inlineStr">
        <is>
          <t>VÄRMLANDS LÄN</t>
        </is>
      </c>
      <c r="G2354" t="inlineStr">
        <is>
          <t>HAGFORS</t>
        </is>
      </c>
      <c r="I2354" t="n">
        <v>5.2</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47424-2023</t>
        </is>
      </c>
      <c r="B2355" t="inlineStr">
        <is>
          <t>avverkningsanmälan</t>
        </is>
      </c>
      <c r="C2355" t="inlineStr">
        <is>
          <t>Föryngringsavverkning</t>
        </is>
      </c>
      <c r="D2355" s="1" t="n">
        <v>45202</v>
      </c>
      <c r="E2355" s="1" t="n">
        <v>46307</v>
      </c>
      <c r="F2355" t="inlineStr">
        <is>
          <t>VÄRMLANDS LÄN</t>
        </is>
      </c>
      <c r="G2355" t="inlineStr">
        <is>
          <t>KRISTINEHAMN</t>
        </is>
      </c>
      <c r="I2355" t="n">
        <v>4.7</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38125-2023</t>
        </is>
      </c>
      <c r="B2356" t="inlineStr">
        <is>
          <t>avverkningsanmälan</t>
        </is>
      </c>
      <c r="C2356" t="inlineStr">
        <is>
          <t>Föryngringsavverkning</t>
        </is>
      </c>
      <c r="D2356" s="1" t="n">
        <v>45161</v>
      </c>
      <c r="E2356" s="1" t="n">
        <v>46307</v>
      </c>
      <c r="F2356" t="inlineStr">
        <is>
          <t>VÄRMLANDS LÄN</t>
        </is>
      </c>
      <c r="G2356" t="inlineStr">
        <is>
          <t>EDA</t>
        </is>
      </c>
      <c r="I2356" t="n">
        <v>4.4</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34726-2023</t>
        </is>
      </c>
      <c r="B2357" t="inlineStr">
        <is>
          <t>avverkningsanmälan</t>
        </is>
      </c>
      <c r="C2357" t="inlineStr">
        <is>
          <t>Föryngringsavverkning</t>
        </is>
      </c>
      <c r="D2357" s="1" t="n">
        <v>45141</v>
      </c>
      <c r="E2357" s="1" t="n">
        <v>46307</v>
      </c>
      <c r="F2357" t="inlineStr">
        <is>
          <t>VÄRMLANDS LÄN</t>
        </is>
      </c>
      <c r="G2357" t="inlineStr">
        <is>
          <t>KARLSTAD</t>
        </is>
      </c>
      <c r="I2357" t="n">
        <v>0.5</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34727-2023</t>
        </is>
      </c>
      <c r="B2358" t="inlineStr">
        <is>
          <t>avverkningsanmälan</t>
        </is>
      </c>
      <c r="C2358" t="inlineStr">
        <is>
          <t>Föryngringsavverkning</t>
        </is>
      </c>
      <c r="D2358" s="1" t="n">
        <v>45141</v>
      </c>
      <c r="E2358" s="1" t="n">
        <v>46307</v>
      </c>
      <c r="F2358" t="inlineStr">
        <is>
          <t>VÄRMLANDS LÄN</t>
        </is>
      </c>
      <c r="G2358" t="inlineStr">
        <is>
          <t>KARLSTAD</t>
        </is>
      </c>
      <c r="I2358" t="n">
        <v>1.5</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56430-2023</t>
        </is>
      </c>
      <c r="B2359" t="inlineStr">
        <is>
          <t>avverkningsanmälan</t>
        </is>
      </c>
      <c r="C2359" t="inlineStr">
        <is>
          <t>Föryngringsavverkning</t>
        </is>
      </c>
      <c r="D2359" s="1" t="n">
        <v>45243</v>
      </c>
      <c r="E2359" s="1" t="n">
        <v>46307</v>
      </c>
      <c r="F2359" t="inlineStr">
        <is>
          <t>VÄRMLANDS LÄN</t>
        </is>
      </c>
      <c r="G2359" t="inlineStr">
        <is>
          <t>ARVIKA</t>
        </is>
      </c>
      <c r="I2359" t="n">
        <v>0.5</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56452-2023</t>
        </is>
      </c>
      <c r="B2360" t="inlineStr">
        <is>
          <t>avverkningsanmälan</t>
        </is>
      </c>
      <c r="C2360" t="inlineStr">
        <is>
          <t>Föryngringsavverkning</t>
        </is>
      </c>
      <c r="D2360" s="1" t="n">
        <v>45237</v>
      </c>
      <c r="E2360" s="1" t="n">
        <v>46307</v>
      </c>
      <c r="F2360" t="inlineStr">
        <is>
          <t>VÄRMLANDS LÄN</t>
        </is>
      </c>
      <c r="G2360" t="inlineStr">
        <is>
          <t>SÄFFLE</t>
        </is>
      </c>
      <c r="I2360" t="n">
        <v>7.1</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56697-2022</t>
        </is>
      </c>
      <c r="B2361" t="inlineStr">
        <is>
          <t>avverkningsanmälan</t>
        </is>
      </c>
      <c r="C2361" t="inlineStr">
        <is>
          <t>Föryngringsavverkning</t>
        </is>
      </c>
      <c r="D2361" s="1" t="n">
        <v>44888</v>
      </c>
      <c r="E2361" s="1" t="n">
        <v>46307</v>
      </c>
      <c r="F2361" t="inlineStr">
        <is>
          <t>VÄRMLANDS LÄN</t>
        </is>
      </c>
      <c r="G2361" t="inlineStr">
        <is>
          <t>KRISTINEHAMN</t>
        </is>
      </c>
      <c r="I2361" t="n">
        <v>1.1</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7230-2022</t>
        </is>
      </c>
      <c r="B2362" t="inlineStr">
        <is>
          <t>avverkningsanmälan</t>
        </is>
      </c>
      <c r="C2362" t="inlineStr">
        <is>
          <t>Föryngringsavverkning</t>
        </is>
      </c>
      <c r="D2362" s="1" t="n">
        <v>44606</v>
      </c>
      <c r="E2362" s="1" t="n">
        <v>46307</v>
      </c>
      <c r="F2362" t="inlineStr">
        <is>
          <t>VÄRMLANDS LÄN</t>
        </is>
      </c>
      <c r="G2362" t="inlineStr">
        <is>
          <t>SUNNE</t>
        </is>
      </c>
      <c r="I2362" t="n">
        <v>0.5</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56748-2022</t>
        </is>
      </c>
      <c r="B2363" t="inlineStr">
        <is>
          <t>avverkningsanmälan</t>
        </is>
      </c>
      <c r="C2363" t="inlineStr">
        <is>
          <t>Föryngringsavverkning</t>
        </is>
      </c>
      <c r="D2363" s="1" t="n">
        <v>44894</v>
      </c>
      <c r="E2363" s="1" t="n">
        <v>46307</v>
      </c>
      <c r="F2363" t="inlineStr">
        <is>
          <t>VÄRMLANDS LÄN</t>
        </is>
      </c>
      <c r="G2363" t="inlineStr">
        <is>
          <t>FORSHAGA</t>
        </is>
      </c>
      <c r="H2363" t="inlineStr">
        <is>
          <t>Bergvik skog väst AB</t>
        </is>
      </c>
      <c r="I2363" t="n">
        <v>8.199999999999999</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3678-2024</t>
        </is>
      </c>
      <c r="B2364" t="inlineStr">
        <is>
          <t>avverkningsanmälan</t>
        </is>
      </c>
      <c r="C2364" t="inlineStr">
        <is>
          <t>Föryngringsavverkning</t>
        </is>
      </c>
      <c r="D2364" s="1" t="n">
        <v>45321</v>
      </c>
      <c r="E2364" s="1" t="n">
        <v>46307</v>
      </c>
      <c r="F2364" t="inlineStr">
        <is>
          <t>VÄRMLANDS LÄN</t>
        </is>
      </c>
      <c r="G2364" t="inlineStr">
        <is>
          <t>TORSBY</t>
        </is>
      </c>
      <c r="I2364" t="n">
        <v>24.6</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34409-2023</t>
        </is>
      </c>
      <c r="B2365" t="inlineStr">
        <is>
          <t>avverkningsanmälan</t>
        </is>
      </c>
      <c r="C2365" t="inlineStr">
        <is>
          <t>Föryngringsavverkning</t>
        </is>
      </c>
      <c r="D2365" s="1" t="n">
        <v>45139</v>
      </c>
      <c r="E2365" s="1" t="n">
        <v>46307</v>
      </c>
      <c r="F2365" t="inlineStr">
        <is>
          <t>VÄRMLANDS LÄN</t>
        </is>
      </c>
      <c r="G2365" t="inlineStr">
        <is>
          <t>ÅRJÄNG</t>
        </is>
      </c>
      <c r="I2365" t="n">
        <v>4.6</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15175-2024</t>
        </is>
      </c>
      <c r="B2366" t="inlineStr">
        <is>
          <t>avverkningsanmälan</t>
        </is>
      </c>
      <c r="C2366" t="inlineStr">
        <is>
          <t>Föryngringsavverkning</t>
        </is>
      </c>
      <c r="D2366" s="1" t="n">
        <v>45400</v>
      </c>
      <c r="E2366" s="1" t="n">
        <v>46307</v>
      </c>
      <c r="F2366" t="inlineStr">
        <is>
          <t>VÄRMLANDS LÄN</t>
        </is>
      </c>
      <c r="G2366" t="inlineStr">
        <is>
          <t>TORSBY</t>
        </is>
      </c>
      <c r="I2366" t="n">
        <v>1</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22720-2024</t>
        </is>
      </c>
      <c r="B2367" t="inlineStr">
        <is>
          <t>avverkningsanmälan</t>
        </is>
      </c>
      <c r="C2367" t="inlineStr">
        <is>
          <t>Föryngringsavverkning</t>
        </is>
      </c>
      <c r="D2367" s="1" t="n">
        <v>45448</v>
      </c>
      <c r="E2367" s="1" t="n">
        <v>46307</v>
      </c>
      <c r="F2367" t="inlineStr">
        <is>
          <t>VÄRMLANDS LÄN</t>
        </is>
      </c>
      <c r="G2367" t="inlineStr">
        <is>
          <t>ARVIKA</t>
        </is>
      </c>
      <c r="H2367" t="inlineStr">
        <is>
          <t>Bergvik skog väst AB</t>
        </is>
      </c>
      <c r="I2367" t="n">
        <v>1.2</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21308-2024</t>
        </is>
      </c>
      <c r="B2368" t="inlineStr">
        <is>
          <t>avverkningsanmälan</t>
        </is>
      </c>
      <c r="C2368" t="inlineStr">
        <is>
          <t>Föryngringsavverkning</t>
        </is>
      </c>
      <c r="D2368" s="1" t="n">
        <v>45440</v>
      </c>
      <c r="E2368" s="1" t="n">
        <v>46307</v>
      </c>
      <c r="F2368" t="inlineStr">
        <is>
          <t>VÄRMLANDS LÄN</t>
        </is>
      </c>
      <c r="G2368" t="inlineStr">
        <is>
          <t>TORSBY</t>
        </is>
      </c>
      <c r="I2368" t="n">
        <v>18.9</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13853-2024</t>
        </is>
      </c>
      <c r="B2369" t="inlineStr">
        <is>
          <t>avverkningsanmälan</t>
        </is>
      </c>
      <c r="C2369" t="inlineStr">
        <is>
          <t>Föryngringsavverkning</t>
        </is>
      </c>
      <c r="D2369" s="1" t="n">
        <v>45390</v>
      </c>
      <c r="E2369" s="1" t="n">
        <v>46307</v>
      </c>
      <c r="F2369" t="inlineStr">
        <is>
          <t>VÄRMLANDS LÄN</t>
        </is>
      </c>
      <c r="G2369" t="inlineStr">
        <is>
          <t>KARLSTAD</t>
        </is>
      </c>
      <c r="I2369" t="n">
        <v>3.2</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22565-2024</t>
        </is>
      </c>
      <c r="B2370" t="inlineStr">
        <is>
          <t>avverkningsanmälan</t>
        </is>
      </c>
      <c r="C2370" t="inlineStr">
        <is>
          <t>Föryngringsavverkning</t>
        </is>
      </c>
      <c r="D2370" s="1" t="n">
        <v>45447</v>
      </c>
      <c r="E2370" s="1" t="n">
        <v>46307</v>
      </c>
      <c r="F2370" t="inlineStr">
        <is>
          <t>VÄRMLANDS LÄN</t>
        </is>
      </c>
      <c r="G2370" t="inlineStr">
        <is>
          <t>TORSBY</t>
        </is>
      </c>
      <c r="I2370" t="n">
        <v>3</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3679-2024</t>
        </is>
      </c>
      <c r="B2371" t="inlineStr">
        <is>
          <t>avverkningsanmälan</t>
        </is>
      </c>
      <c r="C2371" t="inlineStr">
        <is>
          <t>Föryngringsavverkning</t>
        </is>
      </c>
      <c r="D2371" s="1" t="n">
        <v>45321</v>
      </c>
      <c r="E2371" s="1" t="n">
        <v>46307</v>
      </c>
      <c r="F2371" t="inlineStr">
        <is>
          <t>VÄRMLANDS LÄN</t>
        </is>
      </c>
      <c r="G2371" t="inlineStr">
        <is>
          <t>SUNNE</t>
        </is>
      </c>
      <c r="I2371" t="n">
        <v>1.1</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59781-2023</t>
        </is>
      </c>
      <c r="B2372" t="inlineStr">
        <is>
          <t>avverkningsanmälan</t>
        </is>
      </c>
      <c r="C2372" t="inlineStr">
        <is>
          <t>Föryngringsavverkning</t>
        </is>
      </c>
      <c r="D2372" s="1" t="n">
        <v>45257</v>
      </c>
      <c r="E2372" s="1" t="n">
        <v>46307</v>
      </c>
      <c r="F2372" t="inlineStr">
        <is>
          <t>VÄRMLANDS LÄN</t>
        </is>
      </c>
      <c r="G2372" t="inlineStr">
        <is>
          <t>TORSBY</t>
        </is>
      </c>
      <c r="I2372" t="n">
        <v>1.9</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36418-2024</t>
        </is>
      </c>
      <c r="B2373" t="inlineStr">
        <is>
          <t>avverkningsanmälan</t>
        </is>
      </c>
      <c r="C2373" t="inlineStr">
        <is>
          <t>Föryngringsavverkning</t>
        </is>
      </c>
      <c r="D2373" s="1" t="n">
        <v>45536</v>
      </c>
      <c r="E2373" s="1" t="n">
        <v>46307</v>
      </c>
      <c r="F2373" t="inlineStr">
        <is>
          <t>VÄRMLANDS LÄN</t>
        </is>
      </c>
      <c r="G2373" t="inlineStr">
        <is>
          <t>ARVIKA</t>
        </is>
      </c>
      <c r="I2373" t="n">
        <v>2.8</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73119-2021</t>
        </is>
      </c>
      <c r="B2374" t="inlineStr">
        <is>
          <t>avverkningsanmälan</t>
        </is>
      </c>
      <c r="C2374" t="inlineStr">
        <is>
          <t>Föryngringsavverkning</t>
        </is>
      </c>
      <c r="D2374" s="1" t="n">
        <v>44546</v>
      </c>
      <c r="E2374" s="1" t="n">
        <v>46307</v>
      </c>
      <c r="F2374" t="inlineStr">
        <is>
          <t>VÄRMLANDS LÄN</t>
        </is>
      </c>
      <c r="G2374" t="inlineStr">
        <is>
          <t>SÄFFLE</t>
        </is>
      </c>
      <c r="I2374" t="n">
        <v>2.9</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22254-2023</t>
        </is>
      </c>
      <c r="B2375" t="inlineStr">
        <is>
          <t>avverkningsanmälan</t>
        </is>
      </c>
      <c r="C2375" t="inlineStr">
        <is>
          <t>Föryngringsavverkning</t>
        </is>
      </c>
      <c r="D2375" s="1" t="n">
        <v>45070</v>
      </c>
      <c r="E2375" s="1" t="n">
        <v>46307</v>
      </c>
      <c r="F2375" t="inlineStr">
        <is>
          <t>VÄRMLANDS LÄN</t>
        </is>
      </c>
      <c r="G2375" t="inlineStr">
        <is>
          <t>SÄFFLE</t>
        </is>
      </c>
      <c r="I2375" t="n">
        <v>1.8</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53-2023</t>
        </is>
      </c>
      <c r="B2376" t="inlineStr">
        <is>
          <t>avverkningsanmälan</t>
        </is>
      </c>
      <c r="C2376" t="inlineStr">
        <is>
          <t>Föryngringsavverkning</t>
        </is>
      </c>
      <c r="D2376" s="1" t="n">
        <v>44928</v>
      </c>
      <c r="E2376" s="1" t="n">
        <v>46307</v>
      </c>
      <c r="F2376" t="inlineStr">
        <is>
          <t>VÄRMLANDS LÄN</t>
        </is>
      </c>
      <c r="G2376" t="inlineStr">
        <is>
          <t>SUNNE</t>
        </is>
      </c>
      <c r="I2376" t="n">
        <v>1.5</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6494-2023</t>
        </is>
      </c>
      <c r="B2377" t="inlineStr">
        <is>
          <t>avverkningsanmälan</t>
        </is>
      </c>
      <c r="C2377" t="inlineStr">
        <is>
          <t>Avverkning för annat ändamål</t>
        </is>
      </c>
      <c r="D2377" s="1" t="n">
        <v>44966</v>
      </c>
      <c r="E2377" s="1" t="n">
        <v>46307</v>
      </c>
      <c r="F2377" t="inlineStr">
        <is>
          <t>VÄRMLANDS LÄN</t>
        </is>
      </c>
      <c r="G2377" t="inlineStr">
        <is>
          <t>EDA</t>
        </is>
      </c>
      <c r="I2377" t="n">
        <v>3.6</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6537-2023</t>
        </is>
      </c>
      <c r="B2378" t="inlineStr">
        <is>
          <t>avverkningsanmälan</t>
        </is>
      </c>
      <c r="C2378" t="inlineStr">
        <is>
          <t>Avverkning för annat ändamål</t>
        </is>
      </c>
      <c r="D2378" s="1" t="n">
        <v>44966</v>
      </c>
      <c r="E2378" s="1" t="n">
        <v>46307</v>
      </c>
      <c r="F2378" t="inlineStr">
        <is>
          <t>VÄRMLANDS LÄN</t>
        </is>
      </c>
      <c r="G2378" t="inlineStr">
        <is>
          <t>EDA</t>
        </is>
      </c>
      <c r="I2378" t="n">
        <v>3.9</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58131-2022</t>
        </is>
      </c>
      <c r="B2379" t="inlineStr">
        <is>
          <t>avverkningsanmälan</t>
        </is>
      </c>
      <c r="C2379" t="inlineStr">
        <is>
          <t>Föryngringsavverkning</t>
        </is>
      </c>
      <c r="D2379" s="1" t="n">
        <v>44900</v>
      </c>
      <c r="E2379" s="1" t="n">
        <v>46307</v>
      </c>
      <c r="F2379" t="inlineStr">
        <is>
          <t>VÄRMLANDS LÄN</t>
        </is>
      </c>
      <c r="G2379" t="inlineStr">
        <is>
          <t>SUNNE</t>
        </is>
      </c>
      <c r="I2379" t="n">
        <v>0.7</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73033-2021</t>
        </is>
      </c>
      <c r="B2380" t="inlineStr">
        <is>
          <t>avverkningsanmälan</t>
        </is>
      </c>
      <c r="C2380" t="inlineStr">
        <is>
          <t>Föryngringsavverkning</t>
        </is>
      </c>
      <c r="D2380" s="1" t="n">
        <v>44550</v>
      </c>
      <c r="E2380" s="1" t="n">
        <v>46307</v>
      </c>
      <c r="F2380" t="inlineStr">
        <is>
          <t>VÄRMLANDS LÄN</t>
        </is>
      </c>
      <c r="G2380" t="inlineStr">
        <is>
          <t>GRUMS</t>
        </is>
      </c>
      <c r="I2380" t="n">
        <v>0.9</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6562-2023</t>
        </is>
      </c>
      <c r="B2381" t="inlineStr">
        <is>
          <t>avverkningsanmälan</t>
        </is>
      </c>
      <c r="C2381" t="inlineStr">
        <is>
          <t>Föryngringsavverkning</t>
        </is>
      </c>
      <c r="D2381" s="1" t="n">
        <v>44966</v>
      </c>
      <c r="E2381" s="1" t="n">
        <v>46307</v>
      </c>
      <c r="F2381" t="inlineStr">
        <is>
          <t>VÄRMLANDS LÄN</t>
        </is>
      </c>
      <c r="G2381" t="inlineStr">
        <is>
          <t>ÅRJÄNG</t>
        </is>
      </c>
      <c r="I2381" t="n">
        <v>1</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6566-2023</t>
        </is>
      </c>
      <c r="B2382" t="inlineStr">
        <is>
          <t>avverkningsanmälan</t>
        </is>
      </c>
      <c r="C2382" t="inlineStr">
        <is>
          <t>Föryngringsavverkning</t>
        </is>
      </c>
      <c r="D2382" s="1" t="n">
        <v>44966</v>
      </c>
      <c r="E2382" s="1" t="n">
        <v>46307</v>
      </c>
      <c r="F2382" t="inlineStr">
        <is>
          <t>VÄRMLANDS LÄN</t>
        </is>
      </c>
      <c r="G2382" t="inlineStr">
        <is>
          <t>SUNNE</t>
        </is>
      </c>
      <c r="I2382" t="n">
        <v>1.5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35088-2024</t>
        </is>
      </c>
      <c r="B2383" t="inlineStr">
        <is>
          <t>avverkningsanmälan</t>
        </is>
      </c>
      <c r="C2383" t="inlineStr">
        <is>
          <t>Föryngringsavverkning</t>
        </is>
      </c>
      <c r="D2383" s="1" t="n">
        <v>45527</v>
      </c>
      <c r="E2383" s="1" t="n">
        <v>46307</v>
      </c>
      <c r="F2383" t="inlineStr">
        <is>
          <t>VÄRMLANDS LÄN</t>
        </is>
      </c>
      <c r="G2383" t="inlineStr">
        <is>
          <t>HAGFORS</t>
        </is>
      </c>
      <c r="H2383" t="inlineStr">
        <is>
          <t>Bergvik skog väst AB</t>
        </is>
      </c>
      <c r="I2383" t="n">
        <v>0.4</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43315-2022</t>
        </is>
      </c>
      <c r="B2384" t="inlineStr">
        <is>
          <t>avverkningsanmälan</t>
        </is>
      </c>
      <c r="C2384" t="inlineStr">
        <is>
          <t>Föryngringsavverkning</t>
        </is>
      </c>
      <c r="D2384" s="1" t="n">
        <v>44834</v>
      </c>
      <c r="E2384" s="1" t="n">
        <v>46307</v>
      </c>
      <c r="F2384" t="inlineStr">
        <is>
          <t>VÄRMLANDS LÄN</t>
        </is>
      </c>
      <c r="G2384" t="inlineStr">
        <is>
          <t>EDA</t>
        </is>
      </c>
      <c r="H2384" t="inlineStr">
        <is>
          <t>Kommuner</t>
        </is>
      </c>
      <c r="I2384" t="n">
        <v>1.3</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23216-2023</t>
        </is>
      </c>
      <c r="B2385" t="inlineStr">
        <is>
          <t>avverkningsanmälan</t>
        </is>
      </c>
      <c r="C2385" t="inlineStr">
        <is>
          <t>Föryngringsavverkning</t>
        </is>
      </c>
      <c r="D2385" s="1" t="n">
        <v>45075</v>
      </c>
      <c r="E2385" s="1" t="n">
        <v>46307</v>
      </c>
      <c r="F2385" t="inlineStr">
        <is>
          <t>VÄRMLANDS LÄN</t>
        </is>
      </c>
      <c r="G2385" t="inlineStr">
        <is>
          <t>ÅRJÄNG</t>
        </is>
      </c>
      <c r="I2385" t="n">
        <v>3</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7053-2023</t>
        </is>
      </c>
      <c r="B2386" t="inlineStr">
        <is>
          <t>avverkningsanmälan</t>
        </is>
      </c>
      <c r="C2386" t="inlineStr">
        <is>
          <t>Föryngringsavverkning</t>
        </is>
      </c>
      <c r="D2386" s="1" t="n">
        <v>44969</v>
      </c>
      <c r="E2386" s="1" t="n">
        <v>46307</v>
      </c>
      <c r="F2386" t="inlineStr">
        <is>
          <t>VÄRMLANDS LÄN</t>
        </is>
      </c>
      <c r="G2386" t="inlineStr">
        <is>
          <t>SUNNE</t>
        </is>
      </c>
      <c r="I2386" t="n">
        <v>3.6</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925-2025</t>
        </is>
      </c>
      <c r="B2387" t="inlineStr">
        <is>
          <t>avverkningsanmälan</t>
        </is>
      </c>
      <c r="C2387" t="inlineStr">
        <is>
          <t>Föryngringsavverkning</t>
        </is>
      </c>
      <c r="D2387" s="1" t="n">
        <v>45665</v>
      </c>
      <c r="E2387" s="1" t="n">
        <v>46307</v>
      </c>
      <c r="F2387" t="inlineStr">
        <is>
          <t>VÄRMLANDS LÄN</t>
        </is>
      </c>
      <c r="G2387" t="inlineStr">
        <is>
          <t>ARVIKA</t>
        </is>
      </c>
      <c r="I2387" t="n">
        <v>1.7</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927-2025</t>
        </is>
      </c>
      <c r="B2388" t="inlineStr">
        <is>
          <t>avverkningsanmälan</t>
        </is>
      </c>
      <c r="C2388" t="inlineStr">
        <is>
          <t>Föryngringsavverkning</t>
        </is>
      </c>
      <c r="D2388" s="1" t="n">
        <v>45665</v>
      </c>
      <c r="E2388" s="1" t="n">
        <v>46307</v>
      </c>
      <c r="F2388" t="inlineStr">
        <is>
          <t>VÄRMLANDS LÄN</t>
        </is>
      </c>
      <c r="G2388" t="inlineStr">
        <is>
          <t>ARVIKA</t>
        </is>
      </c>
      <c r="I2388" t="n">
        <v>3</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27792-2023</t>
        </is>
      </c>
      <c r="B2389" t="inlineStr">
        <is>
          <t>avverkningsanmälan</t>
        </is>
      </c>
      <c r="C2389" t="inlineStr">
        <is>
          <t>Föryngringsavverkning</t>
        </is>
      </c>
      <c r="D2389" s="1" t="n">
        <v>45098</v>
      </c>
      <c r="E2389" s="1" t="n">
        <v>46307</v>
      </c>
      <c r="F2389" t="inlineStr">
        <is>
          <t>VÄRMLANDS LÄN</t>
        </is>
      </c>
      <c r="G2389" t="inlineStr">
        <is>
          <t>KIL</t>
        </is>
      </c>
      <c r="I2389" t="n">
        <v>0.3</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58436-2023</t>
        </is>
      </c>
      <c r="B2390" t="inlineStr">
        <is>
          <t>avverkningsanmälan</t>
        </is>
      </c>
      <c r="C2390" t="inlineStr">
        <is>
          <t>Föryngringsavverkning</t>
        </is>
      </c>
      <c r="D2390" s="1" t="n">
        <v>45250</v>
      </c>
      <c r="E2390" s="1" t="n">
        <v>46307</v>
      </c>
      <c r="F2390" t="inlineStr">
        <is>
          <t>VÄRMLANDS LÄN</t>
        </is>
      </c>
      <c r="G2390" t="inlineStr">
        <is>
          <t>ÅRJÄNG</t>
        </is>
      </c>
      <c r="I2390" t="n">
        <v>0.9</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2978-2023</t>
        </is>
      </c>
      <c r="B2391" t="inlineStr">
        <is>
          <t>avverkningsanmälan</t>
        </is>
      </c>
      <c r="C2391" t="inlineStr">
        <is>
          <t>Föryngringsavverkning</t>
        </is>
      </c>
      <c r="D2391" s="1" t="n">
        <v>44945</v>
      </c>
      <c r="E2391" s="1" t="n">
        <v>46307</v>
      </c>
      <c r="F2391" t="inlineStr">
        <is>
          <t>VÄRMLANDS LÄN</t>
        </is>
      </c>
      <c r="G2391" t="inlineStr">
        <is>
          <t>KARLSTAD</t>
        </is>
      </c>
      <c r="I2391" t="n">
        <v>6.8</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20120-2023</t>
        </is>
      </c>
      <c r="B2392" t="inlineStr">
        <is>
          <t>avverkningsanmälan</t>
        </is>
      </c>
      <c r="C2392" t="inlineStr">
        <is>
          <t>Föryngringsavverkning</t>
        </is>
      </c>
      <c r="D2392" s="1" t="n">
        <v>45055</v>
      </c>
      <c r="E2392" s="1" t="n">
        <v>46307</v>
      </c>
      <c r="F2392" t="inlineStr">
        <is>
          <t>VÄRMLANDS LÄN</t>
        </is>
      </c>
      <c r="G2392" t="inlineStr">
        <is>
          <t>TORSBY</t>
        </is>
      </c>
      <c r="I2392" t="n">
        <v>7.7</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62183-2022</t>
        </is>
      </c>
      <c r="B2393" t="inlineStr">
        <is>
          <t>avverkningsanmälan</t>
        </is>
      </c>
      <c r="C2393" t="inlineStr">
        <is>
          <t>Föryngringsavverkning</t>
        </is>
      </c>
      <c r="D2393" s="1" t="n">
        <v>44922</v>
      </c>
      <c r="E2393" s="1" t="n">
        <v>46307</v>
      </c>
      <c r="F2393" t="inlineStr">
        <is>
          <t>VÄRMLANDS LÄN</t>
        </is>
      </c>
      <c r="G2393" t="inlineStr">
        <is>
          <t>SUNNE</t>
        </is>
      </c>
      <c r="I2393" t="n">
        <v>0.8</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10231-2023</t>
        </is>
      </c>
      <c r="B2394" t="inlineStr">
        <is>
          <t>avverkningsanmälan</t>
        </is>
      </c>
      <c r="C2394" t="inlineStr">
        <is>
          <t>Avverkning för annat ändamål</t>
        </is>
      </c>
      <c r="D2394" s="1" t="n">
        <v>44980</v>
      </c>
      <c r="E2394" s="1" t="n">
        <v>46307</v>
      </c>
      <c r="F2394" t="inlineStr">
        <is>
          <t>VÄRMLANDS LÄN</t>
        </is>
      </c>
      <c r="G2394" t="inlineStr">
        <is>
          <t>SUNNE</t>
        </is>
      </c>
      <c r="I2394" t="n">
        <v>2.2</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58261-2022</t>
        </is>
      </c>
      <c r="B2395" t="inlineStr">
        <is>
          <t>avverkningsanmälan</t>
        </is>
      </c>
      <c r="C2395" t="inlineStr">
        <is>
          <t>Föryngringsavverkning</t>
        </is>
      </c>
      <c r="D2395" s="1" t="n">
        <v>44901</v>
      </c>
      <c r="E2395" s="1" t="n">
        <v>46307</v>
      </c>
      <c r="F2395" t="inlineStr">
        <is>
          <t>VÄRMLANDS LÄN</t>
        </is>
      </c>
      <c r="G2395" t="inlineStr">
        <is>
          <t>EDA</t>
        </is>
      </c>
      <c r="I2395" t="n">
        <v>1</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73157-2021</t>
        </is>
      </c>
      <c r="B2396" t="inlineStr">
        <is>
          <t>avverkningsanmälan</t>
        </is>
      </c>
      <c r="C2396" t="inlineStr">
        <is>
          <t>Föryngringsavverkning</t>
        </is>
      </c>
      <c r="D2396" s="1" t="n">
        <v>44550</v>
      </c>
      <c r="E2396" s="1" t="n">
        <v>46307</v>
      </c>
      <c r="F2396" t="inlineStr">
        <is>
          <t>VÄRMLANDS LÄN</t>
        </is>
      </c>
      <c r="G2396" t="inlineStr">
        <is>
          <t>SÄFFLE</t>
        </is>
      </c>
      <c r="I2396" t="n">
        <v>1.3</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5025-2023</t>
        </is>
      </c>
      <c r="B2397" t="inlineStr">
        <is>
          <t>avverkningsanmälan</t>
        </is>
      </c>
      <c r="C2397" t="inlineStr">
        <is>
          <t>Föryngringsavverkning</t>
        </is>
      </c>
      <c r="D2397" s="1" t="n">
        <v>44958</v>
      </c>
      <c r="E2397" s="1" t="n">
        <v>46307</v>
      </c>
      <c r="F2397" t="inlineStr">
        <is>
          <t>VÄRMLANDS LÄN</t>
        </is>
      </c>
      <c r="G2397" t="inlineStr">
        <is>
          <t>GRUMS</t>
        </is>
      </c>
      <c r="I2397" t="n">
        <v>0.9</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31974-2023</t>
        </is>
      </c>
      <c r="B2398" t="inlineStr">
        <is>
          <t>avverkningsanmälan</t>
        </is>
      </c>
      <c r="C2398" t="inlineStr">
        <is>
          <t>Föryngringsavverkning</t>
        </is>
      </c>
      <c r="D2398" s="1" t="n">
        <v>45107</v>
      </c>
      <c r="E2398" s="1" t="n">
        <v>46307</v>
      </c>
      <c r="F2398" t="inlineStr">
        <is>
          <t>VÄRMLANDS LÄN</t>
        </is>
      </c>
      <c r="G2398" t="inlineStr">
        <is>
          <t>GRUMS</t>
        </is>
      </c>
      <c r="I2398" t="n">
        <v>3.8</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18758-2024</t>
        </is>
      </c>
      <c r="B2399" t="inlineStr">
        <is>
          <t>avverkningsanmälan</t>
        </is>
      </c>
      <c r="C2399" t="inlineStr">
        <is>
          <t>Föryngringsavverkning</t>
        </is>
      </c>
      <c r="D2399" s="1" t="n">
        <v>45426</v>
      </c>
      <c r="E2399" s="1" t="n">
        <v>46307</v>
      </c>
      <c r="F2399" t="inlineStr">
        <is>
          <t>VÄRMLANDS LÄN</t>
        </is>
      </c>
      <c r="G2399" t="inlineStr">
        <is>
          <t>EDA</t>
        </is>
      </c>
      <c r="I2399" t="n">
        <v>0.5</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8746-2024</t>
        </is>
      </c>
      <c r="B2400" t="inlineStr">
        <is>
          <t>avverkningsanmälan</t>
        </is>
      </c>
      <c r="C2400" t="inlineStr">
        <is>
          <t>Föryngringsavverkning</t>
        </is>
      </c>
      <c r="D2400" s="1" t="n">
        <v>45356</v>
      </c>
      <c r="E2400" s="1" t="n">
        <v>46307</v>
      </c>
      <c r="F2400" t="inlineStr">
        <is>
          <t>VÄRMLANDS LÄN</t>
        </is>
      </c>
      <c r="G2400" t="inlineStr">
        <is>
          <t>SÄFFLE</t>
        </is>
      </c>
      <c r="I2400" t="n">
        <v>9.300000000000001</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25163-2023</t>
        </is>
      </c>
      <c r="B2401" t="inlineStr">
        <is>
          <t>avverkningsanmälan</t>
        </is>
      </c>
      <c r="C2401" t="inlineStr">
        <is>
          <t>Föryngringsavverkning</t>
        </is>
      </c>
      <c r="D2401" s="1" t="n">
        <v>45086</v>
      </c>
      <c r="E2401" s="1" t="n">
        <v>46307</v>
      </c>
      <c r="F2401" t="inlineStr">
        <is>
          <t>VÄRMLANDS LÄN</t>
        </is>
      </c>
      <c r="G2401" t="inlineStr">
        <is>
          <t>TORSBY</t>
        </is>
      </c>
      <c r="I2401" t="n">
        <v>5.2</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41264-2022</t>
        </is>
      </c>
      <c r="B2402" t="inlineStr">
        <is>
          <t>avverkningsanmälan</t>
        </is>
      </c>
      <c r="C2402" t="inlineStr">
        <is>
          <t>Föryngringsavverkning</t>
        </is>
      </c>
      <c r="D2402" s="1" t="n">
        <v>44823</v>
      </c>
      <c r="E2402" s="1" t="n">
        <v>46307</v>
      </c>
      <c r="F2402" t="inlineStr">
        <is>
          <t>VÄRMLANDS LÄN</t>
        </is>
      </c>
      <c r="G2402" t="inlineStr">
        <is>
          <t>TORSBY</t>
        </is>
      </c>
      <c r="I2402" t="n">
        <v>6.5</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25454-2023</t>
        </is>
      </c>
      <c r="B2403" t="inlineStr">
        <is>
          <t>avverkningsanmälan</t>
        </is>
      </c>
      <c r="C2403" t="inlineStr">
        <is>
          <t>Föryngringsavverkning</t>
        </is>
      </c>
      <c r="D2403" s="1" t="n">
        <v>45081</v>
      </c>
      <c r="E2403" s="1" t="n">
        <v>46307</v>
      </c>
      <c r="F2403" t="inlineStr">
        <is>
          <t>VÄRMLANDS LÄN</t>
        </is>
      </c>
      <c r="G2403" t="inlineStr">
        <is>
          <t>KRISTINEHAMN</t>
        </is>
      </c>
      <c r="I2403" t="n">
        <v>0.5</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72781-2021</t>
        </is>
      </c>
      <c r="B2404" t="inlineStr">
        <is>
          <t>avverkningsanmälan</t>
        </is>
      </c>
      <c r="C2404" t="inlineStr">
        <is>
          <t>Föryngringsavverkning</t>
        </is>
      </c>
      <c r="D2404" s="1" t="n">
        <v>44547</v>
      </c>
      <c r="E2404" s="1" t="n">
        <v>46307</v>
      </c>
      <c r="F2404" t="inlineStr">
        <is>
          <t>VÄRMLANDS LÄN</t>
        </is>
      </c>
      <c r="G2404" t="inlineStr">
        <is>
          <t>SUNNE</t>
        </is>
      </c>
      <c r="I2404" t="n">
        <v>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32822-2023</t>
        </is>
      </c>
      <c r="B2405" t="inlineStr">
        <is>
          <t>avverkningsanmälan</t>
        </is>
      </c>
      <c r="C2405" t="inlineStr">
        <is>
          <t>Föryngringsavverkning</t>
        </is>
      </c>
      <c r="D2405" s="1" t="n">
        <v>45124</v>
      </c>
      <c r="E2405" s="1" t="n">
        <v>46307</v>
      </c>
      <c r="F2405" t="inlineStr">
        <is>
          <t>VÄRMLANDS LÄN</t>
        </is>
      </c>
      <c r="G2405" t="inlineStr">
        <is>
          <t>FORSHAGA</t>
        </is>
      </c>
      <c r="H2405" t="inlineStr">
        <is>
          <t>Kommuner</t>
        </is>
      </c>
      <c r="I2405" t="n">
        <v>0.6</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74086-2021</t>
        </is>
      </c>
      <c r="B2406" t="inlineStr">
        <is>
          <t>avverkningsanmälan</t>
        </is>
      </c>
      <c r="C2406" t="inlineStr">
        <is>
          <t>Föryngringsavverkning</t>
        </is>
      </c>
      <c r="D2406" s="1" t="n">
        <v>44557</v>
      </c>
      <c r="E2406" s="1" t="n">
        <v>46307</v>
      </c>
      <c r="F2406" t="inlineStr">
        <is>
          <t>VÄRMLANDS LÄN</t>
        </is>
      </c>
      <c r="G2406" t="inlineStr">
        <is>
          <t>ÅRJÄNG</t>
        </is>
      </c>
      <c r="I2406" t="n">
        <v>3.6</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19928-2024</t>
        </is>
      </c>
      <c r="B2407" t="inlineStr">
        <is>
          <t>avverkningsanmälan</t>
        </is>
      </c>
      <c r="C2407" t="inlineStr">
        <is>
          <t>Föryngringsavverkning</t>
        </is>
      </c>
      <c r="D2407" s="1" t="n">
        <v>45433</v>
      </c>
      <c r="E2407" s="1" t="n">
        <v>46307</v>
      </c>
      <c r="F2407" t="inlineStr">
        <is>
          <t>VÄRMLANDS LÄN</t>
        </is>
      </c>
      <c r="G2407" t="inlineStr">
        <is>
          <t>ARVIKA</t>
        </is>
      </c>
      <c r="H2407" t="inlineStr">
        <is>
          <t>Bergvik skog väst AB</t>
        </is>
      </c>
      <c r="I2407" t="n">
        <v>0.4</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19930-2024</t>
        </is>
      </c>
      <c r="B2408" t="inlineStr">
        <is>
          <t>avverkningsanmälan</t>
        </is>
      </c>
      <c r="C2408" t="inlineStr">
        <is>
          <t>Föryngringsavverkning</t>
        </is>
      </c>
      <c r="D2408" s="1" t="n">
        <v>45433</v>
      </c>
      <c r="E2408" s="1" t="n">
        <v>46307</v>
      </c>
      <c r="F2408" t="inlineStr">
        <is>
          <t>VÄRMLANDS LÄN</t>
        </is>
      </c>
      <c r="G2408" t="inlineStr">
        <is>
          <t>ARVIKA</t>
        </is>
      </c>
      <c r="I2408" t="n">
        <v>0.5</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2156-2023</t>
        </is>
      </c>
      <c r="B2409" t="inlineStr">
        <is>
          <t>avverkningsanmälan</t>
        </is>
      </c>
      <c r="C2409" t="inlineStr">
        <is>
          <t>Föryngringsavverkning</t>
        </is>
      </c>
      <c r="D2409" s="1" t="n">
        <v>44941</v>
      </c>
      <c r="E2409" s="1" t="n">
        <v>46307</v>
      </c>
      <c r="F2409" t="inlineStr">
        <is>
          <t>VÄRMLANDS LÄN</t>
        </is>
      </c>
      <c r="G2409" t="inlineStr">
        <is>
          <t>ARVIKA</t>
        </is>
      </c>
      <c r="I2409" t="n">
        <v>5.1</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2222-2023</t>
        </is>
      </c>
      <c r="B2410" t="inlineStr">
        <is>
          <t>avverkningsanmälan</t>
        </is>
      </c>
      <c r="C2410" t="inlineStr">
        <is>
          <t>Föryngringsavverkning</t>
        </is>
      </c>
      <c r="D2410" s="1" t="n">
        <v>44942</v>
      </c>
      <c r="E2410" s="1" t="n">
        <v>46307</v>
      </c>
      <c r="F2410" t="inlineStr">
        <is>
          <t>VÄRMLANDS LÄN</t>
        </is>
      </c>
      <c r="G2410" t="inlineStr">
        <is>
          <t>ÅRJÄNG</t>
        </is>
      </c>
      <c r="I2410" t="n">
        <v>5.7</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53638-2024</t>
        </is>
      </c>
      <c r="B2411" t="inlineStr">
        <is>
          <t>avverkningsanmälan</t>
        </is>
      </c>
      <c r="C2411" t="inlineStr">
        <is>
          <t>Avverkning för annat ändamål</t>
        </is>
      </c>
      <c r="D2411" s="1" t="n">
        <v>45614</v>
      </c>
      <c r="E2411" s="1" t="n">
        <v>46307</v>
      </c>
      <c r="F2411" t="inlineStr">
        <is>
          <t>VÄRMLANDS LÄN</t>
        </is>
      </c>
      <c r="G2411" t="inlineStr">
        <is>
          <t>SUNNE</t>
        </is>
      </c>
      <c r="I2411" t="n">
        <v>1.5</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32830-2023</t>
        </is>
      </c>
      <c r="B2412" t="inlineStr">
        <is>
          <t>avverkningsanmälan</t>
        </is>
      </c>
      <c r="C2412" t="inlineStr">
        <is>
          <t>Föryngringsavverkning</t>
        </is>
      </c>
      <c r="D2412" s="1" t="n">
        <v>45124</v>
      </c>
      <c r="E2412" s="1" t="n">
        <v>46307</v>
      </c>
      <c r="F2412" t="inlineStr">
        <is>
          <t>VÄRMLANDS LÄN</t>
        </is>
      </c>
      <c r="G2412" t="inlineStr">
        <is>
          <t>FORSHAGA</t>
        </is>
      </c>
      <c r="H2412" t="inlineStr">
        <is>
          <t>Kommuner</t>
        </is>
      </c>
      <c r="I2412" t="n">
        <v>0.7</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32839-2023</t>
        </is>
      </c>
      <c r="B2413" t="inlineStr">
        <is>
          <t>avverkningsanmälan</t>
        </is>
      </c>
      <c r="C2413" t="inlineStr">
        <is>
          <t>Föryngringsavverkning</t>
        </is>
      </c>
      <c r="D2413" s="1" t="n">
        <v>45109</v>
      </c>
      <c r="E2413" s="1" t="n">
        <v>46307</v>
      </c>
      <c r="F2413" t="inlineStr">
        <is>
          <t>VÄRMLANDS LÄN</t>
        </is>
      </c>
      <c r="G2413" t="inlineStr">
        <is>
          <t>KIL</t>
        </is>
      </c>
      <c r="I2413" t="n">
        <v>1.8</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58893-2023</t>
        </is>
      </c>
      <c r="B2414" t="inlineStr">
        <is>
          <t>avverkningsanmälan</t>
        </is>
      </c>
      <c r="C2414" t="inlineStr">
        <is>
          <t>Föryngringsavverkning</t>
        </is>
      </c>
      <c r="D2414" s="1" t="n">
        <v>45252</v>
      </c>
      <c r="E2414" s="1" t="n">
        <v>46307</v>
      </c>
      <c r="F2414" t="inlineStr">
        <is>
          <t>VÄRMLANDS LÄN</t>
        </is>
      </c>
      <c r="G2414" t="inlineStr">
        <is>
          <t>KRISTINEHAMN</t>
        </is>
      </c>
      <c r="I2414" t="n">
        <v>19.4</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54265-2024</t>
        </is>
      </c>
      <c r="B2415" t="inlineStr">
        <is>
          <t>avverkningsanmälan</t>
        </is>
      </c>
      <c r="C2415" t="inlineStr">
        <is>
          <t>Föryngringsavverkning</t>
        </is>
      </c>
      <c r="D2415" s="1" t="n">
        <v>45616</v>
      </c>
      <c r="E2415" s="1" t="n">
        <v>46307</v>
      </c>
      <c r="F2415" t="inlineStr">
        <is>
          <t>VÄRMLANDS LÄN</t>
        </is>
      </c>
      <c r="G2415" t="inlineStr">
        <is>
          <t>TORSBY</t>
        </is>
      </c>
      <c r="H2415" t="inlineStr">
        <is>
          <t>Kommuner</t>
        </is>
      </c>
      <c r="I2415" t="n">
        <v>0.4</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29263-2023</t>
        </is>
      </c>
      <c r="B2416" t="inlineStr">
        <is>
          <t>avverkningsanmälan</t>
        </is>
      </c>
      <c r="C2416" t="inlineStr">
        <is>
          <t>Föryngringsavverkning</t>
        </is>
      </c>
      <c r="D2416" s="1" t="n">
        <v>45105</v>
      </c>
      <c r="E2416" s="1" t="n">
        <v>46307</v>
      </c>
      <c r="F2416" t="inlineStr">
        <is>
          <t>VÄRMLANDS LÄN</t>
        </is>
      </c>
      <c r="G2416" t="inlineStr">
        <is>
          <t>ÅRJÄNG</t>
        </is>
      </c>
      <c r="I2416" t="n">
        <v>2.5</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6478-2025</t>
        </is>
      </c>
      <c r="B2417" t="inlineStr">
        <is>
          <t>avverkningsanmälan</t>
        </is>
      </c>
      <c r="C2417" t="inlineStr">
        <is>
          <t>Föryngringsavverkning</t>
        </is>
      </c>
      <c r="D2417" s="1" t="n">
        <v>45699</v>
      </c>
      <c r="E2417" s="1" t="n">
        <v>46307</v>
      </c>
      <c r="F2417" t="inlineStr">
        <is>
          <t>VÄRMLANDS LÄN</t>
        </is>
      </c>
      <c r="G2417" t="inlineStr">
        <is>
          <t>HAGFORS</t>
        </is>
      </c>
      <c r="I2417" t="n">
        <v>1.4</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32680-2023</t>
        </is>
      </c>
      <c r="B2418" t="inlineStr">
        <is>
          <t>avverkningsanmälan</t>
        </is>
      </c>
      <c r="C2418" t="inlineStr">
        <is>
          <t>Föryngringsavverkning</t>
        </is>
      </c>
      <c r="D2418" s="1" t="n">
        <v>45121</v>
      </c>
      <c r="E2418" s="1" t="n">
        <v>46307</v>
      </c>
      <c r="F2418" t="inlineStr">
        <is>
          <t>VÄRMLANDS LÄN</t>
        </is>
      </c>
      <c r="G2418" t="inlineStr">
        <is>
          <t>FORSHAGA</t>
        </is>
      </c>
      <c r="H2418" t="inlineStr">
        <is>
          <t>Kommuner</t>
        </is>
      </c>
      <c r="I2418" t="n">
        <v>1.7</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6534-2025</t>
        </is>
      </c>
      <c r="B2419" t="inlineStr">
        <is>
          <t>avverkningsanmälan</t>
        </is>
      </c>
      <c r="C2419" t="inlineStr">
        <is>
          <t>Föryngringsavverkning</t>
        </is>
      </c>
      <c r="D2419" s="1" t="n">
        <v>45699</v>
      </c>
      <c r="E2419" s="1" t="n">
        <v>46307</v>
      </c>
      <c r="F2419" t="inlineStr">
        <is>
          <t>VÄRMLANDS LÄN</t>
        </is>
      </c>
      <c r="G2419" t="inlineStr">
        <is>
          <t>TORSBY</t>
        </is>
      </c>
      <c r="H2419" t="inlineStr">
        <is>
          <t>Kommuner</t>
        </is>
      </c>
      <c r="I2419" t="n">
        <v>0.1</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18542-2024</t>
        </is>
      </c>
      <c r="B2420" t="inlineStr">
        <is>
          <t>avverkningsanmälan</t>
        </is>
      </c>
      <c r="C2420" t="inlineStr">
        <is>
          <t>Föryngringsavverkning</t>
        </is>
      </c>
      <c r="D2420" s="1" t="n">
        <v>45425</v>
      </c>
      <c r="E2420" s="1" t="n">
        <v>46307</v>
      </c>
      <c r="F2420" t="inlineStr">
        <is>
          <t>VÄRMLANDS LÄN</t>
        </is>
      </c>
      <c r="G2420" t="inlineStr">
        <is>
          <t>SUNNE</t>
        </is>
      </c>
      <c r="I2420" t="n">
        <v>0.9</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7054-2023</t>
        </is>
      </c>
      <c r="B2421" t="inlineStr">
        <is>
          <t>avverkningsanmälan</t>
        </is>
      </c>
      <c r="C2421" t="inlineStr">
        <is>
          <t>Föryngringsavverkning</t>
        </is>
      </c>
      <c r="D2421" s="1" t="n">
        <v>44969</v>
      </c>
      <c r="E2421" s="1" t="n">
        <v>46307</v>
      </c>
      <c r="F2421" t="inlineStr">
        <is>
          <t>VÄRMLANDS LÄN</t>
        </is>
      </c>
      <c r="G2421" t="inlineStr">
        <is>
          <t>SUNNE</t>
        </is>
      </c>
      <c r="I2421" t="n">
        <v>0.7</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7055-2023</t>
        </is>
      </c>
      <c r="B2422" t="inlineStr">
        <is>
          <t>avverkningsanmälan</t>
        </is>
      </c>
      <c r="C2422" t="inlineStr">
        <is>
          <t>Föryngringsavverkning</t>
        </is>
      </c>
      <c r="D2422" s="1" t="n">
        <v>44969</v>
      </c>
      <c r="E2422" s="1" t="n">
        <v>46307</v>
      </c>
      <c r="F2422" t="inlineStr">
        <is>
          <t>VÄRMLANDS LÄN</t>
        </is>
      </c>
      <c r="G2422" t="inlineStr">
        <is>
          <t>SUNNE</t>
        </is>
      </c>
      <c r="I2422" t="n">
        <v>1.5</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12769-2025</t>
        </is>
      </c>
      <c r="B2423" t="inlineStr">
        <is>
          <t>avverkningsanmälan</t>
        </is>
      </c>
      <c r="C2423" t="inlineStr">
        <is>
          <t>Föryngringsavverkning</t>
        </is>
      </c>
      <c r="D2423" s="1" t="n">
        <v>45733</v>
      </c>
      <c r="E2423" s="1" t="n">
        <v>46307</v>
      </c>
      <c r="F2423" t="inlineStr">
        <is>
          <t>VÄRMLANDS LÄN</t>
        </is>
      </c>
      <c r="G2423" t="inlineStr">
        <is>
          <t>EDA</t>
        </is>
      </c>
      <c r="I2423" t="n">
        <v>0.3</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5287-2024</t>
        </is>
      </c>
      <c r="B2424" t="inlineStr">
        <is>
          <t>avverkningsanmälan</t>
        </is>
      </c>
      <c r="C2424" t="inlineStr">
        <is>
          <t>Föryngringsavverkning</t>
        </is>
      </c>
      <c r="D2424" s="1" t="n">
        <v>45331</v>
      </c>
      <c r="E2424" s="1" t="n">
        <v>46307</v>
      </c>
      <c r="F2424" t="inlineStr">
        <is>
          <t>VÄRMLANDS LÄN</t>
        </is>
      </c>
      <c r="G2424" t="inlineStr">
        <is>
          <t>SÄFFLE</t>
        </is>
      </c>
      <c r="I2424" t="n">
        <v>1.7</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62261-2023</t>
        </is>
      </c>
      <c r="B2425" t="inlineStr">
        <is>
          <t>avverkningsanmälan</t>
        </is>
      </c>
      <c r="C2425" t="inlineStr">
        <is>
          <t>Föryngringsavverkning</t>
        </is>
      </c>
      <c r="D2425" s="1" t="n">
        <v>45266</v>
      </c>
      <c r="E2425" s="1" t="n">
        <v>46307</v>
      </c>
      <c r="F2425" t="inlineStr">
        <is>
          <t>VÄRMLANDS LÄN</t>
        </is>
      </c>
      <c r="G2425" t="inlineStr">
        <is>
          <t>ÅRJÄNG</t>
        </is>
      </c>
      <c r="I2425" t="n">
        <v>1.4</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36184-2024</t>
        </is>
      </c>
      <c r="B2426" t="inlineStr">
        <is>
          <t>avverkningsanmälan</t>
        </is>
      </c>
      <c r="C2426" t="inlineStr">
        <is>
          <t>Föryngringsavverkning</t>
        </is>
      </c>
      <c r="D2426" s="1" t="n">
        <v>45534</v>
      </c>
      <c r="E2426" s="1" t="n">
        <v>46307</v>
      </c>
      <c r="F2426" t="inlineStr">
        <is>
          <t>VÄRMLANDS LÄN</t>
        </is>
      </c>
      <c r="G2426" t="inlineStr">
        <is>
          <t>TORSBY</t>
        </is>
      </c>
      <c r="I2426" t="n">
        <v>2.2</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24305-2024</t>
        </is>
      </c>
      <c r="B2427" t="inlineStr">
        <is>
          <t>avverkningsanmälan</t>
        </is>
      </c>
      <c r="C2427" t="inlineStr">
        <is>
          <t>Föryngringsavverkning</t>
        </is>
      </c>
      <c r="D2427" s="1" t="n">
        <v>45457</v>
      </c>
      <c r="E2427" s="1" t="n">
        <v>46307</v>
      </c>
      <c r="F2427" t="inlineStr">
        <is>
          <t>VÄRMLANDS LÄN</t>
        </is>
      </c>
      <c r="G2427" t="inlineStr">
        <is>
          <t>SÄFFLE</t>
        </is>
      </c>
      <c r="I2427" t="n">
        <v>7</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24331-2024</t>
        </is>
      </c>
      <c r="B2428" t="inlineStr">
        <is>
          <t>avverkningsanmälan</t>
        </is>
      </c>
      <c r="C2428" t="inlineStr">
        <is>
          <t>Föryngringsavverkning</t>
        </is>
      </c>
      <c r="D2428" s="1" t="n">
        <v>45457</v>
      </c>
      <c r="E2428" s="1" t="n">
        <v>46307</v>
      </c>
      <c r="F2428" t="inlineStr">
        <is>
          <t>VÄRMLANDS LÄN</t>
        </is>
      </c>
      <c r="G2428" t="inlineStr">
        <is>
          <t>SUNNE</t>
        </is>
      </c>
      <c r="I2428" t="n">
        <v>1.8</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7646-2023</t>
        </is>
      </c>
      <c r="B2429" t="inlineStr">
        <is>
          <t>avverkningsanmälan</t>
        </is>
      </c>
      <c r="C2429" t="inlineStr">
        <is>
          <t>Föryngringsavverkning</t>
        </is>
      </c>
      <c r="D2429" s="1" t="n">
        <v>44972</v>
      </c>
      <c r="E2429" s="1" t="n">
        <v>46307</v>
      </c>
      <c r="F2429" t="inlineStr">
        <is>
          <t>VÄRMLANDS LÄN</t>
        </is>
      </c>
      <c r="G2429" t="inlineStr">
        <is>
          <t>MUNKFORS</t>
        </is>
      </c>
      <c r="I2429" t="n">
        <v>0.4</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5953-2024</t>
        </is>
      </c>
      <c r="B2430" t="inlineStr">
        <is>
          <t>avverkningsanmälan</t>
        </is>
      </c>
      <c r="C2430" t="inlineStr">
        <is>
          <t>Föryngringsavverkning</t>
        </is>
      </c>
      <c r="D2430" s="1" t="n">
        <v>45336</v>
      </c>
      <c r="E2430" s="1" t="n">
        <v>46307</v>
      </c>
      <c r="F2430" t="inlineStr">
        <is>
          <t>VÄRMLANDS LÄN</t>
        </is>
      </c>
      <c r="G2430" t="inlineStr">
        <is>
          <t>EDA</t>
        </is>
      </c>
      <c r="I2430" t="n">
        <v>1.2</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5957-2024</t>
        </is>
      </c>
      <c r="B2431" t="inlineStr">
        <is>
          <t>avverkningsanmälan</t>
        </is>
      </c>
      <c r="C2431" t="inlineStr">
        <is>
          <t>Föryngringsavverkning</t>
        </is>
      </c>
      <c r="D2431" s="1" t="n">
        <v>45336</v>
      </c>
      <c r="E2431" s="1" t="n">
        <v>46307</v>
      </c>
      <c r="F2431" t="inlineStr">
        <is>
          <t>VÄRMLANDS LÄN</t>
        </is>
      </c>
      <c r="G2431" t="inlineStr">
        <is>
          <t>GRUMS</t>
        </is>
      </c>
      <c r="I2431" t="n">
        <v>2</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862-2023</t>
        </is>
      </c>
      <c r="B2432" t="inlineStr">
        <is>
          <t>avverkningsanmälan</t>
        </is>
      </c>
      <c r="C2432" t="inlineStr">
        <is>
          <t>Föryngringsavverkning</t>
        </is>
      </c>
      <c r="D2432" s="1" t="n">
        <v>44931</v>
      </c>
      <c r="E2432" s="1" t="n">
        <v>46307</v>
      </c>
      <c r="F2432" t="inlineStr">
        <is>
          <t>VÄRMLANDS LÄN</t>
        </is>
      </c>
      <c r="G2432" t="inlineStr">
        <is>
          <t>ARVIKA</t>
        </is>
      </c>
      <c r="I2432" t="n">
        <v>1.1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43309-2022</t>
        </is>
      </c>
      <c r="B2433" t="inlineStr">
        <is>
          <t>avverkningsanmälan</t>
        </is>
      </c>
      <c r="C2433" t="inlineStr">
        <is>
          <t>Föryngringsavverkning</t>
        </is>
      </c>
      <c r="D2433" s="1" t="n">
        <v>44834</v>
      </c>
      <c r="E2433" s="1" t="n">
        <v>46307</v>
      </c>
      <c r="F2433" t="inlineStr">
        <is>
          <t>VÄRMLANDS LÄN</t>
        </is>
      </c>
      <c r="G2433" t="inlineStr">
        <is>
          <t>HAGFORS</t>
        </is>
      </c>
      <c r="H2433" t="inlineStr">
        <is>
          <t>Kyrkan</t>
        </is>
      </c>
      <c r="I2433" t="n">
        <v>5.2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62965-2021</t>
        </is>
      </c>
      <c r="B2434" t="inlineStr">
        <is>
          <t>avverkningsanmälan</t>
        </is>
      </c>
      <c r="C2434" t="inlineStr">
        <is>
          <t>Föryngringsavverkning</t>
        </is>
      </c>
      <c r="D2434" s="1" t="n">
        <v>44505</v>
      </c>
      <c r="E2434" s="1" t="n">
        <v>46307</v>
      </c>
      <c r="F2434" t="inlineStr">
        <is>
          <t>VÄRMLANDS LÄN</t>
        </is>
      </c>
      <c r="G2434" t="inlineStr">
        <is>
          <t>SUNNE</t>
        </is>
      </c>
      <c r="I2434" t="n">
        <v>16.3</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49229-2023</t>
        </is>
      </c>
      <c r="B2435" t="inlineStr">
        <is>
          <t>avverkningsanmälan</t>
        </is>
      </c>
      <c r="C2435" t="inlineStr">
        <is>
          <t>Föryngringsavverkning</t>
        </is>
      </c>
      <c r="D2435" s="1" t="n">
        <v>45210</v>
      </c>
      <c r="E2435" s="1" t="n">
        <v>46307</v>
      </c>
      <c r="F2435" t="inlineStr">
        <is>
          <t>VÄRMLANDS LÄN</t>
        </is>
      </c>
      <c r="G2435" t="inlineStr">
        <is>
          <t>EDA</t>
        </is>
      </c>
      <c r="I2435" t="n">
        <v>0.9</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63080-2023</t>
        </is>
      </c>
      <c r="B2436" t="inlineStr">
        <is>
          <t>avverkningsanmälan</t>
        </is>
      </c>
      <c r="C2436" t="inlineStr">
        <is>
          <t>Föryngringsavverkning</t>
        </is>
      </c>
      <c r="D2436" s="1" t="n">
        <v>45273</v>
      </c>
      <c r="E2436" s="1" t="n">
        <v>46307</v>
      </c>
      <c r="F2436" t="inlineStr">
        <is>
          <t>VÄRMLANDS LÄN</t>
        </is>
      </c>
      <c r="G2436" t="inlineStr">
        <is>
          <t>SÄFFLE</t>
        </is>
      </c>
      <c r="I2436" t="n">
        <v>11.2</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63083-2023</t>
        </is>
      </c>
      <c r="B2437" t="inlineStr">
        <is>
          <t>avverkningsanmälan</t>
        </is>
      </c>
      <c r="C2437" t="inlineStr">
        <is>
          <t>Föryngringsavverkning</t>
        </is>
      </c>
      <c r="D2437" s="1" t="n">
        <v>45273</v>
      </c>
      <c r="E2437" s="1" t="n">
        <v>46307</v>
      </c>
      <c r="F2437" t="inlineStr">
        <is>
          <t>VÄRMLANDS LÄN</t>
        </is>
      </c>
      <c r="G2437" t="inlineStr">
        <is>
          <t>TORSBY</t>
        </is>
      </c>
      <c r="I2437" t="n">
        <v>0.5</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44532-2022</t>
        </is>
      </c>
      <c r="B2438" t="inlineStr">
        <is>
          <t>avverkningsanmälan</t>
        </is>
      </c>
      <c r="C2438" t="inlineStr">
        <is>
          <t>Föryngringsavverkning</t>
        </is>
      </c>
      <c r="D2438" s="1" t="n">
        <v>44840</v>
      </c>
      <c r="E2438" s="1" t="n">
        <v>46307</v>
      </c>
      <c r="F2438" t="inlineStr">
        <is>
          <t>VÄRMLANDS LÄN</t>
        </is>
      </c>
      <c r="G2438" t="inlineStr">
        <is>
          <t>TORSBY</t>
        </is>
      </c>
      <c r="I2438" t="n">
        <v>12.3</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64518-2021</t>
        </is>
      </c>
      <c r="B2439" t="inlineStr">
        <is>
          <t>avverkningsanmälan</t>
        </is>
      </c>
      <c r="C2439" t="inlineStr">
        <is>
          <t>Föryngringsavverkning</t>
        </is>
      </c>
      <c r="D2439" s="1" t="n">
        <v>44511</v>
      </c>
      <c r="E2439" s="1" t="n">
        <v>46307</v>
      </c>
      <c r="F2439" t="inlineStr">
        <is>
          <t>VÄRMLANDS LÄN</t>
        </is>
      </c>
      <c r="G2439" t="inlineStr">
        <is>
          <t>KIL</t>
        </is>
      </c>
      <c r="I2439" t="n">
        <v>2.1</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22030-2023</t>
        </is>
      </c>
      <c r="B2440" t="inlineStr">
        <is>
          <t>avverkningsanmälan</t>
        </is>
      </c>
      <c r="C2440" t="inlineStr">
        <is>
          <t>Föryngringsavverkning</t>
        </is>
      </c>
      <c r="D2440" s="1" t="n">
        <v>45069</v>
      </c>
      <c r="E2440" s="1" t="n">
        <v>46307</v>
      </c>
      <c r="F2440" t="inlineStr">
        <is>
          <t>VÄRMLANDS LÄN</t>
        </is>
      </c>
      <c r="G2440" t="inlineStr">
        <is>
          <t>TORSBY</t>
        </is>
      </c>
      <c r="H2440" t="inlineStr">
        <is>
          <t>Bergvik skog väst AB</t>
        </is>
      </c>
      <c r="I2440" t="n">
        <v>3.5</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37929-2022</t>
        </is>
      </c>
      <c r="B2441" t="inlineStr">
        <is>
          <t>avverkningsanmälan</t>
        </is>
      </c>
      <c r="C2441" t="inlineStr">
        <is>
          <t>Föryngringsavverkning</t>
        </is>
      </c>
      <c r="D2441" s="1" t="n">
        <v>44811</v>
      </c>
      <c r="E2441" s="1" t="n">
        <v>46307</v>
      </c>
      <c r="F2441" t="inlineStr">
        <is>
          <t>VÄRMLANDS LÄN</t>
        </is>
      </c>
      <c r="G2441" t="inlineStr">
        <is>
          <t>TORSBY</t>
        </is>
      </c>
      <c r="I2441" t="n">
        <v>2.6</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20354-2023</t>
        </is>
      </c>
      <c r="B2442" t="inlineStr">
        <is>
          <t>avverkningsanmälan</t>
        </is>
      </c>
      <c r="C2442" t="inlineStr">
        <is>
          <t>Föryngringsavverkning</t>
        </is>
      </c>
      <c r="D2442" s="1" t="n">
        <v>45056</v>
      </c>
      <c r="E2442" s="1" t="n">
        <v>46307</v>
      </c>
      <c r="F2442" t="inlineStr">
        <is>
          <t>VÄRMLANDS LÄN</t>
        </is>
      </c>
      <c r="G2442" t="inlineStr">
        <is>
          <t>ÅRJÄNG</t>
        </is>
      </c>
      <c r="I2442" t="n">
        <v>3.2</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15697-2024</t>
        </is>
      </c>
      <c r="B2443" t="inlineStr">
        <is>
          <t>avverkningsanmälan</t>
        </is>
      </c>
      <c r="C2443" t="inlineStr">
        <is>
          <t>Föryngringsavverkning</t>
        </is>
      </c>
      <c r="D2443" s="1" t="n">
        <v>45404</v>
      </c>
      <c r="E2443" s="1" t="n">
        <v>46307</v>
      </c>
      <c r="F2443" t="inlineStr">
        <is>
          <t>VÄRMLANDS LÄN</t>
        </is>
      </c>
      <c r="G2443" t="inlineStr">
        <is>
          <t>ARVIKA</t>
        </is>
      </c>
      <c r="I2443" t="n">
        <v>0.7</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7444-2024</t>
        </is>
      </c>
      <c r="B2444" t="inlineStr">
        <is>
          <t>avverkningsanmälan</t>
        </is>
      </c>
      <c r="C2444" t="inlineStr">
        <is>
          <t>Föryngringsavverkning</t>
        </is>
      </c>
      <c r="D2444" s="1" t="n">
        <v>45345</v>
      </c>
      <c r="E2444" s="1" t="n">
        <v>46307</v>
      </c>
      <c r="F2444" t="inlineStr">
        <is>
          <t>VÄRMLANDS LÄN</t>
        </is>
      </c>
      <c r="G2444" t="inlineStr">
        <is>
          <t>ÅRJÄNG</t>
        </is>
      </c>
      <c r="I2444" t="n">
        <v>0.6</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31152-2022</t>
        </is>
      </c>
      <c r="B2445" t="inlineStr">
        <is>
          <t>avverkningsanmälan</t>
        </is>
      </c>
      <c r="C2445" t="inlineStr">
        <is>
          <t>Föryngringsavverkning</t>
        </is>
      </c>
      <c r="D2445" s="1" t="n">
        <v>44770</v>
      </c>
      <c r="E2445" s="1" t="n">
        <v>46307</v>
      </c>
      <c r="F2445" t="inlineStr">
        <is>
          <t>VÄRMLANDS LÄN</t>
        </is>
      </c>
      <c r="G2445" t="inlineStr">
        <is>
          <t>KRISTINEHAMN</t>
        </is>
      </c>
      <c r="I2445" t="n">
        <v>1.9</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14675-2024</t>
        </is>
      </c>
      <c r="B2446" t="inlineStr">
        <is>
          <t>avverkningsanmälan</t>
        </is>
      </c>
      <c r="C2446" t="inlineStr">
        <is>
          <t>Föryngringsavverkning</t>
        </is>
      </c>
      <c r="D2446" s="1" t="n">
        <v>45397</v>
      </c>
      <c r="E2446" s="1" t="n">
        <v>46307</v>
      </c>
      <c r="F2446" t="inlineStr">
        <is>
          <t>VÄRMLANDS LÄN</t>
        </is>
      </c>
      <c r="G2446" t="inlineStr">
        <is>
          <t>KIL</t>
        </is>
      </c>
      <c r="I2446" t="n">
        <v>8.199999999999999</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31178-2022</t>
        </is>
      </c>
      <c r="B2447" t="inlineStr">
        <is>
          <t>avverkningsanmälan</t>
        </is>
      </c>
      <c r="C2447" t="inlineStr">
        <is>
          <t>Föryngringsavverkning</t>
        </is>
      </c>
      <c r="D2447" s="1" t="n">
        <v>44770</v>
      </c>
      <c r="E2447" s="1" t="n">
        <v>46307</v>
      </c>
      <c r="F2447" t="inlineStr">
        <is>
          <t>VÄRMLANDS LÄN</t>
        </is>
      </c>
      <c r="G2447" t="inlineStr">
        <is>
          <t>HAGFORS</t>
        </is>
      </c>
      <c r="H2447" t="inlineStr">
        <is>
          <t>Bergvik skog väst AB</t>
        </is>
      </c>
      <c r="I2447" t="n">
        <v>10.1</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47376-2023</t>
        </is>
      </c>
      <c r="B2448" t="inlineStr">
        <is>
          <t>avverkningsanmälan</t>
        </is>
      </c>
      <c r="C2448" t="inlineStr">
        <is>
          <t>Föryngringsavverkning</t>
        </is>
      </c>
      <c r="D2448" s="1" t="n">
        <v>45202</v>
      </c>
      <c r="E2448" s="1" t="n">
        <v>46307</v>
      </c>
      <c r="F2448" t="inlineStr">
        <is>
          <t>VÄRMLANDS LÄN</t>
        </is>
      </c>
      <c r="G2448" t="inlineStr">
        <is>
          <t>ARVIKA</t>
        </is>
      </c>
      <c r="I2448" t="n">
        <v>2</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47380-2023</t>
        </is>
      </c>
      <c r="B2449" t="inlineStr">
        <is>
          <t>avverkningsanmälan</t>
        </is>
      </c>
      <c r="C2449" t="inlineStr">
        <is>
          <t>Föryngringsavverkning</t>
        </is>
      </c>
      <c r="D2449" s="1" t="n">
        <v>45202</v>
      </c>
      <c r="E2449" s="1" t="n">
        <v>46307</v>
      </c>
      <c r="F2449" t="inlineStr">
        <is>
          <t>VÄRMLANDS LÄN</t>
        </is>
      </c>
      <c r="G2449" t="inlineStr">
        <is>
          <t>ARVIKA</t>
        </is>
      </c>
      <c r="I2449" t="n">
        <v>1.2</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6683-2025</t>
        </is>
      </c>
      <c r="B2450" t="inlineStr">
        <is>
          <t>avverkningsanmälan</t>
        </is>
      </c>
      <c r="C2450" t="inlineStr">
        <is>
          <t>Föryngringsavverkning</t>
        </is>
      </c>
      <c r="D2450" s="1" t="n">
        <v>45700</v>
      </c>
      <c r="E2450" s="1" t="n">
        <v>46307</v>
      </c>
      <c r="F2450" t="inlineStr">
        <is>
          <t>VÄRMLANDS LÄN</t>
        </is>
      </c>
      <c r="G2450" t="inlineStr">
        <is>
          <t>FILIPSTAD</t>
        </is>
      </c>
      <c r="I2450" t="n">
        <v>5.9</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27442-2022</t>
        </is>
      </c>
      <c r="B2451" t="inlineStr">
        <is>
          <t>avverkningsanmälan</t>
        </is>
      </c>
      <c r="C2451" t="inlineStr">
        <is>
          <t>Föryngringsavverkning</t>
        </is>
      </c>
      <c r="D2451" s="1" t="n">
        <v>44742</v>
      </c>
      <c r="E2451" s="1" t="n">
        <v>46307</v>
      </c>
      <c r="F2451" t="inlineStr">
        <is>
          <t>VÄRMLANDS LÄN</t>
        </is>
      </c>
      <c r="G2451" t="inlineStr">
        <is>
          <t>SUNNE</t>
        </is>
      </c>
      <c r="I2451" t="n">
        <v>3.7</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12527-2024</t>
        </is>
      </c>
      <c r="B2452" t="inlineStr">
        <is>
          <t>avverkningsanmälan</t>
        </is>
      </c>
      <c r="C2452" t="inlineStr">
        <is>
          <t>Föryngringsavverkning</t>
        </is>
      </c>
      <c r="D2452" s="1" t="n">
        <v>45379</v>
      </c>
      <c r="E2452" s="1" t="n">
        <v>46307</v>
      </c>
      <c r="F2452" t="inlineStr">
        <is>
          <t>VÄRMLANDS LÄN</t>
        </is>
      </c>
      <c r="G2452" t="inlineStr">
        <is>
          <t>SUNNE</t>
        </is>
      </c>
      <c r="I2452" t="n">
        <v>1.1</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15538-2024</t>
        </is>
      </c>
      <c r="B2453" t="inlineStr">
        <is>
          <t>avverkningsanmälan</t>
        </is>
      </c>
      <c r="C2453" t="inlineStr">
        <is>
          <t>Avverkning för att bevara och utveckla /försöksver</t>
        </is>
      </c>
      <c r="D2453" s="1" t="n">
        <v>45401</v>
      </c>
      <c r="E2453" s="1" t="n">
        <v>46307</v>
      </c>
      <c r="F2453" t="inlineStr">
        <is>
          <t>VÄRMLANDS LÄN</t>
        </is>
      </c>
      <c r="G2453" t="inlineStr">
        <is>
          <t>HAGFORS</t>
        </is>
      </c>
      <c r="H2453" t="inlineStr">
        <is>
          <t>Bergvik skog väst AB</t>
        </is>
      </c>
      <c r="I2453" t="n">
        <v>3.7</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37668-2024</t>
        </is>
      </c>
      <c r="B2454" t="inlineStr">
        <is>
          <t>avverkningsanmälan</t>
        </is>
      </c>
      <c r="C2454" t="inlineStr">
        <is>
          <t>Föryngringsavverkning</t>
        </is>
      </c>
      <c r="D2454" s="1" t="n">
        <v>45541</v>
      </c>
      <c r="E2454" s="1" t="n">
        <v>46307</v>
      </c>
      <c r="F2454" t="inlineStr">
        <is>
          <t>VÄRMLANDS LÄN</t>
        </is>
      </c>
      <c r="G2454" t="inlineStr">
        <is>
          <t>ARVIKA</t>
        </is>
      </c>
      <c r="I2454" t="n">
        <v>0.9</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4071-2023</t>
        </is>
      </c>
      <c r="B2455" t="inlineStr">
        <is>
          <t>avverkningsanmälan</t>
        </is>
      </c>
      <c r="C2455" t="inlineStr">
        <is>
          <t>Föryngringsavverkning</t>
        </is>
      </c>
      <c r="D2455" s="1" t="n">
        <v>44952</v>
      </c>
      <c r="E2455" s="1" t="n">
        <v>46307</v>
      </c>
      <c r="F2455" t="inlineStr">
        <is>
          <t>VÄRMLANDS LÄN</t>
        </is>
      </c>
      <c r="G2455" t="inlineStr">
        <is>
          <t>KARLSTAD</t>
        </is>
      </c>
      <c r="I2455" t="n">
        <v>3.1</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54204-2023</t>
        </is>
      </c>
      <c r="B2456" t="inlineStr">
        <is>
          <t>avverkningsanmälan</t>
        </is>
      </c>
      <c r="C2456" t="inlineStr">
        <is>
          <t>Avverkning för att bevara och utveckla /försöksver</t>
        </is>
      </c>
      <c r="D2456" s="1" t="n">
        <v>45232</v>
      </c>
      <c r="E2456" s="1" t="n">
        <v>46307</v>
      </c>
      <c r="F2456" t="inlineStr">
        <is>
          <t>VÄRMLANDS LÄN</t>
        </is>
      </c>
      <c r="G2456" t="inlineStr">
        <is>
          <t>TORSBY</t>
        </is>
      </c>
      <c r="H2456" t="inlineStr">
        <is>
          <t>Bergvik skog väst AB</t>
        </is>
      </c>
      <c r="I2456" t="n">
        <v>15</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39025-2024</t>
        </is>
      </c>
      <c r="B2457" t="inlineStr">
        <is>
          <t>avverkningsanmälan</t>
        </is>
      </c>
      <c r="C2457" t="inlineStr">
        <is>
          <t>Föryngringsavverkning</t>
        </is>
      </c>
      <c r="D2457" s="1" t="n">
        <v>45548</v>
      </c>
      <c r="E2457" s="1" t="n">
        <v>46307</v>
      </c>
      <c r="F2457" t="inlineStr">
        <is>
          <t>VÄRMLANDS LÄN</t>
        </is>
      </c>
      <c r="G2457" t="inlineStr">
        <is>
          <t>ARVIKA</t>
        </is>
      </c>
      <c r="I2457" t="n">
        <v>2</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6362-2023</t>
        </is>
      </c>
      <c r="B2458" t="inlineStr">
        <is>
          <t>avverkningsanmälan</t>
        </is>
      </c>
      <c r="C2458" t="inlineStr">
        <is>
          <t>Föryngringsavverkning</t>
        </is>
      </c>
      <c r="D2458" s="1" t="n">
        <v>44965</v>
      </c>
      <c r="E2458" s="1" t="n">
        <v>46307</v>
      </c>
      <c r="F2458" t="inlineStr">
        <is>
          <t>VÄRMLANDS LÄN</t>
        </is>
      </c>
      <c r="G2458" t="inlineStr">
        <is>
          <t>SUNNE</t>
        </is>
      </c>
      <c r="I2458" t="n">
        <v>1.2</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5863-2023</t>
        </is>
      </c>
      <c r="B2459" t="inlineStr">
        <is>
          <t>avverkningsanmälan</t>
        </is>
      </c>
      <c r="C2459" t="inlineStr">
        <is>
          <t>Föryngringsavverkning</t>
        </is>
      </c>
      <c r="D2459" s="1" t="n">
        <v>44963</v>
      </c>
      <c r="E2459" s="1" t="n">
        <v>46307</v>
      </c>
      <c r="F2459" t="inlineStr">
        <is>
          <t>VÄRMLANDS LÄN</t>
        </is>
      </c>
      <c r="G2459" t="inlineStr">
        <is>
          <t>ÅRJÄNG</t>
        </is>
      </c>
      <c r="I2459" t="n">
        <v>0.9</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35709-2023</t>
        </is>
      </c>
      <c r="B2460" t="inlineStr">
        <is>
          <t>avverkningsanmälan</t>
        </is>
      </c>
      <c r="C2460" t="inlineStr">
        <is>
          <t>Föryngringsavverkning</t>
        </is>
      </c>
      <c r="D2460" s="1" t="n">
        <v>45147</v>
      </c>
      <c r="E2460" s="1" t="n">
        <v>46307</v>
      </c>
      <c r="F2460" t="inlineStr">
        <is>
          <t>VÄRMLANDS LÄN</t>
        </is>
      </c>
      <c r="G2460" t="inlineStr">
        <is>
          <t>SÄFFLE</t>
        </is>
      </c>
      <c r="I2460" t="n">
        <v>7.2</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60423-2022</t>
        </is>
      </c>
      <c r="B2461" t="inlineStr">
        <is>
          <t>avverkningsanmälan</t>
        </is>
      </c>
      <c r="C2461" t="inlineStr">
        <is>
          <t>Föryngringsavverkning</t>
        </is>
      </c>
      <c r="D2461" s="1" t="n">
        <v>44911</v>
      </c>
      <c r="E2461" s="1" t="n">
        <v>46307</v>
      </c>
      <c r="F2461" t="inlineStr">
        <is>
          <t>VÄRMLANDS LÄN</t>
        </is>
      </c>
      <c r="G2461" t="inlineStr">
        <is>
          <t>SÄFFLE</t>
        </is>
      </c>
      <c r="I2461" t="n">
        <v>0.6</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26670-2023</t>
        </is>
      </c>
      <c r="B2462" t="inlineStr">
        <is>
          <t>avverkningsanmälan</t>
        </is>
      </c>
      <c r="C2462" t="inlineStr">
        <is>
          <t>Föryngringsavverkning</t>
        </is>
      </c>
      <c r="D2462" s="1" t="n">
        <v>45093</v>
      </c>
      <c r="E2462" s="1" t="n">
        <v>46307</v>
      </c>
      <c r="F2462" t="inlineStr">
        <is>
          <t>VÄRMLANDS LÄN</t>
        </is>
      </c>
      <c r="G2462" t="inlineStr">
        <is>
          <t>KARLSTAD</t>
        </is>
      </c>
      <c r="I2462" t="n">
        <v>8.9</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57642-2023</t>
        </is>
      </c>
      <c r="B2463" t="inlineStr">
        <is>
          <t>avverkningsanmälan</t>
        </is>
      </c>
      <c r="C2463" t="inlineStr">
        <is>
          <t>Föryngringsavverkning</t>
        </is>
      </c>
      <c r="D2463" s="1" t="n">
        <v>45246</v>
      </c>
      <c r="E2463" s="1" t="n">
        <v>46307</v>
      </c>
      <c r="F2463" t="inlineStr">
        <is>
          <t>VÄRMLANDS LÄN</t>
        </is>
      </c>
      <c r="G2463" t="inlineStr">
        <is>
          <t>TORSBY</t>
        </is>
      </c>
      <c r="I2463" t="n">
        <v>1.9</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2106-2024</t>
        </is>
      </c>
      <c r="B2464" t="inlineStr">
        <is>
          <t>avverkningsanmälan</t>
        </is>
      </c>
      <c r="C2464" t="inlineStr">
        <is>
          <t>Föryngringsavverkning</t>
        </is>
      </c>
      <c r="D2464" s="1" t="n">
        <v>45309</v>
      </c>
      <c r="E2464" s="1" t="n">
        <v>46307</v>
      </c>
      <c r="F2464" t="inlineStr">
        <is>
          <t>VÄRMLANDS LÄN</t>
        </is>
      </c>
      <c r="G2464" t="inlineStr">
        <is>
          <t>ARVIKA</t>
        </is>
      </c>
      <c r="I2464" t="n">
        <v>0.6</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8033-2022</t>
        </is>
      </c>
      <c r="B2465" t="inlineStr">
        <is>
          <t>avverkningsanmälan</t>
        </is>
      </c>
      <c r="C2465" t="inlineStr">
        <is>
          <t>Föryngringsavverkning</t>
        </is>
      </c>
      <c r="D2465" s="1" t="n">
        <v>44609</v>
      </c>
      <c r="E2465" s="1" t="n">
        <v>46307</v>
      </c>
      <c r="F2465" t="inlineStr">
        <is>
          <t>VÄRMLANDS LÄN</t>
        </is>
      </c>
      <c r="G2465" t="inlineStr">
        <is>
          <t>TORSBY</t>
        </is>
      </c>
      <c r="I2465" t="n">
        <v>1.8</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60025-2023</t>
        </is>
      </c>
      <c r="B2466" t="inlineStr">
        <is>
          <t>avverkningsanmälan</t>
        </is>
      </c>
      <c r="C2466" t="inlineStr">
        <is>
          <t>Föryngringsavverkning</t>
        </is>
      </c>
      <c r="D2466" s="1" t="n">
        <v>45258</v>
      </c>
      <c r="E2466" s="1" t="n">
        <v>46307</v>
      </c>
      <c r="F2466" t="inlineStr">
        <is>
          <t>VÄRMLANDS LÄN</t>
        </is>
      </c>
      <c r="G2466" t="inlineStr">
        <is>
          <t>KARLSTAD</t>
        </is>
      </c>
      <c r="I2466" t="n">
        <v>0.8</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62540-2023</t>
        </is>
      </c>
      <c r="B2467" t="inlineStr">
        <is>
          <t>avverkningsanmälan</t>
        </is>
      </c>
      <c r="C2467" t="inlineStr">
        <is>
          <t>Föryngringsavverkning</t>
        </is>
      </c>
      <c r="D2467" s="1" t="n">
        <v>45267</v>
      </c>
      <c r="E2467" s="1" t="n">
        <v>46307</v>
      </c>
      <c r="F2467" t="inlineStr">
        <is>
          <t>VÄRMLANDS LÄN</t>
        </is>
      </c>
      <c r="G2467" t="inlineStr">
        <is>
          <t>FILIPSTAD</t>
        </is>
      </c>
      <c r="I2467" t="n">
        <v>1.7</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8058-2022</t>
        </is>
      </c>
      <c r="B2468" t="inlineStr">
        <is>
          <t>avverkningsanmälan</t>
        </is>
      </c>
      <c r="C2468" t="inlineStr">
        <is>
          <t>Föryngringsavverkning</t>
        </is>
      </c>
      <c r="D2468" s="1" t="n">
        <v>44609</v>
      </c>
      <c r="E2468" s="1" t="n">
        <v>46307</v>
      </c>
      <c r="F2468" t="inlineStr">
        <is>
          <t>VÄRMLANDS LÄN</t>
        </is>
      </c>
      <c r="G2468" t="inlineStr">
        <is>
          <t>SÄFFLE</t>
        </is>
      </c>
      <c r="I2468" t="n">
        <v>3</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14893-2024</t>
        </is>
      </c>
      <c r="B2469" t="inlineStr">
        <is>
          <t>avverkningsanmälan</t>
        </is>
      </c>
      <c r="C2469" t="inlineStr">
        <is>
          <t>Föryngringsavverkning</t>
        </is>
      </c>
      <c r="D2469" s="1" t="n">
        <v>45398</v>
      </c>
      <c r="E2469" s="1" t="n">
        <v>46307</v>
      </c>
      <c r="F2469" t="inlineStr">
        <is>
          <t>VÄRMLANDS LÄN</t>
        </is>
      </c>
      <c r="G2469" t="inlineStr">
        <is>
          <t>SÄFFLE</t>
        </is>
      </c>
      <c r="I2469" t="n">
        <v>1.1</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62149-2024</t>
        </is>
      </c>
      <c r="B2470" t="inlineStr">
        <is>
          <t>avverkningsanmälan</t>
        </is>
      </c>
      <c r="C2470" t="inlineStr">
        <is>
          <t>Föryngringsavverkning</t>
        </is>
      </c>
      <c r="D2470" s="1" t="n">
        <v>45646</v>
      </c>
      <c r="E2470" s="1" t="n">
        <v>46307</v>
      </c>
      <c r="F2470" t="inlineStr">
        <is>
          <t>VÄRMLANDS LÄN</t>
        </is>
      </c>
      <c r="G2470" t="inlineStr">
        <is>
          <t>SUNNE</t>
        </is>
      </c>
      <c r="I2470" t="n">
        <v>2.3</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57178-2023</t>
        </is>
      </c>
      <c r="B2471" t="inlineStr">
        <is>
          <t>avverkningsanmälan</t>
        </is>
      </c>
      <c r="C2471" t="inlineStr">
        <is>
          <t>Avverkning för annat ändamål</t>
        </is>
      </c>
      <c r="D2471" s="1" t="n">
        <v>45240</v>
      </c>
      <c r="E2471" s="1" t="n">
        <v>46307</v>
      </c>
      <c r="F2471" t="inlineStr">
        <is>
          <t>VÄRMLANDS LÄN</t>
        </is>
      </c>
      <c r="G2471" t="inlineStr">
        <is>
          <t>ÅRJÄNG</t>
        </is>
      </c>
      <c r="I2471" t="n">
        <v>1.6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57212-2023</t>
        </is>
      </c>
      <c r="B2472" t="inlineStr">
        <is>
          <t>avverkningsanmälan</t>
        </is>
      </c>
      <c r="C2472" t="inlineStr">
        <is>
          <t>Föryngringsavverkning</t>
        </is>
      </c>
      <c r="D2472" s="1" t="n">
        <v>45245</v>
      </c>
      <c r="E2472" s="1" t="n">
        <v>46307</v>
      </c>
      <c r="F2472" t="inlineStr">
        <is>
          <t>VÄRMLANDS LÄN</t>
        </is>
      </c>
      <c r="G2472" t="inlineStr">
        <is>
          <t>FILIPSTAD</t>
        </is>
      </c>
      <c r="H2472" t="inlineStr">
        <is>
          <t>Bergvik skog väst AB</t>
        </is>
      </c>
      <c r="I2472" t="n">
        <v>1.3</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47383-2023</t>
        </is>
      </c>
      <c r="B2473" t="inlineStr">
        <is>
          <t>avverkningsanmälan</t>
        </is>
      </c>
      <c r="C2473" t="inlineStr">
        <is>
          <t>Föryngringsavverkning</t>
        </is>
      </c>
      <c r="D2473" s="1" t="n">
        <v>45202</v>
      </c>
      <c r="E2473" s="1" t="n">
        <v>46307</v>
      </c>
      <c r="F2473" t="inlineStr">
        <is>
          <t>VÄRMLANDS LÄN</t>
        </is>
      </c>
      <c r="G2473" t="inlineStr">
        <is>
          <t>ARVIKA</t>
        </is>
      </c>
      <c r="I2473" t="n">
        <v>1.9</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34378-2022</t>
        </is>
      </c>
      <c r="B2474" t="inlineStr">
        <is>
          <t>avverkningsanmälan</t>
        </is>
      </c>
      <c r="C2474" t="inlineStr">
        <is>
          <t>Föryngringsavverkning</t>
        </is>
      </c>
      <c r="D2474" s="1" t="n">
        <v>44792</v>
      </c>
      <c r="E2474" s="1" t="n">
        <v>46307</v>
      </c>
      <c r="F2474" t="inlineStr">
        <is>
          <t>VÄRMLANDS LÄN</t>
        </is>
      </c>
      <c r="G2474" t="inlineStr">
        <is>
          <t>TORSBY</t>
        </is>
      </c>
      <c r="I2474" t="n">
        <v>0.9</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15574-2025</t>
        </is>
      </c>
      <c r="B2475" t="inlineStr">
        <is>
          <t>avverkningsanmälan</t>
        </is>
      </c>
      <c r="C2475" t="inlineStr">
        <is>
          <t>Föryngringsavverkning</t>
        </is>
      </c>
      <c r="D2475" s="1" t="n">
        <v>45747</v>
      </c>
      <c r="E2475" s="1" t="n">
        <v>46307</v>
      </c>
      <c r="F2475" t="inlineStr">
        <is>
          <t>VÄRMLANDS LÄN</t>
        </is>
      </c>
      <c r="G2475" t="inlineStr">
        <is>
          <t>ÅRJÄNG</t>
        </is>
      </c>
      <c r="I2475" t="n">
        <v>2.4</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58430-2023</t>
        </is>
      </c>
      <c r="B2476" t="inlineStr">
        <is>
          <t>avverkningsanmälan</t>
        </is>
      </c>
      <c r="C2476" t="inlineStr">
        <is>
          <t>Föryngringsavverkning</t>
        </is>
      </c>
      <c r="D2476" s="1" t="n">
        <v>45250</v>
      </c>
      <c r="E2476" s="1" t="n">
        <v>46307</v>
      </c>
      <c r="F2476" t="inlineStr">
        <is>
          <t>VÄRMLANDS LÄN</t>
        </is>
      </c>
      <c r="G2476" t="inlineStr">
        <is>
          <t>TORSBY</t>
        </is>
      </c>
      <c r="I2476" t="n">
        <v>0.3</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25840-2024</t>
        </is>
      </c>
      <c r="B2477" t="inlineStr">
        <is>
          <t>avverkningsanmälan</t>
        </is>
      </c>
      <c r="C2477" t="inlineStr">
        <is>
          <t>Föryngringsavverkning</t>
        </is>
      </c>
      <c r="D2477" s="1" t="n">
        <v>45467</v>
      </c>
      <c r="E2477" s="1" t="n">
        <v>46307</v>
      </c>
      <c r="F2477" t="inlineStr">
        <is>
          <t>VÄRMLANDS LÄN</t>
        </is>
      </c>
      <c r="G2477" t="inlineStr">
        <is>
          <t>GRUMS</t>
        </is>
      </c>
      <c r="I2477" t="n">
        <v>2.2</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53921-2023</t>
        </is>
      </c>
      <c r="B2478" t="inlineStr">
        <is>
          <t>avverkningsanmälan</t>
        </is>
      </c>
      <c r="C2478" t="inlineStr">
        <is>
          <t>Föryngringsavverkning</t>
        </is>
      </c>
      <c r="D2478" s="1" t="n">
        <v>45231</v>
      </c>
      <c r="E2478" s="1" t="n">
        <v>46307</v>
      </c>
      <c r="F2478" t="inlineStr">
        <is>
          <t>VÄRMLANDS LÄN</t>
        </is>
      </c>
      <c r="G2478" t="inlineStr">
        <is>
          <t>TORSBY</t>
        </is>
      </c>
      <c r="I2478" t="n">
        <v>4.8</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16791-2025</t>
        </is>
      </c>
      <c r="B2479" t="inlineStr">
        <is>
          <t>avverkningsanmälan</t>
        </is>
      </c>
      <c r="C2479" t="inlineStr">
        <is>
          <t>Föryngringsavverkning</t>
        </is>
      </c>
      <c r="D2479" s="1" t="n">
        <v>45754</v>
      </c>
      <c r="E2479" s="1" t="n">
        <v>46307</v>
      </c>
      <c r="F2479" t="inlineStr">
        <is>
          <t>VÄRMLANDS LÄN</t>
        </is>
      </c>
      <c r="G2479" t="inlineStr">
        <is>
          <t>ÅRJÄNG</t>
        </is>
      </c>
      <c r="I2479" t="n">
        <v>1.5</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29043-2023</t>
        </is>
      </c>
      <c r="B2480" t="inlineStr">
        <is>
          <t>avverkningsanmälan</t>
        </is>
      </c>
      <c r="C2480" t="inlineStr">
        <is>
          <t>Föryngringsavverkning</t>
        </is>
      </c>
      <c r="D2480" s="1" t="n">
        <v>45104</v>
      </c>
      <c r="E2480" s="1" t="n">
        <v>46307</v>
      </c>
      <c r="F2480" t="inlineStr">
        <is>
          <t>VÄRMLANDS LÄN</t>
        </is>
      </c>
      <c r="G2480" t="inlineStr">
        <is>
          <t>TORSBY</t>
        </is>
      </c>
      <c r="I2480" t="n">
        <v>1.5</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29392-2023</t>
        </is>
      </c>
      <c r="B2481" t="inlineStr">
        <is>
          <t>avverkningsanmälan</t>
        </is>
      </c>
      <c r="C2481" t="inlineStr">
        <is>
          <t>Föryngringsavverkning</t>
        </is>
      </c>
      <c r="D2481" s="1" t="n">
        <v>45106</v>
      </c>
      <c r="E2481" s="1" t="n">
        <v>46307</v>
      </c>
      <c r="F2481" t="inlineStr">
        <is>
          <t>VÄRMLANDS LÄN</t>
        </is>
      </c>
      <c r="G2481" t="inlineStr">
        <is>
          <t>ARVIKA</t>
        </is>
      </c>
      <c r="I2481" t="n">
        <v>1.2</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50030-2022</t>
        </is>
      </c>
      <c r="B2482" t="inlineStr">
        <is>
          <t>avverkningsanmälan</t>
        </is>
      </c>
      <c r="C2482" t="inlineStr">
        <is>
          <t>Föryngringsavverkning</t>
        </is>
      </c>
      <c r="D2482" s="1" t="n">
        <v>44865</v>
      </c>
      <c r="E2482" s="1" t="n">
        <v>46307</v>
      </c>
      <c r="F2482" t="inlineStr">
        <is>
          <t>VÄRMLANDS LÄN</t>
        </is>
      </c>
      <c r="G2482" t="inlineStr">
        <is>
          <t>EDA</t>
        </is>
      </c>
      <c r="I2482" t="n">
        <v>0.9</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50442-2022</t>
        </is>
      </c>
      <c r="B2483" t="inlineStr">
        <is>
          <t>avverkningsanmälan</t>
        </is>
      </c>
      <c r="C2483" t="inlineStr">
        <is>
          <t>Föryngringsavverkning</t>
        </is>
      </c>
      <c r="D2483" s="1" t="n">
        <v>44861</v>
      </c>
      <c r="E2483" s="1" t="n">
        <v>46307</v>
      </c>
      <c r="F2483" t="inlineStr">
        <is>
          <t>VÄRMLANDS LÄN</t>
        </is>
      </c>
      <c r="G2483" t="inlineStr">
        <is>
          <t>SÄFFLE</t>
        </is>
      </c>
      <c r="I2483" t="n">
        <v>1.4</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61108-2023</t>
        </is>
      </c>
      <c r="B2484" t="inlineStr">
        <is>
          <t>avverkningsanmälan</t>
        </is>
      </c>
      <c r="C2484" t="inlineStr">
        <is>
          <t>Föryngringsavverkning</t>
        </is>
      </c>
      <c r="D2484" s="1" t="n">
        <v>45260</v>
      </c>
      <c r="E2484" s="1" t="n">
        <v>46307</v>
      </c>
      <c r="F2484" t="inlineStr">
        <is>
          <t>VÄRMLANDS LÄN</t>
        </is>
      </c>
      <c r="G2484" t="inlineStr">
        <is>
          <t>KARLSTAD</t>
        </is>
      </c>
      <c r="I2484" t="n">
        <v>1</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61111-2023</t>
        </is>
      </c>
      <c r="B2485" t="inlineStr">
        <is>
          <t>avverkningsanmälan</t>
        </is>
      </c>
      <c r="C2485" t="inlineStr">
        <is>
          <t>Föryngringsavverkning</t>
        </is>
      </c>
      <c r="D2485" s="1" t="n">
        <v>45260</v>
      </c>
      <c r="E2485" s="1" t="n">
        <v>46307</v>
      </c>
      <c r="F2485" t="inlineStr">
        <is>
          <t>VÄRMLANDS LÄN</t>
        </is>
      </c>
      <c r="G2485" t="inlineStr">
        <is>
          <t>KARLSTAD</t>
        </is>
      </c>
      <c r="I2485" t="n">
        <v>10.6</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34861-2022</t>
        </is>
      </c>
      <c r="B2486" t="inlineStr">
        <is>
          <t>avverkningsanmälan</t>
        </is>
      </c>
      <c r="C2486" t="inlineStr">
        <is>
          <t>Föryngringsavverkning</t>
        </is>
      </c>
      <c r="D2486" s="1" t="n">
        <v>44796</v>
      </c>
      <c r="E2486" s="1" t="n">
        <v>46307</v>
      </c>
      <c r="F2486" t="inlineStr">
        <is>
          <t>VÄRMLANDS LÄN</t>
        </is>
      </c>
      <c r="G2486" t="inlineStr">
        <is>
          <t>FORSHAGA</t>
        </is>
      </c>
      <c r="I2486" t="n">
        <v>1.5</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57666-2024</t>
        </is>
      </c>
      <c r="B2487" t="inlineStr">
        <is>
          <t>avverkningsanmälan</t>
        </is>
      </c>
      <c r="C2487" t="inlineStr">
        <is>
          <t>Föryngringsavverkning</t>
        </is>
      </c>
      <c r="D2487" s="1" t="n">
        <v>45630</v>
      </c>
      <c r="E2487" s="1" t="n">
        <v>46307</v>
      </c>
      <c r="F2487" t="inlineStr">
        <is>
          <t>VÄRMLANDS LÄN</t>
        </is>
      </c>
      <c r="G2487" t="inlineStr">
        <is>
          <t>SUNNE</t>
        </is>
      </c>
      <c r="H2487" t="inlineStr">
        <is>
          <t>Kyrkan</t>
        </is>
      </c>
      <c r="I2487" t="n">
        <v>7.5</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2963-2024</t>
        </is>
      </c>
      <c r="B2488" t="inlineStr">
        <is>
          <t>avverkningsanmälan</t>
        </is>
      </c>
      <c r="C2488" t="inlineStr">
        <is>
          <t>Föryngringsavverkning</t>
        </is>
      </c>
      <c r="D2488" s="1" t="n">
        <v>45315</v>
      </c>
      <c r="E2488" s="1" t="n">
        <v>46307</v>
      </c>
      <c r="F2488" t="inlineStr">
        <is>
          <t>VÄRMLANDS LÄN</t>
        </is>
      </c>
      <c r="G2488" t="inlineStr">
        <is>
          <t>KRISTINEHAMN</t>
        </is>
      </c>
      <c r="I2488" t="n">
        <v>2.1</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33072-2023</t>
        </is>
      </c>
      <c r="B2489" t="inlineStr">
        <is>
          <t>avverkningsanmälan</t>
        </is>
      </c>
      <c r="C2489" t="inlineStr">
        <is>
          <t>Föryngringsavverkning</t>
        </is>
      </c>
      <c r="D2489" s="1" t="n">
        <v>45126</v>
      </c>
      <c r="E2489" s="1" t="n">
        <v>46307</v>
      </c>
      <c r="F2489" t="inlineStr">
        <is>
          <t>VÄRMLANDS LÄN</t>
        </is>
      </c>
      <c r="G2489" t="inlineStr">
        <is>
          <t>TORSBY</t>
        </is>
      </c>
      <c r="I2489" t="n">
        <v>1.1</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17297-2024</t>
        </is>
      </c>
      <c r="B2490" t="inlineStr">
        <is>
          <t>avverkningsanmälan</t>
        </is>
      </c>
      <c r="C2490" t="inlineStr">
        <is>
          <t>Föryngringsavverkning</t>
        </is>
      </c>
      <c r="D2490" s="1" t="n">
        <v>45414</v>
      </c>
      <c r="E2490" s="1" t="n">
        <v>46307</v>
      </c>
      <c r="F2490" t="inlineStr">
        <is>
          <t>VÄRMLANDS LÄN</t>
        </is>
      </c>
      <c r="G2490" t="inlineStr">
        <is>
          <t>HAGFORS</t>
        </is>
      </c>
      <c r="I2490" t="n">
        <v>0.7</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17329-2024</t>
        </is>
      </c>
      <c r="B2491" t="inlineStr">
        <is>
          <t>avverkningsanmälan</t>
        </is>
      </c>
      <c r="C2491" t="inlineStr">
        <is>
          <t>Avverkning för annat ändamål</t>
        </is>
      </c>
      <c r="D2491" s="1" t="n">
        <v>45414</v>
      </c>
      <c r="E2491" s="1" t="n">
        <v>46307</v>
      </c>
      <c r="F2491" t="inlineStr">
        <is>
          <t>VÄRMLANDS LÄN</t>
        </is>
      </c>
      <c r="G2491" t="inlineStr">
        <is>
          <t>HAGFORS</t>
        </is>
      </c>
      <c r="I2491" t="n">
        <v>1.3</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25579-2023</t>
        </is>
      </c>
      <c r="B2492" t="inlineStr">
        <is>
          <t>avverkningsanmälan</t>
        </is>
      </c>
      <c r="C2492" t="inlineStr">
        <is>
          <t>Föryngringsavverkning</t>
        </is>
      </c>
      <c r="D2492" s="1" t="n">
        <v>45089</v>
      </c>
      <c r="E2492" s="1" t="n">
        <v>46307</v>
      </c>
      <c r="F2492" t="inlineStr">
        <is>
          <t>VÄRMLANDS LÄN</t>
        </is>
      </c>
      <c r="G2492" t="inlineStr">
        <is>
          <t>TORSBY</t>
        </is>
      </c>
      <c r="I2492" t="n">
        <v>1.2</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1711-2024</t>
        </is>
      </c>
      <c r="B2493" t="inlineStr">
        <is>
          <t>avverkningsanmälan</t>
        </is>
      </c>
      <c r="C2493" t="inlineStr">
        <is>
          <t>Föryngringsavverkning</t>
        </is>
      </c>
      <c r="D2493" s="1" t="n">
        <v>45307</v>
      </c>
      <c r="E2493" s="1" t="n">
        <v>46307</v>
      </c>
      <c r="F2493" t="inlineStr">
        <is>
          <t>VÄRMLANDS LÄN</t>
        </is>
      </c>
      <c r="G2493" t="inlineStr">
        <is>
          <t>EDA</t>
        </is>
      </c>
      <c r="I2493" t="n">
        <v>3.2</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16944-2024</t>
        </is>
      </c>
      <c r="B2494" t="inlineStr">
        <is>
          <t>avverkningsanmälan</t>
        </is>
      </c>
      <c r="C2494" t="inlineStr">
        <is>
          <t>Föryngringsavverkning</t>
        </is>
      </c>
      <c r="D2494" s="1" t="n">
        <v>45411</v>
      </c>
      <c r="E2494" s="1" t="n">
        <v>46307</v>
      </c>
      <c r="F2494" t="inlineStr">
        <is>
          <t>VÄRMLANDS LÄN</t>
        </is>
      </c>
      <c r="G2494" t="inlineStr">
        <is>
          <t>ARVIKA</t>
        </is>
      </c>
      <c r="H2494" t="inlineStr">
        <is>
          <t>Bergvik skog väst AB</t>
        </is>
      </c>
      <c r="I2494" t="n">
        <v>1.2</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16952-2024</t>
        </is>
      </c>
      <c r="B2495" t="inlineStr">
        <is>
          <t>avverkningsanmälan</t>
        </is>
      </c>
      <c r="C2495" t="inlineStr">
        <is>
          <t>Föryngringsavverkning</t>
        </is>
      </c>
      <c r="D2495" s="1" t="n">
        <v>45411</v>
      </c>
      <c r="E2495" s="1" t="n">
        <v>46307</v>
      </c>
      <c r="F2495" t="inlineStr">
        <is>
          <t>VÄRMLANDS LÄN</t>
        </is>
      </c>
      <c r="G2495" t="inlineStr">
        <is>
          <t>KARLSTAD</t>
        </is>
      </c>
      <c r="I2495" t="n">
        <v>0.7</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16958-2024</t>
        </is>
      </c>
      <c r="B2496" t="inlineStr">
        <is>
          <t>avverkningsanmälan</t>
        </is>
      </c>
      <c r="C2496" t="inlineStr">
        <is>
          <t>Föryngringsavverkning</t>
        </is>
      </c>
      <c r="D2496" s="1" t="n">
        <v>45411</v>
      </c>
      <c r="E2496" s="1" t="n">
        <v>46307</v>
      </c>
      <c r="F2496" t="inlineStr">
        <is>
          <t>VÄRMLANDS LÄN</t>
        </is>
      </c>
      <c r="G2496" t="inlineStr">
        <is>
          <t>SÄFFLE</t>
        </is>
      </c>
      <c r="I2496" t="n">
        <v>2.7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60609-2023</t>
        </is>
      </c>
      <c r="B2497" t="inlineStr">
        <is>
          <t>avverkningsanmälan</t>
        </is>
      </c>
      <c r="C2497" t="inlineStr">
        <is>
          <t>Föryngringsavverkning</t>
        </is>
      </c>
      <c r="D2497" s="1" t="n">
        <v>45260</v>
      </c>
      <c r="E2497" s="1" t="n">
        <v>46307</v>
      </c>
      <c r="F2497" t="inlineStr">
        <is>
          <t>VÄRMLANDS LÄN</t>
        </is>
      </c>
      <c r="G2497" t="inlineStr">
        <is>
          <t>KARLSTAD</t>
        </is>
      </c>
      <c r="I2497" t="n">
        <v>3.6</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4748-2024</t>
        </is>
      </c>
      <c r="B2498" t="inlineStr">
        <is>
          <t>avverkningsanmälan</t>
        </is>
      </c>
      <c r="C2498" t="inlineStr">
        <is>
          <t>Föryngringsavverkning</t>
        </is>
      </c>
      <c r="D2498" s="1" t="n">
        <v>45328</v>
      </c>
      <c r="E2498" s="1" t="n">
        <v>46307</v>
      </c>
      <c r="F2498" t="inlineStr">
        <is>
          <t>VÄRMLANDS LÄN</t>
        </is>
      </c>
      <c r="G2498" t="inlineStr">
        <is>
          <t>HAGFORS</t>
        </is>
      </c>
      <c r="I2498" t="n">
        <v>1.1</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17024-2024</t>
        </is>
      </c>
      <c r="B2499" t="inlineStr">
        <is>
          <t>avverkningsanmälan</t>
        </is>
      </c>
      <c r="C2499" t="inlineStr">
        <is>
          <t>Föryngringsavverkning</t>
        </is>
      </c>
      <c r="D2499" s="1" t="n">
        <v>45412</v>
      </c>
      <c r="E2499" s="1" t="n">
        <v>46307</v>
      </c>
      <c r="F2499" t="inlineStr">
        <is>
          <t>VÄRMLANDS LÄN</t>
        </is>
      </c>
      <c r="G2499" t="inlineStr">
        <is>
          <t>TORSBY</t>
        </is>
      </c>
      <c r="I2499" t="n">
        <v>0.6</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39770-2024</t>
        </is>
      </c>
      <c r="B2500" t="inlineStr">
        <is>
          <t>avverkningsanmälan</t>
        </is>
      </c>
      <c r="C2500" t="inlineStr">
        <is>
          <t>Föryngringsavverkning</t>
        </is>
      </c>
      <c r="D2500" s="1" t="n">
        <v>45552</v>
      </c>
      <c r="E2500" s="1" t="n">
        <v>46307</v>
      </c>
      <c r="F2500" t="inlineStr">
        <is>
          <t>VÄRMLANDS LÄN</t>
        </is>
      </c>
      <c r="G2500" t="inlineStr">
        <is>
          <t>TORSBY</t>
        </is>
      </c>
      <c r="I2500" t="n">
        <v>1.5</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65065-2023</t>
        </is>
      </c>
      <c r="B2501" t="inlineStr">
        <is>
          <t>avverkningsanmälan</t>
        </is>
      </c>
      <c r="C2501" t="inlineStr">
        <is>
          <t>Föryngringsavverkning</t>
        </is>
      </c>
      <c r="D2501" s="1" t="n">
        <v>45287</v>
      </c>
      <c r="E2501" s="1" t="n">
        <v>46307</v>
      </c>
      <c r="F2501" t="inlineStr">
        <is>
          <t>VÄRMLANDS LÄN</t>
        </is>
      </c>
      <c r="G2501" t="inlineStr">
        <is>
          <t>HAGFORS</t>
        </is>
      </c>
      <c r="I2501" t="n">
        <v>0.8</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65134-2023</t>
        </is>
      </c>
      <c r="B2502" t="inlineStr">
        <is>
          <t>avverkningsanmälan</t>
        </is>
      </c>
      <c r="C2502" t="inlineStr">
        <is>
          <t>Föryngringsavverkning</t>
        </is>
      </c>
      <c r="D2502" s="1" t="n">
        <v>45288</v>
      </c>
      <c r="E2502" s="1" t="n">
        <v>46307</v>
      </c>
      <c r="F2502" t="inlineStr">
        <is>
          <t>VÄRMLANDS LÄN</t>
        </is>
      </c>
      <c r="G2502" t="inlineStr">
        <is>
          <t>TORSBY</t>
        </is>
      </c>
      <c r="I2502" t="n">
        <v>3.5</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7198-2024</t>
        </is>
      </c>
      <c r="B2503" t="inlineStr">
        <is>
          <t>avverkningsanmälan</t>
        </is>
      </c>
      <c r="C2503" t="inlineStr">
        <is>
          <t>Föryngringsavverkning</t>
        </is>
      </c>
      <c r="D2503" s="1" t="n">
        <v>45344</v>
      </c>
      <c r="E2503" s="1" t="n">
        <v>46307</v>
      </c>
      <c r="F2503" t="inlineStr">
        <is>
          <t>VÄRMLANDS LÄN</t>
        </is>
      </c>
      <c r="G2503" t="inlineStr">
        <is>
          <t>ARVIKA</t>
        </is>
      </c>
      <c r="I2503" t="n">
        <v>0.9</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45880-2023</t>
        </is>
      </c>
      <c r="B2504" t="inlineStr">
        <is>
          <t>avverkningsanmälan</t>
        </is>
      </c>
      <c r="C2504" t="inlineStr">
        <is>
          <t>Föryngringsavverkning</t>
        </is>
      </c>
      <c r="D2504" s="1" t="n">
        <v>45195</v>
      </c>
      <c r="E2504" s="1" t="n">
        <v>46307</v>
      </c>
      <c r="F2504" t="inlineStr">
        <is>
          <t>VÄRMLANDS LÄN</t>
        </is>
      </c>
      <c r="G2504" t="inlineStr">
        <is>
          <t>EDA</t>
        </is>
      </c>
      <c r="I2504" t="n">
        <v>1.9</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34541-2022</t>
        </is>
      </c>
      <c r="B2505" t="inlineStr">
        <is>
          <t>avverkningsanmälan</t>
        </is>
      </c>
      <c r="C2505" t="inlineStr">
        <is>
          <t>Föryngringsavverkning</t>
        </is>
      </c>
      <c r="D2505" s="1" t="n">
        <v>44793</v>
      </c>
      <c r="E2505" s="1" t="n">
        <v>46307</v>
      </c>
      <c r="F2505" t="inlineStr">
        <is>
          <t>VÄRMLANDS LÄN</t>
        </is>
      </c>
      <c r="G2505" t="inlineStr">
        <is>
          <t>SUNNE</t>
        </is>
      </c>
      <c r="I2505" t="n">
        <v>3.4</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10427-2024</t>
        </is>
      </c>
      <c r="B2506" t="inlineStr">
        <is>
          <t>avverkningsanmälan</t>
        </is>
      </c>
      <c r="C2506" t="inlineStr">
        <is>
          <t>Föryngringsavverkning</t>
        </is>
      </c>
      <c r="D2506" s="1" t="n">
        <v>45365</v>
      </c>
      <c r="E2506" s="1" t="n">
        <v>46307</v>
      </c>
      <c r="F2506" t="inlineStr">
        <is>
          <t>VÄRMLANDS LÄN</t>
        </is>
      </c>
      <c r="G2506" t="inlineStr">
        <is>
          <t>ARVIKA</t>
        </is>
      </c>
      <c r="I2506" t="n">
        <v>0.9</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52830-2023</t>
        </is>
      </c>
      <c r="B2507" t="inlineStr">
        <is>
          <t>avverkningsanmälan</t>
        </is>
      </c>
      <c r="C2507" t="inlineStr">
        <is>
          <t>Föryngringsavverkning</t>
        </is>
      </c>
      <c r="D2507" s="1" t="n">
        <v>45226</v>
      </c>
      <c r="E2507" s="1" t="n">
        <v>46307</v>
      </c>
      <c r="F2507" t="inlineStr">
        <is>
          <t>VÄRMLANDS LÄN</t>
        </is>
      </c>
      <c r="G2507" t="inlineStr">
        <is>
          <t>HAGFORS</t>
        </is>
      </c>
      <c r="H2507" t="inlineStr">
        <is>
          <t>Bergvik skog väst AB</t>
        </is>
      </c>
      <c r="I2507" t="n">
        <v>2</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3364-2024</t>
        </is>
      </c>
      <c r="B2508" t="inlineStr">
        <is>
          <t>avverkningsanmälan</t>
        </is>
      </c>
      <c r="C2508" t="inlineStr">
        <is>
          <t>Föryngringsavverkning</t>
        </is>
      </c>
      <c r="D2508" s="1" t="n">
        <v>45317</v>
      </c>
      <c r="E2508" s="1" t="n">
        <v>46307</v>
      </c>
      <c r="F2508" t="inlineStr">
        <is>
          <t>VÄRMLANDS LÄN</t>
        </is>
      </c>
      <c r="G2508" t="inlineStr">
        <is>
          <t>ARVIKA</t>
        </is>
      </c>
      <c r="I2508" t="n">
        <v>1.8</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58210-2022</t>
        </is>
      </c>
      <c r="B2509" t="inlineStr">
        <is>
          <t>avverkningsanmälan</t>
        </is>
      </c>
      <c r="C2509" t="inlineStr">
        <is>
          <t>Avverkning för annat ändamål</t>
        </is>
      </c>
      <c r="D2509" s="1" t="n">
        <v>44901</v>
      </c>
      <c r="E2509" s="1" t="n">
        <v>46307</v>
      </c>
      <c r="F2509" t="inlineStr">
        <is>
          <t>VÄRMLANDS LÄN</t>
        </is>
      </c>
      <c r="G2509" t="inlineStr">
        <is>
          <t>HAGFORS</t>
        </is>
      </c>
      <c r="I2509" t="n">
        <v>4.3</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2155-2024</t>
        </is>
      </c>
      <c r="B2510" t="inlineStr">
        <is>
          <t>avverkningsanmälan</t>
        </is>
      </c>
      <c r="C2510" t="inlineStr">
        <is>
          <t>Föryngringsavverkning</t>
        </is>
      </c>
      <c r="D2510" s="1" t="n">
        <v>45309</v>
      </c>
      <c r="E2510" s="1" t="n">
        <v>46307</v>
      </c>
      <c r="F2510" t="inlineStr">
        <is>
          <t>VÄRMLANDS LÄN</t>
        </is>
      </c>
      <c r="G2510" t="inlineStr">
        <is>
          <t>TORSBY</t>
        </is>
      </c>
      <c r="I2510" t="n">
        <v>2.8</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45908-2022</t>
        </is>
      </c>
      <c r="B2511" t="inlineStr">
        <is>
          <t>avverkningsanmälan</t>
        </is>
      </c>
      <c r="C2511" t="inlineStr">
        <is>
          <t>Föryngringsavverkning</t>
        </is>
      </c>
      <c r="D2511" s="1" t="n">
        <v>44846</v>
      </c>
      <c r="E2511" s="1" t="n">
        <v>46307</v>
      </c>
      <c r="F2511" t="inlineStr">
        <is>
          <t>VÄRMLANDS LÄN</t>
        </is>
      </c>
      <c r="G2511" t="inlineStr">
        <is>
          <t>ARVIKA</t>
        </is>
      </c>
      <c r="I2511" t="n">
        <v>0.6</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38905-2025</t>
        </is>
      </c>
      <c r="B2512" t="inlineStr">
        <is>
          <t>avverkningsanmälan</t>
        </is>
      </c>
      <c r="C2512" t="inlineStr">
        <is>
          <t>Föryngringsavverkning</t>
        </is>
      </c>
      <c r="D2512" s="1" t="n">
        <v>45884</v>
      </c>
      <c r="E2512" s="1" t="n">
        <v>46307</v>
      </c>
      <c r="F2512" t="inlineStr">
        <is>
          <t>VÄRMLANDS LÄN</t>
        </is>
      </c>
      <c r="G2512" t="inlineStr">
        <is>
          <t>TORSBY</t>
        </is>
      </c>
      <c r="I2512" t="n">
        <v>5.4</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18229-2025</t>
        </is>
      </c>
      <c r="B2513" t="inlineStr">
        <is>
          <t>avverkningsanmälan</t>
        </is>
      </c>
      <c r="C2513" t="inlineStr">
        <is>
          <t>Föryngringsavverkning</t>
        </is>
      </c>
      <c r="D2513" s="1" t="n">
        <v>45761</v>
      </c>
      <c r="E2513" s="1" t="n">
        <v>46307</v>
      </c>
      <c r="F2513" t="inlineStr">
        <is>
          <t>VÄRMLANDS LÄN</t>
        </is>
      </c>
      <c r="G2513" t="inlineStr">
        <is>
          <t>FORSHAGA</t>
        </is>
      </c>
      <c r="I2513" t="n">
        <v>0.6</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71472-2021</t>
        </is>
      </c>
      <c r="B2514" t="inlineStr">
        <is>
          <t>avverkningsanmälan</t>
        </is>
      </c>
      <c r="C2514" t="inlineStr">
        <is>
          <t>Föryngringsavverkning</t>
        </is>
      </c>
      <c r="D2514" s="1" t="n">
        <v>44540</v>
      </c>
      <c r="E2514" s="1" t="n">
        <v>46307</v>
      </c>
      <c r="F2514" t="inlineStr">
        <is>
          <t>VÄRMLANDS LÄN</t>
        </is>
      </c>
      <c r="G2514" t="inlineStr">
        <is>
          <t>ÅRJÄNG</t>
        </is>
      </c>
      <c r="I2514" t="n">
        <v>1.9</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61093-2023</t>
        </is>
      </c>
      <c r="B2515" t="inlineStr">
        <is>
          <t>avverkningsanmälan</t>
        </is>
      </c>
      <c r="C2515" t="inlineStr">
        <is>
          <t>Föryngringsavverkning</t>
        </is>
      </c>
      <c r="D2515" s="1" t="n">
        <v>45261</v>
      </c>
      <c r="E2515" s="1" t="n">
        <v>46307</v>
      </c>
      <c r="F2515" t="inlineStr">
        <is>
          <t>VÄRMLANDS LÄN</t>
        </is>
      </c>
      <c r="G2515" t="inlineStr">
        <is>
          <t>SUNNE</t>
        </is>
      </c>
      <c r="I2515" t="n">
        <v>1.6</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61095-2023</t>
        </is>
      </c>
      <c r="B2516" t="inlineStr">
        <is>
          <t>avverkningsanmälan</t>
        </is>
      </c>
      <c r="C2516" t="inlineStr">
        <is>
          <t>Föryngringsavverkning</t>
        </is>
      </c>
      <c r="D2516" s="1" t="n">
        <v>45260</v>
      </c>
      <c r="E2516" s="1" t="n">
        <v>46307</v>
      </c>
      <c r="F2516" t="inlineStr">
        <is>
          <t>VÄRMLANDS LÄN</t>
        </is>
      </c>
      <c r="G2516" t="inlineStr">
        <is>
          <t>KARLSTAD</t>
        </is>
      </c>
      <c r="I2516" t="n">
        <v>10.4</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10307-2024</t>
        </is>
      </c>
      <c r="B2517" t="inlineStr">
        <is>
          <t>avverkningsanmälan</t>
        </is>
      </c>
      <c r="C2517" t="inlineStr">
        <is>
          <t>Föryngringsavverkning</t>
        </is>
      </c>
      <c r="D2517" s="1" t="n">
        <v>45365</v>
      </c>
      <c r="E2517" s="1" t="n">
        <v>46307</v>
      </c>
      <c r="F2517" t="inlineStr">
        <is>
          <t>VÄRMLANDS LÄN</t>
        </is>
      </c>
      <c r="G2517" t="inlineStr">
        <is>
          <t>SUNNE</t>
        </is>
      </c>
      <c r="I2517" t="n">
        <v>0.6</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10322-2024</t>
        </is>
      </c>
      <c r="B2518" t="inlineStr">
        <is>
          <t>avverkningsanmälan</t>
        </is>
      </c>
      <c r="C2518" t="inlineStr">
        <is>
          <t>Föryngringsavverkning</t>
        </is>
      </c>
      <c r="D2518" s="1" t="n">
        <v>45365</v>
      </c>
      <c r="E2518" s="1" t="n">
        <v>46307</v>
      </c>
      <c r="F2518" t="inlineStr">
        <is>
          <t>VÄRMLANDS LÄN</t>
        </is>
      </c>
      <c r="G2518" t="inlineStr">
        <is>
          <t>SÄFFLE</t>
        </is>
      </c>
      <c r="I2518" t="n">
        <v>20.7</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38238-2022</t>
        </is>
      </c>
      <c r="B2519" t="inlineStr">
        <is>
          <t>avverkningsanmälan</t>
        </is>
      </c>
      <c r="C2519" t="inlineStr">
        <is>
          <t>Föryngringsavverkning</t>
        </is>
      </c>
      <c r="D2519" s="1" t="n">
        <v>44812</v>
      </c>
      <c r="E2519" s="1" t="n">
        <v>46307</v>
      </c>
      <c r="F2519" t="inlineStr">
        <is>
          <t>VÄRMLANDS LÄN</t>
        </is>
      </c>
      <c r="G2519" t="inlineStr">
        <is>
          <t>MUNKFORS</t>
        </is>
      </c>
      <c r="I2519" t="n">
        <v>1.7</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60296-2023</t>
        </is>
      </c>
      <c r="B2520" t="inlineStr">
        <is>
          <t>avverkningsanmälan</t>
        </is>
      </c>
      <c r="C2520" t="inlineStr">
        <is>
          <t>Föryngringsavverkning</t>
        </is>
      </c>
      <c r="D2520" s="1" t="n">
        <v>45257</v>
      </c>
      <c r="E2520" s="1" t="n">
        <v>46307</v>
      </c>
      <c r="F2520" t="inlineStr">
        <is>
          <t>VÄRMLANDS LÄN</t>
        </is>
      </c>
      <c r="G2520" t="inlineStr">
        <is>
          <t>FILIPSTAD</t>
        </is>
      </c>
      <c r="I2520" t="n">
        <v>1.4</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17788-2024</t>
        </is>
      </c>
      <c r="B2521" t="inlineStr">
        <is>
          <t>avverkningsanmälan</t>
        </is>
      </c>
      <c r="C2521" t="inlineStr">
        <is>
          <t>Föryngringsavverkning</t>
        </is>
      </c>
      <c r="D2521" s="1" t="n">
        <v>45418</v>
      </c>
      <c r="E2521" s="1" t="n">
        <v>46307</v>
      </c>
      <c r="F2521" t="inlineStr">
        <is>
          <t>VÄRMLANDS LÄN</t>
        </is>
      </c>
      <c r="G2521" t="inlineStr">
        <is>
          <t>FILIPSTAD</t>
        </is>
      </c>
      <c r="I2521" t="n">
        <v>3.3</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33605-2024</t>
        </is>
      </c>
      <c r="B2522" t="inlineStr">
        <is>
          <t>avverkningsanmälan</t>
        </is>
      </c>
      <c r="C2522" t="inlineStr">
        <is>
          <t>Föryngringsavverkning</t>
        </is>
      </c>
      <c r="D2522" s="1" t="n">
        <v>45520</v>
      </c>
      <c r="E2522" s="1" t="n">
        <v>46307</v>
      </c>
      <c r="F2522" t="inlineStr">
        <is>
          <t>VÄRMLANDS LÄN</t>
        </is>
      </c>
      <c r="G2522" t="inlineStr">
        <is>
          <t>ARVIKA</t>
        </is>
      </c>
      <c r="H2522" t="inlineStr">
        <is>
          <t>Bergvik skog väst AB</t>
        </is>
      </c>
      <c r="I2522" t="n">
        <v>2.5</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55363-2023</t>
        </is>
      </c>
      <c r="B2523" t="inlineStr">
        <is>
          <t>avverkningsanmälan</t>
        </is>
      </c>
      <c r="C2523" t="inlineStr">
        <is>
          <t>Föryngringsavverkning</t>
        </is>
      </c>
      <c r="D2523" s="1" t="n">
        <v>45238</v>
      </c>
      <c r="E2523" s="1" t="n">
        <v>46307</v>
      </c>
      <c r="F2523" t="inlineStr">
        <is>
          <t>VÄRMLANDS LÄN</t>
        </is>
      </c>
      <c r="G2523" t="inlineStr">
        <is>
          <t>KRISTINEHAMN</t>
        </is>
      </c>
      <c r="H2523" t="inlineStr">
        <is>
          <t>Kommuner</t>
        </is>
      </c>
      <c r="I2523" t="n">
        <v>8</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7410-2022</t>
        </is>
      </c>
      <c r="B2524" t="inlineStr">
        <is>
          <t>avverkningsanmälan</t>
        </is>
      </c>
      <c r="C2524" t="inlineStr">
        <is>
          <t>Föryngringsavverkning</t>
        </is>
      </c>
      <c r="D2524" s="1" t="n">
        <v>44606</v>
      </c>
      <c r="E2524" s="1" t="n">
        <v>46307</v>
      </c>
      <c r="F2524" t="inlineStr">
        <is>
          <t>VÄRMLANDS LÄN</t>
        </is>
      </c>
      <c r="G2524" t="inlineStr">
        <is>
          <t>SÄFFLE</t>
        </is>
      </c>
      <c r="I2524" t="n">
        <v>4.3</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3885-2023</t>
        </is>
      </c>
      <c r="B2525" t="inlineStr">
        <is>
          <t>avverkningsanmälan</t>
        </is>
      </c>
      <c r="C2525" t="inlineStr">
        <is>
          <t>Föryngringsavverkning</t>
        </is>
      </c>
      <c r="D2525" s="1" t="n">
        <v>44951</v>
      </c>
      <c r="E2525" s="1" t="n">
        <v>46307</v>
      </c>
      <c r="F2525" t="inlineStr">
        <is>
          <t>VÄRMLANDS LÄN</t>
        </is>
      </c>
      <c r="G2525" t="inlineStr">
        <is>
          <t>EDA</t>
        </is>
      </c>
      <c r="I2525" t="n">
        <v>0.6</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3980-2023</t>
        </is>
      </c>
      <c r="B2526" t="inlineStr">
        <is>
          <t>avverkningsanmälan</t>
        </is>
      </c>
      <c r="C2526" t="inlineStr">
        <is>
          <t>Föryngringsavverkning</t>
        </is>
      </c>
      <c r="D2526" s="1" t="n">
        <v>44952</v>
      </c>
      <c r="E2526" s="1" t="n">
        <v>46307</v>
      </c>
      <c r="F2526" t="inlineStr">
        <is>
          <t>VÄRMLANDS LÄN</t>
        </is>
      </c>
      <c r="G2526" t="inlineStr">
        <is>
          <t>ARVIKA</t>
        </is>
      </c>
      <c r="I2526" t="n">
        <v>1.1</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13431-2024</t>
        </is>
      </c>
      <c r="B2527" t="inlineStr">
        <is>
          <t>avverkningsanmälan</t>
        </is>
      </c>
      <c r="C2527" t="inlineStr">
        <is>
          <t>Avverkning för att bevara och utveckla /försöksver</t>
        </is>
      </c>
      <c r="D2527" s="1" t="n">
        <v>45387</v>
      </c>
      <c r="E2527" s="1" t="n">
        <v>46307</v>
      </c>
      <c r="F2527" t="inlineStr">
        <is>
          <t>VÄRMLANDS LÄN</t>
        </is>
      </c>
      <c r="G2527" t="inlineStr">
        <is>
          <t>MUNKFORS</t>
        </is>
      </c>
      <c r="H2527" t="inlineStr">
        <is>
          <t>Bergvik skog väst AB</t>
        </is>
      </c>
      <c r="I2527" t="n">
        <v>0.7</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27185-2025</t>
        </is>
      </c>
      <c r="B2528" t="inlineStr">
        <is>
          <t>avverkningsanmälan</t>
        </is>
      </c>
      <c r="C2528" t="inlineStr">
        <is>
          <t>Föryngringsavverkning</t>
        </is>
      </c>
      <c r="D2528" s="1" t="n">
        <v>45812</v>
      </c>
      <c r="E2528" s="1" t="n">
        <v>46307</v>
      </c>
      <c r="F2528" t="inlineStr">
        <is>
          <t>VÄRMLANDS LÄN</t>
        </is>
      </c>
      <c r="G2528" t="inlineStr">
        <is>
          <t>HAGFORS</t>
        </is>
      </c>
      <c r="H2528" t="inlineStr">
        <is>
          <t>Bergvik skog väst AB</t>
        </is>
      </c>
      <c r="I2528" t="n">
        <v>2.6</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65844-2021</t>
        </is>
      </c>
      <c r="B2529" t="inlineStr">
        <is>
          <t>avverkningsanmälan</t>
        </is>
      </c>
      <c r="C2529" t="inlineStr">
        <is>
          <t>Föryngringsavverkning</t>
        </is>
      </c>
      <c r="D2529" s="1" t="n">
        <v>44517</v>
      </c>
      <c r="E2529" s="1" t="n">
        <v>46307</v>
      </c>
      <c r="F2529" t="inlineStr">
        <is>
          <t>VÄRMLANDS LÄN</t>
        </is>
      </c>
      <c r="G2529" t="inlineStr">
        <is>
          <t>ÅRJÄNG</t>
        </is>
      </c>
      <c r="I2529" t="n">
        <v>4.6</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61034-2021</t>
        </is>
      </c>
      <c r="B2530" t="inlineStr">
        <is>
          <t>avverkningsanmälan</t>
        </is>
      </c>
      <c r="C2530" t="inlineStr">
        <is>
          <t>Föryngringsavverkning</t>
        </is>
      </c>
      <c r="D2530" s="1" t="n">
        <v>44497</v>
      </c>
      <c r="E2530" s="1" t="n">
        <v>46307</v>
      </c>
      <c r="F2530" t="inlineStr">
        <is>
          <t>VÄRMLANDS LÄN</t>
        </is>
      </c>
      <c r="G2530" t="inlineStr">
        <is>
          <t>KRISTINEHAMN</t>
        </is>
      </c>
      <c r="I2530" t="n">
        <v>2.6</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45147-2023</t>
        </is>
      </c>
      <c r="B2531" t="inlineStr">
        <is>
          <t>avverkningsanmälan</t>
        </is>
      </c>
      <c r="C2531" t="inlineStr">
        <is>
          <t>Föryngringsavverkning</t>
        </is>
      </c>
      <c r="D2531" s="1" t="n">
        <v>45191</v>
      </c>
      <c r="E2531" s="1" t="n">
        <v>46307</v>
      </c>
      <c r="F2531" t="inlineStr">
        <is>
          <t>VÄRMLANDS LÄN</t>
        </is>
      </c>
      <c r="G2531" t="inlineStr">
        <is>
          <t>EDA</t>
        </is>
      </c>
      <c r="I2531" t="n">
        <v>2.3</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61367-2022</t>
        </is>
      </c>
      <c r="B2532" t="inlineStr">
        <is>
          <t>avverkningsanmälan</t>
        </is>
      </c>
      <c r="C2532" t="inlineStr">
        <is>
          <t>Föryngringsavverkning</t>
        </is>
      </c>
      <c r="D2532" s="1" t="n">
        <v>44915</v>
      </c>
      <c r="E2532" s="1" t="n">
        <v>46307</v>
      </c>
      <c r="F2532" t="inlineStr">
        <is>
          <t>VÄRMLANDS LÄN</t>
        </is>
      </c>
      <c r="G2532" t="inlineStr">
        <is>
          <t>TORSBY</t>
        </is>
      </c>
      <c r="I2532" t="n">
        <v>2.6</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45167-2023</t>
        </is>
      </c>
      <c r="B2533" t="inlineStr">
        <is>
          <t>avverkningsanmälan</t>
        </is>
      </c>
      <c r="C2533" t="inlineStr">
        <is>
          <t>Föryngringsavverkning</t>
        </is>
      </c>
      <c r="D2533" s="1" t="n">
        <v>45191</v>
      </c>
      <c r="E2533" s="1" t="n">
        <v>46307</v>
      </c>
      <c r="F2533" t="inlineStr">
        <is>
          <t>VÄRMLANDS LÄN</t>
        </is>
      </c>
      <c r="G2533" t="inlineStr">
        <is>
          <t>SÄFFLE</t>
        </is>
      </c>
      <c r="I2533" t="n">
        <v>1.9</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13636-2024</t>
        </is>
      </c>
      <c r="B2534" t="inlineStr">
        <is>
          <t>avverkningsanmälan</t>
        </is>
      </c>
      <c r="C2534" t="inlineStr">
        <is>
          <t>Föryngringsavverkning</t>
        </is>
      </c>
      <c r="D2534" s="1" t="n">
        <v>45390</v>
      </c>
      <c r="E2534" s="1" t="n">
        <v>46307</v>
      </c>
      <c r="F2534" t="inlineStr">
        <is>
          <t>VÄRMLANDS LÄN</t>
        </is>
      </c>
      <c r="G2534" t="inlineStr">
        <is>
          <t>STORFORS</t>
        </is>
      </c>
      <c r="I2534" t="n">
        <v>0.9</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11135-2024</t>
        </is>
      </c>
      <c r="B2535" t="inlineStr">
        <is>
          <t>avverkningsanmälan</t>
        </is>
      </c>
      <c r="C2535" t="inlineStr">
        <is>
          <t>Föryngringsavverkning</t>
        </is>
      </c>
      <c r="D2535" s="1" t="n">
        <v>45371</v>
      </c>
      <c r="E2535" s="1" t="n">
        <v>46307</v>
      </c>
      <c r="F2535" t="inlineStr">
        <is>
          <t>VÄRMLANDS LÄN</t>
        </is>
      </c>
      <c r="G2535" t="inlineStr">
        <is>
          <t>TORSBY</t>
        </is>
      </c>
      <c r="I2535" t="n">
        <v>0.5</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4253-2024</t>
        </is>
      </c>
      <c r="B2536" t="inlineStr">
        <is>
          <t>avverkningsanmälan</t>
        </is>
      </c>
      <c r="C2536" t="inlineStr">
        <is>
          <t>Föryngringsavverkning</t>
        </is>
      </c>
      <c r="D2536" s="1" t="n">
        <v>45324</v>
      </c>
      <c r="E2536" s="1" t="n">
        <v>46307</v>
      </c>
      <c r="F2536" t="inlineStr">
        <is>
          <t>VÄRMLANDS LÄN</t>
        </is>
      </c>
      <c r="G2536" t="inlineStr">
        <is>
          <t>SÄFFLE</t>
        </is>
      </c>
      <c r="I2536" t="n">
        <v>5.9</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56329-2024</t>
        </is>
      </c>
      <c r="B2537" t="inlineStr">
        <is>
          <t>avverkningsanmälan</t>
        </is>
      </c>
      <c r="C2537" t="inlineStr">
        <is>
          <t>Föryngringsavverkning</t>
        </is>
      </c>
      <c r="D2537" s="1" t="n">
        <v>45624</v>
      </c>
      <c r="E2537" s="1" t="n">
        <v>46307</v>
      </c>
      <c r="F2537" t="inlineStr">
        <is>
          <t>VÄRMLANDS LÄN</t>
        </is>
      </c>
      <c r="G2537" t="inlineStr">
        <is>
          <t>ÅRJÄNG</t>
        </is>
      </c>
      <c r="I2537" t="n">
        <v>4.6</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59097-2022</t>
        </is>
      </c>
      <c r="B2538" t="inlineStr">
        <is>
          <t>avverkningsanmälan</t>
        </is>
      </c>
      <c r="C2538" t="inlineStr">
        <is>
          <t>Föryngringsavverkning</t>
        </is>
      </c>
      <c r="D2538" s="1" t="n">
        <v>44904</v>
      </c>
      <c r="E2538" s="1" t="n">
        <v>46307</v>
      </c>
      <c r="F2538" t="inlineStr">
        <is>
          <t>VÄRMLANDS LÄN</t>
        </is>
      </c>
      <c r="G2538" t="inlineStr">
        <is>
          <t>TORSBY</t>
        </is>
      </c>
      <c r="I2538" t="n">
        <v>6.6</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70554-2021</t>
        </is>
      </c>
      <c r="B2539" t="inlineStr">
        <is>
          <t>avverkningsanmälan</t>
        </is>
      </c>
      <c r="C2539" t="inlineStr">
        <is>
          <t>Föryngringsavverkning</t>
        </is>
      </c>
      <c r="D2539" s="1" t="n">
        <v>44537</v>
      </c>
      <c r="E2539" s="1" t="n">
        <v>46307</v>
      </c>
      <c r="F2539" t="inlineStr">
        <is>
          <t>VÄRMLANDS LÄN</t>
        </is>
      </c>
      <c r="G2539" t="inlineStr">
        <is>
          <t>EDA</t>
        </is>
      </c>
      <c r="I2539" t="n">
        <v>1.1</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23423-2024</t>
        </is>
      </c>
      <c r="B2540" t="inlineStr">
        <is>
          <t>avverkningsanmälan</t>
        </is>
      </c>
      <c r="C2540" t="inlineStr">
        <is>
          <t>Föryngringsavverkning</t>
        </is>
      </c>
      <c r="D2540" s="1" t="n">
        <v>45453</v>
      </c>
      <c r="E2540" s="1" t="n">
        <v>46307</v>
      </c>
      <c r="F2540" t="inlineStr">
        <is>
          <t>VÄRMLANDS LÄN</t>
        </is>
      </c>
      <c r="G2540" t="inlineStr">
        <is>
          <t>TORSBY</t>
        </is>
      </c>
      <c r="I2540" t="n">
        <v>3.1</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209-2023</t>
        </is>
      </c>
      <c r="B2541" t="inlineStr">
        <is>
          <t>avverkningsanmälan</t>
        </is>
      </c>
      <c r="C2541" t="inlineStr">
        <is>
          <t>Föryngringsavverkning</t>
        </is>
      </c>
      <c r="D2541" s="1" t="n">
        <v>44928</v>
      </c>
      <c r="E2541" s="1" t="n">
        <v>46307</v>
      </c>
      <c r="F2541" t="inlineStr">
        <is>
          <t>VÄRMLANDS LÄN</t>
        </is>
      </c>
      <c r="G2541" t="inlineStr">
        <is>
          <t>ARVIKA</t>
        </is>
      </c>
      <c r="I2541" t="n">
        <v>1.5</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29401-2023</t>
        </is>
      </c>
      <c r="B2542" t="inlineStr">
        <is>
          <t>avverkningsanmälan</t>
        </is>
      </c>
      <c r="C2542" t="inlineStr">
        <is>
          <t>Föryngringsavverkning</t>
        </is>
      </c>
      <c r="D2542" s="1" t="n">
        <v>45106</v>
      </c>
      <c r="E2542" s="1" t="n">
        <v>46307</v>
      </c>
      <c r="F2542" t="inlineStr">
        <is>
          <t>VÄRMLANDS LÄN</t>
        </is>
      </c>
      <c r="G2542" t="inlineStr">
        <is>
          <t>EDA</t>
        </is>
      </c>
      <c r="I2542" t="n">
        <v>1.6</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62013-2024</t>
        </is>
      </c>
      <c r="B2543" t="inlineStr">
        <is>
          <t>avverkningsanmälan</t>
        </is>
      </c>
      <c r="C2543" t="inlineStr">
        <is>
          <t>Föryngringsavverkning</t>
        </is>
      </c>
      <c r="D2543" s="1" t="n">
        <v>45655</v>
      </c>
      <c r="E2543" s="1" t="n">
        <v>46307</v>
      </c>
      <c r="F2543" t="inlineStr">
        <is>
          <t>VÄRMLANDS LÄN</t>
        </is>
      </c>
      <c r="G2543" t="inlineStr">
        <is>
          <t>FILIPSTAD</t>
        </is>
      </c>
      <c r="I2543" t="n">
        <v>26.5</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18365-2025</t>
        </is>
      </c>
      <c r="B2544" t="inlineStr">
        <is>
          <t>avverkningsanmälan</t>
        </is>
      </c>
      <c r="C2544" t="inlineStr">
        <is>
          <t>Avverkning för annat ändamål</t>
        </is>
      </c>
      <c r="D2544" s="1" t="n">
        <v>45762</v>
      </c>
      <c r="E2544" s="1" t="n">
        <v>46307</v>
      </c>
      <c r="F2544" t="inlineStr">
        <is>
          <t>VÄRMLANDS LÄN</t>
        </is>
      </c>
      <c r="G2544" t="inlineStr">
        <is>
          <t>TORSBY</t>
        </is>
      </c>
      <c r="I2544" t="n">
        <v>3.9</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33869-2024</t>
        </is>
      </c>
      <c r="B2545" t="inlineStr">
        <is>
          <t>avverkningsanmälan</t>
        </is>
      </c>
      <c r="C2545" t="inlineStr">
        <is>
          <t>Föryngringsavverkning</t>
        </is>
      </c>
      <c r="D2545" s="1" t="n">
        <v>45520</v>
      </c>
      <c r="E2545" s="1" t="n">
        <v>46307</v>
      </c>
      <c r="F2545" t="inlineStr">
        <is>
          <t>VÄRMLANDS LÄN</t>
        </is>
      </c>
      <c r="G2545" t="inlineStr">
        <is>
          <t>ARVIKA</t>
        </is>
      </c>
      <c r="I2545" t="n">
        <v>5.2</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34553-2024</t>
        </is>
      </c>
      <c r="B2546" t="inlineStr">
        <is>
          <t>avverkningsanmälan</t>
        </is>
      </c>
      <c r="C2546" t="inlineStr">
        <is>
          <t>Föryngringsavverkning</t>
        </is>
      </c>
      <c r="D2546" s="1" t="n">
        <v>45525</v>
      </c>
      <c r="E2546" s="1" t="n">
        <v>46307</v>
      </c>
      <c r="F2546" t="inlineStr">
        <is>
          <t>VÄRMLANDS LÄN</t>
        </is>
      </c>
      <c r="G2546" t="inlineStr">
        <is>
          <t>SUNNE</t>
        </is>
      </c>
      <c r="I2546" t="n">
        <v>1.8</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55734-2024</t>
        </is>
      </c>
      <c r="B2547" t="inlineStr">
        <is>
          <t>avverkningsanmälan</t>
        </is>
      </c>
      <c r="C2547" t="inlineStr">
        <is>
          <t>Föryngringsavverkning</t>
        </is>
      </c>
      <c r="D2547" s="1" t="n">
        <v>45622</v>
      </c>
      <c r="E2547" s="1" t="n">
        <v>46307</v>
      </c>
      <c r="F2547" t="inlineStr">
        <is>
          <t>VÄRMLANDS LÄN</t>
        </is>
      </c>
      <c r="G2547" t="inlineStr">
        <is>
          <t>ARVIKA</t>
        </is>
      </c>
      <c r="I2547" t="n">
        <v>1.2</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40997-2022</t>
        </is>
      </c>
      <c r="B2548" t="inlineStr">
        <is>
          <t>avverkningsanmälan</t>
        </is>
      </c>
      <c r="C2548" t="inlineStr">
        <is>
          <t>Föryngringsavverkning</t>
        </is>
      </c>
      <c r="D2548" s="1" t="n">
        <v>44825</v>
      </c>
      <c r="E2548" s="1" t="n">
        <v>46307</v>
      </c>
      <c r="F2548" t="inlineStr">
        <is>
          <t>VÄRMLANDS LÄN</t>
        </is>
      </c>
      <c r="G2548" t="inlineStr">
        <is>
          <t>TORSBY</t>
        </is>
      </c>
      <c r="I2548" t="n">
        <v>2.3</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56668-2023</t>
        </is>
      </c>
      <c r="B2549" t="inlineStr">
        <is>
          <t>avverkningsanmälan</t>
        </is>
      </c>
      <c r="C2549" t="inlineStr">
        <is>
          <t>Föryngringsavverkning</t>
        </is>
      </c>
      <c r="D2549" s="1" t="n">
        <v>45243</v>
      </c>
      <c r="E2549" s="1" t="n">
        <v>46307</v>
      </c>
      <c r="F2549" t="inlineStr">
        <is>
          <t>VÄRMLANDS LÄN</t>
        </is>
      </c>
      <c r="G2549" t="inlineStr">
        <is>
          <t>KRISTINEHAMN</t>
        </is>
      </c>
      <c r="I2549" t="n">
        <v>0.9</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53396-2024</t>
        </is>
      </c>
      <c r="B2550" t="inlineStr">
        <is>
          <t>avverkningsanmälan</t>
        </is>
      </c>
      <c r="C2550" t="inlineStr">
        <is>
          <t>Föryngringsavverkning</t>
        </is>
      </c>
      <c r="D2550" s="1" t="n">
        <v>45614</v>
      </c>
      <c r="E2550" s="1" t="n">
        <v>46307</v>
      </c>
      <c r="F2550" t="inlineStr">
        <is>
          <t>VÄRMLANDS LÄN</t>
        </is>
      </c>
      <c r="G2550" t="inlineStr">
        <is>
          <t>TORSBY</t>
        </is>
      </c>
      <c r="H2550" t="inlineStr">
        <is>
          <t>Bergvik skog väst AB</t>
        </is>
      </c>
      <c r="I2550" t="n">
        <v>10.1</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9381-2024</t>
        </is>
      </c>
      <c r="B2551" t="inlineStr">
        <is>
          <t>avverkningsanmälan</t>
        </is>
      </c>
      <c r="C2551" t="inlineStr">
        <is>
          <t>Föryngringsavverkning</t>
        </is>
      </c>
      <c r="D2551" s="1" t="n">
        <v>45359</v>
      </c>
      <c r="E2551" s="1" t="n">
        <v>46307</v>
      </c>
      <c r="F2551" t="inlineStr">
        <is>
          <t>VÄRMLANDS LÄN</t>
        </is>
      </c>
      <c r="G2551" t="inlineStr">
        <is>
          <t>TORSBY</t>
        </is>
      </c>
      <c r="I2551" t="n">
        <v>1.3</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32408-2022</t>
        </is>
      </c>
      <c r="B2552" t="inlineStr">
        <is>
          <t>avverkningsanmälan</t>
        </is>
      </c>
      <c r="C2552" t="inlineStr">
        <is>
          <t>Föryngringsavverkning</t>
        </is>
      </c>
      <c r="D2552" s="1" t="n">
        <v>44782</v>
      </c>
      <c r="E2552" s="1" t="n">
        <v>46307</v>
      </c>
      <c r="F2552" t="inlineStr">
        <is>
          <t>VÄRMLANDS LÄN</t>
        </is>
      </c>
      <c r="G2552" t="inlineStr">
        <is>
          <t>SUNNE</t>
        </is>
      </c>
      <c r="I2552" t="n">
        <v>1.1</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12416-2024</t>
        </is>
      </c>
      <c r="B2553" t="inlineStr">
        <is>
          <t>avverkningsanmälan</t>
        </is>
      </c>
      <c r="C2553" t="inlineStr">
        <is>
          <t>Föryngringsavverkning</t>
        </is>
      </c>
      <c r="D2553" s="1" t="n">
        <v>45379</v>
      </c>
      <c r="E2553" s="1" t="n">
        <v>46307</v>
      </c>
      <c r="F2553" t="inlineStr">
        <is>
          <t>VÄRMLANDS LÄN</t>
        </is>
      </c>
      <c r="G2553" t="inlineStr">
        <is>
          <t>KRISTINEHAMN</t>
        </is>
      </c>
      <c r="I2553" t="n">
        <v>0.7</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12423-2024</t>
        </is>
      </c>
      <c r="B2554" t="inlineStr">
        <is>
          <t>avverkningsanmälan</t>
        </is>
      </c>
      <c r="C2554" t="inlineStr">
        <is>
          <t>Föryngringsavverkning</t>
        </is>
      </c>
      <c r="D2554" s="1" t="n">
        <v>45379</v>
      </c>
      <c r="E2554" s="1" t="n">
        <v>46307</v>
      </c>
      <c r="F2554" t="inlineStr">
        <is>
          <t>VÄRMLANDS LÄN</t>
        </is>
      </c>
      <c r="G2554" t="inlineStr">
        <is>
          <t>KRISTINEHAMN</t>
        </is>
      </c>
      <c r="I2554" t="n">
        <v>12.6</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8948-2023</t>
        </is>
      </c>
      <c r="B2555" t="inlineStr">
        <is>
          <t>avverkningsanmälan</t>
        </is>
      </c>
      <c r="C2555" t="inlineStr">
        <is>
          <t>Föryngringsavverkning</t>
        </is>
      </c>
      <c r="D2555" s="1" t="n">
        <v>44979</v>
      </c>
      <c r="E2555" s="1" t="n">
        <v>46307</v>
      </c>
      <c r="F2555" t="inlineStr">
        <is>
          <t>VÄRMLANDS LÄN</t>
        </is>
      </c>
      <c r="G2555" t="inlineStr">
        <is>
          <t>SUNNE</t>
        </is>
      </c>
      <c r="I2555" t="n">
        <v>3.1</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4172-2022</t>
        </is>
      </c>
      <c r="B2556" t="inlineStr">
        <is>
          <t>avverkningsanmälan</t>
        </is>
      </c>
      <c r="C2556" t="inlineStr">
        <is>
          <t>Föryngringsavverkning</t>
        </is>
      </c>
      <c r="D2556" s="1" t="n">
        <v>44588</v>
      </c>
      <c r="E2556" s="1" t="n">
        <v>46307</v>
      </c>
      <c r="F2556" t="inlineStr">
        <is>
          <t>VÄRMLANDS LÄN</t>
        </is>
      </c>
      <c r="G2556" t="inlineStr">
        <is>
          <t>TORSBY</t>
        </is>
      </c>
      <c r="I2556" t="n">
        <v>1.4</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9904-2024</t>
        </is>
      </c>
      <c r="B2557" t="inlineStr">
        <is>
          <t>avverkningsanmälan</t>
        </is>
      </c>
      <c r="C2557" t="inlineStr">
        <is>
          <t>Föryngringsavverkning</t>
        </is>
      </c>
      <c r="D2557" s="1" t="n">
        <v>45363</v>
      </c>
      <c r="E2557" s="1" t="n">
        <v>46307</v>
      </c>
      <c r="F2557" t="inlineStr">
        <is>
          <t>VÄRMLANDS LÄN</t>
        </is>
      </c>
      <c r="G2557" t="inlineStr">
        <is>
          <t>TORSBY</t>
        </is>
      </c>
      <c r="I2557" t="n">
        <v>3.2</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1409-2025</t>
        </is>
      </c>
      <c r="B2558" t="inlineStr">
        <is>
          <t>avverkningsanmälan</t>
        </is>
      </c>
      <c r="C2558" t="inlineStr">
        <is>
          <t>Föryngringsavverkning</t>
        </is>
      </c>
      <c r="D2558" s="1" t="n">
        <v>45667</v>
      </c>
      <c r="E2558" s="1" t="n">
        <v>46307</v>
      </c>
      <c r="F2558" t="inlineStr">
        <is>
          <t>VÄRMLANDS LÄN</t>
        </is>
      </c>
      <c r="G2558" t="inlineStr">
        <is>
          <t>FORSHAGA</t>
        </is>
      </c>
      <c r="I2558" t="n">
        <v>2.2</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14780-2024</t>
        </is>
      </c>
      <c r="B2559" t="inlineStr">
        <is>
          <t>avverkningsanmälan</t>
        </is>
      </c>
      <c r="C2559" t="inlineStr">
        <is>
          <t>Föryngringsavverkning</t>
        </is>
      </c>
      <c r="D2559" s="1" t="n">
        <v>45397</v>
      </c>
      <c r="E2559" s="1" t="n">
        <v>46307</v>
      </c>
      <c r="F2559" t="inlineStr">
        <is>
          <t>VÄRMLANDS LÄN</t>
        </is>
      </c>
      <c r="G2559" t="inlineStr">
        <is>
          <t>ARVIKA</t>
        </is>
      </c>
      <c r="I2559" t="n">
        <v>1.8</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14795-2024</t>
        </is>
      </c>
      <c r="B2560" t="inlineStr">
        <is>
          <t>avverkningsanmälan</t>
        </is>
      </c>
      <c r="C2560" t="inlineStr">
        <is>
          <t>Föryngringsavverkning</t>
        </is>
      </c>
      <c r="D2560" s="1" t="n">
        <v>45397</v>
      </c>
      <c r="E2560" s="1" t="n">
        <v>46307</v>
      </c>
      <c r="F2560" t="inlineStr">
        <is>
          <t>VÄRMLANDS LÄN</t>
        </is>
      </c>
      <c r="G2560" t="inlineStr">
        <is>
          <t>EDA</t>
        </is>
      </c>
      <c r="I2560" t="n">
        <v>0.8</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21825-2024</t>
        </is>
      </c>
      <c r="B2561" t="inlineStr">
        <is>
          <t>avverkningsanmälan</t>
        </is>
      </c>
      <c r="C2561" t="inlineStr">
        <is>
          <t>Föryngringsavverkning</t>
        </is>
      </c>
      <c r="D2561" s="1" t="n">
        <v>45442</v>
      </c>
      <c r="E2561" s="1" t="n">
        <v>46307</v>
      </c>
      <c r="F2561" t="inlineStr">
        <is>
          <t>VÄRMLANDS LÄN</t>
        </is>
      </c>
      <c r="G2561" t="inlineStr">
        <is>
          <t>TORSBY</t>
        </is>
      </c>
      <c r="I2561" t="n">
        <v>2.1</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38448-2025</t>
        </is>
      </c>
      <c r="B2562" t="inlineStr">
        <is>
          <t>avverkningsanmälan</t>
        </is>
      </c>
      <c r="C2562" t="inlineStr">
        <is>
          <t>Föryngringsavverkning</t>
        </is>
      </c>
      <c r="D2562" s="1" t="n">
        <v>45883</v>
      </c>
      <c r="E2562" s="1" t="n">
        <v>46307</v>
      </c>
      <c r="F2562" t="inlineStr">
        <is>
          <t>VÄRMLANDS LÄN</t>
        </is>
      </c>
      <c r="G2562" t="inlineStr">
        <is>
          <t>SÄFFLE</t>
        </is>
      </c>
      <c r="H2562" t="inlineStr">
        <is>
          <t>Kyrkan</t>
        </is>
      </c>
      <c r="I2562" t="n">
        <v>2</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38674-2025</t>
        </is>
      </c>
      <c r="B2563" t="inlineStr">
        <is>
          <t>avverkningsanmälan</t>
        </is>
      </c>
      <c r="C2563" t="inlineStr">
        <is>
          <t>Föryngringsavverkning</t>
        </is>
      </c>
      <c r="D2563" s="1" t="n">
        <v>45884</v>
      </c>
      <c r="E2563" s="1" t="n">
        <v>46307</v>
      </c>
      <c r="F2563" t="inlineStr">
        <is>
          <t>VÄRMLANDS LÄN</t>
        </is>
      </c>
      <c r="G2563" t="inlineStr">
        <is>
          <t>ARVIKA</t>
        </is>
      </c>
      <c r="I2563" t="n">
        <v>0.6</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64193-2021</t>
        </is>
      </c>
      <c r="B2564" t="inlineStr">
        <is>
          <t>avverkningsanmälan</t>
        </is>
      </c>
      <c r="C2564" t="inlineStr">
        <is>
          <t>Föryngringsavverkning</t>
        </is>
      </c>
      <c r="D2564" s="1" t="n">
        <v>44510</v>
      </c>
      <c r="E2564" s="1" t="n">
        <v>46307</v>
      </c>
      <c r="F2564" t="inlineStr">
        <is>
          <t>VÄRMLANDS LÄN</t>
        </is>
      </c>
      <c r="G2564" t="inlineStr">
        <is>
          <t>KIL</t>
        </is>
      </c>
      <c r="I2564" t="n">
        <v>1.9</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9152-2023</t>
        </is>
      </c>
      <c r="B2565" t="inlineStr">
        <is>
          <t>avverkningsanmälan</t>
        </is>
      </c>
      <c r="C2565" t="inlineStr">
        <is>
          <t>Föryngringsavverkning</t>
        </is>
      </c>
      <c r="D2565" s="1" t="n">
        <v>44976</v>
      </c>
      <c r="E2565" s="1" t="n">
        <v>46307</v>
      </c>
      <c r="F2565" t="inlineStr">
        <is>
          <t>VÄRMLANDS LÄN</t>
        </is>
      </c>
      <c r="G2565" t="inlineStr">
        <is>
          <t>SÄFFLE</t>
        </is>
      </c>
      <c r="I2565" t="n">
        <v>4.5</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63985-2023</t>
        </is>
      </c>
      <c r="B2566" t="inlineStr">
        <is>
          <t>avverkningsanmälan</t>
        </is>
      </c>
      <c r="C2566" t="inlineStr">
        <is>
          <t>Föryngringsavverkning</t>
        </is>
      </c>
      <c r="D2566" s="1" t="n">
        <v>45278</v>
      </c>
      <c r="E2566" s="1" t="n">
        <v>46307</v>
      </c>
      <c r="F2566" t="inlineStr">
        <is>
          <t>VÄRMLANDS LÄN</t>
        </is>
      </c>
      <c r="G2566" t="inlineStr">
        <is>
          <t>SÄFFLE</t>
        </is>
      </c>
      <c r="I2566" t="n">
        <v>2.2</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14917-2023</t>
        </is>
      </c>
      <c r="B2567" t="inlineStr">
        <is>
          <t>avverkningsanmälan</t>
        </is>
      </c>
      <c r="C2567" t="inlineStr">
        <is>
          <t>Föryngringsavverkning</t>
        </is>
      </c>
      <c r="D2567" s="1" t="n">
        <v>45015</v>
      </c>
      <c r="E2567" s="1" t="n">
        <v>46307</v>
      </c>
      <c r="F2567" t="inlineStr">
        <is>
          <t>VÄRMLANDS LÄN</t>
        </is>
      </c>
      <c r="G2567" t="inlineStr">
        <is>
          <t>TORSBY</t>
        </is>
      </c>
      <c r="I2567" t="n">
        <v>2.4</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14923-2023</t>
        </is>
      </c>
      <c r="B2568" t="inlineStr">
        <is>
          <t>avverkningsanmälan</t>
        </is>
      </c>
      <c r="C2568" t="inlineStr">
        <is>
          <t>Föryngringsavverkning</t>
        </is>
      </c>
      <c r="D2568" s="1" t="n">
        <v>45015</v>
      </c>
      <c r="E2568" s="1" t="n">
        <v>46307</v>
      </c>
      <c r="F2568" t="inlineStr">
        <is>
          <t>VÄRMLANDS LÄN</t>
        </is>
      </c>
      <c r="G2568" t="inlineStr">
        <is>
          <t>EDA</t>
        </is>
      </c>
      <c r="I2568" t="n">
        <v>4.3</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14951-2023</t>
        </is>
      </c>
      <c r="B2569" t="inlineStr">
        <is>
          <t>avverkningsanmälan</t>
        </is>
      </c>
      <c r="C2569" t="inlineStr">
        <is>
          <t>Föryngringsavverkning</t>
        </is>
      </c>
      <c r="D2569" s="1" t="n">
        <v>45015</v>
      </c>
      <c r="E2569" s="1" t="n">
        <v>46307</v>
      </c>
      <c r="F2569" t="inlineStr">
        <is>
          <t>VÄRMLANDS LÄN</t>
        </is>
      </c>
      <c r="G2569" t="inlineStr">
        <is>
          <t>EDA</t>
        </is>
      </c>
      <c r="I2569" t="n">
        <v>0.9</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35611-2023</t>
        </is>
      </c>
      <c r="B2570" t="inlineStr">
        <is>
          <t>avverkningsanmälan</t>
        </is>
      </c>
      <c r="C2570" t="inlineStr">
        <is>
          <t>Föryngringsavverkning</t>
        </is>
      </c>
      <c r="D2570" s="1" t="n">
        <v>45147</v>
      </c>
      <c r="E2570" s="1" t="n">
        <v>46307</v>
      </c>
      <c r="F2570" t="inlineStr">
        <is>
          <t>VÄRMLANDS LÄN</t>
        </is>
      </c>
      <c r="G2570" t="inlineStr">
        <is>
          <t>SUNNE</t>
        </is>
      </c>
      <c r="I2570" t="n">
        <v>3.7</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35613-2023</t>
        </is>
      </c>
      <c r="B2571" t="inlineStr">
        <is>
          <t>avverkningsanmälan</t>
        </is>
      </c>
      <c r="C2571" t="inlineStr">
        <is>
          <t>Föryngringsavverkning</t>
        </is>
      </c>
      <c r="D2571" s="1" t="n">
        <v>45146</v>
      </c>
      <c r="E2571" s="1" t="n">
        <v>46307</v>
      </c>
      <c r="F2571" t="inlineStr">
        <is>
          <t>VÄRMLANDS LÄN</t>
        </is>
      </c>
      <c r="G2571" t="inlineStr">
        <is>
          <t>ARVIKA</t>
        </is>
      </c>
      <c r="I2571" t="n">
        <v>0.9</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35628-2023</t>
        </is>
      </c>
      <c r="B2572" t="inlineStr">
        <is>
          <t>avverkningsanmälan</t>
        </is>
      </c>
      <c r="C2572" t="inlineStr">
        <is>
          <t>Föryngringsavverkning</t>
        </is>
      </c>
      <c r="D2572" s="1" t="n">
        <v>45146</v>
      </c>
      <c r="E2572" s="1" t="n">
        <v>46307</v>
      </c>
      <c r="F2572" t="inlineStr">
        <is>
          <t>VÄRMLANDS LÄN</t>
        </is>
      </c>
      <c r="G2572" t="inlineStr">
        <is>
          <t>ARVIKA</t>
        </is>
      </c>
      <c r="I2572" t="n">
        <v>1.8</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20175-2023</t>
        </is>
      </c>
      <c r="B2573" t="inlineStr">
        <is>
          <t>avverkningsanmälan</t>
        </is>
      </c>
      <c r="C2573" t="inlineStr">
        <is>
          <t>Föryngringsavverkning</t>
        </is>
      </c>
      <c r="D2573" s="1" t="n">
        <v>45055</v>
      </c>
      <c r="E2573" s="1" t="n">
        <v>46307</v>
      </c>
      <c r="F2573" t="inlineStr">
        <is>
          <t>VÄRMLANDS LÄN</t>
        </is>
      </c>
      <c r="G2573" t="inlineStr">
        <is>
          <t>SÄFFLE</t>
        </is>
      </c>
      <c r="H2573" t="inlineStr">
        <is>
          <t>Kommuner</t>
        </is>
      </c>
      <c r="I2573" t="n">
        <v>2.3</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13282-2024</t>
        </is>
      </c>
      <c r="B2574" t="inlineStr">
        <is>
          <t>avverkningsanmälan</t>
        </is>
      </c>
      <c r="C2574" t="inlineStr">
        <is>
          <t>Föryngringsavverkning</t>
        </is>
      </c>
      <c r="D2574" s="1" t="n">
        <v>45386</v>
      </c>
      <c r="E2574" s="1" t="n">
        <v>46307</v>
      </c>
      <c r="F2574" t="inlineStr">
        <is>
          <t>VÄRMLANDS LÄN</t>
        </is>
      </c>
      <c r="G2574" t="inlineStr">
        <is>
          <t>HAGFORS</t>
        </is>
      </c>
      <c r="H2574" t="inlineStr">
        <is>
          <t>Kommuner</t>
        </is>
      </c>
      <c r="I2574" t="n">
        <v>1.2</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21523-2023</t>
        </is>
      </c>
      <c r="B2575" t="inlineStr">
        <is>
          <t>avverkningsanmälan</t>
        </is>
      </c>
      <c r="C2575" t="inlineStr">
        <is>
          <t>Föryngringsavverkning</t>
        </is>
      </c>
      <c r="D2575" s="1" t="n">
        <v>45063</v>
      </c>
      <c r="E2575" s="1" t="n">
        <v>46307</v>
      </c>
      <c r="F2575" t="inlineStr">
        <is>
          <t>VÄRMLANDS LÄN</t>
        </is>
      </c>
      <c r="G2575" t="inlineStr">
        <is>
          <t>ARVIKA</t>
        </is>
      </c>
      <c r="I2575" t="n">
        <v>1.1</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969-2023</t>
        </is>
      </c>
      <c r="B2576" t="inlineStr">
        <is>
          <t>avverkningsanmälan</t>
        </is>
      </c>
      <c r="C2576" t="inlineStr">
        <is>
          <t>Föryngringsavverkning</t>
        </is>
      </c>
      <c r="D2576" s="1" t="n">
        <v>44935</v>
      </c>
      <c r="E2576" s="1" t="n">
        <v>46307</v>
      </c>
      <c r="F2576" t="inlineStr">
        <is>
          <t>VÄRMLANDS LÄN</t>
        </is>
      </c>
      <c r="G2576" t="inlineStr">
        <is>
          <t>ARVIKA</t>
        </is>
      </c>
      <c r="I2576" t="n">
        <v>6.9</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10030-2023</t>
        </is>
      </c>
      <c r="B2577" t="inlineStr">
        <is>
          <t>avverkningsanmälan</t>
        </is>
      </c>
      <c r="C2577" t="inlineStr">
        <is>
          <t>Föryngringsavverkning</t>
        </is>
      </c>
      <c r="D2577" s="1" t="n">
        <v>44985</v>
      </c>
      <c r="E2577" s="1" t="n">
        <v>46307</v>
      </c>
      <c r="F2577" t="inlineStr">
        <is>
          <t>VÄRMLANDS LÄN</t>
        </is>
      </c>
      <c r="G2577" t="inlineStr">
        <is>
          <t>KRISTINEHAMN</t>
        </is>
      </c>
      <c r="I2577" t="n">
        <v>3.6</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44346-2024</t>
        </is>
      </c>
      <c r="B2578" t="inlineStr">
        <is>
          <t>avverkningsanmälan</t>
        </is>
      </c>
      <c r="C2578" t="inlineStr">
        <is>
          <t>Föryngringsavverkning</t>
        </is>
      </c>
      <c r="D2578" s="1" t="n">
        <v>45573</v>
      </c>
      <c r="E2578" s="1" t="n">
        <v>46307</v>
      </c>
      <c r="F2578" t="inlineStr">
        <is>
          <t>VÄRMLANDS LÄN</t>
        </is>
      </c>
      <c r="G2578" t="inlineStr">
        <is>
          <t>SÄFFLE</t>
        </is>
      </c>
      <c r="I2578" t="n">
        <v>2.1</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8737-2024</t>
        </is>
      </c>
      <c r="B2579" t="inlineStr">
        <is>
          <t>avverkningsanmälan</t>
        </is>
      </c>
      <c r="C2579" t="inlineStr">
        <is>
          <t>Föryngringsavverkning</t>
        </is>
      </c>
      <c r="D2579" s="1" t="n">
        <v>45356</v>
      </c>
      <c r="E2579" s="1" t="n">
        <v>46307</v>
      </c>
      <c r="F2579" t="inlineStr">
        <is>
          <t>VÄRMLANDS LÄN</t>
        </is>
      </c>
      <c r="G2579" t="inlineStr">
        <is>
          <t>SÄFFLE</t>
        </is>
      </c>
      <c r="I2579" t="n">
        <v>7.1</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14219-2024</t>
        </is>
      </c>
      <c r="B2580" t="inlineStr">
        <is>
          <t>avverkningsanmälan</t>
        </is>
      </c>
      <c r="C2580" t="inlineStr">
        <is>
          <t>Föryngringsavverkning</t>
        </is>
      </c>
      <c r="D2580" s="1" t="n">
        <v>45393</v>
      </c>
      <c r="E2580" s="1" t="n">
        <v>46307</v>
      </c>
      <c r="F2580" t="inlineStr">
        <is>
          <t>VÄRMLANDS LÄN</t>
        </is>
      </c>
      <c r="G2580" t="inlineStr">
        <is>
          <t>ARVIKA</t>
        </is>
      </c>
      <c r="I2580" t="n">
        <v>0.5</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14235-2024</t>
        </is>
      </c>
      <c r="B2581" t="inlineStr">
        <is>
          <t>avverkningsanmälan</t>
        </is>
      </c>
      <c r="C2581" t="inlineStr">
        <is>
          <t>Föryngringsavverkning</t>
        </is>
      </c>
      <c r="D2581" s="1" t="n">
        <v>45393</v>
      </c>
      <c r="E2581" s="1" t="n">
        <v>46307</v>
      </c>
      <c r="F2581" t="inlineStr">
        <is>
          <t>VÄRMLANDS LÄN</t>
        </is>
      </c>
      <c r="G2581" t="inlineStr">
        <is>
          <t>KARLSTAD</t>
        </is>
      </c>
      <c r="I2581" t="n">
        <v>1.6</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9793-2024</t>
        </is>
      </c>
      <c r="B2582" t="inlineStr">
        <is>
          <t>avverkningsanmälan</t>
        </is>
      </c>
      <c r="C2582" t="inlineStr">
        <is>
          <t>Föryngringsavverkning</t>
        </is>
      </c>
      <c r="D2582" s="1" t="n">
        <v>45362</v>
      </c>
      <c r="E2582" s="1" t="n">
        <v>46307</v>
      </c>
      <c r="F2582" t="inlineStr">
        <is>
          <t>VÄRMLANDS LÄN</t>
        </is>
      </c>
      <c r="G2582" t="inlineStr">
        <is>
          <t>TORSBY</t>
        </is>
      </c>
      <c r="I2582" t="n">
        <v>6</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25258-2023</t>
        </is>
      </c>
      <c r="B2583" t="inlineStr">
        <is>
          <t>avverkningsanmälan</t>
        </is>
      </c>
      <c r="C2583" t="inlineStr">
        <is>
          <t>Avverkning för annat ändamål</t>
        </is>
      </c>
      <c r="D2583" s="1" t="n">
        <v>45079</v>
      </c>
      <c r="E2583" s="1" t="n">
        <v>46307</v>
      </c>
      <c r="F2583" t="inlineStr">
        <is>
          <t>VÄRMLANDS LÄN</t>
        </is>
      </c>
      <c r="G2583" t="inlineStr">
        <is>
          <t>HAGFORS</t>
        </is>
      </c>
      <c r="I2583" t="n">
        <v>2.3</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11126-2024</t>
        </is>
      </c>
      <c r="B2584" t="inlineStr">
        <is>
          <t>avverkningsanmälan</t>
        </is>
      </c>
      <c r="C2584" t="inlineStr">
        <is>
          <t>Föryngringsavverkning</t>
        </is>
      </c>
      <c r="D2584" s="1" t="n">
        <v>45371</v>
      </c>
      <c r="E2584" s="1" t="n">
        <v>46307</v>
      </c>
      <c r="F2584" t="inlineStr">
        <is>
          <t>VÄRMLANDS LÄN</t>
        </is>
      </c>
      <c r="G2584" t="inlineStr">
        <is>
          <t>HAGFORS</t>
        </is>
      </c>
      <c r="I2584" t="n">
        <v>5</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13155-2024</t>
        </is>
      </c>
      <c r="B2585" t="inlineStr">
        <is>
          <t>avverkningsanmälan</t>
        </is>
      </c>
      <c r="C2585" t="inlineStr">
        <is>
          <t>Föryngringsavverkning</t>
        </is>
      </c>
      <c r="D2585" s="1" t="n">
        <v>45386</v>
      </c>
      <c r="E2585" s="1" t="n">
        <v>46307</v>
      </c>
      <c r="F2585" t="inlineStr">
        <is>
          <t>VÄRMLANDS LÄN</t>
        </is>
      </c>
      <c r="G2585" t="inlineStr">
        <is>
          <t>ÅRJÄNG</t>
        </is>
      </c>
      <c r="I2585" t="n">
        <v>2.2</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64583-2023</t>
        </is>
      </c>
      <c r="B2586" t="inlineStr">
        <is>
          <t>avverkningsanmälan</t>
        </is>
      </c>
      <c r="C2586" t="inlineStr">
        <is>
          <t>Föryngringsavverkning</t>
        </is>
      </c>
      <c r="D2586" s="1" t="n">
        <v>45281</v>
      </c>
      <c r="E2586" s="1" t="n">
        <v>46307</v>
      </c>
      <c r="F2586" t="inlineStr">
        <is>
          <t>VÄRMLANDS LÄN</t>
        </is>
      </c>
      <c r="G2586" t="inlineStr">
        <is>
          <t>ARVIKA</t>
        </is>
      </c>
      <c r="I2586" t="n">
        <v>0.9</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59128-2023</t>
        </is>
      </c>
      <c r="B2587" t="inlineStr">
        <is>
          <t>avverkningsanmälan</t>
        </is>
      </c>
      <c r="C2587" t="inlineStr">
        <is>
          <t>Föryngringsavverkning</t>
        </is>
      </c>
      <c r="D2587" s="1" t="n">
        <v>45251</v>
      </c>
      <c r="E2587" s="1" t="n">
        <v>46307</v>
      </c>
      <c r="F2587" t="inlineStr">
        <is>
          <t>VÄRMLANDS LÄN</t>
        </is>
      </c>
      <c r="G2587" t="inlineStr">
        <is>
          <t>MUNKFORS</t>
        </is>
      </c>
      <c r="I2587" t="n">
        <v>1.3</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65950-2021</t>
        </is>
      </c>
      <c r="B2588" t="inlineStr">
        <is>
          <t>avverkningsanmälan</t>
        </is>
      </c>
      <c r="C2588" t="inlineStr">
        <is>
          <t>Avverkning för annat ändamål</t>
        </is>
      </c>
      <c r="D2588" s="1" t="n">
        <v>44517</v>
      </c>
      <c r="E2588" s="1" t="n">
        <v>46307</v>
      </c>
      <c r="F2588" t="inlineStr">
        <is>
          <t>VÄRMLANDS LÄN</t>
        </is>
      </c>
      <c r="G2588" t="inlineStr">
        <is>
          <t>ARVIKA</t>
        </is>
      </c>
      <c r="I2588" t="n">
        <v>0.8</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71724-2021</t>
        </is>
      </c>
      <c r="B2589" t="inlineStr">
        <is>
          <t>avverkningsanmälan</t>
        </is>
      </c>
      <c r="C2589" t="inlineStr">
        <is>
          <t>Föryngringsavverkning</t>
        </is>
      </c>
      <c r="D2589" s="1" t="n">
        <v>44543</v>
      </c>
      <c r="E2589" s="1" t="n">
        <v>46307</v>
      </c>
      <c r="F2589" t="inlineStr">
        <is>
          <t>VÄRMLANDS LÄN</t>
        </is>
      </c>
      <c r="G2589" t="inlineStr">
        <is>
          <t>EDA</t>
        </is>
      </c>
      <c r="I2589" t="n">
        <v>1.7</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59137-2023</t>
        </is>
      </c>
      <c r="B2590" t="inlineStr">
        <is>
          <t>avverkningsanmälan</t>
        </is>
      </c>
      <c r="C2590" t="inlineStr">
        <is>
          <t>Föryngringsavverkning</t>
        </is>
      </c>
      <c r="D2590" s="1" t="n">
        <v>45251</v>
      </c>
      <c r="E2590" s="1" t="n">
        <v>46307</v>
      </c>
      <c r="F2590" t="inlineStr">
        <is>
          <t>VÄRMLANDS LÄN</t>
        </is>
      </c>
      <c r="G2590" t="inlineStr">
        <is>
          <t>MUNKFORS</t>
        </is>
      </c>
      <c r="I2590" t="n">
        <v>1.3</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904-2025</t>
        </is>
      </c>
      <c r="B2591" t="inlineStr">
        <is>
          <t>avverkningsanmälan</t>
        </is>
      </c>
      <c r="C2591" t="inlineStr">
        <is>
          <t>Föryngringsavverkning</t>
        </is>
      </c>
      <c r="D2591" s="1" t="n">
        <v>45665</v>
      </c>
      <c r="E2591" s="1" t="n">
        <v>46307</v>
      </c>
      <c r="F2591" t="inlineStr">
        <is>
          <t>VÄRMLANDS LÄN</t>
        </is>
      </c>
      <c r="G2591" t="inlineStr">
        <is>
          <t>KARLSTAD</t>
        </is>
      </c>
      <c r="I2591" t="n">
        <v>4.3</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1838-2023</t>
        </is>
      </c>
      <c r="B2592" t="inlineStr">
        <is>
          <t>avverkningsanmälan</t>
        </is>
      </c>
      <c r="C2592" t="inlineStr">
        <is>
          <t>Föryngringsavverkning</t>
        </is>
      </c>
      <c r="D2592" s="1" t="n">
        <v>44938</v>
      </c>
      <c r="E2592" s="1" t="n">
        <v>46307</v>
      </c>
      <c r="F2592" t="inlineStr">
        <is>
          <t>VÄRMLANDS LÄN</t>
        </is>
      </c>
      <c r="G2592" t="inlineStr">
        <is>
          <t>SÄFFLE</t>
        </is>
      </c>
      <c r="I2592" t="n">
        <v>5.7</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36884-2022</t>
        </is>
      </c>
      <c r="B2593" t="inlineStr">
        <is>
          <t>avverkningsanmälan</t>
        </is>
      </c>
      <c r="C2593" t="inlineStr">
        <is>
          <t>Föryngringsavverkning</t>
        </is>
      </c>
      <c r="D2593" s="1" t="n">
        <v>44805</v>
      </c>
      <c r="E2593" s="1" t="n">
        <v>46307</v>
      </c>
      <c r="F2593" t="inlineStr">
        <is>
          <t>VÄRMLANDS LÄN</t>
        </is>
      </c>
      <c r="G2593" t="inlineStr">
        <is>
          <t>KARLSTAD</t>
        </is>
      </c>
      <c r="I2593" t="n">
        <v>2.6</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43522-2023</t>
        </is>
      </c>
      <c r="B2594" t="inlineStr">
        <is>
          <t>avverkningsanmälan</t>
        </is>
      </c>
      <c r="C2594" t="inlineStr">
        <is>
          <t>Föryngringsavverkning</t>
        </is>
      </c>
      <c r="D2594" s="1" t="n">
        <v>45184</v>
      </c>
      <c r="E2594" s="1" t="n">
        <v>46307</v>
      </c>
      <c r="F2594" t="inlineStr">
        <is>
          <t>VÄRMLANDS LÄN</t>
        </is>
      </c>
      <c r="G2594" t="inlineStr">
        <is>
          <t>EDA</t>
        </is>
      </c>
      <c r="I2594" t="n">
        <v>6.6</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43524-2023</t>
        </is>
      </c>
      <c r="B2595" t="inlineStr">
        <is>
          <t>avverkningsanmälan</t>
        </is>
      </c>
      <c r="C2595" t="inlineStr">
        <is>
          <t>Föryngringsavverkning</t>
        </is>
      </c>
      <c r="D2595" s="1" t="n">
        <v>45184</v>
      </c>
      <c r="E2595" s="1" t="n">
        <v>46307</v>
      </c>
      <c r="F2595" t="inlineStr">
        <is>
          <t>VÄRMLANDS LÄN</t>
        </is>
      </c>
      <c r="G2595" t="inlineStr">
        <is>
          <t>EDA</t>
        </is>
      </c>
      <c r="I2595" t="n">
        <v>2.4</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7098-2024</t>
        </is>
      </c>
      <c r="B2596" t="inlineStr">
        <is>
          <t>avverkningsanmälan</t>
        </is>
      </c>
      <c r="C2596" t="inlineStr">
        <is>
          <t>Föryngringsavverkning</t>
        </is>
      </c>
      <c r="D2596" s="1" t="n">
        <v>45343</v>
      </c>
      <c r="E2596" s="1" t="n">
        <v>46307</v>
      </c>
      <c r="F2596" t="inlineStr">
        <is>
          <t>VÄRMLANDS LÄN</t>
        </is>
      </c>
      <c r="G2596" t="inlineStr">
        <is>
          <t>ÅRJÄNG</t>
        </is>
      </c>
      <c r="I2596" t="n">
        <v>5</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7100-2024</t>
        </is>
      </c>
      <c r="B2597" t="inlineStr">
        <is>
          <t>avverkningsanmälan</t>
        </is>
      </c>
      <c r="C2597" t="inlineStr">
        <is>
          <t>Föryngringsavverkning</t>
        </is>
      </c>
      <c r="D2597" s="1" t="n">
        <v>45343</v>
      </c>
      <c r="E2597" s="1" t="n">
        <v>46307</v>
      </c>
      <c r="F2597" t="inlineStr">
        <is>
          <t>VÄRMLANDS LÄN</t>
        </is>
      </c>
      <c r="G2597" t="inlineStr">
        <is>
          <t>ÅRJÄNG</t>
        </is>
      </c>
      <c r="I2597" t="n">
        <v>6.5</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12408-2024</t>
        </is>
      </c>
      <c r="B2598" t="inlineStr">
        <is>
          <t>avverkningsanmälan</t>
        </is>
      </c>
      <c r="C2598" t="inlineStr">
        <is>
          <t>Föryngringsavverkning</t>
        </is>
      </c>
      <c r="D2598" s="1" t="n">
        <v>45379</v>
      </c>
      <c r="E2598" s="1" t="n">
        <v>46307</v>
      </c>
      <c r="F2598" t="inlineStr">
        <is>
          <t>VÄRMLANDS LÄN</t>
        </is>
      </c>
      <c r="G2598" t="inlineStr">
        <is>
          <t>SUNNE</t>
        </is>
      </c>
      <c r="I2598" t="n">
        <v>3.7</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33564-2023</t>
        </is>
      </c>
      <c r="B2599" t="inlineStr">
        <is>
          <t>avverkningsanmälan</t>
        </is>
      </c>
      <c r="C2599" t="inlineStr">
        <is>
          <t>Föryngringsavverkning</t>
        </is>
      </c>
      <c r="D2599" s="1" t="n">
        <v>45118</v>
      </c>
      <c r="E2599" s="1" t="n">
        <v>46307</v>
      </c>
      <c r="F2599" t="inlineStr">
        <is>
          <t>VÄRMLANDS LÄN</t>
        </is>
      </c>
      <c r="G2599" t="inlineStr">
        <is>
          <t>KARLSTAD</t>
        </is>
      </c>
      <c r="I2599" t="n">
        <v>0.6</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48040-2023</t>
        </is>
      </c>
      <c r="B2600" t="inlineStr">
        <is>
          <t>avverkningsanmälan</t>
        </is>
      </c>
      <c r="C2600" t="inlineStr">
        <is>
          <t>Föryngringsavverkning</t>
        </is>
      </c>
      <c r="D2600" s="1" t="n">
        <v>45204</v>
      </c>
      <c r="E2600" s="1" t="n">
        <v>46307</v>
      </c>
      <c r="F2600" t="inlineStr">
        <is>
          <t>VÄRMLANDS LÄN</t>
        </is>
      </c>
      <c r="G2600" t="inlineStr">
        <is>
          <t>FILIPSTAD</t>
        </is>
      </c>
      <c r="I2600" t="n">
        <v>4.2</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57536-2024</t>
        </is>
      </c>
      <c r="B2601" t="inlineStr">
        <is>
          <t>avverkningsanmälan</t>
        </is>
      </c>
      <c r="C2601" t="inlineStr">
        <is>
          <t>Föryngringsavverkning</t>
        </is>
      </c>
      <c r="D2601" s="1" t="n">
        <v>45630</v>
      </c>
      <c r="E2601" s="1" t="n">
        <v>46307</v>
      </c>
      <c r="F2601" t="inlineStr">
        <is>
          <t>VÄRMLANDS LÄN</t>
        </is>
      </c>
      <c r="G2601" t="inlineStr">
        <is>
          <t>TORSBY</t>
        </is>
      </c>
      <c r="I2601" t="n">
        <v>2.6</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9445-2024</t>
        </is>
      </c>
      <c r="B2602" t="inlineStr">
        <is>
          <t>avverkningsanmälan</t>
        </is>
      </c>
      <c r="C2602" t="inlineStr">
        <is>
          <t>Föryngringsavverkning</t>
        </is>
      </c>
      <c r="D2602" s="1" t="n">
        <v>45359</v>
      </c>
      <c r="E2602" s="1" t="n">
        <v>46307</v>
      </c>
      <c r="F2602" t="inlineStr">
        <is>
          <t>VÄRMLANDS LÄN</t>
        </is>
      </c>
      <c r="G2602" t="inlineStr">
        <is>
          <t>SUNNE</t>
        </is>
      </c>
      <c r="I2602" t="n">
        <v>0.9</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14730-2024</t>
        </is>
      </c>
      <c r="B2603" t="inlineStr">
        <is>
          <t>avverkningsanmälan</t>
        </is>
      </c>
      <c r="C2603" t="inlineStr">
        <is>
          <t>Föryngringsavverkning</t>
        </is>
      </c>
      <c r="D2603" s="1" t="n">
        <v>45397</v>
      </c>
      <c r="E2603" s="1" t="n">
        <v>46307</v>
      </c>
      <c r="F2603" t="inlineStr">
        <is>
          <t>VÄRMLANDS LÄN</t>
        </is>
      </c>
      <c r="G2603" t="inlineStr">
        <is>
          <t>TORSBY</t>
        </is>
      </c>
      <c r="I2603" t="n">
        <v>1.4</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70591-2021</t>
        </is>
      </c>
      <c r="B2604" t="inlineStr">
        <is>
          <t>avverkningsanmälan</t>
        </is>
      </c>
      <c r="C2604" t="inlineStr">
        <is>
          <t>Föryngringsavverkning</t>
        </is>
      </c>
      <c r="D2604" s="1" t="n">
        <v>44537</v>
      </c>
      <c r="E2604" s="1" t="n">
        <v>46307</v>
      </c>
      <c r="F2604" t="inlineStr">
        <is>
          <t>VÄRMLANDS LÄN</t>
        </is>
      </c>
      <c r="G2604" t="inlineStr">
        <is>
          <t>ÅRJÄNG</t>
        </is>
      </c>
      <c r="I2604" t="n">
        <v>1.4</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40858-2023</t>
        </is>
      </c>
      <c r="B2605" t="inlineStr">
        <is>
          <t>avverkningsanmälan</t>
        </is>
      </c>
      <c r="C2605" t="inlineStr">
        <is>
          <t>Föryngringsavverkning</t>
        </is>
      </c>
      <c r="D2605" s="1" t="n">
        <v>45173</v>
      </c>
      <c r="E2605" s="1" t="n">
        <v>46307</v>
      </c>
      <c r="F2605" t="inlineStr">
        <is>
          <t>VÄRMLANDS LÄN</t>
        </is>
      </c>
      <c r="G2605" t="inlineStr">
        <is>
          <t>TORSBY</t>
        </is>
      </c>
      <c r="I2605" t="n">
        <v>1.3</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34917-2023</t>
        </is>
      </c>
      <c r="B2606" t="inlineStr">
        <is>
          <t>avverkningsanmälan</t>
        </is>
      </c>
      <c r="C2606" t="inlineStr">
        <is>
          <t>Föryngringsavverkning</t>
        </is>
      </c>
      <c r="D2606" s="1" t="n">
        <v>45142</v>
      </c>
      <c r="E2606" s="1" t="n">
        <v>46307</v>
      </c>
      <c r="F2606" t="inlineStr">
        <is>
          <t>VÄRMLANDS LÄN</t>
        </is>
      </c>
      <c r="G2606" t="inlineStr">
        <is>
          <t>EDA</t>
        </is>
      </c>
      <c r="I2606" t="n">
        <v>0.7</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11242-2024</t>
        </is>
      </c>
      <c r="B2607" t="inlineStr">
        <is>
          <t>avverkningsanmälan</t>
        </is>
      </c>
      <c r="C2607" t="inlineStr">
        <is>
          <t>Föryngringsavverkning</t>
        </is>
      </c>
      <c r="D2607" s="1" t="n">
        <v>45371</v>
      </c>
      <c r="E2607" s="1" t="n">
        <v>46307</v>
      </c>
      <c r="F2607" t="inlineStr">
        <is>
          <t>VÄRMLANDS LÄN</t>
        </is>
      </c>
      <c r="G2607" t="inlineStr">
        <is>
          <t>TORSBY</t>
        </is>
      </c>
      <c r="I2607" t="n">
        <v>0.7</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73521-2021</t>
        </is>
      </c>
      <c r="B2608" t="inlineStr">
        <is>
          <t>avverkningsanmälan</t>
        </is>
      </c>
      <c r="C2608" t="inlineStr">
        <is>
          <t>Föryngringsavverkning</t>
        </is>
      </c>
      <c r="D2608" s="1" t="n">
        <v>44551</v>
      </c>
      <c r="E2608" s="1" t="n">
        <v>46307</v>
      </c>
      <c r="F2608" t="inlineStr">
        <is>
          <t>VÄRMLANDS LÄN</t>
        </is>
      </c>
      <c r="G2608" t="inlineStr">
        <is>
          <t>TORSBY</t>
        </is>
      </c>
      <c r="I2608" t="n">
        <v>2.3</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21076-2023</t>
        </is>
      </c>
      <c r="B2609" t="inlineStr">
        <is>
          <t>avverkningsanmälan</t>
        </is>
      </c>
      <c r="C2609" t="inlineStr">
        <is>
          <t>Avverkning för annat ändamål</t>
        </is>
      </c>
      <c r="D2609" s="1" t="n">
        <v>45061</v>
      </c>
      <c r="E2609" s="1" t="n">
        <v>46307</v>
      </c>
      <c r="F2609" t="inlineStr">
        <is>
          <t>VÄRMLANDS LÄN</t>
        </is>
      </c>
      <c r="G2609" t="inlineStr">
        <is>
          <t>TORSBY</t>
        </is>
      </c>
      <c r="I2609" t="n">
        <v>0.4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58679-2021</t>
        </is>
      </c>
      <c r="B2610" t="inlineStr">
        <is>
          <t>avverkningsanmälan</t>
        </is>
      </c>
      <c r="C2610" t="inlineStr">
        <is>
          <t>Föryngringsavverkning</t>
        </is>
      </c>
      <c r="D2610" s="1" t="n">
        <v>44489</v>
      </c>
      <c r="E2610" s="1" t="n">
        <v>46307</v>
      </c>
      <c r="F2610" t="inlineStr">
        <is>
          <t>VÄRMLANDS LÄN</t>
        </is>
      </c>
      <c r="G2610" t="inlineStr">
        <is>
          <t>KIL</t>
        </is>
      </c>
      <c r="I2610" t="n">
        <v>5.1</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60183-2021</t>
        </is>
      </c>
      <c r="B2611" t="inlineStr">
        <is>
          <t>avverkningsanmälan</t>
        </is>
      </c>
      <c r="C2611" t="inlineStr">
        <is>
          <t>Föryngringsavverkning</t>
        </is>
      </c>
      <c r="D2611" s="1" t="n">
        <v>44495</v>
      </c>
      <c r="E2611" s="1" t="n">
        <v>46307</v>
      </c>
      <c r="F2611" t="inlineStr">
        <is>
          <t>VÄRMLANDS LÄN</t>
        </is>
      </c>
      <c r="G2611" t="inlineStr">
        <is>
          <t>ARVIKA</t>
        </is>
      </c>
      <c r="I2611" t="n">
        <v>1.4</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13459-2024</t>
        </is>
      </c>
      <c r="B2612" t="inlineStr">
        <is>
          <t>avverkningsanmälan</t>
        </is>
      </c>
      <c r="C2612" t="inlineStr">
        <is>
          <t>Avverkning för annat ändamål</t>
        </is>
      </c>
      <c r="D2612" s="1" t="n">
        <v>45387</v>
      </c>
      <c r="E2612" s="1" t="n">
        <v>46307</v>
      </c>
      <c r="F2612" t="inlineStr">
        <is>
          <t>VÄRMLANDS LÄN</t>
        </is>
      </c>
      <c r="G2612" t="inlineStr">
        <is>
          <t>KRISTINEHAMN</t>
        </is>
      </c>
      <c r="H2612" t="inlineStr">
        <is>
          <t>Naturvårdsverket</t>
        </is>
      </c>
      <c r="I2612" t="n">
        <v>0.6</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11776-2024</t>
        </is>
      </c>
      <c r="B2613" t="inlineStr">
        <is>
          <t>avverkningsanmälan</t>
        </is>
      </c>
      <c r="C2613" t="inlineStr">
        <is>
          <t>Föryngringsavverkning</t>
        </is>
      </c>
      <c r="D2613" s="1" t="n">
        <v>45374</v>
      </c>
      <c r="E2613" s="1" t="n">
        <v>46307</v>
      </c>
      <c r="F2613" t="inlineStr">
        <is>
          <t>VÄRMLANDS LÄN</t>
        </is>
      </c>
      <c r="G2613" t="inlineStr">
        <is>
          <t>TORSBY</t>
        </is>
      </c>
      <c r="I2613" t="n">
        <v>8.300000000000001</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63272-2023</t>
        </is>
      </c>
      <c r="B2614" t="inlineStr">
        <is>
          <t>avverkningsanmälan</t>
        </is>
      </c>
      <c r="C2614" t="inlineStr">
        <is>
          <t>Föryngringsavverkning</t>
        </is>
      </c>
      <c r="D2614" s="1" t="n">
        <v>45273</v>
      </c>
      <c r="E2614" s="1" t="n">
        <v>46307</v>
      </c>
      <c r="F2614" t="inlineStr">
        <is>
          <t>VÄRMLANDS LÄN</t>
        </is>
      </c>
      <c r="G2614" t="inlineStr">
        <is>
          <t>EDA</t>
        </is>
      </c>
      <c r="I2614" t="n">
        <v>0.5</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11782-2024</t>
        </is>
      </c>
      <c r="B2615" t="inlineStr">
        <is>
          <t>avverkningsanmälan</t>
        </is>
      </c>
      <c r="C2615" t="inlineStr">
        <is>
          <t>Föryngringsavverkning</t>
        </is>
      </c>
      <c r="D2615" s="1" t="n">
        <v>45374</v>
      </c>
      <c r="E2615" s="1" t="n">
        <v>46307</v>
      </c>
      <c r="F2615" t="inlineStr">
        <is>
          <t>VÄRMLANDS LÄN</t>
        </is>
      </c>
      <c r="G2615" t="inlineStr">
        <is>
          <t>SÄFFLE</t>
        </is>
      </c>
      <c r="I2615" t="n">
        <v>0.4</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11783-2024</t>
        </is>
      </c>
      <c r="B2616" t="inlineStr">
        <is>
          <t>avverkningsanmälan</t>
        </is>
      </c>
      <c r="C2616" t="inlineStr">
        <is>
          <t>Föryngringsavverkning</t>
        </is>
      </c>
      <c r="D2616" s="1" t="n">
        <v>45374</v>
      </c>
      <c r="E2616" s="1" t="n">
        <v>46307</v>
      </c>
      <c r="F2616" t="inlineStr">
        <is>
          <t>VÄRMLANDS LÄN</t>
        </is>
      </c>
      <c r="G2616" t="inlineStr">
        <is>
          <t>SÄFFLE</t>
        </is>
      </c>
      <c r="H2616" t="inlineStr">
        <is>
          <t>Kommuner</t>
        </is>
      </c>
      <c r="I2616" t="n">
        <v>1.5</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28197-2024</t>
        </is>
      </c>
      <c r="B2617" t="inlineStr">
        <is>
          <t>avverkningsanmälan</t>
        </is>
      </c>
      <c r="C2617" t="inlineStr">
        <is>
          <t>Avverkning för annat ändamål</t>
        </is>
      </c>
      <c r="D2617" s="1" t="n">
        <v>45477</v>
      </c>
      <c r="E2617" s="1" t="n">
        <v>46307</v>
      </c>
      <c r="F2617" t="inlineStr">
        <is>
          <t>VÄRMLANDS LÄN</t>
        </is>
      </c>
      <c r="G2617" t="inlineStr">
        <is>
          <t>EDA</t>
        </is>
      </c>
      <c r="I2617" t="n">
        <v>0.7</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62164-2023</t>
        </is>
      </c>
      <c r="B2618" t="inlineStr">
        <is>
          <t>avverkningsanmälan</t>
        </is>
      </c>
      <c r="C2618" t="inlineStr">
        <is>
          <t>Föryngringsavverkning</t>
        </is>
      </c>
      <c r="D2618" s="1" t="n">
        <v>45267</v>
      </c>
      <c r="E2618" s="1" t="n">
        <v>46307</v>
      </c>
      <c r="F2618" t="inlineStr">
        <is>
          <t>VÄRMLANDS LÄN</t>
        </is>
      </c>
      <c r="G2618" t="inlineStr">
        <is>
          <t>SUNNE</t>
        </is>
      </c>
      <c r="H2618" t="inlineStr">
        <is>
          <t>Kommuner</t>
        </is>
      </c>
      <c r="I2618" t="n">
        <v>5</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36563-2024</t>
        </is>
      </c>
      <c r="B2619" t="inlineStr">
        <is>
          <t>avverkningsanmälan</t>
        </is>
      </c>
      <c r="C2619" t="inlineStr">
        <is>
          <t>Föryngringsavverkning</t>
        </is>
      </c>
      <c r="D2619" s="1" t="n">
        <v>45537</v>
      </c>
      <c r="E2619" s="1" t="n">
        <v>46307</v>
      </c>
      <c r="F2619" t="inlineStr">
        <is>
          <t>VÄRMLANDS LÄN</t>
        </is>
      </c>
      <c r="G2619" t="inlineStr">
        <is>
          <t>ÅRJÄNG</t>
        </is>
      </c>
      <c r="I2619" t="n">
        <v>1.1</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26230-2024</t>
        </is>
      </c>
      <c r="B2620" t="inlineStr">
        <is>
          <t>avverkningsanmälan</t>
        </is>
      </c>
      <c r="C2620" t="inlineStr">
        <is>
          <t>Föryngringsavverkning</t>
        </is>
      </c>
      <c r="D2620" s="1" t="n">
        <v>45468</v>
      </c>
      <c r="E2620" s="1" t="n">
        <v>46307</v>
      </c>
      <c r="F2620" t="inlineStr">
        <is>
          <t>VÄRMLANDS LÄN</t>
        </is>
      </c>
      <c r="G2620" t="inlineStr">
        <is>
          <t>STORFORS</t>
        </is>
      </c>
      <c r="H2620" t="inlineStr">
        <is>
          <t>Bergvik skog väst AB</t>
        </is>
      </c>
      <c r="I2620" t="n">
        <v>0.9</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28228-2024</t>
        </is>
      </c>
      <c r="B2621" t="inlineStr">
        <is>
          <t>avverkningsanmälan</t>
        </is>
      </c>
      <c r="C2621" t="inlineStr">
        <is>
          <t>Föryngringsavverkning</t>
        </is>
      </c>
      <c r="D2621" s="1" t="n">
        <v>45477</v>
      </c>
      <c r="E2621" s="1" t="n">
        <v>46307</v>
      </c>
      <c r="F2621" t="inlineStr">
        <is>
          <t>VÄRMLANDS LÄN</t>
        </is>
      </c>
      <c r="G2621" t="inlineStr">
        <is>
          <t>GRUMS</t>
        </is>
      </c>
      <c r="I2621" t="n">
        <v>0.7</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29426-2023</t>
        </is>
      </c>
      <c r="B2622" t="inlineStr">
        <is>
          <t>avverkningsanmälan</t>
        </is>
      </c>
      <c r="C2622" t="inlineStr">
        <is>
          <t>Föryngringsavverkning</t>
        </is>
      </c>
      <c r="D2622" s="1" t="n">
        <v>45106</v>
      </c>
      <c r="E2622" s="1" t="n">
        <v>46307</v>
      </c>
      <c r="F2622" t="inlineStr">
        <is>
          <t>VÄRMLANDS LÄN</t>
        </is>
      </c>
      <c r="G2622" t="inlineStr">
        <is>
          <t>FILIPSTAD</t>
        </is>
      </c>
      <c r="H2622" t="inlineStr">
        <is>
          <t>Kyrkan</t>
        </is>
      </c>
      <c r="I2622" t="n">
        <v>5.9</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40436-2024</t>
        </is>
      </c>
      <c r="B2623" t="inlineStr">
        <is>
          <t>avverkningsanmälan</t>
        </is>
      </c>
      <c r="C2623" t="inlineStr">
        <is>
          <t>Föryngringsavverkning</t>
        </is>
      </c>
      <c r="D2623" s="1" t="n">
        <v>45555</v>
      </c>
      <c r="E2623" s="1" t="n">
        <v>46307</v>
      </c>
      <c r="F2623" t="inlineStr">
        <is>
          <t>VÄRMLANDS LÄN</t>
        </is>
      </c>
      <c r="G2623" t="inlineStr">
        <is>
          <t>ARVIKA</t>
        </is>
      </c>
      <c r="I2623" t="n">
        <v>0.6</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40441-2024</t>
        </is>
      </c>
      <c r="B2624" t="inlineStr">
        <is>
          <t>avverkningsanmälan</t>
        </is>
      </c>
      <c r="C2624" t="inlineStr">
        <is>
          <t>Föryngringsavverkning</t>
        </is>
      </c>
      <c r="D2624" s="1" t="n">
        <v>45555</v>
      </c>
      <c r="E2624" s="1" t="n">
        <v>46307</v>
      </c>
      <c r="F2624" t="inlineStr">
        <is>
          <t>VÄRMLANDS LÄN</t>
        </is>
      </c>
      <c r="G2624" t="inlineStr">
        <is>
          <t>ARVIKA</t>
        </is>
      </c>
      <c r="I2624" t="n">
        <v>1.9</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58491-2023</t>
        </is>
      </c>
      <c r="B2625" t="inlineStr">
        <is>
          <t>avverkningsanmälan</t>
        </is>
      </c>
      <c r="C2625" t="inlineStr">
        <is>
          <t>Föryngringsavverkning</t>
        </is>
      </c>
      <c r="D2625" s="1" t="n">
        <v>45246</v>
      </c>
      <c r="E2625" s="1" t="n">
        <v>46307</v>
      </c>
      <c r="F2625" t="inlineStr">
        <is>
          <t>VÄRMLANDS LÄN</t>
        </is>
      </c>
      <c r="G2625" t="inlineStr">
        <is>
          <t>ÅRJÄNG</t>
        </is>
      </c>
      <c r="I2625" t="n">
        <v>11.4</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19683-2025</t>
        </is>
      </c>
      <c r="B2626" t="inlineStr">
        <is>
          <t>avverkningsanmälan</t>
        </is>
      </c>
      <c r="C2626" t="inlineStr">
        <is>
          <t>Föryngringsavverkning</t>
        </is>
      </c>
      <c r="D2626" s="1" t="n">
        <v>45770</v>
      </c>
      <c r="E2626" s="1" t="n">
        <v>46307</v>
      </c>
      <c r="F2626" t="inlineStr">
        <is>
          <t>VÄRMLANDS LÄN</t>
        </is>
      </c>
      <c r="G2626" t="inlineStr">
        <is>
          <t>ARVIKA</t>
        </is>
      </c>
      <c r="I2626" t="n">
        <v>1</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31052-2023</t>
        </is>
      </c>
      <c r="B2627" t="inlineStr">
        <is>
          <t>avverkningsanmälan</t>
        </is>
      </c>
      <c r="C2627" t="inlineStr">
        <is>
          <t>Föryngringsavverkning</t>
        </is>
      </c>
      <c r="D2627" s="1" t="n">
        <v>45113</v>
      </c>
      <c r="E2627" s="1" t="n">
        <v>46307</v>
      </c>
      <c r="F2627" t="inlineStr">
        <is>
          <t>VÄRMLANDS LÄN</t>
        </is>
      </c>
      <c r="G2627" t="inlineStr">
        <is>
          <t>TORSBY</t>
        </is>
      </c>
      <c r="I2627" t="n">
        <v>2.2</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73231-2021</t>
        </is>
      </c>
      <c r="B2628" t="inlineStr">
        <is>
          <t>avverkningsanmälan</t>
        </is>
      </c>
      <c r="C2628" t="inlineStr">
        <is>
          <t>Föryngringsavverkning</t>
        </is>
      </c>
      <c r="D2628" s="1" t="n">
        <v>44550</v>
      </c>
      <c r="E2628" s="1" t="n">
        <v>46307</v>
      </c>
      <c r="F2628" t="inlineStr">
        <is>
          <t>VÄRMLANDS LÄN</t>
        </is>
      </c>
      <c r="G2628" t="inlineStr">
        <is>
          <t>SUNNE</t>
        </is>
      </c>
      <c r="I2628" t="n">
        <v>1.6</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73247-2021</t>
        </is>
      </c>
      <c r="B2629" t="inlineStr">
        <is>
          <t>avverkningsanmälan</t>
        </is>
      </c>
      <c r="C2629" t="inlineStr">
        <is>
          <t>Föryngringsavverkning</t>
        </is>
      </c>
      <c r="D2629" s="1" t="n">
        <v>44550</v>
      </c>
      <c r="E2629" s="1" t="n">
        <v>46307</v>
      </c>
      <c r="F2629" t="inlineStr">
        <is>
          <t>VÄRMLANDS LÄN</t>
        </is>
      </c>
      <c r="G2629" t="inlineStr">
        <is>
          <t>SUNNE</t>
        </is>
      </c>
      <c r="I2629" t="n">
        <v>24.7</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73267-2021</t>
        </is>
      </c>
      <c r="B2630" t="inlineStr">
        <is>
          <t>avverkningsanmälan</t>
        </is>
      </c>
      <c r="C2630" t="inlineStr">
        <is>
          <t>Föryngringsavverkning</t>
        </is>
      </c>
      <c r="D2630" s="1" t="n">
        <v>44550</v>
      </c>
      <c r="E2630" s="1" t="n">
        <v>46307</v>
      </c>
      <c r="F2630" t="inlineStr">
        <is>
          <t>VÄRMLANDS LÄN</t>
        </is>
      </c>
      <c r="G2630" t="inlineStr">
        <is>
          <t>FORSHAGA</t>
        </is>
      </c>
      <c r="I2630" t="n">
        <v>2.2</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73936-2021</t>
        </is>
      </c>
      <c r="B2631" t="inlineStr">
        <is>
          <t>avverkningsanmälan</t>
        </is>
      </c>
      <c r="C2631" t="inlineStr">
        <is>
          <t>Föryngringsavverkning</t>
        </is>
      </c>
      <c r="D2631" s="1" t="n">
        <v>44552</v>
      </c>
      <c r="E2631" s="1" t="n">
        <v>46307</v>
      </c>
      <c r="F2631" t="inlineStr">
        <is>
          <t>VÄRMLANDS LÄN</t>
        </is>
      </c>
      <c r="G2631" t="inlineStr">
        <is>
          <t>ARVIKA</t>
        </is>
      </c>
      <c r="I2631" t="n">
        <v>4.7</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48014-2023</t>
        </is>
      </c>
      <c r="B2632" t="inlineStr">
        <is>
          <t>avverkningsanmälan</t>
        </is>
      </c>
      <c r="C2632" t="inlineStr">
        <is>
          <t>Föryngringsavverkning</t>
        </is>
      </c>
      <c r="D2632" s="1" t="n">
        <v>45198</v>
      </c>
      <c r="E2632" s="1" t="n">
        <v>46307</v>
      </c>
      <c r="F2632" t="inlineStr">
        <is>
          <t>VÄRMLANDS LÄN</t>
        </is>
      </c>
      <c r="G2632" t="inlineStr">
        <is>
          <t>ÅRJÄNG</t>
        </is>
      </c>
      <c r="I2632" t="n">
        <v>1.1</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48054-2023</t>
        </is>
      </c>
      <c r="B2633" t="inlineStr">
        <is>
          <t>avverkningsanmälan</t>
        </is>
      </c>
      <c r="C2633" t="inlineStr">
        <is>
          <t>Föryngringsavverkning</t>
        </is>
      </c>
      <c r="D2633" s="1" t="n">
        <v>45204</v>
      </c>
      <c r="E2633" s="1" t="n">
        <v>46307</v>
      </c>
      <c r="F2633" t="inlineStr">
        <is>
          <t>VÄRMLANDS LÄN</t>
        </is>
      </c>
      <c r="G2633" t="inlineStr">
        <is>
          <t>SUNNE</t>
        </is>
      </c>
      <c r="I2633" t="n">
        <v>3.7</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39778-2023</t>
        </is>
      </c>
      <c r="B2634" t="inlineStr">
        <is>
          <t>avverkningsanmälan</t>
        </is>
      </c>
      <c r="C2634" t="inlineStr">
        <is>
          <t>Föryngringsavverkning</t>
        </is>
      </c>
      <c r="D2634" s="1" t="n">
        <v>45167</v>
      </c>
      <c r="E2634" s="1" t="n">
        <v>46307</v>
      </c>
      <c r="F2634" t="inlineStr">
        <is>
          <t>VÄRMLANDS LÄN</t>
        </is>
      </c>
      <c r="G2634" t="inlineStr">
        <is>
          <t>KRISTINEHAMN</t>
        </is>
      </c>
      <c r="I2634" t="n">
        <v>1.8</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53956-2024</t>
        </is>
      </c>
      <c r="B2635" t="inlineStr">
        <is>
          <t>avverkningsanmälan</t>
        </is>
      </c>
      <c r="C2635" t="inlineStr">
        <is>
          <t>Föryngringsavverkning</t>
        </is>
      </c>
      <c r="D2635" s="1" t="n">
        <v>45616</v>
      </c>
      <c r="E2635" s="1" t="n">
        <v>46307</v>
      </c>
      <c r="F2635" t="inlineStr">
        <is>
          <t>VÄRMLANDS LÄN</t>
        </is>
      </c>
      <c r="G2635" t="inlineStr">
        <is>
          <t>KIL</t>
        </is>
      </c>
      <c r="I2635" t="n">
        <v>4.7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53965-2024</t>
        </is>
      </c>
      <c r="B2636" t="inlineStr">
        <is>
          <t>avverkningsanmälan</t>
        </is>
      </c>
      <c r="C2636" t="inlineStr">
        <is>
          <t>Föryngringsavverkning</t>
        </is>
      </c>
      <c r="D2636" s="1" t="n">
        <v>45616</v>
      </c>
      <c r="E2636" s="1" t="n">
        <v>46307</v>
      </c>
      <c r="F2636" t="inlineStr">
        <is>
          <t>VÄRMLANDS LÄN</t>
        </is>
      </c>
      <c r="G2636" t="inlineStr">
        <is>
          <t>EDA</t>
        </is>
      </c>
      <c r="I2636" t="n">
        <v>0.6</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57205-2024</t>
        </is>
      </c>
      <c r="B2637" t="inlineStr">
        <is>
          <t>avverkningsanmälan</t>
        </is>
      </c>
      <c r="C2637" t="inlineStr">
        <is>
          <t>Föryngringsavverkning</t>
        </is>
      </c>
      <c r="D2637" s="1" t="n">
        <v>45629</v>
      </c>
      <c r="E2637" s="1" t="n">
        <v>46307</v>
      </c>
      <c r="F2637" t="inlineStr">
        <is>
          <t>VÄRMLANDS LÄN</t>
        </is>
      </c>
      <c r="G2637" t="inlineStr">
        <is>
          <t>ARVIKA</t>
        </is>
      </c>
      <c r="I2637" t="n">
        <v>0.5</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48276-2024</t>
        </is>
      </c>
      <c r="B2638" t="inlineStr">
        <is>
          <t>avverkningsanmälan</t>
        </is>
      </c>
      <c r="C2638" t="inlineStr">
        <is>
          <t>Föryngringsavverkning</t>
        </is>
      </c>
      <c r="D2638" s="1" t="n">
        <v>45590</v>
      </c>
      <c r="E2638" s="1" t="n">
        <v>46307</v>
      </c>
      <c r="F2638" t="inlineStr">
        <is>
          <t>VÄRMLANDS LÄN</t>
        </is>
      </c>
      <c r="G2638" t="inlineStr">
        <is>
          <t>HAGFORS</t>
        </is>
      </c>
      <c r="I2638" t="n">
        <v>1.1</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10102-2025</t>
        </is>
      </c>
      <c r="B2639" t="inlineStr">
        <is>
          <t>avverkningsanmälan</t>
        </is>
      </c>
      <c r="C2639" t="inlineStr">
        <is>
          <t>Föryngringsavverkning</t>
        </is>
      </c>
      <c r="D2639" s="1" t="n">
        <v>45719</v>
      </c>
      <c r="E2639" s="1" t="n">
        <v>46307</v>
      </c>
      <c r="F2639" t="inlineStr">
        <is>
          <t>VÄRMLANDS LÄN</t>
        </is>
      </c>
      <c r="G2639" t="inlineStr">
        <is>
          <t>SÄFFLE</t>
        </is>
      </c>
      <c r="I2639" t="n">
        <v>5.5</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4180-2024</t>
        </is>
      </c>
      <c r="B2640" t="inlineStr">
        <is>
          <t>avverkningsanmälan</t>
        </is>
      </c>
      <c r="C2640" t="inlineStr">
        <is>
          <t>Föryngringsavverkning</t>
        </is>
      </c>
      <c r="D2640" s="1" t="n">
        <v>45323</v>
      </c>
      <c r="E2640" s="1" t="n">
        <v>46307</v>
      </c>
      <c r="F2640" t="inlineStr">
        <is>
          <t>VÄRMLANDS LÄN</t>
        </is>
      </c>
      <c r="G2640" t="inlineStr">
        <is>
          <t>KRISTINEHAMN</t>
        </is>
      </c>
      <c r="I2640" t="n">
        <v>0.6</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17816-2023</t>
        </is>
      </c>
      <c r="B2641" t="inlineStr">
        <is>
          <t>avverkningsanmälan</t>
        </is>
      </c>
      <c r="C2641" t="inlineStr">
        <is>
          <t>Föryngringsavverkning</t>
        </is>
      </c>
      <c r="D2641" s="1" t="n">
        <v>45037</v>
      </c>
      <c r="E2641" s="1" t="n">
        <v>46307</v>
      </c>
      <c r="F2641" t="inlineStr">
        <is>
          <t>VÄRMLANDS LÄN</t>
        </is>
      </c>
      <c r="G2641" t="inlineStr">
        <is>
          <t>KIL</t>
        </is>
      </c>
      <c r="I2641" t="n">
        <v>1.6</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50346-2023</t>
        </is>
      </c>
      <c r="B2642" t="inlineStr">
        <is>
          <t>avverkningsanmälan</t>
        </is>
      </c>
      <c r="C2642" t="inlineStr">
        <is>
          <t>Föryngringsavverkning</t>
        </is>
      </c>
      <c r="D2642" s="1" t="n">
        <v>45216</v>
      </c>
      <c r="E2642" s="1" t="n">
        <v>46307</v>
      </c>
      <c r="F2642" t="inlineStr">
        <is>
          <t>VÄRMLANDS LÄN</t>
        </is>
      </c>
      <c r="G2642" t="inlineStr">
        <is>
          <t>SUNNE</t>
        </is>
      </c>
      <c r="I2642" t="n">
        <v>0.9</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19843-2025</t>
        </is>
      </c>
      <c r="B2643" t="inlineStr">
        <is>
          <t>avverkningsanmälan</t>
        </is>
      </c>
      <c r="C2643" t="inlineStr">
        <is>
          <t>Föryngringsavverkning</t>
        </is>
      </c>
      <c r="D2643" s="1" t="n">
        <v>45771</v>
      </c>
      <c r="E2643" s="1" t="n">
        <v>46307</v>
      </c>
      <c r="F2643" t="inlineStr">
        <is>
          <t>VÄRMLANDS LÄN</t>
        </is>
      </c>
      <c r="G2643" t="inlineStr">
        <is>
          <t>ÅRJÄNG</t>
        </is>
      </c>
      <c r="I2643" t="n">
        <v>1.4</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48908-2023</t>
        </is>
      </c>
      <c r="B2644" t="inlineStr">
        <is>
          <t>avverkningsanmälan</t>
        </is>
      </c>
      <c r="C2644" t="inlineStr">
        <is>
          <t>Föryngringsavverkning</t>
        </is>
      </c>
      <c r="D2644" s="1" t="n">
        <v>45195</v>
      </c>
      <c r="E2644" s="1" t="n">
        <v>46307</v>
      </c>
      <c r="F2644" t="inlineStr">
        <is>
          <t>VÄRMLANDS LÄN</t>
        </is>
      </c>
      <c r="G2644" t="inlineStr">
        <is>
          <t>FILIPSTAD</t>
        </is>
      </c>
      <c r="H2644" t="inlineStr">
        <is>
          <t>Bergvik skog väst AB</t>
        </is>
      </c>
      <c r="I2644" t="n">
        <v>2.3</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45962-2024</t>
        </is>
      </c>
      <c r="B2645" t="inlineStr">
        <is>
          <t>avverkningsanmälan</t>
        </is>
      </c>
      <c r="C2645" t="inlineStr">
        <is>
          <t>Föryngringsavverkning</t>
        </is>
      </c>
      <c r="D2645" s="1" t="n">
        <v>45580</v>
      </c>
      <c r="E2645" s="1" t="n">
        <v>46307</v>
      </c>
      <c r="F2645" t="inlineStr">
        <is>
          <t>VÄRMLANDS LÄN</t>
        </is>
      </c>
      <c r="G2645" t="inlineStr">
        <is>
          <t>ARVIKA</t>
        </is>
      </c>
      <c r="I2645" t="n">
        <v>1.6</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21074-2024</t>
        </is>
      </c>
      <c r="B2646" t="inlineStr">
        <is>
          <t>avverkningsanmälan</t>
        </is>
      </c>
      <c r="C2646" t="inlineStr">
        <is>
          <t>Föryngringsavverkning</t>
        </is>
      </c>
      <c r="D2646" s="1" t="n">
        <v>45439</v>
      </c>
      <c r="E2646" s="1" t="n">
        <v>46307</v>
      </c>
      <c r="F2646" t="inlineStr">
        <is>
          <t>VÄRMLANDS LÄN</t>
        </is>
      </c>
      <c r="G2646" t="inlineStr">
        <is>
          <t>SÄFFLE</t>
        </is>
      </c>
      <c r="I2646" t="n">
        <v>2.9</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35994-2024</t>
        </is>
      </c>
      <c r="B2647" t="inlineStr">
        <is>
          <t>avverkningsanmälan</t>
        </is>
      </c>
      <c r="C2647" t="inlineStr">
        <is>
          <t>Föryngringsavverkning</t>
        </is>
      </c>
      <c r="D2647" s="1" t="n">
        <v>45533</v>
      </c>
      <c r="E2647" s="1" t="n">
        <v>46307</v>
      </c>
      <c r="F2647" t="inlineStr">
        <is>
          <t>VÄRMLANDS LÄN</t>
        </is>
      </c>
      <c r="G2647" t="inlineStr">
        <is>
          <t>HAGFORS</t>
        </is>
      </c>
      <c r="H2647" t="inlineStr">
        <is>
          <t>Bergvik skog väst AB</t>
        </is>
      </c>
      <c r="I2647" t="n">
        <v>2.6</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4360-2025</t>
        </is>
      </c>
      <c r="B2648" t="inlineStr">
        <is>
          <t>avverkningsanmälan</t>
        </is>
      </c>
      <c r="C2648" t="inlineStr">
        <is>
          <t>Föryngringsavverkning</t>
        </is>
      </c>
      <c r="D2648" s="1" t="n">
        <v>45686</v>
      </c>
      <c r="E2648" s="1" t="n">
        <v>46307</v>
      </c>
      <c r="F2648" t="inlineStr">
        <is>
          <t>VÄRMLANDS LÄN</t>
        </is>
      </c>
      <c r="G2648" t="inlineStr">
        <is>
          <t>SUNNE</t>
        </is>
      </c>
      <c r="I2648" t="n">
        <v>1.1</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21821-2022</t>
        </is>
      </c>
      <c r="B2649" t="inlineStr">
        <is>
          <t>avverkningsanmälan</t>
        </is>
      </c>
      <c r="C2649" t="inlineStr">
        <is>
          <t>Föryngringsavverkning</t>
        </is>
      </c>
      <c r="D2649" s="1" t="n">
        <v>44709</v>
      </c>
      <c r="E2649" s="1" t="n">
        <v>46307</v>
      </c>
      <c r="F2649" t="inlineStr">
        <is>
          <t>VÄRMLANDS LÄN</t>
        </is>
      </c>
      <c r="G2649" t="inlineStr">
        <is>
          <t>SÄFFLE</t>
        </is>
      </c>
      <c r="I2649" t="n">
        <v>4.6</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11235-2024</t>
        </is>
      </c>
      <c r="B2650" t="inlineStr">
        <is>
          <t>avverkningsanmälan</t>
        </is>
      </c>
      <c r="C2650" t="inlineStr">
        <is>
          <t>Föryngringsavverkning</t>
        </is>
      </c>
      <c r="D2650" s="1" t="n">
        <v>45371</v>
      </c>
      <c r="E2650" s="1" t="n">
        <v>46307</v>
      </c>
      <c r="F2650" t="inlineStr">
        <is>
          <t>VÄRMLANDS LÄN</t>
        </is>
      </c>
      <c r="G2650" t="inlineStr">
        <is>
          <t>TORSBY</t>
        </is>
      </c>
      <c r="I2650" t="n">
        <v>0.6</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10681-2024</t>
        </is>
      </c>
      <c r="B2651" t="inlineStr">
        <is>
          <t>avverkningsanmälan</t>
        </is>
      </c>
      <c r="C2651" t="inlineStr">
        <is>
          <t>Föryngringsavverkning</t>
        </is>
      </c>
      <c r="D2651" s="1" t="n">
        <v>45369</v>
      </c>
      <c r="E2651" s="1" t="n">
        <v>46307</v>
      </c>
      <c r="F2651" t="inlineStr">
        <is>
          <t>VÄRMLANDS LÄN</t>
        </is>
      </c>
      <c r="G2651" t="inlineStr">
        <is>
          <t>ÅRJÄNG</t>
        </is>
      </c>
      <c r="I2651" t="n">
        <v>0.5</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47241-2023</t>
        </is>
      </c>
      <c r="B2652" t="inlineStr">
        <is>
          <t>avverkningsanmälan</t>
        </is>
      </c>
      <c r="C2652" t="inlineStr">
        <is>
          <t>Föryngringsavverkning</t>
        </is>
      </c>
      <c r="D2652" s="1" t="n">
        <v>45202</v>
      </c>
      <c r="E2652" s="1" t="n">
        <v>46307</v>
      </c>
      <c r="F2652" t="inlineStr">
        <is>
          <t>VÄRMLANDS LÄN</t>
        </is>
      </c>
      <c r="G2652" t="inlineStr">
        <is>
          <t>TORSBY</t>
        </is>
      </c>
      <c r="I2652" t="n">
        <v>1.7</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4088-2025</t>
        </is>
      </c>
      <c r="B2653" t="inlineStr">
        <is>
          <t>avverkningsanmälan</t>
        </is>
      </c>
      <c r="C2653" t="inlineStr">
        <is>
          <t>Föryngringsavverkning</t>
        </is>
      </c>
      <c r="D2653" s="1" t="n">
        <v>45684</v>
      </c>
      <c r="E2653" s="1" t="n">
        <v>46307</v>
      </c>
      <c r="F2653" t="inlineStr">
        <is>
          <t>VÄRMLANDS LÄN</t>
        </is>
      </c>
      <c r="G2653" t="inlineStr">
        <is>
          <t>ÅRJÄNG</t>
        </is>
      </c>
      <c r="I2653" t="n">
        <v>4.1</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14090-2024</t>
        </is>
      </c>
      <c r="B2654" t="inlineStr">
        <is>
          <t>avverkningsanmälan</t>
        </is>
      </c>
      <c r="C2654" t="inlineStr">
        <is>
          <t>Föryngringsavverkning</t>
        </is>
      </c>
      <c r="D2654" s="1" t="n">
        <v>45392</v>
      </c>
      <c r="E2654" s="1" t="n">
        <v>46307</v>
      </c>
      <c r="F2654" t="inlineStr">
        <is>
          <t>VÄRMLANDS LÄN</t>
        </is>
      </c>
      <c r="G2654" t="inlineStr">
        <is>
          <t>EDA</t>
        </is>
      </c>
      <c r="I2654" t="n">
        <v>0.5</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33566-2024</t>
        </is>
      </c>
      <c r="B2655" t="inlineStr">
        <is>
          <t>avverkningsanmälan</t>
        </is>
      </c>
      <c r="C2655" t="inlineStr">
        <is>
          <t>Föryngringsavverkning</t>
        </is>
      </c>
      <c r="D2655" s="1" t="n">
        <v>45520</v>
      </c>
      <c r="E2655" s="1" t="n">
        <v>46307</v>
      </c>
      <c r="F2655" t="inlineStr">
        <is>
          <t>VÄRMLANDS LÄN</t>
        </is>
      </c>
      <c r="G2655" t="inlineStr">
        <is>
          <t>KIL</t>
        </is>
      </c>
      <c r="I2655" t="n">
        <v>0.8</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21138-2023</t>
        </is>
      </c>
      <c r="B2656" t="inlineStr">
        <is>
          <t>avverkningsanmälan</t>
        </is>
      </c>
      <c r="C2656" t="inlineStr">
        <is>
          <t>Föryngringsavverkning</t>
        </is>
      </c>
      <c r="D2656" s="1" t="n">
        <v>45062</v>
      </c>
      <c r="E2656" s="1" t="n">
        <v>46307</v>
      </c>
      <c r="F2656" t="inlineStr">
        <is>
          <t>VÄRMLANDS LÄN</t>
        </is>
      </c>
      <c r="G2656" t="inlineStr">
        <is>
          <t>SUNNE</t>
        </is>
      </c>
      <c r="I2656" t="n">
        <v>1.7</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16596-2023</t>
        </is>
      </c>
      <c r="B2657" t="inlineStr">
        <is>
          <t>avverkningsanmälan</t>
        </is>
      </c>
      <c r="C2657" t="inlineStr">
        <is>
          <t>Föryngringsavverkning</t>
        </is>
      </c>
      <c r="D2657" s="1" t="n">
        <v>45030</v>
      </c>
      <c r="E2657" s="1" t="n">
        <v>46307</v>
      </c>
      <c r="F2657" t="inlineStr">
        <is>
          <t>VÄRMLANDS LÄN</t>
        </is>
      </c>
      <c r="G2657" t="inlineStr">
        <is>
          <t>KIL</t>
        </is>
      </c>
      <c r="I2657" t="n">
        <v>4.5</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23337-2024</t>
        </is>
      </c>
      <c r="B2658" t="inlineStr">
        <is>
          <t>avverkningsanmälan</t>
        </is>
      </c>
      <c r="C2658" t="inlineStr">
        <is>
          <t>Föryngringsavverkning</t>
        </is>
      </c>
      <c r="D2658" s="1" t="n">
        <v>45453</v>
      </c>
      <c r="E2658" s="1" t="n">
        <v>46307</v>
      </c>
      <c r="F2658" t="inlineStr">
        <is>
          <t>VÄRMLANDS LÄN</t>
        </is>
      </c>
      <c r="G2658" t="inlineStr">
        <is>
          <t>SÄFFLE</t>
        </is>
      </c>
      <c r="I2658" t="n">
        <v>1.8</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33268-2023</t>
        </is>
      </c>
      <c r="B2659" t="inlineStr">
        <is>
          <t>avverkningsanmälan</t>
        </is>
      </c>
      <c r="C2659" t="inlineStr">
        <is>
          <t>Föryngringsavverkning</t>
        </is>
      </c>
      <c r="D2659" s="1" t="n">
        <v>45127</v>
      </c>
      <c r="E2659" s="1" t="n">
        <v>46307</v>
      </c>
      <c r="F2659" t="inlineStr">
        <is>
          <t>VÄRMLANDS LÄN</t>
        </is>
      </c>
      <c r="G2659" t="inlineStr">
        <is>
          <t>TORSBY</t>
        </is>
      </c>
      <c r="I2659" t="n">
        <v>1.3</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43865-2024</t>
        </is>
      </c>
      <c r="B2660" t="inlineStr">
        <is>
          <t>avverkningsanmälan</t>
        </is>
      </c>
      <c r="C2660" t="inlineStr">
        <is>
          <t>Föryngringsavverkning</t>
        </is>
      </c>
      <c r="D2660" s="1" t="n">
        <v>45572</v>
      </c>
      <c r="E2660" s="1" t="n">
        <v>46307</v>
      </c>
      <c r="F2660" t="inlineStr">
        <is>
          <t>VÄRMLANDS LÄN</t>
        </is>
      </c>
      <c r="G2660" t="inlineStr">
        <is>
          <t>SUNNE</t>
        </is>
      </c>
      <c r="H2660" t="inlineStr">
        <is>
          <t>Bergvik skog väst AB</t>
        </is>
      </c>
      <c r="I2660" t="n">
        <v>1.5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11211-2024</t>
        </is>
      </c>
      <c r="B2661" t="inlineStr">
        <is>
          <t>avverkningsanmälan</t>
        </is>
      </c>
      <c r="C2661" t="inlineStr">
        <is>
          <t>Föryngringsavverkning</t>
        </is>
      </c>
      <c r="D2661" s="1" t="n">
        <v>45371</v>
      </c>
      <c r="E2661" s="1" t="n">
        <v>46307</v>
      </c>
      <c r="F2661" t="inlineStr">
        <is>
          <t>VÄRMLANDS LÄN</t>
        </is>
      </c>
      <c r="G2661" t="inlineStr">
        <is>
          <t>TORSBY</t>
        </is>
      </c>
      <c r="I2661" t="n">
        <v>0.2</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11718-2024</t>
        </is>
      </c>
      <c r="B2662" t="inlineStr">
        <is>
          <t>avverkningsanmälan</t>
        </is>
      </c>
      <c r="C2662" t="inlineStr">
        <is>
          <t>Föryngringsavverkning</t>
        </is>
      </c>
      <c r="D2662" s="1" t="n">
        <v>45373</v>
      </c>
      <c r="E2662" s="1" t="n">
        <v>46307</v>
      </c>
      <c r="F2662" t="inlineStr">
        <is>
          <t>VÄRMLANDS LÄN</t>
        </is>
      </c>
      <c r="G2662" t="inlineStr">
        <is>
          <t>ÅRJÄNG</t>
        </is>
      </c>
      <c r="I2662" t="n">
        <v>2.3</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23904-2024</t>
        </is>
      </c>
      <c r="B2663" t="inlineStr">
        <is>
          <t>avverkningsanmälan</t>
        </is>
      </c>
      <c r="C2663" t="inlineStr">
        <is>
          <t>Föryngringsavverkning</t>
        </is>
      </c>
      <c r="D2663" s="1" t="n">
        <v>45455</v>
      </c>
      <c r="E2663" s="1" t="n">
        <v>46307</v>
      </c>
      <c r="F2663" t="inlineStr">
        <is>
          <t>VÄRMLANDS LÄN</t>
        </is>
      </c>
      <c r="G2663" t="inlineStr">
        <is>
          <t>EDA</t>
        </is>
      </c>
      <c r="I2663" t="n">
        <v>3.6</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5830-2023</t>
        </is>
      </c>
      <c r="B2664" t="inlineStr">
        <is>
          <t>avverkningsanmälan</t>
        </is>
      </c>
      <c r="C2664" t="inlineStr">
        <is>
          <t>Föryngringsavverkning</t>
        </is>
      </c>
      <c r="D2664" s="1" t="n">
        <v>44963</v>
      </c>
      <c r="E2664" s="1" t="n">
        <v>46307</v>
      </c>
      <c r="F2664" t="inlineStr">
        <is>
          <t>VÄRMLANDS LÄN</t>
        </is>
      </c>
      <c r="G2664" t="inlineStr">
        <is>
          <t>TORSBY</t>
        </is>
      </c>
      <c r="I2664" t="n">
        <v>2.2</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22225-2024</t>
        </is>
      </c>
      <c r="B2665" t="inlineStr">
        <is>
          <t>avverkningsanmälan</t>
        </is>
      </c>
      <c r="C2665" t="inlineStr">
        <is>
          <t>Föryngringsavverkning</t>
        </is>
      </c>
      <c r="D2665" s="1" t="n">
        <v>45446</v>
      </c>
      <c r="E2665" s="1" t="n">
        <v>46307</v>
      </c>
      <c r="F2665" t="inlineStr">
        <is>
          <t>VÄRMLANDS LÄN</t>
        </is>
      </c>
      <c r="G2665" t="inlineStr">
        <is>
          <t>MUNKFORS</t>
        </is>
      </c>
      <c r="H2665" t="inlineStr">
        <is>
          <t>Bergvik skog väst AB</t>
        </is>
      </c>
      <c r="I2665" t="n">
        <v>2.8</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32096-2023</t>
        </is>
      </c>
      <c r="B2666" t="inlineStr">
        <is>
          <t>avverkningsanmälan</t>
        </is>
      </c>
      <c r="C2666" t="inlineStr">
        <is>
          <t>Föryngringsavverkning</t>
        </is>
      </c>
      <c r="D2666" s="1" t="n">
        <v>45107</v>
      </c>
      <c r="E2666" s="1" t="n">
        <v>46307</v>
      </c>
      <c r="F2666" t="inlineStr">
        <is>
          <t>VÄRMLANDS LÄN</t>
        </is>
      </c>
      <c r="G2666" t="inlineStr">
        <is>
          <t>SÄFFLE</t>
        </is>
      </c>
      <c r="I2666" t="n">
        <v>0.6</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57721-2022</t>
        </is>
      </c>
      <c r="B2667" t="inlineStr">
        <is>
          <t>avverkningsanmälan</t>
        </is>
      </c>
      <c r="C2667" t="inlineStr">
        <is>
          <t>Föryngringsavverkning</t>
        </is>
      </c>
      <c r="D2667" s="1" t="n">
        <v>44897</v>
      </c>
      <c r="E2667" s="1" t="n">
        <v>46307</v>
      </c>
      <c r="F2667" t="inlineStr">
        <is>
          <t>VÄRMLANDS LÄN</t>
        </is>
      </c>
      <c r="G2667" t="inlineStr">
        <is>
          <t>TORSBY</t>
        </is>
      </c>
      <c r="I2667" t="n">
        <v>3.3</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19887-2024</t>
        </is>
      </c>
      <c r="B2668" t="inlineStr">
        <is>
          <t>avverkningsanmälan</t>
        </is>
      </c>
      <c r="C2668" t="inlineStr">
        <is>
          <t>Föryngringsavverkning</t>
        </is>
      </c>
      <c r="D2668" s="1" t="n">
        <v>45433</v>
      </c>
      <c r="E2668" s="1" t="n">
        <v>46307</v>
      </c>
      <c r="F2668" t="inlineStr">
        <is>
          <t>VÄRMLANDS LÄN</t>
        </is>
      </c>
      <c r="G2668" t="inlineStr">
        <is>
          <t>TORSBY</t>
        </is>
      </c>
      <c r="I2668" t="n">
        <v>10.1</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998-2023</t>
        </is>
      </c>
      <c r="B2669" t="inlineStr">
        <is>
          <t>avverkningsanmälan</t>
        </is>
      </c>
      <c r="C2669" t="inlineStr">
        <is>
          <t>Föryngringsavverkning</t>
        </is>
      </c>
      <c r="D2669" s="1" t="n">
        <v>44935</v>
      </c>
      <c r="E2669" s="1" t="n">
        <v>46307</v>
      </c>
      <c r="F2669" t="inlineStr">
        <is>
          <t>VÄRMLANDS LÄN</t>
        </is>
      </c>
      <c r="G2669" t="inlineStr">
        <is>
          <t>EDA</t>
        </is>
      </c>
      <c r="I2669" t="n">
        <v>1.2</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1042-2023</t>
        </is>
      </c>
      <c r="B2670" t="inlineStr">
        <is>
          <t>avverkningsanmälan</t>
        </is>
      </c>
      <c r="C2670" t="inlineStr">
        <is>
          <t>Föryngringsavverkning</t>
        </is>
      </c>
      <c r="D2670" s="1" t="n">
        <v>44935</v>
      </c>
      <c r="E2670" s="1" t="n">
        <v>46307</v>
      </c>
      <c r="F2670" t="inlineStr">
        <is>
          <t>VÄRMLANDS LÄN</t>
        </is>
      </c>
      <c r="G2670" t="inlineStr">
        <is>
          <t>FILIPSTAD</t>
        </is>
      </c>
      <c r="I2670" t="n">
        <v>1.3</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38643-2025</t>
        </is>
      </c>
      <c r="B2671" t="inlineStr">
        <is>
          <t>avverkningsanmälan</t>
        </is>
      </c>
      <c r="C2671" t="inlineStr">
        <is>
          <t>Föryngringsavverkning</t>
        </is>
      </c>
      <c r="D2671" s="1" t="n">
        <v>45884</v>
      </c>
      <c r="E2671" s="1" t="n">
        <v>46307</v>
      </c>
      <c r="F2671" t="inlineStr">
        <is>
          <t>VÄRMLANDS LÄN</t>
        </is>
      </c>
      <c r="G2671" t="inlineStr">
        <is>
          <t>ARVIKA</t>
        </is>
      </c>
      <c r="H2671" t="inlineStr">
        <is>
          <t>Bergvik skog väst AB</t>
        </is>
      </c>
      <c r="I2671" t="n">
        <v>3.3</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49701-2022</t>
        </is>
      </c>
      <c r="B2672" t="inlineStr">
        <is>
          <t>avverkningsanmälan</t>
        </is>
      </c>
      <c r="C2672" t="inlineStr">
        <is>
          <t>Föryngringsavverkning</t>
        </is>
      </c>
      <c r="D2672" s="1" t="n">
        <v>44862</v>
      </c>
      <c r="E2672" s="1" t="n">
        <v>46307</v>
      </c>
      <c r="F2672" t="inlineStr">
        <is>
          <t>VÄRMLANDS LÄN</t>
        </is>
      </c>
      <c r="G2672" t="inlineStr">
        <is>
          <t>ÅRJÄNG</t>
        </is>
      </c>
      <c r="I2672" t="n">
        <v>2.3</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32988-2024</t>
        </is>
      </c>
      <c r="B2673" t="inlineStr">
        <is>
          <t>avverkningsanmälan</t>
        </is>
      </c>
      <c r="C2673" t="inlineStr">
        <is>
          <t>Föryngringsavverkning</t>
        </is>
      </c>
      <c r="D2673" s="1" t="n">
        <v>45517</v>
      </c>
      <c r="E2673" s="1" t="n">
        <v>46307</v>
      </c>
      <c r="F2673" t="inlineStr">
        <is>
          <t>VÄRMLANDS LÄN</t>
        </is>
      </c>
      <c r="G2673" t="inlineStr">
        <is>
          <t>TORSBY</t>
        </is>
      </c>
      <c r="I2673" t="n">
        <v>1</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16562-2024</t>
        </is>
      </c>
      <c r="B2674" t="inlineStr">
        <is>
          <t>avverkningsanmälan</t>
        </is>
      </c>
      <c r="C2674" t="inlineStr">
        <is>
          <t>Föryngringsavverkning</t>
        </is>
      </c>
      <c r="D2674" s="1" t="n">
        <v>45408</v>
      </c>
      <c r="E2674" s="1" t="n">
        <v>46307</v>
      </c>
      <c r="F2674" t="inlineStr">
        <is>
          <t>VÄRMLANDS LÄN</t>
        </is>
      </c>
      <c r="G2674" t="inlineStr">
        <is>
          <t>ÅRJÄNG</t>
        </is>
      </c>
      <c r="H2674" t="inlineStr">
        <is>
          <t>Bergvik skog väst AB</t>
        </is>
      </c>
      <c r="I2674" t="n">
        <v>0.4</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38662-2025</t>
        </is>
      </c>
      <c r="B2675" t="inlineStr">
        <is>
          <t>avverkningsanmälan</t>
        </is>
      </c>
      <c r="C2675" t="inlineStr">
        <is>
          <t>Föryngringsavverkning</t>
        </is>
      </c>
      <c r="D2675" s="1" t="n">
        <v>45884</v>
      </c>
      <c r="E2675" s="1" t="n">
        <v>46307</v>
      </c>
      <c r="F2675" t="inlineStr">
        <is>
          <t>VÄRMLANDS LÄN</t>
        </is>
      </c>
      <c r="G2675" t="inlineStr">
        <is>
          <t>TORSBY</t>
        </is>
      </c>
      <c r="H2675" t="inlineStr">
        <is>
          <t>Bergvik skog väst AB</t>
        </is>
      </c>
      <c r="I2675" t="n">
        <v>5.1</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37818-2025</t>
        </is>
      </c>
      <c r="B2676" t="inlineStr">
        <is>
          <t>avverkningsanmälan</t>
        </is>
      </c>
      <c r="C2676" t="inlineStr">
        <is>
          <t>Avverkning för annat ändamål</t>
        </is>
      </c>
      <c r="D2676" s="1" t="n">
        <v>45881</v>
      </c>
      <c r="E2676" s="1" t="n">
        <v>46307</v>
      </c>
      <c r="F2676" t="inlineStr">
        <is>
          <t>VÄRMLANDS LÄN</t>
        </is>
      </c>
      <c r="G2676" t="inlineStr">
        <is>
          <t>TORSBY</t>
        </is>
      </c>
      <c r="I2676" t="n">
        <v>1.6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25932-2024</t>
        </is>
      </c>
      <c r="B2677" t="inlineStr">
        <is>
          <t>avverkningsanmälan</t>
        </is>
      </c>
      <c r="C2677" t="inlineStr">
        <is>
          <t>Föryngringsavverkning</t>
        </is>
      </c>
      <c r="D2677" s="1" t="n">
        <v>45467</v>
      </c>
      <c r="E2677" s="1" t="n">
        <v>46307</v>
      </c>
      <c r="F2677" t="inlineStr">
        <is>
          <t>VÄRMLANDS LÄN</t>
        </is>
      </c>
      <c r="G2677" t="inlineStr">
        <is>
          <t>TORSBY</t>
        </is>
      </c>
      <c r="I2677" t="n">
        <v>1.7</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13321-2023</t>
        </is>
      </c>
      <c r="B2678" t="inlineStr">
        <is>
          <t>avverkningsanmälan</t>
        </is>
      </c>
      <c r="C2678" t="inlineStr">
        <is>
          <t>Föryngringsavverkning</t>
        </is>
      </c>
      <c r="D2678" s="1" t="n">
        <v>45005</v>
      </c>
      <c r="E2678" s="1" t="n">
        <v>46307</v>
      </c>
      <c r="F2678" t="inlineStr">
        <is>
          <t>VÄRMLANDS LÄN</t>
        </is>
      </c>
      <c r="G2678" t="inlineStr">
        <is>
          <t>SÄFFLE</t>
        </is>
      </c>
      <c r="H2678" t="inlineStr">
        <is>
          <t>Kommuner</t>
        </is>
      </c>
      <c r="I2678" t="n">
        <v>3.5</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22914-2023</t>
        </is>
      </c>
      <c r="B2679" t="inlineStr">
        <is>
          <t>avverkningsanmälan</t>
        </is>
      </c>
      <c r="C2679" t="inlineStr">
        <is>
          <t>Föryngringsavverkning</t>
        </is>
      </c>
      <c r="D2679" s="1" t="n">
        <v>45072</v>
      </c>
      <c r="E2679" s="1" t="n">
        <v>46307</v>
      </c>
      <c r="F2679" t="inlineStr">
        <is>
          <t>VÄRMLANDS LÄN</t>
        </is>
      </c>
      <c r="G2679" t="inlineStr">
        <is>
          <t>ARVIKA</t>
        </is>
      </c>
      <c r="I2679" t="n">
        <v>4.1</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58815-2024</t>
        </is>
      </c>
      <c r="B2680" t="inlineStr">
        <is>
          <t>avverkningsanmälan</t>
        </is>
      </c>
      <c r="C2680" t="inlineStr">
        <is>
          <t>Föryngringsavverkning</t>
        </is>
      </c>
      <c r="D2680" s="1" t="n">
        <v>45636</v>
      </c>
      <c r="E2680" s="1" t="n">
        <v>46307</v>
      </c>
      <c r="F2680" t="inlineStr">
        <is>
          <t>VÄRMLANDS LÄN</t>
        </is>
      </c>
      <c r="G2680" t="inlineStr">
        <is>
          <t>EDA</t>
        </is>
      </c>
      <c r="H2680" t="inlineStr">
        <is>
          <t>Bergvik skog väst AB</t>
        </is>
      </c>
      <c r="I2680" t="n">
        <v>1.5</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8795-2023</t>
        </is>
      </c>
      <c r="B2681" t="inlineStr">
        <is>
          <t>avverkningsanmälan</t>
        </is>
      </c>
      <c r="C2681" t="inlineStr">
        <is>
          <t>Avverkning för annat ändamål</t>
        </is>
      </c>
      <c r="D2681" s="1" t="n">
        <v>44978</v>
      </c>
      <c r="E2681" s="1" t="n">
        <v>46307</v>
      </c>
      <c r="F2681" t="inlineStr">
        <is>
          <t>VÄRMLANDS LÄN</t>
        </is>
      </c>
      <c r="G2681" t="inlineStr">
        <is>
          <t>ARVIKA</t>
        </is>
      </c>
      <c r="I2681" t="n">
        <v>0.3</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8941-2023</t>
        </is>
      </c>
      <c r="B2682" t="inlineStr">
        <is>
          <t>avverkningsanmälan</t>
        </is>
      </c>
      <c r="C2682" t="inlineStr">
        <is>
          <t>Föryngringsavverkning</t>
        </is>
      </c>
      <c r="D2682" s="1" t="n">
        <v>44979</v>
      </c>
      <c r="E2682" s="1" t="n">
        <v>46307</v>
      </c>
      <c r="F2682" t="inlineStr">
        <is>
          <t>VÄRMLANDS LÄN</t>
        </is>
      </c>
      <c r="G2682" t="inlineStr">
        <is>
          <t>SUNNE</t>
        </is>
      </c>
      <c r="I2682" t="n">
        <v>2.8</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5861-2023</t>
        </is>
      </c>
      <c r="B2683" t="inlineStr">
        <is>
          <t>avverkningsanmälan</t>
        </is>
      </c>
      <c r="C2683" t="inlineStr">
        <is>
          <t>Föryngringsavverkning</t>
        </is>
      </c>
      <c r="D2683" s="1" t="n">
        <v>44959</v>
      </c>
      <c r="E2683" s="1" t="n">
        <v>46307</v>
      </c>
      <c r="F2683" t="inlineStr">
        <is>
          <t>VÄRMLANDS LÄN</t>
        </is>
      </c>
      <c r="G2683" t="inlineStr">
        <is>
          <t>SUNNE</t>
        </is>
      </c>
      <c r="I2683" t="n">
        <v>2.1</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57159-2024</t>
        </is>
      </c>
      <c r="B2684" t="inlineStr">
        <is>
          <t>avverkningsanmälan</t>
        </is>
      </c>
      <c r="C2684" t="inlineStr">
        <is>
          <t>Föryngringsavverkning</t>
        </is>
      </c>
      <c r="D2684" s="1" t="n">
        <v>45629</v>
      </c>
      <c r="E2684" s="1" t="n">
        <v>46307</v>
      </c>
      <c r="F2684" t="inlineStr">
        <is>
          <t>VÄRMLANDS LÄN</t>
        </is>
      </c>
      <c r="G2684" t="inlineStr">
        <is>
          <t>HAGFORS</t>
        </is>
      </c>
      <c r="I2684" t="n">
        <v>1.9</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49030-2022</t>
        </is>
      </c>
      <c r="B2685" t="inlineStr">
        <is>
          <t>avverkningsanmälan</t>
        </is>
      </c>
      <c r="C2685" t="inlineStr">
        <is>
          <t>Avverkning för annat ändamål</t>
        </is>
      </c>
      <c r="D2685" s="1" t="n">
        <v>44860</v>
      </c>
      <c r="E2685" s="1" t="n">
        <v>46307</v>
      </c>
      <c r="F2685" t="inlineStr">
        <is>
          <t>VÄRMLANDS LÄN</t>
        </is>
      </c>
      <c r="G2685" t="inlineStr">
        <is>
          <t>SUNNE</t>
        </is>
      </c>
      <c r="I2685" t="n">
        <v>0.3</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39780-2022</t>
        </is>
      </c>
      <c r="B2686" t="inlineStr">
        <is>
          <t>avverkningsanmälan</t>
        </is>
      </c>
      <c r="C2686" t="inlineStr">
        <is>
          <t>Föryngringsavverkning</t>
        </is>
      </c>
      <c r="D2686" s="1" t="n">
        <v>44819</v>
      </c>
      <c r="E2686" s="1" t="n">
        <v>46307</v>
      </c>
      <c r="F2686" t="inlineStr">
        <is>
          <t>VÄRMLANDS LÄN</t>
        </is>
      </c>
      <c r="G2686" t="inlineStr">
        <is>
          <t>TORSBY</t>
        </is>
      </c>
      <c r="I2686" t="n">
        <v>0.7</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60167-2023</t>
        </is>
      </c>
      <c r="B2687" t="inlineStr">
        <is>
          <t>avverkningsanmälan</t>
        </is>
      </c>
      <c r="C2687" t="inlineStr">
        <is>
          <t>Avverkning för annat ändamål</t>
        </is>
      </c>
      <c r="D2687" s="1" t="n">
        <v>45258</v>
      </c>
      <c r="E2687" s="1" t="n">
        <v>46307</v>
      </c>
      <c r="F2687" t="inlineStr">
        <is>
          <t>VÄRMLANDS LÄN</t>
        </is>
      </c>
      <c r="G2687" t="inlineStr">
        <is>
          <t>HAGFORS</t>
        </is>
      </c>
      <c r="I2687" t="n">
        <v>0.4</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60172-2023</t>
        </is>
      </c>
      <c r="B2688" t="inlineStr">
        <is>
          <t>avverkningsanmälan</t>
        </is>
      </c>
      <c r="C2688" t="inlineStr">
        <is>
          <t>Föryngringsavverkning</t>
        </is>
      </c>
      <c r="D2688" s="1" t="n">
        <v>45257</v>
      </c>
      <c r="E2688" s="1" t="n">
        <v>46307</v>
      </c>
      <c r="F2688" t="inlineStr">
        <is>
          <t>VÄRMLANDS LÄN</t>
        </is>
      </c>
      <c r="G2688" t="inlineStr">
        <is>
          <t>ÅRJÄNG</t>
        </is>
      </c>
      <c r="I2688" t="n">
        <v>2.1</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57356-2021</t>
        </is>
      </c>
      <c r="B2689" t="inlineStr">
        <is>
          <t>avverkningsanmälan</t>
        </is>
      </c>
      <c r="C2689" t="inlineStr">
        <is>
          <t>Föryngringsavverkning</t>
        </is>
      </c>
      <c r="D2689" s="1" t="n">
        <v>44483</v>
      </c>
      <c r="E2689" s="1" t="n">
        <v>46307</v>
      </c>
      <c r="F2689" t="inlineStr">
        <is>
          <t>VÄRMLANDS LÄN</t>
        </is>
      </c>
      <c r="G2689" t="inlineStr">
        <is>
          <t>EDA</t>
        </is>
      </c>
      <c r="I2689" t="n">
        <v>6.6</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38289-2025</t>
        </is>
      </c>
      <c r="B2690" t="inlineStr">
        <is>
          <t>avverkningsanmälan</t>
        </is>
      </c>
      <c r="C2690" t="inlineStr">
        <is>
          <t>Föryngringsavverkning</t>
        </is>
      </c>
      <c r="D2690" s="1" t="n">
        <v>45883</v>
      </c>
      <c r="E2690" s="1" t="n">
        <v>46307</v>
      </c>
      <c r="F2690" t="inlineStr">
        <is>
          <t>VÄRMLANDS LÄN</t>
        </is>
      </c>
      <c r="G2690" t="inlineStr">
        <is>
          <t>SUNNE</t>
        </is>
      </c>
      <c r="I2690" t="n">
        <v>14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38292-2025</t>
        </is>
      </c>
      <c r="B2691" t="inlineStr">
        <is>
          <t>avverkningsanmälan</t>
        </is>
      </c>
      <c r="C2691" t="inlineStr">
        <is>
          <t>Föryngringsavverkning</t>
        </is>
      </c>
      <c r="D2691" s="1" t="n">
        <v>45883</v>
      </c>
      <c r="E2691" s="1" t="n">
        <v>46307</v>
      </c>
      <c r="F2691" t="inlineStr">
        <is>
          <t>VÄRMLANDS LÄN</t>
        </is>
      </c>
      <c r="G2691" t="inlineStr">
        <is>
          <t>EDA</t>
        </is>
      </c>
      <c r="I2691" t="n">
        <v>2.6</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24261-2024</t>
        </is>
      </c>
      <c r="B2692" t="inlineStr">
        <is>
          <t>avverkningsanmälan</t>
        </is>
      </c>
      <c r="C2692" t="inlineStr">
        <is>
          <t>Föryngringsavverkning</t>
        </is>
      </c>
      <c r="D2692" s="1" t="n">
        <v>45457</v>
      </c>
      <c r="E2692" s="1" t="n">
        <v>46307</v>
      </c>
      <c r="F2692" t="inlineStr">
        <is>
          <t>VÄRMLANDS LÄN</t>
        </is>
      </c>
      <c r="G2692" t="inlineStr">
        <is>
          <t>TORSBY</t>
        </is>
      </c>
      <c r="I2692" t="n">
        <v>3.5</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3463-2025</t>
        </is>
      </c>
      <c r="B2693" t="inlineStr">
        <is>
          <t>avverkningsanmälan</t>
        </is>
      </c>
      <c r="C2693" t="inlineStr">
        <is>
          <t>Föryngringsavverkning</t>
        </is>
      </c>
      <c r="D2693" s="1" t="n">
        <v>45680</v>
      </c>
      <c r="E2693" s="1" t="n">
        <v>46307</v>
      </c>
      <c r="F2693" t="inlineStr">
        <is>
          <t>VÄRMLANDS LÄN</t>
        </is>
      </c>
      <c r="G2693" t="inlineStr">
        <is>
          <t>ÅRJÄNG</t>
        </is>
      </c>
      <c r="I2693" t="n">
        <v>0.8</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4640-2022</t>
        </is>
      </c>
      <c r="B2694" t="inlineStr">
        <is>
          <t>avverkningsanmälan</t>
        </is>
      </c>
      <c r="C2694" t="inlineStr">
        <is>
          <t>Föryngringsavverkning</t>
        </is>
      </c>
      <c r="D2694" s="1" t="n">
        <v>44592</v>
      </c>
      <c r="E2694" s="1" t="n">
        <v>46307</v>
      </c>
      <c r="F2694" t="inlineStr">
        <is>
          <t>VÄRMLANDS LÄN</t>
        </is>
      </c>
      <c r="G2694" t="inlineStr">
        <is>
          <t>TORSBY</t>
        </is>
      </c>
      <c r="I2694" t="n">
        <v>9</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28023-2023</t>
        </is>
      </c>
      <c r="B2695" t="inlineStr">
        <is>
          <t>avverkningsanmälan</t>
        </is>
      </c>
      <c r="C2695" t="inlineStr">
        <is>
          <t>Föryngringsavverkning</t>
        </is>
      </c>
      <c r="D2695" s="1" t="n">
        <v>45098</v>
      </c>
      <c r="E2695" s="1" t="n">
        <v>46307</v>
      </c>
      <c r="F2695" t="inlineStr">
        <is>
          <t>VÄRMLANDS LÄN</t>
        </is>
      </c>
      <c r="G2695" t="inlineStr">
        <is>
          <t>SUNNE</t>
        </is>
      </c>
      <c r="I2695" t="n">
        <v>2.6</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27578-2024</t>
        </is>
      </c>
      <c r="B2696" t="inlineStr">
        <is>
          <t>avverkningsanmälan</t>
        </is>
      </c>
      <c r="C2696" t="inlineStr">
        <is>
          <t>Föryngringsavverkning</t>
        </is>
      </c>
      <c r="D2696" s="1" t="n">
        <v>45474</v>
      </c>
      <c r="E2696" s="1" t="n">
        <v>46307</v>
      </c>
      <c r="F2696" t="inlineStr">
        <is>
          <t>VÄRMLANDS LÄN</t>
        </is>
      </c>
      <c r="G2696" t="inlineStr">
        <is>
          <t>ARVIKA</t>
        </is>
      </c>
      <c r="I2696" t="n">
        <v>1.1</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48781-2024</t>
        </is>
      </c>
      <c r="B2697" t="inlineStr">
        <is>
          <t>avverkningsanmälan</t>
        </is>
      </c>
      <c r="C2697" t="inlineStr">
        <is>
          <t>Föryngringsavverkning</t>
        </is>
      </c>
      <c r="D2697" s="1" t="n">
        <v>45593</v>
      </c>
      <c r="E2697" s="1" t="n">
        <v>46307</v>
      </c>
      <c r="F2697" t="inlineStr">
        <is>
          <t>VÄRMLANDS LÄN</t>
        </is>
      </c>
      <c r="G2697" t="inlineStr">
        <is>
          <t>ÅRJÄNG</t>
        </is>
      </c>
      <c r="I2697" t="n">
        <v>8.800000000000001</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28650-2024</t>
        </is>
      </c>
      <c r="B2698" t="inlineStr">
        <is>
          <t>avverkningsanmälan</t>
        </is>
      </c>
      <c r="C2698" t="inlineStr">
        <is>
          <t>Föryngringsavverkning</t>
        </is>
      </c>
      <c r="D2698" s="1" t="n">
        <v>45478</v>
      </c>
      <c r="E2698" s="1" t="n">
        <v>46307</v>
      </c>
      <c r="F2698" t="inlineStr">
        <is>
          <t>VÄRMLANDS LÄN</t>
        </is>
      </c>
      <c r="G2698" t="inlineStr">
        <is>
          <t>SUNNE</t>
        </is>
      </c>
      <c r="I2698" t="n">
        <v>2</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36293-2023</t>
        </is>
      </c>
      <c r="B2699" t="inlineStr">
        <is>
          <t>avverkningsanmälan</t>
        </is>
      </c>
      <c r="C2699" t="inlineStr">
        <is>
          <t>Föryngringsavverkning</t>
        </is>
      </c>
      <c r="D2699" s="1" t="n">
        <v>45152</v>
      </c>
      <c r="E2699" s="1" t="n">
        <v>46307</v>
      </c>
      <c r="F2699" t="inlineStr">
        <is>
          <t>VÄRMLANDS LÄN</t>
        </is>
      </c>
      <c r="G2699" t="inlineStr">
        <is>
          <t>HAGFORS</t>
        </is>
      </c>
      <c r="I2699" t="n">
        <v>5.9</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60058-2023</t>
        </is>
      </c>
      <c r="B2700" t="inlineStr">
        <is>
          <t>avverkningsanmälan</t>
        </is>
      </c>
      <c r="C2700" t="inlineStr">
        <is>
          <t>Föryngringsavverkning</t>
        </is>
      </c>
      <c r="D2700" s="1" t="n">
        <v>45258</v>
      </c>
      <c r="E2700" s="1" t="n">
        <v>46307</v>
      </c>
      <c r="F2700" t="inlineStr">
        <is>
          <t>VÄRMLANDS LÄN</t>
        </is>
      </c>
      <c r="G2700" t="inlineStr">
        <is>
          <t>TORSBY</t>
        </is>
      </c>
      <c r="I2700" t="n">
        <v>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34347-2023</t>
        </is>
      </c>
      <c r="B2701" t="inlineStr">
        <is>
          <t>avverkningsanmälan</t>
        </is>
      </c>
      <c r="C2701" t="inlineStr">
        <is>
          <t>Föryngringsavverkning</t>
        </is>
      </c>
      <c r="D2701" s="1" t="n">
        <v>45131</v>
      </c>
      <c r="E2701" s="1" t="n">
        <v>46307</v>
      </c>
      <c r="F2701" t="inlineStr">
        <is>
          <t>VÄRMLANDS LÄN</t>
        </is>
      </c>
      <c r="G2701" t="inlineStr">
        <is>
          <t>ARVIKA</t>
        </is>
      </c>
      <c r="H2701" t="inlineStr">
        <is>
          <t>Övriga Aktiebolag</t>
        </is>
      </c>
      <c r="I2701" t="n">
        <v>22.7</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23940-2023</t>
        </is>
      </c>
      <c r="B2702" t="inlineStr">
        <is>
          <t>avverkningsanmälan</t>
        </is>
      </c>
      <c r="C2702" t="inlineStr">
        <is>
          <t>Föryngringsavverkning</t>
        </is>
      </c>
      <c r="D2702" s="1" t="n">
        <v>45075</v>
      </c>
      <c r="E2702" s="1" t="n">
        <v>46307</v>
      </c>
      <c r="F2702" t="inlineStr">
        <is>
          <t>VÄRMLANDS LÄN</t>
        </is>
      </c>
      <c r="G2702" t="inlineStr">
        <is>
          <t>ÅRJÄNG</t>
        </is>
      </c>
      <c r="I2702" t="n">
        <v>1.3</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64304-2023</t>
        </is>
      </c>
      <c r="B2703" t="inlineStr">
        <is>
          <t>avverkningsanmälan</t>
        </is>
      </c>
      <c r="C2703" t="inlineStr">
        <is>
          <t>Föryngringsavverkning</t>
        </is>
      </c>
      <c r="D2703" s="1" t="n">
        <v>45280</v>
      </c>
      <c r="E2703" s="1" t="n">
        <v>46307</v>
      </c>
      <c r="F2703" t="inlineStr">
        <is>
          <t>VÄRMLANDS LÄN</t>
        </is>
      </c>
      <c r="G2703" t="inlineStr">
        <is>
          <t>GRUMS</t>
        </is>
      </c>
      <c r="I2703" t="n">
        <v>1.2</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15125-2025</t>
        </is>
      </c>
      <c r="B2704" t="inlineStr">
        <is>
          <t>avverkningsanmälan</t>
        </is>
      </c>
      <c r="C2704" t="inlineStr">
        <is>
          <t>Föryngringsavverkning</t>
        </is>
      </c>
      <c r="D2704" s="1" t="n">
        <v>45744</v>
      </c>
      <c r="E2704" s="1" t="n">
        <v>46307</v>
      </c>
      <c r="F2704" t="inlineStr">
        <is>
          <t>VÄRMLANDS LÄN</t>
        </is>
      </c>
      <c r="G2704" t="inlineStr">
        <is>
          <t>MUNKFORS</t>
        </is>
      </c>
      <c r="I2704" t="n">
        <v>1.2</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50831-2022</t>
        </is>
      </c>
      <c r="B2705" t="inlineStr">
        <is>
          <t>avverkningsanmälan</t>
        </is>
      </c>
      <c r="C2705" t="inlineStr">
        <is>
          <t>Föryngringsavverkning</t>
        </is>
      </c>
      <c r="D2705" s="1" t="n">
        <v>44867</v>
      </c>
      <c r="E2705" s="1" t="n">
        <v>46307</v>
      </c>
      <c r="F2705" t="inlineStr">
        <is>
          <t>VÄRMLANDS LÄN</t>
        </is>
      </c>
      <c r="G2705" t="inlineStr">
        <is>
          <t>EDA</t>
        </is>
      </c>
      <c r="I2705" t="n">
        <v>1</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9916-2023</t>
        </is>
      </c>
      <c r="B2706" t="inlineStr">
        <is>
          <t>avverkningsanmälan</t>
        </is>
      </c>
      <c r="C2706" t="inlineStr">
        <is>
          <t>Föryngringsavverkning</t>
        </is>
      </c>
      <c r="D2706" s="1" t="n">
        <v>44985</v>
      </c>
      <c r="E2706" s="1" t="n">
        <v>46307</v>
      </c>
      <c r="F2706" t="inlineStr">
        <is>
          <t>VÄRMLANDS LÄN</t>
        </is>
      </c>
      <c r="G2706" t="inlineStr">
        <is>
          <t>ARVIKA</t>
        </is>
      </c>
      <c r="I2706" t="n">
        <v>10.8</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10032-2023</t>
        </is>
      </c>
      <c r="B2707" t="inlineStr">
        <is>
          <t>avverkningsanmälan</t>
        </is>
      </c>
      <c r="C2707" t="inlineStr">
        <is>
          <t>Föryngringsavverkning</t>
        </is>
      </c>
      <c r="D2707" s="1" t="n">
        <v>44985</v>
      </c>
      <c r="E2707" s="1" t="n">
        <v>46307</v>
      </c>
      <c r="F2707" t="inlineStr">
        <is>
          <t>VÄRMLANDS LÄN</t>
        </is>
      </c>
      <c r="G2707" t="inlineStr">
        <is>
          <t>KRISTINEHAMN</t>
        </is>
      </c>
      <c r="I2707" t="n">
        <v>4.9</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54690-2022</t>
        </is>
      </c>
      <c r="B2708" t="inlineStr">
        <is>
          <t>avverkningsanmälan</t>
        </is>
      </c>
      <c r="C2708" t="inlineStr">
        <is>
          <t>Föryngringsavverkning</t>
        </is>
      </c>
      <c r="D2708" s="1" t="n">
        <v>44883</v>
      </c>
      <c r="E2708" s="1" t="n">
        <v>46307</v>
      </c>
      <c r="F2708" t="inlineStr">
        <is>
          <t>VÄRMLANDS LÄN</t>
        </is>
      </c>
      <c r="G2708" t="inlineStr">
        <is>
          <t>KRISTINEHAMN</t>
        </is>
      </c>
      <c r="I2708" t="n">
        <v>11.1</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10306-2025</t>
        </is>
      </c>
      <c r="B2709" t="inlineStr">
        <is>
          <t>avverkningsanmälan</t>
        </is>
      </c>
      <c r="C2709" t="inlineStr">
        <is>
          <t>Föryngringsavverkning</t>
        </is>
      </c>
      <c r="D2709" s="1" t="n">
        <v>45720</v>
      </c>
      <c r="E2709" s="1" t="n">
        <v>46307</v>
      </c>
      <c r="F2709" t="inlineStr">
        <is>
          <t>VÄRMLANDS LÄN</t>
        </is>
      </c>
      <c r="G2709" t="inlineStr">
        <is>
          <t>FILIPSTAD</t>
        </is>
      </c>
      <c r="H2709" t="inlineStr">
        <is>
          <t>Bergvik skog väst AB</t>
        </is>
      </c>
      <c r="I2709" t="n">
        <v>3.1</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11020-2023</t>
        </is>
      </c>
      <c r="B2710" t="inlineStr">
        <is>
          <t>avverkningsanmälan</t>
        </is>
      </c>
      <c r="C2710" t="inlineStr">
        <is>
          <t>Föryngringsavverkning</t>
        </is>
      </c>
      <c r="D2710" s="1" t="n">
        <v>44991</v>
      </c>
      <c r="E2710" s="1" t="n">
        <v>46307</v>
      </c>
      <c r="F2710" t="inlineStr">
        <is>
          <t>VÄRMLANDS LÄN</t>
        </is>
      </c>
      <c r="G2710" t="inlineStr">
        <is>
          <t>KRISTINEHAMN</t>
        </is>
      </c>
      <c r="I2710" t="n">
        <v>1.9</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38311-2025</t>
        </is>
      </c>
      <c r="B2711" t="inlineStr">
        <is>
          <t>avverkningsanmälan</t>
        </is>
      </c>
      <c r="C2711" t="inlineStr">
        <is>
          <t>Föryngringsavverkning</t>
        </is>
      </c>
      <c r="D2711" s="1" t="n">
        <v>45883</v>
      </c>
      <c r="E2711" s="1" t="n">
        <v>46307</v>
      </c>
      <c r="F2711" t="inlineStr">
        <is>
          <t>VÄRMLANDS LÄN</t>
        </is>
      </c>
      <c r="G2711" t="inlineStr">
        <is>
          <t>ARVIKA</t>
        </is>
      </c>
      <c r="I2711" t="n">
        <v>3.8</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46535-2024</t>
        </is>
      </c>
      <c r="B2712" t="inlineStr">
        <is>
          <t>avverkningsanmälan</t>
        </is>
      </c>
      <c r="C2712" t="inlineStr">
        <is>
          <t>Föryngringsavverkning</t>
        </is>
      </c>
      <c r="D2712" s="1" t="n">
        <v>45582</v>
      </c>
      <c r="E2712" s="1" t="n">
        <v>46307</v>
      </c>
      <c r="F2712" t="inlineStr">
        <is>
          <t>VÄRMLANDS LÄN</t>
        </is>
      </c>
      <c r="G2712" t="inlineStr">
        <is>
          <t>EDA</t>
        </is>
      </c>
      <c r="I2712" t="n">
        <v>1</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4404-2025</t>
        </is>
      </c>
      <c r="B2713" t="inlineStr">
        <is>
          <t>avverkningsanmälan</t>
        </is>
      </c>
      <c r="C2713" t="inlineStr">
        <is>
          <t>Föryngringsavverkning</t>
        </is>
      </c>
      <c r="D2713" s="1" t="n">
        <v>45686</v>
      </c>
      <c r="E2713" s="1" t="n">
        <v>46307</v>
      </c>
      <c r="F2713" t="inlineStr">
        <is>
          <t>VÄRMLANDS LÄN</t>
        </is>
      </c>
      <c r="G2713" t="inlineStr">
        <is>
          <t>ÅRJÄNG</t>
        </is>
      </c>
      <c r="H2713" t="inlineStr">
        <is>
          <t>Kyrkan</t>
        </is>
      </c>
      <c r="I2713" t="n">
        <v>4.8</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27347-2024</t>
        </is>
      </c>
      <c r="B2714" t="inlineStr">
        <is>
          <t>avverkningsanmälan</t>
        </is>
      </c>
      <c r="C2714" t="inlineStr">
        <is>
          <t>Föryngringsavverkning</t>
        </is>
      </c>
      <c r="D2714" s="1" t="n">
        <v>45473</v>
      </c>
      <c r="E2714" s="1" t="n">
        <v>46307</v>
      </c>
      <c r="F2714" t="inlineStr">
        <is>
          <t>VÄRMLANDS LÄN</t>
        </is>
      </c>
      <c r="G2714" t="inlineStr">
        <is>
          <t>TORSBY</t>
        </is>
      </c>
      <c r="I2714" t="n">
        <v>1.2</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9762-2023</t>
        </is>
      </c>
      <c r="B2715" t="inlineStr">
        <is>
          <t>avverkningsanmälan</t>
        </is>
      </c>
      <c r="C2715" t="inlineStr">
        <is>
          <t>Föryngringsavverkning</t>
        </is>
      </c>
      <c r="D2715" s="1" t="n">
        <v>44984</v>
      </c>
      <c r="E2715" s="1" t="n">
        <v>46307</v>
      </c>
      <c r="F2715" t="inlineStr">
        <is>
          <t>VÄRMLANDS LÄN</t>
        </is>
      </c>
      <c r="G2715" t="inlineStr">
        <is>
          <t>KARLSTAD</t>
        </is>
      </c>
      <c r="I2715" t="n">
        <v>2.7</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9795-2023</t>
        </is>
      </c>
      <c r="B2716" t="inlineStr">
        <is>
          <t>avverkningsanmälan</t>
        </is>
      </c>
      <c r="C2716" t="inlineStr">
        <is>
          <t>Föryngringsavverkning</t>
        </is>
      </c>
      <c r="D2716" s="1" t="n">
        <v>44984</v>
      </c>
      <c r="E2716" s="1" t="n">
        <v>46307</v>
      </c>
      <c r="F2716" t="inlineStr">
        <is>
          <t>VÄRMLANDS LÄN</t>
        </is>
      </c>
      <c r="G2716" t="inlineStr">
        <is>
          <t>HAGFORS</t>
        </is>
      </c>
      <c r="I2716" t="n">
        <v>3</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16210-2025</t>
        </is>
      </c>
      <c r="B2717" t="inlineStr">
        <is>
          <t>avverkningsanmälan</t>
        </is>
      </c>
      <c r="C2717" t="inlineStr">
        <is>
          <t>Föryngringsavverkning</t>
        </is>
      </c>
      <c r="D2717" s="1" t="n">
        <v>45750</v>
      </c>
      <c r="E2717" s="1" t="n">
        <v>46307</v>
      </c>
      <c r="F2717" t="inlineStr">
        <is>
          <t>VÄRMLANDS LÄN</t>
        </is>
      </c>
      <c r="G2717" t="inlineStr">
        <is>
          <t>TORSBY</t>
        </is>
      </c>
      <c r="H2717" t="inlineStr">
        <is>
          <t>Bergvik skog väst AB</t>
        </is>
      </c>
      <c r="I2717" t="n">
        <v>10.7</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2384-2022</t>
        </is>
      </c>
      <c r="B2718" t="inlineStr">
        <is>
          <t>avverkningsanmälan</t>
        </is>
      </c>
      <c r="C2718" t="inlineStr">
        <is>
          <t>Föryngringsavverkning</t>
        </is>
      </c>
      <c r="D2718" s="1" t="n">
        <v>44579</v>
      </c>
      <c r="E2718" s="1" t="n">
        <v>46307</v>
      </c>
      <c r="F2718" t="inlineStr">
        <is>
          <t>VÄRMLANDS LÄN</t>
        </is>
      </c>
      <c r="G2718" t="inlineStr">
        <is>
          <t>SUNNE</t>
        </is>
      </c>
      <c r="I2718" t="n">
        <v>3.6</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36303-2024</t>
        </is>
      </c>
      <c r="B2719" t="inlineStr">
        <is>
          <t>avverkningsanmälan</t>
        </is>
      </c>
      <c r="C2719" t="inlineStr">
        <is>
          <t>Avverkning för annat ändamål</t>
        </is>
      </c>
      <c r="D2719" s="1" t="n">
        <v>45534</v>
      </c>
      <c r="E2719" s="1" t="n">
        <v>46307</v>
      </c>
      <c r="F2719" t="inlineStr">
        <is>
          <t>VÄRMLANDS LÄN</t>
        </is>
      </c>
      <c r="G2719" t="inlineStr">
        <is>
          <t>ARVIKA</t>
        </is>
      </c>
      <c r="I2719" t="n">
        <v>0</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46515-2023</t>
        </is>
      </c>
      <c r="B2720" t="inlineStr">
        <is>
          <t>avverkningsanmälan</t>
        </is>
      </c>
      <c r="C2720" t="inlineStr">
        <is>
          <t>Föryngringsavverkning</t>
        </is>
      </c>
      <c r="D2720" s="1" t="n">
        <v>45197</v>
      </c>
      <c r="E2720" s="1" t="n">
        <v>46307</v>
      </c>
      <c r="F2720" t="inlineStr">
        <is>
          <t>VÄRMLANDS LÄN</t>
        </is>
      </c>
      <c r="G2720" t="inlineStr">
        <is>
          <t>ARVIKA</t>
        </is>
      </c>
      <c r="I2720" t="n">
        <v>1.1</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39536-2022</t>
        </is>
      </c>
      <c r="B2721" t="inlineStr">
        <is>
          <t>avverkningsanmälan</t>
        </is>
      </c>
      <c r="C2721" t="inlineStr">
        <is>
          <t>Föryngringsavverkning</t>
        </is>
      </c>
      <c r="D2721" s="1" t="n">
        <v>44818</v>
      </c>
      <c r="E2721" s="1" t="n">
        <v>46307</v>
      </c>
      <c r="F2721" t="inlineStr">
        <is>
          <t>VÄRMLANDS LÄN</t>
        </is>
      </c>
      <c r="G2721" t="inlineStr">
        <is>
          <t>ÅRJÄNG</t>
        </is>
      </c>
      <c r="I2721" t="n">
        <v>0.9</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43545-2023</t>
        </is>
      </c>
      <c r="B2722" t="inlineStr">
        <is>
          <t>avverkningsanmälan</t>
        </is>
      </c>
      <c r="C2722" t="inlineStr">
        <is>
          <t>Föryngringsavverkning</t>
        </is>
      </c>
      <c r="D2722" s="1" t="n">
        <v>45184</v>
      </c>
      <c r="E2722" s="1" t="n">
        <v>46307</v>
      </c>
      <c r="F2722" t="inlineStr">
        <is>
          <t>VÄRMLANDS LÄN</t>
        </is>
      </c>
      <c r="G2722" t="inlineStr">
        <is>
          <t>KARLSTAD</t>
        </is>
      </c>
      <c r="I2722" t="n">
        <v>2.3</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27053-2023</t>
        </is>
      </c>
      <c r="B2723" t="inlineStr">
        <is>
          <t>avverkningsanmälan</t>
        </is>
      </c>
      <c r="C2723" t="inlineStr">
        <is>
          <t>Föryngringsavverkning</t>
        </is>
      </c>
      <c r="D2723" s="1" t="n">
        <v>45095</v>
      </c>
      <c r="E2723" s="1" t="n">
        <v>46307</v>
      </c>
      <c r="F2723" t="inlineStr">
        <is>
          <t>VÄRMLANDS LÄN</t>
        </is>
      </c>
      <c r="G2723" t="inlineStr">
        <is>
          <t>SUNNE</t>
        </is>
      </c>
      <c r="I2723" t="n">
        <v>4.4</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25954-2023</t>
        </is>
      </c>
      <c r="B2724" t="inlineStr">
        <is>
          <t>avverkningsanmälan</t>
        </is>
      </c>
      <c r="C2724" t="inlineStr">
        <is>
          <t>Föryngringsavverkning</t>
        </is>
      </c>
      <c r="D2724" s="1" t="n">
        <v>45090</v>
      </c>
      <c r="E2724" s="1" t="n">
        <v>46307</v>
      </c>
      <c r="F2724" t="inlineStr">
        <is>
          <t>VÄRMLANDS LÄN</t>
        </is>
      </c>
      <c r="G2724" t="inlineStr">
        <is>
          <t>ARVIKA</t>
        </is>
      </c>
      <c r="I2724" t="n">
        <v>6.6</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26833-2024</t>
        </is>
      </c>
      <c r="B2725" t="inlineStr">
        <is>
          <t>avverkningsanmälan</t>
        </is>
      </c>
      <c r="C2725" t="inlineStr">
        <is>
          <t>Föryngringsavverkning</t>
        </is>
      </c>
      <c r="D2725" s="1" t="n">
        <v>45470</v>
      </c>
      <c r="E2725" s="1" t="n">
        <v>46307</v>
      </c>
      <c r="F2725" t="inlineStr">
        <is>
          <t>VÄRMLANDS LÄN</t>
        </is>
      </c>
      <c r="G2725" t="inlineStr">
        <is>
          <t>ÅRJÄNG</t>
        </is>
      </c>
      <c r="H2725" t="inlineStr">
        <is>
          <t>Kyrkan</t>
        </is>
      </c>
      <c r="I2725" t="n">
        <v>7.9</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25816-2024</t>
        </is>
      </c>
      <c r="B2726" t="inlineStr">
        <is>
          <t>avverkningsanmälan</t>
        </is>
      </c>
      <c r="C2726" t="inlineStr">
        <is>
          <t>Föryngringsavverkning</t>
        </is>
      </c>
      <c r="D2726" s="1" t="n">
        <v>45467</v>
      </c>
      <c r="E2726" s="1" t="n">
        <v>46307</v>
      </c>
      <c r="F2726" t="inlineStr">
        <is>
          <t>VÄRMLANDS LÄN</t>
        </is>
      </c>
      <c r="G2726" t="inlineStr">
        <is>
          <t>SUNNE</t>
        </is>
      </c>
      <c r="I2726" t="n">
        <v>1.3</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6118-2024</t>
        </is>
      </c>
      <c r="B2727" t="inlineStr">
        <is>
          <t>avverkningsanmälan</t>
        </is>
      </c>
      <c r="C2727" t="inlineStr">
        <is>
          <t>Föryngringsavverkning</t>
        </is>
      </c>
      <c r="D2727" s="1" t="n">
        <v>45337</v>
      </c>
      <c r="E2727" s="1" t="n">
        <v>46307</v>
      </c>
      <c r="F2727" t="inlineStr">
        <is>
          <t>VÄRMLANDS LÄN</t>
        </is>
      </c>
      <c r="G2727" t="inlineStr">
        <is>
          <t>FORSHAGA</t>
        </is>
      </c>
      <c r="I2727" t="n">
        <v>4.4</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4421-2023</t>
        </is>
      </c>
      <c r="B2728" t="inlineStr">
        <is>
          <t>avverkningsanmälan</t>
        </is>
      </c>
      <c r="C2728" t="inlineStr">
        <is>
          <t>Föryngringsavverkning</t>
        </is>
      </c>
      <c r="D2728" s="1" t="n">
        <v>44956</v>
      </c>
      <c r="E2728" s="1" t="n">
        <v>46307</v>
      </c>
      <c r="F2728" t="inlineStr">
        <is>
          <t>VÄRMLANDS LÄN</t>
        </is>
      </c>
      <c r="G2728" t="inlineStr">
        <is>
          <t>EDA</t>
        </is>
      </c>
      <c r="I2728" t="n">
        <v>0.9</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9056-2023</t>
        </is>
      </c>
      <c r="B2729" t="inlineStr">
        <is>
          <t>avverkningsanmälan</t>
        </is>
      </c>
      <c r="C2729" t="inlineStr">
        <is>
          <t>Föryngringsavverkning</t>
        </is>
      </c>
      <c r="D2729" s="1" t="n">
        <v>44979</v>
      </c>
      <c r="E2729" s="1" t="n">
        <v>46307</v>
      </c>
      <c r="F2729" t="inlineStr">
        <is>
          <t>VÄRMLANDS LÄN</t>
        </is>
      </c>
      <c r="G2729" t="inlineStr">
        <is>
          <t>TORSBY</t>
        </is>
      </c>
      <c r="I2729" t="n">
        <v>2.2</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58869-2022</t>
        </is>
      </c>
      <c r="B2730" t="inlineStr">
        <is>
          <t>avverkningsanmälan</t>
        </is>
      </c>
      <c r="C2730" t="inlineStr">
        <is>
          <t>Föryngringsavverkning</t>
        </is>
      </c>
      <c r="D2730" s="1" t="n">
        <v>44903</v>
      </c>
      <c r="E2730" s="1" t="n">
        <v>46307</v>
      </c>
      <c r="F2730" t="inlineStr">
        <is>
          <t>VÄRMLANDS LÄN</t>
        </is>
      </c>
      <c r="G2730" t="inlineStr">
        <is>
          <t>TORSBY</t>
        </is>
      </c>
      <c r="I2730" t="n">
        <v>0.4</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3590-2024</t>
        </is>
      </c>
      <c r="B2731" t="inlineStr">
        <is>
          <t>avverkningsanmälan</t>
        </is>
      </c>
      <c r="C2731" t="inlineStr">
        <is>
          <t>Föryngringsavverkning</t>
        </is>
      </c>
      <c r="D2731" s="1" t="n">
        <v>45320</v>
      </c>
      <c r="E2731" s="1" t="n">
        <v>46307</v>
      </c>
      <c r="F2731" t="inlineStr">
        <is>
          <t>VÄRMLANDS LÄN</t>
        </is>
      </c>
      <c r="G2731" t="inlineStr">
        <is>
          <t>TORSBY</t>
        </is>
      </c>
      <c r="I2731" t="n">
        <v>3.5</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48591-2024</t>
        </is>
      </c>
      <c r="B2732" t="inlineStr">
        <is>
          <t>avverkningsanmälan</t>
        </is>
      </c>
      <c r="C2732" t="inlineStr">
        <is>
          <t>Föryngringsavverkning</t>
        </is>
      </c>
      <c r="D2732" s="1" t="n">
        <v>45593</v>
      </c>
      <c r="E2732" s="1" t="n">
        <v>46307</v>
      </c>
      <c r="F2732" t="inlineStr">
        <is>
          <t>VÄRMLANDS LÄN</t>
        </is>
      </c>
      <c r="G2732" t="inlineStr">
        <is>
          <t>STORFORS</t>
        </is>
      </c>
      <c r="I2732" t="n">
        <v>3.4</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5095-2022</t>
        </is>
      </c>
      <c r="B2733" t="inlineStr">
        <is>
          <t>avverkningsanmälan</t>
        </is>
      </c>
      <c r="C2733" t="inlineStr">
        <is>
          <t>Föryngringsavverkning</t>
        </is>
      </c>
      <c r="D2733" s="1" t="n">
        <v>44593</v>
      </c>
      <c r="E2733" s="1" t="n">
        <v>46307</v>
      </c>
      <c r="F2733" t="inlineStr">
        <is>
          <t>VÄRMLANDS LÄN</t>
        </is>
      </c>
      <c r="G2733" t="inlineStr">
        <is>
          <t>ÅRJÄNG</t>
        </is>
      </c>
      <c r="I2733" t="n">
        <v>3.3</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44484-2022</t>
        </is>
      </c>
      <c r="B2734" t="inlineStr">
        <is>
          <t>avverkningsanmälan</t>
        </is>
      </c>
      <c r="C2734" t="inlineStr">
        <is>
          <t>Föryngringsavverkning</t>
        </is>
      </c>
      <c r="D2734" s="1" t="n">
        <v>44840</v>
      </c>
      <c r="E2734" s="1" t="n">
        <v>46307</v>
      </c>
      <c r="F2734" t="inlineStr">
        <is>
          <t>VÄRMLANDS LÄN</t>
        </is>
      </c>
      <c r="G2734" t="inlineStr">
        <is>
          <t>SUNNE</t>
        </is>
      </c>
      <c r="I2734" t="n">
        <v>1.3</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33806-2024</t>
        </is>
      </c>
      <c r="B2735" t="inlineStr">
        <is>
          <t>avverkningsanmälan</t>
        </is>
      </c>
      <c r="C2735" t="inlineStr">
        <is>
          <t>Föryngringsavverkning</t>
        </is>
      </c>
      <c r="D2735" s="1" t="n">
        <v>45520</v>
      </c>
      <c r="E2735" s="1" t="n">
        <v>46307</v>
      </c>
      <c r="F2735" t="inlineStr">
        <is>
          <t>VÄRMLANDS LÄN</t>
        </is>
      </c>
      <c r="G2735" t="inlineStr">
        <is>
          <t>STORFORS</t>
        </is>
      </c>
      <c r="I2735" t="n">
        <v>1.1</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33809-2024</t>
        </is>
      </c>
      <c r="B2736" t="inlineStr">
        <is>
          <t>avverkningsanmälan</t>
        </is>
      </c>
      <c r="C2736" t="inlineStr">
        <is>
          <t>Föryngringsavverkning</t>
        </is>
      </c>
      <c r="D2736" s="1" t="n">
        <v>45520</v>
      </c>
      <c r="E2736" s="1" t="n">
        <v>46307</v>
      </c>
      <c r="F2736" t="inlineStr">
        <is>
          <t>VÄRMLANDS LÄN</t>
        </is>
      </c>
      <c r="G2736" t="inlineStr">
        <is>
          <t>KARLSTAD</t>
        </is>
      </c>
      <c r="I2736" t="n">
        <v>1</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22421-2024</t>
        </is>
      </c>
      <c r="B2737" t="inlineStr">
        <is>
          <t>avverkningsanmälan</t>
        </is>
      </c>
      <c r="C2737" t="inlineStr">
        <is>
          <t>Föryngringsavverkning</t>
        </is>
      </c>
      <c r="D2737" s="1" t="n">
        <v>45446</v>
      </c>
      <c r="E2737" s="1" t="n">
        <v>46307</v>
      </c>
      <c r="F2737" t="inlineStr">
        <is>
          <t>VÄRMLANDS LÄN</t>
        </is>
      </c>
      <c r="G2737" t="inlineStr">
        <is>
          <t>TORSBY</t>
        </is>
      </c>
      <c r="I2737" t="n">
        <v>8.9</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23114-2024</t>
        </is>
      </c>
      <c r="B2738" t="inlineStr">
        <is>
          <t>avverkningsanmälan</t>
        </is>
      </c>
      <c r="C2738" t="inlineStr">
        <is>
          <t>Föryngringsavverkning</t>
        </is>
      </c>
      <c r="D2738" s="1" t="n">
        <v>45450</v>
      </c>
      <c r="E2738" s="1" t="n">
        <v>46307</v>
      </c>
      <c r="F2738" t="inlineStr">
        <is>
          <t>VÄRMLANDS LÄN</t>
        </is>
      </c>
      <c r="G2738" t="inlineStr">
        <is>
          <t>KARLSTAD</t>
        </is>
      </c>
      <c r="I2738" t="n">
        <v>10.7</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1275-2024</t>
        </is>
      </c>
      <c r="B2739" t="inlineStr">
        <is>
          <t>avverkningsanmälan</t>
        </is>
      </c>
      <c r="C2739" t="inlineStr">
        <is>
          <t>Föryngringsavverkning</t>
        </is>
      </c>
      <c r="D2739" s="1" t="n">
        <v>45302</v>
      </c>
      <c r="E2739" s="1" t="n">
        <v>46307</v>
      </c>
      <c r="F2739" t="inlineStr">
        <is>
          <t>VÄRMLANDS LÄN</t>
        </is>
      </c>
      <c r="G2739" t="inlineStr">
        <is>
          <t>TORSBY</t>
        </is>
      </c>
      <c r="I2739" t="n">
        <v>1.1</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36959-2022</t>
        </is>
      </c>
      <c r="B2740" t="inlineStr">
        <is>
          <t>avverkningsanmälan</t>
        </is>
      </c>
      <c r="C2740" t="inlineStr">
        <is>
          <t>Föryngringsavverkning</t>
        </is>
      </c>
      <c r="D2740" s="1" t="n">
        <v>44806</v>
      </c>
      <c r="E2740" s="1" t="n">
        <v>46307</v>
      </c>
      <c r="F2740" t="inlineStr">
        <is>
          <t>VÄRMLANDS LÄN</t>
        </is>
      </c>
      <c r="G2740" t="inlineStr">
        <is>
          <t>ARVIKA</t>
        </is>
      </c>
      <c r="H2740" t="inlineStr">
        <is>
          <t>Bergvik skog väst AB</t>
        </is>
      </c>
      <c r="I2740" t="n">
        <v>2.2</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50847-2024</t>
        </is>
      </c>
      <c r="B2741" t="inlineStr">
        <is>
          <t>avverkningsanmälan</t>
        </is>
      </c>
      <c r="C2741" t="inlineStr">
        <is>
          <t>Föryngringsavverkning</t>
        </is>
      </c>
      <c r="D2741" s="1" t="n">
        <v>45602</v>
      </c>
      <c r="E2741" s="1" t="n">
        <v>46307</v>
      </c>
      <c r="F2741" t="inlineStr">
        <is>
          <t>VÄRMLANDS LÄN</t>
        </is>
      </c>
      <c r="G2741" t="inlineStr">
        <is>
          <t>ARVIKA</t>
        </is>
      </c>
      <c r="H2741" t="inlineStr">
        <is>
          <t>Bergvik skog väst AB</t>
        </is>
      </c>
      <c r="I2741" t="n">
        <v>1</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23690-2024</t>
        </is>
      </c>
      <c r="B2742" t="inlineStr">
        <is>
          <t>avverkningsanmälan</t>
        </is>
      </c>
      <c r="C2742" t="inlineStr">
        <is>
          <t>Föryngringsavverkning</t>
        </is>
      </c>
      <c r="D2742" s="1" t="n">
        <v>45454</v>
      </c>
      <c r="E2742" s="1" t="n">
        <v>46307</v>
      </c>
      <c r="F2742" t="inlineStr">
        <is>
          <t>VÄRMLANDS LÄN</t>
        </is>
      </c>
      <c r="G2742" t="inlineStr">
        <is>
          <t>ÅRJÄNG</t>
        </is>
      </c>
      <c r="I2742" t="n">
        <v>2.4</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36157-2023</t>
        </is>
      </c>
      <c r="B2743" t="inlineStr">
        <is>
          <t>avverkningsanmälan</t>
        </is>
      </c>
      <c r="C2743" t="inlineStr">
        <is>
          <t>Avverkning för annat ändamål</t>
        </is>
      </c>
      <c r="D2743" s="1" t="n">
        <v>45149</v>
      </c>
      <c r="E2743" s="1" t="n">
        <v>46307</v>
      </c>
      <c r="F2743" t="inlineStr">
        <is>
          <t>VÄRMLANDS LÄN</t>
        </is>
      </c>
      <c r="G2743" t="inlineStr">
        <is>
          <t>EDA</t>
        </is>
      </c>
      <c r="H2743" t="inlineStr">
        <is>
          <t>Kommuner</t>
        </is>
      </c>
      <c r="I2743" t="n">
        <v>0.2</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17580-2024</t>
        </is>
      </c>
      <c r="B2744" t="inlineStr">
        <is>
          <t>avverkningsanmälan</t>
        </is>
      </c>
      <c r="C2744" t="inlineStr">
        <is>
          <t>Föryngringsavverkning</t>
        </is>
      </c>
      <c r="D2744" s="1" t="n">
        <v>45415</v>
      </c>
      <c r="E2744" s="1" t="n">
        <v>46307</v>
      </c>
      <c r="F2744" t="inlineStr">
        <is>
          <t>VÄRMLANDS LÄN</t>
        </is>
      </c>
      <c r="G2744" t="inlineStr">
        <is>
          <t>SUNNE</t>
        </is>
      </c>
      <c r="I2744" t="n">
        <v>1</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41075-2023</t>
        </is>
      </c>
      <c r="B2745" t="inlineStr">
        <is>
          <t>avverkningsanmälan</t>
        </is>
      </c>
      <c r="C2745" t="inlineStr">
        <is>
          <t>Föryngringsavverkning</t>
        </is>
      </c>
      <c r="D2745" s="1" t="n">
        <v>45173</v>
      </c>
      <c r="E2745" s="1" t="n">
        <v>46307</v>
      </c>
      <c r="F2745" t="inlineStr">
        <is>
          <t>VÄRMLANDS LÄN</t>
        </is>
      </c>
      <c r="G2745" t="inlineStr">
        <is>
          <t>FILIPSTAD</t>
        </is>
      </c>
      <c r="H2745" t="inlineStr">
        <is>
          <t>Bergvik skog väst AB</t>
        </is>
      </c>
      <c r="I2745" t="n">
        <v>4.6</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15152-2022</t>
        </is>
      </c>
      <c r="B2746" t="inlineStr">
        <is>
          <t>avverkningsanmälan</t>
        </is>
      </c>
      <c r="C2746" t="inlineStr">
        <is>
          <t>Föryngringsavverkning</t>
        </is>
      </c>
      <c r="D2746" s="1" t="n">
        <v>44658</v>
      </c>
      <c r="E2746" s="1" t="n">
        <v>46307</v>
      </c>
      <c r="F2746" t="inlineStr">
        <is>
          <t>VÄRMLANDS LÄN</t>
        </is>
      </c>
      <c r="G2746" t="inlineStr">
        <is>
          <t>STORFORS</t>
        </is>
      </c>
      <c r="I2746" t="n">
        <v>1.5</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15170-2022</t>
        </is>
      </c>
      <c r="B2747" t="inlineStr">
        <is>
          <t>avverkningsanmälan</t>
        </is>
      </c>
      <c r="C2747" t="inlineStr">
        <is>
          <t>Föryngringsavverkning</t>
        </is>
      </c>
      <c r="D2747" s="1" t="n">
        <v>44658</v>
      </c>
      <c r="E2747" s="1" t="n">
        <v>46307</v>
      </c>
      <c r="F2747" t="inlineStr">
        <is>
          <t>VÄRMLANDS LÄN</t>
        </is>
      </c>
      <c r="G2747" t="inlineStr">
        <is>
          <t>SUNNE</t>
        </is>
      </c>
      <c r="I2747" t="n">
        <v>3.7</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15172-2022</t>
        </is>
      </c>
      <c r="B2748" t="inlineStr">
        <is>
          <t>avverkningsanmälan</t>
        </is>
      </c>
      <c r="C2748" t="inlineStr">
        <is>
          <t>Föryngringsavverkning</t>
        </is>
      </c>
      <c r="D2748" s="1" t="n">
        <v>44658</v>
      </c>
      <c r="E2748" s="1" t="n">
        <v>46307</v>
      </c>
      <c r="F2748" t="inlineStr">
        <is>
          <t>VÄRMLANDS LÄN</t>
        </is>
      </c>
      <c r="G2748" t="inlineStr">
        <is>
          <t>SUNNE</t>
        </is>
      </c>
      <c r="I2748" t="n">
        <v>2</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45805-2024</t>
        </is>
      </c>
      <c r="B2749" t="inlineStr">
        <is>
          <t>avverkningsanmälan</t>
        </is>
      </c>
      <c r="C2749" t="inlineStr">
        <is>
          <t>Föryngringsavverkning</t>
        </is>
      </c>
      <c r="D2749" s="1" t="n">
        <v>45579</v>
      </c>
      <c r="E2749" s="1" t="n">
        <v>46307</v>
      </c>
      <c r="F2749" t="inlineStr">
        <is>
          <t>VÄRMLANDS LÄN</t>
        </is>
      </c>
      <c r="G2749" t="inlineStr">
        <is>
          <t>ARVIKA</t>
        </is>
      </c>
      <c r="I2749" t="n">
        <v>0.9</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58284-2024</t>
        </is>
      </c>
      <c r="B2750" t="inlineStr">
        <is>
          <t>avverkningsanmälan</t>
        </is>
      </c>
      <c r="C2750" t="inlineStr">
        <is>
          <t>Föryngringsavverkning</t>
        </is>
      </c>
      <c r="D2750" s="1" t="n">
        <v>45631</v>
      </c>
      <c r="E2750" s="1" t="n">
        <v>46307</v>
      </c>
      <c r="F2750" t="inlineStr">
        <is>
          <t>VÄRMLANDS LÄN</t>
        </is>
      </c>
      <c r="G2750" t="inlineStr">
        <is>
          <t>KRISTINEHAMN</t>
        </is>
      </c>
      <c r="I2750" t="n">
        <v>1.1</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20444-2024</t>
        </is>
      </c>
      <c r="B2751" t="inlineStr">
        <is>
          <t>avverkningsanmälan</t>
        </is>
      </c>
      <c r="C2751" t="inlineStr">
        <is>
          <t>Föryngringsavverkning</t>
        </is>
      </c>
      <c r="D2751" s="1" t="n">
        <v>45435</v>
      </c>
      <c r="E2751" s="1" t="n">
        <v>46307</v>
      </c>
      <c r="F2751" t="inlineStr">
        <is>
          <t>VÄRMLANDS LÄN</t>
        </is>
      </c>
      <c r="G2751" t="inlineStr">
        <is>
          <t>HAGFORS</t>
        </is>
      </c>
      <c r="H2751" t="inlineStr">
        <is>
          <t>Bergvik skog väst AB</t>
        </is>
      </c>
      <c r="I2751" t="n">
        <v>5.7</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20447-2024</t>
        </is>
      </c>
      <c r="B2752" t="inlineStr">
        <is>
          <t>avverkningsanmälan</t>
        </is>
      </c>
      <c r="C2752" t="inlineStr">
        <is>
          <t>Föryngringsavverkning</t>
        </is>
      </c>
      <c r="D2752" s="1" t="n">
        <v>45435</v>
      </c>
      <c r="E2752" s="1" t="n">
        <v>46307</v>
      </c>
      <c r="F2752" t="inlineStr">
        <is>
          <t>VÄRMLANDS LÄN</t>
        </is>
      </c>
      <c r="G2752" t="inlineStr">
        <is>
          <t>HAGFORS</t>
        </is>
      </c>
      <c r="H2752" t="inlineStr">
        <is>
          <t>Bergvik skog väst AB</t>
        </is>
      </c>
      <c r="I2752" t="n">
        <v>3.5</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4049-2022</t>
        </is>
      </c>
      <c r="B2753" t="inlineStr">
        <is>
          <t>avverkningsanmälan</t>
        </is>
      </c>
      <c r="C2753" t="inlineStr">
        <is>
          <t>Föryngringsavverkning</t>
        </is>
      </c>
      <c r="D2753" s="1" t="n">
        <v>44588</v>
      </c>
      <c r="E2753" s="1" t="n">
        <v>46307</v>
      </c>
      <c r="F2753" t="inlineStr">
        <is>
          <t>VÄRMLANDS LÄN</t>
        </is>
      </c>
      <c r="G2753" t="inlineStr">
        <is>
          <t>ARVIKA</t>
        </is>
      </c>
      <c r="H2753" t="inlineStr">
        <is>
          <t>Bergvik skog väst AB</t>
        </is>
      </c>
      <c r="I2753" t="n">
        <v>1.2</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32823-2023</t>
        </is>
      </c>
      <c r="B2754" t="inlineStr">
        <is>
          <t>avverkningsanmälan</t>
        </is>
      </c>
      <c r="C2754" t="inlineStr">
        <is>
          <t>Föryngringsavverkning</t>
        </is>
      </c>
      <c r="D2754" s="1" t="n">
        <v>45109</v>
      </c>
      <c r="E2754" s="1" t="n">
        <v>46307</v>
      </c>
      <c r="F2754" t="inlineStr">
        <is>
          <t>VÄRMLANDS LÄN</t>
        </is>
      </c>
      <c r="G2754" t="inlineStr">
        <is>
          <t>ARVIKA</t>
        </is>
      </c>
      <c r="I2754" t="n">
        <v>3.8</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43089-2022</t>
        </is>
      </c>
      <c r="B2755" t="inlineStr">
        <is>
          <t>avverkningsanmälan</t>
        </is>
      </c>
      <c r="C2755" t="inlineStr">
        <is>
          <t>Föryngringsavverkning</t>
        </is>
      </c>
      <c r="D2755" s="1" t="n">
        <v>44833</v>
      </c>
      <c r="E2755" s="1" t="n">
        <v>46307</v>
      </c>
      <c r="F2755" t="inlineStr">
        <is>
          <t>VÄRMLANDS LÄN</t>
        </is>
      </c>
      <c r="G2755" t="inlineStr">
        <is>
          <t>SUNNE</t>
        </is>
      </c>
      <c r="I2755" t="n">
        <v>1.2</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60593-2022</t>
        </is>
      </c>
      <c r="B2756" t="inlineStr">
        <is>
          <t>avverkningsanmälan</t>
        </is>
      </c>
      <c r="C2756" t="inlineStr">
        <is>
          <t>Föryngringsavverkning</t>
        </is>
      </c>
      <c r="D2756" s="1" t="n">
        <v>44906</v>
      </c>
      <c r="E2756" s="1" t="n">
        <v>46307</v>
      </c>
      <c r="F2756" t="inlineStr">
        <is>
          <t>VÄRMLANDS LÄN</t>
        </is>
      </c>
      <c r="G2756" t="inlineStr">
        <is>
          <t>ARVIKA</t>
        </is>
      </c>
      <c r="I2756" t="n">
        <v>1</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64073-2023</t>
        </is>
      </c>
      <c r="B2757" t="inlineStr">
        <is>
          <t>avverkningsanmälan</t>
        </is>
      </c>
      <c r="C2757" t="inlineStr">
        <is>
          <t>Avverkning för annat ändamål</t>
        </is>
      </c>
      <c r="D2757" s="1" t="n">
        <v>45279</v>
      </c>
      <c r="E2757" s="1" t="n">
        <v>46307</v>
      </c>
      <c r="F2757" t="inlineStr">
        <is>
          <t>VÄRMLANDS LÄN</t>
        </is>
      </c>
      <c r="G2757" t="inlineStr">
        <is>
          <t>SÄFFLE</t>
        </is>
      </c>
      <c r="I2757" t="n">
        <v>4.2</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2-2024</t>
        </is>
      </c>
      <c r="B2758" t="inlineStr">
        <is>
          <t>avverkningsanmälan</t>
        </is>
      </c>
      <c r="C2758" t="inlineStr">
        <is>
          <t>Föryngringsavverkning</t>
        </is>
      </c>
      <c r="D2758" s="1" t="n">
        <v>45292</v>
      </c>
      <c r="E2758" s="1" t="n">
        <v>46307</v>
      </c>
      <c r="F2758" t="inlineStr">
        <is>
          <t>VÄRMLANDS LÄN</t>
        </is>
      </c>
      <c r="G2758" t="inlineStr">
        <is>
          <t>ÅRJÄNG</t>
        </is>
      </c>
      <c r="I2758" t="n">
        <v>2.1</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1123-2023</t>
        </is>
      </c>
      <c r="B2759" t="inlineStr">
        <is>
          <t>avverkningsanmälan</t>
        </is>
      </c>
      <c r="C2759" t="inlineStr">
        <is>
          <t>Föryngringsavverkning</t>
        </is>
      </c>
      <c r="D2759" s="1" t="n">
        <v>44935</v>
      </c>
      <c r="E2759" s="1" t="n">
        <v>46307</v>
      </c>
      <c r="F2759" t="inlineStr">
        <is>
          <t>VÄRMLANDS LÄN</t>
        </is>
      </c>
      <c r="G2759" t="inlineStr">
        <is>
          <t>TORSBY</t>
        </is>
      </c>
      <c r="I2759" t="n">
        <v>1.4</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60880-2024</t>
        </is>
      </c>
      <c r="B2760" t="inlineStr">
        <is>
          <t>avverkningsanmälan</t>
        </is>
      </c>
      <c r="C2760" t="inlineStr">
        <is>
          <t>Föryngringsavverkning</t>
        </is>
      </c>
      <c r="D2760" s="1" t="n">
        <v>45644</v>
      </c>
      <c r="E2760" s="1" t="n">
        <v>46307</v>
      </c>
      <c r="F2760" t="inlineStr">
        <is>
          <t>VÄRMLANDS LÄN</t>
        </is>
      </c>
      <c r="G2760" t="inlineStr">
        <is>
          <t>SUNNE</t>
        </is>
      </c>
      <c r="I2760" t="n">
        <v>13.5</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44104-2023</t>
        </is>
      </c>
      <c r="B2761" t="inlineStr">
        <is>
          <t>avverkningsanmälan</t>
        </is>
      </c>
      <c r="C2761" t="inlineStr">
        <is>
          <t>Föryngringsavverkning</t>
        </is>
      </c>
      <c r="D2761" s="1" t="n">
        <v>45188</v>
      </c>
      <c r="E2761" s="1" t="n">
        <v>46307</v>
      </c>
      <c r="F2761" t="inlineStr">
        <is>
          <t>VÄRMLANDS LÄN</t>
        </is>
      </c>
      <c r="G2761" t="inlineStr">
        <is>
          <t>MUNKFORS</t>
        </is>
      </c>
      <c r="I2761" t="n">
        <v>2.1</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19850-2025</t>
        </is>
      </c>
      <c r="B2762" t="inlineStr">
        <is>
          <t>avverkningsanmälan</t>
        </is>
      </c>
      <c r="C2762" t="inlineStr">
        <is>
          <t>Föryngringsavverkning</t>
        </is>
      </c>
      <c r="D2762" s="1" t="n">
        <v>45771</v>
      </c>
      <c r="E2762" s="1" t="n">
        <v>46307</v>
      </c>
      <c r="F2762" t="inlineStr">
        <is>
          <t>VÄRMLANDS LÄN</t>
        </is>
      </c>
      <c r="G2762" t="inlineStr">
        <is>
          <t>ÅRJÄNG</t>
        </is>
      </c>
      <c r="I2762" t="n">
        <v>14</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38504-2025</t>
        </is>
      </c>
      <c r="B2763" t="inlineStr">
        <is>
          <t>avverkningsanmälan</t>
        </is>
      </c>
      <c r="C2763" t="inlineStr">
        <is>
          <t>Föryngringsavverkning</t>
        </is>
      </c>
      <c r="D2763" s="1" t="n">
        <v>45884</v>
      </c>
      <c r="E2763" s="1" t="n">
        <v>46307</v>
      </c>
      <c r="F2763" t="inlineStr">
        <is>
          <t>VÄRMLANDS LÄN</t>
        </is>
      </c>
      <c r="G2763" t="inlineStr">
        <is>
          <t>ARVIKA</t>
        </is>
      </c>
      <c r="H2763" t="inlineStr">
        <is>
          <t>Bergvik skog väst AB</t>
        </is>
      </c>
      <c r="I2763" t="n">
        <v>5.7</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11427-2022</t>
        </is>
      </c>
      <c r="B2764" t="inlineStr">
        <is>
          <t>avverkningsanmälan</t>
        </is>
      </c>
      <c r="C2764" t="inlineStr">
        <is>
          <t>Föryngringsavverkning</t>
        </is>
      </c>
      <c r="D2764" s="1" t="n">
        <v>44630</v>
      </c>
      <c r="E2764" s="1" t="n">
        <v>46307</v>
      </c>
      <c r="F2764" t="inlineStr">
        <is>
          <t>VÄRMLANDS LÄN</t>
        </is>
      </c>
      <c r="G2764" t="inlineStr">
        <is>
          <t>SUNNE</t>
        </is>
      </c>
      <c r="I2764" t="n">
        <v>0.9</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32370-2024</t>
        </is>
      </c>
      <c r="B2765" t="inlineStr">
        <is>
          <t>avverkningsanmälan</t>
        </is>
      </c>
      <c r="C2765" t="inlineStr">
        <is>
          <t>Föryngringsavverkning</t>
        </is>
      </c>
      <c r="D2765" s="1" t="n">
        <v>45512</v>
      </c>
      <c r="E2765" s="1" t="n">
        <v>46307</v>
      </c>
      <c r="F2765" t="inlineStr">
        <is>
          <t>VÄRMLANDS LÄN</t>
        </is>
      </c>
      <c r="G2765" t="inlineStr">
        <is>
          <t>SUNNE</t>
        </is>
      </c>
      <c r="I2765" t="n">
        <v>2.5</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43248-2022</t>
        </is>
      </c>
      <c r="B2766" t="inlineStr">
        <is>
          <t>avverkningsanmälan</t>
        </is>
      </c>
      <c r="C2766" t="inlineStr">
        <is>
          <t>Föryngringsavverkning</t>
        </is>
      </c>
      <c r="D2766" s="1" t="n">
        <v>44834</v>
      </c>
      <c r="E2766" s="1" t="n">
        <v>46307</v>
      </c>
      <c r="F2766" t="inlineStr">
        <is>
          <t>VÄRMLANDS LÄN</t>
        </is>
      </c>
      <c r="G2766" t="inlineStr">
        <is>
          <t>TORSBY</t>
        </is>
      </c>
      <c r="I2766" t="n">
        <v>2.9</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43289-2022</t>
        </is>
      </c>
      <c r="B2767" t="inlineStr">
        <is>
          <t>avverkningsanmälan</t>
        </is>
      </c>
      <c r="C2767" t="inlineStr">
        <is>
          <t>Föryngringsavverkning</t>
        </is>
      </c>
      <c r="D2767" s="1" t="n">
        <v>44834</v>
      </c>
      <c r="E2767" s="1" t="n">
        <v>46307</v>
      </c>
      <c r="F2767" t="inlineStr">
        <is>
          <t>VÄRMLANDS LÄN</t>
        </is>
      </c>
      <c r="G2767" t="inlineStr">
        <is>
          <t>TORSBY</t>
        </is>
      </c>
      <c r="I2767" t="n">
        <v>11.2</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10394-2024</t>
        </is>
      </c>
      <c r="B2768" t="inlineStr">
        <is>
          <t>avverkningsanmälan</t>
        </is>
      </c>
      <c r="C2768" t="inlineStr">
        <is>
          <t>Föryngringsavverkning</t>
        </is>
      </c>
      <c r="D2768" s="1" t="n">
        <v>45365</v>
      </c>
      <c r="E2768" s="1" t="n">
        <v>46307</v>
      </c>
      <c r="F2768" t="inlineStr">
        <is>
          <t>VÄRMLANDS LÄN</t>
        </is>
      </c>
      <c r="G2768" t="inlineStr">
        <is>
          <t>SUNNE</t>
        </is>
      </c>
      <c r="I2768" t="n">
        <v>1.9</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6641-2024</t>
        </is>
      </c>
      <c r="B2769" t="inlineStr">
        <is>
          <t>avverkningsanmälan</t>
        </is>
      </c>
      <c r="C2769" t="inlineStr">
        <is>
          <t>Föryngringsavverkning</t>
        </is>
      </c>
      <c r="D2769" s="1" t="n">
        <v>45341</v>
      </c>
      <c r="E2769" s="1" t="n">
        <v>46307</v>
      </c>
      <c r="F2769" t="inlineStr">
        <is>
          <t>VÄRMLANDS LÄN</t>
        </is>
      </c>
      <c r="G2769" t="inlineStr">
        <is>
          <t>SUNNE</t>
        </is>
      </c>
      <c r="I2769" t="n">
        <v>0.6</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26086-2024</t>
        </is>
      </c>
      <c r="B2770" t="inlineStr">
        <is>
          <t>avverkningsanmälan</t>
        </is>
      </c>
      <c r="C2770" t="inlineStr">
        <is>
          <t>Föryngringsavverkning</t>
        </is>
      </c>
      <c r="D2770" s="1" t="n">
        <v>45468</v>
      </c>
      <c r="E2770" s="1" t="n">
        <v>46307</v>
      </c>
      <c r="F2770" t="inlineStr">
        <is>
          <t>VÄRMLANDS LÄN</t>
        </is>
      </c>
      <c r="G2770" t="inlineStr">
        <is>
          <t>TORSBY</t>
        </is>
      </c>
      <c r="I2770" t="n">
        <v>1.1</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4610-2023</t>
        </is>
      </c>
      <c r="B2771" t="inlineStr">
        <is>
          <t>avverkningsanmälan</t>
        </is>
      </c>
      <c r="C2771" t="inlineStr">
        <is>
          <t>Föryngringsavverkning</t>
        </is>
      </c>
      <c r="D2771" s="1" t="n">
        <v>44951</v>
      </c>
      <c r="E2771" s="1" t="n">
        <v>46307</v>
      </c>
      <c r="F2771" t="inlineStr">
        <is>
          <t>VÄRMLANDS LÄN</t>
        </is>
      </c>
      <c r="G2771" t="inlineStr">
        <is>
          <t>MUNKFORS</t>
        </is>
      </c>
      <c r="I2771" t="n">
        <v>2.8</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58914-2022</t>
        </is>
      </c>
      <c r="B2772" t="inlineStr">
        <is>
          <t>avverkningsanmälan</t>
        </is>
      </c>
      <c r="C2772" t="inlineStr">
        <is>
          <t>Föryngringsavverkning</t>
        </is>
      </c>
      <c r="D2772" s="1" t="n">
        <v>44896</v>
      </c>
      <c r="E2772" s="1" t="n">
        <v>46307</v>
      </c>
      <c r="F2772" t="inlineStr">
        <is>
          <t>VÄRMLANDS LÄN</t>
        </is>
      </c>
      <c r="G2772" t="inlineStr">
        <is>
          <t>SÄFFLE</t>
        </is>
      </c>
      <c r="I2772" t="n">
        <v>0.7</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57026-2023</t>
        </is>
      </c>
      <c r="B2773" t="inlineStr">
        <is>
          <t>avverkningsanmälan</t>
        </is>
      </c>
      <c r="C2773" t="inlineStr">
        <is>
          <t>Föryngringsavverkning</t>
        </is>
      </c>
      <c r="D2773" s="1" t="n">
        <v>45244</v>
      </c>
      <c r="E2773" s="1" t="n">
        <v>46307</v>
      </c>
      <c r="F2773" t="inlineStr">
        <is>
          <t>VÄRMLANDS LÄN</t>
        </is>
      </c>
      <c r="G2773" t="inlineStr">
        <is>
          <t>FILIPSTAD</t>
        </is>
      </c>
      <c r="I2773" t="n">
        <v>0.5</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62667-2023</t>
        </is>
      </c>
      <c r="B2774" t="inlineStr">
        <is>
          <t>avverkningsanmälan</t>
        </is>
      </c>
      <c r="C2774" t="inlineStr">
        <is>
          <t>Föryngringsavverkning</t>
        </is>
      </c>
      <c r="D2774" s="1" t="n">
        <v>45271</v>
      </c>
      <c r="E2774" s="1" t="n">
        <v>46307</v>
      </c>
      <c r="F2774" t="inlineStr">
        <is>
          <t>VÄRMLANDS LÄN</t>
        </is>
      </c>
      <c r="G2774" t="inlineStr">
        <is>
          <t>KIL</t>
        </is>
      </c>
      <c r="I2774" t="n">
        <v>2</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27444-2024</t>
        </is>
      </c>
      <c r="B2775" t="inlineStr">
        <is>
          <t>avverkningsanmälan</t>
        </is>
      </c>
      <c r="C2775" t="inlineStr">
        <is>
          <t>Föryngringsavverkning</t>
        </is>
      </c>
      <c r="D2775" s="1" t="n">
        <v>45474</v>
      </c>
      <c r="E2775" s="1" t="n">
        <v>46307</v>
      </c>
      <c r="F2775" t="inlineStr">
        <is>
          <t>VÄRMLANDS LÄN</t>
        </is>
      </c>
      <c r="G2775" t="inlineStr">
        <is>
          <t>SÄFFLE</t>
        </is>
      </c>
      <c r="I2775" t="n">
        <v>0.7</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11575-2024</t>
        </is>
      </c>
      <c r="B2776" t="inlineStr">
        <is>
          <t>avverkningsanmälan</t>
        </is>
      </c>
      <c r="C2776" t="inlineStr">
        <is>
          <t>Föryngringsavverkning</t>
        </is>
      </c>
      <c r="D2776" s="1" t="n">
        <v>45373</v>
      </c>
      <c r="E2776" s="1" t="n">
        <v>46307</v>
      </c>
      <c r="F2776" t="inlineStr">
        <is>
          <t>VÄRMLANDS LÄN</t>
        </is>
      </c>
      <c r="G2776" t="inlineStr">
        <is>
          <t>TORSBY</t>
        </is>
      </c>
      <c r="I2776" t="n">
        <v>14.2</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135-2023</t>
        </is>
      </c>
      <c r="B2777" t="inlineStr">
        <is>
          <t>avverkningsanmälan</t>
        </is>
      </c>
      <c r="C2777" t="inlineStr">
        <is>
          <t>Föryngringsavverkning</t>
        </is>
      </c>
      <c r="D2777" s="1" t="n">
        <v>44921</v>
      </c>
      <c r="E2777" s="1" t="n">
        <v>46307</v>
      </c>
      <c r="F2777" t="inlineStr">
        <is>
          <t>VÄRMLANDS LÄN</t>
        </is>
      </c>
      <c r="G2777" t="inlineStr">
        <is>
          <t>SÄFFLE</t>
        </is>
      </c>
      <c r="I2777" t="n">
        <v>4.3</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9612-2024</t>
        </is>
      </c>
      <c r="B2778" t="inlineStr">
        <is>
          <t>avverkningsanmälan</t>
        </is>
      </c>
      <c r="C2778" t="inlineStr">
        <is>
          <t>Föryngringsavverkning</t>
        </is>
      </c>
      <c r="D2778" s="1" t="n">
        <v>45361</v>
      </c>
      <c r="E2778" s="1" t="n">
        <v>46307</v>
      </c>
      <c r="F2778" t="inlineStr">
        <is>
          <t>VÄRMLANDS LÄN</t>
        </is>
      </c>
      <c r="G2778" t="inlineStr">
        <is>
          <t>SÄFFLE</t>
        </is>
      </c>
      <c r="I2778" t="n">
        <v>1.7</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57726-2022</t>
        </is>
      </c>
      <c r="B2779" t="inlineStr">
        <is>
          <t>avverkningsanmälan</t>
        </is>
      </c>
      <c r="C2779" t="inlineStr">
        <is>
          <t>Föryngringsavverkning</t>
        </is>
      </c>
      <c r="D2779" s="1" t="n">
        <v>44897</v>
      </c>
      <c r="E2779" s="1" t="n">
        <v>46307</v>
      </c>
      <c r="F2779" t="inlineStr">
        <is>
          <t>VÄRMLANDS LÄN</t>
        </is>
      </c>
      <c r="G2779" t="inlineStr">
        <is>
          <t>TORSBY</t>
        </is>
      </c>
      <c r="I2779" t="n">
        <v>3.1</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24999-2024</t>
        </is>
      </c>
      <c r="B2780" t="inlineStr">
        <is>
          <t>avverkningsanmälan</t>
        </is>
      </c>
      <c r="C2780" t="inlineStr">
        <is>
          <t>Föryngringsavverkning</t>
        </is>
      </c>
      <c r="D2780" s="1" t="n">
        <v>45461</v>
      </c>
      <c r="E2780" s="1" t="n">
        <v>46307</v>
      </c>
      <c r="F2780" t="inlineStr">
        <is>
          <t>VÄRMLANDS LÄN</t>
        </is>
      </c>
      <c r="G2780" t="inlineStr">
        <is>
          <t>ARVIKA</t>
        </is>
      </c>
      <c r="I2780" t="n">
        <v>1.2</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25014-2024</t>
        </is>
      </c>
      <c r="B2781" t="inlineStr">
        <is>
          <t>avverkningsanmälan</t>
        </is>
      </c>
      <c r="C2781" t="inlineStr">
        <is>
          <t>Föryngringsavverkning</t>
        </is>
      </c>
      <c r="D2781" s="1" t="n">
        <v>45461</v>
      </c>
      <c r="E2781" s="1" t="n">
        <v>46307</v>
      </c>
      <c r="F2781" t="inlineStr">
        <is>
          <t>VÄRMLANDS LÄN</t>
        </is>
      </c>
      <c r="G2781" t="inlineStr">
        <is>
          <t>GRUMS</t>
        </is>
      </c>
      <c r="I2781" t="n">
        <v>12.8</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33146-2024</t>
        </is>
      </c>
      <c r="B2782" t="inlineStr">
        <is>
          <t>avverkningsanmälan</t>
        </is>
      </c>
      <c r="C2782" t="inlineStr">
        <is>
          <t>Föryngringsavverkning</t>
        </is>
      </c>
      <c r="D2782" s="1" t="n">
        <v>45518</v>
      </c>
      <c r="E2782" s="1" t="n">
        <v>46307</v>
      </c>
      <c r="F2782" t="inlineStr">
        <is>
          <t>VÄRMLANDS LÄN</t>
        </is>
      </c>
      <c r="G2782" t="inlineStr">
        <is>
          <t>HAGFORS</t>
        </is>
      </c>
      <c r="I2782" t="n">
        <v>2</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22582-2024</t>
        </is>
      </c>
      <c r="B2783" t="inlineStr">
        <is>
          <t>avverkningsanmälan</t>
        </is>
      </c>
      <c r="C2783" t="inlineStr">
        <is>
          <t>Avverkning för annat ändamål</t>
        </is>
      </c>
      <c r="D2783" s="1" t="n">
        <v>45447</v>
      </c>
      <c r="E2783" s="1" t="n">
        <v>46307</v>
      </c>
      <c r="F2783" t="inlineStr">
        <is>
          <t>VÄRMLANDS LÄN</t>
        </is>
      </c>
      <c r="G2783" t="inlineStr">
        <is>
          <t>FORSHAGA</t>
        </is>
      </c>
      <c r="H2783" t="inlineStr">
        <is>
          <t>Bergvik skog väst AB</t>
        </is>
      </c>
      <c r="I2783" t="n">
        <v>4.9</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32572-2024</t>
        </is>
      </c>
      <c r="B2784" t="inlineStr">
        <is>
          <t>avverkningsanmälan</t>
        </is>
      </c>
      <c r="C2784" t="inlineStr">
        <is>
          <t>Föryngringsavverkning</t>
        </is>
      </c>
      <c r="D2784" s="1" t="n">
        <v>45513</v>
      </c>
      <c r="E2784" s="1" t="n">
        <v>46307</v>
      </c>
      <c r="F2784" t="inlineStr">
        <is>
          <t>VÄRMLANDS LÄN</t>
        </is>
      </c>
      <c r="G2784" t="inlineStr">
        <is>
          <t>SUNNE</t>
        </is>
      </c>
      <c r="I2784" t="n">
        <v>0.5</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44899-2022</t>
        </is>
      </c>
      <c r="B2785" t="inlineStr">
        <is>
          <t>avverkningsanmälan</t>
        </is>
      </c>
      <c r="C2785" t="inlineStr">
        <is>
          <t>Föryngringsavverkning</t>
        </is>
      </c>
      <c r="D2785" s="1" t="n">
        <v>44841</v>
      </c>
      <c r="E2785" s="1" t="n">
        <v>46307</v>
      </c>
      <c r="F2785" t="inlineStr">
        <is>
          <t>VÄRMLANDS LÄN</t>
        </is>
      </c>
      <c r="G2785" t="inlineStr">
        <is>
          <t>SUNNE</t>
        </is>
      </c>
      <c r="I2785" t="n">
        <v>1.3</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38513-2025</t>
        </is>
      </c>
      <c r="B2786" t="inlineStr">
        <is>
          <t>avverkningsanmälan</t>
        </is>
      </c>
      <c r="C2786" t="inlineStr">
        <is>
          <t>Föryngringsavverkning</t>
        </is>
      </c>
      <c r="D2786" s="1" t="n">
        <v>45884</v>
      </c>
      <c r="E2786" s="1" t="n">
        <v>46307</v>
      </c>
      <c r="F2786" t="inlineStr">
        <is>
          <t>VÄRMLANDS LÄN</t>
        </is>
      </c>
      <c r="G2786" t="inlineStr">
        <is>
          <t>ARVIKA</t>
        </is>
      </c>
      <c r="H2786" t="inlineStr">
        <is>
          <t>Bergvik skog väst AB</t>
        </is>
      </c>
      <c r="I2786" t="n">
        <v>6.2</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19877-2025</t>
        </is>
      </c>
      <c r="B2787" t="inlineStr">
        <is>
          <t>avverkningsanmälan</t>
        </is>
      </c>
      <c r="C2787" t="inlineStr">
        <is>
          <t>Föryngringsavverkning</t>
        </is>
      </c>
      <c r="D2787" s="1" t="n">
        <v>45771</v>
      </c>
      <c r="E2787" s="1" t="n">
        <v>46307</v>
      </c>
      <c r="F2787" t="inlineStr">
        <is>
          <t>VÄRMLANDS LÄN</t>
        </is>
      </c>
      <c r="G2787" t="inlineStr">
        <is>
          <t>ÅRJÄNG</t>
        </is>
      </c>
      <c r="I2787" t="n">
        <v>6.3</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30249-2023</t>
        </is>
      </c>
      <c r="B2788" t="inlineStr">
        <is>
          <t>avverkningsanmälan</t>
        </is>
      </c>
      <c r="C2788" t="inlineStr">
        <is>
          <t>Föryngringsavverkning</t>
        </is>
      </c>
      <c r="D2788" s="1" t="n">
        <v>45110</v>
      </c>
      <c r="E2788" s="1" t="n">
        <v>46307</v>
      </c>
      <c r="F2788" t="inlineStr">
        <is>
          <t>VÄRMLANDS LÄN</t>
        </is>
      </c>
      <c r="G2788" t="inlineStr">
        <is>
          <t>EDA</t>
        </is>
      </c>
      <c r="I2788" t="n">
        <v>1.8</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28267-2024</t>
        </is>
      </c>
      <c r="B2789" t="inlineStr">
        <is>
          <t>avverkningsanmälan</t>
        </is>
      </c>
      <c r="C2789" t="inlineStr">
        <is>
          <t>Föryngringsavverkning</t>
        </is>
      </c>
      <c r="D2789" s="1" t="n">
        <v>45477</v>
      </c>
      <c r="E2789" s="1" t="n">
        <v>46307</v>
      </c>
      <c r="F2789" t="inlineStr">
        <is>
          <t>VÄRMLANDS LÄN</t>
        </is>
      </c>
      <c r="G2789" t="inlineStr">
        <is>
          <t>SÄFFLE</t>
        </is>
      </c>
      <c r="I2789" t="n">
        <v>9.4</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4492-2023</t>
        </is>
      </c>
      <c r="B2790" t="inlineStr">
        <is>
          <t>avverkningsanmälan</t>
        </is>
      </c>
      <c r="C2790" t="inlineStr">
        <is>
          <t>Föryngringsavverkning</t>
        </is>
      </c>
      <c r="D2790" s="1" t="n">
        <v>44956</v>
      </c>
      <c r="E2790" s="1" t="n">
        <v>46307</v>
      </c>
      <c r="F2790" t="inlineStr">
        <is>
          <t>VÄRMLANDS LÄN</t>
        </is>
      </c>
      <c r="G2790" t="inlineStr">
        <is>
          <t>SUNNE</t>
        </is>
      </c>
      <c r="I2790" t="n">
        <v>1.1</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15752-2025</t>
        </is>
      </c>
      <c r="B2791" t="inlineStr">
        <is>
          <t>avverkningsanmälan</t>
        </is>
      </c>
      <c r="C2791" t="inlineStr">
        <is>
          <t>Föryngringsavverkning</t>
        </is>
      </c>
      <c r="D2791" s="1" t="n">
        <v>45748</v>
      </c>
      <c r="E2791" s="1" t="n">
        <v>46307</v>
      </c>
      <c r="F2791" t="inlineStr">
        <is>
          <t>VÄRMLANDS LÄN</t>
        </is>
      </c>
      <c r="G2791" t="inlineStr">
        <is>
          <t>SUNNE</t>
        </is>
      </c>
      <c r="I2791" t="n">
        <v>1.1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51269-2022</t>
        </is>
      </c>
      <c r="B2792" t="inlineStr">
        <is>
          <t>avverkningsanmälan</t>
        </is>
      </c>
      <c r="C2792" t="inlineStr">
        <is>
          <t>Föryngringsavverkning</t>
        </is>
      </c>
      <c r="D2792" s="1" t="n">
        <v>44868</v>
      </c>
      <c r="E2792" s="1" t="n">
        <v>46307</v>
      </c>
      <c r="F2792" t="inlineStr">
        <is>
          <t>VÄRMLANDS LÄN</t>
        </is>
      </c>
      <c r="G2792" t="inlineStr">
        <is>
          <t>ÅRJÄNG</t>
        </is>
      </c>
      <c r="I2792" t="n">
        <v>2.1</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36879-2024</t>
        </is>
      </c>
      <c r="B2793" t="inlineStr">
        <is>
          <t>avverkningsanmälan</t>
        </is>
      </c>
      <c r="C2793" t="inlineStr">
        <is>
          <t>Föryngringsavverkning</t>
        </is>
      </c>
      <c r="D2793" s="1" t="n">
        <v>45538</v>
      </c>
      <c r="E2793" s="1" t="n">
        <v>46307</v>
      </c>
      <c r="F2793" t="inlineStr">
        <is>
          <t>VÄRMLANDS LÄN</t>
        </is>
      </c>
      <c r="G2793" t="inlineStr">
        <is>
          <t>TORSBY</t>
        </is>
      </c>
      <c r="I2793" t="n">
        <v>3.2</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5331-2023</t>
        </is>
      </c>
      <c r="B2794" t="inlineStr">
        <is>
          <t>avverkningsanmälan</t>
        </is>
      </c>
      <c r="C2794" t="inlineStr">
        <is>
          <t>Föryngringsavverkning</t>
        </is>
      </c>
      <c r="D2794" s="1" t="n">
        <v>44959</v>
      </c>
      <c r="E2794" s="1" t="n">
        <v>46307</v>
      </c>
      <c r="F2794" t="inlineStr">
        <is>
          <t>VÄRMLANDS LÄN</t>
        </is>
      </c>
      <c r="G2794" t="inlineStr">
        <is>
          <t>SÄFFLE</t>
        </is>
      </c>
      <c r="I2794" t="n">
        <v>2.7</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58014-2022</t>
        </is>
      </c>
      <c r="B2795" t="inlineStr">
        <is>
          <t>avverkningsanmälan</t>
        </is>
      </c>
      <c r="C2795" t="inlineStr">
        <is>
          <t>Föryngringsavverkning</t>
        </is>
      </c>
      <c r="D2795" s="1" t="n">
        <v>44893</v>
      </c>
      <c r="E2795" s="1" t="n">
        <v>46307</v>
      </c>
      <c r="F2795" t="inlineStr">
        <is>
          <t>VÄRMLANDS LÄN</t>
        </is>
      </c>
      <c r="G2795" t="inlineStr">
        <is>
          <t>ÅRJÄNG</t>
        </is>
      </c>
      <c r="I2795" t="n">
        <v>1.9</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60133-2023</t>
        </is>
      </c>
      <c r="B2796" t="inlineStr">
        <is>
          <t>avverkningsanmälan</t>
        </is>
      </c>
      <c r="C2796" t="inlineStr">
        <is>
          <t>Avverkning för annat ändamål</t>
        </is>
      </c>
      <c r="D2796" s="1" t="n">
        <v>45258</v>
      </c>
      <c r="E2796" s="1" t="n">
        <v>46307</v>
      </c>
      <c r="F2796" t="inlineStr">
        <is>
          <t>VÄRMLANDS LÄN</t>
        </is>
      </c>
      <c r="G2796" t="inlineStr">
        <is>
          <t>TORSBY</t>
        </is>
      </c>
      <c r="H2796" t="inlineStr">
        <is>
          <t>Bergvik skog väst AB</t>
        </is>
      </c>
      <c r="I2796" t="n">
        <v>0.6</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60191-2023</t>
        </is>
      </c>
      <c r="B2797" t="inlineStr">
        <is>
          <t>avverkningsanmälan</t>
        </is>
      </c>
      <c r="C2797" t="inlineStr">
        <is>
          <t>Föryngringsavverkning</t>
        </is>
      </c>
      <c r="D2797" s="1" t="n">
        <v>45257</v>
      </c>
      <c r="E2797" s="1" t="n">
        <v>46307</v>
      </c>
      <c r="F2797" t="inlineStr">
        <is>
          <t>VÄRMLANDS LÄN</t>
        </is>
      </c>
      <c r="G2797" t="inlineStr">
        <is>
          <t>ÅRJÄNG</t>
        </is>
      </c>
      <c r="I2797" t="n">
        <v>7.6</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60627-2022</t>
        </is>
      </c>
      <c r="B2798" t="inlineStr">
        <is>
          <t>avverkningsanmälan</t>
        </is>
      </c>
      <c r="C2798" t="inlineStr">
        <is>
          <t>Föryngringsavverkning</t>
        </is>
      </c>
      <c r="D2798" s="1" t="n">
        <v>44906</v>
      </c>
      <c r="E2798" s="1" t="n">
        <v>46307</v>
      </c>
      <c r="F2798" t="inlineStr">
        <is>
          <t>VÄRMLANDS LÄN</t>
        </is>
      </c>
      <c r="G2798" t="inlineStr">
        <is>
          <t>ARVIKA</t>
        </is>
      </c>
      <c r="I2798" t="n">
        <v>6.5</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57998-2023</t>
        </is>
      </c>
      <c r="B2799" t="inlineStr">
        <is>
          <t>avverkningsanmälan</t>
        </is>
      </c>
      <c r="C2799" t="inlineStr">
        <is>
          <t>Föryngringsavverkning</t>
        </is>
      </c>
      <c r="D2799" s="1" t="n">
        <v>45247</v>
      </c>
      <c r="E2799" s="1" t="n">
        <v>46307</v>
      </c>
      <c r="F2799" t="inlineStr">
        <is>
          <t>VÄRMLANDS LÄN</t>
        </is>
      </c>
      <c r="G2799" t="inlineStr">
        <is>
          <t>ARVIKA</t>
        </is>
      </c>
      <c r="I2799" t="n">
        <v>3.7</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37494-2025</t>
        </is>
      </c>
      <c r="B2800" t="inlineStr">
        <is>
          <t>avverkningsanmälan</t>
        </is>
      </c>
      <c r="C2800" t="inlineStr">
        <is>
          <t>Föryngringsavverkning</t>
        </is>
      </c>
      <c r="D2800" s="1" t="n">
        <v>45877</v>
      </c>
      <c r="E2800" s="1" t="n">
        <v>46307</v>
      </c>
      <c r="F2800" t="inlineStr">
        <is>
          <t>VÄRMLANDS LÄN</t>
        </is>
      </c>
      <c r="G2800" t="inlineStr">
        <is>
          <t>SÄFFLE</t>
        </is>
      </c>
      <c r="I2800" t="n">
        <v>0.4</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7347-2025</t>
        </is>
      </c>
      <c r="B2801" t="inlineStr">
        <is>
          <t>avverkningsanmälan</t>
        </is>
      </c>
      <c r="C2801" t="inlineStr">
        <is>
          <t>Föryngringsavverkning</t>
        </is>
      </c>
      <c r="D2801" s="1" t="n">
        <v>45703</v>
      </c>
      <c r="E2801" s="1" t="n">
        <v>46307</v>
      </c>
      <c r="F2801" t="inlineStr">
        <is>
          <t>VÄRMLANDS LÄN</t>
        </is>
      </c>
      <c r="G2801" t="inlineStr">
        <is>
          <t>ARVIKA</t>
        </is>
      </c>
      <c r="I2801" t="n">
        <v>1.5</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58408-2022</t>
        </is>
      </c>
      <c r="B2802" t="inlineStr">
        <is>
          <t>avverkningsanmälan</t>
        </is>
      </c>
      <c r="C2802" t="inlineStr">
        <is>
          <t>Föryngringsavverkning</t>
        </is>
      </c>
      <c r="D2802" s="1" t="n">
        <v>44901</v>
      </c>
      <c r="E2802" s="1" t="n">
        <v>46307</v>
      </c>
      <c r="F2802" t="inlineStr">
        <is>
          <t>VÄRMLANDS LÄN</t>
        </is>
      </c>
      <c r="G2802" t="inlineStr">
        <is>
          <t>ARVIKA</t>
        </is>
      </c>
      <c r="I2802" t="n">
        <v>16.4</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46147-2023</t>
        </is>
      </c>
      <c r="B2803" t="inlineStr">
        <is>
          <t>avverkningsanmälan</t>
        </is>
      </c>
      <c r="C2803" t="inlineStr">
        <is>
          <t>Föryngringsavverkning</t>
        </is>
      </c>
      <c r="D2803" s="1" t="n">
        <v>45196</v>
      </c>
      <c r="E2803" s="1" t="n">
        <v>46307</v>
      </c>
      <c r="F2803" t="inlineStr">
        <is>
          <t>VÄRMLANDS LÄN</t>
        </is>
      </c>
      <c r="G2803" t="inlineStr">
        <is>
          <t>SUNNE</t>
        </is>
      </c>
      <c r="I2803" t="n">
        <v>0.7</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27531-2022</t>
        </is>
      </c>
      <c r="B2804" t="inlineStr">
        <is>
          <t>avverkningsanmälan</t>
        </is>
      </c>
      <c r="C2804" t="inlineStr">
        <is>
          <t>Föryngringsavverkning</t>
        </is>
      </c>
      <c r="D2804" s="1" t="n">
        <v>44742</v>
      </c>
      <c r="E2804" s="1" t="n">
        <v>46307</v>
      </c>
      <c r="F2804" t="inlineStr">
        <is>
          <t>VÄRMLANDS LÄN</t>
        </is>
      </c>
      <c r="G2804" t="inlineStr">
        <is>
          <t>KRISTINEHAMN</t>
        </is>
      </c>
      <c r="I2804" t="n">
        <v>1.6</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51346-2022</t>
        </is>
      </c>
      <c r="B2805" t="inlineStr">
        <is>
          <t>avverkningsanmälan</t>
        </is>
      </c>
      <c r="C2805" t="inlineStr">
        <is>
          <t>Föryngringsavverkning</t>
        </is>
      </c>
      <c r="D2805" s="1" t="n">
        <v>44869</v>
      </c>
      <c r="E2805" s="1" t="n">
        <v>46307</v>
      </c>
      <c r="F2805" t="inlineStr">
        <is>
          <t>VÄRMLANDS LÄN</t>
        </is>
      </c>
      <c r="G2805" t="inlineStr">
        <is>
          <t>HAGFORS</t>
        </is>
      </c>
      <c r="I2805" t="n">
        <v>1.7</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1534-2024</t>
        </is>
      </c>
      <c r="B2806" t="inlineStr">
        <is>
          <t>avverkningsanmälan</t>
        </is>
      </c>
      <c r="C2806" t="inlineStr">
        <is>
          <t>Föryngringsavverkning</t>
        </is>
      </c>
      <c r="D2806" s="1" t="n">
        <v>45306</v>
      </c>
      <c r="E2806" s="1" t="n">
        <v>46307</v>
      </c>
      <c r="F2806" t="inlineStr">
        <is>
          <t>VÄRMLANDS LÄN</t>
        </is>
      </c>
      <c r="G2806" t="inlineStr">
        <is>
          <t>SÄFFLE</t>
        </is>
      </c>
      <c r="I2806" t="n">
        <v>4.6</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54528-2023</t>
        </is>
      </c>
      <c r="B2807" t="inlineStr">
        <is>
          <t>avverkningsanmälan</t>
        </is>
      </c>
      <c r="C2807" t="inlineStr">
        <is>
          <t>Föryngringsavverkning</t>
        </is>
      </c>
      <c r="D2807" s="1" t="n">
        <v>45233</v>
      </c>
      <c r="E2807" s="1" t="n">
        <v>46307</v>
      </c>
      <c r="F2807" t="inlineStr">
        <is>
          <t>VÄRMLANDS LÄN</t>
        </is>
      </c>
      <c r="G2807" t="inlineStr">
        <is>
          <t>TORSBY</t>
        </is>
      </c>
      <c r="I2807" t="n">
        <v>1.1</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2253-2024</t>
        </is>
      </c>
      <c r="B2808" t="inlineStr">
        <is>
          <t>avverkningsanmälan</t>
        </is>
      </c>
      <c r="C2808" t="inlineStr">
        <is>
          <t>Föryngringsavverkning</t>
        </is>
      </c>
      <c r="D2808" s="1" t="n">
        <v>45310</v>
      </c>
      <c r="E2808" s="1" t="n">
        <v>46307</v>
      </c>
      <c r="F2808" t="inlineStr">
        <is>
          <t>VÄRMLANDS LÄN</t>
        </is>
      </c>
      <c r="G2808" t="inlineStr">
        <is>
          <t>GRUMS</t>
        </is>
      </c>
      <c r="I2808" t="n">
        <v>3</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4870-2024</t>
        </is>
      </c>
      <c r="B2809" t="inlineStr">
        <is>
          <t>avverkningsanmälan</t>
        </is>
      </c>
      <c r="C2809" t="inlineStr">
        <is>
          <t>Föryngringsavverkning</t>
        </is>
      </c>
      <c r="D2809" s="1" t="n">
        <v>45329</v>
      </c>
      <c r="E2809" s="1" t="n">
        <v>46307</v>
      </c>
      <c r="F2809" t="inlineStr">
        <is>
          <t>VÄRMLANDS LÄN</t>
        </is>
      </c>
      <c r="G2809" t="inlineStr">
        <is>
          <t>GRUMS</t>
        </is>
      </c>
      <c r="I2809" t="n">
        <v>8.4</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4784-2023</t>
        </is>
      </c>
      <c r="B2810" t="inlineStr">
        <is>
          <t>avverkningsanmälan</t>
        </is>
      </c>
      <c r="C2810" t="inlineStr">
        <is>
          <t>Föryngringsavverkning</t>
        </is>
      </c>
      <c r="D2810" s="1" t="n">
        <v>44957</v>
      </c>
      <c r="E2810" s="1" t="n">
        <v>46307</v>
      </c>
      <c r="F2810" t="inlineStr">
        <is>
          <t>VÄRMLANDS LÄN</t>
        </is>
      </c>
      <c r="G2810" t="inlineStr">
        <is>
          <t>ÅRJÄNG</t>
        </is>
      </c>
      <c r="I2810" t="n">
        <v>0.9</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23737-2024</t>
        </is>
      </c>
      <c r="B2811" t="inlineStr">
        <is>
          <t>avverkningsanmälan</t>
        </is>
      </c>
      <c r="C2811" t="inlineStr">
        <is>
          <t>Föryngringsavverkning</t>
        </is>
      </c>
      <c r="D2811" s="1" t="n">
        <v>45454</v>
      </c>
      <c r="E2811" s="1" t="n">
        <v>46307</v>
      </c>
      <c r="F2811" t="inlineStr">
        <is>
          <t>VÄRMLANDS LÄN</t>
        </is>
      </c>
      <c r="G2811" t="inlineStr">
        <is>
          <t>SÄFFLE</t>
        </is>
      </c>
      <c r="H2811" t="inlineStr">
        <is>
          <t>Bergvik skog väst AB</t>
        </is>
      </c>
      <c r="I2811" t="n">
        <v>0.7</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28004-2025</t>
        </is>
      </c>
      <c r="B2812" t="inlineStr">
        <is>
          <t>avverkningsanmälan</t>
        </is>
      </c>
      <c r="C2812" t="inlineStr">
        <is>
          <t>Föryngringsavverkning</t>
        </is>
      </c>
      <c r="D2812" s="1" t="n">
        <v>45817</v>
      </c>
      <c r="E2812" s="1" t="n">
        <v>46307</v>
      </c>
      <c r="F2812" t="inlineStr">
        <is>
          <t>VÄRMLANDS LÄN</t>
        </is>
      </c>
      <c r="G2812" t="inlineStr">
        <is>
          <t>SÄFFLE</t>
        </is>
      </c>
      <c r="I2812" t="n">
        <v>1</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39175-2025</t>
        </is>
      </c>
      <c r="B2813" t="inlineStr">
        <is>
          <t>avverkningsanmälan</t>
        </is>
      </c>
      <c r="C2813" t="inlineStr">
        <is>
          <t>Föryngringsavverkning</t>
        </is>
      </c>
      <c r="D2813" s="1" t="n">
        <v>45888</v>
      </c>
      <c r="E2813" s="1" t="n">
        <v>46307</v>
      </c>
      <c r="F2813" t="inlineStr">
        <is>
          <t>VÄRMLANDS LÄN</t>
        </is>
      </c>
      <c r="G2813" t="inlineStr">
        <is>
          <t>ARVIKA</t>
        </is>
      </c>
      <c r="I2813" t="n">
        <v>1.6</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7840-2023</t>
        </is>
      </c>
      <c r="B2814" t="inlineStr">
        <is>
          <t>avverkningsanmälan</t>
        </is>
      </c>
      <c r="C2814" t="inlineStr">
        <is>
          <t>Föryngringsavverkning</t>
        </is>
      </c>
      <c r="D2814" s="1" t="n">
        <v>44973</v>
      </c>
      <c r="E2814" s="1" t="n">
        <v>46307</v>
      </c>
      <c r="F2814" t="inlineStr">
        <is>
          <t>VÄRMLANDS LÄN</t>
        </is>
      </c>
      <c r="G2814" t="inlineStr">
        <is>
          <t>KARLSTAD</t>
        </is>
      </c>
      <c r="I2814" t="n">
        <v>2.4</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62787-2023</t>
        </is>
      </c>
      <c r="B2815" t="inlineStr">
        <is>
          <t>avverkningsanmälan</t>
        </is>
      </c>
      <c r="C2815" t="inlineStr">
        <is>
          <t>Föryngringsavverkning</t>
        </is>
      </c>
      <c r="D2815" s="1" t="n">
        <v>45271</v>
      </c>
      <c r="E2815" s="1" t="n">
        <v>46307</v>
      </c>
      <c r="F2815" t="inlineStr">
        <is>
          <t>VÄRMLANDS LÄN</t>
        </is>
      </c>
      <c r="G2815" t="inlineStr">
        <is>
          <t>FILIPSTAD</t>
        </is>
      </c>
      <c r="H2815" t="inlineStr">
        <is>
          <t>Bergvik skog väst AB</t>
        </is>
      </c>
      <c r="I2815" t="n">
        <v>2.4</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2933-2023</t>
        </is>
      </c>
      <c r="B2816" t="inlineStr">
        <is>
          <t>avverkningsanmälan</t>
        </is>
      </c>
      <c r="C2816" t="inlineStr">
        <is>
          <t>Föryngringsavverkning</t>
        </is>
      </c>
      <c r="D2816" s="1" t="n">
        <v>44945</v>
      </c>
      <c r="E2816" s="1" t="n">
        <v>46307</v>
      </c>
      <c r="F2816" t="inlineStr">
        <is>
          <t>VÄRMLANDS LÄN</t>
        </is>
      </c>
      <c r="G2816" t="inlineStr">
        <is>
          <t>SÄFFLE</t>
        </is>
      </c>
      <c r="I2816" t="n">
        <v>0.6</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39184-2025</t>
        </is>
      </c>
      <c r="B2817" t="inlineStr">
        <is>
          <t>avverkningsanmälan</t>
        </is>
      </c>
      <c r="C2817" t="inlineStr">
        <is>
          <t>Föryngringsavverkning</t>
        </is>
      </c>
      <c r="D2817" s="1" t="n">
        <v>45888</v>
      </c>
      <c r="E2817" s="1" t="n">
        <v>46307</v>
      </c>
      <c r="F2817" t="inlineStr">
        <is>
          <t>VÄRMLANDS LÄN</t>
        </is>
      </c>
      <c r="G2817" t="inlineStr">
        <is>
          <t>SÄFFLE</t>
        </is>
      </c>
      <c r="I2817" t="n">
        <v>1.5</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32073-2023</t>
        </is>
      </c>
      <c r="B2818" t="inlineStr">
        <is>
          <t>avverkningsanmälan</t>
        </is>
      </c>
      <c r="C2818" t="inlineStr">
        <is>
          <t>Föryngringsavverkning</t>
        </is>
      </c>
      <c r="D2818" s="1" t="n">
        <v>45119</v>
      </c>
      <c r="E2818" s="1" t="n">
        <v>46307</v>
      </c>
      <c r="F2818" t="inlineStr">
        <is>
          <t>VÄRMLANDS LÄN</t>
        </is>
      </c>
      <c r="G2818" t="inlineStr">
        <is>
          <t>EDA</t>
        </is>
      </c>
      <c r="I2818" t="n">
        <v>3.2</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3434-2025</t>
        </is>
      </c>
      <c r="B2819" t="inlineStr">
        <is>
          <t>avverkningsanmälan</t>
        </is>
      </c>
      <c r="C2819" t="inlineStr">
        <is>
          <t>Föryngringsavverkning</t>
        </is>
      </c>
      <c r="D2819" s="1" t="n">
        <v>45680</v>
      </c>
      <c r="E2819" s="1" t="n">
        <v>46307</v>
      </c>
      <c r="F2819" t="inlineStr">
        <is>
          <t>VÄRMLANDS LÄN</t>
        </is>
      </c>
      <c r="G2819" t="inlineStr">
        <is>
          <t>EDA</t>
        </is>
      </c>
      <c r="I2819" t="n">
        <v>0.6</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25629-2024</t>
        </is>
      </c>
      <c r="B2820" t="inlineStr">
        <is>
          <t>avverkningsanmälan</t>
        </is>
      </c>
      <c r="C2820" t="inlineStr">
        <is>
          <t>Föryngringsavverkning</t>
        </is>
      </c>
      <c r="D2820" s="1" t="n">
        <v>45463</v>
      </c>
      <c r="E2820" s="1" t="n">
        <v>46307</v>
      </c>
      <c r="F2820" t="inlineStr">
        <is>
          <t>VÄRMLANDS LÄN</t>
        </is>
      </c>
      <c r="G2820" t="inlineStr">
        <is>
          <t>TORSBY</t>
        </is>
      </c>
      <c r="I2820" t="n">
        <v>1.1</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25468-2024</t>
        </is>
      </c>
      <c r="B2821" t="inlineStr">
        <is>
          <t>avverkningsanmälan</t>
        </is>
      </c>
      <c r="C2821" t="inlineStr">
        <is>
          <t>Föryngringsavverkning</t>
        </is>
      </c>
      <c r="D2821" s="1" t="n">
        <v>45463</v>
      </c>
      <c r="E2821" s="1" t="n">
        <v>46307</v>
      </c>
      <c r="F2821" t="inlineStr">
        <is>
          <t>VÄRMLANDS LÄN</t>
        </is>
      </c>
      <c r="G2821" t="inlineStr">
        <is>
          <t>FILIPSTAD</t>
        </is>
      </c>
      <c r="I2821" t="n">
        <v>13.2</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16809-2023</t>
        </is>
      </c>
      <c r="B2822" t="inlineStr">
        <is>
          <t>avverkningsanmälan</t>
        </is>
      </c>
      <c r="C2822" t="inlineStr">
        <is>
          <t>Föryngringsavverkning</t>
        </is>
      </c>
      <c r="D2822" s="1" t="n">
        <v>45033</v>
      </c>
      <c r="E2822" s="1" t="n">
        <v>46307</v>
      </c>
      <c r="F2822" t="inlineStr">
        <is>
          <t>VÄRMLANDS LÄN</t>
        </is>
      </c>
      <c r="G2822" t="inlineStr">
        <is>
          <t>ARVIKA</t>
        </is>
      </c>
      <c r="I2822" t="n">
        <v>1</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9061-2023</t>
        </is>
      </c>
      <c r="B2823" t="inlineStr">
        <is>
          <t>avverkningsanmälan</t>
        </is>
      </c>
      <c r="C2823" t="inlineStr">
        <is>
          <t>Föryngringsavverkning</t>
        </is>
      </c>
      <c r="D2823" s="1" t="n">
        <v>44979</v>
      </c>
      <c r="E2823" s="1" t="n">
        <v>46307</v>
      </c>
      <c r="F2823" t="inlineStr">
        <is>
          <t>VÄRMLANDS LÄN</t>
        </is>
      </c>
      <c r="G2823" t="inlineStr">
        <is>
          <t>ARVIKA</t>
        </is>
      </c>
      <c r="I2823" t="n">
        <v>2.3</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27888-2025</t>
        </is>
      </c>
      <c r="B2824" t="inlineStr">
        <is>
          <t>avverkningsanmälan</t>
        </is>
      </c>
      <c r="C2824" t="inlineStr">
        <is>
          <t>Föryngringsavverkning</t>
        </is>
      </c>
      <c r="D2824" s="1" t="n">
        <v>45817</v>
      </c>
      <c r="E2824" s="1" t="n">
        <v>46307</v>
      </c>
      <c r="F2824" t="inlineStr">
        <is>
          <t>VÄRMLANDS LÄN</t>
        </is>
      </c>
      <c r="G2824" t="inlineStr">
        <is>
          <t>KARLSTAD</t>
        </is>
      </c>
      <c r="I2824" t="n">
        <v>1.8</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17081-2024</t>
        </is>
      </c>
      <c r="B2825" t="inlineStr">
        <is>
          <t>avverkningsanmälan</t>
        </is>
      </c>
      <c r="C2825" t="inlineStr">
        <is>
          <t>Föryngringsavverkning</t>
        </is>
      </c>
      <c r="D2825" s="1" t="n">
        <v>45412</v>
      </c>
      <c r="E2825" s="1" t="n">
        <v>46307</v>
      </c>
      <c r="F2825" t="inlineStr">
        <is>
          <t>VÄRMLANDS LÄN</t>
        </is>
      </c>
      <c r="G2825" t="inlineStr">
        <is>
          <t>GRUMS</t>
        </is>
      </c>
      <c r="I2825" t="n">
        <v>0.8</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6602-2024</t>
        </is>
      </c>
      <c r="B2826" t="inlineStr">
        <is>
          <t>avverkningsanmälan</t>
        </is>
      </c>
      <c r="C2826" t="inlineStr">
        <is>
          <t>Föryngringsavverkning</t>
        </is>
      </c>
      <c r="D2826" s="1" t="n">
        <v>45341</v>
      </c>
      <c r="E2826" s="1" t="n">
        <v>46307</v>
      </c>
      <c r="F2826" t="inlineStr">
        <is>
          <t>VÄRMLANDS LÄN</t>
        </is>
      </c>
      <c r="G2826" t="inlineStr">
        <is>
          <t>ARVIKA</t>
        </is>
      </c>
      <c r="I2826" t="n">
        <v>7.5</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62682-2023</t>
        </is>
      </c>
      <c r="B2827" t="inlineStr">
        <is>
          <t>avverkningsanmälan</t>
        </is>
      </c>
      <c r="C2827" t="inlineStr">
        <is>
          <t>Föryngringsavverkning</t>
        </is>
      </c>
      <c r="D2827" s="1" t="n">
        <v>45271</v>
      </c>
      <c r="E2827" s="1" t="n">
        <v>46307</v>
      </c>
      <c r="F2827" t="inlineStr">
        <is>
          <t>VÄRMLANDS LÄN</t>
        </is>
      </c>
      <c r="G2827" t="inlineStr">
        <is>
          <t>GRUMS</t>
        </is>
      </c>
      <c r="I2827" t="n">
        <v>1.7</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234-2024</t>
        </is>
      </c>
      <c r="B2828" t="inlineStr">
        <is>
          <t>avverkningsanmälan</t>
        </is>
      </c>
      <c r="C2828" t="inlineStr">
        <is>
          <t>Föryngringsavverkning</t>
        </is>
      </c>
      <c r="D2828" s="1" t="n">
        <v>45294</v>
      </c>
      <c r="E2828" s="1" t="n">
        <v>46307</v>
      </c>
      <c r="F2828" t="inlineStr">
        <is>
          <t>VÄRMLANDS LÄN</t>
        </is>
      </c>
      <c r="G2828" t="inlineStr">
        <is>
          <t>TORSBY</t>
        </is>
      </c>
      <c r="I2828" t="n">
        <v>3.2</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236-2024</t>
        </is>
      </c>
      <c r="B2829" t="inlineStr">
        <is>
          <t>avverkningsanmälan</t>
        </is>
      </c>
      <c r="C2829" t="inlineStr">
        <is>
          <t>Föryngringsavverkning</t>
        </is>
      </c>
      <c r="D2829" s="1" t="n">
        <v>45294</v>
      </c>
      <c r="E2829" s="1" t="n">
        <v>46307</v>
      </c>
      <c r="F2829" t="inlineStr">
        <is>
          <t>VÄRMLANDS LÄN</t>
        </is>
      </c>
      <c r="G2829" t="inlineStr">
        <is>
          <t>TORSBY</t>
        </is>
      </c>
      <c r="I2829" t="n">
        <v>2.9</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62777-2023</t>
        </is>
      </c>
      <c r="B2830" t="inlineStr">
        <is>
          <t>avverkningsanmälan</t>
        </is>
      </c>
      <c r="C2830" t="inlineStr">
        <is>
          <t>Föryngringsavverkning</t>
        </is>
      </c>
      <c r="D2830" s="1" t="n">
        <v>45268</v>
      </c>
      <c r="E2830" s="1" t="n">
        <v>46307</v>
      </c>
      <c r="F2830" t="inlineStr">
        <is>
          <t>VÄRMLANDS LÄN</t>
        </is>
      </c>
      <c r="G2830" t="inlineStr">
        <is>
          <t>KRISTINEHAMN</t>
        </is>
      </c>
      <c r="I2830" t="n">
        <v>5</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39178-2025</t>
        </is>
      </c>
      <c r="B2831" t="inlineStr">
        <is>
          <t>avverkningsanmälan</t>
        </is>
      </c>
      <c r="C2831" t="inlineStr">
        <is>
          <t>Föryngringsavverkning</t>
        </is>
      </c>
      <c r="D2831" s="1" t="n">
        <v>45888</v>
      </c>
      <c r="E2831" s="1" t="n">
        <v>46307</v>
      </c>
      <c r="F2831" t="inlineStr">
        <is>
          <t>VÄRMLANDS LÄN</t>
        </is>
      </c>
      <c r="G2831" t="inlineStr">
        <is>
          <t>SÄFFLE</t>
        </is>
      </c>
      <c r="I2831" t="n">
        <v>3.9</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7199-2023</t>
        </is>
      </c>
      <c r="B2832" t="inlineStr">
        <is>
          <t>avverkningsanmälan</t>
        </is>
      </c>
      <c r="C2832" t="inlineStr">
        <is>
          <t>Föryngringsavverkning</t>
        </is>
      </c>
      <c r="D2832" s="1" t="n">
        <v>44970</v>
      </c>
      <c r="E2832" s="1" t="n">
        <v>46307</v>
      </c>
      <c r="F2832" t="inlineStr">
        <is>
          <t>VÄRMLANDS LÄN</t>
        </is>
      </c>
      <c r="G2832" t="inlineStr">
        <is>
          <t>SUNNE</t>
        </is>
      </c>
      <c r="I2832" t="n">
        <v>0.6</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51386-2023</t>
        </is>
      </c>
      <c r="B2833" t="inlineStr">
        <is>
          <t>avverkningsanmälan</t>
        </is>
      </c>
      <c r="C2833" t="inlineStr">
        <is>
          <t>Föryngringsavverkning</t>
        </is>
      </c>
      <c r="D2833" s="1" t="n">
        <v>45219</v>
      </c>
      <c r="E2833" s="1" t="n">
        <v>46307</v>
      </c>
      <c r="F2833" t="inlineStr">
        <is>
          <t>VÄRMLANDS LÄN</t>
        </is>
      </c>
      <c r="G2833" t="inlineStr">
        <is>
          <t>TORSBY</t>
        </is>
      </c>
      <c r="I2833" t="n">
        <v>1.9</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63518-2023</t>
        </is>
      </c>
      <c r="B2834" t="inlineStr">
        <is>
          <t>avverkningsanmälan</t>
        </is>
      </c>
      <c r="C2834" t="inlineStr">
        <is>
          <t>Föryngringsavverkning</t>
        </is>
      </c>
      <c r="D2834" s="1" t="n">
        <v>45274</v>
      </c>
      <c r="E2834" s="1" t="n">
        <v>46307</v>
      </c>
      <c r="F2834" t="inlineStr">
        <is>
          <t>VÄRMLANDS LÄN</t>
        </is>
      </c>
      <c r="G2834" t="inlineStr">
        <is>
          <t>SUNNE</t>
        </is>
      </c>
      <c r="I2834" t="n">
        <v>0.9</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62166-2024</t>
        </is>
      </c>
      <c r="B2835" t="inlineStr">
        <is>
          <t>avverkningsanmälan</t>
        </is>
      </c>
      <c r="C2835" t="inlineStr">
        <is>
          <t>Föryngringsavverkning</t>
        </is>
      </c>
      <c r="D2835" s="1" t="n">
        <v>45657</v>
      </c>
      <c r="E2835" s="1" t="n">
        <v>46307</v>
      </c>
      <c r="F2835" t="inlineStr">
        <is>
          <t>VÄRMLANDS LÄN</t>
        </is>
      </c>
      <c r="G2835" t="inlineStr">
        <is>
          <t>SUNNE</t>
        </is>
      </c>
      <c r="I2835" t="n">
        <v>1.3</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8165-2024</t>
        </is>
      </c>
      <c r="B2836" t="inlineStr">
        <is>
          <t>avverkningsanmälan</t>
        </is>
      </c>
      <c r="C2836" t="inlineStr">
        <is>
          <t>Avverkning för annat ändamål</t>
        </is>
      </c>
      <c r="D2836" s="1" t="n">
        <v>45351</v>
      </c>
      <c r="E2836" s="1" t="n">
        <v>46307</v>
      </c>
      <c r="F2836" t="inlineStr">
        <is>
          <t>VÄRMLANDS LÄN</t>
        </is>
      </c>
      <c r="G2836" t="inlineStr">
        <is>
          <t>ARVIKA</t>
        </is>
      </c>
      <c r="I2836" t="n">
        <v>3.2</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37420-2023</t>
        </is>
      </c>
      <c r="B2837" t="inlineStr">
        <is>
          <t>avverkningsanmälan</t>
        </is>
      </c>
      <c r="C2837" t="inlineStr">
        <is>
          <t>Föryngringsavverkning</t>
        </is>
      </c>
      <c r="D2837" s="1" t="n">
        <v>45156</v>
      </c>
      <c r="E2837" s="1" t="n">
        <v>46307</v>
      </c>
      <c r="F2837" t="inlineStr">
        <is>
          <t>VÄRMLANDS LÄN</t>
        </is>
      </c>
      <c r="G2837" t="inlineStr">
        <is>
          <t>SÄFFLE</t>
        </is>
      </c>
      <c r="I2837" t="n">
        <v>3.4</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34526-2023</t>
        </is>
      </c>
      <c r="B2838" t="inlineStr">
        <is>
          <t>avverkningsanmälan</t>
        </is>
      </c>
      <c r="C2838" t="inlineStr">
        <is>
          <t>Avverkning för att bevara och utveckla /försöksver</t>
        </is>
      </c>
      <c r="D2838" s="1" t="n">
        <v>45140</v>
      </c>
      <c r="E2838" s="1" t="n">
        <v>46307</v>
      </c>
      <c r="F2838" t="inlineStr">
        <is>
          <t>VÄRMLANDS LÄN</t>
        </is>
      </c>
      <c r="G2838" t="inlineStr">
        <is>
          <t>ÅRJÄNG</t>
        </is>
      </c>
      <c r="H2838" t="inlineStr">
        <is>
          <t>Kyrkan</t>
        </is>
      </c>
      <c r="I2838" t="n">
        <v>1</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38914-2022</t>
        </is>
      </c>
      <c r="B2839" t="inlineStr">
        <is>
          <t>avverkningsanmälan</t>
        </is>
      </c>
      <c r="C2839" t="inlineStr">
        <is>
          <t>Föryngringsavverkning</t>
        </is>
      </c>
      <c r="D2839" s="1" t="n">
        <v>44816</v>
      </c>
      <c r="E2839" s="1" t="n">
        <v>46307</v>
      </c>
      <c r="F2839" t="inlineStr">
        <is>
          <t>VÄRMLANDS LÄN</t>
        </is>
      </c>
      <c r="G2839" t="inlineStr">
        <is>
          <t>TORSBY</t>
        </is>
      </c>
      <c r="I2839" t="n">
        <v>4.8</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61927-2024</t>
        </is>
      </c>
      <c r="B2840" t="inlineStr">
        <is>
          <t>avverkningsanmälan</t>
        </is>
      </c>
      <c r="C2840" t="inlineStr">
        <is>
          <t>Föryngringsavverkning</t>
        </is>
      </c>
      <c r="D2840" s="1" t="n">
        <v>45653</v>
      </c>
      <c r="E2840" s="1" t="n">
        <v>46307</v>
      </c>
      <c r="F2840" t="inlineStr">
        <is>
          <t>VÄRMLANDS LÄN</t>
        </is>
      </c>
      <c r="G2840" t="inlineStr">
        <is>
          <t>ARVIKA</t>
        </is>
      </c>
      <c r="H2840" t="inlineStr">
        <is>
          <t>Bergvik skog väst AB</t>
        </is>
      </c>
      <c r="I2840" t="n">
        <v>2.2</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14432-2025</t>
        </is>
      </c>
      <c r="B2841" t="inlineStr">
        <is>
          <t>avverkningsanmälan</t>
        </is>
      </c>
      <c r="C2841" t="inlineStr">
        <is>
          <t>Föryngringsavverkning</t>
        </is>
      </c>
      <c r="D2841" s="1" t="n">
        <v>45741</v>
      </c>
      <c r="E2841" s="1" t="n">
        <v>46307</v>
      </c>
      <c r="F2841" t="inlineStr">
        <is>
          <t>VÄRMLANDS LÄN</t>
        </is>
      </c>
      <c r="G2841" t="inlineStr">
        <is>
          <t>FILIPSTAD</t>
        </is>
      </c>
      <c r="H2841" t="inlineStr">
        <is>
          <t>Bergvik skog väst AB</t>
        </is>
      </c>
      <c r="I2841" t="n">
        <v>10.4</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34529-2023</t>
        </is>
      </c>
      <c r="B2842" t="inlineStr">
        <is>
          <t>avverkningsanmälan</t>
        </is>
      </c>
      <c r="C2842" t="inlineStr">
        <is>
          <t>Föryngringsavverkning</t>
        </is>
      </c>
      <c r="D2842" s="1" t="n">
        <v>45140</v>
      </c>
      <c r="E2842" s="1" t="n">
        <v>46307</v>
      </c>
      <c r="F2842" t="inlineStr">
        <is>
          <t>VÄRMLANDS LÄN</t>
        </is>
      </c>
      <c r="G2842" t="inlineStr">
        <is>
          <t>HAGFORS</t>
        </is>
      </c>
      <c r="I2842" t="n">
        <v>0.9</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3071-2022</t>
        </is>
      </c>
      <c r="B2843" t="inlineStr">
        <is>
          <t>avverkningsanmälan</t>
        </is>
      </c>
      <c r="C2843" t="inlineStr">
        <is>
          <t>Föryngringsavverkning</t>
        </is>
      </c>
      <c r="D2843" s="1" t="n">
        <v>44582</v>
      </c>
      <c r="E2843" s="1" t="n">
        <v>46307</v>
      </c>
      <c r="F2843" t="inlineStr">
        <is>
          <t>VÄRMLANDS LÄN</t>
        </is>
      </c>
      <c r="G2843" t="inlineStr">
        <is>
          <t>TORSBY</t>
        </is>
      </c>
      <c r="I2843" t="n">
        <v>7.9</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32033-2024</t>
        </is>
      </c>
      <c r="B2844" t="inlineStr">
        <is>
          <t>avverkningsanmälan</t>
        </is>
      </c>
      <c r="C2844" t="inlineStr">
        <is>
          <t>Föryngringsavverkning</t>
        </is>
      </c>
      <c r="D2844" s="1" t="n">
        <v>45510</v>
      </c>
      <c r="E2844" s="1" t="n">
        <v>46307</v>
      </c>
      <c r="F2844" t="inlineStr">
        <is>
          <t>VÄRMLANDS LÄN</t>
        </is>
      </c>
      <c r="G2844" t="inlineStr">
        <is>
          <t>HAGFORS</t>
        </is>
      </c>
      <c r="I2844" t="n">
        <v>1.8</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35317-2023</t>
        </is>
      </c>
      <c r="B2845" t="inlineStr">
        <is>
          <t>avverkningsanmälan</t>
        </is>
      </c>
      <c r="C2845" t="inlineStr">
        <is>
          <t>Föryngringsavverkning</t>
        </is>
      </c>
      <c r="D2845" s="1" t="n">
        <v>45146</v>
      </c>
      <c r="E2845" s="1" t="n">
        <v>46307</v>
      </c>
      <c r="F2845" t="inlineStr">
        <is>
          <t>VÄRMLANDS LÄN</t>
        </is>
      </c>
      <c r="G2845" t="inlineStr">
        <is>
          <t>EDA</t>
        </is>
      </c>
      <c r="I2845" t="n">
        <v>1.2</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41214-2023</t>
        </is>
      </c>
      <c r="B2846" t="inlineStr">
        <is>
          <t>avverkningsanmälan</t>
        </is>
      </c>
      <c r="C2846" t="inlineStr">
        <is>
          <t>Föryngringsavverkning</t>
        </is>
      </c>
      <c r="D2846" s="1" t="n">
        <v>45174</v>
      </c>
      <c r="E2846" s="1" t="n">
        <v>46307</v>
      </c>
      <c r="F2846" t="inlineStr">
        <is>
          <t>VÄRMLANDS LÄN</t>
        </is>
      </c>
      <c r="G2846" t="inlineStr">
        <is>
          <t>STORFORS</t>
        </is>
      </c>
      <c r="H2846" t="inlineStr">
        <is>
          <t>Bergvik skog väst AB</t>
        </is>
      </c>
      <c r="I2846" t="n">
        <v>51.6</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34635-2023</t>
        </is>
      </c>
      <c r="B2847" t="inlineStr">
        <is>
          <t>avverkningsanmälan</t>
        </is>
      </c>
      <c r="C2847" t="inlineStr">
        <is>
          <t>Föryngringsavverkning</t>
        </is>
      </c>
      <c r="D2847" s="1" t="n">
        <v>45140</v>
      </c>
      <c r="E2847" s="1" t="n">
        <v>46307</v>
      </c>
      <c r="F2847" t="inlineStr">
        <is>
          <t>VÄRMLANDS LÄN</t>
        </is>
      </c>
      <c r="G2847" t="inlineStr">
        <is>
          <t>EDA</t>
        </is>
      </c>
      <c r="I2847" t="n">
        <v>1.5</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64672-2023</t>
        </is>
      </c>
      <c r="B2848" t="inlineStr">
        <is>
          <t>avverkningsanmälan</t>
        </is>
      </c>
      <c r="C2848" t="inlineStr">
        <is>
          <t>Föryngringsavverkning</t>
        </is>
      </c>
      <c r="D2848" s="1" t="n">
        <v>45281</v>
      </c>
      <c r="E2848" s="1" t="n">
        <v>46307</v>
      </c>
      <c r="F2848" t="inlineStr">
        <is>
          <t>VÄRMLANDS LÄN</t>
        </is>
      </c>
      <c r="G2848" t="inlineStr">
        <is>
          <t>TORSBY</t>
        </is>
      </c>
      <c r="I2848" t="n">
        <v>3</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39025-2023</t>
        </is>
      </c>
      <c r="B2849" t="inlineStr">
        <is>
          <t>avverkningsanmälan</t>
        </is>
      </c>
      <c r="C2849" t="inlineStr">
        <is>
          <t>Föryngringsavverkning</t>
        </is>
      </c>
      <c r="D2849" s="1" t="n">
        <v>45163</v>
      </c>
      <c r="E2849" s="1" t="n">
        <v>46307</v>
      </c>
      <c r="F2849" t="inlineStr">
        <is>
          <t>VÄRMLANDS LÄN</t>
        </is>
      </c>
      <c r="G2849" t="inlineStr">
        <is>
          <t>STORFORS</t>
        </is>
      </c>
      <c r="H2849" t="inlineStr">
        <is>
          <t>Kyrkan</t>
        </is>
      </c>
      <c r="I2849" t="n">
        <v>1.2</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35579-2023</t>
        </is>
      </c>
      <c r="B2850" t="inlineStr">
        <is>
          <t>avverkningsanmälan</t>
        </is>
      </c>
      <c r="C2850" t="inlineStr">
        <is>
          <t>Föryngringsavverkning</t>
        </is>
      </c>
      <c r="D2850" s="1" t="n">
        <v>45147</v>
      </c>
      <c r="E2850" s="1" t="n">
        <v>46307</v>
      </c>
      <c r="F2850" t="inlineStr">
        <is>
          <t>VÄRMLANDS LÄN</t>
        </is>
      </c>
      <c r="G2850" t="inlineStr">
        <is>
          <t>ARVIKA</t>
        </is>
      </c>
      <c r="I2850" t="n">
        <v>0.7</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20647-2024</t>
        </is>
      </c>
      <c r="B2851" t="inlineStr">
        <is>
          <t>avverkningsanmälan</t>
        </is>
      </c>
      <c r="C2851" t="inlineStr">
        <is>
          <t>Föryngringsavverkning</t>
        </is>
      </c>
      <c r="D2851" s="1" t="n">
        <v>45436</v>
      </c>
      <c r="E2851" s="1" t="n">
        <v>46307</v>
      </c>
      <c r="F2851" t="inlineStr">
        <is>
          <t>VÄRMLANDS LÄN</t>
        </is>
      </c>
      <c r="G2851" t="inlineStr">
        <is>
          <t>TORSBY</t>
        </is>
      </c>
      <c r="I2851" t="n">
        <v>1.3</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58639-2024</t>
        </is>
      </c>
      <c r="B2852" t="inlineStr">
        <is>
          <t>avverkningsanmälan</t>
        </is>
      </c>
      <c r="C2852" t="inlineStr">
        <is>
          <t>Föryngringsavverkning</t>
        </is>
      </c>
      <c r="D2852" s="1" t="n">
        <v>45635</v>
      </c>
      <c r="E2852" s="1" t="n">
        <v>46307</v>
      </c>
      <c r="F2852" t="inlineStr">
        <is>
          <t>VÄRMLANDS LÄN</t>
        </is>
      </c>
      <c r="G2852" t="inlineStr">
        <is>
          <t>SÄFFLE</t>
        </is>
      </c>
      <c r="I2852" t="n">
        <v>1.8</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48630-2024</t>
        </is>
      </c>
      <c r="B2853" t="inlineStr">
        <is>
          <t>avverkningsanmälan</t>
        </is>
      </c>
      <c r="C2853" t="inlineStr">
        <is>
          <t>Föryngringsavverkning</t>
        </is>
      </c>
      <c r="D2853" s="1" t="n">
        <v>45593</v>
      </c>
      <c r="E2853" s="1" t="n">
        <v>46307</v>
      </c>
      <c r="F2853" t="inlineStr">
        <is>
          <t>VÄRMLANDS LÄN</t>
        </is>
      </c>
      <c r="G2853" t="inlineStr">
        <is>
          <t>FORSHAGA</t>
        </is>
      </c>
      <c r="I2853" t="n">
        <v>7.5</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3922-2024</t>
        </is>
      </c>
      <c r="B2854" t="inlineStr">
        <is>
          <t>avverkningsanmälan</t>
        </is>
      </c>
      <c r="C2854" t="inlineStr">
        <is>
          <t>Föryngringsavverkning</t>
        </is>
      </c>
      <c r="D2854" s="1" t="n">
        <v>45322</v>
      </c>
      <c r="E2854" s="1" t="n">
        <v>46307</v>
      </c>
      <c r="F2854" t="inlineStr">
        <is>
          <t>VÄRMLANDS LÄN</t>
        </is>
      </c>
      <c r="G2854" t="inlineStr">
        <is>
          <t>TORSBY</t>
        </is>
      </c>
      <c r="I2854" t="n">
        <v>0.8</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50380-2024</t>
        </is>
      </c>
      <c r="B2855" t="inlineStr">
        <is>
          <t>avverkningsanmälan</t>
        </is>
      </c>
      <c r="C2855" t="inlineStr">
        <is>
          <t>Föryngringsavverkning</t>
        </is>
      </c>
      <c r="D2855" s="1" t="n">
        <v>45601</v>
      </c>
      <c r="E2855" s="1" t="n">
        <v>46307</v>
      </c>
      <c r="F2855" t="inlineStr">
        <is>
          <t>VÄRMLANDS LÄN</t>
        </is>
      </c>
      <c r="G2855" t="inlineStr">
        <is>
          <t>TORSBY</t>
        </is>
      </c>
      <c r="H2855" t="inlineStr">
        <is>
          <t>Bergvik skog väst AB</t>
        </is>
      </c>
      <c r="I2855" t="n">
        <v>7.9</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1997-2025</t>
        </is>
      </c>
      <c r="B2856" t="inlineStr">
        <is>
          <t>avverkningsanmälan</t>
        </is>
      </c>
      <c r="C2856" t="inlineStr">
        <is>
          <t>Föryngringsavverkning</t>
        </is>
      </c>
      <c r="D2856" s="1" t="n">
        <v>45672</v>
      </c>
      <c r="E2856" s="1" t="n">
        <v>46307</v>
      </c>
      <c r="F2856" t="inlineStr">
        <is>
          <t>VÄRMLANDS LÄN</t>
        </is>
      </c>
      <c r="G2856" t="inlineStr">
        <is>
          <t>TORSBY</t>
        </is>
      </c>
      <c r="I2856" t="n">
        <v>20.1</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33399-2024</t>
        </is>
      </c>
      <c r="B2857" t="inlineStr">
        <is>
          <t>avverkningsanmälan</t>
        </is>
      </c>
      <c r="C2857" t="inlineStr">
        <is>
          <t>Föryngringsavverkning</t>
        </is>
      </c>
      <c r="D2857" s="1" t="n">
        <v>45519</v>
      </c>
      <c r="E2857" s="1" t="n">
        <v>46307</v>
      </c>
      <c r="F2857" t="inlineStr">
        <is>
          <t>VÄRMLANDS LÄN</t>
        </is>
      </c>
      <c r="G2857" t="inlineStr">
        <is>
          <t>HAGFORS</t>
        </is>
      </c>
      <c r="I2857" t="n">
        <v>8.4</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36018-2024</t>
        </is>
      </c>
      <c r="B2858" t="inlineStr">
        <is>
          <t>avverkningsanmälan</t>
        </is>
      </c>
      <c r="C2858" t="inlineStr">
        <is>
          <t>Föryngringsavverkning</t>
        </is>
      </c>
      <c r="D2858" s="1" t="n">
        <v>45533</v>
      </c>
      <c r="E2858" s="1" t="n">
        <v>46307</v>
      </c>
      <c r="F2858" t="inlineStr">
        <is>
          <t>VÄRMLANDS LÄN</t>
        </is>
      </c>
      <c r="G2858" t="inlineStr">
        <is>
          <t>ÅRJÄNG</t>
        </is>
      </c>
      <c r="I2858" t="n">
        <v>1.3</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6669-2023</t>
        </is>
      </c>
      <c r="B2859" t="inlineStr">
        <is>
          <t>avverkningsanmälan</t>
        </is>
      </c>
      <c r="C2859" t="inlineStr">
        <is>
          <t>Föryngringsavverkning</t>
        </is>
      </c>
      <c r="D2859" s="1" t="n">
        <v>44963</v>
      </c>
      <c r="E2859" s="1" t="n">
        <v>46307</v>
      </c>
      <c r="F2859" t="inlineStr">
        <is>
          <t>VÄRMLANDS LÄN</t>
        </is>
      </c>
      <c r="G2859" t="inlineStr">
        <is>
          <t>SUNNE</t>
        </is>
      </c>
      <c r="I2859" t="n">
        <v>5.3</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34062-2023</t>
        </is>
      </c>
      <c r="B2860" t="inlineStr">
        <is>
          <t>avverkningsanmälan</t>
        </is>
      </c>
      <c r="C2860" t="inlineStr">
        <is>
          <t>Föryngringsavverkning</t>
        </is>
      </c>
      <c r="D2860" s="1" t="n">
        <v>45125</v>
      </c>
      <c r="E2860" s="1" t="n">
        <v>46307</v>
      </c>
      <c r="F2860" t="inlineStr">
        <is>
          <t>VÄRMLANDS LÄN</t>
        </is>
      </c>
      <c r="G2860" t="inlineStr">
        <is>
          <t>SUNNE</t>
        </is>
      </c>
      <c r="I2860" t="n">
        <v>20.1</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23070-2024</t>
        </is>
      </c>
      <c r="B2861" t="inlineStr">
        <is>
          <t>avverkningsanmälan</t>
        </is>
      </c>
      <c r="C2861" t="inlineStr">
        <is>
          <t>Föryngringsavverkning</t>
        </is>
      </c>
      <c r="D2861" s="1" t="n">
        <v>45450</v>
      </c>
      <c r="E2861" s="1" t="n">
        <v>46307</v>
      </c>
      <c r="F2861" t="inlineStr">
        <is>
          <t>VÄRMLANDS LÄN</t>
        </is>
      </c>
      <c r="G2861" t="inlineStr">
        <is>
          <t>EDA</t>
        </is>
      </c>
      <c r="I2861" t="n">
        <v>2.4</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35335-2024</t>
        </is>
      </c>
      <c r="B2862" t="inlineStr">
        <is>
          <t>avverkningsanmälan</t>
        </is>
      </c>
      <c r="C2862" t="inlineStr">
        <is>
          <t>Föryngringsavverkning</t>
        </is>
      </c>
      <c r="D2862" s="1" t="n">
        <v>45530</v>
      </c>
      <c r="E2862" s="1" t="n">
        <v>46307</v>
      </c>
      <c r="F2862" t="inlineStr">
        <is>
          <t>VÄRMLANDS LÄN</t>
        </is>
      </c>
      <c r="G2862" t="inlineStr">
        <is>
          <t>FORSHAGA</t>
        </is>
      </c>
      <c r="H2862" t="inlineStr">
        <is>
          <t>Kommuner</t>
        </is>
      </c>
      <c r="I2862" t="n">
        <v>1.1</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38361-2022</t>
        </is>
      </c>
      <c r="B2863" t="inlineStr">
        <is>
          <t>avverkningsanmälan</t>
        </is>
      </c>
      <c r="C2863" t="inlineStr">
        <is>
          <t>Föryngringsavverkning</t>
        </is>
      </c>
      <c r="D2863" s="1" t="n">
        <v>44812</v>
      </c>
      <c r="E2863" s="1" t="n">
        <v>46307</v>
      </c>
      <c r="F2863" t="inlineStr">
        <is>
          <t>VÄRMLANDS LÄN</t>
        </is>
      </c>
      <c r="G2863" t="inlineStr">
        <is>
          <t>SUNNE</t>
        </is>
      </c>
      <c r="I2863" t="n">
        <v>1</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12281-2025</t>
        </is>
      </c>
      <c r="B2864" t="inlineStr">
        <is>
          <t>avverkningsanmälan</t>
        </is>
      </c>
      <c r="C2864" t="inlineStr">
        <is>
          <t>Föryngringsavverkning</t>
        </is>
      </c>
      <c r="D2864" s="1" t="n">
        <v>45729</v>
      </c>
      <c r="E2864" s="1" t="n">
        <v>46307</v>
      </c>
      <c r="F2864" t="inlineStr">
        <is>
          <t>VÄRMLANDS LÄN</t>
        </is>
      </c>
      <c r="G2864" t="inlineStr">
        <is>
          <t>EDA</t>
        </is>
      </c>
      <c r="I2864" t="n">
        <v>2.2</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37334-2024</t>
        </is>
      </c>
      <c r="B2865" t="inlineStr">
        <is>
          <t>avverkningsanmälan</t>
        </is>
      </c>
      <c r="C2865" t="inlineStr">
        <is>
          <t>Föryngringsavverkning</t>
        </is>
      </c>
      <c r="D2865" s="1" t="n">
        <v>45540</v>
      </c>
      <c r="E2865" s="1" t="n">
        <v>46307</v>
      </c>
      <c r="F2865" t="inlineStr">
        <is>
          <t>VÄRMLANDS LÄN</t>
        </is>
      </c>
      <c r="G2865" t="inlineStr">
        <is>
          <t>SUNNE</t>
        </is>
      </c>
      <c r="I2865" t="n">
        <v>0.8</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29122-2024</t>
        </is>
      </c>
      <c r="B2866" t="inlineStr">
        <is>
          <t>avverkningsanmälan</t>
        </is>
      </c>
      <c r="C2866" t="inlineStr">
        <is>
          <t>Föryngringsavverkning</t>
        </is>
      </c>
      <c r="D2866" s="1" t="n">
        <v>45482</v>
      </c>
      <c r="E2866" s="1" t="n">
        <v>46307</v>
      </c>
      <c r="F2866" t="inlineStr">
        <is>
          <t>VÄRMLANDS LÄN</t>
        </is>
      </c>
      <c r="G2866" t="inlineStr">
        <is>
          <t>EDA</t>
        </is>
      </c>
      <c r="I2866" t="n">
        <v>2.2</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34512-2023</t>
        </is>
      </c>
      <c r="B2867" t="inlineStr">
        <is>
          <t>avverkningsanmälan</t>
        </is>
      </c>
      <c r="C2867" t="inlineStr">
        <is>
          <t>Föryngringsavverkning</t>
        </is>
      </c>
      <c r="D2867" s="1" t="n">
        <v>45133</v>
      </c>
      <c r="E2867" s="1" t="n">
        <v>46307</v>
      </c>
      <c r="F2867" t="inlineStr">
        <is>
          <t>VÄRMLANDS LÄN</t>
        </is>
      </c>
      <c r="G2867" t="inlineStr">
        <is>
          <t>FILIPSTAD</t>
        </is>
      </c>
      <c r="I2867" t="n">
        <v>1.7</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11050-2022</t>
        </is>
      </c>
      <c r="B2868" t="inlineStr">
        <is>
          <t>avverkningsanmälan</t>
        </is>
      </c>
      <c r="C2868" t="inlineStr">
        <is>
          <t>Föryngringsavverkning</t>
        </is>
      </c>
      <c r="D2868" s="1" t="n">
        <v>44628</v>
      </c>
      <c r="E2868" s="1" t="n">
        <v>46307</v>
      </c>
      <c r="F2868" t="inlineStr">
        <is>
          <t>VÄRMLANDS LÄN</t>
        </is>
      </c>
      <c r="G2868" t="inlineStr">
        <is>
          <t>TORSBY</t>
        </is>
      </c>
      <c r="I2868" t="n">
        <v>4.9</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38176-2024</t>
        </is>
      </c>
      <c r="B2869" t="inlineStr">
        <is>
          <t>avverkningsanmälan</t>
        </is>
      </c>
      <c r="C2869" t="inlineStr">
        <is>
          <t>Föryngringsavverkning</t>
        </is>
      </c>
      <c r="D2869" s="1" t="n">
        <v>45545</v>
      </c>
      <c r="E2869" s="1" t="n">
        <v>46307</v>
      </c>
      <c r="F2869" t="inlineStr">
        <is>
          <t>VÄRMLANDS LÄN</t>
        </is>
      </c>
      <c r="G2869" t="inlineStr">
        <is>
          <t>STORFORS</t>
        </is>
      </c>
      <c r="I2869" t="n">
        <v>1.5</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32202-2022</t>
        </is>
      </c>
      <c r="B2870" t="inlineStr">
        <is>
          <t>avverkningsanmälan</t>
        </is>
      </c>
      <c r="C2870" t="inlineStr">
        <is>
          <t>Föryngringsavverkning</t>
        </is>
      </c>
      <c r="D2870" s="1" t="n">
        <v>44781</v>
      </c>
      <c r="E2870" s="1" t="n">
        <v>46307</v>
      </c>
      <c r="F2870" t="inlineStr">
        <is>
          <t>VÄRMLANDS LÄN</t>
        </is>
      </c>
      <c r="G2870" t="inlineStr">
        <is>
          <t>SUNNE</t>
        </is>
      </c>
      <c r="I2870" t="n">
        <v>0.8</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24339-2024</t>
        </is>
      </c>
      <c r="B2871" t="inlineStr">
        <is>
          <t>avverkningsanmälan</t>
        </is>
      </c>
      <c r="C2871" t="inlineStr">
        <is>
          <t>Föryngringsavverkning</t>
        </is>
      </c>
      <c r="D2871" s="1" t="n">
        <v>45457</v>
      </c>
      <c r="E2871" s="1" t="n">
        <v>46307</v>
      </c>
      <c r="F2871" t="inlineStr">
        <is>
          <t>VÄRMLANDS LÄN</t>
        </is>
      </c>
      <c r="G2871" t="inlineStr">
        <is>
          <t>ÅRJÄNG</t>
        </is>
      </c>
      <c r="I2871" t="n">
        <v>0.9</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39093-2025</t>
        </is>
      </c>
      <c r="B2872" t="inlineStr">
        <is>
          <t>avverkningsanmälan</t>
        </is>
      </c>
      <c r="C2872" t="inlineStr">
        <is>
          <t>Föryngringsavverkning</t>
        </is>
      </c>
      <c r="D2872" s="1" t="n">
        <v>45888</v>
      </c>
      <c r="E2872" s="1" t="n">
        <v>46307</v>
      </c>
      <c r="F2872" t="inlineStr">
        <is>
          <t>VÄRMLANDS LÄN</t>
        </is>
      </c>
      <c r="G2872" t="inlineStr">
        <is>
          <t>ARVIKA</t>
        </is>
      </c>
      <c r="H2872" t="inlineStr">
        <is>
          <t>Bergvik skog väst AB</t>
        </is>
      </c>
      <c r="I2872" t="n">
        <v>18.1</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14582-2025</t>
        </is>
      </c>
      <c r="B2873" t="inlineStr">
        <is>
          <t>avverkningsanmälan</t>
        </is>
      </c>
      <c r="C2873" t="inlineStr">
        <is>
          <t>Avverkning för annat ändamål</t>
        </is>
      </c>
      <c r="D2873" s="1" t="n">
        <v>45742</v>
      </c>
      <c r="E2873" s="1" t="n">
        <v>46307</v>
      </c>
      <c r="F2873" t="inlineStr">
        <is>
          <t>VÄRMLANDS LÄN</t>
        </is>
      </c>
      <c r="G2873" t="inlineStr">
        <is>
          <t>FILIPSTAD</t>
        </is>
      </c>
      <c r="H2873" t="inlineStr">
        <is>
          <t>Bergvik skog väst AB</t>
        </is>
      </c>
      <c r="I2873" t="n">
        <v>2</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54339-2022</t>
        </is>
      </c>
      <c r="B2874" t="inlineStr">
        <is>
          <t>avverkningsanmälan</t>
        </is>
      </c>
      <c r="C2874" t="inlineStr">
        <is>
          <t>Föryngringsavverkning</t>
        </is>
      </c>
      <c r="D2874" s="1" t="n">
        <v>44882</v>
      </c>
      <c r="E2874" s="1" t="n">
        <v>46307</v>
      </c>
      <c r="F2874" t="inlineStr">
        <is>
          <t>VÄRMLANDS LÄN</t>
        </is>
      </c>
      <c r="G2874" t="inlineStr">
        <is>
          <t>SUNNE</t>
        </is>
      </c>
      <c r="I2874" t="n">
        <v>8.1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69839-2021</t>
        </is>
      </c>
      <c r="B2875" t="inlineStr">
        <is>
          <t>avverkningsanmälan</t>
        </is>
      </c>
      <c r="C2875" t="inlineStr">
        <is>
          <t>Föryngringsavverkning</t>
        </is>
      </c>
      <c r="D2875" s="1" t="n">
        <v>44532</v>
      </c>
      <c r="E2875" s="1" t="n">
        <v>46307</v>
      </c>
      <c r="F2875" t="inlineStr">
        <is>
          <t>VÄRMLANDS LÄN</t>
        </is>
      </c>
      <c r="G2875" t="inlineStr">
        <is>
          <t>ÅRJÄNG</t>
        </is>
      </c>
      <c r="I2875" t="n">
        <v>3.1</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69847-2021</t>
        </is>
      </c>
      <c r="B2876" t="inlineStr">
        <is>
          <t>avverkningsanmälan</t>
        </is>
      </c>
      <c r="C2876" t="inlineStr">
        <is>
          <t>Föryngringsavverkning</t>
        </is>
      </c>
      <c r="D2876" s="1" t="n">
        <v>44532</v>
      </c>
      <c r="E2876" s="1" t="n">
        <v>46307</v>
      </c>
      <c r="F2876" t="inlineStr">
        <is>
          <t>VÄRMLANDS LÄN</t>
        </is>
      </c>
      <c r="G2876" t="inlineStr">
        <is>
          <t>GRUMS</t>
        </is>
      </c>
      <c r="I2876" t="n">
        <v>1.3</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58459-2022</t>
        </is>
      </c>
      <c r="B2877" t="inlineStr">
        <is>
          <t>avverkningsanmälan</t>
        </is>
      </c>
      <c r="C2877" t="inlineStr">
        <is>
          <t>Föryngringsavverkning</t>
        </is>
      </c>
      <c r="D2877" s="1" t="n">
        <v>44902</v>
      </c>
      <c r="E2877" s="1" t="n">
        <v>46307</v>
      </c>
      <c r="F2877" t="inlineStr">
        <is>
          <t>VÄRMLANDS LÄN</t>
        </is>
      </c>
      <c r="G2877" t="inlineStr">
        <is>
          <t>KARLSTAD</t>
        </is>
      </c>
      <c r="I2877" t="n">
        <v>5.2</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58514-2022</t>
        </is>
      </c>
      <c r="B2878" t="inlineStr">
        <is>
          <t>avverkningsanmälan</t>
        </is>
      </c>
      <c r="C2878" t="inlineStr">
        <is>
          <t>Föryngringsavverkning</t>
        </is>
      </c>
      <c r="D2878" s="1" t="n">
        <v>44902</v>
      </c>
      <c r="E2878" s="1" t="n">
        <v>46307</v>
      </c>
      <c r="F2878" t="inlineStr">
        <is>
          <t>VÄRMLANDS LÄN</t>
        </is>
      </c>
      <c r="G2878" t="inlineStr">
        <is>
          <t>GRUMS</t>
        </is>
      </c>
      <c r="I2878" t="n">
        <v>3.1</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1947-2023</t>
        </is>
      </c>
      <c r="B2879" t="inlineStr">
        <is>
          <t>avverkningsanmälan</t>
        </is>
      </c>
      <c r="C2879" t="inlineStr">
        <is>
          <t>Föryngringsavverkning</t>
        </is>
      </c>
      <c r="D2879" s="1" t="n">
        <v>44939</v>
      </c>
      <c r="E2879" s="1" t="n">
        <v>46307</v>
      </c>
      <c r="F2879" t="inlineStr">
        <is>
          <t>VÄRMLANDS LÄN</t>
        </is>
      </c>
      <c r="G2879" t="inlineStr">
        <is>
          <t>TORSBY</t>
        </is>
      </c>
      <c r="I2879" t="n">
        <v>2.9</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50635-2023</t>
        </is>
      </c>
      <c r="B2880" t="inlineStr">
        <is>
          <t>avverkningsanmälan</t>
        </is>
      </c>
      <c r="C2880" t="inlineStr">
        <is>
          <t>Föryngringsavverkning</t>
        </is>
      </c>
      <c r="D2880" s="1" t="n">
        <v>45217</v>
      </c>
      <c r="E2880" s="1" t="n">
        <v>46307</v>
      </c>
      <c r="F2880" t="inlineStr">
        <is>
          <t>VÄRMLANDS LÄN</t>
        </is>
      </c>
      <c r="G2880" t="inlineStr">
        <is>
          <t>FORSHAGA</t>
        </is>
      </c>
      <c r="I2880" t="n">
        <v>1.6</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46703-2024</t>
        </is>
      </c>
      <c r="B2881" t="inlineStr">
        <is>
          <t>avverkningsanmälan</t>
        </is>
      </c>
      <c r="C2881" t="inlineStr">
        <is>
          <t>Föryngringsavverkning</t>
        </is>
      </c>
      <c r="D2881" s="1" t="n">
        <v>45583</v>
      </c>
      <c r="E2881" s="1" t="n">
        <v>46307</v>
      </c>
      <c r="F2881" t="inlineStr">
        <is>
          <t>VÄRMLANDS LÄN</t>
        </is>
      </c>
      <c r="G2881" t="inlineStr">
        <is>
          <t>EDA</t>
        </is>
      </c>
      <c r="I2881" t="n">
        <v>3.9</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108-2024</t>
        </is>
      </c>
      <c r="B2882" t="inlineStr">
        <is>
          <t>avverkningsanmälan</t>
        </is>
      </c>
      <c r="C2882" t="inlineStr">
        <is>
          <t>Föryngringsavverkning</t>
        </is>
      </c>
      <c r="D2882" s="1" t="n">
        <v>45293</v>
      </c>
      <c r="E2882" s="1" t="n">
        <v>46307</v>
      </c>
      <c r="F2882" t="inlineStr">
        <is>
          <t>VÄRMLANDS LÄN</t>
        </is>
      </c>
      <c r="G2882" t="inlineStr">
        <is>
          <t>ARVIKA</t>
        </is>
      </c>
      <c r="H2882" t="inlineStr">
        <is>
          <t>Kyrkan</t>
        </is>
      </c>
      <c r="I2882" t="n">
        <v>2.5</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38738-2025</t>
        </is>
      </c>
      <c r="B2883" t="inlineStr">
        <is>
          <t>avverkningsanmälan</t>
        </is>
      </c>
      <c r="C2883" t="inlineStr">
        <is>
          <t>Föryngringsavverkning</t>
        </is>
      </c>
      <c r="D2883" s="1" t="n">
        <v>45887</v>
      </c>
      <c r="E2883" s="1" t="n">
        <v>46307</v>
      </c>
      <c r="F2883" t="inlineStr">
        <is>
          <t>VÄRMLANDS LÄN</t>
        </is>
      </c>
      <c r="G2883" t="inlineStr">
        <is>
          <t>TORSBY</t>
        </is>
      </c>
      <c r="H2883" t="inlineStr">
        <is>
          <t>Bergvik skog väst AB</t>
        </is>
      </c>
      <c r="I2883" t="n">
        <v>1.4</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38742-2025</t>
        </is>
      </c>
      <c r="B2884" t="inlineStr">
        <is>
          <t>avverkningsanmälan</t>
        </is>
      </c>
      <c r="C2884" t="inlineStr">
        <is>
          <t>Föryngringsavverkning</t>
        </is>
      </c>
      <c r="D2884" s="1" t="n">
        <v>45887</v>
      </c>
      <c r="E2884" s="1" t="n">
        <v>46307</v>
      </c>
      <c r="F2884" t="inlineStr">
        <is>
          <t>VÄRMLANDS LÄN</t>
        </is>
      </c>
      <c r="G2884" t="inlineStr">
        <is>
          <t>ÅRJÄNG</t>
        </is>
      </c>
      <c r="I2884" t="n">
        <v>1.6</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135-2024</t>
        </is>
      </c>
      <c r="B2885" t="inlineStr">
        <is>
          <t>avverkningsanmälan</t>
        </is>
      </c>
      <c r="C2885" t="inlineStr">
        <is>
          <t>Föryngringsavverkning</t>
        </is>
      </c>
      <c r="D2885" s="1" t="n">
        <v>45294</v>
      </c>
      <c r="E2885" s="1" t="n">
        <v>46307</v>
      </c>
      <c r="F2885" t="inlineStr">
        <is>
          <t>VÄRMLANDS LÄN</t>
        </is>
      </c>
      <c r="G2885" t="inlineStr">
        <is>
          <t>EDA</t>
        </is>
      </c>
      <c r="I2885" t="n">
        <v>1.8</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42447-2023</t>
        </is>
      </c>
      <c r="B2886" t="inlineStr">
        <is>
          <t>avverkningsanmälan</t>
        </is>
      </c>
      <c r="C2886" t="inlineStr">
        <is>
          <t>Föryngringsavverkning</t>
        </is>
      </c>
      <c r="D2886" s="1" t="n">
        <v>45180</v>
      </c>
      <c r="E2886" s="1" t="n">
        <v>46307</v>
      </c>
      <c r="F2886" t="inlineStr">
        <is>
          <t>VÄRMLANDS LÄN</t>
        </is>
      </c>
      <c r="G2886" t="inlineStr">
        <is>
          <t>SUNNE</t>
        </is>
      </c>
      <c r="I2886" t="n">
        <v>1.4</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63128-2023</t>
        </is>
      </c>
      <c r="B2887" t="inlineStr">
        <is>
          <t>avverkningsanmälan</t>
        </is>
      </c>
      <c r="C2887" t="inlineStr">
        <is>
          <t>Föryngringsavverkning</t>
        </is>
      </c>
      <c r="D2887" s="1" t="n">
        <v>45273</v>
      </c>
      <c r="E2887" s="1" t="n">
        <v>46307</v>
      </c>
      <c r="F2887" t="inlineStr">
        <is>
          <t>VÄRMLANDS LÄN</t>
        </is>
      </c>
      <c r="G2887" t="inlineStr">
        <is>
          <t>ARVIKA</t>
        </is>
      </c>
      <c r="I2887" t="n">
        <v>1.7</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34500-2024</t>
        </is>
      </c>
      <c r="B2888" t="inlineStr">
        <is>
          <t>avverkningsanmälan</t>
        </is>
      </c>
      <c r="C2888" t="inlineStr">
        <is>
          <t>Föryngringsavverkning</t>
        </is>
      </c>
      <c r="D2888" s="1" t="n">
        <v>45525</v>
      </c>
      <c r="E2888" s="1" t="n">
        <v>46307</v>
      </c>
      <c r="F2888" t="inlineStr">
        <is>
          <t>VÄRMLANDS LÄN</t>
        </is>
      </c>
      <c r="G2888" t="inlineStr">
        <is>
          <t>TORSBY</t>
        </is>
      </c>
      <c r="I2888" t="n">
        <v>1.7</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1377-2023</t>
        </is>
      </c>
      <c r="B2889" t="inlineStr">
        <is>
          <t>avverkningsanmälan</t>
        </is>
      </c>
      <c r="C2889" t="inlineStr">
        <is>
          <t>Föryngringsavverkning</t>
        </is>
      </c>
      <c r="D2889" s="1" t="n">
        <v>44936</v>
      </c>
      <c r="E2889" s="1" t="n">
        <v>46307</v>
      </c>
      <c r="F2889" t="inlineStr">
        <is>
          <t>VÄRMLANDS LÄN</t>
        </is>
      </c>
      <c r="G2889" t="inlineStr">
        <is>
          <t>ÅRJÄNG</t>
        </is>
      </c>
      <c r="I2889" t="n">
        <v>1.6</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23642-2025</t>
        </is>
      </c>
      <c r="B2890" t="inlineStr">
        <is>
          <t>avverkningsanmälan</t>
        </is>
      </c>
      <c r="C2890" t="inlineStr">
        <is>
          <t>Föryngringsavverkning</t>
        </is>
      </c>
      <c r="D2890" s="1" t="n">
        <v>45792</v>
      </c>
      <c r="E2890" s="1" t="n">
        <v>46307</v>
      </c>
      <c r="F2890" t="inlineStr">
        <is>
          <t>VÄRMLANDS LÄN</t>
        </is>
      </c>
      <c r="G2890" t="inlineStr">
        <is>
          <t>KARLSTAD</t>
        </is>
      </c>
      <c r="I2890" t="n">
        <v>2.2</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24857-2025</t>
        </is>
      </c>
      <c r="B2891" t="inlineStr">
        <is>
          <t>avverkningsanmälan</t>
        </is>
      </c>
      <c r="C2891" t="inlineStr">
        <is>
          <t>Föryngringsavverkning</t>
        </is>
      </c>
      <c r="D2891" s="1" t="n">
        <v>45799</v>
      </c>
      <c r="E2891" s="1" t="n">
        <v>46307</v>
      </c>
      <c r="F2891" t="inlineStr">
        <is>
          <t>VÄRMLANDS LÄN</t>
        </is>
      </c>
      <c r="G2891" t="inlineStr">
        <is>
          <t>HAGFORS</t>
        </is>
      </c>
      <c r="H2891" t="inlineStr">
        <is>
          <t>Bergvik skog väst AB</t>
        </is>
      </c>
      <c r="I2891" t="n">
        <v>2.4</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63217-2023</t>
        </is>
      </c>
      <c r="B2892" t="inlineStr">
        <is>
          <t>avverkningsanmälan</t>
        </is>
      </c>
      <c r="C2892" t="inlineStr">
        <is>
          <t>Föryngringsavverkning</t>
        </is>
      </c>
      <c r="D2892" s="1" t="n">
        <v>45273</v>
      </c>
      <c r="E2892" s="1" t="n">
        <v>46307</v>
      </c>
      <c r="F2892" t="inlineStr">
        <is>
          <t>VÄRMLANDS LÄN</t>
        </is>
      </c>
      <c r="G2892" t="inlineStr">
        <is>
          <t>ARVIKA</t>
        </is>
      </c>
      <c r="I2892" t="n">
        <v>0.6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30158-2024</t>
        </is>
      </c>
      <c r="B2893" t="inlineStr">
        <is>
          <t>avverkningsanmälan</t>
        </is>
      </c>
      <c r="C2893" t="inlineStr">
        <is>
          <t>Föryngringsavverkning</t>
        </is>
      </c>
      <c r="D2893" s="1" t="n">
        <v>45489</v>
      </c>
      <c r="E2893" s="1" t="n">
        <v>46307</v>
      </c>
      <c r="F2893" t="inlineStr">
        <is>
          <t>VÄRMLANDS LÄN</t>
        </is>
      </c>
      <c r="G2893" t="inlineStr">
        <is>
          <t>HAGFORS</t>
        </is>
      </c>
      <c r="I2893" t="n">
        <v>0.8</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10989-2025</t>
        </is>
      </c>
      <c r="B2894" t="inlineStr">
        <is>
          <t>avverkningsanmälan</t>
        </is>
      </c>
      <c r="C2894" t="inlineStr">
        <is>
          <t>Föryngringsavverkning</t>
        </is>
      </c>
      <c r="D2894" s="1" t="n">
        <v>45723</v>
      </c>
      <c r="E2894" s="1" t="n">
        <v>46307</v>
      </c>
      <c r="F2894" t="inlineStr">
        <is>
          <t>VÄRMLANDS LÄN</t>
        </is>
      </c>
      <c r="G2894" t="inlineStr">
        <is>
          <t>FORSHAGA</t>
        </is>
      </c>
      <c r="I2894" t="n">
        <v>0.8</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7370-2025</t>
        </is>
      </c>
      <c r="B2895" t="inlineStr">
        <is>
          <t>avverkningsanmälan</t>
        </is>
      </c>
      <c r="C2895" t="inlineStr">
        <is>
          <t>Avverkning för annat ändamål</t>
        </is>
      </c>
      <c r="D2895" s="1" t="n">
        <v>45704</v>
      </c>
      <c r="E2895" s="1" t="n">
        <v>46307</v>
      </c>
      <c r="F2895" t="inlineStr">
        <is>
          <t>VÄRMLANDS LÄN</t>
        </is>
      </c>
      <c r="G2895" t="inlineStr">
        <is>
          <t>KARLSTAD</t>
        </is>
      </c>
      <c r="I2895" t="n">
        <v>0.8</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8364-2025</t>
        </is>
      </c>
      <c r="B2896" t="inlineStr">
        <is>
          <t>avverkningsanmälan</t>
        </is>
      </c>
      <c r="C2896" t="inlineStr">
        <is>
          <t>Föryngringsavverkning</t>
        </is>
      </c>
      <c r="D2896" s="1" t="n">
        <v>45708</v>
      </c>
      <c r="E2896" s="1" t="n">
        <v>46307</v>
      </c>
      <c r="F2896" t="inlineStr">
        <is>
          <t>VÄRMLANDS LÄN</t>
        </is>
      </c>
      <c r="G2896" t="inlineStr">
        <is>
          <t>GRUMS</t>
        </is>
      </c>
      <c r="I2896" t="n">
        <v>0.8</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55088-2022</t>
        </is>
      </c>
      <c r="B2897" t="inlineStr">
        <is>
          <t>avverkningsanmälan</t>
        </is>
      </c>
      <c r="C2897" t="inlineStr">
        <is>
          <t>Föryngringsavverkning</t>
        </is>
      </c>
      <c r="D2897" s="1" t="n">
        <v>44881</v>
      </c>
      <c r="E2897" s="1" t="n">
        <v>46307</v>
      </c>
      <c r="F2897" t="inlineStr">
        <is>
          <t>VÄRMLANDS LÄN</t>
        </is>
      </c>
      <c r="G2897" t="inlineStr">
        <is>
          <t>SÄFFLE</t>
        </is>
      </c>
      <c r="I2897" t="n">
        <v>1.3</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55092-2022</t>
        </is>
      </c>
      <c r="B2898" t="inlineStr">
        <is>
          <t>avverkningsanmälan</t>
        </is>
      </c>
      <c r="C2898" t="inlineStr">
        <is>
          <t>Föryngringsavverkning</t>
        </is>
      </c>
      <c r="D2898" s="1" t="n">
        <v>44886</v>
      </c>
      <c r="E2898" s="1" t="n">
        <v>46307</v>
      </c>
      <c r="F2898" t="inlineStr">
        <is>
          <t>VÄRMLANDS LÄN</t>
        </is>
      </c>
      <c r="G2898" t="inlineStr">
        <is>
          <t>TORSBY</t>
        </is>
      </c>
      <c r="I2898" t="n">
        <v>2</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18419-2024</t>
        </is>
      </c>
      <c r="B2899" t="inlineStr">
        <is>
          <t>avverkningsanmälan</t>
        </is>
      </c>
      <c r="C2899" t="inlineStr">
        <is>
          <t>Föryngringsavverkning</t>
        </is>
      </c>
      <c r="D2899" s="1" t="n">
        <v>45425</v>
      </c>
      <c r="E2899" s="1" t="n">
        <v>46307</v>
      </c>
      <c r="F2899" t="inlineStr">
        <is>
          <t>VÄRMLANDS LÄN</t>
        </is>
      </c>
      <c r="G2899" t="inlineStr">
        <is>
          <t>SÄFFLE</t>
        </is>
      </c>
      <c r="I2899" t="n">
        <v>1</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54489-2024</t>
        </is>
      </c>
      <c r="B2900" t="inlineStr">
        <is>
          <t>avverkningsanmälan</t>
        </is>
      </c>
      <c r="C2900" t="inlineStr">
        <is>
          <t>Föryngringsavverkning</t>
        </is>
      </c>
      <c r="D2900" s="1" t="n">
        <v>45617</v>
      </c>
      <c r="E2900" s="1" t="n">
        <v>46307</v>
      </c>
      <c r="F2900" t="inlineStr">
        <is>
          <t>VÄRMLANDS LÄN</t>
        </is>
      </c>
      <c r="G2900" t="inlineStr">
        <is>
          <t>TORSBY</t>
        </is>
      </c>
      <c r="H2900" t="inlineStr">
        <is>
          <t>Bergvik skog väst AB</t>
        </is>
      </c>
      <c r="I2900" t="n">
        <v>6.7</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14023-2025</t>
        </is>
      </c>
      <c r="B2901" t="inlineStr">
        <is>
          <t>avverkningsanmälan</t>
        </is>
      </c>
      <c r="C2901" t="inlineStr">
        <is>
          <t>Föryngringsavverkning</t>
        </is>
      </c>
      <c r="D2901" s="1" t="n">
        <v>45740</v>
      </c>
      <c r="E2901" s="1" t="n">
        <v>46307</v>
      </c>
      <c r="F2901" t="inlineStr">
        <is>
          <t>VÄRMLANDS LÄN</t>
        </is>
      </c>
      <c r="G2901" t="inlineStr">
        <is>
          <t>TORSBY</t>
        </is>
      </c>
      <c r="I2901" t="n">
        <v>2.4</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38771-2025</t>
        </is>
      </c>
      <c r="B2902" t="inlineStr">
        <is>
          <t>avverkningsanmälan</t>
        </is>
      </c>
      <c r="C2902" t="inlineStr">
        <is>
          <t>Föryngringsavverkning</t>
        </is>
      </c>
      <c r="D2902" s="1" t="n">
        <v>45887</v>
      </c>
      <c r="E2902" s="1" t="n">
        <v>46307</v>
      </c>
      <c r="F2902" t="inlineStr">
        <is>
          <t>VÄRMLANDS LÄN</t>
        </is>
      </c>
      <c r="G2902" t="inlineStr">
        <is>
          <t>TORSBY</t>
        </is>
      </c>
      <c r="I2902" t="n">
        <v>2.7</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38808-2025</t>
        </is>
      </c>
      <c r="B2903" t="inlineStr">
        <is>
          <t>avverkningsanmälan</t>
        </is>
      </c>
      <c r="C2903" t="inlineStr">
        <is>
          <t>Föryngringsavverkning</t>
        </is>
      </c>
      <c r="D2903" s="1" t="n">
        <v>45887</v>
      </c>
      <c r="E2903" s="1" t="n">
        <v>46307</v>
      </c>
      <c r="F2903" t="inlineStr">
        <is>
          <t>VÄRMLANDS LÄN</t>
        </is>
      </c>
      <c r="G2903" t="inlineStr">
        <is>
          <t>TORSBY</t>
        </is>
      </c>
      <c r="I2903" t="n">
        <v>4.6</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40740-2024</t>
        </is>
      </c>
      <c r="B2904" t="inlineStr">
        <is>
          <t>avverkningsanmälan</t>
        </is>
      </c>
      <c r="C2904" t="inlineStr">
        <is>
          <t>Föryngringsavverkning</t>
        </is>
      </c>
      <c r="D2904" s="1" t="n">
        <v>45558</v>
      </c>
      <c r="E2904" s="1" t="n">
        <v>46307</v>
      </c>
      <c r="F2904" t="inlineStr">
        <is>
          <t>VÄRMLANDS LÄN</t>
        </is>
      </c>
      <c r="G2904" t="inlineStr">
        <is>
          <t>SUNNE</t>
        </is>
      </c>
      <c r="I2904" t="n">
        <v>21.9</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65062-2023</t>
        </is>
      </c>
      <c r="B2905" t="inlineStr">
        <is>
          <t>avverkningsanmälan</t>
        </is>
      </c>
      <c r="C2905" t="inlineStr">
        <is>
          <t>Föryngringsavverkning</t>
        </is>
      </c>
      <c r="D2905" s="1" t="n">
        <v>45287</v>
      </c>
      <c r="E2905" s="1" t="n">
        <v>46307</v>
      </c>
      <c r="F2905" t="inlineStr">
        <is>
          <t>VÄRMLANDS LÄN</t>
        </is>
      </c>
      <c r="G2905" t="inlineStr">
        <is>
          <t>FORSHAGA</t>
        </is>
      </c>
      <c r="H2905" t="inlineStr">
        <is>
          <t>Bergvik skog väst AB</t>
        </is>
      </c>
      <c r="I2905" t="n">
        <v>11.3</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40949-2022</t>
        </is>
      </c>
      <c r="B2906" t="inlineStr">
        <is>
          <t>avverkningsanmälan</t>
        </is>
      </c>
      <c r="C2906" t="inlineStr">
        <is>
          <t>Föryngringsavverkning</t>
        </is>
      </c>
      <c r="D2906" s="1" t="n">
        <v>44825</v>
      </c>
      <c r="E2906" s="1" t="n">
        <v>46307</v>
      </c>
      <c r="F2906" t="inlineStr">
        <is>
          <t>VÄRMLANDS LÄN</t>
        </is>
      </c>
      <c r="G2906" t="inlineStr">
        <is>
          <t>ARVIKA</t>
        </is>
      </c>
      <c r="I2906" t="n">
        <v>1.4</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25848-2024</t>
        </is>
      </c>
      <c r="B2907" t="inlineStr">
        <is>
          <t>avverkningsanmälan</t>
        </is>
      </c>
      <c r="C2907" t="inlineStr">
        <is>
          <t>Föryngringsavverkning</t>
        </is>
      </c>
      <c r="D2907" s="1" t="n">
        <v>45467</v>
      </c>
      <c r="E2907" s="1" t="n">
        <v>46307</v>
      </c>
      <c r="F2907" t="inlineStr">
        <is>
          <t>VÄRMLANDS LÄN</t>
        </is>
      </c>
      <c r="G2907" t="inlineStr">
        <is>
          <t>EDA</t>
        </is>
      </c>
      <c r="I2907" t="n">
        <v>3.1</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56840-2024</t>
        </is>
      </c>
      <c r="B2908" t="inlineStr">
        <is>
          <t>avverkningsanmälan</t>
        </is>
      </c>
      <c r="C2908" t="inlineStr">
        <is>
          <t>Avverkning för annat ändamål</t>
        </is>
      </c>
      <c r="D2908" s="1" t="n">
        <v>45628</v>
      </c>
      <c r="E2908" s="1" t="n">
        <v>46307</v>
      </c>
      <c r="F2908" t="inlineStr">
        <is>
          <t>VÄRMLANDS LÄN</t>
        </is>
      </c>
      <c r="G2908" t="inlineStr">
        <is>
          <t>FILIPSTAD</t>
        </is>
      </c>
      <c r="H2908" t="inlineStr">
        <is>
          <t>Bergvik skog väst AB</t>
        </is>
      </c>
      <c r="I2908" t="n">
        <v>1.7</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58151-2024</t>
        </is>
      </c>
      <c r="B2909" t="inlineStr">
        <is>
          <t>avverkningsanmälan</t>
        </is>
      </c>
      <c r="C2909" t="inlineStr">
        <is>
          <t>Föryngringsavverkning</t>
        </is>
      </c>
      <c r="D2909" s="1" t="n">
        <v>45632</v>
      </c>
      <c r="E2909" s="1" t="n">
        <v>46307</v>
      </c>
      <c r="F2909" t="inlineStr">
        <is>
          <t>VÄRMLANDS LÄN</t>
        </is>
      </c>
      <c r="G2909" t="inlineStr">
        <is>
          <t>ARVIKA</t>
        </is>
      </c>
      <c r="H2909" t="inlineStr">
        <is>
          <t>Bergvik skog väst AB</t>
        </is>
      </c>
      <c r="I2909" t="n">
        <v>1.4</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58152-2024</t>
        </is>
      </c>
      <c r="B2910" t="inlineStr">
        <is>
          <t>avverkningsanmälan</t>
        </is>
      </c>
      <c r="C2910" t="inlineStr">
        <is>
          <t>Föryngringsavverkning</t>
        </is>
      </c>
      <c r="D2910" s="1" t="n">
        <v>45632</v>
      </c>
      <c r="E2910" s="1" t="n">
        <v>46307</v>
      </c>
      <c r="F2910" t="inlineStr">
        <is>
          <t>VÄRMLANDS LÄN</t>
        </is>
      </c>
      <c r="G2910" t="inlineStr">
        <is>
          <t>ÅRJÄNG</t>
        </is>
      </c>
      <c r="I2910" t="n">
        <v>2.3</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58153-2024</t>
        </is>
      </c>
      <c r="B2911" t="inlineStr">
        <is>
          <t>avverkningsanmälan</t>
        </is>
      </c>
      <c r="C2911" t="inlineStr">
        <is>
          <t>Föryngringsavverkning</t>
        </is>
      </c>
      <c r="D2911" s="1" t="n">
        <v>45632</v>
      </c>
      <c r="E2911" s="1" t="n">
        <v>46307</v>
      </c>
      <c r="F2911" t="inlineStr">
        <is>
          <t>VÄRMLANDS LÄN</t>
        </is>
      </c>
      <c r="G2911" t="inlineStr">
        <is>
          <t>ARVIKA</t>
        </is>
      </c>
      <c r="H2911" t="inlineStr">
        <is>
          <t>Bergvik skog väst AB</t>
        </is>
      </c>
      <c r="I2911" t="n">
        <v>1.9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31855-2025</t>
        </is>
      </c>
      <c r="B2912" t="inlineStr">
        <is>
          <t>avverkningsanmälan</t>
        </is>
      </c>
      <c r="C2912" t="inlineStr">
        <is>
          <t>Föryngringsavverkning</t>
        </is>
      </c>
      <c r="D2912" s="1" t="n">
        <v>45834</v>
      </c>
      <c r="E2912" s="1" t="n">
        <v>46307</v>
      </c>
      <c r="F2912" t="inlineStr">
        <is>
          <t>VÄRMLANDS LÄN</t>
        </is>
      </c>
      <c r="G2912" t="inlineStr">
        <is>
          <t>SÄFFLE</t>
        </is>
      </c>
      <c r="H2912" t="inlineStr">
        <is>
          <t>Kyrkan</t>
        </is>
      </c>
      <c r="I2912" t="n">
        <v>1.5</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1630-2025</t>
        </is>
      </c>
      <c r="B2913" t="inlineStr">
        <is>
          <t>avverkningsanmälan</t>
        </is>
      </c>
      <c r="C2913" t="inlineStr">
        <is>
          <t>Föryngringsavverkning</t>
        </is>
      </c>
      <c r="D2913" s="1" t="n">
        <v>45670</v>
      </c>
      <c r="E2913" s="1" t="n">
        <v>46307</v>
      </c>
      <c r="F2913" t="inlineStr">
        <is>
          <t>VÄRMLANDS LÄN</t>
        </is>
      </c>
      <c r="G2913" t="inlineStr">
        <is>
          <t>ARVIKA</t>
        </is>
      </c>
      <c r="I2913" t="n">
        <v>2.2</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1166-2023</t>
        </is>
      </c>
      <c r="B2914" t="inlineStr">
        <is>
          <t>avverkningsanmälan</t>
        </is>
      </c>
      <c r="C2914" t="inlineStr">
        <is>
          <t>Föryngringsavverkning</t>
        </is>
      </c>
      <c r="D2914" s="1" t="n">
        <v>44935</v>
      </c>
      <c r="E2914" s="1" t="n">
        <v>46307</v>
      </c>
      <c r="F2914" t="inlineStr">
        <is>
          <t>VÄRMLANDS LÄN</t>
        </is>
      </c>
      <c r="G2914" t="inlineStr">
        <is>
          <t>TORSBY</t>
        </is>
      </c>
      <c r="I2914" t="n">
        <v>3.9</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28205-2025</t>
        </is>
      </c>
      <c r="B2915" t="inlineStr">
        <is>
          <t>avverkningsanmälan</t>
        </is>
      </c>
      <c r="C2915" t="inlineStr">
        <is>
          <t>Föryngringsavverkning</t>
        </is>
      </c>
      <c r="D2915" s="1" t="n">
        <v>45818</v>
      </c>
      <c r="E2915" s="1" t="n">
        <v>46307</v>
      </c>
      <c r="F2915" t="inlineStr">
        <is>
          <t>VÄRMLANDS LÄN</t>
        </is>
      </c>
      <c r="G2915" t="inlineStr">
        <is>
          <t>SUNNE</t>
        </is>
      </c>
      <c r="I2915" t="n">
        <v>1.3</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4795-2023</t>
        </is>
      </c>
      <c r="B2916" t="inlineStr">
        <is>
          <t>avverkningsanmälan</t>
        </is>
      </c>
      <c r="C2916" t="inlineStr">
        <is>
          <t>Föryngringsavverkning</t>
        </is>
      </c>
      <c r="D2916" s="1" t="n">
        <v>44957</v>
      </c>
      <c r="E2916" s="1" t="n">
        <v>46307</v>
      </c>
      <c r="F2916" t="inlineStr">
        <is>
          <t>VÄRMLANDS LÄN</t>
        </is>
      </c>
      <c r="G2916" t="inlineStr">
        <is>
          <t>MUNKFORS</t>
        </is>
      </c>
      <c r="I2916" t="n">
        <v>1.3</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26781-2025</t>
        </is>
      </c>
      <c r="B2917" t="inlineStr">
        <is>
          <t>avverkningsanmälan</t>
        </is>
      </c>
      <c r="C2917" t="inlineStr">
        <is>
          <t>Föryngringsavverkning</t>
        </is>
      </c>
      <c r="D2917" s="1" t="n">
        <v>45810</v>
      </c>
      <c r="E2917" s="1" t="n">
        <v>46307</v>
      </c>
      <c r="F2917" t="inlineStr">
        <is>
          <t>VÄRMLANDS LÄN</t>
        </is>
      </c>
      <c r="G2917" t="inlineStr">
        <is>
          <t>ÅRJÄNG</t>
        </is>
      </c>
      <c r="I2917" t="n">
        <v>4.2</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43285-2024</t>
        </is>
      </c>
      <c r="B2918" t="inlineStr">
        <is>
          <t>avverkningsanmälan</t>
        </is>
      </c>
      <c r="C2918" t="inlineStr">
        <is>
          <t>Föryngringsavverkning</t>
        </is>
      </c>
      <c r="D2918" s="1" t="n">
        <v>45568</v>
      </c>
      <c r="E2918" s="1" t="n">
        <v>46307</v>
      </c>
      <c r="F2918" t="inlineStr">
        <is>
          <t>VÄRMLANDS LÄN</t>
        </is>
      </c>
      <c r="G2918" t="inlineStr">
        <is>
          <t>KIL</t>
        </is>
      </c>
      <c r="I2918" t="n">
        <v>1</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1248-2023</t>
        </is>
      </c>
      <c r="B2919" t="inlineStr">
        <is>
          <t>avverkningsanmälan</t>
        </is>
      </c>
      <c r="C2919" t="inlineStr">
        <is>
          <t>Föryngringsavverkning</t>
        </is>
      </c>
      <c r="D2919" s="1" t="n">
        <v>44931</v>
      </c>
      <c r="E2919" s="1" t="n">
        <v>46307</v>
      </c>
      <c r="F2919" t="inlineStr">
        <is>
          <t>VÄRMLANDS LÄN</t>
        </is>
      </c>
      <c r="G2919" t="inlineStr">
        <is>
          <t>SUNNE</t>
        </is>
      </c>
      <c r="I2919" t="n">
        <v>2.5</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38984-2025</t>
        </is>
      </c>
      <c r="B2920" t="inlineStr">
        <is>
          <t>avverkningsanmälan</t>
        </is>
      </c>
      <c r="C2920" t="inlineStr">
        <is>
          <t>Föryngringsavverkning</t>
        </is>
      </c>
      <c r="D2920" s="1" t="n">
        <v>45888</v>
      </c>
      <c r="E2920" s="1" t="n">
        <v>46307</v>
      </c>
      <c r="F2920" t="inlineStr">
        <is>
          <t>VÄRMLANDS LÄN</t>
        </is>
      </c>
      <c r="G2920" t="inlineStr">
        <is>
          <t>ARVIKA</t>
        </is>
      </c>
      <c r="H2920" t="inlineStr">
        <is>
          <t>Bergvik skog väst AB</t>
        </is>
      </c>
      <c r="I2920" t="n">
        <v>2.6</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28242-2024</t>
        </is>
      </c>
      <c r="B2921" t="inlineStr">
        <is>
          <t>avverkningsanmälan</t>
        </is>
      </c>
      <c r="C2921" t="inlineStr">
        <is>
          <t>Föryngringsavverkning</t>
        </is>
      </c>
      <c r="D2921" s="1" t="n">
        <v>45477</v>
      </c>
      <c r="E2921" s="1" t="n">
        <v>46307</v>
      </c>
      <c r="F2921" t="inlineStr">
        <is>
          <t>VÄRMLANDS LÄN</t>
        </is>
      </c>
      <c r="G2921" t="inlineStr">
        <is>
          <t>FORSHAGA</t>
        </is>
      </c>
      <c r="I2921" t="n">
        <v>2.9</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28485-2024</t>
        </is>
      </c>
      <c r="B2922" t="inlineStr">
        <is>
          <t>avverkningsanmälan</t>
        </is>
      </c>
      <c r="C2922" t="inlineStr">
        <is>
          <t>Föryngringsavverkning</t>
        </is>
      </c>
      <c r="D2922" s="1" t="n">
        <v>45477</v>
      </c>
      <c r="E2922" s="1" t="n">
        <v>46307</v>
      </c>
      <c r="F2922" t="inlineStr">
        <is>
          <t>VÄRMLANDS LÄN</t>
        </is>
      </c>
      <c r="G2922" t="inlineStr">
        <is>
          <t>KRISTINEHAMN</t>
        </is>
      </c>
      <c r="I2922" t="n">
        <v>5</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2160-2023</t>
        </is>
      </c>
      <c r="B2923" t="inlineStr">
        <is>
          <t>avverkningsanmälan</t>
        </is>
      </c>
      <c r="C2923" t="inlineStr">
        <is>
          <t>Föryngringsavverkning</t>
        </is>
      </c>
      <c r="D2923" s="1" t="n">
        <v>44941</v>
      </c>
      <c r="E2923" s="1" t="n">
        <v>46307</v>
      </c>
      <c r="F2923" t="inlineStr">
        <is>
          <t>VÄRMLANDS LÄN</t>
        </is>
      </c>
      <c r="G2923" t="inlineStr">
        <is>
          <t>KRISTINEHAMN</t>
        </is>
      </c>
      <c r="I2923" t="n">
        <v>0.2</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33857-2023</t>
        </is>
      </c>
      <c r="B2924" t="inlineStr">
        <is>
          <t>avverkningsanmälan</t>
        </is>
      </c>
      <c r="C2924" t="inlineStr">
        <is>
          <t>Föryngringsavverkning</t>
        </is>
      </c>
      <c r="D2924" s="1" t="n">
        <v>45133</v>
      </c>
      <c r="E2924" s="1" t="n">
        <v>46307</v>
      </c>
      <c r="F2924" t="inlineStr">
        <is>
          <t>VÄRMLANDS LÄN</t>
        </is>
      </c>
      <c r="G2924" t="inlineStr">
        <is>
          <t>SÄFFLE</t>
        </is>
      </c>
      <c r="I2924" t="n">
        <v>29.5</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8702-2023</t>
        </is>
      </c>
      <c r="B2925" t="inlineStr">
        <is>
          <t>avverkningsanmälan</t>
        </is>
      </c>
      <c r="C2925" t="inlineStr">
        <is>
          <t>Föryngringsavverkning</t>
        </is>
      </c>
      <c r="D2925" s="1" t="n">
        <v>44978</v>
      </c>
      <c r="E2925" s="1" t="n">
        <v>46307</v>
      </c>
      <c r="F2925" t="inlineStr">
        <is>
          <t>VÄRMLANDS LÄN</t>
        </is>
      </c>
      <c r="G2925" t="inlineStr">
        <is>
          <t>ARVIKA</t>
        </is>
      </c>
      <c r="I2925" t="n">
        <v>1.2</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70761-2021</t>
        </is>
      </c>
      <c r="B2926" t="inlineStr">
        <is>
          <t>avverkningsanmälan</t>
        </is>
      </c>
      <c r="C2926" t="inlineStr">
        <is>
          <t>Föryngringsavverkning</t>
        </is>
      </c>
      <c r="D2926" s="1" t="n">
        <v>44536</v>
      </c>
      <c r="E2926" s="1" t="n">
        <v>46307</v>
      </c>
      <c r="F2926" t="inlineStr">
        <is>
          <t>VÄRMLANDS LÄN</t>
        </is>
      </c>
      <c r="G2926" t="inlineStr">
        <is>
          <t>STORFORS</t>
        </is>
      </c>
      <c r="I2926" t="n">
        <v>2.2</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12237-2023</t>
        </is>
      </c>
      <c r="B2927" t="inlineStr">
        <is>
          <t>avverkningsanmälan</t>
        </is>
      </c>
      <c r="C2927" t="inlineStr">
        <is>
          <t>Föryngringsavverkning</t>
        </is>
      </c>
      <c r="D2927" s="1" t="n">
        <v>44998</v>
      </c>
      <c r="E2927" s="1" t="n">
        <v>46307</v>
      </c>
      <c r="F2927" t="inlineStr">
        <is>
          <t>VÄRMLANDS LÄN</t>
        </is>
      </c>
      <c r="G2927" t="inlineStr">
        <is>
          <t>SUNNE</t>
        </is>
      </c>
      <c r="I2927" t="n">
        <v>1.3</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48320-2022</t>
        </is>
      </c>
      <c r="B2928" t="inlineStr">
        <is>
          <t>avverkningsanmälan</t>
        </is>
      </c>
      <c r="C2928" t="inlineStr">
        <is>
          <t>Föryngringsavverkning</t>
        </is>
      </c>
      <c r="D2928" s="1" t="n">
        <v>44853</v>
      </c>
      <c r="E2928" s="1" t="n">
        <v>46307</v>
      </c>
      <c r="F2928" t="inlineStr">
        <is>
          <t>VÄRMLANDS LÄN</t>
        </is>
      </c>
      <c r="G2928" t="inlineStr">
        <is>
          <t>TORSBY</t>
        </is>
      </c>
      <c r="I2928" t="n">
        <v>0.4</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51823-2024</t>
        </is>
      </c>
      <c r="B2929" t="inlineStr">
        <is>
          <t>avverkningsanmälan</t>
        </is>
      </c>
      <c r="C2929" t="inlineStr">
        <is>
          <t>Föryngringsavverkning</t>
        </is>
      </c>
      <c r="D2929" s="1" t="n">
        <v>45607</v>
      </c>
      <c r="E2929" s="1" t="n">
        <v>46307</v>
      </c>
      <c r="F2929" t="inlineStr">
        <is>
          <t>VÄRMLANDS LÄN</t>
        </is>
      </c>
      <c r="G2929" t="inlineStr">
        <is>
          <t>TORSBY</t>
        </is>
      </c>
      <c r="I2929" t="n">
        <v>1</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2691-2022</t>
        </is>
      </c>
      <c r="B2930" t="inlineStr">
        <is>
          <t>avverkningsanmälan</t>
        </is>
      </c>
      <c r="C2930" t="inlineStr">
        <is>
          <t>Avverkning för annat ändamål</t>
        </is>
      </c>
      <c r="D2930" s="1" t="n">
        <v>44580</v>
      </c>
      <c r="E2930" s="1" t="n">
        <v>46307</v>
      </c>
      <c r="F2930" t="inlineStr">
        <is>
          <t>VÄRMLANDS LÄN</t>
        </is>
      </c>
      <c r="G2930" t="inlineStr">
        <is>
          <t>SUNNE</t>
        </is>
      </c>
      <c r="H2930" t="inlineStr">
        <is>
          <t>Övriga Aktiebolag</t>
        </is>
      </c>
      <c r="I2930" t="n">
        <v>0.8</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35705-2024</t>
        </is>
      </c>
      <c r="B2931" t="inlineStr">
        <is>
          <t>avverkningsanmälan</t>
        </is>
      </c>
      <c r="C2931" t="inlineStr">
        <is>
          <t>Föryngringsavverkning</t>
        </is>
      </c>
      <c r="D2931" s="1" t="n">
        <v>45532</v>
      </c>
      <c r="E2931" s="1" t="n">
        <v>46307</v>
      </c>
      <c r="F2931" t="inlineStr">
        <is>
          <t>VÄRMLANDS LÄN</t>
        </is>
      </c>
      <c r="G2931" t="inlineStr">
        <is>
          <t>EDA</t>
        </is>
      </c>
      <c r="I2931" t="n">
        <v>1.1</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621-2024</t>
        </is>
      </c>
      <c r="B2932" t="inlineStr">
        <is>
          <t>avverkningsanmälan</t>
        </is>
      </c>
      <c r="C2932" t="inlineStr">
        <is>
          <t>Föryngringsavverkning</t>
        </is>
      </c>
      <c r="D2932" s="1" t="n">
        <v>45299</v>
      </c>
      <c r="E2932" s="1" t="n">
        <v>46307</v>
      </c>
      <c r="F2932" t="inlineStr">
        <is>
          <t>VÄRMLANDS LÄN</t>
        </is>
      </c>
      <c r="G2932" t="inlineStr">
        <is>
          <t>KARLSTAD</t>
        </is>
      </c>
      <c r="I2932" t="n">
        <v>0.6</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38612-2023</t>
        </is>
      </c>
      <c r="B2933" t="inlineStr">
        <is>
          <t>avverkningsanmälan</t>
        </is>
      </c>
      <c r="C2933" t="inlineStr">
        <is>
          <t>Föryngringsavverkning</t>
        </is>
      </c>
      <c r="D2933" s="1" t="n">
        <v>45162</v>
      </c>
      <c r="E2933" s="1" t="n">
        <v>46307</v>
      </c>
      <c r="F2933" t="inlineStr">
        <is>
          <t>VÄRMLANDS LÄN</t>
        </is>
      </c>
      <c r="G2933" t="inlineStr">
        <is>
          <t>HAGFORS</t>
        </is>
      </c>
      <c r="I2933" t="n">
        <v>2.9</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45757-2022</t>
        </is>
      </c>
      <c r="B2934" t="inlineStr">
        <is>
          <t>avverkningsanmälan</t>
        </is>
      </c>
      <c r="C2934" t="inlineStr">
        <is>
          <t>Föryngringsavverkning</t>
        </is>
      </c>
      <c r="D2934" s="1" t="n">
        <v>44846</v>
      </c>
      <c r="E2934" s="1" t="n">
        <v>46307</v>
      </c>
      <c r="F2934" t="inlineStr">
        <is>
          <t>VÄRMLANDS LÄN</t>
        </is>
      </c>
      <c r="G2934" t="inlineStr">
        <is>
          <t>KARLSTAD</t>
        </is>
      </c>
      <c r="I2934" t="n">
        <v>4.4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39147-2025</t>
        </is>
      </c>
      <c r="B2935" t="inlineStr">
        <is>
          <t>avverkningsanmälan</t>
        </is>
      </c>
      <c r="C2935" t="inlineStr">
        <is>
          <t>Föryngringsavverkning</t>
        </is>
      </c>
      <c r="D2935" s="1" t="n">
        <v>45888</v>
      </c>
      <c r="E2935" s="1" t="n">
        <v>46307</v>
      </c>
      <c r="F2935" t="inlineStr">
        <is>
          <t>VÄRMLANDS LÄN</t>
        </is>
      </c>
      <c r="G2935" t="inlineStr">
        <is>
          <t>SÄFFLE</t>
        </is>
      </c>
      <c r="I2935" t="n">
        <v>2.8</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32185-2024</t>
        </is>
      </c>
      <c r="B2936" t="inlineStr">
        <is>
          <t>avverkningsanmälan</t>
        </is>
      </c>
      <c r="C2936" t="inlineStr">
        <is>
          <t>Föryngringsavverkning</t>
        </is>
      </c>
      <c r="D2936" s="1" t="n">
        <v>45511</v>
      </c>
      <c r="E2936" s="1" t="n">
        <v>46307</v>
      </c>
      <c r="F2936" t="inlineStr">
        <is>
          <t>VÄRMLANDS LÄN</t>
        </is>
      </c>
      <c r="G2936" t="inlineStr">
        <is>
          <t>FILIPSTAD</t>
        </is>
      </c>
      <c r="H2936" t="inlineStr">
        <is>
          <t>Bergvik skog väst AB</t>
        </is>
      </c>
      <c r="I2936" t="n">
        <v>3.9</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16425-2025</t>
        </is>
      </c>
      <c r="B2937" t="inlineStr">
        <is>
          <t>avverkningsanmälan</t>
        </is>
      </c>
      <c r="C2937" t="inlineStr">
        <is>
          <t>Föryngringsavverkning</t>
        </is>
      </c>
      <c r="D2937" s="1" t="n">
        <v>45751</v>
      </c>
      <c r="E2937" s="1" t="n">
        <v>46307</v>
      </c>
      <c r="F2937" t="inlineStr">
        <is>
          <t>VÄRMLANDS LÄN</t>
        </is>
      </c>
      <c r="G2937" t="inlineStr">
        <is>
          <t>KARLSTAD</t>
        </is>
      </c>
      <c r="I2937" t="n">
        <v>2.7</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24289-2025</t>
        </is>
      </c>
      <c r="B2938" t="inlineStr">
        <is>
          <t>avverkningsanmälan</t>
        </is>
      </c>
      <c r="C2938" t="inlineStr">
        <is>
          <t>Föryngringsavverkning</t>
        </is>
      </c>
      <c r="D2938" s="1" t="n">
        <v>45797</v>
      </c>
      <c r="E2938" s="1" t="n">
        <v>46307</v>
      </c>
      <c r="F2938" t="inlineStr">
        <is>
          <t>VÄRMLANDS LÄN</t>
        </is>
      </c>
      <c r="G2938" t="inlineStr">
        <is>
          <t>SUNNE</t>
        </is>
      </c>
      <c r="I2938" t="n">
        <v>2.5</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58141-2023</t>
        </is>
      </c>
      <c r="B2939" t="inlineStr">
        <is>
          <t>avverkningsanmälan</t>
        </is>
      </c>
      <c r="C2939" t="inlineStr">
        <is>
          <t>Föryngringsavverkning</t>
        </is>
      </c>
      <c r="D2939" s="1" t="n">
        <v>45245</v>
      </c>
      <c r="E2939" s="1" t="n">
        <v>46307</v>
      </c>
      <c r="F2939" t="inlineStr">
        <is>
          <t>VÄRMLANDS LÄN</t>
        </is>
      </c>
      <c r="G2939" t="inlineStr">
        <is>
          <t>ÅRJÄNG</t>
        </is>
      </c>
      <c r="I2939" t="n">
        <v>6.2</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58185-2023</t>
        </is>
      </c>
      <c r="B2940" t="inlineStr">
        <is>
          <t>avverkningsanmälan</t>
        </is>
      </c>
      <c r="C2940" t="inlineStr">
        <is>
          <t>Föryngringsavverkning</t>
        </is>
      </c>
      <c r="D2940" s="1" t="n">
        <v>45250</v>
      </c>
      <c r="E2940" s="1" t="n">
        <v>46307</v>
      </c>
      <c r="F2940" t="inlineStr">
        <is>
          <t>VÄRMLANDS LÄN</t>
        </is>
      </c>
      <c r="G2940" t="inlineStr">
        <is>
          <t>TORSBY</t>
        </is>
      </c>
      <c r="I2940" t="n">
        <v>2.9</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39019-2025</t>
        </is>
      </c>
      <c r="B2941" t="inlineStr">
        <is>
          <t>avverkningsanmälan</t>
        </is>
      </c>
      <c r="C2941" t="inlineStr">
        <is>
          <t>Föryngringsavverkning</t>
        </is>
      </c>
      <c r="D2941" s="1" t="n">
        <v>45888</v>
      </c>
      <c r="E2941" s="1" t="n">
        <v>46307</v>
      </c>
      <c r="F2941" t="inlineStr">
        <is>
          <t>VÄRMLANDS LÄN</t>
        </is>
      </c>
      <c r="G2941" t="inlineStr">
        <is>
          <t>ARVIKA</t>
        </is>
      </c>
      <c r="I2941" t="n">
        <v>1.9</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74330-2021</t>
        </is>
      </c>
      <c r="B2942" t="inlineStr">
        <is>
          <t>avverkningsanmälan</t>
        </is>
      </c>
      <c r="C2942" t="inlineStr">
        <is>
          <t>Föryngringsavverkning</t>
        </is>
      </c>
      <c r="D2942" s="1" t="n">
        <v>44559</v>
      </c>
      <c r="E2942" s="1" t="n">
        <v>46307</v>
      </c>
      <c r="F2942" t="inlineStr">
        <is>
          <t>VÄRMLANDS LÄN</t>
        </is>
      </c>
      <c r="G2942" t="inlineStr">
        <is>
          <t>ARVIKA</t>
        </is>
      </c>
      <c r="I2942" t="n">
        <v>1.5</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64366-2023</t>
        </is>
      </c>
      <c r="B2943" t="inlineStr">
        <is>
          <t>avverkningsanmälan</t>
        </is>
      </c>
      <c r="C2943" t="inlineStr">
        <is>
          <t>Föryngringsavverkning</t>
        </is>
      </c>
      <c r="D2943" s="1" t="n">
        <v>45278</v>
      </c>
      <c r="E2943" s="1" t="n">
        <v>46307</v>
      </c>
      <c r="F2943" t="inlineStr">
        <is>
          <t>VÄRMLANDS LÄN</t>
        </is>
      </c>
      <c r="G2943" t="inlineStr">
        <is>
          <t>SÄFFLE</t>
        </is>
      </c>
      <c r="I2943" t="n">
        <v>1</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64374-2023</t>
        </is>
      </c>
      <c r="B2944" t="inlineStr">
        <is>
          <t>avverkningsanmälan</t>
        </is>
      </c>
      <c r="C2944" t="inlineStr">
        <is>
          <t>Föryngringsavverkning</t>
        </is>
      </c>
      <c r="D2944" s="1" t="n">
        <v>45280</v>
      </c>
      <c r="E2944" s="1" t="n">
        <v>46307</v>
      </c>
      <c r="F2944" t="inlineStr">
        <is>
          <t>VÄRMLANDS LÄN</t>
        </is>
      </c>
      <c r="G2944" t="inlineStr">
        <is>
          <t>KIL</t>
        </is>
      </c>
      <c r="I2944" t="n">
        <v>1.8</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29359-2023</t>
        </is>
      </c>
      <c r="B2945" t="inlineStr">
        <is>
          <t>avverkningsanmälan</t>
        </is>
      </c>
      <c r="C2945" t="inlineStr">
        <is>
          <t>Föryngringsavverkning</t>
        </is>
      </c>
      <c r="D2945" s="1" t="n">
        <v>45106</v>
      </c>
      <c r="E2945" s="1" t="n">
        <v>46307</v>
      </c>
      <c r="F2945" t="inlineStr">
        <is>
          <t>VÄRMLANDS LÄN</t>
        </is>
      </c>
      <c r="G2945" t="inlineStr">
        <is>
          <t>KARLSTAD</t>
        </is>
      </c>
      <c r="I2945" t="n">
        <v>4</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3452-2025</t>
        </is>
      </c>
      <c r="B2946" t="inlineStr">
        <is>
          <t>avverkningsanmälan</t>
        </is>
      </c>
      <c r="C2946" t="inlineStr">
        <is>
          <t>Föryngringsavverkning</t>
        </is>
      </c>
      <c r="D2946" s="1" t="n">
        <v>45680</v>
      </c>
      <c r="E2946" s="1" t="n">
        <v>46307</v>
      </c>
      <c r="F2946" t="inlineStr">
        <is>
          <t>VÄRMLANDS LÄN</t>
        </is>
      </c>
      <c r="G2946" t="inlineStr">
        <is>
          <t>STORFORS</t>
        </is>
      </c>
      <c r="I2946" t="n">
        <v>2.2</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17259-2025</t>
        </is>
      </c>
      <c r="B2947" t="inlineStr">
        <is>
          <t>avverkningsanmälan</t>
        </is>
      </c>
      <c r="C2947" t="inlineStr">
        <is>
          <t>Föryngringsavverkning</t>
        </is>
      </c>
      <c r="D2947" s="1" t="n">
        <v>45756</v>
      </c>
      <c r="E2947" s="1" t="n">
        <v>46307</v>
      </c>
      <c r="F2947" t="inlineStr">
        <is>
          <t>VÄRMLANDS LÄN</t>
        </is>
      </c>
      <c r="G2947" t="inlineStr">
        <is>
          <t>EDA</t>
        </is>
      </c>
      <c r="I2947" t="n">
        <v>2</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17262-2025</t>
        </is>
      </c>
      <c r="B2948" t="inlineStr">
        <is>
          <t>avverkningsanmälan</t>
        </is>
      </c>
      <c r="C2948" t="inlineStr">
        <is>
          <t>Föryngringsavverkning</t>
        </is>
      </c>
      <c r="D2948" s="1" t="n">
        <v>45756</v>
      </c>
      <c r="E2948" s="1" t="n">
        <v>46307</v>
      </c>
      <c r="F2948" t="inlineStr">
        <is>
          <t>VÄRMLANDS LÄN</t>
        </is>
      </c>
      <c r="G2948" t="inlineStr">
        <is>
          <t>EDA</t>
        </is>
      </c>
      <c r="I2948" t="n">
        <v>1.9</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2650-2025</t>
        </is>
      </c>
      <c r="B2949" t="inlineStr">
        <is>
          <t>avverkningsanmälan</t>
        </is>
      </c>
      <c r="C2949" t="inlineStr">
        <is>
          <t>Föryngringsavverkning</t>
        </is>
      </c>
      <c r="D2949" s="1" t="n">
        <v>45676</v>
      </c>
      <c r="E2949" s="1" t="n">
        <v>46307</v>
      </c>
      <c r="F2949" t="inlineStr">
        <is>
          <t>VÄRMLANDS LÄN</t>
        </is>
      </c>
      <c r="G2949" t="inlineStr">
        <is>
          <t>EDA</t>
        </is>
      </c>
      <c r="I2949" t="n">
        <v>1.5</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28271-2024</t>
        </is>
      </c>
      <c r="B2950" t="inlineStr">
        <is>
          <t>avverkningsanmälan</t>
        </is>
      </c>
      <c r="C2950" t="inlineStr">
        <is>
          <t>Föryngringsavverkning</t>
        </is>
      </c>
      <c r="D2950" s="1" t="n">
        <v>45477</v>
      </c>
      <c r="E2950" s="1" t="n">
        <v>46307</v>
      </c>
      <c r="F2950" t="inlineStr">
        <is>
          <t>VÄRMLANDS LÄN</t>
        </is>
      </c>
      <c r="G2950" t="inlineStr">
        <is>
          <t>FORSHAGA</t>
        </is>
      </c>
      <c r="I2950" t="n">
        <v>1.9</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44670-2023</t>
        </is>
      </c>
      <c r="B2951" t="inlineStr">
        <is>
          <t>avverkningsanmälan</t>
        </is>
      </c>
      <c r="C2951" t="inlineStr">
        <is>
          <t>Föryngringsavverkning</t>
        </is>
      </c>
      <c r="D2951" s="1" t="n">
        <v>45189</v>
      </c>
      <c r="E2951" s="1" t="n">
        <v>46307</v>
      </c>
      <c r="F2951" t="inlineStr">
        <is>
          <t>VÄRMLANDS LÄN</t>
        </is>
      </c>
      <c r="G2951" t="inlineStr">
        <is>
          <t>TORSBY</t>
        </is>
      </c>
      <c r="I2951" t="n">
        <v>2.5</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5814-2024</t>
        </is>
      </c>
      <c r="B2952" t="inlineStr">
        <is>
          <t>avverkningsanmälan</t>
        </is>
      </c>
      <c r="C2952" t="inlineStr">
        <is>
          <t>Föryngringsavverkning</t>
        </is>
      </c>
      <c r="D2952" s="1" t="n">
        <v>45335</v>
      </c>
      <c r="E2952" s="1" t="n">
        <v>46307</v>
      </c>
      <c r="F2952" t="inlineStr">
        <is>
          <t>VÄRMLANDS LÄN</t>
        </is>
      </c>
      <c r="G2952" t="inlineStr">
        <is>
          <t>TORSBY</t>
        </is>
      </c>
      <c r="I2952" t="n">
        <v>3.1</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64061-2023</t>
        </is>
      </c>
      <c r="B2953" t="inlineStr">
        <is>
          <t>avverkningsanmälan</t>
        </is>
      </c>
      <c r="C2953" t="inlineStr">
        <is>
          <t>Föryngringsavverkning</t>
        </is>
      </c>
      <c r="D2953" s="1" t="n">
        <v>45279</v>
      </c>
      <c r="E2953" s="1" t="n">
        <v>46307</v>
      </c>
      <c r="F2953" t="inlineStr">
        <is>
          <t>VÄRMLANDS LÄN</t>
        </is>
      </c>
      <c r="G2953" t="inlineStr">
        <is>
          <t>KARLSTAD</t>
        </is>
      </c>
      <c r="I2953" t="n">
        <v>9.300000000000001</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27138-2024</t>
        </is>
      </c>
      <c r="B2954" t="inlineStr">
        <is>
          <t>avverkningsanmälan</t>
        </is>
      </c>
      <c r="C2954" t="inlineStr">
        <is>
          <t>Föryngringsavverkning</t>
        </is>
      </c>
      <c r="D2954" s="1" t="n">
        <v>45471</v>
      </c>
      <c r="E2954" s="1" t="n">
        <v>46307</v>
      </c>
      <c r="F2954" t="inlineStr">
        <is>
          <t>VÄRMLANDS LÄN</t>
        </is>
      </c>
      <c r="G2954" t="inlineStr">
        <is>
          <t>ÅRJÄNG</t>
        </is>
      </c>
      <c r="I2954" t="n">
        <v>5.7</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9425-2025</t>
        </is>
      </c>
      <c r="B2955" t="inlineStr">
        <is>
          <t>avverkningsanmälan</t>
        </is>
      </c>
      <c r="C2955" t="inlineStr">
        <is>
          <t>Föryngringsavverkning</t>
        </is>
      </c>
      <c r="D2955" s="1" t="n">
        <v>45715</v>
      </c>
      <c r="E2955" s="1" t="n">
        <v>46307</v>
      </c>
      <c r="F2955" t="inlineStr">
        <is>
          <t>VÄRMLANDS LÄN</t>
        </is>
      </c>
      <c r="G2955" t="inlineStr">
        <is>
          <t>ÅRJÄNG</t>
        </is>
      </c>
      <c r="I2955" t="n">
        <v>1.3</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36157-2023</t>
        </is>
      </c>
      <c r="B2956" t="inlineStr">
        <is>
          <t>avverkningsanmälan</t>
        </is>
      </c>
      <c r="C2956" t="inlineStr">
        <is>
          <t>Avverkning för annat ändamål</t>
        </is>
      </c>
      <c r="D2956" s="1" t="n">
        <v>45149</v>
      </c>
      <c r="E2956" s="1" t="n">
        <v>46307</v>
      </c>
      <c r="F2956" t="inlineStr">
        <is>
          <t>VÄRMLANDS LÄN</t>
        </is>
      </c>
      <c r="G2956" t="inlineStr">
        <is>
          <t>EDA</t>
        </is>
      </c>
      <c r="H2956" t="inlineStr">
        <is>
          <t>Kommuner</t>
        </is>
      </c>
      <c r="I2956" t="n">
        <v>0.2</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71706-2021</t>
        </is>
      </c>
      <c r="B2957" t="inlineStr">
        <is>
          <t>avverkningsanmälan</t>
        </is>
      </c>
      <c r="C2957" t="inlineStr">
        <is>
          <t>Föryngringsavverkning</t>
        </is>
      </c>
      <c r="D2957" s="1" t="n">
        <v>44543</v>
      </c>
      <c r="E2957" s="1" t="n">
        <v>46307</v>
      </c>
      <c r="F2957" t="inlineStr">
        <is>
          <t>VÄRMLANDS LÄN</t>
        </is>
      </c>
      <c r="G2957" t="inlineStr">
        <is>
          <t>GRUMS</t>
        </is>
      </c>
      <c r="I2957" t="n">
        <v>1.1</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56673-2023</t>
        </is>
      </c>
      <c r="B2958" t="inlineStr">
        <is>
          <t>avverkningsanmälan</t>
        </is>
      </c>
      <c r="C2958" t="inlineStr">
        <is>
          <t>Föryngringsavverkning</t>
        </is>
      </c>
      <c r="D2958" s="1" t="n">
        <v>45243</v>
      </c>
      <c r="E2958" s="1" t="n">
        <v>46307</v>
      </c>
      <c r="F2958" t="inlineStr">
        <is>
          <t>VÄRMLANDS LÄN</t>
        </is>
      </c>
      <c r="G2958" t="inlineStr">
        <is>
          <t>KRISTINEHAMN</t>
        </is>
      </c>
      <c r="I2958" t="n">
        <v>1.8</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23906-2025</t>
        </is>
      </c>
      <c r="B2959" t="inlineStr">
        <is>
          <t>avverkningsanmälan</t>
        </is>
      </c>
      <c r="C2959" t="inlineStr">
        <is>
          <t>Föryngringsavverkning</t>
        </is>
      </c>
      <c r="D2959" s="1" t="n">
        <v>45794</v>
      </c>
      <c r="E2959" s="1" t="n">
        <v>46307</v>
      </c>
      <c r="F2959" t="inlineStr">
        <is>
          <t>VÄRMLANDS LÄN</t>
        </is>
      </c>
      <c r="G2959" t="inlineStr">
        <is>
          <t>ARVIKA</t>
        </is>
      </c>
      <c r="I2959" t="n">
        <v>1.5</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13158-2023</t>
        </is>
      </c>
      <c r="B2960" t="inlineStr">
        <is>
          <t>avverkningsanmälan</t>
        </is>
      </c>
      <c r="C2960" t="inlineStr">
        <is>
          <t>Föryngringsavverkning</t>
        </is>
      </c>
      <c r="D2960" s="1" t="n">
        <v>45002</v>
      </c>
      <c r="E2960" s="1" t="n">
        <v>46307</v>
      </c>
      <c r="F2960" t="inlineStr">
        <is>
          <t>VÄRMLANDS LÄN</t>
        </is>
      </c>
      <c r="G2960" t="inlineStr">
        <is>
          <t>SUNNE</t>
        </is>
      </c>
      <c r="H2960" t="inlineStr">
        <is>
          <t>Bergvik skog väst AB</t>
        </is>
      </c>
      <c r="I2960" t="n">
        <v>0.7</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39039-2025</t>
        </is>
      </c>
      <c r="B2961" t="inlineStr">
        <is>
          <t>avverkningsanmälan</t>
        </is>
      </c>
      <c r="C2961" t="inlineStr">
        <is>
          <t>Föryngringsavverkning</t>
        </is>
      </c>
      <c r="D2961" s="1" t="n">
        <v>45888</v>
      </c>
      <c r="E2961" s="1" t="n">
        <v>46307</v>
      </c>
      <c r="F2961" t="inlineStr">
        <is>
          <t>VÄRMLANDS LÄN</t>
        </is>
      </c>
      <c r="G2961" t="inlineStr">
        <is>
          <t>TORSBY</t>
        </is>
      </c>
      <c r="I2961" t="n">
        <v>1.8</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39598-2025</t>
        </is>
      </c>
      <c r="B2962" t="inlineStr">
        <is>
          <t>avverkningsanmälan</t>
        </is>
      </c>
      <c r="C2962" t="inlineStr">
        <is>
          <t>Föryngringsavverkning</t>
        </is>
      </c>
      <c r="D2962" s="1" t="n">
        <v>45890</v>
      </c>
      <c r="E2962" s="1" t="n">
        <v>46307</v>
      </c>
      <c r="F2962" t="inlineStr">
        <is>
          <t>VÄRMLANDS LÄN</t>
        </is>
      </c>
      <c r="G2962" t="inlineStr">
        <is>
          <t>ARVIKA</t>
        </is>
      </c>
      <c r="H2962" t="inlineStr">
        <is>
          <t>Bergvik skog väst AB</t>
        </is>
      </c>
      <c r="I2962" t="n">
        <v>0.7</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33469-2024</t>
        </is>
      </c>
      <c r="B2963" t="inlineStr">
        <is>
          <t>avverkningsanmälan</t>
        </is>
      </c>
      <c r="C2963" t="inlineStr">
        <is>
          <t>Föryngringsavverkning</t>
        </is>
      </c>
      <c r="D2963" s="1" t="n">
        <v>45519</v>
      </c>
      <c r="E2963" s="1" t="n">
        <v>46307</v>
      </c>
      <c r="F2963" t="inlineStr">
        <is>
          <t>VÄRMLANDS LÄN</t>
        </is>
      </c>
      <c r="G2963" t="inlineStr">
        <is>
          <t>TORSBY</t>
        </is>
      </c>
      <c r="H2963" t="inlineStr">
        <is>
          <t>Bergvik skog väst AB</t>
        </is>
      </c>
      <c r="I2963" t="n">
        <v>2.2</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3640-2023</t>
        </is>
      </c>
      <c r="B2964" t="inlineStr">
        <is>
          <t>avverkningsanmälan</t>
        </is>
      </c>
      <c r="C2964" t="inlineStr">
        <is>
          <t>Föryngringsavverkning</t>
        </is>
      </c>
      <c r="D2964" s="1" t="n">
        <v>44950</v>
      </c>
      <c r="E2964" s="1" t="n">
        <v>46307</v>
      </c>
      <c r="F2964" t="inlineStr">
        <is>
          <t>VÄRMLANDS LÄN</t>
        </is>
      </c>
      <c r="G2964" t="inlineStr">
        <is>
          <t>ARVIKA</t>
        </is>
      </c>
      <c r="I2964" t="n">
        <v>0.5</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53652-2023</t>
        </is>
      </c>
      <c r="B2965" t="inlineStr">
        <is>
          <t>avverkningsanmälan</t>
        </is>
      </c>
      <c r="C2965" t="inlineStr">
        <is>
          <t>Föryngringsavverkning</t>
        </is>
      </c>
      <c r="D2965" s="1" t="n">
        <v>45224</v>
      </c>
      <c r="E2965" s="1" t="n">
        <v>46307</v>
      </c>
      <c r="F2965" t="inlineStr">
        <is>
          <t>VÄRMLANDS LÄN</t>
        </is>
      </c>
      <c r="G2965" t="inlineStr">
        <is>
          <t>TORSBY</t>
        </is>
      </c>
      <c r="H2965" t="inlineStr">
        <is>
          <t>Övriga statliga verk och myndigheter</t>
        </is>
      </c>
      <c r="I2965" t="n">
        <v>0.8</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7695-2025</t>
        </is>
      </c>
      <c r="B2966" t="inlineStr">
        <is>
          <t>avverkningsanmälan</t>
        </is>
      </c>
      <c r="C2966" t="inlineStr">
        <is>
          <t>Föryngringsavverkning</t>
        </is>
      </c>
      <c r="D2966" s="1" t="n">
        <v>45705</v>
      </c>
      <c r="E2966" s="1" t="n">
        <v>46307</v>
      </c>
      <c r="F2966" t="inlineStr">
        <is>
          <t>VÄRMLANDS LÄN</t>
        </is>
      </c>
      <c r="G2966" t="inlineStr">
        <is>
          <t>KRISTINEHAMN</t>
        </is>
      </c>
      <c r="I2966" t="n">
        <v>0.5</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63755-2023</t>
        </is>
      </c>
      <c r="B2967" t="inlineStr">
        <is>
          <t>avverkningsanmälan</t>
        </is>
      </c>
      <c r="C2967" t="inlineStr">
        <is>
          <t>Föryngringsavverkning</t>
        </is>
      </c>
      <c r="D2967" s="1" t="n">
        <v>45278</v>
      </c>
      <c r="E2967" s="1" t="n">
        <v>46307</v>
      </c>
      <c r="F2967" t="inlineStr">
        <is>
          <t>VÄRMLANDS LÄN</t>
        </is>
      </c>
      <c r="G2967" t="inlineStr">
        <is>
          <t>EDA</t>
        </is>
      </c>
      <c r="I2967" t="n">
        <v>1.5</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8692-2025</t>
        </is>
      </c>
      <c r="B2968" t="inlineStr">
        <is>
          <t>avverkningsanmälan</t>
        </is>
      </c>
      <c r="C2968" t="inlineStr">
        <is>
          <t>Föryngringsavverkning</t>
        </is>
      </c>
      <c r="D2968" s="1" t="n">
        <v>45712</v>
      </c>
      <c r="E2968" s="1" t="n">
        <v>46307</v>
      </c>
      <c r="F2968" t="inlineStr">
        <is>
          <t>VÄRMLANDS LÄN</t>
        </is>
      </c>
      <c r="G2968" t="inlineStr">
        <is>
          <t>FILIPSTAD</t>
        </is>
      </c>
      <c r="I2968" t="n">
        <v>2.3</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2308-2024</t>
        </is>
      </c>
      <c r="B2969" t="inlineStr">
        <is>
          <t>avverkningsanmälan</t>
        </is>
      </c>
      <c r="C2969" t="inlineStr">
        <is>
          <t>Föryngringsavverkning</t>
        </is>
      </c>
      <c r="D2969" s="1" t="n">
        <v>45310</v>
      </c>
      <c r="E2969" s="1" t="n">
        <v>46307</v>
      </c>
      <c r="F2969" t="inlineStr">
        <is>
          <t>VÄRMLANDS LÄN</t>
        </is>
      </c>
      <c r="G2969" t="inlineStr">
        <is>
          <t>TORSBY</t>
        </is>
      </c>
      <c r="I2969" t="n">
        <v>2.4</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57565-2023</t>
        </is>
      </c>
      <c r="B2970" t="inlineStr">
        <is>
          <t>avverkningsanmälan</t>
        </is>
      </c>
      <c r="C2970" t="inlineStr">
        <is>
          <t>Föryngringsavverkning</t>
        </is>
      </c>
      <c r="D2970" s="1" t="n">
        <v>45246</v>
      </c>
      <c r="E2970" s="1" t="n">
        <v>46307</v>
      </c>
      <c r="F2970" t="inlineStr">
        <is>
          <t>VÄRMLANDS LÄN</t>
        </is>
      </c>
      <c r="G2970" t="inlineStr">
        <is>
          <t>KRISTINEHAMN</t>
        </is>
      </c>
      <c r="I2970" t="n">
        <v>6</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56888-2023</t>
        </is>
      </c>
      <c r="B2971" t="inlineStr">
        <is>
          <t>avverkningsanmälan</t>
        </is>
      </c>
      <c r="C2971" t="inlineStr">
        <is>
          <t>Föryngringsavverkning</t>
        </is>
      </c>
      <c r="D2971" s="1" t="n">
        <v>45244</v>
      </c>
      <c r="E2971" s="1" t="n">
        <v>46307</v>
      </c>
      <c r="F2971" t="inlineStr">
        <is>
          <t>VÄRMLANDS LÄN</t>
        </is>
      </c>
      <c r="G2971" t="inlineStr">
        <is>
          <t>HAGFORS</t>
        </is>
      </c>
      <c r="I2971" t="n">
        <v>0.8</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10625-2025</t>
        </is>
      </c>
      <c r="B2972" t="inlineStr">
        <is>
          <t>avverkningsanmälan</t>
        </is>
      </c>
      <c r="C2972" t="inlineStr">
        <is>
          <t>Föryngringsavverkning</t>
        </is>
      </c>
      <c r="D2972" s="1" t="n">
        <v>45721</v>
      </c>
      <c r="E2972" s="1" t="n">
        <v>46307</v>
      </c>
      <c r="F2972" t="inlineStr">
        <is>
          <t>VÄRMLANDS LÄN</t>
        </is>
      </c>
      <c r="G2972" t="inlineStr">
        <is>
          <t>ÅRJÄNG</t>
        </is>
      </c>
      <c r="I2972" t="n">
        <v>1.1</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10627-2025</t>
        </is>
      </c>
      <c r="B2973" t="inlineStr">
        <is>
          <t>avverkningsanmälan</t>
        </is>
      </c>
      <c r="C2973" t="inlineStr">
        <is>
          <t>Föryngringsavverkning</t>
        </is>
      </c>
      <c r="D2973" s="1" t="n">
        <v>45721</v>
      </c>
      <c r="E2973" s="1" t="n">
        <v>46307</v>
      </c>
      <c r="F2973" t="inlineStr">
        <is>
          <t>VÄRMLANDS LÄN</t>
        </is>
      </c>
      <c r="G2973" t="inlineStr">
        <is>
          <t>ÅRJÄNG</t>
        </is>
      </c>
      <c r="I2973" t="n">
        <v>1.3</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35992-2023</t>
        </is>
      </c>
      <c r="B2974" t="inlineStr">
        <is>
          <t>avverkningsanmälan</t>
        </is>
      </c>
      <c r="C2974" t="inlineStr">
        <is>
          <t>Föryngringsavverkning</t>
        </is>
      </c>
      <c r="D2974" s="1" t="n">
        <v>45149</v>
      </c>
      <c r="E2974" s="1" t="n">
        <v>46307</v>
      </c>
      <c r="F2974" t="inlineStr">
        <is>
          <t>VÄRMLANDS LÄN</t>
        </is>
      </c>
      <c r="G2974" t="inlineStr">
        <is>
          <t>ARVIKA</t>
        </is>
      </c>
      <c r="H2974" t="inlineStr">
        <is>
          <t>Kyrkan</t>
        </is>
      </c>
      <c r="I2974" t="n">
        <v>2.1</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6829-2024</t>
        </is>
      </c>
      <c r="B2975" t="inlineStr">
        <is>
          <t>avverkningsanmälan</t>
        </is>
      </c>
      <c r="C2975" t="inlineStr">
        <is>
          <t>Föryngringsavverkning</t>
        </is>
      </c>
      <c r="D2975" s="1" t="n">
        <v>45342</v>
      </c>
      <c r="E2975" s="1" t="n">
        <v>46307</v>
      </c>
      <c r="F2975" t="inlineStr">
        <is>
          <t>VÄRMLANDS LÄN</t>
        </is>
      </c>
      <c r="G2975" t="inlineStr">
        <is>
          <t>SÄFFLE</t>
        </is>
      </c>
      <c r="I2975" t="n">
        <v>0.8</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27170-2024</t>
        </is>
      </c>
      <c r="B2976" t="inlineStr">
        <is>
          <t>avverkningsanmälan</t>
        </is>
      </c>
      <c r="C2976" t="inlineStr">
        <is>
          <t>Avverkning för annat ändamål</t>
        </is>
      </c>
      <c r="D2976" s="1" t="n">
        <v>45471</v>
      </c>
      <c r="E2976" s="1" t="n">
        <v>46307</v>
      </c>
      <c r="F2976" t="inlineStr">
        <is>
          <t>VÄRMLANDS LÄN</t>
        </is>
      </c>
      <c r="G2976" t="inlineStr">
        <is>
          <t>ARVIKA</t>
        </is>
      </c>
      <c r="H2976" t="inlineStr">
        <is>
          <t>Bergvik skog väst AB</t>
        </is>
      </c>
      <c r="I2976" t="n">
        <v>0.5</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39369-2025</t>
        </is>
      </c>
      <c r="B2977" t="inlineStr">
        <is>
          <t>avverkningsanmälan</t>
        </is>
      </c>
      <c r="C2977" t="inlineStr">
        <is>
          <t>Föryngringsavverkning</t>
        </is>
      </c>
      <c r="D2977" s="1" t="n">
        <v>45889</v>
      </c>
      <c r="E2977" s="1" t="n">
        <v>46307</v>
      </c>
      <c r="F2977" t="inlineStr">
        <is>
          <t>VÄRMLANDS LÄN</t>
        </is>
      </c>
      <c r="G2977" t="inlineStr">
        <is>
          <t>ÅRJÄNG</t>
        </is>
      </c>
      <c r="I2977" t="n">
        <v>2.6</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51663-2023</t>
        </is>
      </c>
      <c r="B2978" t="inlineStr">
        <is>
          <t>avverkningsanmälan</t>
        </is>
      </c>
      <c r="C2978" t="inlineStr">
        <is>
          <t>Föryngringsavverkning</t>
        </is>
      </c>
      <c r="D2978" s="1" t="n">
        <v>45222</v>
      </c>
      <c r="E2978" s="1" t="n">
        <v>46307</v>
      </c>
      <c r="F2978" t="inlineStr">
        <is>
          <t>VÄRMLANDS LÄN</t>
        </is>
      </c>
      <c r="G2978" t="inlineStr">
        <is>
          <t>KARLSTAD</t>
        </is>
      </c>
      <c r="I2978" t="n">
        <v>4.9</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6859-2023</t>
        </is>
      </c>
      <c r="B2979" t="inlineStr">
        <is>
          <t>avverkningsanmälan</t>
        </is>
      </c>
      <c r="C2979" t="inlineStr">
        <is>
          <t>Föryngringsavverkning</t>
        </is>
      </c>
      <c r="D2979" s="1" t="n">
        <v>44967</v>
      </c>
      <c r="E2979" s="1" t="n">
        <v>46307</v>
      </c>
      <c r="F2979" t="inlineStr">
        <is>
          <t>VÄRMLANDS LÄN</t>
        </is>
      </c>
      <c r="G2979" t="inlineStr">
        <is>
          <t>MUNKFORS</t>
        </is>
      </c>
      <c r="H2979" t="inlineStr">
        <is>
          <t>Bergvik skog väst AB</t>
        </is>
      </c>
      <c r="I2979" t="n">
        <v>1</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34350-2023</t>
        </is>
      </c>
      <c r="B2980" t="inlineStr">
        <is>
          <t>avverkningsanmälan</t>
        </is>
      </c>
      <c r="C2980" t="inlineStr">
        <is>
          <t>Föryngringsavverkning</t>
        </is>
      </c>
      <c r="D2980" s="1" t="n">
        <v>45139</v>
      </c>
      <c r="E2980" s="1" t="n">
        <v>46307</v>
      </c>
      <c r="F2980" t="inlineStr">
        <is>
          <t>VÄRMLANDS LÄN</t>
        </is>
      </c>
      <c r="G2980" t="inlineStr">
        <is>
          <t>ÅRJÄNG</t>
        </is>
      </c>
      <c r="I2980" t="n">
        <v>3.2</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7619-2023</t>
        </is>
      </c>
      <c r="B2981" t="inlineStr">
        <is>
          <t>avverkningsanmälan</t>
        </is>
      </c>
      <c r="C2981" t="inlineStr">
        <is>
          <t>Föryngringsavverkning</t>
        </is>
      </c>
      <c r="D2981" s="1" t="n">
        <v>44967</v>
      </c>
      <c r="E2981" s="1" t="n">
        <v>46307</v>
      </c>
      <c r="F2981" t="inlineStr">
        <is>
          <t>VÄRMLANDS LÄN</t>
        </is>
      </c>
      <c r="G2981" t="inlineStr">
        <is>
          <t>ÅRJÄNG</t>
        </is>
      </c>
      <c r="I2981" t="n">
        <v>1.1</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23618-2023</t>
        </is>
      </c>
      <c r="B2982" t="inlineStr">
        <is>
          <t>avverkningsanmälan</t>
        </is>
      </c>
      <c r="C2982" t="inlineStr">
        <is>
          <t>Föryngringsavverkning</t>
        </is>
      </c>
      <c r="D2982" s="1" t="n">
        <v>45077</v>
      </c>
      <c r="E2982" s="1" t="n">
        <v>46307</v>
      </c>
      <c r="F2982" t="inlineStr">
        <is>
          <t>VÄRMLANDS LÄN</t>
        </is>
      </c>
      <c r="G2982" t="inlineStr">
        <is>
          <t>FILIPSTAD</t>
        </is>
      </c>
      <c r="I2982" t="n">
        <v>15.8</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5652-2024</t>
        </is>
      </c>
      <c r="B2983" t="inlineStr">
        <is>
          <t>avverkningsanmälan</t>
        </is>
      </c>
      <c r="C2983" t="inlineStr">
        <is>
          <t>Föryngringsavverkning</t>
        </is>
      </c>
      <c r="D2983" s="1" t="n">
        <v>45334</v>
      </c>
      <c r="E2983" s="1" t="n">
        <v>46307</v>
      </c>
      <c r="F2983" t="inlineStr">
        <is>
          <t>VÄRMLANDS LÄN</t>
        </is>
      </c>
      <c r="G2983" t="inlineStr">
        <is>
          <t>SUNNE</t>
        </is>
      </c>
      <c r="I2983" t="n">
        <v>1.9</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5653-2024</t>
        </is>
      </c>
      <c r="B2984" t="inlineStr">
        <is>
          <t>avverkningsanmälan</t>
        </is>
      </c>
      <c r="C2984" t="inlineStr">
        <is>
          <t>Föryngringsavverkning</t>
        </is>
      </c>
      <c r="D2984" s="1" t="n">
        <v>45334</v>
      </c>
      <c r="E2984" s="1" t="n">
        <v>46307</v>
      </c>
      <c r="F2984" t="inlineStr">
        <is>
          <t>VÄRMLANDS LÄN</t>
        </is>
      </c>
      <c r="G2984" t="inlineStr">
        <is>
          <t>SUNNE</t>
        </is>
      </c>
      <c r="I2984" t="n">
        <v>1</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36298-2023</t>
        </is>
      </c>
      <c r="B2985" t="inlineStr">
        <is>
          <t>avverkningsanmälan</t>
        </is>
      </c>
      <c r="C2985" t="inlineStr">
        <is>
          <t>Föryngringsavverkning</t>
        </is>
      </c>
      <c r="D2985" s="1" t="n">
        <v>45152</v>
      </c>
      <c r="E2985" s="1" t="n">
        <v>46307</v>
      </c>
      <c r="F2985" t="inlineStr">
        <is>
          <t>VÄRMLANDS LÄN</t>
        </is>
      </c>
      <c r="G2985" t="inlineStr">
        <is>
          <t>EDA</t>
        </is>
      </c>
      <c r="I2985" t="n">
        <v>2.1</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41804-2023</t>
        </is>
      </c>
      <c r="B2986" t="inlineStr">
        <is>
          <t>avverkningsanmälan</t>
        </is>
      </c>
      <c r="C2986" t="inlineStr">
        <is>
          <t>Avverkning för annat ändamål</t>
        </is>
      </c>
      <c r="D2986" s="1" t="n">
        <v>45176</v>
      </c>
      <c r="E2986" s="1" t="n">
        <v>46307</v>
      </c>
      <c r="F2986" t="inlineStr">
        <is>
          <t>VÄRMLANDS LÄN</t>
        </is>
      </c>
      <c r="G2986" t="inlineStr">
        <is>
          <t>SÄFFLE</t>
        </is>
      </c>
      <c r="I2986" t="n">
        <v>1</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39443-2025</t>
        </is>
      </c>
      <c r="B2987" t="inlineStr">
        <is>
          <t>avverkningsanmälan</t>
        </is>
      </c>
      <c r="C2987" t="inlineStr">
        <is>
          <t>Föryngringsavverkning</t>
        </is>
      </c>
      <c r="D2987" s="1" t="n">
        <v>45889</v>
      </c>
      <c r="E2987" s="1" t="n">
        <v>46307</v>
      </c>
      <c r="F2987" t="inlineStr">
        <is>
          <t>VÄRMLANDS LÄN</t>
        </is>
      </c>
      <c r="G2987" t="inlineStr">
        <is>
          <t>ARVIKA</t>
        </is>
      </c>
      <c r="I2987" t="n">
        <v>3</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45287-2023</t>
        </is>
      </c>
      <c r="B2988" t="inlineStr">
        <is>
          <t>avverkningsanmälan</t>
        </is>
      </c>
      <c r="C2988" t="inlineStr">
        <is>
          <t>Föryngringsavverkning</t>
        </is>
      </c>
      <c r="D2988" s="1" t="n">
        <v>45187</v>
      </c>
      <c r="E2988" s="1" t="n">
        <v>46307</v>
      </c>
      <c r="F2988" t="inlineStr">
        <is>
          <t>VÄRMLANDS LÄN</t>
        </is>
      </c>
      <c r="G2988" t="inlineStr">
        <is>
          <t>KARLSTAD</t>
        </is>
      </c>
      <c r="I2988" t="n">
        <v>1.8</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3471-2023</t>
        </is>
      </c>
      <c r="B2989" t="inlineStr">
        <is>
          <t>avverkningsanmälan</t>
        </is>
      </c>
      <c r="C2989" t="inlineStr">
        <is>
          <t>Föryngringsavverkning</t>
        </is>
      </c>
      <c r="D2989" s="1" t="n">
        <v>44949</v>
      </c>
      <c r="E2989" s="1" t="n">
        <v>46307</v>
      </c>
      <c r="F2989" t="inlineStr">
        <is>
          <t>VÄRMLANDS LÄN</t>
        </is>
      </c>
      <c r="G2989" t="inlineStr">
        <is>
          <t>ÅRJÄNG</t>
        </is>
      </c>
      <c r="I2989" t="n">
        <v>2.2</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59061-2023</t>
        </is>
      </c>
      <c r="B2990" t="inlineStr">
        <is>
          <t>avverkningsanmälan</t>
        </is>
      </c>
      <c r="C2990" t="inlineStr">
        <is>
          <t>Föryngringsavverkning</t>
        </is>
      </c>
      <c r="D2990" s="1" t="n">
        <v>45252</v>
      </c>
      <c r="E2990" s="1" t="n">
        <v>46307</v>
      </c>
      <c r="F2990" t="inlineStr">
        <is>
          <t>VÄRMLANDS LÄN</t>
        </is>
      </c>
      <c r="G2990" t="inlineStr">
        <is>
          <t>KIL</t>
        </is>
      </c>
      <c r="I2990" t="n">
        <v>7.2</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32624-2024</t>
        </is>
      </c>
      <c r="B2991" t="inlineStr">
        <is>
          <t>avverkningsanmälan</t>
        </is>
      </c>
      <c r="C2991" t="inlineStr">
        <is>
          <t>Föryngringsavverkning</t>
        </is>
      </c>
      <c r="D2991" s="1" t="n">
        <v>45513</v>
      </c>
      <c r="E2991" s="1" t="n">
        <v>46307</v>
      </c>
      <c r="F2991" t="inlineStr">
        <is>
          <t>VÄRMLANDS LÄN</t>
        </is>
      </c>
      <c r="G2991" t="inlineStr">
        <is>
          <t>KRISTINEHAMN</t>
        </is>
      </c>
      <c r="I2991" t="n">
        <v>0.7</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13118-2025</t>
        </is>
      </c>
      <c r="B2992" t="inlineStr">
        <is>
          <t>avverkningsanmälan</t>
        </is>
      </c>
      <c r="C2992" t="inlineStr">
        <is>
          <t>Föryngringsavverkning</t>
        </is>
      </c>
      <c r="D2992" s="1" t="n">
        <v>45734</v>
      </c>
      <c r="E2992" s="1" t="n">
        <v>46307</v>
      </c>
      <c r="F2992" t="inlineStr">
        <is>
          <t>VÄRMLANDS LÄN</t>
        </is>
      </c>
      <c r="G2992" t="inlineStr">
        <is>
          <t>KRISTINEHAMN</t>
        </is>
      </c>
      <c r="I2992" t="n">
        <v>1.7</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62000-2023</t>
        </is>
      </c>
      <c r="B2993" t="inlineStr">
        <is>
          <t>avverkningsanmälan</t>
        </is>
      </c>
      <c r="C2993" t="inlineStr">
        <is>
          <t>Föryngringsavverkning</t>
        </is>
      </c>
      <c r="D2993" s="1" t="n">
        <v>45266</v>
      </c>
      <c r="E2993" s="1" t="n">
        <v>46307</v>
      </c>
      <c r="F2993" t="inlineStr">
        <is>
          <t>VÄRMLANDS LÄN</t>
        </is>
      </c>
      <c r="G2993" t="inlineStr">
        <is>
          <t>SÄFFLE</t>
        </is>
      </c>
      <c r="I2993" t="n">
        <v>3.9</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60377-2022</t>
        </is>
      </c>
      <c r="B2994" t="inlineStr">
        <is>
          <t>avverkningsanmälan</t>
        </is>
      </c>
      <c r="C2994" t="inlineStr">
        <is>
          <t>Föryngringsavverkning</t>
        </is>
      </c>
      <c r="D2994" s="1" t="n">
        <v>44904</v>
      </c>
      <c r="E2994" s="1" t="n">
        <v>46307</v>
      </c>
      <c r="F2994" t="inlineStr">
        <is>
          <t>VÄRMLANDS LÄN</t>
        </is>
      </c>
      <c r="G2994" t="inlineStr">
        <is>
          <t>ÅRJÄNG</t>
        </is>
      </c>
      <c r="I2994" t="n">
        <v>1</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59617-2022</t>
        </is>
      </c>
      <c r="B2995" t="inlineStr">
        <is>
          <t>avverkningsanmälan</t>
        </is>
      </c>
      <c r="C2995" t="inlineStr">
        <is>
          <t>Föryngringsavverkning</t>
        </is>
      </c>
      <c r="D2995" s="1" t="n">
        <v>44907</v>
      </c>
      <c r="E2995" s="1" t="n">
        <v>46307</v>
      </c>
      <c r="F2995" t="inlineStr">
        <is>
          <t>VÄRMLANDS LÄN</t>
        </is>
      </c>
      <c r="G2995" t="inlineStr">
        <is>
          <t>ÅRJÄNG</t>
        </is>
      </c>
      <c r="I2995" t="n">
        <v>0.7</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65844-2021</t>
        </is>
      </c>
      <c r="B2996" t="inlineStr">
        <is>
          <t>avverkningsanmälan</t>
        </is>
      </c>
      <c r="C2996" t="inlineStr">
        <is>
          <t>Föryngringsavverkning</t>
        </is>
      </c>
      <c r="D2996" s="1" t="n">
        <v>44517</v>
      </c>
      <c r="E2996" s="1" t="n">
        <v>46307</v>
      </c>
      <c r="F2996" t="inlineStr">
        <is>
          <t>VÄRMLANDS LÄN</t>
        </is>
      </c>
      <c r="G2996" t="inlineStr">
        <is>
          <t>ÅRJÄNG</t>
        </is>
      </c>
      <c r="I2996" t="n">
        <v>4.6</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4993-2024</t>
        </is>
      </c>
      <c r="B2997" t="inlineStr">
        <is>
          <t>avverkningsanmälan</t>
        </is>
      </c>
      <c r="C2997" t="inlineStr">
        <is>
          <t>Föryngringsavverkning</t>
        </is>
      </c>
      <c r="D2997" s="1" t="n">
        <v>45329</v>
      </c>
      <c r="E2997" s="1" t="n">
        <v>46307</v>
      </c>
      <c r="F2997" t="inlineStr">
        <is>
          <t>VÄRMLANDS LÄN</t>
        </is>
      </c>
      <c r="G2997" t="inlineStr">
        <is>
          <t>ARVIKA</t>
        </is>
      </c>
      <c r="H2997" t="inlineStr">
        <is>
          <t>Bergvik skog väst AB</t>
        </is>
      </c>
      <c r="I2997" t="n">
        <v>0.6</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30974-2023</t>
        </is>
      </c>
      <c r="B2998" t="inlineStr">
        <is>
          <t>avverkningsanmälan</t>
        </is>
      </c>
      <c r="C2998" t="inlineStr">
        <is>
          <t>Föryngringsavverkning</t>
        </is>
      </c>
      <c r="D2998" s="1" t="n">
        <v>45113</v>
      </c>
      <c r="E2998" s="1" t="n">
        <v>46307</v>
      </c>
      <c r="F2998" t="inlineStr">
        <is>
          <t>VÄRMLANDS LÄN</t>
        </is>
      </c>
      <c r="G2998" t="inlineStr">
        <is>
          <t>SUNNE</t>
        </is>
      </c>
      <c r="I2998" t="n">
        <v>7.5</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72476-2021</t>
        </is>
      </c>
      <c r="B2999" t="inlineStr">
        <is>
          <t>avverkningsanmälan</t>
        </is>
      </c>
      <c r="C2999" t="inlineStr">
        <is>
          <t>Föryngringsavverkning</t>
        </is>
      </c>
      <c r="D2999" s="1" t="n">
        <v>44545</v>
      </c>
      <c r="E2999" s="1" t="n">
        <v>46307</v>
      </c>
      <c r="F2999" t="inlineStr">
        <is>
          <t>VÄRMLANDS LÄN</t>
        </is>
      </c>
      <c r="G2999" t="inlineStr">
        <is>
          <t>ÅRJÄNG</t>
        </is>
      </c>
      <c r="I2999" t="n">
        <v>1.9</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38760-2023</t>
        </is>
      </c>
      <c r="B3000" t="inlineStr">
        <is>
          <t>avverkningsanmälan</t>
        </is>
      </c>
      <c r="C3000" t="inlineStr">
        <is>
          <t>Föryngringsavverkning</t>
        </is>
      </c>
      <c r="D3000" s="1" t="n">
        <v>45163</v>
      </c>
      <c r="E3000" s="1" t="n">
        <v>46307</v>
      </c>
      <c r="F3000" t="inlineStr">
        <is>
          <t>VÄRMLANDS LÄN</t>
        </is>
      </c>
      <c r="G3000" t="inlineStr">
        <is>
          <t>KIL</t>
        </is>
      </c>
      <c r="I3000" t="n">
        <v>0.6</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59887-2023</t>
        </is>
      </c>
      <c r="B3001" t="inlineStr">
        <is>
          <t>avverkningsanmälan</t>
        </is>
      </c>
      <c r="C3001" t="inlineStr">
        <is>
          <t>Föryngringsavverkning</t>
        </is>
      </c>
      <c r="D3001" s="1" t="n">
        <v>45257</v>
      </c>
      <c r="E3001" s="1" t="n">
        <v>46307</v>
      </c>
      <c r="F3001" t="inlineStr">
        <is>
          <t>VÄRMLANDS LÄN</t>
        </is>
      </c>
      <c r="G3001" t="inlineStr">
        <is>
          <t>ÅRJÄNG</t>
        </is>
      </c>
      <c r="I3001" t="n">
        <v>3.9</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74375-2021</t>
        </is>
      </c>
      <c r="B3002" t="inlineStr">
        <is>
          <t>avverkningsanmälan</t>
        </is>
      </c>
      <c r="C3002" t="inlineStr">
        <is>
          <t>Föryngringsavverkning</t>
        </is>
      </c>
      <c r="D3002" s="1" t="n">
        <v>44559</v>
      </c>
      <c r="E3002" s="1" t="n">
        <v>46307</v>
      </c>
      <c r="F3002" t="inlineStr">
        <is>
          <t>VÄRMLANDS LÄN</t>
        </is>
      </c>
      <c r="G3002" t="inlineStr">
        <is>
          <t>TORSBY</t>
        </is>
      </c>
      <c r="I3002" t="n">
        <v>2.4</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4277-2024</t>
        </is>
      </c>
      <c r="B3003" t="inlineStr">
        <is>
          <t>avverkningsanmälan</t>
        </is>
      </c>
      <c r="C3003" t="inlineStr">
        <is>
          <t>Föryngringsavverkning</t>
        </is>
      </c>
      <c r="D3003" s="1" t="n">
        <v>45324</v>
      </c>
      <c r="E3003" s="1" t="n">
        <v>46307</v>
      </c>
      <c r="F3003" t="inlineStr">
        <is>
          <t>VÄRMLANDS LÄN</t>
        </is>
      </c>
      <c r="G3003" t="inlineStr">
        <is>
          <t>KRISTINEHAMN</t>
        </is>
      </c>
      <c r="I3003" t="n">
        <v>1.8</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11626-2023</t>
        </is>
      </c>
      <c r="B3004" t="inlineStr">
        <is>
          <t>avverkningsanmälan</t>
        </is>
      </c>
      <c r="C3004" t="inlineStr">
        <is>
          <t>Avverkning för annat ändamål</t>
        </is>
      </c>
      <c r="D3004" s="1" t="n">
        <v>44994</v>
      </c>
      <c r="E3004" s="1" t="n">
        <v>46307</v>
      </c>
      <c r="F3004" t="inlineStr">
        <is>
          <t>VÄRMLANDS LÄN</t>
        </is>
      </c>
      <c r="G3004" t="inlineStr">
        <is>
          <t>SÄFFLE</t>
        </is>
      </c>
      <c r="I3004" t="n">
        <v>1</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55079-2022</t>
        </is>
      </c>
      <c r="B3005" t="inlineStr">
        <is>
          <t>avverkningsanmälan</t>
        </is>
      </c>
      <c r="C3005" t="inlineStr">
        <is>
          <t>Föryngringsavverkning</t>
        </is>
      </c>
      <c r="D3005" s="1" t="n">
        <v>44886</v>
      </c>
      <c r="E3005" s="1" t="n">
        <v>46307</v>
      </c>
      <c r="F3005" t="inlineStr">
        <is>
          <t>VÄRMLANDS LÄN</t>
        </is>
      </c>
      <c r="G3005" t="inlineStr">
        <is>
          <t>SUNNE</t>
        </is>
      </c>
      <c r="I3005" t="n">
        <v>1.4</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55090-2022</t>
        </is>
      </c>
      <c r="B3006" t="inlineStr">
        <is>
          <t>avverkningsanmälan</t>
        </is>
      </c>
      <c r="C3006" t="inlineStr">
        <is>
          <t>Föryngringsavverkning</t>
        </is>
      </c>
      <c r="D3006" s="1" t="n">
        <v>44881</v>
      </c>
      <c r="E3006" s="1" t="n">
        <v>46307</v>
      </c>
      <c r="F3006" t="inlineStr">
        <is>
          <t>VÄRMLANDS LÄN</t>
        </is>
      </c>
      <c r="G3006" t="inlineStr">
        <is>
          <t>SÄFFLE</t>
        </is>
      </c>
      <c r="I3006" t="n">
        <v>1.5</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55094-2022</t>
        </is>
      </c>
      <c r="B3007" t="inlineStr">
        <is>
          <t>avverkningsanmälan</t>
        </is>
      </c>
      <c r="C3007" t="inlineStr">
        <is>
          <t>Föryngringsavverkning</t>
        </is>
      </c>
      <c r="D3007" s="1" t="n">
        <v>44886</v>
      </c>
      <c r="E3007" s="1" t="n">
        <v>46307</v>
      </c>
      <c r="F3007" t="inlineStr">
        <is>
          <t>VÄRMLANDS LÄN</t>
        </is>
      </c>
      <c r="G3007" t="inlineStr">
        <is>
          <t>SÄFFLE</t>
        </is>
      </c>
      <c r="I3007" t="n">
        <v>2</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25409-2024</t>
        </is>
      </c>
      <c r="B3008" t="inlineStr">
        <is>
          <t>avverkningsanmälan</t>
        </is>
      </c>
      <c r="C3008" t="inlineStr">
        <is>
          <t>Föryngringsavverkning</t>
        </is>
      </c>
      <c r="D3008" s="1" t="n">
        <v>45463</v>
      </c>
      <c r="E3008" s="1" t="n">
        <v>46307</v>
      </c>
      <c r="F3008" t="inlineStr">
        <is>
          <t>VÄRMLANDS LÄN</t>
        </is>
      </c>
      <c r="G3008" t="inlineStr">
        <is>
          <t>KIL</t>
        </is>
      </c>
      <c r="H3008" t="inlineStr">
        <is>
          <t>Kyrkan</t>
        </is>
      </c>
      <c r="I3008" t="n">
        <v>1.7</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40863-2023</t>
        </is>
      </c>
      <c r="B3009" t="inlineStr">
        <is>
          <t>avverkningsanmälan</t>
        </is>
      </c>
      <c r="C3009" t="inlineStr">
        <is>
          <t>Föryngringsavverkning</t>
        </is>
      </c>
      <c r="D3009" s="1" t="n">
        <v>45173</v>
      </c>
      <c r="E3009" s="1" t="n">
        <v>46307</v>
      </c>
      <c r="F3009" t="inlineStr">
        <is>
          <t>VÄRMLANDS LÄN</t>
        </is>
      </c>
      <c r="G3009" t="inlineStr">
        <is>
          <t>SÄFFLE</t>
        </is>
      </c>
      <c r="I3009" t="n">
        <v>0.7</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40971-2023</t>
        </is>
      </c>
      <c r="B3010" t="inlineStr">
        <is>
          <t>avverkningsanmälan</t>
        </is>
      </c>
      <c r="C3010" t="inlineStr">
        <is>
          <t>Föryngringsavverkning</t>
        </is>
      </c>
      <c r="D3010" s="1" t="n">
        <v>45173</v>
      </c>
      <c r="E3010" s="1" t="n">
        <v>46307</v>
      </c>
      <c r="F3010" t="inlineStr">
        <is>
          <t>VÄRMLANDS LÄN</t>
        </is>
      </c>
      <c r="G3010" t="inlineStr">
        <is>
          <t>TORSBY</t>
        </is>
      </c>
      <c r="I3010" t="n">
        <v>6.1</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37382-2024</t>
        </is>
      </c>
      <c r="B3011" t="inlineStr">
        <is>
          <t>avverkningsanmälan</t>
        </is>
      </c>
      <c r="C3011" t="inlineStr">
        <is>
          <t>Föryngringsavverkning</t>
        </is>
      </c>
      <c r="D3011" s="1" t="n">
        <v>45540</v>
      </c>
      <c r="E3011" s="1" t="n">
        <v>46307</v>
      </c>
      <c r="F3011" t="inlineStr">
        <is>
          <t>VÄRMLANDS LÄN</t>
        </is>
      </c>
      <c r="G3011" t="inlineStr">
        <is>
          <t>ÅRJÄNG</t>
        </is>
      </c>
      <c r="I3011" t="n">
        <v>12.3</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57072-2022</t>
        </is>
      </c>
      <c r="B3012" t="inlineStr">
        <is>
          <t>avverkningsanmälan</t>
        </is>
      </c>
      <c r="C3012" t="inlineStr">
        <is>
          <t>Föryngringsavverkning</t>
        </is>
      </c>
      <c r="D3012" s="1" t="n">
        <v>44895</v>
      </c>
      <c r="E3012" s="1" t="n">
        <v>46307</v>
      </c>
      <c r="F3012" t="inlineStr">
        <is>
          <t>VÄRMLANDS LÄN</t>
        </is>
      </c>
      <c r="G3012" t="inlineStr">
        <is>
          <t>TORSBY</t>
        </is>
      </c>
      <c r="H3012" t="inlineStr">
        <is>
          <t>Övriga statliga verk och myndigheter</t>
        </is>
      </c>
      <c r="I3012" t="n">
        <v>7.8</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35107-2024</t>
        </is>
      </c>
      <c r="B3013" t="inlineStr">
        <is>
          <t>avverkningsanmälan</t>
        </is>
      </c>
      <c r="C3013" t="inlineStr">
        <is>
          <t>Föryngringsavverkning</t>
        </is>
      </c>
      <c r="D3013" s="1" t="n">
        <v>45529</v>
      </c>
      <c r="E3013" s="1" t="n">
        <v>46307</v>
      </c>
      <c r="F3013" t="inlineStr">
        <is>
          <t>VÄRMLANDS LÄN</t>
        </is>
      </c>
      <c r="G3013" t="inlineStr">
        <is>
          <t>TORSBY</t>
        </is>
      </c>
      <c r="I3013" t="n">
        <v>5.1</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66133-2021</t>
        </is>
      </c>
      <c r="B3014" t="inlineStr">
        <is>
          <t>avverkningsanmälan</t>
        </is>
      </c>
      <c r="C3014" t="inlineStr">
        <is>
          <t>Föryngringsavverkning</t>
        </is>
      </c>
      <c r="D3014" s="1" t="n">
        <v>44517</v>
      </c>
      <c r="E3014" s="1" t="n">
        <v>46307</v>
      </c>
      <c r="F3014" t="inlineStr">
        <is>
          <t>VÄRMLANDS LÄN</t>
        </is>
      </c>
      <c r="G3014" t="inlineStr">
        <is>
          <t>TORSBY</t>
        </is>
      </c>
      <c r="I3014" t="n">
        <v>0.9</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16427-2023</t>
        </is>
      </c>
      <c r="B3015" t="inlineStr">
        <is>
          <t>avverkningsanmälan</t>
        </is>
      </c>
      <c r="C3015" t="inlineStr">
        <is>
          <t>Föryngringsavverkning</t>
        </is>
      </c>
      <c r="D3015" s="1" t="n">
        <v>45022</v>
      </c>
      <c r="E3015" s="1" t="n">
        <v>46307</v>
      </c>
      <c r="F3015" t="inlineStr">
        <is>
          <t>VÄRMLANDS LÄN</t>
        </is>
      </c>
      <c r="G3015" t="inlineStr">
        <is>
          <t>TORSBY</t>
        </is>
      </c>
      <c r="I3015" t="n">
        <v>1.2</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47465-2023</t>
        </is>
      </c>
      <c r="B3016" t="inlineStr">
        <is>
          <t>avverkningsanmälan</t>
        </is>
      </c>
      <c r="C3016" t="inlineStr">
        <is>
          <t>Föryngringsavverkning</t>
        </is>
      </c>
      <c r="D3016" s="1" t="n">
        <v>45202</v>
      </c>
      <c r="E3016" s="1" t="n">
        <v>46307</v>
      </c>
      <c r="F3016" t="inlineStr">
        <is>
          <t>VÄRMLANDS LÄN</t>
        </is>
      </c>
      <c r="G3016" t="inlineStr">
        <is>
          <t>KRISTINEHAMN</t>
        </is>
      </c>
      <c r="I3016" t="n">
        <v>10.4</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30951-2022</t>
        </is>
      </c>
      <c r="B3017" t="inlineStr">
        <is>
          <t>avverkningsanmälan</t>
        </is>
      </c>
      <c r="C3017" t="inlineStr">
        <is>
          <t>Föryngringsavverkning</t>
        </is>
      </c>
      <c r="D3017" s="1" t="n">
        <v>44768</v>
      </c>
      <c r="E3017" s="1" t="n">
        <v>46307</v>
      </c>
      <c r="F3017" t="inlineStr">
        <is>
          <t>VÄRMLANDS LÄN</t>
        </is>
      </c>
      <c r="G3017" t="inlineStr">
        <is>
          <t>KIL</t>
        </is>
      </c>
      <c r="I3017" t="n">
        <v>5</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4536-2023</t>
        </is>
      </c>
      <c r="B3018" t="inlineStr">
        <is>
          <t>avverkningsanmälan</t>
        </is>
      </c>
      <c r="C3018" t="inlineStr">
        <is>
          <t>Föryngringsavverkning</t>
        </is>
      </c>
      <c r="D3018" s="1" t="n">
        <v>44956</v>
      </c>
      <c r="E3018" s="1" t="n">
        <v>46307</v>
      </c>
      <c r="F3018" t="inlineStr">
        <is>
          <t>VÄRMLANDS LÄN</t>
        </is>
      </c>
      <c r="G3018" t="inlineStr">
        <is>
          <t>SUNNE</t>
        </is>
      </c>
      <c r="I3018" t="n">
        <v>3.7</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46315-2024</t>
        </is>
      </c>
      <c r="B3019" t="inlineStr">
        <is>
          <t>avverkningsanmälan</t>
        </is>
      </c>
      <c r="C3019" t="inlineStr">
        <is>
          <t>Föryngringsavverkning</t>
        </is>
      </c>
      <c r="D3019" s="1" t="n">
        <v>45581</v>
      </c>
      <c r="E3019" s="1" t="n">
        <v>46307</v>
      </c>
      <c r="F3019" t="inlineStr">
        <is>
          <t>VÄRMLANDS LÄN</t>
        </is>
      </c>
      <c r="G3019" t="inlineStr">
        <is>
          <t>ÅRJÄNG</t>
        </is>
      </c>
      <c r="I3019" t="n">
        <v>2.1</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14910-2025</t>
        </is>
      </c>
      <c r="B3020" t="inlineStr">
        <is>
          <t>avverkningsanmälan</t>
        </is>
      </c>
      <c r="C3020" t="inlineStr">
        <is>
          <t>Föryngringsavverkning</t>
        </is>
      </c>
      <c r="D3020" s="1" t="n">
        <v>45743</v>
      </c>
      <c r="E3020" s="1" t="n">
        <v>46307</v>
      </c>
      <c r="F3020" t="inlineStr">
        <is>
          <t>VÄRMLANDS LÄN</t>
        </is>
      </c>
      <c r="G3020" t="inlineStr">
        <is>
          <t>ÅRJÄNG</t>
        </is>
      </c>
      <c r="I3020" t="n">
        <v>2.2</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39596-2025</t>
        </is>
      </c>
      <c r="B3021" t="inlineStr">
        <is>
          <t>avverkningsanmälan</t>
        </is>
      </c>
      <c r="C3021" t="inlineStr">
        <is>
          <t>Föryngringsavverkning</t>
        </is>
      </c>
      <c r="D3021" s="1" t="n">
        <v>45890</v>
      </c>
      <c r="E3021" s="1" t="n">
        <v>46307</v>
      </c>
      <c r="F3021" t="inlineStr">
        <is>
          <t>VÄRMLANDS LÄN</t>
        </is>
      </c>
      <c r="G3021" t="inlineStr">
        <is>
          <t>ARVIKA</t>
        </is>
      </c>
      <c r="H3021" t="inlineStr">
        <is>
          <t>Bergvik skog väst AB</t>
        </is>
      </c>
      <c r="I3021" t="n">
        <v>21.5</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58808-2022</t>
        </is>
      </c>
      <c r="B3022" t="inlineStr">
        <is>
          <t>avverkningsanmälan</t>
        </is>
      </c>
      <c r="C3022" t="inlineStr">
        <is>
          <t>Föryngringsavverkning</t>
        </is>
      </c>
      <c r="D3022" s="1" t="n">
        <v>44903</v>
      </c>
      <c r="E3022" s="1" t="n">
        <v>46307</v>
      </c>
      <c r="F3022" t="inlineStr">
        <is>
          <t>VÄRMLANDS LÄN</t>
        </is>
      </c>
      <c r="G3022" t="inlineStr">
        <is>
          <t>HAGFORS</t>
        </is>
      </c>
      <c r="H3022" t="inlineStr">
        <is>
          <t>Bergvik skog väst AB</t>
        </is>
      </c>
      <c r="I3022" t="n">
        <v>2.9</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58812-2022</t>
        </is>
      </c>
      <c r="B3023" t="inlineStr">
        <is>
          <t>avverkningsanmälan</t>
        </is>
      </c>
      <c r="C3023" t="inlineStr">
        <is>
          <t>Föryngringsavverkning</t>
        </is>
      </c>
      <c r="D3023" s="1" t="n">
        <v>44903</v>
      </c>
      <c r="E3023" s="1" t="n">
        <v>46307</v>
      </c>
      <c r="F3023" t="inlineStr">
        <is>
          <t>VÄRMLANDS LÄN</t>
        </is>
      </c>
      <c r="G3023" t="inlineStr">
        <is>
          <t>SUNNE</t>
        </is>
      </c>
      <c r="I3023" t="n">
        <v>2</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48553-2023</t>
        </is>
      </c>
      <c r="B3024" t="inlineStr">
        <is>
          <t>avverkningsanmälan</t>
        </is>
      </c>
      <c r="C3024" t="inlineStr">
        <is>
          <t>Föryngringsavverkning</t>
        </is>
      </c>
      <c r="D3024" s="1" t="n">
        <v>45208</v>
      </c>
      <c r="E3024" s="1" t="n">
        <v>46307</v>
      </c>
      <c r="F3024" t="inlineStr">
        <is>
          <t>VÄRMLANDS LÄN</t>
        </is>
      </c>
      <c r="G3024" t="inlineStr">
        <is>
          <t>GRUMS</t>
        </is>
      </c>
      <c r="I3024" t="n">
        <v>1.7</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6573-2023</t>
        </is>
      </c>
      <c r="B3025" t="inlineStr">
        <is>
          <t>avverkningsanmälan</t>
        </is>
      </c>
      <c r="C3025" t="inlineStr">
        <is>
          <t>Föryngringsavverkning</t>
        </is>
      </c>
      <c r="D3025" s="1" t="n">
        <v>44960</v>
      </c>
      <c r="E3025" s="1" t="n">
        <v>46307</v>
      </c>
      <c r="F3025" t="inlineStr">
        <is>
          <t>VÄRMLANDS LÄN</t>
        </is>
      </c>
      <c r="G3025" t="inlineStr">
        <is>
          <t>FILIPSTAD</t>
        </is>
      </c>
      <c r="H3025" t="inlineStr">
        <is>
          <t>Kommuner</t>
        </is>
      </c>
      <c r="I3025" t="n">
        <v>4.6</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30369-2024</t>
        </is>
      </c>
      <c r="B3026" t="inlineStr">
        <is>
          <t>avverkningsanmälan</t>
        </is>
      </c>
      <c r="C3026" t="inlineStr">
        <is>
          <t>Föryngringsavverkning</t>
        </is>
      </c>
      <c r="D3026" s="1" t="n">
        <v>45491</v>
      </c>
      <c r="E3026" s="1" t="n">
        <v>46307</v>
      </c>
      <c r="F3026" t="inlineStr">
        <is>
          <t>VÄRMLANDS LÄN</t>
        </is>
      </c>
      <c r="G3026" t="inlineStr">
        <is>
          <t>EDA</t>
        </is>
      </c>
      <c r="I3026" t="n">
        <v>1.6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8728-2024</t>
        </is>
      </c>
      <c r="B3027" t="inlineStr">
        <is>
          <t>avverkningsanmälan</t>
        </is>
      </c>
      <c r="C3027" t="inlineStr">
        <is>
          <t>Föryngringsavverkning</t>
        </is>
      </c>
      <c r="D3027" s="1" t="n">
        <v>45356</v>
      </c>
      <c r="E3027" s="1" t="n">
        <v>46307</v>
      </c>
      <c r="F3027" t="inlineStr">
        <is>
          <t>VÄRMLANDS LÄN</t>
        </is>
      </c>
      <c r="G3027" t="inlineStr">
        <is>
          <t>TORSBY</t>
        </is>
      </c>
      <c r="I3027" t="n">
        <v>1</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1840-2023</t>
        </is>
      </c>
      <c r="B3028" t="inlineStr">
        <is>
          <t>avverkningsanmälan</t>
        </is>
      </c>
      <c r="C3028" t="inlineStr">
        <is>
          <t>Föryngringsavverkning</t>
        </is>
      </c>
      <c r="D3028" s="1" t="n">
        <v>44938</v>
      </c>
      <c r="E3028" s="1" t="n">
        <v>46307</v>
      </c>
      <c r="F3028" t="inlineStr">
        <is>
          <t>VÄRMLANDS LÄN</t>
        </is>
      </c>
      <c r="G3028" t="inlineStr">
        <is>
          <t>STORFORS</t>
        </is>
      </c>
      <c r="H3028" t="inlineStr">
        <is>
          <t>Kyrkan</t>
        </is>
      </c>
      <c r="I3028" t="n">
        <v>1.3</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26672-2024</t>
        </is>
      </c>
      <c r="B3029" t="inlineStr">
        <is>
          <t>avverkningsanmälan</t>
        </is>
      </c>
      <c r="C3029" t="inlineStr">
        <is>
          <t>Föryngringsavverkning</t>
        </is>
      </c>
      <c r="D3029" s="1" t="n">
        <v>45470</v>
      </c>
      <c r="E3029" s="1" t="n">
        <v>46307</v>
      </c>
      <c r="F3029" t="inlineStr">
        <is>
          <t>VÄRMLANDS LÄN</t>
        </is>
      </c>
      <c r="G3029" t="inlineStr">
        <is>
          <t>SUNNE</t>
        </is>
      </c>
      <c r="I3029" t="n">
        <v>1.9</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33848-2023</t>
        </is>
      </c>
      <c r="B3030" t="inlineStr">
        <is>
          <t>avverkningsanmälan</t>
        </is>
      </c>
      <c r="C3030" t="inlineStr">
        <is>
          <t>Föryngringsavverkning</t>
        </is>
      </c>
      <c r="D3030" s="1" t="n">
        <v>45133</v>
      </c>
      <c r="E3030" s="1" t="n">
        <v>46307</v>
      </c>
      <c r="F3030" t="inlineStr">
        <is>
          <t>VÄRMLANDS LÄN</t>
        </is>
      </c>
      <c r="G3030" t="inlineStr">
        <is>
          <t>TORSBY</t>
        </is>
      </c>
      <c r="H3030" t="inlineStr">
        <is>
          <t>Bergvik skog väst AB</t>
        </is>
      </c>
      <c r="I3030" t="n">
        <v>4.4</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14651-2024</t>
        </is>
      </c>
      <c r="B3031" t="inlineStr">
        <is>
          <t>avverkningsanmälan</t>
        </is>
      </c>
      <c r="C3031" t="inlineStr">
        <is>
          <t>Föryngringsavverkning</t>
        </is>
      </c>
      <c r="D3031" s="1" t="n">
        <v>45397</v>
      </c>
      <c r="E3031" s="1" t="n">
        <v>46307</v>
      </c>
      <c r="F3031" t="inlineStr">
        <is>
          <t>VÄRMLANDS LÄN</t>
        </is>
      </c>
      <c r="G3031" t="inlineStr">
        <is>
          <t>KIL</t>
        </is>
      </c>
      <c r="I3031" t="n">
        <v>3.9</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39277-2025</t>
        </is>
      </c>
      <c r="B3032" t="inlineStr">
        <is>
          <t>avverkningsanmälan</t>
        </is>
      </c>
      <c r="C3032" t="inlineStr">
        <is>
          <t>Föryngringsavverkning</t>
        </is>
      </c>
      <c r="D3032" s="1" t="n">
        <v>45889</v>
      </c>
      <c r="E3032" s="1" t="n">
        <v>46307</v>
      </c>
      <c r="F3032" t="inlineStr">
        <is>
          <t>VÄRMLANDS LÄN</t>
        </is>
      </c>
      <c r="G3032" t="inlineStr">
        <is>
          <t>SUNNE</t>
        </is>
      </c>
      <c r="I3032" t="n">
        <v>6</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50764-2022</t>
        </is>
      </c>
      <c r="B3033" t="inlineStr">
        <is>
          <t>avverkningsanmälan</t>
        </is>
      </c>
      <c r="C3033" t="inlineStr">
        <is>
          <t>Föryngringsavverkning</t>
        </is>
      </c>
      <c r="D3033" s="1" t="n">
        <v>44867</v>
      </c>
      <c r="E3033" s="1" t="n">
        <v>46307</v>
      </c>
      <c r="F3033" t="inlineStr">
        <is>
          <t>VÄRMLANDS LÄN</t>
        </is>
      </c>
      <c r="G3033" t="inlineStr">
        <is>
          <t>ARVIKA</t>
        </is>
      </c>
      <c r="I3033" t="n">
        <v>5.7</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65171-2023</t>
        </is>
      </c>
      <c r="B3034" t="inlineStr">
        <is>
          <t>avverkningsanmälan</t>
        </is>
      </c>
      <c r="C3034" t="inlineStr">
        <is>
          <t>Föryngringsavverkning</t>
        </is>
      </c>
      <c r="D3034" s="1" t="n">
        <v>45288</v>
      </c>
      <c r="E3034" s="1" t="n">
        <v>46307</v>
      </c>
      <c r="F3034" t="inlineStr">
        <is>
          <t>VÄRMLANDS LÄN</t>
        </is>
      </c>
      <c r="G3034" t="inlineStr">
        <is>
          <t>ÅRJÄNG</t>
        </is>
      </c>
      <c r="I3034" t="n">
        <v>2.1</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73050-2021</t>
        </is>
      </c>
      <c r="B3035" t="inlineStr">
        <is>
          <t>avverkningsanmälan</t>
        </is>
      </c>
      <c r="C3035" t="inlineStr">
        <is>
          <t>Föryngringsavverkning</t>
        </is>
      </c>
      <c r="D3035" s="1" t="n">
        <v>44550</v>
      </c>
      <c r="E3035" s="1" t="n">
        <v>46307</v>
      </c>
      <c r="F3035" t="inlineStr">
        <is>
          <t>VÄRMLANDS LÄN</t>
        </is>
      </c>
      <c r="G3035" t="inlineStr">
        <is>
          <t>SUNNE</t>
        </is>
      </c>
      <c r="I3035" t="n">
        <v>1.4</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62977-2023</t>
        </is>
      </c>
      <c r="B3036" t="inlineStr">
        <is>
          <t>avverkningsanmälan</t>
        </is>
      </c>
      <c r="C3036" t="inlineStr">
        <is>
          <t>Föryngringsavverkning</t>
        </is>
      </c>
      <c r="D3036" s="1" t="n">
        <v>45272</v>
      </c>
      <c r="E3036" s="1" t="n">
        <v>46307</v>
      </c>
      <c r="F3036" t="inlineStr">
        <is>
          <t>VÄRMLANDS LÄN</t>
        </is>
      </c>
      <c r="G3036" t="inlineStr">
        <is>
          <t>MUNKFORS</t>
        </is>
      </c>
      <c r="I3036" t="n">
        <v>3.4</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59071-2024</t>
        </is>
      </c>
      <c r="B3037" t="inlineStr">
        <is>
          <t>avverkningsanmälan</t>
        </is>
      </c>
      <c r="C3037" t="inlineStr">
        <is>
          <t>Föryngringsavverkning</t>
        </is>
      </c>
      <c r="D3037" s="1" t="n">
        <v>45636</v>
      </c>
      <c r="E3037" s="1" t="n">
        <v>46307</v>
      </c>
      <c r="F3037" t="inlineStr">
        <is>
          <t>VÄRMLANDS LÄN</t>
        </is>
      </c>
      <c r="G3037" t="inlineStr">
        <is>
          <t>ÅRJÄNG</t>
        </is>
      </c>
      <c r="I3037" t="n">
        <v>4.2</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59073-2024</t>
        </is>
      </c>
      <c r="B3038" t="inlineStr">
        <is>
          <t>avverkningsanmälan</t>
        </is>
      </c>
      <c r="C3038" t="inlineStr">
        <is>
          <t>Föryngringsavverkning</t>
        </is>
      </c>
      <c r="D3038" s="1" t="n">
        <v>45636</v>
      </c>
      <c r="E3038" s="1" t="n">
        <v>46307</v>
      </c>
      <c r="F3038" t="inlineStr">
        <is>
          <t>VÄRMLANDS LÄN</t>
        </is>
      </c>
      <c r="G3038" t="inlineStr">
        <is>
          <t>ÅRJÄNG</t>
        </is>
      </c>
      <c r="I3038" t="n">
        <v>3</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39606-2025</t>
        </is>
      </c>
      <c r="B3039" t="inlineStr">
        <is>
          <t>avverkningsanmälan</t>
        </is>
      </c>
      <c r="C3039" t="inlineStr">
        <is>
          <t>Föryngringsavverkning</t>
        </is>
      </c>
      <c r="D3039" s="1" t="n">
        <v>45890</v>
      </c>
      <c r="E3039" s="1" t="n">
        <v>46307</v>
      </c>
      <c r="F3039" t="inlineStr">
        <is>
          <t>VÄRMLANDS LÄN</t>
        </is>
      </c>
      <c r="G3039" t="inlineStr">
        <is>
          <t>ARVIKA</t>
        </is>
      </c>
      <c r="H3039" t="inlineStr">
        <is>
          <t>Bergvik skog väst AB</t>
        </is>
      </c>
      <c r="I3039" t="n">
        <v>4.4</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27995-2024</t>
        </is>
      </c>
      <c r="B3040" t="inlineStr">
        <is>
          <t>avverkningsanmälan</t>
        </is>
      </c>
      <c r="C3040" t="inlineStr">
        <is>
          <t>Föryngringsavverkning</t>
        </is>
      </c>
      <c r="D3040" s="1" t="n">
        <v>45476</v>
      </c>
      <c r="E3040" s="1" t="n">
        <v>46307</v>
      </c>
      <c r="F3040" t="inlineStr">
        <is>
          <t>VÄRMLANDS LÄN</t>
        </is>
      </c>
      <c r="G3040" t="inlineStr">
        <is>
          <t>FORSHAGA</t>
        </is>
      </c>
      <c r="I3040" t="n">
        <v>3.8</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59104-2024</t>
        </is>
      </c>
      <c r="B3041" t="inlineStr">
        <is>
          <t>avverkningsanmälan</t>
        </is>
      </c>
      <c r="C3041" t="inlineStr">
        <is>
          <t>Avverkning för annat ändamål</t>
        </is>
      </c>
      <c r="D3041" s="1" t="n">
        <v>45637</v>
      </c>
      <c r="E3041" s="1" t="n">
        <v>46307</v>
      </c>
      <c r="F3041" t="inlineStr">
        <is>
          <t>VÄRMLANDS LÄN</t>
        </is>
      </c>
      <c r="G3041" t="inlineStr">
        <is>
          <t>ARVIKA</t>
        </is>
      </c>
      <c r="I3041" t="n">
        <v>0.3</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15733-2023</t>
        </is>
      </c>
      <c r="B3042" t="inlineStr">
        <is>
          <t>avverkningsanmälan</t>
        </is>
      </c>
      <c r="C3042" t="inlineStr">
        <is>
          <t>Föryngringsavverkning</t>
        </is>
      </c>
      <c r="D3042" s="1" t="n">
        <v>45020</v>
      </c>
      <c r="E3042" s="1" t="n">
        <v>46307</v>
      </c>
      <c r="F3042" t="inlineStr">
        <is>
          <t>VÄRMLANDS LÄN</t>
        </is>
      </c>
      <c r="G3042" t="inlineStr">
        <is>
          <t>KARLSTAD</t>
        </is>
      </c>
      <c r="I3042" t="n">
        <v>1.8</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4819-2023</t>
        </is>
      </c>
      <c r="B3043" t="inlineStr">
        <is>
          <t>avverkningsanmälan</t>
        </is>
      </c>
      <c r="C3043" t="inlineStr">
        <is>
          <t>Avverkning för annat ändamål</t>
        </is>
      </c>
      <c r="D3043" s="1" t="n">
        <v>44957</v>
      </c>
      <c r="E3043" s="1" t="n">
        <v>46307</v>
      </c>
      <c r="F3043" t="inlineStr">
        <is>
          <t>VÄRMLANDS LÄN</t>
        </is>
      </c>
      <c r="G3043" t="inlineStr">
        <is>
          <t>FILIPSTAD</t>
        </is>
      </c>
      <c r="H3043" t="inlineStr">
        <is>
          <t>Bergvik skog väst AB</t>
        </is>
      </c>
      <c r="I3043" t="n">
        <v>11.3</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61952-2022</t>
        </is>
      </c>
      <c r="B3044" t="inlineStr">
        <is>
          <t>avverkningsanmälan</t>
        </is>
      </c>
      <c r="C3044" t="inlineStr">
        <is>
          <t>Föryngringsavverkning</t>
        </is>
      </c>
      <c r="D3044" s="1" t="n">
        <v>44918</v>
      </c>
      <c r="E3044" s="1" t="n">
        <v>46307</v>
      </c>
      <c r="F3044" t="inlineStr">
        <is>
          <t>VÄRMLANDS LÄN</t>
        </is>
      </c>
      <c r="G3044" t="inlineStr">
        <is>
          <t>EDA</t>
        </is>
      </c>
      <c r="I3044" t="n">
        <v>1.9</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73310-2021</t>
        </is>
      </c>
      <c r="B3045" t="inlineStr">
        <is>
          <t>avverkningsanmälan</t>
        </is>
      </c>
      <c r="C3045" t="inlineStr">
        <is>
          <t>Föryngringsavverkning</t>
        </is>
      </c>
      <c r="D3045" s="1" t="n">
        <v>44547</v>
      </c>
      <c r="E3045" s="1" t="n">
        <v>46307</v>
      </c>
      <c r="F3045" t="inlineStr">
        <is>
          <t>VÄRMLANDS LÄN</t>
        </is>
      </c>
      <c r="G3045" t="inlineStr">
        <is>
          <t>GRUMS</t>
        </is>
      </c>
      <c r="I3045" t="n">
        <v>6.2</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54865-2022</t>
        </is>
      </c>
      <c r="B3046" t="inlineStr">
        <is>
          <t>avverkningsanmälan</t>
        </is>
      </c>
      <c r="C3046" t="inlineStr">
        <is>
          <t>Föryngringsavverkning</t>
        </is>
      </c>
      <c r="D3046" s="1" t="n">
        <v>44884</v>
      </c>
      <c r="E3046" s="1" t="n">
        <v>46307</v>
      </c>
      <c r="F3046" t="inlineStr">
        <is>
          <t>VÄRMLANDS LÄN</t>
        </is>
      </c>
      <c r="G3046" t="inlineStr">
        <is>
          <t>TORSBY</t>
        </is>
      </c>
      <c r="I3046" t="n">
        <v>2.3</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39641-2025</t>
        </is>
      </c>
      <c r="B3047" t="inlineStr">
        <is>
          <t>avverkningsanmälan</t>
        </is>
      </c>
      <c r="C3047" t="inlineStr">
        <is>
          <t>Föryngringsavverkning</t>
        </is>
      </c>
      <c r="D3047" s="1" t="n">
        <v>45890</v>
      </c>
      <c r="E3047" s="1" t="n">
        <v>46307</v>
      </c>
      <c r="F3047" t="inlineStr">
        <is>
          <t>VÄRMLANDS LÄN</t>
        </is>
      </c>
      <c r="G3047" t="inlineStr">
        <is>
          <t>ARVIKA</t>
        </is>
      </c>
      <c r="I3047" t="n">
        <v>0.7</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15413-2023</t>
        </is>
      </c>
      <c r="B3048" t="inlineStr">
        <is>
          <t>avverkningsanmälan</t>
        </is>
      </c>
      <c r="C3048" t="inlineStr">
        <is>
          <t>Föryngringsavverkning</t>
        </is>
      </c>
      <c r="D3048" s="1" t="n">
        <v>45019</v>
      </c>
      <c r="E3048" s="1" t="n">
        <v>46307</v>
      </c>
      <c r="F3048" t="inlineStr">
        <is>
          <t>VÄRMLANDS LÄN</t>
        </is>
      </c>
      <c r="G3048" t="inlineStr">
        <is>
          <t>TORSBY</t>
        </is>
      </c>
      <c r="I3048" t="n">
        <v>17.1</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60516-2024</t>
        </is>
      </c>
      <c r="B3049" t="inlineStr">
        <is>
          <t>avverkningsanmälan</t>
        </is>
      </c>
      <c r="C3049" t="inlineStr">
        <is>
          <t>Avverkning för annat ändamål</t>
        </is>
      </c>
      <c r="D3049" s="1" t="n">
        <v>45643</v>
      </c>
      <c r="E3049" s="1" t="n">
        <v>46307</v>
      </c>
      <c r="F3049" t="inlineStr">
        <is>
          <t>VÄRMLANDS LÄN</t>
        </is>
      </c>
      <c r="G3049" t="inlineStr">
        <is>
          <t>ARVIKA</t>
        </is>
      </c>
      <c r="I3049" t="n">
        <v>1.6</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27270-2024</t>
        </is>
      </c>
      <c r="B3050" t="inlineStr">
        <is>
          <t>avverkningsanmälan</t>
        </is>
      </c>
      <c r="C3050" t="inlineStr">
        <is>
          <t>Föryngringsavverkning</t>
        </is>
      </c>
      <c r="D3050" s="1" t="n">
        <v>45471</v>
      </c>
      <c r="E3050" s="1" t="n">
        <v>46307</v>
      </c>
      <c r="F3050" t="inlineStr">
        <is>
          <t>VÄRMLANDS LÄN</t>
        </is>
      </c>
      <c r="G3050" t="inlineStr">
        <is>
          <t>TORSBY</t>
        </is>
      </c>
      <c r="I3050" t="n">
        <v>6.9</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32262-2023</t>
        </is>
      </c>
      <c r="B3051" t="inlineStr">
        <is>
          <t>avverkningsanmälan</t>
        </is>
      </c>
      <c r="C3051" t="inlineStr">
        <is>
          <t>Föryngringsavverkning</t>
        </is>
      </c>
      <c r="D3051" s="1" t="n">
        <v>45120</v>
      </c>
      <c r="E3051" s="1" t="n">
        <v>46307</v>
      </c>
      <c r="F3051" t="inlineStr">
        <is>
          <t>VÄRMLANDS LÄN</t>
        </is>
      </c>
      <c r="G3051" t="inlineStr">
        <is>
          <t>FILIPSTAD</t>
        </is>
      </c>
      <c r="I3051" t="n">
        <v>1.8</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12744-2024</t>
        </is>
      </c>
      <c r="B3052" t="inlineStr">
        <is>
          <t>avverkningsanmälan</t>
        </is>
      </c>
      <c r="C3052" t="inlineStr">
        <is>
          <t>Föryngringsavverkning</t>
        </is>
      </c>
      <c r="D3052" s="1" t="n">
        <v>45384</v>
      </c>
      <c r="E3052" s="1" t="n">
        <v>46307</v>
      </c>
      <c r="F3052" t="inlineStr">
        <is>
          <t>VÄRMLANDS LÄN</t>
        </is>
      </c>
      <c r="G3052" t="inlineStr">
        <is>
          <t>ARVIKA</t>
        </is>
      </c>
      <c r="I3052" t="n">
        <v>0.6</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15488-2023</t>
        </is>
      </c>
      <c r="B3053" t="inlineStr">
        <is>
          <t>avverkningsanmälan</t>
        </is>
      </c>
      <c r="C3053" t="inlineStr">
        <is>
          <t>Föryngringsavverkning</t>
        </is>
      </c>
      <c r="D3053" s="1" t="n">
        <v>45020</v>
      </c>
      <c r="E3053" s="1" t="n">
        <v>46307</v>
      </c>
      <c r="F3053" t="inlineStr">
        <is>
          <t>VÄRMLANDS LÄN</t>
        </is>
      </c>
      <c r="G3053" t="inlineStr">
        <is>
          <t>TORSBY</t>
        </is>
      </c>
      <c r="I3053" t="n">
        <v>3.4</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39588-2025</t>
        </is>
      </c>
      <c r="B3054" t="inlineStr">
        <is>
          <t>avverkningsanmälan</t>
        </is>
      </c>
      <c r="C3054" t="inlineStr">
        <is>
          <t>Föryngringsavverkning</t>
        </is>
      </c>
      <c r="D3054" s="1" t="n">
        <v>45890</v>
      </c>
      <c r="E3054" s="1" t="n">
        <v>46307</v>
      </c>
      <c r="F3054" t="inlineStr">
        <is>
          <t>VÄRMLANDS LÄN</t>
        </is>
      </c>
      <c r="G3054" t="inlineStr">
        <is>
          <t>SÄFFLE</t>
        </is>
      </c>
      <c r="I3054" t="n">
        <v>0.5</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39391-2025</t>
        </is>
      </c>
      <c r="B3055" t="inlineStr">
        <is>
          <t>avverkningsanmälan</t>
        </is>
      </c>
      <c r="C3055" t="inlineStr">
        <is>
          <t>Föryngringsavverkning</t>
        </is>
      </c>
      <c r="D3055" s="1" t="n">
        <v>45889</v>
      </c>
      <c r="E3055" s="1" t="n">
        <v>46307</v>
      </c>
      <c r="F3055" t="inlineStr">
        <is>
          <t>VÄRMLANDS LÄN</t>
        </is>
      </c>
      <c r="G3055" t="inlineStr">
        <is>
          <t>ARVIKA</t>
        </is>
      </c>
      <c r="I3055" t="n">
        <v>2</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28864-2023</t>
        </is>
      </c>
      <c r="B3056" t="inlineStr">
        <is>
          <t>avverkningsanmälan</t>
        </is>
      </c>
      <c r="C3056" t="inlineStr">
        <is>
          <t>Föryngringsavverkning</t>
        </is>
      </c>
      <c r="D3056" s="1" t="n">
        <v>45104</v>
      </c>
      <c r="E3056" s="1" t="n">
        <v>46307</v>
      </c>
      <c r="F3056" t="inlineStr">
        <is>
          <t>VÄRMLANDS LÄN</t>
        </is>
      </c>
      <c r="G3056" t="inlineStr">
        <is>
          <t>ÅRJÄNG</t>
        </is>
      </c>
      <c r="I3056" t="n">
        <v>2.9</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27360-2024</t>
        </is>
      </c>
      <c r="B3057" t="inlineStr">
        <is>
          <t>avverkningsanmälan</t>
        </is>
      </c>
      <c r="C3057" t="inlineStr">
        <is>
          <t>Föryngringsavverkning</t>
        </is>
      </c>
      <c r="D3057" s="1" t="n">
        <v>45473</v>
      </c>
      <c r="E3057" s="1" t="n">
        <v>46307</v>
      </c>
      <c r="F3057" t="inlineStr">
        <is>
          <t>VÄRMLANDS LÄN</t>
        </is>
      </c>
      <c r="G3057" t="inlineStr">
        <is>
          <t>TORSBY</t>
        </is>
      </c>
      <c r="I3057" t="n">
        <v>0.7</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39008-2023</t>
        </is>
      </c>
      <c r="B3058" t="inlineStr">
        <is>
          <t>avverkningsanmälan</t>
        </is>
      </c>
      <c r="C3058" t="inlineStr">
        <is>
          <t>Föryngringsavverkning</t>
        </is>
      </c>
      <c r="D3058" s="1" t="n">
        <v>45162</v>
      </c>
      <c r="E3058" s="1" t="n">
        <v>46307</v>
      </c>
      <c r="F3058" t="inlineStr">
        <is>
          <t>VÄRMLANDS LÄN</t>
        </is>
      </c>
      <c r="G3058" t="inlineStr">
        <is>
          <t>ÅRJÄNG</t>
        </is>
      </c>
      <c r="I3058" t="n">
        <v>5.1</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242-2024</t>
        </is>
      </c>
      <c r="B3059" t="inlineStr">
        <is>
          <t>avverkningsanmälan</t>
        </is>
      </c>
      <c r="C3059" t="inlineStr">
        <is>
          <t>Föryngringsavverkning</t>
        </is>
      </c>
      <c r="D3059" s="1" t="n">
        <v>45294</v>
      </c>
      <c r="E3059" s="1" t="n">
        <v>46307</v>
      </c>
      <c r="F3059" t="inlineStr">
        <is>
          <t>VÄRMLANDS LÄN</t>
        </is>
      </c>
      <c r="G3059" t="inlineStr">
        <is>
          <t>KIL</t>
        </is>
      </c>
      <c r="H3059" t="inlineStr">
        <is>
          <t>Kyrkan</t>
        </is>
      </c>
      <c r="I3059" t="n">
        <v>8.5</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11878-2024</t>
        </is>
      </c>
      <c r="B3060" t="inlineStr">
        <is>
          <t>avverkningsanmälan</t>
        </is>
      </c>
      <c r="C3060" t="inlineStr">
        <is>
          <t>Föryngringsavverkning</t>
        </is>
      </c>
      <c r="D3060" s="1" t="n">
        <v>45376</v>
      </c>
      <c r="E3060" s="1" t="n">
        <v>46307</v>
      </c>
      <c r="F3060" t="inlineStr">
        <is>
          <t>VÄRMLANDS LÄN</t>
        </is>
      </c>
      <c r="G3060" t="inlineStr">
        <is>
          <t>TORSBY</t>
        </is>
      </c>
      <c r="I3060" t="n">
        <v>0.8</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14275-2024</t>
        </is>
      </c>
      <c r="B3061" t="inlineStr">
        <is>
          <t>avverkningsanmälan</t>
        </is>
      </c>
      <c r="C3061" t="inlineStr">
        <is>
          <t>Föryngringsavverkning</t>
        </is>
      </c>
      <c r="D3061" s="1" t="n">
        <v>45393</v>
      </c>
      <c r="E3061" s="1" t="n">
        <v>46307</v>
      </c>
      <c r="F3061" t="inlineStr">
        <is>
          <t>VÄRMLANDS LÄN</t>
        </is>
      </c>
      <c r="G3061" t="inlineStr">
        <is>
          <t>FILIPSTAD</t>
        </is>
      </c>
      <c r="H3061" t="inlineStr">
        <is>
          <t>Bergvik skog väst AB</t>
        </is>
      </c>
      <c r="I3061" t="n">
        <v>4.6</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28327-2022</t>
        </is>
      </c>
      <c r="B3062" t="inlineStr">
        <is>
          <t>avverkningsanmälan</t>
        </is>
      </c>
      <c r="C3062" t="inlineStr">
        <is>
          <t>Föryngringsavverkning</t>
        </is>
      </c>
      <c r="D3062" s="1" t="n">
        <v>44747</v>
      </c>
      <c r="E3062" s="1" t="n">
        <v>46307</v>
      </c>
      <c r="F3062" t="inlineStr">
        <is>
          <t>VÄRMLANDS LÄN</t>
        </is>
      </c>
      <c r="G3062" t="inlineStr">
        <is>
          <t>FORSHAGA</t>
        </is>
      </c>
      <c r="I3062" t="n">
        <v>1.1</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5250-2023</t>
        </is>
      </c>
      <c r="B3063" t="inlineStr">
        <is>
          <t>avverkningsanmälan</t>
        </is>
      </c>
      <c r="C3063" t="inlineStr">
        <is>
          <t>Föryngringsavverkning</t>
        </is>
      </c>
      <c r="D3063" s="1" t="n">
        <v>44959</v>
      </c>
      <c r="E3063" s="1" t="n">
        <v>46307</v>
      </c>
      <c r="F3063" t="inlineStr">
        <is>
          <t>VÄRMLANDS LÄN</t>
        </is>
      </c>
      <c r="G3063" t="inlineStr">
        <is>
          <t>KRISTINEHAMN</t>
        </is>
      </c>
      <c r="I3063" t="n">
        <v>1.2</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35722-2024</t>
        </is>
      </c>
      <c r="B3064" t="inlineStr">
        <is>
          <t>avverkningsanmälan</t>
        </is>
      </c>
      <c r="C3064" t="inlineStr">
        <is>
          <t>Avverkning för annat ändamål</t>
        </is>
      </c>
      <c r="D3064" s="1" t="n">
        <v>45532</v>
      </c>
      <c r="E3064" s="1" t="n">
        <v>46307</v>
      </c>
      <c r="F3064" t="inlineStr">
        <is>
          <t>VÄRMLANDS LÄN</t>
        </is>
      </c>
      <c r="G3064" t="inlineStr">
        <is>
          <t>EDA</t>
        </is>
      </c>
      <c r="I3064" t="n">
        <v>0.2</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35762-2024</t>
        </is>
      </c>
      <c r="B3065" t="inlineStr">
        <is>
          <t>avverkningsanmälan</t>
        </is>
      </c>
      <c r="C3065" t="inlineStr">
        <is>
          <t>Föryngringsavverkning</t>
        </is>
      </c>
      <c r="D3065" s="1" t="n">
        <v>45532</v>
      </c>
      <c r="E3065" s="1" t="n">
        <v>46307</v>
      </c>
      <c r="F3065" t="inlineStr">
        <is>
          <t>VÄRMLANDS LÄN</t>
        </is>
      </c>
      <c r="G3065" t="inlineStr">
        <is>
          <t>TORSBY</t>
        </is>
      </c>
      <c r="I3065" t="n">
        <v>11.8</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23843-2024</t>
        </is>
      </c>
      <c r="B3066" t="inlineStr">
        <is>
          <t>avverkningsanmälan</t>
        </is>
      </c>
      <c r="C3066" t="inlineStr">
        <is>
          <t>Föryngringsavverkning</t>
        </is>
      </c>
      <c r="D3066" s="1" t="n">
        <v>45455</v>
      </c>
      <c r="E3066" s="1" t="n">
        <v>46307</v>
      </c>
      <c r="F3066" t="inlineStr">
        <is>
          <t>VÄRMLANDS LÄN</t>
        </is>
      </c>
      <c r="G3066" t="inlineStr">
        <is>
          <t>TORSBY</t>
        </is>
      </c>
      <c r="I3066" t="n">
        <v>1.2</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35799-2024</t>
        </is>
      </c>
      <c r="B3067" t="inlineStr">
        <is>
          <t>avverkningsanmälan</t>
        </is>
      </c>
      <c r="C3067" t="inlineStr">
        <is>
          <t>Föryngringsavverkning</t>
        </is>
      </c>
      <c r="D3067" s="1" t="n">
        <v>45532</v>
      </c>
      <c r="E3067" s="1" t="n">
        <v>46307</v>
      </c>
      <c r="F3067" t="inlineStr">
        <is>
          <t>VÄRMLANDS LÄN</t>
        </is>
      </c>
      <c r="G3067" t="inlineStr">
        <is>
          <t>ARVIKA</t>
        </is>
      </c>
      <c r="I3067" t="n">
        <v>1.3</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16896-2024</t>
        </is>
      </c>
      <c r="B3068" t="inlineStr">
        <is>
          <t>avverkningsanmälan</t>
        </is>
      </c>
      <c r="C3068" t="inlineStr">
        <is>
          <t>Föryngringsavverkning</t>
        </is>
      </c>
      <c r="D3068" s="1" t="n">
        <v>45411</v>
      </c>
      <c r="E3068" s="1" t="n">
        <v>46307</v>
      </c>
      <c r="F3068" t="inlineStr">
        <is>
          <t>VÄRMLANDS LÄN</t>
        </is>
      </c>
      <c r="G3068" t="inlineStr">
        <is>
          <t>SUNNE</t>
        </is>
      </c>
      <c r="H3068" t="inlineStr">
        <is>
          <t>Bergvik skog väst AB</t>
        </is>
      </c>
      <c r="I3068" t="n">
        <v>0.7</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9173-2023</t>
        </is>
      </c>
      <c r="B3069" t="inlineStr">
        <is>
          <t>avverkningsanmälan</t>
        </is>
      </c>
      <c r="C3069" t="inlineStr">
        <is>
          <t>Föryngringsavverkning</t>
        </is>
      </c>
      <c r="D3069" s="1" t="n">
        <v>44980</v>
      </c>
      <c r="E3069" s="1" t="n">
        <v>46307</v>
      </c>
      <c r="F3069" t="inlineStr">
        <is>
          <t>VÄRMLANDS LÄN</t>
        </is>
      </c>
      <c r="G3069" t="inlineStr">
        <is>
          <t>SUNNE</t>
        </is>
      </c>
      <c r="I3069" t="n">
        <v>0.7</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2905-2023</t>
        </is>
      </c>
      <c r="B3070" t="inlineStr">
        <is>
          <t>avverkningsanmälan</t>
        </is>
      </c>
      <c r="C3070" t="inlineStr">
        <is>
          <t>Föryngringsavverkning</t>
        </is>
      </c>
      <c r="D3070" s="1" t="n">
        <v>44943</v>
      </c>
      <c r="E3070" s="1" t="n">
        <v>46307</v>
      </c>
      <c r="F3070" t="inlineStr">
        <is>
          <t>VÄRMLANDS LÄN</t>
        </is>
      </c>
      <c r="G3070" t="inlineStr">
        <is>
          <t>EDA</t>
        </is>
      </c>
      <c r="I3070" t="n">
        <v>2.3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19246-2024</t>
        </is>
      </c>
      <c r="B3071" t="inlineStr">
        <is>
          <t>avverkningsanmälan</t>
        </is>
      </c>
      <c r="C3071" t="inlineStr">
        <is>
          <t>Föryngringsavverkning</t>
        </is>
      </c>
      <c r="D3071" s="1" t="n">
        <v>45428</v>
      </c>
      <c r="E3071" s="1" t="n">
        <v>46307</v>
      </c>
      <c r="F3071" t="inlineStr">
        <is>
          <t>VÄRMLANDS LÄN</t>
        </is>
      </c>
      <c r="G3071" t="inlineStr">
        <is>
          <t>ÅRJÄNG</t>
        </is>
      </c>
      <c r="H3071" t="inlineStr">
        <is>
          <t>Bergvik skog väst AB</t>
        </is>
      </c>
      <c r="I3071" t="n">
        <v>2.9</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62607-2022</t>
        </is>
      </c>
      <c r="B3072" t="inlineStr">
        <is>
          <t>avverkningsanmälan</t>
        </is>
      </c>
      <c r="C3072" t="inlineStr">
        <is>
          <t>Föryngringsavverkning</t>
        </is>
      </c>
      <c r="D3072" s="1" t="n">
        <v>44917</v>
      </c>
      <c r="E3072" s="1" t="n">
        <v>46307</v>
      </c>
      <c r="F3072" t="inlineStr">
        <is>
          <t>VÄRMLANDS LÄN</t>
        </is>
      </c>
      <c r="G3072" t="inlineStr">
        <is>
          <t>ARVIKA</t>
        </is>
      </c>
      <c r="I3072" t="n">
        <v>1.8</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62609-2022</t>
        </is>
      </c>
      <c r="B3073" t="inlineStr">
        <is>
          <t>avverkningsanmälan</t>
        </is>
      </c>
      <c r="C3073" t="inlineStr">
        <is>
          <t>Föryngringsavverkning</t>
        </is>
      </c>
      <c r="D3073" s="1" t="n">
        <v>44917</v>
      </c>
      <c r="E3073" s="1" t="n">
        <v>46307</v>
      </c>
      <c r="F3073" t="inlineStr">
        <is>
          <t>VÄRMLANDS LÄN</t>
        </is>
      </c>
      <c r="G3073" t="inlineStr">
        <is>
          <t>ARVIKA</t>
        </is>
      </c>
      <c r="I3073" t="n">
        <v>0.8</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62612-2022</t>
        </is>
      </c>
      <c r="B3074" t="inlineStr">
        <is>
          <t>avverkningsanmälan</t>
        </is>
      </c>
      <c r="C3074" t="inlineStr">
        <is>
          <t>Föryngringsavverkning</t>
        </is>
      </c>
      <c r="D3074" s="1" t="n">
        <v>44917</v>
      </c>
      <c r="E3074" s="1" t="n">
        <v>46307</v>
      </c>
      <c r="F3074" t="inlineStr">
        <is>
          <t>VÄRMLANDS LÄN</t>
        </is>
      </c>
      <c r="G3074" t="inlineStr">
        <is>
          <t>ARVIKA</t>
        </is>
      </c>
      <c r="I3074" t="n">
        <v>1.1</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39583-2025</t>
        </is>
      </c>
      <c r="B3075" t="inlineStr">
        <is>
          <t>avverkningsanmälan</t>
        </is>
      </c>
      <c r="C3075" t="inlineStr">
        <is>
          <t>Föryngringsavverkning</t>
        </is>
      </c>
      <c r="D3075" s="1" t="n">
        <v>45890</v>
      </c>
      <c r="E3075" s="1" t="n">
        <v>46307</v>
      </c>
      <c r="F3075" t="inlineStr">
        <is>
          <t>VÄRMLANDS LÄN</t>
        </is>
      </c>
      <c r="G3075" t="inlineStr">
        <is>
          <t>ARVIKA</t>
        </is>
      </c>
      <c r="I3075" t="n">
        <v>0.3</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39249-2025</t>
        </is>
      </c>
      <c r="B3076" t="inlineStr">
        <is>
          <t>avverkningsanmälan</t>
        </is>
      </c>
      <c r="C3076" t="inlineStr">
        <is>
          <t>Föryngringsavverkning</t>
        </is>
      </c>
      <c r="D3076" s="1" t="n">
        <v>45889</v>
      </c>
      <c r="E3076" s="1" t="n">
        <v>46307</v>
      </c>
      <c r="F3076" t="inlineStr">
        <is>
          <t>VÄRMLANDS LÄN</t>
        </is>
      </c>
      <c r="G3076" t="inlineStr">
        <is>
          <t>HAGFORS</t>
        </is>
      </c>
      <c r="H3076" t="inlineStr">
        <is>
          <t>Kyrkan</t>
        </is>
      </c>
      <c r="I3076" t="n">
        <v>3.5</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39258-2025</t>
        </is>
      </c>
      <c r="B3077" t="inlineStr">
        <is>
          <t>avverkningsanmälan</t>
        </is>
      </c>
      <c r="C3077" t="inlineStr">
        <is>
          <t>Föryngringsavverkning</t>
        </is>
      </c>
      <c r="D3077" s="1" t="n">
        <v>45889</v>
      </c>
      <c r="E3077" s="1" t="n">
        <v>46307</v>
      </c>
      <c r="F3077" t="inlineStr">
        <is>
          <t>VÄRMLANDS LÄN</t>
        </is>
      </c>
      <c r="G3077" t="inlineStr">
        <is>
          <t>TORSBY</t>
        </is>
      </c>
      <c r="H3077" t="inlineStr">
        <is>
          <t>Bergvik skog väst AB</t>
        </is>
      </c>
      <c r="I3077" t="n">
        <v>12.1</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1665-2023</t>
        </is>
      </c>
      <c r="B3078" t="inlineStr">
        <is>
          <t>avverkningsanmälan</t>
        </is>
      </c>
      <c r="C3078" t="inlineStr">
        <is>
          <t>Föryngringsavverkning</t>
        </is>
      </c>
      <c r="D3078" s="1" t="n">
        <v>44938</v>
      </c>
      <c r="E3078" s="1" t="n">
        <v>46307</v>
      </c>
      <c r="F3078" t="inlineStr">
        <is>
          <t>VÄRMLANDS LÄN</t>
        </is>
      </c>
      <c r="G3078" t="inlineStr">
        <is>
          <t>ÅRJÄNG</t>
        </is>
      </c>
      <c r="I3078" t="n">
        <v>5.1</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38158-2023</t>
        </is>
      </c>
      <c r="B3079" t="inlineStr">
        <is>
          <t>avverkningsanmälan</t>
        </is>
      </c>
      <c r="C3079" t="inlineStr">
        <is>
          <t>Föryngringsavverkning</t>
        </is>
      </c>
      <c r="D3079" s="1" t="n">
        <v>45161</v>
      </c>
      <c r="E3079" s="1" t="n">
        <v>46307</v>
      </c>
      <c r="F3079" t="inlineStr">
        <is>
          <t>VÄRMLANDS LÄN</t>
        </is>
      </c>
      <c r="G3079" t="inlineStr">
        <is>
          <t>ÅRJÄNG</t>
        </is>
      </c>
      <c r="I3079" t="n">
        <v>1.1</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6858-2022</t>
        </is>
      </c>
      <c r="B3080" t="inlineStr">
        <is>
          <t>avverkningsanmälan</t>
        </is>
      </c>
      <c r="C3080" t="inlineStr">
        <is>
          <t>Föryngringsavverkning</t>
        </is>
      </c>
      <c r="D3080" s="1" t="n">
        <v>44602</v>
      </c>
      <c r="E3080" s="1" t="n">
        <v>46307</v>
      </c>
      <c r="F3080" t="inlineStr">
        <is>
          <t>VÄRMLANDS LÄN</t>
        </is>
      </c>
      <c r="G3080" t="inlineStr">
        <is>
          <t>EDA</t>
        </is>
      </c>
      <c r="I3080" t="n">
        <v>0.9</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24638-2023</t>
        </is>
      </c>
      <c r="B3081" t="inlineStr">
        <is>
          <t>avverkningsanmälan</t>
        </is>
      </c>
      <c r="C3081" t="inlineStr">
        <is>
          <t>Föryngringsavverkning</t>
        </is>
      </c>
      <c r="D3081" s="1" t="n">
        <v>45084</v>
      </c>
      <c r="E3081" s="1" t="n">
        <v>46307</v>
      </c>
      <c r="F3081" t="inlineStr">
        <is>
          <t>VÄRMLANDS LÄN</t>
        </is>
      </c>
      <c r="G3081" t="inlineStr">
        <is>
          <t>HAGFORS</t>
        </is>
      </c>
      <c r="I3081" t="n">
        <v>1</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39336-2025</t>
        </is>
      </c>
      <c r="B3082" t="inlineStr">
        <is>
          <t>avverkningsanmälan</t>
        </is>
      </c>
      <c r="C3082" t="inlineStr">
        <is>
          <t>Föryngringsavverkning</t>
        </is>
      </c>
      <c r="D3082" s="1" t="n">
        <v>45889</v>
      </c>
      <c r="E3082" s="1" t="n">
        <v>46307</v>
      </c>
      <c r="F3082" t="inlineStr">
        <is>
          <t>VÄRMLANDS LÄN</t>
        </is>
      </c>
      <c r="G3082" t="inlineStr">
        <is>
          <t>SUNNE</t>
        </is>
      </c>
      <c r="I3082" t="n">
        <v>5.6</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39392-2025</t>
        </is>
      </c>
      <c r="B3083" t="inlineStr">
        <is>
          <t>avverkningsanmälan</t>
        </is>
      </c>
      <c r="C3083" t="inlineStr">
        <is>
          <t>Föryngringsavverkning</t>
        </is>
      </c>
      <c r="D3083" s="1" t="n">
        <v>45889</v>
      </c>
      <c r="E3083" s="1" t="n">
        <v>46307</v>
      </c>
      <c r="F3083" t="inlineStr">
        <is>
          <t>VÄRMLANDS LÄN</t>
        </is>
      </c>
      <c r="G3083" t="inlineStr">
        <is>
          <t>ARVIKA</t>
        </is>
      </c>
      <c r="I3083" t="n">
        <v>0.7</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10117-2023</t>
        </is>
      </c>
      <c r="B3084" t="inlineStr">
        <is>
          <t>avverkningsanmälan</t>
        </is>
      </c>
      <c r="C3084" t="inlineStr">
        <is>
          <t>Föryngringsavverkning</t>
        </is>
      </c>
      <c r="D3084" s="1" t="n">
        <v>44986</v>
      </c>
      <c r="E3084" s="1" t="n">
        <v>46307</v>
      </c>
      <c r="F3084" t="inlineStr">
        <is>
          <t>VÄRMLANDS LÄN</t>
        </is>
      </c>
      <c r="G3084" t="inlineStr">
        <is>
          <t>ÅRJÄNG</t>
        </is>
      </c>
      <c r="I3084" t="n">
        <v>0.7</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3724-2023</t>
        </is>
      </c>
      <c r="B3085" t="inlineStr">
        <is>
          <t>avverkningsanmälan</t>
        </is>
      </c>
      <c r="C3085" t="inlineStr">
        <is>
          <t>Föryngringsavverkning</t>
        </is>
      </c>
      <c r="D3085" s="1" t="n">
        <v>44951</v>
      </c>
      <c r="E3085" s="1" t="n">
        <v>46307</v>
      </c>
      <c r="F3085" t="inlineStr">
        <is>
          <t>VÄRMLANDS LÄN</t>
        </is>
      </c>
      <c r="G3085" t="inlineStr">
        <is>
          <t>HAGFORS</t>
        </is>
      </c>
      <c r="H3085" t="inlineStr">
        <is>
          <t>Kyrkan</t>
        </is>
      </c>
      <c r="I3085" t="n">
        <v>2.7</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9270-2023</t>
        </is>
      </c>
      <c r="B3086" t="inlineStr">
        <is>
          <t>avverkningsanmälan</t>
        </is>
      </c>
      <c r="C3086" t="inlineStr">
        <is>
          <t>Avverkning för annat ändamål</t>
        </is>
      </c>
      <c r="D3086" s="1" t="n">
        <v>44980</v>
      </c>
      <c r="E3086" s="1" t="n">
        <v>46307</v>
      </c>
      <c r="F3086" t="inlineStr">
        <is>
          <t>VÄRMLANDS LÄN</t>
        </is>
      </c>
      <c r="G3086" t="inlineStr">
        <is>
          <t>FILIPSTAD</t>
        </is>
      </c>
      <c r="H3086" t="inlineStr">
        <is>
          <t>Bergvik skog väst AB</t>
        </is>
      </c>
      <c r="I3086" t="n">
        <v>1.4</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29427-2024</t>
        </is>
      </c>
      <c r="B3087" t="inlineStr">
        <is>
          <t>avverkningsanmälan</t>
        </is>
      </c>
      <c r="C3087" t="inlineStr">
        <is>
          <t>Föryngringsavverkning</t>
        </is>
      </c>
      <c r="D3087" s="1" t="n">
        <v>45483</v>
      </c>
      <c r="E3087" s="1" t="n">
        <v>46307</v>
      </c>
      <c r="F3087" t="inlineStr">
        <is>
          <t>VÄRMLANDS LÄN</t>
        </is>
      </c>
      <c r="G3087" t="inlineStr">
        <is>
          <t>FORSHAGA</t>
        </is>
      </c>
      <c r="I3087" t="n">
        <v>3.7</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39503-2025</t>
        </is>
      </c>
      <c r="B3088" t="inlineStr">
        <is>
          <t>avverkningsanmälan</t>
        </is>
      </c>
      <c r="C3088" t="inlineStr">
        <is>
          <t>Föryngringsavverkning</t>
        </is>
      </c>
      <c r="D3088" s="1" t="n">
        <v>45890</v>
      </c>
      <c r="E3088" s="1" t="n">
        <v>46307</v>
      </c>
      <c r="F3088" t="inlineStr">
        <is>
          <t>VÄRMLANDS LÄN</t>
        </is>
      </c>
      <c r="G3088" t="inlineStr">
        <is>
          <t>SUNNE</t>
        </is>
      </c>
      <c r="H3088" t="inlineStr">
        <is>
          <t>Kyrkan</t>
        </is>
      </c>
      <c r="I3088" t="n">
        <v>3.1</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39652-2025</t>
        </is>
      </c>
      <c r="B3089" t="inlineStr">
        <is>
          <t>avverkningsanmälan</t>
        </is>
      </c>
      <c r="C3089" t="inlineStr">
        <is>
          <t>Föryngringsavverkning</t>
        </is>
      </c>
      <c r="D3089" s="1" t="n">
        <v>45890</v>
      </c>
      <c r="E3089" s="1" t="n">
        <v>46307</v>
      </c>
      <c r="F3089" t="inlineStr">
        <is>
          <t>VÄRMLANDS LÄN</t>
        </is>
      </c>
      <c r="G3089" t="inlineStr">
        <is>
          <t>TORSBY</t>
        </is>
      </c>
      <c r="I3089" t="n">
        <v>3.1</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39519-2025</t>
        </is>
      </c>
      <c r="B3090" t="inlineStr">
        <is>
          <t>avverkningsanmälan</t>
        </is>
      </c>
      <c r="C3090" t="inlineStr">
        <is>
          <t>Föryngringsavverkning</t>
        </is>
      </c>
      <c r="D3090" s="1" t="n">
        <v>45890</v>
      </c>
      <c r="E3090" s="1" t="n">
        <v>46307</v>
      </c>
      <c r="F3090" t="inlineStr">
        <is>
          <t>VÄRMLANDS LÄN</t>
        </is>
      </c>
      <c r="G3090" t="inlineStr">
        <is>
          <t>SUNNE</t>
        </is>
      </c>
      <c r="I3090" t="n">
        <v>11.2</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39540-2025</t>
        </is>
      </c>
      <c r="B3091" t="inlineStr">
        <is>
          <t>avverkningsanmälan</t>
        </is>
      </c>
      <c r="C3091" t="inlineStr">
        <is>
          <t>Föryngringsavverkning</t>
        </is>
      </c>
      <c r="D3091" s="1" t="n">
        <v>45890</v>
      </c>
      <c r="E3091" s="1" t="n">
        <v>46307</v>
      </c>
      <c r="F3091" t="inlineStr">
        <is>
          <t>VÄRMLANDS LÄN</t>
        </is>
      </c>
      <c r="G3091" t="inlineStr">
        <is>
          <t>SUNNE</t>
        </is>
      </c>
      <c r="I3091" t="n">
        <v>0.9</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39623-2025</t>
        </is>
      </c>
      <c r="B3092" t="inlineStr">
        <is>
          <t>avverkningsanmälan</t>
        </is>
      </c>
      <c r="C3092" t="inlineStr">
        <is>
          <t>Föryngringsavverkning</t>
        </is>
      </c>
      <c r="D3092" s="1" t="n">
        <v>45890</v>
      </c>
      <c r="E3092" s="1" t="n">
        <v>46307</v>
      </c>
      <c r="F3092" t="inlineStr">
        <is>
          <t>VÄRMLANDS LÄN</t>
        </is>
      </c>
      <c r="G3092" t="inlineStr">
        <is>
          <t>STORFORS</t>
        </is>
      </c>
      <c r="I3092" t="n">
        <v>0.6</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40232-2025</t>
        </is>
      </c>
      <c r="B3093" t="inlineStr">
        <is>
          <t>avverkningsanmälan</t>
        </is>
      </c>
      <c r="C3093" t="inlineStr">
        <is>
          <t>Föryngringsavverkning</t>
        </is>
      </c>
      <c r="D3093" s="1" t="n">
        <v>45894</v>
      </c>
      <c r="E3093" s="1" t="n">
        <v>46307</v>
      </c>
      <c r="F3093" t="inlineStr">
        <is>
          <t>VÄRMLANDS LÄN</t>
        </is>
      </c>
      <c r="G3093" t="inlineStr">
        <is>
          <t>ÅRJÄNG</t>
        </is>
      </c>
      <c r="H3093" t="inlineStr">
        <is>
          <t>Bergvik skog väst AB</t>
        </is>
      </c>
      <c r="I3093" t="n">
        <v>1</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40195-2025</t>
        </is>
      </c>
      <c r="B3094" t="inlineStr">
        <is>
          <t>avverkningsanmälan</t>
        </is>
      </c>
      <c r="C3094" t="inlineStr">
        <is>
          <t>Föryngringsavverkning</t>
        </is>
      </c>
      <c r="D3094" s="1" t="n">
        <v>45894</v>
      </c>
      <c r="E3094" s="1" t="n">
        <v>46307</v>
      </c>
      <c r="F3094" t="inlineStr">
        <is>
          <t>VÄRMLANDS LÄN</t>
        </is>
      </c>
      <c r="G3094" t="inlineStr">
        <is>
          <t>TORSBY</t>
        </is>
      </c>
      <c r="H3094" t="inlineStr">
        <is>
          <t>Bergvik skog väst AB</t>
        </is>
      </c>
      <c r="I3094" t="n">
        <v>3.7</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40051-2025</t>
        </is>
      </c>
      <c r="B3095" t="inlineStr">
        <is>
          <t>avverkningsanmälan</t>
        </is>
      </c>
      <c r="C3095" t="inlineStr">
        <is>
          <t>Föryngringsavverkning</t>
        </is>
      </c>
      <c r="D3095" s="1" t="n">
        <v>45894</v>
      </c>
      <c r="E3095" s="1" t="n">
        <v>46307</v>
      </c>
      <c r="F3095" t="inlineStr">
        <is>
          <t>VÄRMLANDS LÄN</t>
        </is>
      </c>
      <c r="G3095" t="inlineStr">
        <is>
          <t>TORSBY</t>
        </is>
      </c>
      <c r="I3095" t="n">
        <v>1</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39985-2025</t>
        </is>
      </c>
      <c r="B3096" t="inlineStr">
        <is>
          <t>avverkningsanmälan</t>
        </is>
      </c>
      <c r="C3096" t="inlineStr">
        <is>
          <t>Avverkning för annat ändamål</t>
        </is>
      </c>
      <c r="D3096" s="1" t="n">
        <v>45893</v>
      </c>
      <c r="E3096" s="1" t="n">
        <v>46307</v>
      </c>
      <c r="F3096" t="inlineStr">
        <is>
          <t>VÄRMLANDS LÄN</t>
        </is>
      </c>
      <c r="G3096" t="inlineStr">
        <is>
          <t>SÄFFLE</t>
        </is>
      </c>
      <c r="I3096" t="n">
        <v>5.4</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39983-2025</t>
        </is>
      </c>
      <c r="B3097" t="inlineStr">
        <is>
          <t>avverkningsanmälan</t>
        </is>
      </c>
      <c r="C3097" t="inlineStr">
        <is>
          <t>Föryngringsavverkning</t>
        </is>
      </c>
      <c r="D3097" s="1" t="n">
        <v>45893</v>
      </c>
      <c r="E3097" s="1" t="n">
        <v>46307</v>
      </c>
      <c r="F3097" t="inlineStr">
        <is>
          <t>VÄRMLANDS LÄN</t>
        </is>
      </c>
      <c r="G3097" t="inlineStr">
        <is>
          <t>SÄFFLE</t>
        </is>
      </c>
      <c r="I3097" t="n">
        <v>6.5</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39904-2025</t>
        </is>
      </c>
      <c r="B3098" t="inlineStr">
        <is>
          <t>avverkningsanmälan</t>
        </is>
      </c>
      <c r="C3098" t="inlineStr">
        <is>
          <t>Föryngringsavverkning</t>
        </is>
      </c>
      <c r="D3098" s="1" t="n">
        <v>45891</v>
      </c>
      <c r="E3098" s="1" t="n">
        <v>46307</v>
      </c>
      <c r="F3098" t="inlineStr">
        <is>
          <t>VÄRMLANDS LÄN</t>
        </is>
      </c>
      <c r="G3098" t="inlineStr">
        <is>
          <t>HAGFORS</t>
        </is>
      </c>
      <c r="I3098" t="n">
        <v>3.2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39984-2025</t>
        </is>
      </c>
      <c r="B3099" t="inlineStr">
        <is>
          <t>avverkningsanmälan</t>
        </is>
      </c>
      <c r="C3099" t="inlineStr">
        <is>
          <t>Avverkning för att bevara och utveckla /försöksver</t>
        </is>
      </c>
      <c r="D3099" s="1" t="n">
        <v>45893</v>
      </c>
      <c r="E3099" s="1" t="n">
        <v>46307</v>
      </c>
      <c r="F3099" t="inlineStr">
        <is>
          <t>VÄRMLANDS LÄN</t>
        </is>
      </c>
      <c r="G3099" t="inlineStr">
        <is>
          <t>SÄFFLE</t>
        </is>
      </c>
      <c r="I3099" t="n">
        <v>12.9</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39986-2025</t>
        </is>
      </c>
      <c r="B3100" t="inlineStr">
        <is>
          <t>avverkningsanmälan</t>
        </is>
      </c>
      <c r="C3100" t="inlineStr">
        <is>
          <t>Avverkning för annat ändamål</t>
        </is>
      </c>
      <c r="D3100" s="1" t="n">
        <v>45893</v>
      </c>
      <c r="E3100" s="1" t="n">
        <v>46307</v>
      </c>
      <c r="F3100" t="inlineStr">
        <is>
          <t>VÄRMLANDS LÄN</t>
        </is>
      </c>
      <c r="G3100" t="inlineStr">
        <is>
          <t>SÄFFLE</t>
        </is>
      </c>
      <c r="I3100" t="n">
        <v>1.4</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39735-2025</t>
        </is>
      </c>
      <c r="B3101" t="inlineStr">
        <is>
          <t>avverkningsanmälan</t>
        </is>
      </c>
      <c r="C3101" t="inlineStr">
        <is>
          <t>Föryngringsavverkning</t>
        </is>
      </c>
      <c r="D3101" s="1" t="n">
        <v>45891</v>
      </c>
      <c r="E3101" s="1" t="n">
        <v>46307</v>
      </c>
      <c r="F3101" t="inlineStr">
        <is>
          <t>VÄRMLANDS LÄN</t>
        </is>
      </c>
      <c r="G3101" t="inlineStr">
        <is>
          <t>EDA</t>
        </is>
      </c>
      <c r="H3101" t="inlineStr">
        <is>
          <t>Övriga Aktiebolag</t>
        </is>
      </c>
      <c r="I3101" t="n">
        <v>2.1</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40030-2025</t>
        </is>
      </c>
      <c r="B3102" t="inlineStr">
        <is>
          <t>avverkningsanmälan</t>
        </is>
      </c>
      <c r="C3102" t="inlineStr">
        <is>
          <t>Föryngringsavverkning</t>
        </is>
      </c>
      <c r="D3102" s="1" t="n">
        <v>45894</v>
      </c>
      <c r="E3102" s="1" t="n">
        <v>46307</v>
      </c>
      <c r="F3102" t="inlineStr">
        <is>
          <t>VÄRMLANDS LÄN</t>
        </is>
      </c>
      <c r="G3102" t="inlineStr">
        <is>
          <t>ARVIKA</t>
        </is>
      </c>
      <c r="I3102" t="n">
        <v>2</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40080-2025</t>
        </is>
      </c>
      <c r="B3103" t="inlineStr">
        <is>
          <t>avverkningsanmälan</t>
        </is>
      </c>
      <c r="C3103" t="inlineStr">
        <is>
          <t>Föryngringsavverkning</t>
        </is>
      </c>
      <c r="D3103" s="1" t="n">
        <v>45894</v>
      </c>
      <c r="E3103" s="1" t="n">
        <v>46307</v>
      </c>
      <c r="F3103" t="inlineStr">
        <is>
          <t>VÄRMLANDS LÄN</t>
        </is>
      </c>
      <c r="G3103" t="inlineStr">
        <is>
          <t>FORSHAGA</t>
        </is>
      </c>
      <c r="I3103" t="n">
        <v>3</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39748-2025</t>
        </is>
      </c>
      <c r="B3104" t="inlineStr">
        <is>
          <t>avverkningsanmälan</t>
        </is>
      </c>
      <c r="C3104" t="inlineStr">
        <is>
          <t>Föryngringsavverkning</t>
        </is>
      </c>
      <c r="D3104" s="1" t="n">
        <v>45891</v>
      </c>
      <c r="E3104" s="1" t="n">
        <v>46307</v>
      </c>
      <c r="F3104" t="inlineStr">
        <is>
          <t>VÄRMLANDS LÄN</t>
        </is>
      </c>
      <c r="G3104" t="inlineStr">
        <is>
          <t>FORSHAGA</t>
        </is>
      </c>
      <c r="H3104" t="inlineStr">
        <is>
          <t>Kyrkan</t>
        </is>
      </c>
      <c r="I3104" t="n">
        <v>1.9</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37822-2024</t>
        </is>
      </c>
      <c r="B3105" t="inlineStr">
        <is>
          <t>avverkningsanmälan</t>
        </is>
      </c>
      <c r="C3105" t="inlineStr">
        <is>
          <t>Föryngringsavverkning</t>
        </is>
      </c>
      <c r="D3105" s="1" t="n">
        <v>45544</v>
      </c>
      <c r="E3105" s="1" t="n">
        <v>46307</v>
      </c>
      <c r="F3105" t="inlineStr">
        <is>
          <t>VÄRMLANDS LÄN</t>
        </is>
      </c>
      <c r="G3105" t="inlineStr">
        <is>
          <t>EDA</t>
        </is>
      </c>
      <c r="I3105" t="n">
        <v>0.8</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28733-2024</t>
        </is>
      </c>
      <c r="B3106" t="inlineStr">
        <is>
          <t>avverkningsanmälan</t>
        </is>
      </c>
      <c r="C3106" t="inlineStr">
        <is>
          <t>Föryngringsavverkning</t>
        </is>
      </c>
      <c r="D3106" s="1" t="n">
        <v>45478</v>
      </c>
      <c r="E3106" s="1" t="n">
        <v>46307</v>
      </c>
      <c r="F3106" t="inlineStr">
        <is>
          <t>VÄRMLANDS LÄN</t>
        </is>
      </c>
      <c r="G3106" t="inlineStr">
        <is>
          <t>ÅRJÄNG</t>
        </is>
      </c>
      <c r="H3106" t="inlineStr">
        <is>
          <t>Bergvik skog väst AB</t>
        </is>
      </c>
      <c r="I3106" t="n">
        <v>1.8</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40413-2025</t>
        </is>
      </c>
      <c r="B3107" t="inlineStr">
        <is>
          <t>avverkningsanmälan</t>
        </is>
      </c>
      <c r="C3107" t="inlineStr">
        <is>
          <t>Föryngringsavverkning</t>
        </is>
      </c>
      <c r="D3107" s="1" t="n">
        <v>45895</v>
      </c>
      <c r="E3107" s="1" t="n">
        <v>46307</v>
      </c>
      <c r="F3107" t="inlineStr">
        <is>
          <t>VÄRMLANDS LÄN</t>
        </is>
      </c>
      <c r="G3107" t="inlineStr">
        <is>
          <t>ARVIKA</t>
        </is>
      </c>
      <c r="H3107" t="inlineStr">
        <is>
          <t>Bergvik skog väst AB</t>
        </is>
      </c>
      <c r="I3107" t="n">
        <v>0.3</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29188-2025</t>
        </is>
      </c>
      <c r="B3108" t="inlineStr">
        <is>
          <t>avverkningsanmälan</t>
        </is>
      </c>
      <c r="C3108" t="inlineStr">
        <is>
          <t>Föryngringsavverkning</t>
        </is>
      </c>
      <c r="D3108" s="1" t="n">
        <v>45821</v>
      </c>
      <c r="E3108" s="1" t="n">
        <v>46307</v>
      </c>
      <c r="F3108" t="inlineStr">
        <is>
          <t>VÄRMLANDS LÄN</t>
        </is>
      </c>
      <c r="G3108" t="inlineStr">
        <is>
          <t>FORSHAGA</t>
        </is>
      </c>
      <c r="I3108" t="n">
        <v>0.3</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40300-2025</t>
        </is>
      </c>
      <c r="B3109" t="inlineStr">
        <is>
          <t>avverkningsanmälan</t>
        </is>
      </c>
      <c r="C3109" t="inlineStr">
        <is>
          <t>Föryngringsavverkning</t>
        </is>
      </c>
      <c r="D3109" s="1" t="n">
        <v>45895</v>
      </c>
      <c r="E3109" s="1" t="n">
        <v>46307</v>
      </c>
      <c r="F3109" t="inlineStr">
        <is>
          <t>VÄRMLANDS LÄN</t>
        </is>
      </c>
      <c r="G3109" t="inlineStr">
        <is>
          <t>HAGFORS</t>
        </is>
      </c>
      <c r="H3109" t="inlineStr">
        <is>
          <t>Bergvik skog väst AB</t>
        </is>
      </c>
      <c r="I3109" t="n">
        <v>6.2</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40449-2025</t>
        </is>
      </c>
      <c r="B3110" t="inlineStr">
        <is>
          <t>avverkningsanmälan</t>
        </is>
      </c>
      <c r="C3110" t="inlineStr">
        <is>
          <t>Föryngringsavverkning</t>
        </is>
      </c>
      <c r="D3110" s="1" t="n">
        <v>45895</v>
      </c>
      <c r="E3110" s="1" t="n">
        <v>46307</v>
      </c>
      <c r="F3110" t="inlineStr">
        <is>
          <t>VÄRMLANDS LÄN</t>
        </is>
      </c>
      <c r="G3110" t="inlineStr">
        <is>
          <t>ÅRJÄNG</t>
        </is>
      </c>
      <c r="I3110" t="n">
        <v>2.5</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40519-2025</t>
        </is>
      </c>
      <c r="B3111" t="inlineStr">
        <is>
          <t>avverkningsanmälan</t>
        </is>
      </c>
      <c r="C3111" t="inlineStr">
        <is>
          <t>Föryngringsavverkning</t>
        </is>
      </c>
      <c r="D3111" s="1" t="n">
        <v>45896</v>
      </c>
      <c r="E3111" s="1" t="n">
        <v>46307</v>
      </c>
      <c r="F3111" t="inlineStr">
        <is>
          <t>VÄRMLANDS LÄN</t>
        </is>
      </c>
      <c r="G3111" t="inlineStr">
        <is>
          <t>TORSBY</t>
        </is>
      </c>
      <c r="H3111" t="inlineStr">
        <is>
          <t>Bergvik skog väst AB</t>
        </is>
      </c>
      <c r="I3111" t="n">
        <v>0.4</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40569-2025</t>
        </is>
      </c>
      <c r="B3112" t="inlineStr">
        <is>
          <t>avverkningsanmälan</t>
        </is>
      </c>
      <c r="C3112" t="inlineStr">
        <is>
          <t>Föryngringsavverkning</t>
        </is>
      </c>
      <c r="D3112" s="1" t="n">
        <v>45896</v>
      </c>
      <c r="E3112" s="1" t="n">
        <v>46307</v>
      </c>
      <c r="F3112" t="inlineStr">
        <is>
          <t>VÄRMLANDS LÄN</t>
        </is>
      </c>
      <c r="G3112" t="inlineStr">
        <is>
          <t>SUNNE</t>
        </is>
      </c>
      <c r="H3112" t="inlineStr">
        <is>
          <t>Bergvik skog väst AB</t>
        </is>
      </c>
      <c r="I3112" t="n">
        <v>2.9</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40602-2025</t>
        </is>
      </c>
      <c r="B3113" t="inlineStr">
        <is>
          <t>avverkningsanmälan</t>
        </is>
      </c>
      <c r="C3113" t="inlineStr">
        <is>
          <t>Föryngringsavverkning</t>
        </is>
      </c>
      <c r="D3113" s="1" t="n">
        <v>45896</v>
      </c>
      <c r="E3113" s="1" t="n">
        <v>46307</v>
      </c>
      <c r="F3113" t="inlineStr">
        <is>
          <t>VÄRMLANDS LÄN</t>
        </is>
      </c>
      <c r="G3113" t="inlineStr">
        <is>
          <t>ÅRJÄNG</t>
        </is>
      </c>
      <c r="I3113" t="n">
        <v>1.8</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30853-2025</t>
        </is>
      </c>
      <c r="B3114" t="inlineStr">
        <is>
          <t>avverkningsanmälan</t>
        </is>
      </c>
      <c r="C3114" t="inlineStr">
        <is>
          <t>Föryngringsavverkning</t>
        </is>
      </c>
      <c r="D3114" s="1" t="n">
        <v>45831</v>
      </c>
      <c r="E3114" s="1" t="n">
        <v>46307</v>
      </c>
      <c r="F3114" t="inlineStr">
        <is>
          <t>VÄRMLANDS LÄN</t>
        </is>
      </c>
      <c r="G3114" t="inlineStr">
        <is>
          <t>FORSHAGA</t>
        </is>
      </c>
      <c r="I3114" t="n">
        <v>0.5</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40319-2025</t>
        </is>
      </c>
      <c r="B3115" t="inlineStr">
        <is>
          <t>avverkningsanmälan</t>
        </is>
      </c>
      <c r="C3115" t="inlineStr">
        <is>
          <t>Föryngringsavverkning</t>
        </is>
      </c>
      <c r="D3115" s="1" t="n">
        <v>45895</v>
      </c>
      <c r="E3115" s="1" t="n">
        <v>46307</v>
      </c>
      <c r="F3115" t="inlineStr">
        <is>
          <t>VÄRMLANDS LÄN</t>
        </is>
      </c>
      <c r="G3115" t="inlineStr">
        <is>
          <t>SÄFFLE</t>
        </is>
      </c>
      <c r="I3115" t="n">
        <v>4.5</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40533-2025</t>
        </is>
      </c>
      <c r="B3116" t="inlineStr">
        <is>
          <t>avverkningsanmälan</t>
        </is>
      </c>
      <c r="C3116" t="inlineStr">
        <is>
          <t>Föryngringsavverkning</t>
        </is>
      </c>
      <c r="D3116" s="1" t="n">
        <v>45896</v>
      </c>
      <c r="E3116" s="1" t="n">
        <v>46307</v>
      </c>
      <c r="F3116" t="inlineStr">
        <is>
          <t>VÄRMLANDS LÄN</t>
        </is>
      </c>
      <c r="G3116" t="inlineStr">
        <is>
          <t>ARVIKA</t>
        </is>
      </c>
      <c r="I3116" t="n">
        <v>4.8</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18096-2025</t>
        </is>
      </c>
      <c r="B3117" t="inlineStr">
        <is>
          <t>avverkningsanmälan</t>
        </is>
      </c>
      <c r="C3117" t="inlineStr">
        <is>
          <t>Föryngringsavverkning</t>
        </is>
      </c>
      <c r="D3117" s="1" t="n">
        <v>45761</v>
      </c>
      <c r="E3117" s="1" t="n">
        <v>46307</v>
      </c>
      <c r="F3117" t="inlineStr">
        <is>
          <t>VÄRMLANDS LÄN</t>
        </is>
      </c>
      <c r="G3117" t="inlineStr">
        <is>
          <t>TORSBY</t>
        </is>
      </c>
      <c r="I3117" t="n">
        <v>3.6</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41293-2025</t>
        </is>
      </c>
      <c r="B3118" t="inlineStr">
        <is>
          <t>avverkningsanmälan</t>
        </is>
      </c>
      <c r="C3118" t="inlineStr">
        <is>
          <t>Föryngringsavverkning</t>
        </is>
      </c>
      <c r="D3118" s="1" t="n">
        <v>45898</v>
      </c>
      <c r="E3118" s="1" t="n">
        <v>46307</v>
      </c>
      <c r="F3118" t="inlineStr">
        <is>
          <t>VÄRMLANDS LÄN</t>
        </is>
      </c>
      <c r="G3118" t="inlineStr">
        <is>
          <t>TORSBY</t>
        </is>
      </c>
      <c r="I3118" t="n">
        <v>0.7</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40729-2025</t>
        </is>
      </c>
      <c r="B3119" t="inlineStr">
        <is>
          <t>avverkningsanmälan</t>
        </is>
      </c>
      <c r="C3119" t="inlineStr">
        <is>
          <t>Föryngringsavverkning</t>
        </is>
      </c>
      <c r="D3119" s="1" t="n">
        <v>45897</v>
      </c>
      <c r="E3119" s="1" t="n">
        <v>46307</v>
      </c>
      <c r="F3119" t="inlineStr">
        <is>
          <t>VÄRMLANDS LÄN</t>
        </is>
      </c>
      <c r="G3119" t="inlineStr">
        <is>
          <t>TORSBY</t>
        </is>
      </c>
      <c r="H3119" t="inlineStr">
        <is>
          <t>Bergvik skog väst AB</t>
        </is>
      </c>
      <c r="I3119" t="n">
        <v>25.4</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17772-2024</t>
        </is>
      </c>
      <c r="B3120" t="inlineStr">
        <is>
          <t>avverkningsanmälan</t>
        </is>
      </c>
      <c r="C3120" t="inlineStr">
        <is>
          <t>Föryngringsavverkning</t>
        </is>
      </c>
      <c r="D3120" s="1" t="n">
        <v>45418</v>
      </c>
      <c r="E3120" s="1" t="n">
        <v>46307</v>
      </c>
      <c r="F3120" t="inlineStr">
        <is>
          <t>VÄRMLANDS LÄN</t>
        </is>
      </c>
      <c r="G3120" t="inlineStr">
        <is>
          <t>SÄFFLE</t>
        </is>
      </c>
      <c r="I3120" t="n">
        <v>1.1</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3079-2024</t>
        </is>
      </c>
      <c r="B3121" t="inlineStr">
        <is>
          <t>avverkningsanmälan</t>
        </is>
      </c>
      <c r="C3121" t="inlineStr">
        <is>
          <t>Föryngringsavverkning</t>
        </is>
      </c>
      <c r="D3121" s="1" t="n">
        <v>45316</v>
      </c>
      <c r="E3121" s="1" t="n">
        <v>46307</v>
      </c>
      <c r="F3121" t="inlineStr">
        <is>
          <t>VÄRMLANDS LÄN</t>
        </is>
      </c>
      <c r="G3121" t="inlineStr">
        <is>
          <t>SUNNE</t>
        </is>
      </c>
      <c r="H3121" t="inlineStr">
        <is>
          <t>Kommuner</t>
        </is>
      </c>
      <c r="I3121" t="n">
        <v>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28235-2024</t>
        </is>
      </c>
      <c r="B3122" t="inlineStr">
        <is>
          <t>avverkningsanmälan</t>
        </is>
      </c>
      <c r="C3122" t="inlineStr">
        <is>
          <t>Föryngringsavverkning</t>
        </is>
      </c>
      <c r="D3122" s="1" t="n">
        <v>45477</v>
      </c>
      <c r="E3122" s="1" t="n">
        <v>46307</v>
      </c>
      <c r="F3122" t="inlineStr">
        <is>
          <t>VÄRMLANDS LÄN</t>
        </is>
      </c>
      <c r="G3122" t="inlineStr">
        <is>
          <t>SUNNE</t>
        </is>
      </c>
      <c r="H3122" t="inlineStr">
        <is>
          <t>Bergvik skog väst AB</t>
        </is>
      </c>
      <c r="I3122" t="n">
        <v>1.8</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41229-2025</t>
        </is>
      </c>
      <c r="B3123" t="inlineStr">
        <is>
          <t>avverkningsanmälan</t>
        </is>
      </c>
      <c r="C3123" t="inlineStr">
        <is>
          <t>Föryngringsavverkning</t>
        </is>
      </c>
      <c r="D3123" s="1" t="n">
        <v>45898</v>
      </c>
      <c r="E3123" s="1" t="n">
        <v>46307</v>
      </c>
      <c r="F3123" t="inlineStr">
        <is>
          <t>VÄRMLANDS LÄN</t>
        </is>
      </c>
      <c r="G3123" t="inlineStr">
        <is>
          <t>ÅRJÄNG</t>
        </is>
      </c>
      <c r="I3123" t="n">
        <v>2.6</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12291-2025</t>
        </is>
      </c>
      <c r="B3124" t="inlineStr">
        <is>
          <t>avverkningsanmälan</t>
        </is>
      </c>
      <c r="C3124" t="inlineStr">
        <is>
          <t>Föryngringsavverkning</t>
        </is>
      </c>
      <c r="D3124" s="1" t="n">
        <v>45729</v>
      </c>
      <c r="E3124" s="1" t="n">
        <v>46307</v>
      </c>
      <c r="F3124" t="inlineStr">
        <is>
          <t>VÄRMLANDS LÄN</t>
        </is>
      </c>
      <c r="G3124" t="inlineStr">
        <is>
          <t>HAGFORS</t>
        </is>
      </c>
      <c r="H3124" t="inlineStr">
        <is>
          <t>Bergvik skog väst AB</t>
        </is>
      </c>
      <c r="I3124" t="n">
        <v>2.1</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41209-2025</t>
        </is>
      </c>
      <c r="B3125" t="inlineStr">
        <is>
          <t>avverkningsanmälan</t>
        </is>
      </c>
      <c r="C3125" t="inlineStr">
        <is>
          <t>Föryngringsavverkning</t>
        </is>
      </c>
      <c r="D3125" s="1" t="n">
        <v>45898</v>
      </c>
      <c r="E3125" s="1" t="n">
        <v>46307</v>
      </c>
      <c r="F3125" t="inlineStr">
        <is>
          <t>VÄRMLANDS LÄN</t>
        </is>
      </c>
      <c r="G3125" t="inlineStr">
        <is>
          <t>TORSBY</t>
        </is>
      </c>
      <c r="H3125" t="inlineStr">
        <is>
          <t>Övriga Aktiebolag</t>
        </is>
      </c>
      <c r="I3125" t="n">
        <v>2.5</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40692-2025</t>
        </is>
      </c>
      <c r="B3126" t="inlineStr">
        <is>
          <t>avverkningsanmälan</t>
        </is>
      </c>
      <c r="C3126" t="inlineStr">
        <is>
          <t>Föryngringsavverkning</t>
        </is>
      </c>
      <c r="D3126" s="1" t="n">
        <v>45897</v>
      </c>
      <c r="E3126" s="1" t="n">
        <v>46307</v>
      </c>
      <c r="F3126" t="inlineStr">
        <is>
          <t>VÄRMLANDS LÄN</t>
        </is>
      </c>
      <c r="G3126" t="inlineStr">
        <is>
          <t>EDA</t>
        </is>
      </c>
      <c r="I3126" t="n">
        <v>4.6</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40699-2025</t>
        </is>
      </c>
      <c r="B3127" t="inlineStr">
        <is>
          <t>avverkningsanmälan</t>
        </is>
      </c>
      <c r="C3127" t="inlineStr">
        <is>
          <t>Föryngringsavverkning</t>
        </is>
      </c>
      <c r="D3127" s="1" t="n">
        <v>45897</v>
      </c>
      <c r="E3127" s="1" t="n">
        <v>46307</v>
      </c>
      <c r="F3127" t="inlineStr">
        <is>
          <t>VÄRMLANDS LÄN</t>
        </is>
      </c>
      <c r="G3127" t="inlineStr">
        <is>
          <t>ÅRJÄNG</t>
        </is>
      </c>
      <c r="H3127" t="inlineStr">
        <is>
          <t>Bergvik skog väst AB</t>
        </is>
      </c>
      <c r="I3127" t="n">
        <v>1.3</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41168-2025</t>
        </is>
      </c>
      <c r="B3128" t="inlineStr">
        <is>
          <t>avverkningsanmälan</t>
        </is>
      </c>
      <c r="C3128" t="inlineStr">
        <is>
          <t>Föryngringsavverkning</t>
        </is>
      </c>
      <c r="D3128" s="1" t="n">
        <v>45898</v>
      </c>
      <c r="E3128" s="1" t="n">
        <v>46307</v>
      </c>
      <c r="F3128" t="inlineStr">
        <is>
          <t>VÄRMLANDS LÄN</t>
        </is>
      </c>
      <c r="G3128" t="inlineStr">
        <is>
          <t>TORSBY</t>
        </is>
      </c>
      <c r="H3128" t="inlineStr">
        <is>
          <t>Övriga Aktiebolag</t>
        </is>
      </c>
      <c r="I3128" t="n">
        <v>5</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41155-2025</t>
        </is>
      </c>
      <c r="B3129" t="inlineStr">
        <is>
          <t>avverkningsanmälan</t>
        </is>
      </c>
      <c r="C3129" t="inlineStr">
        <is>
          <t>Föryngringsavverkning</t>
        </is>
      </c>
      <c r="D3129" s="1" t="n">
        <v>45898</v>
      </c>
      <c r="E3129" s="1" t="n">
        <v>46307</v>
      </c>
      <c r="F3129" t="inlineStr">
        <is>
          <t>VÄRMLANDS LÄN</t>
        </is>
      </c>
      <c r="G3129" t="inlineStr">
        <is>
          <t>HAGFORS</t>
        </is>
      </c>
      <c r="I3129" t="n">
        <v>0.5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41137-2025</t>
        </is>
      </c>
      <c r="B3130" t="inlineStr">
        <is>
          <t>avverkningsanmälan</t>
        </is>
      </c>
      <c r="C3130" t="inlineStr">
        <is>
          <t>Föryngringsavverkning</t>
        </is>
      </c>
      <c r="D3130" s="1" t="n">
        <v>45898</v>
      </c>
      <c r="E3130" s="1" t="n">
        <v>46307</v>
      </c>
      <c r="F3130" t="inlineStr">
        <is>
          <t>VÄRMLANDS LÄN</t>
        </is>
      </c>
      <c r="G3130" t="inlineStr">
        <is>
          <t>TORSBY</t>
        </is>
      </c>
      <c r="H3130" t="inlineStr">
        <is>
          <t>Övriga Aktiebolag</t>
        </is>
      </c>
      <c r="I3130" t="n">
        <v>3.3</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13990-2025</t>
        </is>
      </c>
      <c r="B3131" t="inlineStr">
        <is>
          <t>avverkningsanmälan</t>
        </is>
      </c>
      <c r="C3131" t="inlineStr">
        <is>
          <t>Föryngringsavverkning</t>
        </is>
      </c>
      <c r="D3131" s="1" t="n">
        <v>45739</v>
      </c>
      <c r="E3131" s="1" t="n">
        <v>46307</v>
      </c>
      <c r="F3131" t="inlineStr">
        <is>
          <t>VÄRMLANDS LÄN</t>
        </is>
      </c>
      <c r="G3131" t="inlineStr">
        <is>
          <t>HAGFORS</t>
        </is>
      </c>
      <c r="H3131" t="inlineStr">
        <is>
          <t>Bergvik skog väst AB</t>
        </is>
      </c>
      <c r="I3131" t="n">
        <v>4.9</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27484-2025</t>
        </is>
      </c>
      <c r="B3132" t="inlineStr">
        <is>
          <t>avverkningsanmälan</t>
        </is>
      </c>
      <c r="C3132" t="inlineStr">
        <is>
          <t>Föryngringsavverkning</t>
        </is>
      </c>
      <c r="D3132" s="1" t="n">
        <v>45813</v>
      </c>
      <c r="E3132" s="1" t="n">
        <v>46307</v>
      </c>
      <c r="F3132" t="inlineStr">
        <is>
          <t>VÄRMLANDS LÄN</t>
        </is>
      </c>
      <c r="G3132" t="inlineStr">
        <is>
          <t>SUNNE</t>
        </is>
      </c>
      <c r="I3132" t="n">
        <v>1.3</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41153-2025</t>
        </is>
      </c>
      <c r="B3133" t="inlineStr">
        <is>
          <t>avverkningsanmälan</t>
        </is>
      </c>
      <c r="C3133" t="inlineStr">
        <is>
          <t>Föryngringsavverkning</t>
        </is>
      </c>
      <c r="D3133" s="1" t="n">
        <v>45898</v>
      </c>
      <c r="E3133" s="1" t="n">
        <v>46307</v>
      </c>
      <c r="F3133" t="inlineStr">
        <is>
          <t>VÄRMLANDS LÄN</t>
        </is>
      </c>
      <c r="G3133" t="inlineStr">
        <is>
          <t>HAGFORS</t>
        </is>
      </c>
      <c r="I3133" t="n">
        <v>3.9</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41154-2025</t>
        </is>
      </c>
      <c r="B3134" t="inlineStr">
        <is>
          <t>avverkningsanmälan</t>
        </is>
      </c>
      <c r="C3134" t="inlineStr">
        <is>
          <t>Föryngringsavverkning</t>
        </is>
      </c>
      <c r="D3134" s="1" t="n">
        <v>45898</v>
      </c>
      <c r="E3134" s="1" t="n">
        <v>46307</v>
      </c>
      <c r="F3134" t="inlineStr">
        <is>
          <t>VÄRMLANDS LÄN</t>
        </is>
      </c>
      <c r="G3134" t="inlineStr">
        <is>
          <t>HAGFORS</t>
        </is>
      </c>
      <c r="I3134" t="n">
        <v>3.4</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35806-2025</t>
        </is>
      </c>
      <c r="B3135" t="inlineStr">
        <is>
          <t>avverkningsanmälan</t>
        </is>
      </c>
      <c r="C3135" t="inlineStr">
        <is>
          <t>Avverkning för annat ändamål</t>
        </is>
      </c>
      <c r="D3135" s="1" t="n">
        <v>45861</v>
      </c>
      <c r="E3135" s="1" t="n">
        <v>46307</v>
      </c>
      <c r="F3135" t="inlineStr">
        <is>
          <t>VÄRMLANDS LÄN</t>
        </is>
      </c>
      <c r="G3135" t="inlineStr">
        <is>
          <t>ARVIKA</t>
        </is>
      </c>
      <c r="H3135" t="inlineStr">
        <is>
          <t>Övriga Aktiebolag</t>
        </is>
      </c>
      <c r="I3135" t="n">
        <v>2.5</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40694-2025</t>
        </is>
      </c>
      <c r="B3136" t="inlineStr">
        <is>
          <t>avverkningsanmälan</t>
        </is>
      </c>
      <c r="C3136" t="inlineStr">
        <is>
          <t>Föryngringsavverkning</t>
        </is>
      </c>
      <c r="D3136" s="1" t="n">
        <v>45897</v>
      </c>
      <c r="E3136" s="1" t="n">
        <v>46307</v>
      </c>
      <c r="F3136" t="inlineStr">
        <is>
          <t>VÄRMLANDS LÄN</t>
        </is>
      </c>
      <c r="G3136" t="inlineStr">
        <is>
          <t>ARVIKA</t>
        </is>
      </c>
      <c r="H3136" t="inlineStr">
        <is>
          <t>Bergvik skog väst AB</t>
        </is>
      </c>
      <c r="I3136" t="n">
        <v>0.3</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40880-2025</t>
        </is>
      </c>
      <c r="B3137" t="inlineStr">
        <is>
          <t>avverkningsanmälan</t>
        </is>
      </c>
      <c r="C3137" t="inlineStr">
        <is>
          <t>Föryngringsavverkning</t>
        </is>
      </c>
      <c r="D3137" s="1" t="n">
        <v>45897</v>
      </c>
      <c r="E3137" s="1" t="n">
        <v>46307</v>
      </c>
      <c r="F3137" t="inlineStr">
        <is>
          <t>VÄRMLANDS LÄN</t>
        </is>
      </c>
      <c r="G3137" t="inlineStr">
        <is>
          <t>EDA</t>
        </is>
      </c>
      <c r="H3137" t="inlineStr">
        <is>
          <t>Bergvik skog väst AB</t>
        </is>
      </c>
      <c r="I3137" t="n">
        <v>4.7</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41125-2025</t>
        </is>
      </c>
      <c r="B3138" t="inlineStr">
        <is>
          <t>avverkningsanmälan</t>
        </is>
      </c>
      <c r="C3138" t="inlineStr">
        <is>
          <t>Föryngringsavverkning</t>
        </is>
      </c>
      <c r="D3138" s="1" t="n">
        <v>45898</v>
      </c>
      <c r="E3138" s="1" t="n">
        <v>46307</v>
      </c>
      <c r="F3138" t="inlineStr">
        <is>
          <t>VÄRMLANDS LÄN</t>
        </is>
      </c>
      <c r="G3138" t="inlineStr">
        <is>
          <t>SÄFFLE</t>
        </is>
      </c>
      <c r="I3138" t="n">
        <v>2.8</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22926-2023</t>
        </is>
      </c>
      <c r="B3139" t="inlineStr">
        <is>
          <t>avverkningsanmälan</t>
        </is>
      </c>
      <c r="C3139" t="inlineStr">
        <is>
          <t>Föryngringsavverkning</t>
        </is>
      </c>
      <c r="D3139" s="1" t="n">
        <v>45072</v>
      </c>
      <c r="E3139" s="1" t="n">
        <v>46307</v>
      </c>
      <c r="F3139" t="inlineStr">
        <is>
          <t>VÄRMLANDS LÄN</t>
        </is>
      </c>
      <c r="G3139" t="inlineStr">
        <is>
          <t>ARVIKA</t>
        </is>
      </c>
      <c r="H3139" t="inlineStr">
        <is>
          <t>Bergvik skog väst AB</t>
        </is>
      </c>
      <c r="I3139" t="n">
        <v>1.3</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58727-2021</t>
        </is>
      </c>
      <c r="B3140" t="inlineStr">
        <is>
          <t>avverkningsanmälan</t>
        </is>
      </c>
      <c r="C3140" t="inlineStr">
        <is>
          <t>Föryngringsavverkning</t>
        </is>
      </c>
      <c r="D3140" s="1" t="n">
        <v>44489</v>
      </c>
      <c r="E3140" s="1" t="n">
        <v>46307</v>
      </c>
      <c r="F3140" t="inlineStr">
        <is>
          <t>VÄRMLANDS LÄN</t>
        </is>
      </c>
      <c r="G3140" t="inlineStr">
        <is>
          <t>TORSBY</t>
        </is>
      </c>
      <c r="I3140" t="n">
        <v>2.6</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15579-2025</t>
        </is>
      </c>
      <c r="B3141" t="inlineStr">
        <is>
          <t>avverkningsanmälan</t>
        </is>
      </c>
      <c r="C3141" t="inlineStr">
        <is>
          <t>Föryngringsavverkning</t>
        </is>
      </c>
      <c r="D3141" s="1" t="n">
        <v>45747</v>
      </c>
      <c r="E3141" s="1" t="n">
        <v>46307</v>
      </c>
      <c r="F3141" t="inlineStr">
        <is>
          <t>VÄRMLANDS LÄN</t>
        </is>
      </c>
      <c r="G3141" t="inlineStr">
        <is>
          <t>ÅRJÄNG</t>
        </is>
      </c>
      <c r="I3141" t="n">
        <v>1.2</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60524-2024</t>
        </is>
      </c>
      <c r="B3142" t="inlineStr">
        <is>
          <t>avverkningsanmälan</t>
        </is>
      </c>
      <c r="C3142" t="inlineStr">
        <is>
          <t>Föryngringsavverkning</t>
        </is>
      </c>
      <c r="D3142" s="1" t="n">
        <v>45643</v>
      </c>
      <c r="E3142" s="1" t="n">
        <v>46307</v>
      </c>
      <c r="F3142" t="inlineStr">
        <is>
          <t>VÄRMLANDS LÄN</t>
        </is>
      </c>
      <c r="G3142" t="inlineStr">
        <is>
          <t>FILIPSTAD</t>
        </is>
      </c>
      <c r="I3142" t="n">
        <v>3</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40741-2025</t>
        </is>
      </c>
      <c r="B3143" t="inlineStr">
        <is>
          <t>avverkningsanmälan</t>
        </is>
      </c>
      <c r="C3143" t="inlineStr">
        <is>
          <t>Föryngringsavverkning</t>
        </is>
      </c>
      <c r="D3143" s="1" t="n">
        <v>45897</v>
      </c>
      <c r="E3143" s="1" t="n">
        <v>46307</v>
      </c>
      <c r="F3143" t="inlineStr">
        <is>
          <t>VÄRMLANDS LÄN</t>
        </is>
      </c>
      <c r="G3143" t="inlineStr">
        <is>
          <t>EDA</t>
        </is>
      </c>
      <c r="H3143" t="inlineStr">
        <is>
          <t>Bergvik skog väst AB</t>
        </is>
      </c>
      <c r="I3143" t="n">
        <v>1.4</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17573-2025</t>
        </is>
      </c>
      <c r="B3144" t="inlineStr">
        <is>
          <t>avverkningsanmälan</t>
        </is>
      </c>
      <c r="C3144" t="inlineStr">
        <is>
          <t>Föryngringsavverkning</t>
        </is>
      </c>
      <c r="D3144" s="1" t="n">
        <v>45757</v>
      </c>
      <c r="E3144" s="1" t="n">
        <v>46307</v>
      </c>
      <c r="F3144" t="inlineStr">
        <is>
          <t>VÄRMLANDS LÄN</t>
        </is>
      </c>
      <c r="G3144" t="inlineStr">
        <is>
          <t>GRUMS</t>
        </is>
      </c>
      <c r="I3144" t="n">
        <v>0.7</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9286-2025</t>
        </is>
      </c>
      <c r="B3145" t="inlineStr">
        <is>
          <t>avverkningsanmälan</t>
        </is>
      </c>
      <c r="C3145" t="inlineStr">
        <is>
          <t>Föryngringsavverkning</t>
        </is>
      </c>
      <c r="D3145" s="1" t="n">
        <v>45714</v>
      </c>
      <c r="E3145" s="1" t="n">
        <v>46307</v>
      </c>
      <c r="F3145" t="inlineStr">
        <is>
          <t>VÄRMLANDS LÄN</t>
        </is>
      </c>
      <c r="G3145" t="inlineStr">
        <is>
          <t>TORSBY</t>
        </is>
      </c>
      <c r="H3145" t="inlineStr">
        <is>
          <t>Kommuner</t>
        </is>
      </c>
      <c r="I3145" t="n">
        <v>1</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32878-2023</t>
        </is>
      </c>
      <c r="B3146" t="inlineStr">
        <is>
          <t>avverkningsanmälan</t>
        </is>
      </c>
      <c r="C3146" t="inlineStr">
        <is>
          <t>Föryngringsavverkning</t>
        </is>
      </c>
      <c r="D3146" s="1" t="n">
        <v>45112</v>
      </c>
      <c r="E3146" s="1" t="n">
        <v>46307</v>
      </c>
      <c r="F3146" t="inlineStr">
        <is>
          <t>VÄRMLANDS LÄN</t>
        </is>
      </c>
      <c r="G3146" t="inlineStr">
        <is>
          <t>KARLSTAD</t>
        </is>
      </c>
      <c r="I3146" t="n">
        <v>8.199999999999999</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41232-2025</t>
        </is>
      </c>
      <c r="B3147" t="inlineStr">
        <is>
          <t>avverkningsanmälan</t>
        </is>
      </c>
      <c r="C3147" t="inlineStr">
        <is>
          <t>Föryngringsavverkning</t>
        </is>
      </c>
      <c r="D3147" s="1" t="n">
        <v>45898</v>
      </c>
      <c r="E3147" s="1" t="n">
        <v>46307</v>
      </c>
      <c r="F3147" t="inlineStr">
        <is>
          <t>VÄRMLANDS LÄN</t>
        </is>
      </c>
      <c r="G3147" t="inlineStr">
        <is>
          <t>TORSBY</t>
        </is>
      </c>
      <c r="H3147" t="inlineStr">
        <is>
          <t>Övriga Aktiebolag</t>
        </is>
      </c>
      <c r="I3147" t="n">
        <v>1</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27400-2024</t>
        </is>
      </c>
      <c r="B3148" t="inlineStr">
        <is>
          <t>avverkningsanmälan</t>
        </is>
      </c>
      <c r="C3148" t="inlineStr">
        <is>
          <t>Föryngringsavverkning</t>
        </is>
      </c>
      <c r="D3148" s="1" t="n">
        <v>45474</v>
      </c>
      <c r="E3148" s="1" t="n">
        <v>46307</v>
      </c>
      <c r="F3148" t="inlineStr">
        <is>
          <t>VÄRMLANDS LÄN</t>
        </is>
      </c>
      <c r="G3148" t="inlineStr">
        <is>
          <t>FILIPSTAD</t>
        </is>
      </c>
      <c r="I3148" t="n">
        <v>2.6</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13785-2023</t>
        </is>
      </c>
      <c r="B3149" t="inlineStr">
        <is>
          <t>avverkningsanmälan</t>
        </is>
      </c>
      <c r="C3149" t="inlineStr">
        <is>
          <t>Föryngringsavverkning</t>
        </is>
      </c>
      <c r="D3149" s="1" t="n">
        <v>45007</v>
      </c>
      <c r="E3149" s="1" t="n">
        <v>46307</v>
      </c>
      <c r="F3149" t="inlineStr">
        <is>
          <t>VÄRMLANDS LÄN</t>
        </is>
      </c>
      <c r="G3149" t="inlineStr">
        <is>
          <t>TORSBY</t>
        </is>
      </c>
      <c r="I3149" t="n">
        <v>6.5</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17426-2025</t>
        </is>
      </c>
      <c r="B3150" t="inlineStr">
        <is>
          <t>avverkningsanmälan</t>
        </is>
      </c>
      <c r="C3150" t="inlineStr">
        <is>
          <t>Föryngringsavverkning</t>
        </is>
      </c>
      <c r="D3150" s="1" t="n">
        <v>45757</v>
      </c>
      <c r="E3150" s="1" t="n">
        <v>46307</v>
      </c>
      <c r="F3150" t="inlineStr">
        <is>
          <t>VÄRMLANDS LÄN</t>
        </is>
      </c>
      <c r="G3150" t="inlineStr">
        <is>
          <t>ÅRJÄNG</t>
        </is>
      </c>
      <c r="I3150" t="n">
        <v>1.6</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15663-2024</t>
        </is>
      </c>
      <c r="B3151" t="inlineStr">
        <is>
          <t>avverkningsanmälan</t>
        </is>
      </c>
      <c r="C3151" t="inlineStr">
        <is>
          <t>Avverkning för annat ändamål</t>
        </is>
      </c>
      <c r="D3151" s="1" t="n">
        <v>45404</v>
      </c>
      <c r="E3151" s="1" t="n">
        <v>46307</v>
      </c>
      <c r="F3151" t="inlineStr">
        <is>
          <t>VÄRMLANDS LÄN</t>
        </is>
      </c>
      <c r="G3151" t="inlineStr">
        <is>
          <t>FORSHAGA</t>
        </is>
      </c>
      <c r="I3151" t="n">
        <v>0.4</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54628-2023</t>
        </is>
      </c>
      <c r="B3152" t="inlineStr">
        <is>
          <t>avverkningsanmälan</t>
        </is>
      </c>
      <c r="C3152" t="inlineStr">
        <is>
          <t>Föryngringsavverkning</t>
        </is>
      </c>
      <c r="D3152" s="1" t="n">
        <v>45234</v>
      </c>
      <c r="E3152" s="1" t="n">
        <v>46307</v>
      </c>
      <c r="F3152" t="inlineStr">
        <is>
          <t>VÄRMLANDS LÄN</t>
        </is>
      </c>
      <c r="G3152" t="inlineStr">
        <is>
          <t>MUNKFORS</t>
        </is>
      </c>
      <c r="I3152" t="n">
        <v>3.8</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40744-2025</t>
        </is>
      </c>
      <c r="B3153" t="inlineStr">
        <is>
          <t>avverkningsanmälan</t>
        </is>
      </c>
      <c r="C3153" t="inlineStr">
        <is>
          <t>Föryngringsavverkning</t>
        </is>
      </c>
      <c r="D3153" s="1" t="n">
        <v>45897</v>
      </c>
      <c r="E3153" s="1" t="n">
        <v>46307</v>
      </c>
      <c r="F3153" t="inlineStr">
        <is>
          <t>VÄRMLANDS LÄN</t>
        </is>
      </c>
      <c r="G3153" t="inlineStr">
        <is>
          <t>FORSHAGA</t>
        </is>
      </c>
      <c r="H3153" t="inlineStr">
        <is>
          <t>Kyrkan</t>
        </is>
      </c>
      <c r="I3153" t="n">
        <v>5.3</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41189-2025</t>
        </is>
      </c>
      <c r="B3154" t="inlineStr">
        <is>
          <t>avverkningsanmälan</t>
        </is>
      </c>
      <c r="C3154" t="inlineStr">
        <is>
          <t>Föryngringsavverkning</t>
        </is>
      </c>
      <c r="D3154" s="1" t="n">
        <v>45898</v>
      </c>
      <c r="E3154" s="1" t="n">
        <v>46307</v>
      </c>
      <c r="F3154" t="inlineStr">
        <is>
          <t>VÄRMLANDS LÄN</t>
        </is>
      </c>
      <c r="G3154" t="inlineStr">
        <is>
          <t>TORSBY</t>
        </is>
      </c>
      <c r="H3154" t="inlineStr">
        <is>
          <t>Övriga Aktiebolag</t>
        </is>
      </c>
      <c r="I3154" t="n">
        <v>10.3</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41194-2025</t>
        </is>
      </c>
      <c r="B3155" t="inlineStr">
        <is>
          <t>avverkningsanmälan</t>
        </is>
      </c>
      <c r="C3155" t="inlineStr">
        <is>
          <t>Föryngringsavverkning</t>
        </is>
      </c>
      <c r="D3155" s="1" t="n">
        <v>45898</v>
      </c>
      <c r="E3155" s="1" t="n">
        <v>46307</v>
      </c>
      <c r="F3155" t="inlineStr">
        <is>
          <t>VÄRMLANDS LÄN</t>
        </is>
      </c>
      <c r="G3155" t="inlineStr">
        <is>
          <t>TORSBY</t>
        </is>
      </c>
      <c r="H3155" t="inlineStr">
        <is>
          <t>Bergvik skog väst AB</t>
        </is>
      </c>
      <c r="I3155" t="n">
        <v>5.6</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2902-2025</t>
        </is>
      </c>
      <c r="B3156" t="inlineStr">
        <is>
          <t>avverkningsanmälan</t>
        </is>
      </c>
      <c r="C3156" t="inlineStr">
        <is>
          <t>Avverkning för annat ändamål</t>
        </is>
      </c>
      <c r="D3156" s="1" t="n">
        <v>45677</v>
      </c>
      <c r="E3156" s="1" t="n">
        <v>46307</v>
      </c>
      <c r="F3156" t="inlineStr">
        <is>
          <t>VÄRMLANDS LÄN</t>
        </is>
      </c>
      <c r="G3156" t="inlineStr">
        <is>
          <t>SÄFFLE</t>
        </is>
      </c>
      <c r="I3156" t="n">
        <v>1.6</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14328-2025</t>
        </is>
      </c>
      <c r="B3157" t="inlineStr">
        <is>
          <t>avverkningsanmälan</t>
        </is>
      </c>
      <c r="C3157" t="inlineStr">
        <is>
          <t>Föryngringsavverkning</t>
        </is>
      </c>
      <c r="D3157" s="1" t="n">
        <v>45740</v>
      </c>
      <c r="E3157" s="1" t="n">
        <v>46307</v>
      </c>
      <c r="F3157" t="inlineStr">
        <is>
          <t>VÄRMLANDS LÄN</t>
        </is>
      </c>
      <c r="G3157" t="inlineStr">
        <is>
          <t>FILIPSTAD</t>
        </is>
      </c>
      <c r="I3157" t="n">
        <v>4.3</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60974-2024</t>
        </is>
      </c>
      <c r="B3158" t="inlineStr">
        <is>
          <t>avverkningsanmälan</t>
        </is>
      </c>
      <c r="C3158" t="inlineStr">
        <is>
          <t>Föryngringsavverkning</t>
        </is>
      </c>
      <c r="D3158" s="1" t="n">
        <v>45645</v>
      </c>
      <c r="E3158" s="1" t="n">
        <v>46307</v>
      </c>
      <c r="F3158" t="inlineStr">
        <is>
          <t>VÄRMLANDS LÄN</t>
        </is>
      </c>
      <c r="G3158" t="inlineStr">
        <is>
          <t>HAGFORS</t>
        </is>
      </c>
      <c r="I3158" t="n">
        <v>1.4</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54714-2023</t>
        </is>
      </c>
      <c r="B3159" t="inlineStr">
        <is>
          <t>avverkningsanmälan</t>
        </is>
      </c>
      <c r="C3159" t="inlineStr">
        <is>
          <t>Föryngringsavverkning</t>
        </is>
      </c>
      <c r="D3159" s="1" t="n">
        <v>45236</v>
      </c>
      <c r="E3159" s="1" t="n">
        <v>46307</v>
      </c>
      <c r="F3159" t="inlineStr">
        <is>
          <t>VÄRMLANDS LÄN</t>
        </is>
      </c>
      <c r="G3159" t="inlineStr">
        <is>
          <t>TORSBY</t>
        </is>
      </c>
      <c r="I3159" t="n">
        <v>2.7</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20106-2024</t>
        </is>
      </c>
      <c r="B3160" t="inlineStr">
        <is>
          <t>avverkningsanmälan</t>
        </is>
      </c>
      <c r="C3160" t="inlineStr">
        <is>
          <t>Föryngringsavverkning</t>
        </is>
      </c>
      <c r="D3160" s="1" t="n">
        <v>45434</v>
      </c>
      <c r="E3160" s="1" t="n">
        <v>46307</v>
      </c>
      <c r="F3160" t="inlineStr">
        <is>
          <t>VÄRMLANDS LÄN</t>
        </is>
      </c>
      <c r="G3160" t="inlineStr">
        <is>
          <t>SUNNE</t>
        </is>
      </c>
      <c r="I3160" t="n">
        <v>1.4</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18959-2024</t>
        </is>
      </c>
      <c r="B3161" t="inlineStr">
        <is>
          <t>avverkningsanmälan</t>
        </is>
      </c>
      <c r="C3161" t="inlineStr">
        <is>
          <t>Föryngringsavverkning</t>
        </is>
      </c>
      <c r="D3161" s="1" t="n">
        <v>45427</v>
      </c>
      <c r="E3161" s="1" t="n">
        <v>46307</v>
      </c>
      <c r="F3161" t="inlineStr">
        <is>
          <t>VÄRMLANDS LÄN</t>
        </is>
      </c>
      <c r="G3161" t="inlineStr">
        <is>
          <t>TORSBY</t>
        </is>
      </c>
      <c r="I3161" t="n">
        <v>0.5</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24111-2025</t>
        </is>
      </c>
      <c r="B3162" t="inlineStr">
        <is>
          <t>avverkningsanmälan</t>
        </is>
      </c>
      <c r="C3162" t="inlineStr">
        <is>
          <t>Föryngringsavverkning</t>
        </is>
      </c>
      <c r="D3162" s="1" t="n">
        <v>45796</v>
      </c>
      <c r="E3162" s="1" t="n">
        <v>46307</v>
      </c>
      <c r="F3162" t="inlineStr">
        <is>
          <t>VÄRMLANDS LÄN</t>
        </is>
      </c>
      <c r="G3162" t="inlineStr">
        <is>
          <t>TORSBY</t>
        </is>
      </c>
      <c r="I3162" t="n">
        <v>2.1</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41739-2025</t>
        </is>
      </c>
      <c r="B3163" t="inlineStr">
        <is>
          <t>avverkningsanmälan</t>
        </is>
      </c>
      <c r="C3163" t="inlineStr">
        <is>
          <t>Avverkning för att bevara och utveckla /försöksver</t>
        </is>
      </c>
      <c r="D3163" s="1" t="n">
        <v>45902</v>
      </c>
      <c r="E3163" s="1" t="n">
        <v>46307</v>
      </c>
      <c r="F3163" t="inlineStr">
        <is>
          <t>VÄRMLANDS LÄN</t>
        </is>
      </c>
      <c r="G3163" t="inlineStr">
        <is>
          <t>HAGFORS</t>
        </is>
      </c>
      <c r="H3163" t="inlineStr">
        <is>
          <t>Bergvik skog väst AB</t>
        </is>
      </c>
      <c r="I3163" t="n">
        <v>3.7</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63673-2021</t>
        </is>
      </c>
      <c r="B3164" t="inlineStr">
        <is>
          <t>avverkningsanmälan</t>
        </is>
      </c>
      <c r="C3164" t="inlineStr">
        <is>
          <t>Föryngringsavverkning</t>
        </is>
      </c>
      <c r="D3164" s="1" t="n">
        <v>44509</v>
      </c>
      <c r="E3164" s="1" t="n">
        <v>46307</v>
      </c>
      <c r="F3164" t="inlineStr">
        <is>
          <t>VÄRMLANDS LÄN</t>
        </is>
      </c>
      <c r="G3164" t="inlineStr">
        <is>
          <t>SÄFFLE</t>
        </is>
      </c>
      <c r="I3164" t="n">
        <v>1</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11321-2025</t>
        </is>
      </c>
      <c r="B3165" t="inlineStr">
        <is>
          <t>avverkningsanmälan</t>
        </is>
      </c>
      <c r="C3165" t="inlineStr">
        <is>
          <t>Föryngringsavverkning</t>
        </is>
      </c>
      <c r="D3165" s="1" t="n">
        <v>45726</v>
      </c>
      <c r="E3165" s="1" t="n">
        <v>46307</v>
      </c>
      <c r="F3165" t="inlineStr">
        <is>
          <t>VÄRMLANDS LÄN</t>
        </is>
      </c>
      <c r="G3165" t="inlineStr">
        <is>
          <t>ARVIKA</t>
        </is>
      </c>
      <c r="I3165" t="n">
        <v>0.5</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15154-2025</t>
        </is>
      </c>
      <c r="B3166" t="inlineStr">
        <is>
          <t>avverkningsanmälan</t>
        </is>
      </c>
      <c r="C3166" t="inlineStr">
        <is>
          <t>Föryngringsavverkning</t>
        </is>
      </c>
      <c r="D3166" s="1" t="n">
        <v>45744</v>
      </c>
      <c r="E3166" s="1" t="n">
        <v>46307</v>
      </c>
      <c r="F3166" t="inlineStr">
        <is>
          <t>VÄRMLANDS LÄN</t>
        </is>
      </c>
      <c r="G3166" t="inlineStr">
        <is>
          <t>TORSBY</t>
        </is>
      </c>
      <c r="I3166" t="n">
        <v>0.4</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47992-2024</t>
        </is>
      </c>
      <c r="B3167" t="inlineStr">
        <is>
          <t>avverkningsanmälan</t>
        </is>
      </c>
      <c r="C3167" t="inlineStr">
        <is>
          <t>Föryngringsavverkning</t>
        </is>
      </c>
      <c r="D3167" s="1" t="n">
        <v>45589</v>
      </c>
      <c r="E3167" s="1" t="n">
        <v>46307</v>
      </c>
      <c r="F3167" t="inlineStr">
        <is>
          <t>VÄRMLANDS LÄN</t>
        </is>
      </c>
      <c r="G3167" t="inlineStr">
        <is>
          <t>SÄFFLE</t>
        </is>
      </c>
      <c r="I3167" t="n">
        <v>1.6</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11342-2025</t>
        </is>
      </c>
      <c r="B3168" t="inlineStr">
        <is>
          <t>avverkningsanmälan</t>
        </is>
      </c>
      <c r="C3168" t="inlineStr">
        <is>
          <t>Föryngringsavverkning</t>
        </is>
      </c>
      <c r="D3168" s="1" t="n">
        <v>45726</v>
      </c>
      <c r="E3168" s="1" t="n">
        <v>46307</v>
      </c>
      <c r="F3168" t="inlineStr">
        <is>
          <t>VÄRMLANDS LÄN</t>
        </is>
      </c>
      <c r="G3168" t="inlineStr">
        <is>
          <t>ARVIKA</t>
        </is>
      </c>
      <c r="I3168" t="n">
        <v>0.9</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51468-2023</t>
        </is>
      </c>
      <c r="B3169" t="inlineStr">
        <is>
          <t>avverkningsanmälan</t>
        </is>
      </c>
      <c r="C3169" t="inlineStr">
        <is>
          <t>Föryngringsavverkning</t>
        </is>
      </c>
      <c r="D3169" s="1" t="n">
        <v>45221</v>
      </c>
      <c r="E3169" s="1" t="n">
        <v>46307</v>
      </c>
      <c r="F3169" t="inlineStr">
        <is>
          <t>VÄRMLANDS LÄN</t>
        </is>
      </c>
      <c r="G3169" t="inlineStr">
        <is>
          <t>EDA</t>
        </is>
      </c>
      <c r="H3169" t="inlineStr">
        <is>
          <t>Kommuner</t>
        </is>
      </c>
      <c r="I3169" t="n">
        <v>0.9</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11401-2025</t>
        </is>
      </c>
      <c r="B3170" t="inlineStr">
        <is>
          <t>avverkningsanmälan</t>
        </is>
      </c>
      <c r="C3170" t="inlineStr">
        <is>
          <t>Föryngringsavverkning</t>
        </is>
      </c>
      <c r="D3170" s="1" t="n">
        <v>45726</v>
      </c>
      <c r="E3170" s="1" t="n">
        <v>46307</v>
      </c>
      <c r="F3170" t="inlineStr">
        <is>
          <t>VÄRMLANDS LÄN</t>
        </is>
      </c>
      <c r="G3170" t="inlineStr">
        <is>
          <t>ÅRJÄNG</t>
        </is>
      </c>
      <c r="I3170" t="n">
        <v>0.4</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51469-2023</t>
        </is>
      </c>
      <c r="B3171" t="inlineStr">
        <is>
          <t>avverkningsanmälan</t>
        </is>
      </c>
      <c r="C3171" t="inlineStr">
        <is>
          <t>Föryngringsavverkning</t>
        </is>
      </c>
      <c r="D3171" s="1" t="n">
        <v>45221</v>
      </c>
      <c r="E3171" s="1" t="n">
        <v>46307</v>
      </c>
      <c r="F3171" t="inlineStr">
        <is>
          <t>VÄRMLANDS LÄN</t>
        </is>
      </c>
      <c r="G3171" t="inlineStr">
        <is>
          <t>EDA</t>
        </is>
      </c>
      <c r="H3171" t="inlineStr">
        <is>
          <t>Kommuner</t>
        </is>
      </c>
      <c r="I3171" t="n">
        <v>0.8</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6254-2024</t>
        </is>
      </c>
      <c r="B3172" t="inlineStr">
        <is>
          <t>avverkningsanmälan</t>
        </is>
      </c>
      <c r="C3172" t="inlineStr">
        <is>
          <t>Föryngringsavverkning</t>
        </is>
      </c>
      <c r="D3172" s="1" t="n">
        <v>45337</v>
      </c>
      <c r="E3172" s="1" t="n">
        <v>46307</v>
      </c>
      <c r="F3172" t="inlineStr">
        <is>
          <t>VÄRMLANDS LÄN</t>
        </is>
      </c>
      <c r="G3172" t="inlineStr">
        <is>
          <t>SÄFFLE</t>
        </is>
      </c>
      <c r="I3172" t="n">
        <v>3.5</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9693-2025</t>
        </is>
      </c>
      <c r="B3173" t="inlineStr">
        <is>
          <t>avverkningsanmälan</t>
        </is>
      </c>
      <c r="C3173" t="inlineStr">
        <is>
          <t>Föryngringsavverkning</t>
        </is>
      </c>
      <c r="D3173" s="1" t="n">
        <v>45716</v>
      </c>
      <c r="E3173" s="1" t="n">
        <v>46307</v>
      </c>
      <c r="F3173" t="inlineStr">
        <is>
          <t>VÄRMLANDS LÄN</t>
        </is>
      </c>
      <c r="G3173" t="inlineStr">
        <is>
          <t>FORSHAGA</t>
        </is>
      </c>
      <c r="H3173" t="inlineStr">
        <is>
          <t>Bergvik skog väst AB</t>
        </is>
      </c>
      <c r="I3173" t="n">
        <v>2.2</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245-2023</t>
        </is>
      </c>
      <c r="B3174" t="inlineStr">
        <is>
          <t>avverkningsanmälan</t>
        </is>
      </c>
      <c r="C3174" t="inlineStr">
        <is>
          <t>Föryngringsavverkning</t>
        </is>
      </c>
      <c r="D3174" s="1" t="n">
        <v>44922</v>
      </c>
      <c r="E3174" s="1" t="n">
        <v>46307</v>
      </c>
      <c r="F3174" t="inlineStr">
        <is>
          <t>VÄRMLANDS LÄN</t>
        </is>
      </c>
      <c r="G3174" t="inlineStr">
        <is>
          <t>ARVIKA</t>
        </is>
      </c>
      <c r="I3174" t="n">
        <v>6.4</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31020-2024</t>
        </is>
      </c>
      <c r="B3175" t="inlineStr">
        <is>
          <t>avverkningsanmälan</t>
        </is>
      </c>
      <c r="C3175" t="inlineStr">
        <is>
          <t>Föryngringsavverkning</t>
        </is>
      </c>
      <c r="D3175" s="1" t="n">
        <v>45499</v>
      </c>
      <c r="E3175" s="1" t="n">
        <v>46307</v>
      </c>
      <c r="F3175" t="inlineStr">
        <is>
          <t>VÄRMLANDS LÄN</t>
        </is>
      </c>
      <c r="G3175" t="inlineStr">
        <is>
          <t>SUNNE</t>
        </is>
      </c>
      <c r="I3175" t="n">
        <v>5</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51700-2023</t>
        </is>
      </c>
      <c r="B3176" t="inlineStr">
        <is>
          <t>avverkningsanmälan</t>
        </is>
      </c>
      <c r="C3176" t="inlineStr">
        <is>
          <t>Föryngringsavverkning</t>
        </is>
      </c>
      <c r="D3176" s="1" t="n">
        <v>45222</v>
      </c>
      <c r="E3176" s="1" t="n">
        <v>46307</v>
      </c>
      <c r="F3176" t="inlineStr">
        <is>
          <t>VÄRMLANDS LÄN</t>
        </is>
      </c>
      <c r="G3176" t="inlineStr">
        <is>
          <t>KRISTINEHAMN</t>
        </is>
      </c>
      <c r="H3176" t="inlineStr">
        <is>
          <t>Bergvik skog väst AB</t>
        </is>
      </c>
      <c r="I3176" t="n">
        <v>6.8</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12458-2024</t>
        </is>
      </c>
      <c r="B3177" t="inlineStr">
        <is>
          <t>avverkningsanmälan</t>
        </is>
      </c>
      <c r="C3177" t="inlineStr">
        <is>
          <t>Föryngringsavverkning</t>
        </is>
      </c>
      <c r="D3177" s="1" t="n">
        <v>45379</v>
      </c>
      <c r="E3177" s="1" t="n">
        <v>46307</v>
      </c>
      <c r="F3177" t="inlineStr">
        <is>
          <t>VÄRMLANDS LÄN</t>
        </is>
      </c>
      <c r="G3177" t="inlineStr">
        <is>
          <t>KRISTINEHAMN</t>
        </is>
      </c>
      <c r="I3177" t="n">
        <v>1.5</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35775-2024</t>
        </is>
      </c>
      <c r="B3178" t="inlineStr">
        <is>
          <t>avverkningsanmälan</t>
        </is>
      </c>
      <c r="C3178" t="inlineStr">
        <is>
          <t>Avverkning för annat ändamål</t>
        </is>
      </c>
      <c r="D3178" s="1" t="n">
        <v>45532</v>
      </c>
      <c r="E3178" s="1" t="n">
        <v>46307</v>
      </c>
      <c r="F3178" t="inlineStr">
        <is>
          <t>VÄRMLANDS LÄN</t>
        </is>
      </c>
      <c r="G3178" t="inlineStr">
        <is>
          <t>HAGFORS</t>
        </is>
      </c>
      <c r="I3178" t="n">
        <v>0.4</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35777-2024</t>
        </is>
      </c>
      <c r="B3179" t="inlineStr">
        <is>
          <t>avverkningsanmälan</t>
        </is>
      </c>
      <c r="C3179" t="inlineStr">
        <is>
          <t>Föryngringsavverkning</t>
        </is>
      </c>
      <c r="D3179" s="1" t="n">
        <v>45532</v>
      </c>
      <c r="E3179" s="1" t="n">
        <v>46307</v>
      </c>
      <c r="F3179" t="inlineStr">
        <is>
          <t>VÄRMLANDS LÄN</t>
        </is>
      </c>
      <c r="G3179" t="inlineStr">
        <is>
          <t>TORSBY</t>
        </is>
      </c>
      <c r="I3179" t="n">
        <v>1.1</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51634-2024</t>
        </is>
      </c>
      <c r="B3180" t="inlineStr">
        <is>
          <t>avverkningsanmälan</t>
        </is>
      </c>
      <c r="C3180" t="inlineStr">
        <is>
          <t>Föryngringsavverkning</t>
        </is>
      </c>
      <c r="D3180" s="1" t="n">
        <v>45605</v>
      </c>
      <c r="E3180" s="1" t="n">
        <v>46307</v>
      </c>
      <c r="F3180" t="inlineStr">
        <is>
          <t>VÄRMLANDS LÄN</t>
        </is>
      </c>
      <c r="G3180" t="inlineStr">
        <is>
          <t>SUNNE</t>
        </is>
      </c>
      <c r="I3180" t="n">
        <v>0.6</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43483-2024</t>
        </is>
      </c>
      <c r="B3181" t="inlineStr">
        <is>
          <t>avverkningsanmälan</t>
        </is>
      </c>
      <c r="C3181" t="inlineStr">
        <is>
          <t>Föryngringsavverkning</t>
        </is>
      </c>
      <c r="D3181" s="1" t="n">
        <v>45568</v>
      </c>
      <c r="E3181" s="1" t="n">
        <v>46307</v>
      </c>
      <c r="F3181" t="inlineStr">
        <is>
          <t>VÄRMLANDS LÄN</t>
        </is>
      </c>
      <c r="G3181" t="inlineStr">
        <is>
          <t>SUNNE</t>
        </is>
      </c>
      <c r="I3181" t="n">
        <v>1</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11687-2025</t>
        </is>
      </c>
      <c r="B3182" t="inlineStr">
        <is>
          <t>avverkningsanmälan</t>
        </is>
      </c>
      <c r="C3182" t="inlineStr">
        <is>
          <t>Föryngringsavverkning</t>
        </is>
      </c>
      <c r="D3182" s="1" t="n">
        <v>45726</v>
      </c>
      <c r="E3182" s="1" t="n">
        <v>46307</v>
      </c>
      <c r="F3182" t="inlineStr">
        <is>
          <t>VÄRMLANDS LÄN</t>
        </is>
      </c>
      <c r="G3182" t="inlineStr">
        <is>
          <t>SUNNE</t>
        </is>
      </c>
      <c r="I3182" t="n">
        <v>0.8</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24923-2023</t>
        </is>
      </c>
      <c r="B3183" t="inlineStr">
        <is>
          <t>avverkningsanmälan</t>
        </is>
      </c>
      <c r="C3183" t="inlineStr">
        <is>
          <t>Föryngringsavverkning</t>
        </is>
      </c>
      <c r="D3183" s="1" t="n">
        <v>45085</v>
      </c>
      <c r="E3183" s="1" t="n">
        <v>46307</v>
      </c>
      <c r="F3183" t="inlineStr">
        <is>
          <t>VÄRMLANDS LÄN</t>
        </is>
      </c>
      <c r="G3183" t="inlineStr">
        <is>
          <t>SUNNE</t>
        </is>
      </c>
      <c r="I3183" t="n">
        <v>4.2</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30304-2024</t>
        </is>
      </c>
      <c r="B3184" t="inlineStr">
        <is>
          <t>avverkningsanmälan</t>
        </is>
      </c>
      <c r="C3184" t="inlineStr">
        <is>
          <t>Föryngringsavverkning</t>
        </is>
      </c>
      <c r="D3184" s="1" t="n">
        <v>45490</v>
      </c>
      <c r="E3184" s="1" t="n">
        <v>46307</v>
      </c>
      <c r="F3184" t="inlineStr">
        <is>
          <t>VÄRMLANDS LÄN</t>
        </is>
      </c>
      <c r="G3184" t="inlineStr">
        <is>
          <t>SUNNE</t>
        </is>
      </c>
      <c r="I3184" t="n">
        <v>0.6</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41440-2025</t>
        </is>
      </c>
      <c r="B3185" t="inlineStr">
        <is>
          <t>avverkningsanmälan</t>
        </is>
      </c>
      <c r="C3185" t="inlineStr">
        <is>
          <t>Föryngringsavverkning</t>
        </is>
      </c>
      <c r="D3185" s="1" t="n">
        <v>45901</v>
      </c>
      <c r="E3185" s="1" t="n">
        <v>46307</v>
      </c>
      <c r="F3185" t="inlineStr">
        <is>
          <t>VÄRMLANDS LÄN</t>
        </is>
      </c>
      <c r="G3185" t="inlineStr">
        <is>
          <t>ARVIKA</t>
        </is>
      </c>
      <c r="H3185" t="inlineStr">
        <is>
          <t>Bergvik skog väst AB</t>
        </is>
      </c>
      <c r="I3185" t="n">
        <v>1.1</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13287-2024</t>
        </is>
      </c>
      <c r="B3186" t="inlineStr">
        <is>
          <t>avverkningsanmälan</t>
        </is>
      </c>
      <c r="C3186" t="inlineStr">
        <is>
          <t>Föryngringsavverkning</t>
        </is>
      </c>
      <c r="D3186" s="1" t="n">
        <v>45386</v>
      </c>
      <c r="E3186" s="1" t="n">
        <v>46307</v>
      </c>
      <c r="F3186" t="inlineStr">
        <is>
          <t>VÄRMLANDS LÄN</t>
        </is>
      </c>
      <c r="G3186" t="inlineStr">
        <is>
          <t>KARLSTAD</t>
        </is>
      </c>
      <c r="I3186" t="n">
        <v>0.7</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65284-2021</t>
        </is>
      </c>
      <c r="B3187" t="inlineStr">
        <is>
          <t>avverkningsanmälan</t>
        </is>
      </c>
      <c r="C3187" t="inlineStr">
        <is>
          <t>Föryngringsavverkning</t>
        </is>
      </c>
      <c r="D3187" s="1" t="n">
        <v>44515</v>
      </c>
      <c r="E3187" s="1" t="n">
        <v>46307</v>
      </c>
      <c r="F3187" t="inlineStr">
        <is>
          <t>VÄRMLANDS LÄN</t>
        </is>
      </c>
      <c r="G3187" t="inlineStr">
        <is>
          <t>ARVIKA</t>
        </is>
      </c>
      <c r="I3187" t="n">
        <v>0.7</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65357-2021</t>
        </is>
      </c>
      <c r="B3188" t="inlineStr">
        <is>
          <t>avverkningsanmälan</t>
        </is>
      </c>
      <c r="C3188" t="inlineStr">
        <is>
          <t>Föryngringsavverkning</t>
        </is>
      </c>
      <c r="D3188" s="1" t="n">
        <v>44515</v>
      </c>
      <c r="E3188" s="1" t="n">
        <v>46307</v>
      </c>
      <c r="F3188" t="inlineStr">
        <is>
          <t>VÄRMLANDS LÄN</t>
        </is>
      </c>
      <c r="G3188" t="inlineStr">
        <is>
          <t>ARVIKA</t>
        </is>
      </c>
      <c r="H3188" t="inlineStr">
        <is>
          <t>Bergvik skog väst AB</t>
        </is>
      </c>
      <c r="I3188" t="n">
        <v>2.4</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41467-2025</t>
        </is>
      </c>
      <c r="B3189" t="inlineStr">
        <is>
          <t>avverkningsanmälan</t>
        </is>
      </c>
      <c r="C3189" t="inlineStr">
        <is>
          <t>Föryngringsavverkning</t>
        </is>
      </c>
      <c r="D3189" s="1" t="n">
        <v>45901</v>
      </c>
      <c r="E3189" s="1" t="n">
        <v>46307</v>
      </c>
      <c r="F3189" t="inlineStr">
        <is>
          <t>VÄRMLANDS LÄN</t>
        </is>
      </c>
      <c r="G3189" t="inlineStr">
        <is>
          <t>ÅRJÄNG</t>
        </is>
      </c>
      <c r="I3189" t="n">
        <v>2</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5758-2025</t>
        </is>
      </c>
      <c r="B3190" t="inlineStr">
        <is>
          <t>avverkningsanmälan</t>
        </is>
      </c>
      <c r="C3190" t="inlineStr">
        <is>
          <t>Föryngringsavverkning</t>
        </is>
      </c>
      <c r="D3190" s="1" t="n">
        <v>45694</v>
      </c>
      <c r="E3190" s="1" t="n">
        <v>46307</v>
      </c>
      <c r="F3190" t="inlineStr">
        <is>
          <t>VÄRMLANDS LÄN</t>
        </is>
      </c>
      <c r="G3190" t="inlineStr">
        <is>
          <t>KIL</t>
        </is>
      </c>
      <c r="I3190" t="n">
        <v>1</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29216-2023</t>
        </is>
      </c>
      <c r="B3191" t="inlineStr">
        <is>
          <t>avverkningsanmälan</t>
        </is>
      </c>
      <c r="C3191" t="inlineStr">
        <is>
          <t>Föryngringsavverkning</t>
        </is>
      </c>
      <c r="D3191" s="1" t="n">
        <v>45105</v>
      </c>
      <c r="E3191" s="1" t="n">
        <v>46307</v>
      </c>
      <c r="F3191" t="inlineStr">
        <is>
          <t>VÄRMLANDS LÄN</t>
        </is>
      </c>
      <c r="G3191" t="inlineStr">
        <is>
          <t>SUNNE</t>
        </is>
      </c>
      <c r="I3191" t="n">
        <v>6.8</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41705-2023</t>
        </is>
      </c>
      <c r="B3192" t="inlineStr">
        <is>
          <t>avverkningsanmälan</t>
        </is>
      </c>
      <c r="C3192" t="inlineStr">
        <is>
          <t>Föryngringsavverkning</t>
        </is>
      </c>
      <c r="D3192" s="1" t="n">
        <v>45176</v>
      </c>
      <c r="E3192" s="1" t="n">
        <v>46307</v>
      </c>
      <c r="F3192" t="inlineStr">
        <is>
          <t>VÄRMLANDS LÄN</t>
        </is>
      </c>
      <c r="G3192" t="inlineStr">
        <is>
          <t>EDA</t>
        </is>
      </c>
      <c r="I3192" t="n">
        <v>3.5</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41022-2023</t>
        </is>
      </c>
      <c r="B3193" t="inlineStr">
        <is>
          <t>avverkningsanmälan</t>
        </is>
      </c>
      <c r="C3193" t="inlineStr">
        <is>
          <t>Föryngringsavverkning</t>
        </is>
      </c>
      <c r="D3193" s="1" t="n">
        <v>45173</v>
      </c>
      <c r="E3193" s="1" t="n">
        <v>46307</v>
      </c>
      <c r="F3193" t="inlineStr">
        <is>
          <t>VÄRMLANDS LÄN</t>
        </is>
      </c>
      <c r="G3193" t="inlineStr">
        <is>
          <t>TORSBY</t>
        </is>
      </c>
      <c r="I3193" t="n">
        <v>3.8</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58789-2024</t>
        </is>
      </c>
      <c r="B3194" t="inlineStr">
        <is>
          <t>avverkningsanmälan</t>
        </is>
      </c>
      <c r="C3194" t="inlineStr">
        <is>
          <t>Föryngringsavverkning</t>
        </is>
      </c>
      <c r="D3194" s="1" t="n">
        <v>45635</v>
      </c>
      <c r="E3194" s="1" t="n">
        <v>46307</v>
      </c>
      <c r="F3194" t="inlineStr">
        <is>
          <t>VÄRMLANDS LÄN</t>
        </is>
      </c>
      <c r="G3194" t="inlineStr">
        <is>
          <t>ÅRJÄNG</t>
        </is>
      </c>
      <c r="I3194" t="n">
        <v>7.8</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45231-2024</t>
        </is>
      </c>
      <c r="B3195" t="inlineStr">
        <is>
          <t>avverkningsanmälan</t>
        </is>
      </c>
      <c r="C3195" t="inlineStr">
        <is>
          <t>Föryngringsavverkning</t>
        </is>
      </c>
      <c r="D3195" s="1" t="n">
        <v>45575</v>
      </c>
      <c r="E3195" s="1" t="n">
        <v>46307</v>
      </c>
      <c r="F3195" t="inlineStr">
        <is>
          <t>VÄRMLANDS LÄN</t>
        </is>
      </c>
      <c r="G3195" t="inlineStr">
        <is>
          <t>KARLSTAD</t>
        </is>
      </c>
      <c r="I3195" t="n">
        <v>2</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45238-2024</t>
        </is>
      </c>
      <c r="B3196" t="inlineStr">
        <is>
          <t>avverkningsanmälan</t>
        </is>
      </c>
      <c r="C3196" t="inlineStr">
        <is>
          <t>Föryngringsavverkning</t>
        </is>
      </c>
      <c r="D3196" s="1" t="n">
        <v>45575</v>
      </c>
      <c r="E3196" s="1" t="n">
        <v>46307</v>
      </c>
      <c r="F3196" t="inlineStr">
        <is>
          <t>VÄRMLANDS LÄN</t>
        </is>
      </c>
      <c r="G3196" t="inlineStr">
        <is>
          <t>HAGFORS</t>
        </is>
      </c>
      <c r="I3196" t="n">
        <v>0.5</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41434-2025</t>
        </is>
      </c>
      <c r="B3197" t="inlineStr">
        <is>
          <t>avverkningsanmälan</t>
        </is>
      </c>
      <c r="C3197" t="inlineStr">
        <is>
          <t>Föryngringsavverkning</t>
        </is>
      </c>
      <c r="D3197" s="1" t="n">
        <v>45901</v>
      </c>
      <c r="E3197" s="1" t="n">
        <v>46307</v>
      </c>
      <c r="F3197" t="inlineStr">
        <is>
          <t>VÄRMLANDS LÄN</t>
        </is>
      </c>
      <c r="G3197" t="inlineStr">
        <is>
          <t>ARVIKA</t>
        </is>
      </c>
      <c r="H3197" t="inlineStr">
        <is>
          <t>Bergvik skog väst AB</t>
        </is>
      </c>
      <c r="I3197" t="n">
        <v>10.3</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30700-2024</t>
        </is>
      </c>
      <c r="B3198" t="inlineStr">
        <is>
          <t>avverkningsanmälan</t>
        </is>
      </c>
      <c r="C3198" t="inlineStr">
        <is>
          <t>Föryngringsavverkning</t>
        </is>
      </c>
      <c r="D3198" s="1" t="n">
        <v>45496</v>
      </c>
      <c r="E3198" s="1" t="n">
        <v>46307</v>
      </c>
      <c r="F3198" t="inlineStr">
        <is>
          <t>VÄRMLANDS LÄN</t>
        </is>
      </c>
      <c r="G3198" t="inlineStr">
        <is>
          <t>TORSBY</t>
        </is>
      </c>
      <c r="I3198" t="n">
        <v>7.2</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30705-2024</t>
        </is>
      </c>
      <c r="B3199" t="inlineStr">
        <is>
          <t>avverkningsanmälan</t>
        </is>
      </c>
      <c r="C3199" t="inlineStr">
        <is>
          <t>Föryngringsavverkning</t>
        </is>
      </c>
      <c r="D3199" s="1" t="n">
        <v>45496</v>
      </c>
      <c r="E3199" s="1" t="n">
        <v>46307</v>
      </c>
      <c r="F3199" t="inlineStr">
        <is>
          <t>VÄRMLANDS LÄN</t>
        </is>
      </c>
      <c r="G3199" t="inlineStr">
        <is>
          <t>TORSBY</t>
        </is>
      </c>
      <c r="H3199" t="inlineStr">
        <is>
          <t>Bergvik skog väst AB</t>
        </is>
      </c>
      <c r="I3199" t="n">
        <v>1.4</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64803-2021</t>
        </is>
      </c>
      <c r="B3200" t="inlineStr">
        <is>
          <t>avverkningsanmälan</t>
        </is>
      </c>
      <c r="C3200" t="inlineStr">
        <is>
          <t>Föryngringsavverkning</t>
        </is>
      </c>
      <c r="D3200" s="1" t="n">
        <v>44512</v>
      </c>
      <c r="E3200" s="1" t="n">
        <v>46307</v>
      </c>
      <c r="F3200" t="inlineStr">
        <is>
          <t>VÄRMLANDS LÄN</t>
        </is>
      </c>
      <c r="G3200" t="inlineStr">
        <is>
          <t>SÄFFLE</t>
        </is>
      </c>
      <c r="I3200" t="n">
        <v>0.9</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39175-2022</t>
        </is>
      </c>
      <c r="B3201" t="inlineStr">
        <is>
          <t>avverkningsanmälan</t>
        </is>
      </c>
      <c r="C3201" t="inlineStr">
        <is>
          <t>Föryngringsavverkning</t>
        </is>
      </c>
      <c r="D3201" s="1" t="n">
        <v>44817</v>
      </c>
      <c r="E3201" s="1" t="n">
        <v>46307</v>
      </c>
      <c r="F3201" t="inlineStr">
        <is>
          <t>VÄRMLANDS LÄN</t>
        </is>
      </c>
      <c r="G3201" t="inlineStr">
        <is>
          <t>SUNNE</t>
        </is>
      </c>
      <c r="I3201" t="n">
        <v>2.8</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59892-2024</t>
        </is>
      </c>
      <c r="B3202" t="inlineStr">
        <is>
          <t>avverkningsanmälan</t>
        </is>
      </c>
      <c r="C3202" t="inlineStr">
        <is>
          <t>Föryngringsavverkning</t>
        </is>
      </c>
      <c r="D3202" s="1" t="n">
        <v>45641</v>
      </c>
      <c r="E3202" s="1" t="n">
        <v>46307</v>
      </c>
      <c r="F3202" t="inlineStr">
        <is>
          <t>VÄRMLANDS LÄN</t>
        </is>
      </c>
      <c r="G3202" t="inlineStr">
        <is>
          <t>KARLSTAD</t>
        </is>
      </c>
      <c r="I3202" t="n">
        <v>0.5</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39215-2022</t>
        </is>
      </c>
      <c r="B3203" t="inlineStr">
        <is>
          <t>avverkningsanmälan</t>
        </is>
      </c>
      <c r="C3203" t="inlineStr">
        <is>
          <t>Föryngringsavverkning</t>
        </is>
      </c>
      <c r="D3203" s="1" t="n">
        <v>44817</v>
      </c>
      <c r="E3203" s="1" t="n">
        <v>46307</v>
      </c>
      <c r="F3203" t="inlineStr">
        <is>
          <t>VÄRMLANDS LÄN</t>
        </is>
      </c>
      <c r="G3203" t="inlineStr">
        <is>
          <t>TORSBY</t>
        </is>
      </c>
      <c r="I3203" t="n">
        <v>3.8</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41376-2025</t>
        </is>
      </c>
      <c r="B3204" t="inlineStr">
        <is>
          <t>avverkningsanmälan</t>
        </is>
      </c>
      <c r="C3204" t="inlineStr">
        <is>
          <t>Föryngringsavverkning</t>
        </is>
      </c>
      <c r="D3204" s="1" t="n">
        <v>45900</v>
      </c>
      <c r="E3204" s="1" t="n">
        <v>46307</v>
      </c>
      <c r="F3204" t="inlineStr">
        <is>
          <t>VÄRMLANDS LÄN</t>
        </is>
      </c>
      <c r="G3204" t="inlineStr">
        <is>
          <t>TORSBY</t>
        </is>
      </c>
      <c r="I3204" t="n">
        <v>1</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41439-2025</t>
        </is>
      </c>
      <c r="B3205" t="inlineStr">
        <is>
          <t>avverkningsanmälan</t>
        </is>
      </c>
      <c r="C3205" t="inlineStr">
        <is>
          <t>Föryngringsavverkning</t>
        </is>
      </c>
      <c r="D3205" s="1" t="n">
        <v>45901</v>
      </c>
      <c r="E3205" s="1" t="n">
        <v>46307</v>
      </c>
      <c r="F3205" t="inlineStr">
        <is>
          <t>VÄRMLANDS LÄN</t>
        </is>
      </c>
      <c r="G3205" t="inlineStr">
        <is>
          <t>ARVIKA</t>
        </is>
      </c>
      <c r="H3205" t="inlineStr">
        <is>
          <t>Bergvik skog väst AB</t>
        </is>
      </c>
      <c r="I3205" t="n">
        <v>2.8</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30859-2024</t>
        </is>
      </c>
      <c r="B3206" t="inlineStr">
        <is>
          <t>avverkningsanmälan</t>
        </is>
      </c>
      <c r="C3206" t="inlineStr">
        <is>
          <t>Föryngringsavverkning</t>
        </is>
      </c>
      <c r="D3206" s="1" t="n">
        <v>45497</v>
      </c>
      <c r="E3206" s="1" t="n">
        <v>46307</v>
      </c>
      <c r="F3206" t="inlineStr">
        <is>
          <t>VÄRMLANDS LÄN</t>
        </is>
      </c>
      <c r="G3206" t="inlineStr">
        <is>
          <t>FORSHAGA</t>
        </is>
      </c>
      <c r="I3206" t="n">
        <v>3.8</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8780-2023</t>
        </is>
      </c>
      <c r="B3207" t="inlineStr">
        <is>
          <t>avverkningsanmälan</t>
        </is>
      </c>
      <c r="C3207" t="inlineStr">
        <is>
          <t>Avverkning för annat ändamål</t>
        </is>
      </c>
      <c r="D3207" s="1" t="n">
        <v>44978</v>
      </c>
      <c r="E3207" s="1" t="n">
        <v>46307</v>
      </c>
      <c r="F3207" t="inlineStr">
        <is>
          <t>VÄRMLANDS LÄN</t>
        </is>
      </c>
      <c r="G3207" t="inlineStr">
        <is>
          <t>ARVIKA</t>
        </is>
      </c>
      <c r="I3207" t="n">
        <v>0.3</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21518-2024</t>
        </is>
      </c>
      <c r="B3208" t="inlineStr">
        <is>
          <t>avverkningsanmälan</t>
        </is>
      </c>
      <c r="C3208" t="inlineStr">
        <is>
          <t>Föryngringsavverkning</t>
        </is>
      </c>
      <c r="D3208" s="1" t="n">
        <v>45441</v>
      </c>
      <c r="E3208" s="1" t="n">
        <v>46307</v>
      </c>
      <c r="F3208" t="inlineStr">
        <is>
          <t>VÄRMLANDS LÄN</t>
        </is>
      </c>
      <c r="G3208" t="inlineStr">
        <is>
          <t>TORSBY</t>
        </is>
      </c>
      <c r="I3208" t="n">
        <v>1.7</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27346-2024</t>
        </is>
      </c>
      <c r="B3209" t="inlineStr">
        <is>
          <t>avverkningsanmälan</t>
        </is>
      </c>
      <c r="C3209" t="inlineStr">
        <is>
          <t>Föryngringsavverkning</t>
        </is>
      </c>
      <c r="D3209" s="1" t="n">
        <v>45473</v>
      </c>
      <c r="E3209" s="1" t="n">
        <v>46307</v>
      </c>
      <c r="F3209" t="inlineStr">
        <is>
          <t>VÄRMLANDS LÄN</t>
        </is>
      </c>
      <c r="G3209" t="inlineStr">
        <is>
          <t>TORSBY</t>
        </is>
      </c>
      <c r="I3209" t="n">
        <v>2.4</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46109-2024</t>
        </is>
      </c>
      <c r="B3210" t="inlineStr">
        <is>
          <t>avverkningsanmälan</t>
        </is>
      </c>
      <c r="C3210" t="inlineStr">
        <is>
          <t>Föryngringsavverkning</t>
        </is>
      </c>
      <c r="D3210" s="1" t="n">
        <v>45581</v>
      </c>
      <c r="E3210" s="1" t="n">
        <v>46307</v>
      </c>
      <c r="F3210" t="inlineStr">
        <is>
          <t>VÄRMLANDS LÄN</t>
        </is>
      </c>
      <c r="G3210" t="inlineStr">
        <is>
          <t>KARLSTAD</t>
        </is>
      </c>
      <c r="I3210" t="n">
        <v>2.1</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12051-2024</t>
        </is>
      </c>
      <c r="B3211" t="inlineStr">
        <is>
          <t>avverkningsanmälan</t>
        </is>
      </c>
      <c r="C3211" t="inlineStr">
        <is>
          <t>Avverkning för annat ändamål</t>
        </is>
      </c>
      <c r="D3211" s="1" t="n">
        <v>45377</v>
      </c>
      <c r="E3211" s="1" t="n">
        <v>46307</v>
      </c>
      <c r="F3211" t="inlineStr">
        <is>
          <t>VÄRMLANDS LÄN</t>
        </is>
      </c>
      <c r="G3211" t="inlineStr">
        <is>
          <t>TORSBY</t>
        </is>
      </c>
      <c r="H3211" t="inlineStr">
        <is>
          <t>Bergvik skog väst AB</t>
        </is>
      </c>
      <c r="I3211" t="n">
        <v>2</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61169-2024</t>
        </is>
      </c>
      <c r="B3212" t="inlineStr">
        <is>
          <t>avverkningsanmälan</t>
        </is>
      </c>
      <c r="C3212" t="inlineStr">
        <is>
          <t>Avverkning för att bevara och utveckla /försöksver</t>
        </is>
      </c>
      <c r="D3212" s="1" t="n">
        <v>45645</v>
      </c>
      <c r="E3212" s="1" t="n">
        <v>46307</v>
      </c>
      <c r="F3212" t="inlineStr">
        <is>
          <t>VÄRMLANDS LÄN</t>
        </is>
      </c>
      <c r="G3212" t="inlineStr">
        <is>
          <t>HAGFORS</t>
        </is>
      </c>
      <c r="H3212" t="inlineStr">
        <is>
          <t>Bergvik skog väst AB</t>
        </is>
      </c>
      <c r="I3212" t="n">
        <v>1</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41763-2025</t>
        </is>
      </c>
      <c r="B3213" t="inlineStr">
        <is>
          <t>avverkningsanmälan</t>
        </is>
      </c>
      <c r="C3213" t="inlineStr">
        <is>
          <t>Föryngringsavverkning</t>
        </is>
      </c>
      <c r="D3213" s="1" t="n">
        <v>45902</v>
      </c>
      <c r="E3213" s="1" t="n">
        <v>46307</v>
      </c>
      <c r="F3213" t="inlineStr">
        <is>
          <t>VÄRMLANDS LÄN</t>
        </is>
      </c>
      <c r="G3213" t="inlineStr">
        <is>
          <t>ÅRJÄNG</t>
        </is>
      </c>
      <c r="I3213" t="n">
        <v>3.4</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59132-2023</t>
        </is>
      </c>
      <c r="B3214" t="inlineStr">
        <is>
          <t>avverkningsanmälan</t>
        </is>
      </c>
      <c r="C3214" t="inlineStr">
        <is>
          <t>Föryngringsavverkning</t>
        </is>
      </c>
      <c r="D3214" s="1" t="n">
        <v>45251</v>
      </c>
      <c r="E3214" s="1" t="n">
        <v>46307</v>
      </c>
      <c r="F3214" t="inlineStr">
        <is>
          <t>VÄRMLANDS LÄN</t>
        </is>
      </c>
      <c r="G3214" t="inlineStr">
        <is>
          <t>MUNKFORS</t>
        </is>
      </c>
      <c r="I3214" t="n">
        <v>1.8</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8854-2023</t>
        </is>
      </c>
      <c r="B3215" t="inlineStr">
        <is>
          <t>avverkningsanmälan</t>
        </is>
      </c>
      <c r="C3215" t="inlineStr">
        <is>
          <t>Föryngringsavverkning</t>
        </is>
      </c>
      <c r="D3215" s="1" t="n">
        <v>44978</v>
      </c>
      <c r="E3215" s="1" t="n">
        <v>46307</v>
      </c>
      <c r="F3215" t="inlineStr">
        <is>
          <t>VÄRMLANDS LÄN</t>
        </is>
      </c>
      <c r="G3215" t="inlineStr">
        <is>
          <t>ARVIKA</t>
        </is>
      </c>
      <c r="H3215" t="inlineStr">
        <is>
          <t>Kyrkan</t>
        </is>
      </c>
      <c r="I3215" t="n">
        <v>1.1</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39216-2022</t>
        </is>
      </c>
      <c r="B3216" t="inlineStr">
        <is>
          <t>avverkningsanmälan</t>
        </is>
      </c>
      <c r="C3216" t="inlineStr">
        <is>
          <t>Föryngringsavverkning</t>
        </is>
      </c>
      <c r="D3216" s="1" t="n">
        <v>44817</v>
      </c>
      <c r="E3216" s="1" t="n">
        <v>46307</v>
      </c>
      <c r="F3216" t="inlineStr">
        <is>
          <t>VÄRMLANDS LÄN</t>
        </is>
      </c>
      <c r="G3216" t="inlineStr">
        <is>
          <t>TORSBY</t>
        </is>
      </c>
      <c r="I3216" t="n">
        <v>6.6</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59203-2024</t>
        </is>
      </c>
      <c r="B3217" t="inlineStr">
        <is>
          <t>avverkningsanmälan</t>
        </is>
      </c>
      <c r="C3217" t="inlineStr">
        <is>
          <t>Föryngringsavverkning</t>
        </is>
      </c>
      <c r="D3217" s="1" t="n">
        <v>45636</v>
      </c>
      <c r="E3217" s="1" t="n">
        <v>46307</v>
      </c>
      <c r="F3217" t="inlineStr">
        <is>
          <t>VÄRMLANDS LÄN</t>
        </is>
      </c>
      <c r="G3217" t="inlineStr">
        <is>
          <t>KRISTINEHAMN</t>
        </is>
      </c>
      <c r="I3217" t="n">
        <v>2.2</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92-2022</t>
        </is>
      </c>
      <c r="B3218" t="inlineStr">
        <is>
          <t>avverkningsanmälan</t>
        </is>
      </c>
      <c r="C3218" t="inlineStr">
        <is>
          <t>Föryngringsavverkning</t>
        </is>
      </c>
      <c r="D3218" s="1" t="n">
        <v>44564</v>
      </c>
      <c r="E3218" s="1" t="n">
        <v>46307</v>
      </c>
      <c r="F3218" t="inlineStr">
        <is>
          <t>VÄRMLANDS LÄN</t>
        </is>
      </c>
      <c r="G3218" t="inlineStr">
        <is>
          <t>ÅRJÄNG</t>
        </is>
      </c>
      <c r="I3218" t="n">
        <v>10.4</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32550-2024</t>
        </is>
      </c>
      <c r="B3219" t="inlineStr">
        <is>
          <t>avverkningsanmälan</t>
        </is>
      </c>
      <c r="C3219" t="inlineStr">
        <is>
          <t>Föryngringsavverkning</t>
        </is>
      </c>
      <c r="D3219" s="1" t="n">
        <v>45513</v>
      </c>
      <c r="E3219" s="1" t="n">
        <v>46307</v>
      </c>
      <c r="F3219" t="inlineStr">
        <is>
          <t>VÄRMLANDS LÄN</t>
        </is>
      </c>
      <c r="G3219" t="inlineStr">
        <is>
          <t>ÅRJÄNG</t>
        </is>
      </c>
      <c r="H3219" t="inlineStr">
        <is>
          <t>Bergvik skog väst AB</t>
        </is>
      </c>
      <c r="I3219" t="n">
        <v>0.5</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47166-2024</t>
        </is>
      </c>
      <c r="B3220" t="inlineStr">
        <is>
          <t>avverkningsanmälan</t>
        </is>
      </c>
      <c r="C3220" t="inlineStr">
        <is>
          <t>Föryngringsavverkning</t>
        </is>
      </c>
      <c r="D3220" s="1" t="n">
        <v>45586</v>
      </c>
      <c r="E3220" s="1" t="n">
        <v>46307</v>
      </c>
      <c r="F3220" t="inlineStr">
        <is>
          <t>VÄRMLANDS LÄN</t>
        </is>
      </c>
      <c r="G3220" t="inlineStr">
        <is>
          <t>SUNNE</t>
        </is>
      </c>
      <c r="H3220" t="inlineStr">
        <is>
          <t>Kommuner</t>
        </is>
      </c>
      <c r="I3220" t="n">
        <v>0.7</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9067-2023</t>
        </is>
      </c>
      <c r="B3221" t="inlineStr">
        <is>
          <t>avverkningsanmälan</t>
        </is>
      </c>
      <c r="C3221" t="inlineStr">
        <is>
          <t>Föryngringsavverkning</t>
        </is>
      </c>
      <c r="D3221" s="1" t="n">
        <v>44979</v>
      </c>
      <c r="E3221" s="1" t="n">
        <v>46307</v>
      </c>
      <c r="F3221" t="inlineStr">
        <is>
          <t>VÄRMLANDS LÄN</t>
        </is>
      </c>
      <c r="G3221" t="inlineStr">
        <is>
          <t>TORSBY</t>
        </is>
      </c>
      <c r="I3221" t="n">
        <v>0.5</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32577-2023</t>
        </is>
      </c>
      <c r="B3222" t="inlineStr">
        <is>
          <t>avverkningsanmälan</t>
        </is>
      </c>
      <c r="C3222" t="inlineStr">
        <is>
          <t>Föryngringsavverkning</t>
        </is>
      </c>
      <c r="D3222" s="1" t="n">
        <v>45121</v>
      </c>
      <c r="E3222" s="1" t="n">
        <v>46307</v>
      </c>
      <c r="F3222" t="inlineStr">
        <is>
          <t>VÄRMLANDS LÄN</t>
        </is>
      </c>
      <c r="G3222" t="inlineStr">
        <is>
          <t>ARVIKA</t>
        </is>
      </c>
      <c r="I3222" t="n">
        <v>0.9</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41809-2025</t>
        </is>
      </c>
      <c r="B3223" t="inlineStr">
        <is>
          <t>avverkningsanmälan</t>
        </is>
      </c>
      <c r="C3223" t="inlineStr">
        <is>
          <t>Föryngringsavverkning</t>
        </is>
      </c>
      <c r="D3223" s="1" t="n">
        <v>45902</v>
      </c>
      <c r="E3223" s="1" t="n">
        <v>46307</v>
      </c>
      <c r="F3223" t="inlineStr">
        <is>
          <t>VÄRMLANDS LÄN</t>
        </is>
      </c>
      <c r="G3223" t="inlineStr">
        <is>
          <t>HAGFORS</t>
        </is>
      </c>
      <c r="H3223" t="inlineStr">
        <is>
          <t>Bergvik skog väst AB</t>
        </is>
      </c>
      <c r="I3223" t="n">
        <v>0.6</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41681-2025</t>
        </is>
      </c>
      <c r="B3224" t="inlineStr">
        <is>
          <t>avverkningsanmälan</t>
        </is>
      </c>
      <c r="C3224" t="inlineStr">
        <is>
          <t>Föryngringsavverkning</t>
        </is>
      </c>
      <c r="D3224" s="1" t="n">
        <v>45902</v>
      </c>
      <c r="E3224" s="1" t="n">
        <v>46307</v>
      </c>
      <c r="F3224" t="inlineStr">
        <is>
          <t>VÄRMLANDS LÄN</t>
        </is>
      </c>
      <c r="G3224" t="inlineStr">
        <is>
          <t>SÄFFLE</t>
        </is>
      </c>
      <c r="I3224" t="n">
        <v>4.8</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29550-2023</t>
        </is>
      </c>
      <c r="B3225" t="inlineStr">
        <is>
          <t>avverkningsanmälan</t>
        </is>
      </c>
      <c r="C3225" t="inlineStr">
        <is>
          <t>Föryngringsavverkning</t>
        </is>
      </c>
      <c r="D3225" s="1" t="n">
        <v>45098</v>
      </c>
      <c r="E3225" s="1" t="n">
        <v>46307</v>
      </c>
      <c r="F3225" t="inlineStr">
        <is>
          <t>VÄRMLANDS LÄN</t>
        </is>
      </c>
      <c r="G3225" t="inlineStr">
        <is>
          <t>KARLSTAD</t>
        </is>
      </c>
      <c r="I3225" t="n">
        <v>6.9</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41651-2025</t>
        </is>
      </c>
      <c r="B3226" t="inlineStr">
        <is>
          <t>avverkningsanmälan</t>
        </is>
      </c>
      <c r="C3226" t="inlineStr">
        <is>
          <t>Föryngringsavverkning</t>
        </is>
      </c>
      <c r="D3226" s="1" t="n">
        <v>45902</v>
      </c>
      <c r="E3226" s="1" t="n">
        <v>46307</v>
      </c>
      <c r="F3226" t="inlineStr">
        <is>
          <t>VÄRMLANDS LÄN</t>
        </is>
      </c>
      <c r="G3226" t="inlineStr">
        <is>
          <t>ARVIKA</t>
        </is>
      </c>
      <c r="I3226" t="n">
        <v>2.4</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13262-2024</t>
        </is>
      </c>
      <c r="B3227" t="inlineStr">
        <is>
          <t>avverkningsanmälan</t>
        </is>
      </c>
      <c r="C3227" t="inlineStr">
        <is>
          <t>Föryngringsavverkning</t>
        </is>
      </c>
      <c r="D3227" s="1" t="n">
        <v>45386</v>
      </c>
      <c r="E3227" s="1" t="n">
        <v>46307</v>
      </c>
      <c r="F3227" t="inlineStr">
        <is>
          <t>VÄRMLANDS LÄN</t>
        </is>
      </c>
      <c r="G3227" t="inlineStr">
        <is>
          <t>TORSBY</t>
        </is>
      </c>
      <c r="I3227" t="n">
        <v>4.8</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32102-2023</t>
        </is>
      </c>
      <c r="B3228" t="inlineStr">
        <is>
          <t>avverkningsanmälan</t>
        </is>
      </c>
      <c r="C3228" t="inlineStr">
        <is>
          <t>Föryngringsavverkning</t>
        </is>
      </c>
      <c r="D3228" s="1" t="n">
        <v>45107</v>
      </c>
      <c r="E3228" s="1" t="n">
        <v>46307</v>
      </c>
      <c r="F3228" t="inlineStr">
        <is>
          <t>VÄRMLANDS LÄN</t>
        </is>
      </c>
      <c r="G3228" t="inlineStr">
        <is>
          <t>SÄFFLE</t>
        </is>
      </c>
      <c r="I3228" t="n">
        <v>0.8</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32149-2023</t>
        </is>
      </c>
      <c r="B3229" t="inlineStr">
        <is>
          <t>avverkningsanmälan</t>
        </is>
      </c>
      <c r="C3229" t="inlineStr">
        <is>
          <t>Föryngringsavverkning</t>
        </is>
      </c>
      <c r="D3229" s="1" t="n">
        <v>45107</v>
      </c>
      <c r="E3229" s="1" t="n">
        <v>46307</v>
      </c>
      <c r="F3229" t="inlineStr">
        <is>
          <t>VÄRMLANDS LÄN</t>
        </is>
      </c>
      <c r="G3229" t="inlineStr">
        <is>
          <t>HAGFORS</t>
        </is>
      </c>
      <c r="I3229" t="n">
        <v>9.1</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9489-2023</t>
        </is>
      </c>
      <c r="B3230" t="inlineStr">
        <is>
          <t>avverkningsanmälan</t>
        </is>
      </c>
      <c r="C3230" t="inlineStr">
        <is>
          <t>Föryngringsavverkning</t>
        </is>
      </c>
      <c r="D3230" s="1" t="n">
        <v>44981</v>
      </c>
      <c r="E3230" s="1" t="n">
        <v>46307</v>
      </c>
      <c r="F3230" t="inlineStr">
        <is>
          <t>VÄRMLANDS LÄN</t>
        </is>
      </c>
      <c r="G3230" t="inlineStr">
        <is>
          <t>ÅRJÄNG</t>
        </is>
      </c>
      <c r="I3230" t="n">
        <v>0.8</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36718-2024</t>
        </is>
      </c>
      <c r="B3231" t="inlineStr">
        <is>
          <t>avverkningsanmälan</t>
        </is>
      </c>
      <c r="C3231" t="inlineStr">
        <is>
          <t>Föryngringsavverkning</t>
        </is>
      </c>
      <c r="D3231" s="1" t="n">
        <v>45537</v>
      </c>
      <c r="E3231" s="1" t="n">
        <v>46307</v>
      </c>
      <c r="F3231" t="inlineStr">
        <is>
          <t>VÄRMLANDS LÄN</t>
        </is>
      </c>
      <c r="G3231" t="inlineStr">
        <is>
          <t>TORSBY</t>
        </is>
      </c>
      <c r="I3231" t="n">
        <v>3.7</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32169-2023</t>
        </is>
      </c>
      <c r="B3232" t="inlineStr">
        <is>
          <t>avverkningsanmälan</t>
        </is>
      </c>
      <c r="C3232" t="inlineStr">
        <is>
          <t>Föryngringsavverkning</t>
        </is>
      </c>
      <c r="D3232" s="1" t="n">
        <v>45107</v>
      </c>
      <c r="E3232" s="1" t="n">
        <v>46307</v>
      </c>
      <c r="F3232" t="inlineStr">
        <is>
          <t>VÄRMLANDS LÄN</t>
        </is>
      </c>
      <c r="G3232" t="inlineStr">
        <is>
          <t>KARLSTAD</t>
        </is>
      </c>
      <c r="I3232" t="n">
        <v>4</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1366-2025</t>
        </is>
      </c>
      <c r="B3233" t="inlineStr">
        <is>
          <t>avverkningsanmälan</t>
        </is>
      </c>
      <c r="C3233" t="inlineStr">
        <is>
          <t>Föryngringsavverkning</t>
        </is>
      </c>
      <c r="D3233" s="1" t="n">
        <v>45667</v>
      </c>
      <c r="E3233" s="1" t="n">
        <v>46307</v>
      </c>
      <c r="F3233" t="inlineStr">
        <is>
          <t>VÄRMLANDS LÄN</t>
        </is>
      </c>
      <c r="G3233" t="inlineStr">
        <is>
          <t>SÄFFLE</t>
        </is>
      </c>
      <c r="I3233" t="n">
        <v>3.5</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15228-2025</t>
        </is>
      </c>
      <c r="B3234" t="inlineStr">
        <is>
          <t>avverkningsanmälan</t>
        </is>
      </c>
      <c r="C3234" t="inlineStr">
        <is>
          <t>Föryngringsavverkning</t>
        </is>
      </c>
      <c r="D3234" s="1" t="n">
        <v>45744</v>
      </c>
      <c r="E3234" s="1" t="n">
        <v>46307</v>
      </c>
      <c r="F3234" t="inlineStr">
        <is>
          <t>VÄRMLANDS LÄN</t>
        </is>
      </c>
      <c r="G3234" t="inlineStr">
        <is>
          <t>FILIPSTAD</t>
        </is>
      </c>
      <c r="H3234" t="inlineStr">
        <is>
          <t>Kommuner</t>
        </is>
      </c>
      <c r="I3234" t="n">
        <v>17.7</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15230-2025</t>
        </is>
      </c>
      <c r="B3235" t="inlineStr">
        <is>
          <t>avverkningsanmälan</t>
        </is>
      </c>
      <c r="C3235" t="inlineStr">
        <is>
          <t>Föryngringsavverkning</t>
        </is>
      </c>
      <c r="D3235" s="1" t="n">
        <v>45744</v>
      </c>
      <c r="E3235" s="1" t="n">
        <v>46307</v>
      </c>
      <c r="F3235" t="inlineStr">
        <is>
          <t>VÄRMLANDS LÄN</t>
        </is>
      </c>
      <c r="G3235" t="inlineStr">
        <is>
          <t>ÅRJÄNG</t>
        </is>
      </c>
      <c r="I3235" t="n">
        <v>17.1</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32619-2023</t>
        </is>
      </c>
      <c r="B3236" t="inlineStr">
        <is>
          <t>avverkningsanmälan</t>
        </is>
      </c>
      <c r="C3236" t="inlineStr">
        <is>
          <t>Föryngringsavverkning</t>
        </is>
      </c>
      <c r="D3236" s="1" t="n">
        <v>45121</v>
      </c>
      <c r="E3236" s="1" t="n">
        <v>46307</v>
      </c>
      <c r="F3236" t="inlineStr">
        <is>
          <t>VÄRMLANDS LÄN</t>
        </is>
      </c>
      <c r="G3236" t="inlineStr">
        <is>
          <t>ARVIKA</t>
        </is>
      </c>
      <c r="I3236" t="n">
        <v>2.2</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9793-2024</t>
        </is>
      </c>
      <c r="B3237" t="inlineStr">
        <is>
          <t>avverkningsanmälan</t>
        </is>
      </c>
      <c r="C3237" t="inlineStr">
        <is>
          <t>Föryngringsavverkning</t>
        </is>
      </c>
      <c r="D3237" s="1" t="n">
        <v>45362</v>
      </c>
      <c r="E3237" s="1" t="n">
        <v>46307</v>
      </c>
      <c r="F3237" t="inlineStr">
        <is>
          <t>VÄRMLANDS LÄN</t>
        </is>
      </c>
      <c r="G3237" t="inlineStr">
        <is>
          <t>TORSBY</t>
        </is>
      </c>
      <c r="I3237" t="n">
        <v>6</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34849-2024</t>
        </is>
      </c>
      <c r="B3238" t="inlineStr">
        <is>
          <t>avverkningsanmälan</t>
        </is>
      </c>
      <c r="C3238" t="inlineStr">
        <is>
          <t>Avverkning för att bevara och utveckla /försöksver</t>
        </is>
      </c>
      <c r="D3238" s="1" t="n">
        <v>45527</v>
      </c>
      <c r="E3238" s="1" t="n">
        <v>46307</v>
      </c>
      <c r="F3238" t="inlineStr">
        <is>
          <t>VÄRMLANDS LÄN</t>
        </is>
      </c>
      <c r="G3238" t="inlineStr">
        <is>
          <t>FORSHAGA</t>
        </is>
      </c>
      <c r="H3238" t="inlineStr">
        <is>
          <t>Bergvik skog väst AB</t>
        </is>
      </c>
      <c r="I3238" t="n">
        <v>0.5</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35611-2024</t>
        </is>
      </c>
      <c r="B3239" t="inlineStr">
        <is>
          <t>avverkningsanmälan</t>
        </is>
      </c>
      <c r="C3239" t="inlineStr">
        <is>
          <t>Föryngringsavverkning</t>
        </is>
      </c>
      <c r="D3239" s="1" t="n">
        <v>45531</v>
      </c>
      <c r="E3239" s="1" t="n">
        <v>46307</v>
      </c>
      <c r="F3239" t="inlineStr">
        <is>
          <t>VÄRMLANDS LÄN</t>
        </is>
      </c>
      <c r="G3239" t="inlineStr">
        <is>
          <t>KIL</t>
        </is>
      </c>
      <c r="I3239" t="n">
        <v>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26777-2023</t>
        </is>
      </c>
      <c r="B3240" t="inlineStr">
        <is>
          <t>avverkningsanmälan</t>
        </is>
      </c>
      <c r="C3240" t="inlineStr">
        <is>
          <t>Föryngringsavverkning</t>
        </is>
      </c>
      <c r="D3240" s="1" t="n">
        <v>45093</v>
      </c>
      <c r="E3240" s="1" t="n">
        <v>46307</v>
      </c>
      <c r="F3240" t="inlineStr">
        <is>
          <t>VÄRMLANDS LÄN</t>
        </is>
      </c>
      <c r="G3240" t="inlineStr">
        <is>
          <t>HAGFORS</t>
        </is>
      </c>
      <c r="H3240" t="inlineStr">
        <is>
          <t>Bergvik skog väst AB</t>
        </is>
      </c>
      <c r="I3240" t="n">
        <v>0.9</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58061-2024</t>
        </is>
      </c>
      <c r="B3241" t="inlineStr">
        <is>
          <t>avverkningsanmälan</t>
        </is>
      </c>
      <c r="C3241" t="inlineStr">
        <is>
          <t>Föryngringsavverkning</t>
        </is>
      </c>
      <c r="D3241" s="1" t="n">
        <v>45631</v>
      </c>
      <c r="E3241" s="1" t="n">
        <v>46307</v>
      </c>
      <c r="F3241" t="inlineStr">
        <is>
          <t>VÄRMLANDS LÄN</t>
        </is>
      </c>
      <c r="G3241" t="inlineStr">
        <is>
          <t>ARVIKA</t>
        </is>
      </c>
      <c r="I3241" t="n">
        <v>1.9</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58114-2024</t>
        </is>
      </c>
      <c r="B3242" t="inlineStr">
        <is>
          <t>avverkningsanmälan</t>
        </is>
      </c>
      <c r="C3242" t="inlineStr">
        <is>
          <t>Föryngringsavverkning</t>
        </is>
      </c>
      <c r="D3242" s="1" t="n">
        <v>45632</v>
      </c>
      <c r="E3242" s="1" t="n">
        <v>46307</v>
      </c>
      <c r="F3242" t="inlineStr">
        <is>
          <t>VÄRMLANDS LÄN</t>
        </is>
      </c>
      <c r="G3242" t="inlineStr">
        <is>
          <t>FORSHAGA</t>
        </is>
      </c>
      <c r="I3242" t="n">
        <v>5.1</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9574-2023</t>
        </is>
      </c>
      <c r="B3243" t="inlineStr">
        <is>
          <t>avverkningsanmälan</t>
        </is>
      </c>
      <c r="C3243" t="inlineStr">
        <is>
          <t>Föryngringsavverkning</t>
        </is>
      </c>
      <c r="D3243" s="1" t="n">
        <v>44982</v>
      </c>
      <c r="E3243" s="1" t="n">
        <v>46307</v>
      </c>
      <c r="F3243" t="inlineStr">
        <is>
          <t>VÄRMLANDS LÄN</t>
        </is>
      </c>
      <c r="G3243" t="inlineStr">
        <is>
          <t>TORSBY</t>
        </is>
      </c>
      <c r="H3243" t="inlineStr">
        <is>
          <t>Övriga statliga verk och myndigheter</t>
        </is>
      </c>
      <c r="I3243" t="n">
        <v>6.2</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41488-2025</t>
        </is>
      </c>
      <c r="B3244" t="inlineStr">
        <is>
          <t>avverkningsanmälan</t>
        </is>
      </c>
      <c r="C3244" t="inlineStr">
        <is>
          <t>Föryngringsavverkning</t>
        </is>
      </c>
      <c r="D3244" s="1" t="n">
        <v>45901</v>
      </c>
      <c r="E3244" s="1" t="n">
        <v>46307</v>
      </c>
      <c r="F3244" t="inlineStr">
        <is>
          <t>VÄRMLANDS LÄN</t>
        </is>
      </c>
      <c r="G3244" t="inlineStr">
        <is>
          <t>ÅRJÄNG</t>
        </is>
      </c>
      <c r="I3244" t="n">
        <v>0.8</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56165-2024</t>
        </is>
      </c>
      <c r="B3245" t="inlineStr">
        <is>
          <t>avverkningsanmälan</t>
        </is>
      </c>
      <c r="C3245" t="inlineStr">
        <is>
          <t>Föryngringsavverkning</t>
        </is>
      </c>
      <c r="D3245" s="1" t="n">
        <v>45624</v>
      </c>
      <c r="E3245" s="1" t="n">
        <v>46307</v>
      </c>
      <c r="F3245" t="inlineStr">
        <is>
          <t>VÄRMLANDS LÄN</t>
        </is>
      </c>
      <c r="G3245" t="inlineStr">
        <is>
          <t>HAGFORS</t>
        </is>
      </c>
      <c r="I3245" t="n">
        <v>0.5</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50383-2024</t>
        </is>
      </c>
      <c r="B3246" t="inlineStr">
        <is>
          <t>avverkningsanmälan</t>
        </is>
      </c>
      <c r="C3246" t="inlineStr">
        <is>
          <t>Föryngringsavverkning</t>
        </is>
      </c>
      <c r="D3246" s="1" t="n">
        <v>45601</v>
      </c>
      <c r="E3246" s="1" t="n">
        <v>46307</v>
      </c>
      <c r="F3246" t="inlineStr">
        <is>
          <t>VÄRMLANDS LÄN</t>
        </is>
      </c>
      <c r="G3246" t="inlineStr">
        <is>
          <t>ARVIKA</t>
        </is>
      </c>
      <c r="I3246" t="n">
        <v>1.5</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13063-2025</t>
        </is>
      </c>
      <c r="B3247" t="inlineStr">
        <is>
          <t>avverkningsanmälan</t>
        </is>
      </c>
      <c r="C3247" t="inlineStr">
        <is>
          <t>Föryngringsavverkning</t>
        </is>
      </c>
      <c r="D3247" s="1" t="n">
        <v>45734</v>
      </c>
      <c r="E3247" s="1" t="n">
        <v>46307</v>
      </c>
      <c r="F3247" t="inlineStr">
        <is>
          <t>VÄRMLANDS LÄN</t>
        </is>
      </c>
      <c r="G3247" t="inlineStr">
        <is>
          <t>KARLSTAD</t>
        </is>
      </c>
      <c r="I3247" t="n">
        <v>1.2</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59886-2021</t>
        </is>
      </c>
      <c r="B3248" t="inlineStr">
        <is>
          <t>avverkningsanmälan</t>
        </is>
      </c>
      <c r="C3248" t="inlineStr">
        <is>
          <t>Föryngringsavverkning</t>
        </is>
      </c>
      <c r="D3248" s="1" t="n">
        <v>44493</v>
      </c>
      <c r="E3248" s="1" t="n">
        <v>46307</v>
      </c>
      <c r="F3248" t="inlineStr">
        <is>
          <t>VÄRMLANDS LÄN</t>
        </is>
      </c>
      <c r="G3248" t="inlineStr">
        <is>
          <t>ARVIKA</t>
        </is>
      </c>
      <c r="I3248" t="n">
        <v>3</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5006-2025</t>
        </is>
      </c>
      <c r="B3249" t="inlineStr">
        <is>
          <t>avverkningsanmälan</t>
        </is>
      </c>
      <c r="C3249" t="inlineStr">
        <is>
          <t>Föryngringsavverkning</t>
        </is>
      </c>
      <c r="D3249" s="1" t="n">
        <v>45691</v>
      </c>
      <c r="E3249" s="1" t="n">
        <v>46307</v>
      </c>
      <c r="F3249" t="inlineStr">
        <is>
          <t>VÄRMLANDS LÄN</t>
        </is>
      </c>
      <c r="G3249" t="inlineStr">
        <is>
          <t>SUNNE</t>
        </is>
      </c>
      <c r="I3249" t="n">
        <v>1.2</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39835-2022</t>
        </is>
      </c>
      <c r="B3250" t="inlineStr">
        <is>
          <t>avverkningsanmälan</t>
        </is>
      </c>
      <c r="C3250" t="inlineStr">
        <is>
          <t>Föryngringsavverkning</t>
        </is>
      </c>
      <c r="D3250" s="1" t="n">
        <v>44819</v>
      </c>
      <c r="E3250" s="1" t="n">
        <v>46307</v>
      </c>
      <c r="F3250" t="inlineStr">
        <is>
          <t>VÄRMLANDS LÄN</t>
        </is>
      </c>
      <c r="G3250" t="inlineStr">
        <is>
          <t>ARVIKA</t>
        </is>
      </c>
      <c r="H3250" t="inlineStr">
        <is>
          <t>Bergvik skog väst AB</t>
        </is>
      </c>
      <c r="I3250" t="n">
        <v>13.1</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8668-2025</t>
        </is>
      </c>
      <c r="B3251" t="inlineStr">
        <is>
          <t>avverkningsanmälan</t>
        </is>
      </c>
      <c r="C3251" t="inlineStr">
        <is>
          <t>Föryngringsavverkning</t>
        </is>
      </c>
      <c r="D3251" s="1" t="n">
        <v>45712</v>
      </c>
      <c r="E3251" s="1" t="n">
        <v>46307</v>
      </c>
      <c r="F3251" t="inlineStr">
        <is>
          <t>VÄRMLANDS LÄN</t>
        </is>
      </c>
      <c r="G3251" t="inlineStr">
        <is>
          <t>SÄFFLE</t>
        </is>
      </c>
      <c r="I3251" t="n">
        <v>0.7</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52823-2023</t>
        </is>
      </c>
      <c r="B3252" t="inlineStr">
        <is>
          <t>avverkningsanmälan</t>
        </is>
      </c>
      <c r="C3252" t="inlineStr">
        <is>
          <t>Föryngringsavverkning</t>
        </is>
      </c>
      <c r="D3252" s="1" t="n">
        <v>45226</v>
      </c>
      <c r="E3252" s="1" t="n">
        <v>46307</v>
      </c>
      <c r="F3252" t="inlineStr">
        <is>
          <t>VÄRMLANDS LÄN</t>
        </is>
      </c>
      <c r="G3252" t="inlineStr">
        <is>
          <t>EDA</t>
        </is>
      </c>
      <c r="I3252" t="n">
        <v>1.1</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45634-2023</t>
        </is>
      </c>
      <c r="B3253" t="inlineStr">
        <is>
          <t>avverkningsanmälan</t>
        </is>
      </c>
      <c r="C3253" t="inlineStr">
        <is>
          <t>Föryngringsavverkning</t>
        </is>
      </c>
      <c r="D3253" s="1" t="n">
        <v>45194</v>
      </c>
      <c r="E3253" s="1" t="n">
        <v>46307</v>
      </c>
      <c r="F3253" t="inlineStr">
        <is>
          <t>VÄRMLANDS LÄN</t>
        </is>
      </c>
      <c r="G3253" t="inlineStr">
        <is>
          <t>ÅRJÄNG</t>
        </is>
      </c>
      <c r="I3253" t="n">
        <v>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25199-2023</t>
        </is>
      </c>
      <c r="B3254" t="inlineStr">
        <is>
          <t>avverkningsanmälan</t>
        </is>
      </c>
      <c r="C3254" t="inlineStr">
        <is>
          <t>Föryngringsavverkning</t>
        </is>
      </c>
      <c r="D3254" s="1" t="n">
        <v>45086</v>
      </c>
      <c r="E3254" s="1" t="n">
        <v>46307</v>
      </c>
      <c r="F3254" t="inlineStr">
        <is>
          <t>VÄRMLANDS LÄN</t>
        </is>
      </c>
      <c r="G3254" t="inlineStr">
        <is>
          <t>SUNNE</t>
        </is>
      </c>
      <c r="I3254" t="n">
        <v>0.5</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25947-2022</t>
        </is>
      </c>
      <c r="B3255" t="inlineStr">
        <is>
          <t>avverkningsanmälan</t>
        </is>
      </c>
      <c r="C3255" t="inlineStr">
        <is>
          <t>Föryngringsavverkning</t>
        </is>
      </c>
      <c r="D3255" s="1" t="n">
        <v>44734</v>
      </c>
      <c r="E3255" s="1" t="n">
        <v>46307</v>
      </c>
      <c r="F3255" t="inlineStr">
        <is>
          <t>VÄRMLANDS LÄN</t>
        </is>
      </c>
      <c r="G3255" t="inlineStr">
        <is>
          <t>SÄFFLE</t>
        </is>
      </c>
      <c r="I3255" t="n">
        <v>1</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39125-2025</t>
        </is>
      </c>
      <c r="B3256" t="inlineStr">
        <is>
          <t>avverkningsanmälan</t>
        </is>
      </c>
      <c r="C3256" t="inlineStr">
        <is>
          <t>Föryngringsavverkning</t>
        </is>
      </c>
      <c r="D3256" s="1" t="n">
        <v>45888</v>
      </c>
      <c r="E3256" s="1" t="n">
        <v>46307</v>
      </c>
      <c r="F3256" t="inlineStr">
        <is>
          <t>VÄRMLANDS LÄN</t>
        </is>
      </c>
      <c r="G3256" t="inlineStr">
        <is>
          <t>SÄFFLE</t>
        </is>
      </c>
      <c r="I3256" t="n">
        <v>5</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39128-2023</t>
        </is>
      </c>
      <c r="B3257" t="inlineStr">
        <is>
          <t>avverkningsanmälan</t>
        </is>
      </c>
      <c r="C3257" t="inlineStr">
        <is>
          <t>Föryngringsavverkning</t>
        </is>
      </c>
      <c r="D3257" s="1" t="n">
        <v>45165</v>
      </c>
      <c r="E3257" s="1" t="n">
        <v>46307</v>
      </c>
      <c r="F3257" t="inlineStr">
        <is>
          <t>VÄRMLANDS LÄN</t>
        </is>
      </c>
      <c r="G3257" t="inlineStr">
        <is>
          <t>SUNNE</t>
        </is>
      </c>
      <c r="I3257" t="n">
        <v>3.6</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19245-2024</t>
        </is>
      </c>
      <c r="B3258" t="inlineStr">
        <is>
          <t>avverkningsanmälan</t>
        </is>
      </c>
      <c r="C3258" t="inlineStr">
        <is>
          <t>Föryngringsavverkning</t>
        </is>
      </c>
      <c r="D3258" s="1" t="n">
        <v>45428</v>
      </c>
      <c r="E3258" s="1" t="n">
        <v>46307</v>
      </c>
      <c r="F3258" t="inlineStr">
        <is>
          <t>VÄRMLANDS LÄN</t>
        </is>
      </c>
      <c r="G3258" t="inlineStr">
        <is>
          <t>ÅRJÄNG</t>
        </is>
      </c>
      <c r="H3258" t="inlineStr">
        <is>
          <t>Bergvik skog väst AB</t>
        </is>
      </c>
      <c r="I3258" t="n">
        <v>3</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41542-2025</t>
        </is>
      </c>
      <c r="B3259" t="inlineStr">
        <is>
          <t>avverkningsanmälan</t>
        </is>
      </c>
      <c r="C3259" t="inlineStr">
        <is>
          <t>Föryngringsavverkning</t>
        </is>
      </c>
      <c r="D3259" s="1" t="n">
        <v>45901</v>
      </c>
      <c r="E3259" s="1" t="n">
        <v>46307</v>
      </c>
      <c r="F3259" t="inlineStr">
        <is>
          <t>VÄRMLANDS LÄN</t>
        </is>
      </c>
      <c r="G3259" t="inlineStr">
        <is>
          <t>SÄFFLE</t>
        </is>
      </c>
      <c r="I3259" t="n">
        <v>5.2</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6947-2025</t>
        </is>
      </c>
      <c r="B3260" t="inlineStr">
        <is>
          <t>avverkningsanmälan</t>
        </is>
      </c>
      <c r="C3260" t="inlineStr">
        <is>
          <t>Avverkning för att bevara och utveckla /försöksver</t>
        </is>
      </c>
      <c r="D3260" s="1" t="n">
        <v>45701</v>
      </c>
      <c r="E3260" s="1" t="n">
        <v>46307</v>
      </c>
      <c r="F3260" t="inlineStr">
        <is>
          <t>VÄRMLANDS LÄN</t>
        </is>
      </c>
      <c r="G3260" t="inlineStr">
        <is>
          <t>FORSHAGA</t>
        </is>
      </c>
      <c r="H3260" t="inlineStr">
        <is>
          <t>Bergvik skog väst AB</t>
        </is>
      </c>
      <c r="I3260" t="n">
        <v>2.4</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44170-2024</t>
        </is>
      </c>
      <c r="B3261" t="inlineStr">
        <is>
          <t>avverkningsanmälan</t>
        </is>
      </c>
      <c r="C3261" t="inlineStr">
        <is>
          <t>Föryngringsavverkning</t>
        </is>
      </c>
      <c r="D3261" s="1" t="n">
        <v>45572</v>
      </c>
      <c r="E3261" s="1" t="n">
        <v>46307</v>
      </c>
      <c r="F3261" t="inlineStr">
        <is>
          <t>VÄRMLANDS LÄN</t>
        </is>
      </c>
      <c r="G3261" t="inlineStr">
        <is>
          <t>SUNNE</t>
        </is>
      </c>
      <c r="I3261" t="n">
        <v>0.7</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60932-2024</t>
        </is>
      </c>
      <c r="B3262" t="inlineStr">
        <is>
          <t>avverkningsanmälan</t>
        </is>
      </c>
      <c r="C3262" t="inlineStr">
        <is>
          <t>Föryngringsavverkning</t>
        </is>
      </c>
      <c r="D3262" s="1" t="n">
        <v>45645</v>
      </c>
      <c r="E3262" s="1" t="n">
        <v>46307</v>
      </c>
      <c r="F3262" t="inlineStr">
        <is>
          <t>VÄRMLANDS LÄN</t>
        </is>
      </c>
      <c r="G3262" t="inlineStr">
        <is>
          <t>KARLSTAD</t>
        </is>
      </c>
      <c r="H3262" t="inlineStr">
        <is>
          <t>Bergvik skog väst AB</t>
        </is>
      </c>
      <c r="I3262" t="n">
        <v>3.5</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2009-2025</t>
        </is>
      </c>
      <c r="B3263" t="inlineStr">
        <is>
          <t>avverkningsanmälan</t>
        </is>
      </c>
      <c r="C3263" t="inlineStr">
        <is>
          <t>Föryngringsavverkning</t>
        </is>
      </c>
      <c r="D3263" s="1" t="n">
        <v>45672</v>
      </c>
      <c r="E3263" s="1" t="n">
        <v>46307</v>
      </c>
      <c r="F3263" t="inlineStr">
        <is>
          <t>VÄRMLANDS LÄN</t>
        </is>
      </c>
      <c r="G3263" t="inlineStr">
        <is>
          <t>TORSBY</t>
        </is>
      </c>
      <c r="I3263" t="n">
        <v>3.3</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41718-2025</t>
        </is>
      </c>
      <c r="B3264" t="inlineStr">
        <is>
          <t>avverkningsanmälan</t>
        </is>
      </c>
      <c r="C3264" t="inlineStr">
        <is>
          <t>Avverkning för annat ändamål</t>
        </is>
      </c>
      <c r="D3264" s="1" t="n">
        <v>45902</v>
      </c>
      <c r="E3264" s="1" t="n">
        <v>46307</v>
      </c>
      <c r="F3264" t="inlineStr">
        <is>
          <t>VÄRMLANDS LÄN</t>
        </is>
      </c>
      <c r="G3264" t="inlineStr">
        <is>
          <t>FILIPSTAD</t>
        </is>
      </c>
      <c r="I3264" t="n">
        <v>0.1</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45466-2022</t>
        </is>
      </c>
      <c r="B3265" t="inlineStr">
        <is>
          <t>avverkningsanmälan</t>
        </is>
      </c>
      <c r="C3265" t="inlineStr">
        <is>
          <t>Föryngringsavverkning</t>
        </is>
      </c>
      <c r="D3265" s="1" t="n">
        <v>44845</v>
      </c>
      <c r="E3265" s="1" t="n">
        <v>46307</v>
      </c>
      <c r="F3265" t="inlineStr">
        <is>
          <t>VÄRMLANDS LÄN</t>
        </is>
      </c>
      <c r="G3265" t="inlineStr">
        <is>
          <t>EDA</t>
        </is>
      </c>
      <c r="I3265" t="n">
        <v>1.2</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45467-2022</t>
        </is>
      </c>
      <c r="B3266" t="inlineStr">
        <is>
          <t>avverkningsanmälan</t>
        </is>
      </c>
      <c r="C3266" t="inlineStr">
        <is>
          <t>Föryngringsavverkning</t>
        </is>
      </c>
      <c r="D3266" s="1" t="n">
        <v>44845</v>
      </c>
      <c r="E3266" s="1" t="n">
        <v>46307</v>
      </c>
      <c r="F3266" t="inlineStr">
        <is>
          <t>VÄRMLANDS LÄN</t>
        </is>
      </c>
      <c r="G3266" t="inlineStr">
        <is>
          <t>GRUMS</t>
        </is>
      </c>
      <c r="I3266" t="n">
        <v>4.6</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41770-2025</t>
        </is>
      </c>
      <c r="B3267" t="inlineStr">
        <is>
          <t>avverkningsanmälan</t>
        </is>
      </c>
      <c r="C3267" t="inlineStr">
        <is>
          <t>Föryngringsavverkning</t>
        </is>
      </c>
      <c r="D3267" s="1" t="n">
        <v>45902</v>
      </c>
      <c r="E3267" s="1" t="n">
        <v>46307</v>
      </c>
      <c r="F3267" t="inlineStr">
        <is>
          <t>VÄRMLANDS LÄN</t>
        </is>
      </c>
      <c r="G3267" t="inlineStr">
        <is>
          <t>KRISTINEHAMN</t>
        </is>
      </c>
      <c r="H3267" t="inlineStr">
        <is>
          <t>Sveaskog</t>
        </is>
      </c>
      <c r="I3267" t="n">
        <v>3.1</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53428-2024</t>
        </is>
      </c>
      <c r="B3268" t="inlineStr">
        <is>
          <t>avverkningsanmälan</t>
        </is>
      </c>
      <c r="C3268" t="inlineStr">
        <is>
          <t>Föryngringsavverkning</t>
        </is>
      </c>
      <c r="D3268" s="1" t="n">
        <v>45614</v>
      </c>
      <c r="E3268" s="1" t="n">
        <v>46307</v>
      </c>
      <c r="F3268" t="inlineStr">
        <is>
          <t>VÄRMLANDS LÄN</t>
        </is>
      </c>
      <c r="G3268" t="inlineStr">
        <is>
          <t>SUNNE</t>
        </is>
      </c>
      <c r="I3268" t="n">
        <v>1.7</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5735-2025</t>
        </is>
      </c>
      <c r="B3269" t="inlineStr">
        <is>
          <t>avverkningsanmälan</t>
        </is>
      </c>
      <c r="C3269" t="inlineStr">
        <is>
          <t>Föryngringsavverkning</t>
        </is>
      </c>
      <c r="D3269" s="1" t="n">
        <v>45694</v>
      </c>
      <c r="E3269" s="1" t="n">
        <v>46307</v>
      </c>
      <c r="F3269" t="inlineStr">
        <is>
          <t>VÄRMLANDS LÄN</t>
        </is>
      </c>
      <c r="G3269" t="inlineStr">
        <is>
          <t>EDA</t>
        </is>
      </c>
      <c r="I3269" t="n">
        <v>4.4</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5753-2025</t>
        </is>
      </c>
      <c r="B3270" t="inlineStr">
        <is>
          <t>avverkningsanmälan</t>
        </is>
      </c>
      <c r="C3270" t="inlineStr">
        <is>
          <t>Föryngringsavverkning</t>
        </is>
      </c>
      <c r="D3270" s="1" t="n">
        <v>45694</v>
      </c>
      <c r="E3270" s="1" t="n">
        <v>46307</v>
      </c>
      <c r="F3270" t="inlineStr">
        <is>
          <t>VÄRMLANDS LÄN</t>
        </is>
      </c>
      <c r="G3270" t="inlineStr">
        <is>
          <t>KIL</t>
        </is>
      </c>
      <c r="I3270" t="n">
        <v>1.5</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57136-2023</t>
        </is>
      </c>
      <c r="B3271" t="inlineStr">
        <is>
          <t>avverkningsanmälan</t>
        </is>
      </c>
      <c r="C3271" t="inlineStr">
        <is>
          <t>Föryngringsavverkning</t>
        </is>
      </c>
      <c r="D3271" s="1" t="n">
        <v>45245</v>
      </c>
      <c r="E3271" s="1" t="n">
        <v>46307</v>
      </c>
      <c r="F3271" t="inlineStr">
        <is>
          <t>VÄRMLANDS LÄN</t>
        </is>
      </c>
      <c r="G3271" t="inlineStr">
        <is>
          <t>EDA</t>
        </is>
      </c>
      <c r="H3271" t="inlineStr">
        <is>
          <t>Övriga Aktiebolag</t>
        </is>
      </c>
      <c r="I3271" t="n">
        <v>1.8</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55121-2024</t>
        </is>
      </c>
      <c r="B3272" t="inlineStr">
        <is>
          <t>avverkningsanmälan</t>
        </is>
      </c>
      <c r="C3272" t="inlineStr">
        <is>
          <t>Föryngringsavverkning</t>
        </is>
      </c>
      <c r="D3272" s="1" t="n">
        <v>45621</v>
      </c>
      <c r="E3272" s="1" t="n">
        <v>46307</v>
      </c>
      <c r="F3272" t="inlineStr">
        <is>
          <t>VÄRMLANDS LÄN</t>
        </is>
      </c>
      <c r="G3272" t="inlineStr">
        <is>
          <t>SUNNE</t>
        </is>
      </c>
      <c r="I3272" t="n">
        <v>0.7</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61154-2021</t>
        </is>
      </c>
      <c r="B3273" t="inlineStr">
        <is>
          <t>avverkningsanmälan</t>
        </is>
      </c>
      <c r="C3273" t="inlineStr">
        <is>
          <t>Föryngringsavverkning</t>
        </is>
      </c>
      <c r="D3273" s="1" t="n">
        <v>44497</v>
      </c>
      <c r="E3273" s="1" t="n">
        <v>46307</v>
      </c>
      <c r="F3273" t="inlineStr">
        <is>
          <t>VÄRMLANDS LÄN</t>
        </is>
      </c>
      <c r="G3273" t="inlineStr">
        <is>
          <t>ÅRJÄNG</t>
        </is>
      </c>
      <c r="I3273" t="n">
        <v>1.6</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57711-2023</t>
        </is>
      </c>
      <c r="B3274" t="inlineStr">
        <is>
          <t>avverkningsanmälan</t>
        </is>
      </c>
      <c r="C3274" t="inlineStr">
        <is>
          <t>Föryngringsavverkning</t>
        </is>
      </c>
      <c r="D3274" s="1" t="n">
        <v>45243</v>
      </c>
      <c r="E3274" s="1" t="n">
        <v>46307</v>
      </c>
      <c r="F3274" t="inlineStr">
        <is>
          <t>VÄRMLANDS LÄN</t>
        </is>
      </c>
      <c r="G3274" t="inlineStr">
        <is>
          <t>SUNNE</t>
        </is>
      </c>
      <c r="I3274" t="n">
        <v>2.8</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51266-2024</t>
        </is>
      </c>
      <c r="B3275" t="inlineStr">
        <is>
          <t>avverkningsanmälan</t>
        </is>
      </c>
      <c r="C3275" t="inlineStr">
        <is>
          <t>Föryngringsavverkning</t>
        </is>
      </c>
      <c r="D3275" s="1" t="n">
        <v>45603</v>
      </c>
      <c r="E3275" s="1" t="n">
        <v>46307</v>
      </c>
      <c r="F3275" t="inlineStr">
        <is>
          <t>VÄRMLANDS LÄN</t>
        </is>
      </c>
      <c r="G3275" t="inlineStr">
        <is>
          <t>SÄFFLE</t>
        </is>
      </c>
      <c r="I3275" t="n">
        <v>3.5</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14378-2022</t>
        </is>
      </c>
      <c r="B3276" t="inlineStr">
        <is>
          <t>avverkningsanmälan</t>
        </is>
      </c>
      <c r="C3276" t="inlineStr">
        <is>
          <t>Föryngringsavverkning</t>
        </is>
      </c>
      <c r="D3276" s="1" t="n">
        <v>44652</v>
      </c>
      <c r="E3276" s="1" t="n">
        <v>46307</v>
      </c>
      <c r="F3276" t="inlineStr">
        <is>
          <t>VÄRMLANDS LÄN</t>
        </is>
      </c>
      <c r="G3276" t="inlineStr">
        <is>
          <t>SUNNE</t>
        </is>
      </c>
      <c r="I3276" t="n">
        <v>3</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4506-2025</t>
        </is>
      </c>
      <c r="B3277" t="inlineStr">
        <is>
          <t>avverkningsanmälan</t>
        </is>
      </c>
      <c r="C3277" t="inlineStr">
        <is>
          <t>Föryngringsavverkning</t>
        </is>
      </c>
      <c r="D3277" s="1" t="n">
        <v>45686</v>
      </c>
      <c r="E3277" s="1" t="n">
        <v>46307</v>
      </c>
      <c r="F3277" t="inlineStr">
        <is>
          <t>VÄRMLANDS LÄN</t>
        </is>
      </c>
      <c r="G3277" t="inlineStr">
        <is>
          <t>ARVIKA</t>
        </is>
      </c>
      <c r="I3277" t="n">
        <v>0.2</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6551-2025</t>
        </is>
      </c>
      <c r="B3278" t="inlineStr">
        <is>
          <t>avverkningsanmälan</t>
        </is>
      </c>
      <c r="C3278" t="inlineStr">
        <is>
          <t>Föryngringsavverkning</t>
        </is>
      </c>
      <c r="D3278" s="1" t="n">
        <v>45699</v>
      </c>
      <c r="E3278" s="1" t="n">
        <v>46307</v>
      </c>
      <c r="F3278" t="inlineStr">
        <is>
          <t>VÄRMLANDS LÄN</t>
        </is>
      </c>
      <c r="G3278" t="inlineStr">
        <is>
          <t>ÅRJÄNG</t>
        </is>
      </c>
      <c r="I3278" t="n">
        <v>0.9</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41592-2025</t>
        </is>
      </c>
      <c r="B3279" t="inlineStr">
        <is>
          <t>avverkningsanmälan</t>
        </is>
      </c>
      <c r="C3279" t="inlineStr">
        <is>
          <t>Föryngringsavverkning</t>
        </is>
      </c>
      <c r="D3279" s="1" t="n">
        <v>45901</v>
      </c>
      <c r="E3279" s="1" t="n">
        <v>46307</v>
      </c>
      <c r="F3279" t="inlineStr">
        <is>
          <t>VÄRMLANDS LÄN</t>
        </is>
      </c>
      <c r="G3279" t="inlineStr">
        <is>
          <t>SUNNE</t>
        </is>
      </c>
      <c r="H3279" t="inlineStr">
        <is>
          <t>Kyrkan</t>
        </is>
      </c>
      <c r="I3279" t="n">
        <v>3</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32877-2024</t>
        </is>
      </c>
      <c r="B3280" t="inlineStr">
        <is>
          <t>avverkningsanmälan</t>
        </is>
      </c>
      <c r="C3280" t="inlineStr">
        <is>
          <t>Föryngringsavverkning</t>
        </is>
      </c>
      <c r="D3280" s="1" t="n">
        <v>45516</v>
      </c>
      <c r="E3280" s="1" t="n">
        <v>46307</v>
      </c>
      <c r="F3280" t="inlineStr">
        <is>
          <t>VÄRMLANDS LÄN</t>
        </is>
      </c>
      <c r="G3280" t="inlineStr">
        <is>
          <t>SÄFFLE</t>
        </is>
      </c>
      <c r="I3280" t="n">
        <v>10.2</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23451-2024</t>
        </is>
      </c>
      <c r="B3281" t="inlineStr">
        <is>
          <t>avverkningsanmälan</t>
        </is>
      </c>
      <c r="C3281" t="inlineStr">
        <is>
          <t>Föryngringsavverkning</t>
        </is>
      </c>
      <c r="D3281" s="1" t="n">
        <v>45453</v>
      </c>
      <c r="E3281" s="1" t="n">
        <v>46307</v>
      </c>
      <c r="F3281" t="inlineStr">
        <is>
          <t>VÄRMLANDS LÄN</t>
        </is>
      </c>
      <c r="G3281" t="inlineStr">
        <is>
          <t>FORSHAGA</t>
        </is>
      </c>
      <c r="I3281" t="n">
        <v>6.1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41626-2025</t>
        </is>
      </c>
      <c r="B3282" t="inlineStr">
        <is>
          <t>avverkningsanmälan</t>
        </is>
      </c>
      <c r="C3282" t="inlineStr">
        <is>
          <t>Föryngringsavverkning</t>
        </is>
      </c>
      <c r="D3282" s="1" t="n">
        <v>45901</v>
      </c>
      <c r="E3282" s="1" t="n">
        <v>46307</v>
      </c>
      <c r="F3282" t="inlineStr">
        <is>
          <t>VÄRMLANDS LÄN</t>
        </is>
      </c>
      <c r="G3282" t="inlineStr">
        <is>
          <t>SUNNE</t>
        </is>
      </c>
      <c r="I3282" t="n">
        <v>0.2</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12286-2025</t>
        </is>
      </c>
      <c r="B3283" t="inlineStr">
        <is>
          <t>avverkningsanmälan</t>
        </is>
      </c>
      <c r="C3283" t="inlineStr">
        <is>
          <t>Föryngringsavverkning</t>
        </is>
      </c>
      <c r="D3283" s="1" t="n">
        <v>45729</v>
      </c>
      <c r="E3283" s="1" t="n">
        <v>46307</v>
      </c>
      <c r="F3283" t="inlineStr">
        <is>
          <t>VÄRMLANDS LÄN</t>
        </is>
      </c>
      <c r="G3283" t="inlineStr">
        <is>
          <t>EDA</t>
        </is>
      </c>
      <c r="I3283" t="n">
        <v>2.7</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63627-2021</t>
        </is>
      </c>
      <c r="B3284" t="inlineStr">
        <is>
          <t>avverkningsanmälan</t>
        </is>
      </c>
      <c r="C3284" t="inlineStr">
        <is>
          <t>Föryngringsavverkning</t>
        </is>
      </c>
      <c r="D3284" s="1" t="n">
        <v>44496</v>
      </c>
      <c r="E3284" s="1" t="n">
        <v>46307</v>
      </c>
      <c r="F3284" t="inlineStr">
        <is>
          <t>VÄRMLANDS LÄN</t>
        </is>
      </c>
      <c r="G3284" t="inlineStr">
        <is>
          <t>ARVIKA</t>
        </is>
      </c>
      <c r="I3284" t="n">
        <v>1.8</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47152-2023</t>
        </is>
      </c>
      <c r="B3285" t="inlineStr">
        <is>
          <t>avverkningsanmälan</t>
        </is>
      </c>
      <c r="C3285" t="inlineStr">
        <is>
          <t>Föryngringsavverkning</t>
        </is>
      </c>
      <c r="D3285" s="1" t="n">
        <v>45201</v>
      </c>
      <c r="E3285" s="1" t="n">
        <v>46307</v>
      </c>
      <c r="F3285" t="inlineStr">
        <is>
          <t>VÄRMLANDS LÄN</t>
        </is>
      </c>
      <c r="G3285" t="inlineStr">
        <is>
          <t>GRUMS</t>
        </is>
      </c>
      <c r="I3285" t="n">
        <v>0.5</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59350-2023</t>
        </is>
      </c>
      <c r="B3286" t="inlineStr">
        <is>
          <t>avverkningsanmälan</t>
        </is>
      </c>
      <c r="C3286" t="inlineStr">
        <is>
          <t>Föryngringsavverkning</t>
        </is>
      </c>
      <c r="D3286" s="1" t="n">
        <v>45252</v>
      </c>
      <c r="E3286" s="1" t="n">
        <v>46307</v>
      </c>
      <c r="F3286" t="inlineStr">
        <is>
          <t>VÄRMLANDS LÄN</t>
        </is>
      </c>
      <c r="G3286" t="inlineStr">
        <is>
          <t>EDA</t>
        </is>
      </c>
      <c r="I3286" t="n">
        <v>1</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41784-2025</t>
        </is>
      </c>
      <c r="B3287" t="inlineStr">
        <is>
          <t>avverkningsanmälan</t>
        </is>
      </c>
      <c r="C3287" t="inlineStr">
        <is>
          <t>Föryngringsavverkning</t>
        </is>
      </c>
      <c r="D3287" s="1" t="n">
        <v>45902</v>
      </c>
      <c r="E3287" s="1" t="n">
        <v>46307</v>
      </c>
      <c r="F3287" t="inlineStr">
        <is>
          <t>VÄRMLANDS LÄN</t>
        </is>
      </c>
      <c r="G3287" t="inlineStr">
        <is>
          <t>HAGFORS</t>
        </is>
      </c>
      <c r="H3287" t="inlineStr">
        <is>
          <t>Bergvik skog väst AB</t>
        </is>
      </c>
      <c r="I3287" t="n">
        <v>0.8</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30207-2023</t>
        </is>
      </c>
      <c r="B3288" t="inlineStr">
        <is>
          <t>avverkningsanmälan</t>
        </is>
      </c>
      <c r="C3288" t="inlineStr">
        <is>
          <t>Föryngringsavverkning</t>
        </is>
      </c>
      <c r="D3288" s="1" t="n">
        <v>45110</v>
      </c>
      <c r="E3288" s="1" t="n">
        <v>46307</v>
      </c>
      <c r="F3288" t="inlineStr">
        <is>
          <t>VÄRMLANDS LÄN</t>
        </is>
      </c>
      <c r="G3288" t="inlineStr">
        <is>
          <t>SUNNE</t>
        </is>
      </c>
      <c r="I3288" t="n">
        <v>1.5</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50353-2023</t>
        </is>
      </c>
      <c r="B3289" t="inlineStr">
        <is>
          <t>avverkningsanmälan</t>
        </is>
      </c>
      <c r="C3289" t="inlineStr">
        <is>
          <t>Föryngringsavverkning</t>
        </is>
      </c>
      <c r="D3289" s="1" t="n">
        <v>45216</v>
      </c>
      <c r="E3289" s="1" t="n">
        <v>46307</v>
      </c>
      <c r="F3289" t="inlineStr">
        <is>
          <t>VÄRMLANDS LÄN</t>
        </is>
      </c>
      <c r="G3289" t="inlineStr">
        <is>
          <t>SUNNE</t>
        </is>
      </c>
      <c r="I3289" t="n">
        <v>0.6</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59312-2023</t>
        </is>
      </c>
      <c r="B3290" t="inlineStr">
        <is>
          <t>avverkningsanmälan</t>
        </is>
      </c>
      <c r="C3290" t="inlineStr">
        <is>
          <t>Föryngringsavverkning</t>
        </is>
      </c>
      <c r="D3290" s="1" t="n">
        <v>45253</v>
      </c>
      <c r="E3290" s="1" t="n">
        <v>46307</v>
      </c>
      <c r="F3290" t="inlineStr">
        <is>
          <t>VÄRMLANDS LÄN</t>
        </is>
      </c>
      <c r="G3290" t="inlineStr">
        <is>
          <t>SÄFFLE</t>
        </is>
      </c>
      <c r="I3290" t="n">
        <v>8.699999999999999</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48444-2023</t>
        </is>
      </c>
      <c r="B3291" t="inlineStr">
        <is>
          <t>avverkningsanmälan</t>
        </is>
      </c>
      <c r="C3291" t="inlineStr">
        <is>
          <t>Föryngringsavverkning</t>
        </is>
      </c>
      <c r="D3291" s="1" t="n">
        <v>45206</v>
      </c>
      <c r="E3291" s="1" t="n">
        <v>46307</v>
      </c>
      <c r="F3291" t="inlineStr">
        <is>
          <t>VÄRMLANDS LÄN</t>
        </is>
      </c>
      <c r="G3291" t="inlineStr">
        <is>
          <t>ÅRJÄNG</t>
        </is>
      </c>
      <c r="I3291" t="n">
        <v>0.9</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48457-2023</t>
        </is>
      </c>
      <c r="B3292" t="inlineStr">
        <is>
          <t>avverkningsanmälan</t>
        </is>
      </c>
      <c r="C3292" t="inlineStr">
        <is>
          <t>Föryngringsavverkning</t>
        </is>
      </c>
      <c r="D3292" s="1" t="n">
        <v>45206</v>
      </c>
      <c r="E3292" s="1" t="n">
        <v>46307</v>
      </c>
      <c r="F3292" t="inlineStr">
        <is>
          <t>VÄRMLANDS LÄN</t>
        </is>
      </c>
      <c r="G3292" t="inlineStr">
        <is>
          <t>ARVIKA</t>
        </is>
      </c>
      <c r="I3292" t="n">
        <v>1.7</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3975-2025</t>
        </is>
      </c>
      <c r="B3293" t="inlineStr">
        <is>
          <t>avverkningsanmälan</t>
        </is>
      </c>
      <c r="C3293" t="inlineStr">
        <is>
          <t>Föryngringsavverkning</t>
        </is>
      </c>
      <c r="D3293" s="1" t="n">
        <v>45684</v>
      </c>
      <c r="E3293" s="1" t="n">
        <v>46307</v>
      </c>
      <c r="F3293" t="inlineStr">
        <is>
          <t>VÄRMLANDS LÄN</t>
        </is>
      </c>
      <c r="G3293" t="inlineStr">
        <is>
          <t>EDA</t>
        </is>
      </c>
      <c r="I3293" t="n">
        <v>0.7</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3980-2025</t>
        </is>
      </c>
      <c r="B3294" t="inlineStr">
        <is>
          <t>avverkningsanmälan</t>
        </is>
      </c>
      <c r="C3294" t="inlineStr">
        <is>
          <t>Föryngringsavverkning</t>
        </is>
      </c>
      <c r="D3294" s="1" t="n">
        <v>45684</v>
      </c>
      <c r="E3294" s="1" t="n">
        <v>46307</v>
      </c>
      <c r="F3294" t="inlineStr">
        <is>
          <t>VÄRMLANDS LÄN</t>
        </is>
      </c>
      <c r="G3294" t="inlineStr">
        <is>
          <t>HAGFORS</t>
        </is>
      </c>
      <c r="I3294" t="n">
        <v>1.8</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4012-2025</t>
        </is>
      </c>
      <c r="B3295" t="inlineStr">
        <is>
          <t>avverkningsanmälan</t>
        </is>
      </c>
      <c r="C3295" t="inlineStr">
        <is>
          <t>Föryngringsavverkning</t>
        </is>
      </c>
      <c r="D3295" s="1" t="n">
        <v>45684</v>
      </c>
      <c r="E3295" s="1" t="n">
        <v>46307</v>
      </c>
      <c r="F3295" t="inlineStr">
        <is>
          <t>VÄRMLANDS LÄN</t>
        </is>
      </c>
      <c r="G3295" t="inlineStr">
        <is>
          <t>HAGFORS</t>
        </is>
      </c>
      <c r="I3295" t="n">
        <v>2.2</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48878-2023</t>
        </is>
      </c>
      <c r="B3296" t="inlineStr">
        <is>
          <t>avverkningsanmälan</t>
        </is>
      </c>
      <c r="C3296" t="inlineStr">
        <is>
          <t>Föryngringsavverkning</t>
        </is>
      </c>
      <c r="D3296" s="1" t="n">
        <v>45204</v>
      </c>
      <c r="E3296" s="1" t="n">
        <v>46307</v>
      </c>
      <c r="F3296" t="inlineStr">
        <is>
          <t>VÄRMLANDS LÄN</t>
        </is>
      </c>
      <c r="G3296" t="inlineStr">
        <is>
          <t>SÄFFLE</t>
        </is>
      </c>
      <c r="I3296" t="n">
        <v>0.9</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16492-2023</t>
        </is>
      </c>
      <c r="B3297" t="inlineStr">
        <is>
          <t>avverkningsanmälan</t>
        </is>
      </c>
      <c r="C3297" t="inlineStr">
        <is>
          <t>Föryngringsavverkning</t>
        </is>
      </c>
      <c r="D3297" s="1" t="n">
        <v>45029</v>
      </c>
      <c r="E3297" s="1" t="n">
        <v>46307</v>
      </c>
      <c r="F3297" t="inlineStr">
        <is>
          <t>VÄRMLANDS LÄN</t>
        </is>
      </c>
      <c r="G3297" t="inlineStr">
        <is>
          <t>SUNNE</t>
        </is>
      </c>
      <c r="I3297" t="n">
        <v>2.8</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37945-2024</t>
        </is>
      </c>
      <c r="B3298" t="inlineStr">
        <is>
          <t>avverkningsanmälan</t>
        </is>
      </c>
      <c r="C3298" t="inlineStr">
        <is>
          <t>Föryngringsavverkning</t>
        </is>
      </c>
      <c r="D3298" s="1" t="n">
        <v>45544</v>
      </c>
      <c r="E3298" s="1" t="n">
        <v>46307</v>
      </c>
      <c r="F3298" t="inlineStr">
        <is>
          <t>VÄRMLANDS LÄN</t>
        </is>
      </c>
      <c r="G3298" t="inlineStr">
        <is>
          <t>FILIPSTAD</t>
        </is>
      </c>
      <c r="H3298" t="inlineStr">
        <is>
          <t>Bergvik skog väst AB</t>
        </is>
      </c>
      <c r="I3298" t="n">
        <v>5.2</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37982-2024</t>
        </is>
      </c>
      <c r="B3299" t="inlineStr">
        <is>
          <t>avverkningsanmälan</t>
        </is>
      </c>
      <c r="C3299" t="inlineStr">
        <is>
          <t>Föryngringsavverkning</t>
        </is>
      </c>
      <c r="D3299" s="1" t="n">
        <v>45544</v>
      </c>
      <c r="E3299" s="1" t="n">
        <v>46307</v>
      </c>
      <c r="F3299" t="inlineStr">
        <is>
          <t>VÄRMLANDS LÄN</t>
        </is>
      </c>
      <c r="G3299" t="inlineStr">
        <is>
          <t>KARLSTAD</t>
        </is>
      </c>
      <c r="I3299" t="n">
        <v>6.3</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54852-2024</t>
        </is>
      </c>
      <c r="B3300" t="inlineStr">
        <is>
          <t>avverkningsanmälan</t>
        </is>
      </c>
      <c r="C3300" t="inlineStr">
        <is>
          <t>Föryngringsavverkning</t>
        </is>
      </c>
      <c r="D3300" s="1" t="n">
        <v>45618</v>
      </c>
      <c r="E3300" s="1" t="n">
        <v>46307</v>
      </c>
      <c r="F3300" t="inlineStr">
        <is>
          <t>VÄRMLANDS LÄN</t>
        </is>
      </c>
      <c r="G3300" t="inlineStr">
        <is>
          <t>ARVIKA</t>
        </is>
      </c>
      <c r="I3300" t="n">
        <v>0.9</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20872-2024</t>
        </is>
      </c>
      <c r="B3301" t="inlineStr">
        <is>
          <t>avverkningsanmälan</t>
        </is>
      </c>
      <c r="C3301" t="inlineStr">
        <is>
          <t>Föryngringsavverkning</t>
        </is>
      </c>
      <c r="D3301" s="1" t="n">
        <v>45439</v>
      </c>
      <c r="E3301" s="1" t="n">
        <v>46307</v>
      </c>
      <c r="F3301" t="inlineStr">
        <is>
          <t>VÄRMLANDS LÄN</t>
        </is>
      </c>
      <c r="G3301" t="inlineStr">
        <is>
          <t>TORSBY</t>
        </is>
      </c>
      <c r="I3301" t="n">
        <v>7.4</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44519-2023</t>
        </is>
      </c>
      <c r="B3302" t="inlineStr">
        <is>
          <t>avverkningsanmälan</t>
        </is>
      </c>
      <c r="C3302" t="inlineStr">
        <is>
          <t>Föryngringsavverkning</t>
        </is>
      </c>
      <c r="D3302" s="1" t="n">
        <v>45189</v>
      </c>
      <c r="E3302" s="1" t="n">
        <v>46307</v>
      </c>
      <c r="F3302" t="inlineStr">
        <is>
          <t>VÄRMLANDS LÄN</t>
        </is>
      </c>
      <c r="G3302" t="inlineStr">
        <is>
          <t>ARVIKA</t>
        </is>
      </c>
      <c r="I3302" t="n">
        <v>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51316-2024</t>
        </is>
      </c>
      <c r="B3303" t="inlineStr">
        <is>
          <t>avverkningsanmälan</t>
        </is>
      </c>
      <c r="C3303" t="inlineStr">
        <is>
          <t>Föryngringsavverkning</t>
        </is>
      </c>
      <c r="D3303" s="1" t="n">
        <v>45604</v>
      </c>
      <c r="E3303" s="1" t="n">
        <v>46307</v>
      </c>
      <c r="F3303" t="inlineStr">
        <is>
          <t>VÄRMLANDS LÄN</t>
        </is>
      </c>
      <c r="G3303" t="inlineStr">
        <is>
          <t>ARVIKA</t>
        </is>
      </c>
      <c r="I3303" t="n">
        <v>0.7</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44270-2022</t>
        </is>
      </c>
      <c r="B3304" t="inlineStr">
        <is>
          <t>avverkningsanmälan</t>
        </is>
      </c>
      <c r="C3304" t="inlineStr">
        <is>
          <t>Föryngringsavverkning</t>
        </is>
      </c>
      <c r="D3304" s="1" t="n">
        <v>44839</v>
      </c>
      <c r="E3304" s="1" t="n">
        <v>46307</v>
      </c>
      <c r="F3304" t="inlineStr">
        <is>
          <t>VÄRMLANDS LÄN</t>
        </is>
      </c>
      <c r="G3304" t="inlineStr">
        <is>
          <t>ARVIKA</t>
        </is>
      </c>
      <c r="I3304" t="n">
        <v>1.3</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60344-2023</t>
        </is>
      </c>
      <c r="B3305" t="inlineStr">
        <is>
          <t>avverkningsanmälan</t>
        </is>
      </c>
      <c r="C3305" t="inlineStr">
        <is>
          <t>Föryngringsavverkning</t>
        </is>
      </c>
      <c r="D3305" s="1" t="n">
        <v>45259</v>
      </c>
      <c r="E3305" s="1" t="n">
        <v>46307</v>
      </c>
      <c r="F3305" t="inlineStr">
        <is>
          <t>VÄRMLANDS LÄN</t>
        </is>
      </c>
      <c r="G3305" t="inlineStr">
        <is>
          <t>ARVIKA</t>
        </is>
      </c>
      <c r="I3305" t="n">
        <v>3</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38100-2024</t>
        </is>
      </c>
      <c r="B3306" t="inlineStr">
        <is>
          <t>avverkningsanmälan</t>
        </is>
      </c>
      <c r="C3306" t="inlineStr">
        <is>
          <t>Föryngringsavverkning</t>
        </is>
      </c>
      <c r="D3306" s="1" t="n">
        <v>45545</v>
      </c>
      <c r="E3306" s="1" t="n">
        <v>46307</v>
      </c>
      <c r="F3306" t="inlineStr">
        <is>
          <t>VÄRMLANDS LÄN</t>
        </is>
      </c>
      <c r="G3306" t="inlineStr">
        <is>
          <t>TORSBY</t>
        </is>
      </c>
      <c r="I3306" t="n">
        <v>0.9</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10701-2022</t>
        </is>
      </c>
      <c r="B3307" t="inlineStr">
        <is>
          <t>avverkningsanmälan</t>
        </is>
      </c>
      <c r="C3307" t="inlineStr">
        <is>
          <t>Föryngringsavverkning</t>
        </is>
      </c>
      <c r="D3307" s="1" t="n">
        <v>44625</v>
      </c>
      <c r="E3307" s="1" t="n">
        <v>46307</v>
      </c>
      <c r="F3307" t="inlineStr">
        <is>
          <t>VÄRMLANDS LÄN</t>
        </is>
      </c>
      <c r="G3307" t="inlineStr">
        <is>
          <t>EDA</t>
        </is>
      </c>
      <c r="I3307" t="n">
        <v>0.3</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3333-2025</t>
        </is>
      </c>
      <c r="B3308" t="inlineStr">
        <is>
          <t>avverkningsanmälan</t>
        </is>
      </c>
      <c r="C3308" t="inlineStr">
        <is>
          <t>Föryngringsavverkning</t>
        </is>
      </c>
      <c r="D3308" s="1" t="n">
        <v>45679</v>
      </c>
      <c r="E3308" s="1" t="n">
        <v>46307</v>
      </c>
      <c r="F3308" t="inlineStr">
        <is>
          <t>VÄRMLANDS LÄN</t>
        </is>
      </c>
      <c r="G3308" t="inlineStr">
        <is>
          <t>MUNKFORS</t>
        </is>
      </c>
      <c r="I3308" t="n">
        <v>2.9</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36971-2024</t>
        </is>
      </c>
      <c r="B3309" t="inlineStr">
        <is>
          <t>avverkningsanmälan</t>
        </is>
      </c>
      <c r="C3309" t="inlineStr">
        <is>
          <t>Föryngringsavverkning</t>
        </is>
      </c>
      <c r="D3309" s="1" t="n">
        <v>45538</v>
      </c>
      <c r="E3309" s="1" t="n">
        <v>46307</v>
      </c>
      <c r="F3309" t="inlineStr">
        <is>
          <t>VÄRMLANDS LÄN</t>
        </is>
      </c>
      <c r="G3309" t="inlineStr">
        <is>
          <t>KIL</t>
        </is>
      </c>
      <c r="I3309" t="n">
        <v>17.9</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25949-2024</t>
        </is>
      </c>
      <c r="B3310" t="inlineStr">
        <is>
          <t>avverkningsanmälan</t>
        </is>
      </c>
      <c r="C3310" t="inlineStr">
        <is>
          <t>Föryngringsavverkning</t>
        </is>
      </c>
      <c r="D3310" s="1" t="n">
        <v>45467</v>
      </c>
      <c r="E3310" s="1" t="n">
        <v>46307</v>
      </c>
      <c r="F3310" t="inlineStr">
        <is>
          <t>VÄRMLANDS LÄN</t>
        </is>
      </c>
      <c r="G3310" t="inlineStr">
        <is>
          <t>TORSBY</t>
        </is>
      </c>
      <c r="H3310" t="inlineStr">
        <is>
          <t>Bergvik skog väst AB</t>
        </is>
      </c>
      <c r="I3310" t="n">
        <v>2.3</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25405-2023</t>
        </is>
      </c>
      <c r="B3311" t="inlineStr">
        <is>
          <t>avverkningsanmälan</t>
        </is>
      </c>
      <c r="C3311" t="inlineStr">
        <is>
          <t>Föryngringsavverkning</t>
        </is>
      </c>
      <c r="D3311" s="1" t="n">
        <v>45089</v>
      </c>
      <c r="E3311" s="1" t="n">
        <v>46307</v>
      </c>
      <c r="F3311" t="inlineStr">
        <is>
          <t>VÄRMLANDS LÄN</t>
        </is>
      </c>
      <c r="G3311" t="inlineStr">
        <is>
          <t>ARVIKA</t>
        </is>
      </c>
      <c r="I3311" t="n">
        <v>0.9</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42352-2025</t>
        </is>
      </c>
      <c r="B3312" t="inlineStr">
        <is>
          <t>avverkningsanmälan</t>
        </is>
      </c>
      <c r="C3312" t="inlineStr">
        <is>
          <t>Avverkning för annat ändamål</t>
        </is>
      </c>
      <c r="D3312" s="1" t="n">
        <v>45904</v>
      </c>
      <c r="E3312" s="1" t="n">
        <v>46307</v>
      </c>
      <c r="F3312" t="inlineStr">
        <is>
          <t>VÄRMLANDS LÄN</t>
        </is>
      </c>
      <c r="G3312" t="inlineStr">
        <is>
          <t>TORSBY</t>
        </is>
      </c>
      <c r="I3312" t="n">
        <v>0.1</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4231-2024</t>
        </is>
      </c>
      <c r="B3313" t="inlineStr">
        <is>
          <t>avverkningsanmälan</t>
        </is>
      </c>
      <c r="C3313" t="inlineStr">
        <is>
          <t>Föryngringsavverkning</t>
        </is>
      </c>
      <c r="D3313" s="1" t="n">
        <v>45324</v>
      </c>
      <c r="E3313" s="1" t="n">
        <v>46307</v>
      </c>
      <c r="F3313" t="inlineStr">
        <is>
          <t>VÄRMLANDS LÄN</t>
        </is>
      </c>
      <c r="G3313" t="inlineStr">
        <is>
          <t>TORSBY</t>
        </is>
      </c>
      <c r="I3313" t="n">
        <v>3.6</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42236-2025</t>
        </is>
      </c>
      <c r="B3314" t="inlineStr">
        <is>
          <t>avverkningsanmälan</t>
        </is>
      </c>
      <c r="C3314" t="inlineStr">
        <is>
          <t>Föryngringsavverkning</t>
        </is>
      </c>
      <c r="D3314" s="1" t="n">
        <v>45904</v>
      </c>
      <c r="E3314" s="1" t="n">
        <v>46307</v>
      </c>
      <c r="F3314" t="inlineStr">
        <is>
          <t>VÄRMLANDS LÄN</t>
        </is>
      </c>
      <c r="G3314" t="inlineStr">
        <is>
          <t>ARVIKA</t>
        </is>
      </c>
      <c r="I3314" t="n">
        <v>14.4</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71447-2021</t>
        </is>
      </c>
      <c r="B3315" t="inlineStr">
        <is>
          <t>avverkningsanmälan</t>
        </is>
      </c>
      <c r="C3315" t="inlineStr">
        <is>
          <t>Föryngringsavverkning</t>
        </is>
      </c>
      <c r="D3315" s="1" t="n">
        <v>44540</v>
      </c>
      <c r="E3315" s="1" t="n">
        <v>46307</v>
      </c>
      <c r="F3315" t="inlineStr">
        <is>
          <t>VÄRMLANDS LÄN</t>
        </is>
      </c>
      <c r="G3315" t="inlineStr">
        <is>
          <t>HAGFORS</t>
        </is>
      </c>
      <c r="H3315" t="inlineStr">
        <is>
          <t>Bergvik skog väst AB</t>
        </is>
      </c>
      <c r="I3315" t="n">
        <v>2.1</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34393-2024</t>
        </is>
      </c>
      <c r="B3316" t="inlineStr">
        <is>
          <t>avverkningsanmälan</t>
        </is>
      </c>
      <c r="C3316" t="inlineStr">
        <is>
          <t>Föryngringsavverkning</t>
        </is>
      </c>
      <c r="D3316" s="1" t="n">
        <v>45525</v>
      </c>
      <c r="E3316" s="1" t="n">
        <v>46307</v>
      </c>
      <c r="F3316" t="inlineStr">
        <is>
          <t>VÄRMLANDS LÄN</t>
        </is>
      </c>
      <c r="G3316" t="inlineStr">
        <is>
          <t>EDA</t>
        </is>
      </c>
      <c r="I3316" t="n">
        <v>2.6</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42349-2025</t>
        </is>
      </c>
      <c r="B3317" t="inlineStr">
        <is>
          <t>avverkningsanmälan</t>
        </is>
      </c>
      <c r="C3317" t="inlineStr">
        <is>
          <t>Avverkning för annat ändamål</t>
        </is>
      </c>
      <c r="D3317" s="1" t="n">
        <v>45904</v>
      </c>
      <c r="E3317" s="1" t="n">
        <v>46307</v>
      </c>
      <c r="F3317" t="inlineStr">
        <is>
          <t>VÄRMLANDS LÄN</t>
        </is>
      </c>
      <c r="G3317" t="inlineStr">
        <is>
          <t>TORSBY</t>
        </is>
      </c>
      <c r="I3317" t="n">
        <v>0.2</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42315-2025</t>
        </is>
      </c>
      <c r="B3318" t="inlineStr">
        <is>
          <t>avverkningsanmälan</t>
        </is>
      </c>
      <c r="C3318" t="inlineStr">
        <is>
          <t>Föryngringsavverkning</t>
        </is>
      </c>
      <c r="D3318" s="1" t="n">
        <v>45904</v>
      </c>
      <c r="E3318" s="1" t="n">
        <v>46307</v>
      </c>
      <c r="F3318" t="inlineStr">
        <is>
          <t>VÄRMLANDS LÄN</t>
        </is>
      </c>
      <c r="G3318" t="inlineStr">
        <is>
          <t>ARVIKA</t>
        </is>
      </c>
      <c r="H3318" t="inlineStr">
        <is>
          <t>Bergvik skog väst AB</t>
        </is>
      </c>
      <c r="I3318" t="n">
        <v>7.4</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40754-2024</t>
        </is>
      </c>
      <c r="B3319" t="inlineStr">
        <is>
          <t>avverkningsanmälan</t>
        </is>
      </c>
      <c r="C3319" t="inlineStr">
        <is>
          <t>Föryngringsavverkning</t>
        </is>
      </c>
      <c r="D3319" s="1" t="n">
        <v>45558</v>
      </c>
      <c r="E3319" s="1" t="n">
        <v>46307</v>
      </c>
      <c r="F3319" t="inlineStr">
        <is>
          <t>VÄRMLANDS LÄN</t>
        </is>
      </c>
      <c r="G3319" t="inlineStr">
        <is>
          <t>SÄFFLE</t>
        </is>
      </c>
      <c r="I3319" t="n">
        <v>1.8</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36926-2024</t>
        </is>
      </c>
      <c r="B3320" t="inlineStr">
        <is>
          <t>avverkningsanmälan</t>
        </is>
      </c>
      <c r="C3320" t="inlineStr">
        <is>
          <t>Föryngringsavverkning</t>
        </is>
      </c>
      <c r="D3320" s="1" t="n">
        <v>45538</v>
      </c>
      <c r="E3320" s="1" t="n">
        <v>46307</v>
      </c>
      <c r="F3320" t="inlineStr">
        <is>
          <t>VÄRMLANDS LÄN</t>
        </is>
      </c>
      <c r="G3320" t="inlineStr">
        <is>
          <t>SUNNE</t>
        </is>
      </c>
      <c r="I3320" t="n">
        <v>0.9</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67172-2021</t>
        </is>
      </c>
      <c r="B3321" t="inlineStr">
        <is>
          <t>avverkningsanmälan</t>
        </is>
      </c>
      <c r="C3321" t="inlineStr">
        <is>
          <t>Föryngringsavverkning</t>
        </is>
      </c>
      <c r="D3321" s="1" t="n">
        <v>44523</v>
      </c>
      <c r="E3321" s="1" t="n">
        <v>46307</v>
      </c>
      <c r="F3321" t="inlineStr">
        <is>
          <t>VÄRMLANDS LÄN</t>
        </is>
      </c>
      <c r="G3321" t="inlineStr">
        <is>
          <t>TORSBY</t>
        </is>
      </c>
      <c r="I3321" t="n">
        <v>0.5</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15908-2025</t>
        </is>
      </c>
      <c r="B3322" t="inlineStr">
        <is>
          <t>avverkningsanmälan</t>
        </is>
      </c>
      <c r="C3322" t="inlineStr">
        <is>
          <t>Föryngringsavverkning</t>
        </is>
      </c>
      <c r="D3322" s="1" t="n">
        <v>45749</v>
      </c>
      <c r="E3322" s="1" t="n">
        <v>46307</v>
      </c>
      <c r="F3322" t="inlineStr">
        <is>
          <t>VÄRMLANDS LÄN</t>
        </is>
      </c>
      <c r="G3322" t="inlineStr">
        <is>
          <t>SUNNE</t>
        </is>
      </c>
      <c r="I3322" t="n">
        <v>0.6</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15962-2025</t>
        </is>
      </c>
      <c r="B3323" t="inlineStr">
        <is>
          <t>avverkningsanmälan</t>
        </is>
      </c>
      <c r="C3323" t="inlineStr">
        <is>
          <t>Föryngringsavverkning</t>
        </is>
      </c>
      <c r="D3323" s="1" t="n">
        <v>45749</v>
      </c>
      <c r="E3323" s="1" t="n">
        <v>46307</v>
      </c>
      <c r="F3323" t="inlineStr">
        <is>
          <t>VÄRMLANDS LÄN</t>
        </is>
      </c>
      <c r="G3323" t="inlineStr">
        <is>
          <t>KIL</t>
        </is>
      </c>
      <c r="I3323" t="n">
        <v>2.1</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43312-2023</t>
        </is>
      </c>
      <c r="B3324" t="inlineStr">
        <is>
          <t>avverkningsanmälan</t>
        </is>
      </c>
      <c r="C3324" t="inlineStr">
        <is>
          <t>Föryngringsavverkning</t>
        </is>
      </c>
      <c r="D3324" s="1" t="n">
        <v>45183</v>
      </c>
      <c r="E3324" s="1" t="n">
        <v>46307</v>
      </c>
      <c r="F3324" t="inlineStr">
        <is>
          <t>VÄRMLANDS LÄN</t>
        </is>
      </c>
      <c r="G3324" t="inlineStr">
        <is>
          <t>SUNNE</t>
        </is>
      </c>
      <c r="I3324" t="n">
        <v>2.1</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18174-2024</t>
        </is>
      </c>
      <c r="B3325" t="inlineStr">
        <is>
          <t>avverkningsanmälan</t>
        </is>
      </c>
      <c r="C3325" t="inlineStr">
        <is>
          <t>Föryngringsavverkning</t>
        </is>
      </c>
      <c r="D3325" s="1" t="n">
        <v>45420</v>
      </c>
      <c r="E3325" s="1" t="n">
        <v>46307</v>
      </c>
      <c r="F3325" t="inlineStr">
        <is>
          <t>VÄRMLANDS LÄN</t>
        </is>
      </c>
      <c r="G3325" t="inlineStr">
        <is>
          <t>SÄFFLE</t>
        </is>
      </c>
      <c r="I3325" t="n">
        <v>1.7</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2969-2022</t>
        </is>
      </c>
      <c r="B3326" t="inlineStr">
        <is>
          <t>avverkningsanmälan</t>
        </is>
      </c>
      <c r="C3326" t="inlineStr">
        <is>
          <t>Föryngringsavverkning</t>
        </is>
      </c>
      <c r="D3326" s="1" t="n">
        <v>44581</v>
      </c>
      <c r="E3326" s="1" t="n">
        <v>46307</v>
      </c>
      <c r="F3326" t="inlineStr">
        <is>
          <t>VÄRMLANDS LÄN</t>
        </is>
      </c>
      <c r="G3326" t="inlineStr">
        <is>
          <t>ÅRJÄNG</t>
        </is>
      </c>
      <c r="I3326" t="n">
        <v>1.6</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15319-2025</t>
        </is>
      </c>
      <c r="B3327" t="inlineStr">
        <is>
          <t>avverkningsanmälan</t>
        </is>
      </c>
      <c r="C3327" t="inlineStr">
        <is>
          <t>Föryngringsavverkning</t>
        </is>
      </c>
      <c r="D3327" s="1" t="n">
        <v>45747</v>
      </c>
      <c r="E3327" s="1" t="n">
        <v>46307</v>
      </c>
      <c r="F3327" t="inlineStr">
        <is>
          <t>VÄRMLANDS LÄN</t>
        </is>
      </c>
      <c r="G3327" t="inlineStr">
        <is>
          <t>SÄFFLE</t>
        </is>
      </c>
      <c r="H3327" t="inlineStr">
        <is>
          <t>Bergvik skog väst AB</t>
        </is>
      </c>
      <c r="I3327" t="n">
        <v>0.5</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1759-2022</t>
        </is>
      </c>
      <c r="B3328" t="inlineStr">
        <is>
          <t>avverkningsanmälan</t>
        </is>
      </c>
      <c r="C3328" t="inlineStr">
        <is>
          <t>Föryngringsavverkning</t>
        </is>
      </c>
      <c r="D3328" s="1" t="n">
        <v>44574</v>
      </c>
      <c r="E3328" s="1" t="n">
        <v>46307</v>
      </c>
      <c r="F3328" t="inlineStr">
        <is>
          <t>VÄRMLANDS LÄN</t>
        </is>
      </c>
      <c r="G3328" t="inlineStr">
        <is>
          <t>SUNNE</t>
        </is>
      </c>
      <c r="I3328" t="n">
        <v>1.3</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19894-2024</t>
        </is>
      </c>
      <c r="B3329" t="inlineStr">
        <is>
          <t>avverkningsanmälan</t>
        </is>
      </c>
      <c r="C3329" t="inlineStr">
        <is>
          <t>Föryngringsavverkning</t>
        </is>
      </c>
      <c r="D3329" s="1" t="n">
        <v>45433</v>
      </c>
      <c r="E3329" s="1" t="n">
        <v>46307</v>
      </c>
      <c r="F3329" t="inlineStr">
        <is>
          <t>VÄRMLANDS LÄN</t>
        </is>
      </c>
      <c r="G3329" t="inlineStr">
        <is>
          <t>HAGFORS</t>
        </is>
      </c>
      <c r="H3329" t="inlineStr">
        <is>
          <t>Bergvik skog väst AB</t>
        </is>
      </c>
      <c r="I3329" t="n">
        <v>0.5</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42009-2025</t>
        </is>
      </c>
      <c r="B3330" t="inlineStr">
        <is>
          <t>avverkningsanmälan</t>
        </is>
      </c>
      <c r="C3330" t="inlineStr">
        <is>
          <t>Föryngringsavverkning</t>
        </is>
      </c>
      <c r="D3330" s="1" t="n">
        <v>45903</v>
      </c>
      <c r="E3330" s="1" t="n">
        <v>46307</v>
      </c>
      <c r="F3330" t="inlineStr">
        <is>
          <t>VÄRMLANDS LÄN</t>
        </is>
      </c>
      <c r="G3330" t="inlineStr">
        <is>
          <t>EDA</t>
        </is>
      </c>
      <c r="I3330" t="n">
        <v>3.2</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42354-2025</t>
        </is>
      </c>
      <c r="B3331" t="inlineStr">
        <is>
          <t>avverkningsanmälan</t>
        </is>
      </c>
      <c r="C3331" t="inlineStr">
        <is>
          <t>Föryngringsavverkning</t>
        </is>
      </c>
      <c r="D3331" s="1" t="n">
        <v>45904</v>
      </c>
      <c r="E3331" s="1" t="n">
        <v>46307</v>
      </c>
      <c r="F3331" t="inlineStr">
        <is>
          <t>VÄRMLANDS LÄN</t>
        </is>
      </c>
      <c r="G3331" t="inlineStr">
        <is>
          <t>TORSBY</t>
        </is>
      </c>
      <c r="I3331" t="n">
        <v>0.7</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21365-2023</t>
        </is>
      </c>
      <c r="B3332" t="inlineStr">
        <is>
          <t>avverkningsanmälan</t>
        </is>
      </c>
      <c r="C3332" t="inlineStr">
        <is>
          <t>Föryngringsavverkning</t>
        </is>
      </c>
      <c r="D3332" s="1" t="n">
        <v>45063</v>
      </c>
      <c r="E3332" s="1" t="n">
        <v>46307</v>
      </c>
      <c r="F3332" t="inlineStr">
        <is>
          <t>VÄRMLANDS LÄN</t>
        </is>
      </c>
      <c r="G3332" t="inlineStr">
        <is>
          <t>TORSBY</t>
        </is>
      </c>
      <c r="H3332" t="inlineStr">
        <is>
          <t>Kyrkan</t>
        </is>
      </c>
      <c r="I3332" t="n">
        <v>4</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21396-2024</t>
        </is>
      </c>
      <c r="B3333" t="inlineStr">
        <is>
          <t>avverkningsanmälan</t>
        </is>
      </c>
      <c r="C3333" t="inlineStr">
        <is>
          <t>Föryngringsavverkning</t>
        </is>
      </c>
      <c r="D3333" s="1" t="n">
        <v>45441</v>
      </c>
      <c r="E3333" s="1" t="n">
        <v>46307</v>
      </c>
      <c r="F3333" t="inlineStr">
        <is>
          <t>VÄRMLANDS LÄN</t>
        </is>
      </c>
      <c r="G3333" t="inlineStr">
        <is>
          <t>SÄFFLE</t>
        </is>
      </c>
      <c r="I3333" t="n">
        <v>2.1</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42273-2025</t>
        </is>
      </c>
      <c r="B3334" t="inlineStr">
        <is>
          <t>avverkningsanmälan</t>
        </is>
      </c>
      <c r="C3334" t="inlineStr">
        <is>
          <t>Föryngringsavverkning</t>
        </is>
      </c>
      <c r="D3334" s="1" t="n">
        <v>45904</v>
      </c>
      <c r="E3334" s="1" t="n">
        <v>46307</v>
      </c>
      <c r="F3334" t="inlineStr">
        <is>
          <t>VÄRMLANDS LÄN</t>
        </is>
      </c>
      <c r="G3334" t="inlineStr">
        <is>
          <t>TORSBY</t>
        </is>
      </c>
      <c r="I3334" t="n">
        <v>2.5</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41982-2025</t>
        </is>
      </c>
      <c r="B3335" t="inlineStr">
        <is>
          <t>avverkningsanmälan</t>
        </is>
      </c>
      <c r="C3335" t="inlineStr">
        <is>
          <t>Föryngringsavverkning</t>
        </is>
      </c>
      <c r="D3335" s="1" t="n">
        <v>45903</v>
      </c>
      <c r="E3335" s="1" t="n">
        <v>46307</v>
      </c>
      <c r="F3335" t="inlineStr">
        <is>
          <t>VÄRMLANDS LÄN</t>
        </is>
      </c>
      <c r="G3335" t="inlineStr">
        <is>
          <t>EDA</t>
        </is>
      </c>
      <c r="I3335" t="n">
        <v>2.6</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41994-2025</t>
        </is>
      </c>
      <c r="B3336" t="inlineStr">
        <is>
          <t>avverkningsanmälan</t>
        </is>
      </c>
      <c r="C3336" t="inlineStr">
        <is>
          <t>Föryngringsavverkning</t>
        </is>
      </c>
      <c r="D3336" s="1" t="n">
        <v>45903</v>
      </c>
      <c r="E3336" s="1" t="n">
        <v>46307</v>
      </c>
      <c r="F3336" t="inlineStr">
        <is>
          <t>VÄRMLANDS LÄN</t>
        </is>
      </c>
      <c r="G3336" t="inlineStr">
        <is>
          <t>EDA</t>
        </is>
      </c>
      <c r="I3336" t="n">
        <v>1.9</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5796-2024</t>
        </is>
      </c>
      <c r="B3337" t="inlineStr">
        <is>
          <t>avverkningsanmälan</t>
        </is>
      </c>
      <c r="C3337" t="inlineStr">
        <is>
          <t>Föryngringsavverkning</t>
        </is>
      </c>
      <c r="D3337" s="1" t="n">
        <v>45335</v>
      </c>
      <c r="E3337" s="1" t="n">
        <v>46307</v>
      </c>
      <c r="F3337" t="inlineStr">
        <is>
          <t>VÄRMLANDS LÄN</t>
        </is>
      </c>
      <c r="G3337" t="inlineStr">
        <is>
          <t>HAGFORS</t>
        </is>
      </c>
      <c r="I3337" t="n">
        <v>0.4</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19385-2024</t>
        </is>
      </c>
      <c r="B3338" t="inlineStr">
        <is>
          <t>avverkningsanmälan</t>
        </is>
      </c>
      <c r="C3338" t="inlineStr">
        <is>
          <t>Avverkning för annat ändamål</t>
        </is>
      </c>
      <c r="D3338" s="1" t="n">
        <v>45428</v>
      </c>
      <c r="E3338" s="1" t="n">
        <v>46307</v>
      </c>
      <c r="F3338" t="inlineStr">
        <is>
          <t>VÄRMLANDS LÄN</t>
        </is>
      </c>
      <c r="G3338" t="inlineStr">
        <is>
          <t>SÄFFLE</t>
        </is>
      </c>
      <c r="I3338" t="n">
        <v>1.4</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20745-2024</t>
        </is>
      </c>
      <c r="B3339" t="inlineStr">
        <is>
          <t>avverkningsanmälan</t>
        </is>
      </c>
      <c r="C3339" t="inlineStr">
        <is>
          <t>Föryngringsavverkning</t>
        </is>
      </c>
      <c r="D3339" s="1" t="n">
        <v>45436</v>
      </c>
      <c r="E3339" s="1" t="n">
        <v>46307</v>
      </c>
      <c r="F3339" t="inlineStr">
        <is>
          <t>VÄRMLANDS LÄN</t>
        </is>
      </c>
      <c r="G3339" t="inlineStr">
        <is>
          <t>KIL</t>
        </is>
      </c>
      <c r="I3339" t="n">
        <v>1.8</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8138-2025</t>
        </is>
      </c>
      <c r="B3340" t="inlineStr">
        <is>
          <t>avverkningsanmälan</t>
        </is>
      </c>
      <c r="C3340" t="inlineStr">
        <is>
          <t>Föryngringsavverkning</t>
        </is>
      </c>
      <c r="D3340" s="1" t="n">
        <v>45707</v>
      </c>
      <c r="E3340" s="1" t="n">
        <v>46307</v>
      </c>
      <c r="F3340" t="inlineStr">
        <is>
          <t>VÄRMLANDS LÄN</t>
        </is>
      </c>
      <c r="G3340" t="inlineStr">
        <is>
          <t>SÄFFLE</t>
        </is>
      </c>
      <c r="I3340" t="n">
        <v>1.1</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4047-2024</t>
        </is>
      </c>
      <c r="B3341" t="inlineStr">
        <is>
          <t>avverkningsanmälan</t>
        </is>
      </c>
      <c r="C3341" t="inlineStr">
        <is>
          <t>Föryngringsavverkning</t>
        </is>
      </c>
      <c r="D3341" s="1" t="n">
        <v>45323</v>
      </c>
      <c r="E3341" s="1" t="n">
        <v>46307</v>
      </c>
      <c r="F3341" t="inlineStr">
        <is>
          <t>VÄRMLANDS LÄN</t>
        </is>
      </c>
      <c r="G3341" t="inlineStr">
        <is>
          <t>HAGFORS</t>
        </is>
      </c>
      <c r="I3341" t="n">
        <v>1.7</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51189-2024</t>
        </is>
      </c>
      <c r="B3342" t="inlineStr">
        <is>
          <t>avverkningsanmälan</t>
        </is>
      </c>
      <c r="C3342" t="inlineStr">
        <is>
          <t>Föryngringsavverkning</t>
        </is>
      </c>
      <c r="D3342" s="1" t="n">
        <v>45603</v>
      </c>
      <c r="E3342" s="1" t="n">
        <v>46307</v>
      </c>
      <c r="F3342" t="inlineStr">
        <is>
          <t>VÄRMLANDS LÄN</t>
        </is>
      </c>
      <c r="G3342" t="inlineStr">
        <is>
          <t>SÄFFLE</t>
        </is>
      </c>
      <c r="I3342" t="n">
        <v>2.6</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58656-2024</t>
        </is>
      </c>
      <c r="B3343" t="inlineStr">
        <is>
          <t>avverkningsanmälan</t>
        </is>
      </c>
      <c r="C3343" t="inlineStr">
        <is>
          <t>Föryngringsavverkning</t>
        </is>
      </c>
      <c r="D3343" s="1" t="n">
        <v>45635</v>
      </c>
      <c r="E3343" s="1" t="n">
        <v>46307</v>
      </c>
      <c r="F3343" t="inlineStr">
        <is>
          <t>VÄRMLANDS LÄN</t>
        </is>
      </c>
      <c r="G3343" t="inlineStr">
        <is>
          <t>KARLSTAD</t>
        </is>
      </c>
      <c r="I3343" t="n">
        <v>0.6</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42178-2025</t>
        </is>
      </c>
      <c r="B3344" t="inlineStr">
        <is>
          <t>avverkningsanmälan</t>
        </is>
      </c>
      <c r="C3344" t="inlineStr">
        <is>
          <t>Föryngringsavverkning</t>
        </is>
      </c>
      <c r="D3344" s="1" t="n">
        <v>45904</v>
      </c>
      <c r="E3344" s="1" t="n">
        <v>46307</v>
      </c>
      <c r="F3344" t="inlineStr">
        <is>
          <t>VÄRMLANDS LÄN</t>
        </is>
      </c>
      <c r="G3344" t="inlineStr">
        <is>
          <t>KRISTINEHAMN</t>
        </is>
      </c>
      <c r="I3344" t="n">
        <v>0.1</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4194-2025</t>
        </is>
      </c>
      <c r="B3345" t="inlineStr">
        <is>
          <t>avverkningsanmälan</t>
        </is>
      </c>
      <c r="C3345" t="inlineStr">
        <is>
          <t>Föryngringsavverkning</t>
        </is>
      </c>
      <c r="D3345" s="1" t="n">
        <v>45685</v>
      </c>
      <c r="E3345" s="1" t="n">
        <v>46307</v>
      </c>
      <c r="F3345" t="inlineStr">
        <is>
          <t>VÄRMLANDS LÄN</t>
        </is>
      </c>
      <c r="G3345" t="inlineStr">
        <is>
          <t>SÄFFLE</t>
        </is>
      </c>
      <c r="I3345" t="n">
        <v>5.2</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53331-2024</t>
        </is>
      </c>
      <c r="B3346" t="inlineStr">
        <is>
          <t>avverkningsanmälan</t>
        </is>
      </c>
      <c r="C3346" t="inlineStr">
        <is>
          <t>Föryngringsavverkning</t>
        </is>
      </c>
      <c r="D3346" s="1" t="n">
        <v>45614</v>
      </c>
      <c r="E3346" s="1" t="n">
        <v>46307</v>
      </c>
      <c r="F3346" t="inlineStr">
        <is>
          <t>VÄRMLANDS LÄN</t>
        </is>
      </c>
      <c r="G3346" t="inlineStr">
        <is>
          <t>TORSBY</t>
        </is>
      </c>
      <c r="H3346" t="inlineStr">
        <is>
          <t>Bergvik skog väst AB</t>
        </is>
      </c>
      <c r="I3346" t="n">
        <v>9.300000000000001</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58705-2024</t>
        </is>
      </c>
      <c r="B3347" t="inlineStr">
        <is>
          <t>avverkningsanmälan</t>
        </is>
      </c>
      <c r="C3347" t="inlineStr">
        <is>
          <t>Föryngringsavverkning</t>
        </is>
      </c>
      <c r="D3347" s="1" t="n">
        <v>45635</v>
      </c>
      <c r="E3347" s="1" t="n">
        <v>46307</v>
      </c>
      <c r="F3347" t="inlineStr">
        <is>
          <t>VÄRMLANDS LÄN</t>
        </is>
      </c>
      <c r="G3347" t="inlineStr">
        <is>
          <t>GRUMS</t>
        </is>
      </c>
      <c r="H3347" t="inlineStr">
        <is>
          <t>Bergvik skog väst AB</t>
        </is>
      </c>
      <c r="I3347" t="n">
        <v>4.3</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37220-2024</t>
        </is>
      </c>
      <c r="B3348" t="inlineStr">
        <is>
          <t>avverkningsanmälan</t>
        </is>
      </c>
      <c r="C3348" t="inlineStr">
        <is>
          <t>Föryngringsavverkning</t>
        </is>
      </c>
      <c r="D3348" s="1" t="n">
        <v>45539</v>
      </c>
      <c r="E3348" s="1" t="n">
        <v>46307</v>
      </c>
      <c r="F3348" t="inlineStr">
        <is>
          <t>VÄRMLANDS LÄN</t>
        </is>
      </c>
      <c r="G3348" t="inlineStr">
        <is>
          <t>ÅRJÄNG</t>
        </is>
      </c>
      <c r="I3348" t="n">
        <v>3.5</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37227-2024</t>
        </is>
      </c>
      <c r="B3349" t="inlineStr">
        <is>
          <t>avverkningsanmälan</t>
        </is>
      </c>
      <c r="C3349" t="inlineStr">
        <is>
          <t>Föryngringsavverkning</t>
        </is>
      </c>
      <c r="D3349" s="1" t="n">
        <v>45539</v>
      </c>
      <c r="E3349" s="1" t="n">
        <v>46307</v>
      </c>
      <c r="F3349" t="inlineStr">
        <is>
          <t>VÄRMLANDS LÄN</t>
        </is>
      </c>
      <c r="G3349" t="inlineStr">
        <is>
          <t>ARVIKA</t>
        </is>
      </c>
      <c r="I3349" t="n">
        <v>0.9</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42350-2025</t>
        </is>
      </c>
      <c r="B3350" t="inlineStr">
        <is>
          <t>avverkningsanmälan</t>
        </is>
      </c>
      <c r="C3350" t="inlineStr">
        <is>
          <t>Avverkning för annat ändamål</t>
        </is>
      </c>
      <c r="D3350" s="1" t="n">
        <v>45904</v>
      </c>
      <c r="E3350" s="1" t="n">
        <v>46307</v>
      </c>
      <c r="F3350" t="inlineStr">
        <is>
          <t>VÄRMLANDS LÄN</t>
        </is>
      </c>
      <c r="G3350" t="inlineStr">
        <is>
          <t>TORSBY</t>
        </is>
      </c>
      <c r="I3350" t="n">
        <v>0.2</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3316-2025</t>
        </is>
      </c>
      <c r="B3351" t="inlineStr">
        <is>
          <t>avverkningsanmälan</t>
        </is>
      </c>
      <c r="C3351" t="inlineStr">
        <is>
          <t>Föryngringsavverkning</t>
        </is>
      </c>
      <c r="D3351" s="1" t="n">
        <v>45679</v>
      </c>
      <c r="E3351" s="1" t="n">
        <v>46307</v>
      </c>
      <c r="F3351" t="inlineStr">
        <is>
          <t>VÄRMLANDS LÄN</t>
        </is>
      </c>
      <c r="G3351" t="inlineStr">
        <is>
          <t>KRISTINEHAMN</t>
        </is>
      </c>
      <c r="I3351" t="n">
        <v>2.7</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47091-2022</t>
        </is>
      </c>
      <c r="B3352" t="inlineStr">
        <is>
          <t>avverkningsanmälan</t>
        </is>
      </c>
      <c r="C3352" t="inlineStr">
        <is>
          <t>Föryngringsavverkning</t>
        </is>
      </c>
      <c r="D3352" s="1" t="n">
        <v>44851</v>
      </c>
      <c r="E3352" s="1" t="n">
        <v>46307</v>
      </c>
      <c r="F3352" t="inlineStr">
        <is>
          <t>VÄRMLANDS LÄN</t>
        </is>
      </c>
      <c r="G3352" t="inlineStr">
        <is>
          <t>KRISTINEHAMN</t>
        </is>
      </c>
      <c r="H3352" t="inlineStr">
        <is>
          <t>Kommuner</t>
        </is>
      </c>
      <c r="I3352" t="n">
        <v>8.6</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18477-2025</t>
        </is>
      </c>
      <c r="B3353" t="inlineStr">
        <is>
          <t>avverkningsanmälan</t>
        </is>
      </c>
      <c r="C3353" t="inlineStr">
        <is>
          <t>Föryngringsavverkning</t>
        </is>
      </c>
      <c r="D3353" s="1" t="n">
        <v>45762</v>
      </c>
      <c r="E3353" s="1" t="n">
        <v>46307</v>
      </c>
      <c r="F3353" t="inlineStr">
        <is>
          <t>VÄRMLANDS LÄN</t>
        </is>
      </c>
      <c r="G3353" t="inlineStr">
        <is>
          <t>ARVIKA</t>
        </is>
      </c>
      <c r="I3353" t="n">
        <v>2.2</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12228-2025</t>
        </is>
      </c>
      <c r="B3354" t="inlineStr">
        <is>
          <t>avverkningsanmälan</t>
        </is>
      </c>
      <c r="C3354" t="inlineStr">
        <is>
          <t>Föryngringsavverkning</t>
        </is>
      </c>
      <c r="D3354" s="1" t="n">
        <v>45729</v>
      </c>
      <c r="E3354" s="1" t="n">
        <v>46307</v>
      </c>
      <c r="F3354" t="inlineStr">
        <is>
          <t>VÄRMLANDS LÄN</t>
        </is>
      </c>
      <c r="G3354" t="inlineStr">
        <is>
          <t>SÄFFLE</t>
        </is>
      </c>
      <c r="H3354" t="inlineStr">
        <is>
          <t>Bergvik skog väst AB</t>
        </is>
      </c>
      <c r="I3354" t="n">
        <v>2.3</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37622-2024</t>
        </is>
      </c>
      <c r="B3355" t="inlineStr">
        <is>
          <t>avverkningsanmälan</t>
        </is>
      </c>
      <c r="C3355" t="inlineStr">
        <is>
          <t>Föryngringsavverkning</t>
        </is>
      </c>
      <c r="D3355" s="1" t="n">
        <v>45541</v>
      </c>
      <c r="E3355" s="1" t="n">
        <v>46307</v>
      </c>
      <c r="F3355" t="inlineStr">
        <is>
          <t>VÄRMLANDS LÄN</t>
        </is>
      </c>
      <c r="G3355" t="inlineStr">
        <is>
          <t>KIL</t>
        </is>
      </c>
      <c r="I3355" t="n">
        <v>0.4</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12006-2023</t>
        </is>
      </c>
      <c r="B3356" t="inlineStr">
        <is>
          <t>avverkningsanmälan</t>
        </is>
      </c>
      <c r="C3356" t="inlineStr">
        <is>
          <t>Föryngringsavverkning</t>
        </is>
      </c>
      <c r="D3356" s="1" t="n">
        <v>44995</v>
      </c>
      <c r="E3356" s="1" t="n">
        <v>46307</v>
      </c>
      <c r="F3356" t="inlineStr">
        <is>
          <t>VÄRMLANDS LÄN</t>
        </is>
      </c>
      <c r="G3356" t="inlineStr">
        <is>
          <t>ÅRJÄNG</t>
        </is>
      </c>
      <c r="I3356" t="n">
        <v>0.9</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20661-2024</t>
        </is>
      </c>
      <c r="B3357" t="inlineStr">
        <is>
          <t>avverkningsanmälan</t>
        </is>
      </c>
      <c r="C3357" t="inlineStr">
        <is>
          <t>Föryngringsavverkning</t>
        </is>
      </c>
      <c r="D3357" s="1" t="n">
        <v>45436</v>
      </c>
      <c r="E3357" s="1" t="n">
        <v>46307</v>
      </c>
      <c r="F3357" t="inlineStr">
        <is>
          <t>VÄRMLANDS LÄN</t>
        </is>
      </c>
      <c r="G3357" t="inlineStr">
        <is>
          <t>FILIPSTAD</t>
        </is>
      </c>
      <c r="I3357" t="n">
        <v>0.8</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14772-2022</t>
        </is>
      </c>
      <c r="B3358" t="inlineStr">
        <is>
          <t>avverkningsanmälan</t>
        </is>
      </c>
      <c r="C3358" t="inlineStr">
        <is>
          <t>Föryngringsavverkning</t>
        </is>
      </c>
      <c r="D3358" s="1" t="n">
        <v>44656</v>
      </c>
      <c r="E3358" s="1" t="n">
        <v>46307</v>
      </c>
      <c r="F3358" t="inlineStr">
        <is>
          <t>VÄRMLANDS LÄN</t>
        </is>
      </c>
      <c r="G3358" t="inlineStr">
        <is>
          <t>KRISTINEHAMN</t>
        </is>
      </c>
      <c r="I3358" t="n">
        <v>4.3</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15553-2022</t>
        </is>
      </c>
      <c r="B3359" t="inlineStr">
        <is>
          <t>avverkningsanmälan</t>
        </is>
      </c>
      <c r="C3359" t="inlineStr">
        <is>
          <t>Föryngringsavverkning</t>
        </is>
      </c>
      <c r="D3359" s="1" t="n">
        <v>44662</v>
      </c>
      <c r="E3359" s="1" t="n">
        <v>46307</v>
      </c>
      <c r="F3359" t="inlineStr">
        <is>
          <t>VÄRMLANDS LÄN</t>
        </is>
      </c>
      <c r="G3359" t="inlineStr">
        <is>
          <t>FORSHAGA</t>
        </is>
      </c>
      <c r="I3359" t="n">
        <v>7.8</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25217-2023</t>
        </is>
      </c>
      <c r="B3360" t="inlineStr">
        <is>
          <t>avverkningsanmälan</t>
        </is>
      </c>
      <c r="C3360" t="inlineStr">
        <is>
          <t>Föryngringsavverkning</t>
        </is>
      </c>
      <c r="D3360" s="1" t="n">
        <v>45086</v>
      </c>
      <c r="E3360" s="1" t="n">
        <v>46307</v>
      </c>
      <c r="F3360" t="inlineStr">
        <is>
          <t>VÄRMLANDS LÄN</t>
        </is>
      </c>
      <c r="G3360" t="inlineStr">
        <is>
          <t>SUNNE</t>
        </is>
      </c>
      <c r="I3360" t="n">
        <v>0.6</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32778-2024</t>
        </is>
      </c>
      <c r="B3361" t="inlineStr">
        <is>
          <t>avverkningsanmälan</t>
        </is>
      </c>
      <c r="C3361" t="inlineStr">
        <is>
          <t>Föryngringsavverkning</t>
        </is>
      </c>
      <c r="D3361" s="1" t="n">
        <v>45516</v>
      </c>
      <c r="E3361" s="1" t="n">
        <v>46307</v>
      </c>
      <c r="F3361" t="inlineStr">
        <is>
          <t>VÄRMLANDS LÄN</t>
        </is>
      </c>
      <c r="G3361" t="inlineStr">
        <is>
          <t>ÅRJÄNG</t>
        </is>
      </c>
      <c r="I3361" t="n">
        <v>2.8</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66978-2021</t>
        </is>
      </c>
      <c r="B3362" t="inlineStr">
        <is>
          <t>avverkningsanmälan</t>
        </is>
      </c>
      <c r="C3362" t="inlineStr">
        <is>
          <t>Föryngringsavverkning</t>
        </is>
      </c>
      <c r="D3362" s="1" t="n">
        <v>44522</v>
      </c>
      <c r="E3362" s="1" t="n">
        <v>46307</v>
      </c>
      <c r="F3362" t="inlineStr">
        <is>
          <t>VÄRMLANDS LÄN</t>
        </is>
      </c>
      <c r="G3362" t="inlineStr">
        <is>
          <t>TORSBY</t>
        </is>
      </c>
      <c r="H3362" t="inlineStr">
        <is>
          <t>Kommuner</t>
        </is>
      </c>
      <c r="I3362" t="n">
        <v>1</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21959-2023</t>
        </is>
      </c>
      <c r="B3363" t="inlineStr">
        <is>
          <t>avverkningsanmälan</t>
        </is>
      </c>
      <c r="C3363" t="inlineStr">
        <is>
          <t>Föryngringsavverkning</t>
        </is>
      </c>
      <c r="D3363" s="1" t="n">
        <v>45068</v>
      </c>
      <c r="E3363" s="1" t="n">
        <v>46307</v>
      </c>
      <c r="F3363" t="inlineStr">
        <is>
          <t>VÄRMLANDS LÄN</t>
        </is>
      </c>
      <c r="G3363" t="inlineStr">
        <is>
          <t>ARVIKA</t>
        </is>
      </c>
      <c r="I3363" t="n">
        <v>0.7</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1735-2023</t>
        </is>
      </c>
      <c r="B3364" t="inlineStr">
        <is>
          <t>avverkningsanmälan</t>
        </is>
      </c>
      <c r="C3364" t="inlineStr">
        <is>
          <t>Föryngringsavverkning</t>
        </is>
      </c>
      <c r="D3364" s="1" t="n">
        <v>44938</v>
      </c>
      <c r="E3364" s="1" t="n">
        <v>46307</v>
      </c>
      <c r="F3364" t="inlineStr">
        <is>
          <t>VÄRMLANDS LÄN</t>
        </is>
      </c>
      <c r="G3364" t="inlineStr">
        <is>
          <t>HAGFORS</t>
        </is>
      </c>
      <c r="I3364" t="n">
        <v>3.4</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42152-2025</t>
        </is>
      </c>
      <c r="B3365" t="inlineStr">
        <is>
          <t>avverkningsanmälan</t>
        </is>
      </c>
      <c r="C3365" t="inlineStr">
        <is>
          <t>Föryngringsavverkning</t>
        </is>
      </c>
      <c r="D3365" s="1" t="n">
        <v>45904</v>
      </c>
      <c r="E3365" s="1" t="n">
        <v>46307</v>
      </c>
      <c r="F3365" t="inlineStr">
        <is>
          <t>VÄRMLANDS LÄN</t>
        </is>
      </c>
      <c r="G3365" t="inlineStr">
        <is>
          <t>TORSBY</t>
        </is>
      </c>
      <c r="I3365" t="n">
        <v>1.4</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1911-2022</t>
        </is>
      </c>
      <c r="B3366" t="inlineStr">
        <is>
          <t>avverkningsanmälan</t>
        </is>
      </c>
      <c r="C3366" t="inlineStr">
        <is>
          <t>Föryngringsavverkning</t>
        </is>
      </c>
      <c r="D3366" s="1" t="n">
        <v>44575</v>
      </c>
      <c r="E3366" s="1" t="n">
        <v>46307</v>
      </c>
      <c r="F3366" t="inlineStr">
        <is>
          <t>VÄRMLANDS LÄN</t>
        </is>
      </c>
      <c r="G3366" t="inlineStr">
        <is>
          <t>TORSBY</t>
        </is>
      </c>
      <c r="H3366" t="inlineStr">
        <is>
          <t>Kommuner</t>
        </is>
      </c>
      <c r="I3366" t="n">
        <v>0.8</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5535-2022</t>
        </is>
      </c>
      <c r="B3367" t="inlineStr">
        <is>
          <t>avverkningsanmälan</t>
        </is>
      </c>
      <c r="C3367" t="inlineStr">
        <is>
          <t>Föryngringsavverkning</t>
        </is>
      </c>
      <c r="D3367" s="1" t="n">
        <v>44595</v>
      </c>
      <c r="E3367" s="1" t="n">
        <v>46307</v>
      </c>
      <c r="F3367" t="inlineStr">
        <is>
          <t>VÄRMLANDS LÄN</t>
        </is>
      </c>
      <c r="G3367" t="inlineStr">
        <is>
          <t>KARLSTAD</t>
        </is>
      </c>
      <c r="I3367" t="n">
        <v>5.3</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53892-2022</t>
        </is>
      </c>
      <c r="B3368" t="inlineStr">
        <is>
          <t>avverkningsanmälan</t>
        </is>
      </c>
      <c r="C3368" t="inlineStr">
        <is>
          <t>Avverkning för annat ändamål</t>
        </is>
      </c>
      <c r="D3368" s="1" t="n">
        <v>44880</v>
      </c>
      <c r="E3368" s="1" t="n">
        <v>46307</v>
      </c>
      <c r="F3368" t="inlineStr">
        <is>
          <t>VÄRMLANDS LÄN</t>
        </is>
      </c>
      <c r="G3368" t="inlineStr">
        <is>
          <t>ARVIKA</t>
        </is>
      </c>
      <c r="I3368" t="n">
        <v>0.8</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10473-2023</t>
        </is>
      </c>
      <c r="B3369" t="inlineStr">
        <is>
          <t>avverkningsanmälan</t>
        </is>
      </c>
      <c r="C3369" t="inlineStr">
        <is>
          <t>Föryngringsavverkning</t>
        </is>
      </c>
      <c r="D3369" s="1" t="n">
        <v>44981</v>
      </c>
      <c r="E3369" s="1" t="n">
        <v>46307</v>
      </c>
      <c r="F3369" t="inlineStr">
        <is>
          <t>VÄRMLANDS LÄN</t>
        </is>
      </c>
      <c r="G3369" t="inlineStr">
        <is>
          <t>TORSBY</t>
        </is>
      </c>
      <c r="I3369" t="n">
        <v>0.5</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42533-2025</t>
        </is>
      </c>
      <c r="B3370" t="inlineStr">
        <is>
          <t>avverkningsanmälan</t>
        </is>
      </c>
      <c r="C3370" t="inlineStr">
        <is>
          <t>Föryngringsavverkning</t>
        </is>
      </c>
      <c r="D3370" s="1" t="n">
        <v>45904</v>
      </c>
      <c r="E3370" s="1" t="n">
        <v>46307</v>
      </c>
      <c r="F3370" t="inlineStr">
        <is>
          <t>VÄRMLANDS LÄN</t>
        </is>
      </c>
      <c r="G3370" t="inlineStr">
        <is>
          <t>SÄFFLE</t>
        </is>
      </c>
      <c r="I3370" t="n">
        <v>1.5</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6697-2022</t>
        </is>
      </c>
      <c r="B3371" t="inlineStr">
        <is>
          <t>avverkningsanmälan</t>
        </is>
      </c>
      <c r="C3371" t="inlineStr">
        <is>
          <t>Föryngringsavverkning</t>
        </is>
      </c>
      <c r="D3371" s="1" t="n">
        <v>44602</v>
      </c>
      <c r="E3371" s="1" t="n">
        <v>46307</v>
      </c>
      <c r="F3371" t="inlineStr">
        <is>
          <t>VÄRMLANDS LÄN</t>
        </is>
      </c>
      <c r="G3371" t="inlineStr">
        <is>
          <t>SUNNE</t>
        </is>
      </c>
      <c r="I3371" t="n">
        <v>1</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6910-2024</t>
        </is>
      </c>
      <c r="B3372" t="inlineStr">
        <is>
          <t>avverkningsanmälan</t>
        </is>
      </c>
      <c r="C3372" t="inlineStr">
        <is>
          <t>Föryngringsavverkning</t>
        </is>
      </c>
      <c r="D3372" s="1" t="n">
        <v>45343</v>
      </c>
      <c r="E3372" s="1" t="n">
        <v>46307</v>
      </c>
      <c r="F3372" t="inlineStr">
        <is>
          <t>VÄRMLANDS LÄN</t>
        </is>
      </c>
      <c r="G3372" t="inlineStr">
        <is>
          <t>HAGFORS</t>
        </is>
      </c>
      <c r="I3372" t="n">
        <v>3.4</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54158-2024</t>
        </is>
      </c>
      <c r="B3373" t="inlineStr">
        <is>
          <t>avverkningsanmälan</t>
        </is>
      </c>
      <c r="C3373" t="inlineStr">
        <is>
          <t>Föryngringsavverkning</t>
        </is>
      </c>
      <c r="D3373" s="1" t="n">
        <v>45616</v>
      </c>
      <c r="E3373" s="1" t="n">
        <v>46307</v>
      </c>
      <c r="F3373" t="inlineStr">
        <is>
          <t>VÄRMLANDS LÄN</t>
        </is>
      </c>
      <c r="G3373" t="inlineStr">
        <is>
          <t>ARVIKA</t>
        </is>
      </c>
      <c r="H3373" t="inlineStr">
        <is>
          <t>Bergvik skog väst AB</t>
        </is>
      </c>
      <c r="I3373" t="n">
        <v>7.4</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19089-2025</t>
        </is>
      </c>
      <c r="B3374" t="inlineStr">
        <is>
          <t>avverkningsanmälan</t>
        </is>
      </c>
      <c r="C3374" t="inlineStr">
        <is>
          <t>Föryngringsavverkning</t>
        </is>
      </c>
      <c r="D3374" s="1" t="n">
        <v>45767</v>
      </c>
      <c r="E3374" s="1" t="n">
        <v>46307</v>
      </c>
      <c r="F3374" t="inlineStr">
        <is>
          <t>VÄRMLANDS LÄN</t>
        </is>
      </c>
      <c r="G3374" t="inlineStr">
        <is>
          <t>KARLSTAD</t>
        </is>
      </c>
      <c r="I3374" t="n">
        <v>0.2</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14268-2024</t>
        </is>
      </c>
      <c r="B3375" t="inlineStr">
        <is>
          <t>avverkningsanmälan</t>
        </is>
      </c>
      <c r="C3375" t="inlineStr">
        <is>
          <t>Föryngringsavverkning</t>
        </is>
      </c>
      <c r="D3375" s="1" t="n">
        <v>45393</v>
      </c>
      <c r="E3375" s="1" t="n">
        <v>46307</v>
      </c>
      <c r="F3375" t="inlineStr">
        <is>
          <t>VÄRMLANDS LÄN</t>
        </is>
      </c>
      <c r="G3375" t="inlineStr">
        <is>
          <t>FILIPSTAD</t>
        </is>
      </c>
      <c r="H3375" t="inlineStr">
        <is>
          <t>Bergvik skog väst AB</t>
        </is>
      </c>
      <c r="I3375" t="n">
        <v>2.6</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74448-2021</t>
        </is>
      </c>
      <c r="B3376" t="inlineStr">
        <is>
          <t>avverkningsanmälan</t>
        </is>
      </c>
      <c r="C3376" t="inlineStr">
        <is>
          <t>Föryngringsavverkning</t>
        </is>
      </c>
      <c r="D3376" s="1" t="n">
        <v>44560</v>
      </c>
      <c r="E3376" s="1" t="n">
        <v>46307</v>
      </c>
      <c r="F3376" t="inlineStr">
        <is>
          <t>VÄRMLANDS LÄN</t>
        </is>
      </c>
      <c r="G3376" t="inlineStr">
        <is>
          <t>ÅRJÄNG</t>
        </is>
      </c>
      <c r="I3376" t="n">
        <v>1.4</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45480-2024</t>
        </is>
      </c>
      <c r="B3377" t="inlineStr">
        <is>
          <t>avverkningsanmälan</t>
        </is>
      </c>
      <c r="C3377" t="inlineStr">
        <is>
          <t>Avverkning för annat ändamål</t>
        </is>
      </c>
      <c r="D3377" s="1" t="n">
        <v>45576</v>
      </c>
      <c r="E3377" s="1" t="n">
        <v>46307</v>
      </c>
      <c r="F3377" t="inlineStr">
        <is>
          <t>VÄRMLANDS LÄN</t>
        </is>
      </c>
      <c r="G3377" t="inlineStr">
        <is>
          <t>SÄFFLE</t>
        </is>
      </c>
      <c r="I3377" t="n">
        <v>1.7</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59807-2024</t>
        </is>
      </c>
      <c r="B3378" t="inlineStr">
        <is>
          <t>avverkningsanmälan</t>
        </is>
      </c>
      <c r="C3378" t="inlineStr">
        <is>
          <t>Föryngringsavverkning</t>
        </is>
      </c>
      <c r="D3378" s="1" t="n">
        <v>45639</v>
      </c>
      <c r="E3378" s="1" t="n">
        <v>46307</v>
      </c>
      <c r="F3378" t="inlineStr">
        <is>
          <t>VÄRMLANDS LÄN</t>
        </is>
      </c>
      <c r="G3378" t="inlineStr">
        <is>
          <t>SÄFFLE</t>
        </is>
      </c>
      <c r="I3378" t="n">
        <v>1</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59812-2024</t>
        </is>
      </c>
      <c r="B3379" t="inlineStr">
        <is>
          <t>avverkningsanmälan</t>
        </is>
      </c>
      <c r="C3379" t="inlineStr">
        <is>
          <t>Föryngringsavverkning</t>
        </is>
      </c>
      <c r="D3379" s="1" t="n">
        <v>45639</v>
      </c>
      <c r="E3379" s="1" t="n">
        <v>46307</v>
      </c>
      <c r="F3379" t="inlineStr">
        <is>
          <t>VÄRMLANDS LÄN</t>
        </is>
      </c>
      <c r="G3379" t="inlineStr">
        <is>
          <t>SÄFFLE</t>
        </is>
      </c>
      <c r="I3379" t="n">
        <v>8.1</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55-2022</t>
        </is>
      </c>
      <c r="B3380" t="inlineStr">
        <is>
          <t>avverkningsanmälan</t>
        </is>
      </c>
      <c r="C3380" t="inlineStr">
        <is>
          <t>Föryngringsavverkning</t>
        </is>
      </c>
      <c r="D3380" s="1" t="n">
        <v>44564</v>
      </c>
      <c r="E3380" s="1" t="n">
        <v>46307</v>
      </c>
      <c r="F3380" t="inlineStr">
        <is>
          <t>VÄRMLANDS LÄN</t>
        </is>
      </c>
      <c r="G3380" t="inlineStr">
        <is>
          <t>SÄFFLE</t>
        </is>
      </c>
      <c r="I3380" t="n">
        <v>1.7</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61295-2022</t>
        </is>
      </c>
      <c r="B3381" t="inlineStr">
        <is>
          <t>avverkningsanmälan</t>
        </is>
      </c>
      <c r="C3381" t="inlineStr">
        <is>
          <t>Föryngringsavverkning</t>
        </is>
      </c>
      <c r="D3381" s="1" t="n">
        <v>44915</v>
      </c>
      <c r="E3381" s="1" t="n">
        <v>46307</v>
      </c>
      <c r="F3381" t="inlineStr">
        <is>
          <t>VÄRMLANDS LÄN</t>
        </is>
      </c>
      <c r="G3381" t="inlineStr">
        <is>
          <t>ÅRJÄNG</t>
        </is>
      </c>
      <c r="I3381" t="n">
        <v>0.4</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28483-2024</t>
        </is>
      </c>
      <c r="B3382" t="inlineStr">
        <is>
          <t>avverkningsanmälan</t>
        </is>
      </c>
      <c r="C3382" t="inlineStr">
        <is>
          <t>Föryngringsavverkning</t>
        </is>
      </c>
      <c r="D3382" s="1" t="n">
        <v>45477</v>
      </c>
      <c r="E3382" s="1" t="n">
        <v>46307</v>
      </c>
      <c r="F3382" t="inlineStr">
        <is>
          <t>VÄRMLANDS LÄN</t>
        </is>
      </c>
      <c r="G3382" t="inlineStr">
        <is>
          <t>EDA</t>
        </is>
      </c>
      <c r="I3382" t="n">
        <v>0.6</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10648-2023</t>
        </is>
      </c>
      <c r="B3383" t="inlineStr">
        <is>
          <t>avverkningsanmälan</t>
        </is>
      </c>
      <c r="C3383" t="inlineStr">
        <is>
          <t>Föryngringsavverkning</t>
        </is>
      </c>
      <c r="D3383" s="1" t="n">
        <v>44984</v>
      </c>
      <c r="E3383" s="1" t="n">
        <v>46307</v>
      </c>
      <c r="F3383" t="inlineStr">
        <is>
          <t>VÄRMLANDS LÄN</t>
        </is>
      </c>
      <c r="G3383" t="inlineStr">
        <is>
          <t>ÅRJÄNG</t>
        </is>
      </c>
      <c r="I3383" t="n">
        <v>0.6</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37493-2025</t>
        </is>
      </c>
      <c r="B3384" t="inlineStr">
        <is>
          <t>avverkningsanmälan</t>
        </is>
      </c>
      <c r="C3384" t="inlineStr">
        <is>
          <t>Föryngringsavverkning</t>
        </is>
      </c>
      <c r="D3384" s="1" t="n">
        <v>45877</v>
      </c>
      <c r="E3384" s="1" t="n">
        <v>46307</v>
      </c>
      <c r="F3384" t="inlineStr">
        <is>
          <t>VÄRMLANDS LÄN</t>
        </is>
      </c>
      <c r="G3384" t="inlineStr">
        <is>
          <t>KARLSTAD</t>
        </is>
      </c>
      <c r="I3384" t="n">
        <v>1.9</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41996-2025</t>
        </is>
      </c>
      <c r="B3385" t="inlineStr">
        <is>
          <t>avverkningsanmälan</t>
        </is>
      </c>
      <c r="C3385" t="inlineStr">
        <is>
          <t>Föryngringsavverkning</t>
        </is>
      </c>
      <c r="D3385" s="1" t="n">
        <v>45903</v>
      </c>
      <c r="E3385" s="1" t="n">
        <v>46307</v>
      </c>
      <c r="F3385" t="inlineStr">
        <is>
          <t>VÄRMLANDS LÄN</t>
        </is>
      </c>
      <c r="G3385" t="inlineStr">
        <is>
          <t>EDA</t>
        </is>
      </c>
      <c r="I3385" t="n">
        <v>4.7</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11365-2023</t>
        </is>
      </c>
      <c r="B3386" t="inlineStr">
        <is>
          <t>avverkningsanmälan</t>
        </is>
      </c>
      <c r="C3386" t="inlineStr">
        <is>
          <t>Föryngringsavverkning</t>
        </is>
      </c>
      <c r="D3386" s="1" t="n">
        <v>44993</v>
      </c>
      <c r="E3386" s="1" t="n">
        <v>46307</v>
      </c>
      <c r="F3386" t="inlineStr">
        <is>
          <t>VÄRMLANDS LÄN</t>
        </is>
      </c>
      <c r="G3386" t="inlineStr">
        <is>
          <t>SÄFFLE</t>
        </is>
      </c>
      <c r="I3386" t="n">
        <v>1.7</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36282-2024</t>
        </is>
      </c>
      <c r="B3387" t="inlineStr">
        <is>
          <t>avverkningsanmälan</t>
        </is>
      </c>
      <c r="C3387" t="inlineStr">
        <is>
          <t>Föryngringsavverkning</t>
        </is>
      </c>
      <c r="D3387" s="1" t="n">
        <v>45534</v>
      </c>
      <c r="E3387" s="1" t="n">
        <v>46307</v>
      </c>
      <c r="F3387" t="inlineStr">
        <is>
          <t>VÄRMLANDS LÄN</t>
        </is>
      </c>
      <c r="G3387" t="inlineStr">
        <is>
          <t>ÅRJÄNG</t>
        </is>
      </c>
      <c r="I3387" t="n">
        <v>1.7</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59204-2023</t>
        </is>
      </c>
      <c r="B3388" t="inlineStr">
        <is>
          <t>avverkningsanmälan</t>
        </is>
      </c>
      <c r="C3388" t="inlineStr">
        <is>
          <t>Föryngringsavverkning</t>
        </is>
      </c>
      <c r="D3388" s="1" t="n">
        <v>45253</v>
      </c>
      <c r="E3388" s="1" t="n">
        <v>46307</v>
      </c>
      <c r="F3388" t="inlineStr">
        <is>
          <t>VÄRMLANDS LÄN</t>
        </is>
      </c>
      <c r="G3388" t="inlineStr">
        <is>
          <t>KARLSTAD</t>
        </is>
      </c>
      <c r="H3388" t="inlineStr">
        <is>
          <t>Kommuner</t>
        </is>
      </c>
      <c r="I3388" t="n">
        <v>9.4</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55810-2024</t>
        </is>
      </c>
      <c r="B3389" t="inlineStr">
        <is>
          <t>avverkningsanmälan</t>
        </is>
      </c>
      <c r="C3389" t="inlineStr">
        <is>
          <t>Föryngringsavverkning</t>
        </is>
      </c>
      <c r="D3389" s="1" t="n">
        <v>45623</v>
      </c>
      <c r="E3389" s="1" t="n">
        <v>46307</v>
      </c>
      <c r="F3389" t="inlineStr">
        <is>
          <t>VÄRMLANDS LÄN</t>
        </is>
      </c>
      <c r="G3389" t="inlineStr">
        <is>
          <t>EDA</t>
        </is>
      </c>
      <c r="I3389" t="n">
        <v>3.1</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58067-2024</t>
        </is>
      </c>
      <c r="B3390" t="inlineStr">
        <is>
          <t>avverkningsanmälan</t>
        </is>
      </c>
      <c r="C3390" t="inlineStr">
        <is>
          <t>Avverkning för annat ändamål</t>
        </is>
      </c>
      <c r="D3390" s="1" t="n">
        <v>45631</v>
      </c>
      <c r="E3390" s="1" t="n">
        <v>46307</v>
      </c>
      <c r="F3390" t="inlineStr">
        <is>
          <t>VÄRMLANDS LÄN</t>
        </is>
      </c>
      <c r="G3390" t="inlineStr">
        <is>
          <t>SÄFFLE</t>
        </is>
      </c>
      <c r="I3390" t="n">
        <v>0.3</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8741-2023</t>
        </is>
      </c>
      <c r="B3391" t="inlineStr">
        <is>
          <t>avverkningsanmälan</t>
        </is>
      </c>
      <c r="C3391" t="inlineStr">
        <is>
          <t>Föryngringsavverkning</t>
        </is>
      </c>
      <c r="D3391" s="1" t="n">
        <v>44972</v>
      </c>
      <c r="E3391" s="1" t="n">
        <v>46307</v>
      </c>
      <c r="F3391" t="inlineStr">
        <is>
          <t>VÄRMLANDS LÄN</t>
        </is>
      </c>
      <c r="G3391" t="inlineStr">
        <is>
          <t>ARVIKA</t>
        </is>
      </c>
      <c r="I3391" t="n">
        <v>2</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58153-2022</t>
        </is>
      </c>
      <c r="B3392" t="inlineStr">
        <is>
          <t>avverkningsanmälan</t>
        </is>
      </c>
      <c r="C3392" t="inlineStr">
        <is>
          <t>Föryngringsavverkning</t>
        </is>
      </c>
      <c r="D3392" s="1" t="n">
        <v>44900</v>
      </c>
      <c r="E3392" s="1" t="n">
        <v>46307</v>
      </c>
      <c r="F3392" t="inlineStr">
        <is>
          <t>VÄRMLANDS LÄN</t>
        </is>
      </c>
      <c r="G3392" t="inlineStr">
        <is>
          <t>ARVIKA</t>
        </is>
      </c>
      <c r="I3392" t="n">
        <v>1.6</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62497-2022</t>
        </is>
      </c>
      <c r="B3393" t="inlineStr">
        <is>
          <t>avverkningsanmälan</t>
        </is>
      </c>
      <c r="C3393" t="inlineStr">
        <is>
          <t>Föryngringsavverkning</t>
        </is>
      </c>
      <c r="D3393" s="1" t="n">
        <v>44924</v>
      </c>
      <c r="E3393" s="1" t="n">
        <v>46307</v>
      </c>
      <c r="F3393" t="inlineStr">
        <is>
          <t>VÄRMLANDS LÄN</t>
        </is>
      </c>
      <c r="G3393" t="inlineStr">
        <is>
          <t>HAGFORS</t>
        </is>
      </c>
      <c r="H3393" t="inlineStr">
        <is>
          <t>Bergvik skog väst AB</t>
        </is>
      </c>
      <c r="I3393" t="n">
        <v>1.6</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62498-2022</t>
        </is>
      </c>
      <c r="B3394" t="inlineStr">
        <is>
          <t>avverkningsanmälan</t>
        </is>
      </c>
      <c r="C3394" t="inlineStr">
        <is>
          <t>Föryngringsavverkning</t>
        </is>
      </c>
      <c r="D3394" s="1" t="n">
        <v>44917</v>
      </c>
      <c r="E3394" s="1" t="n">
        <v>46307</v>
      </c>
      <c r="F3394" t="inlineStr">
        <is>
          <t>VÄRMLANDS LÄN</t>
        </is>
      </c>
      <c r="G3394" t="inlineStr">
        <is>
          <t>KRISTINEHAMN</t>
        </is>
      </c>
      <c r="I3394" t="n">
        <v>3.3</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33421-2024</t>
        </is>
      </c>
      <c r="B3395" t="inlineStr">
        <is>
          <t>avverkningsanmälan</t>
        </is>
      </c>
      <c r="C3395" t="inlineStr">
        <is>
          <t>Föryngringsavverkning</t>
        </is>
      </c>
      <c r="D3395" s="1" t="n">
        <v>45519</v>
      </c>
      <c r="E3395" s="1" t="n">
        <v>46307</v>
      </c>
      <c r="F3395" t="inlineStr">
        <is>
          <t>VÄRMLANDS LÄN</t>
        </is>
      </c>
      <c r="G3395" t="inlineStr">
        <is>
          <t>ARVIKA</t>
        </is>
      </c>
      <c r="H3395" t="inlineStr">
        <is>
          <t>Bergvik skog väst AB</t>
        </is>
      </c>
      <c r="I3395" t="n">
        <v>2.1</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57967-2021</t>
        </is>
      </c>
      <c r="B3396" t="inlineStr">
        <is>
          <t>avverkningsanmälan</t>
        </is>
      </c>
      <c r="C3396" t="inlineStr">
        <is>
          <t>Föryngringsavverkning</t>
        </is>
      </c>
      <c r="D3396" s="1" t="n">
        <v>44487</v>
      </c>
      <c r="E3396" s="1" t="n">
        <v>46307</v>
      </c>
      <c r="F3396" t="inlineStr">
        <is>
          <t>VÄRMLANDS LÄN</t>
        </is>
      </c>
      <c r="G3396" t="inlineStr">
        <is>
          <t>KIL</t>
        </is>
      </c>
      <c r="I3396" t="n">
        <v>0.9</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58084-2024</t>
        </is>
      </c>
      <c r="B3397" t="inlineStr">
        <is>
          <t>avverkningsanmälan</t>
        </is>
      </c>
      <c r="C3397" t="inlineStr">
        <is>
          <t>Föryngringsavverkning</t>
        </is>
      </c>
      <c r="D3397" s="1" t="n">
        <v>45632</v>
      </c>
      <c r="E3397" s="1" t="n">
        <v>46307</v>
      </c>
      <c r="F3397" t="inlineStr">
        <is>
          <t>VÄRMLANDS LÄN</t>
        </is>
      </c>
      <c r="G3397" t="inlineStr">
        <is>
          <t>HAGFORS</t>
        </is>
      </c>
      <c r="I3397" t="n">
        <v>1.1</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31932-2024</t>
        </is>
      </c>
      <c r="B3398" t="inlineStr">
        <is>
          <t>avverkningsanmälan</t>
        </is>
      </c>
      <c r="C3398" t="inlineStr">
        <is>
          <t>Föryngringsavverkning</t>
        </is>
      </c>
      <c r="D3398" s="1" t="n">
        <v>45510</v>
      </c>
      <c r="E3398" s="1" t="n">
        <v>46307</v>
      </c>
      <c r="F3398" t="inlineStr">
        <is>
          <t>VÄRMLANDS LÄN</t>
        </is>
      </c>
      <c r="G3398" t="inlineStr">
        <is>
          <t>EDA</t>
        </is>
      </c>
      <c r="I3398" t="n">
        <v>2.7</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58132-2024</t>
        </is>
      </c>
      <c r="B3399" t="inlineStr">
        <is>
          <t>avverkningsanmälan</t>
        </is>
      </c>
      <c r="C3399" t="inlineStr">
        <is>
          <t>Föryngringsavverkning</t>
        </is>
      </c>
      <c r="D3399" s="1" t="n">
        <v>45632</v>
      </c>
      <c r="E3399" s="1" t="n">
        <v>46307</v>
      </c>
      <c r="F3399" t="inlineStr">
        <is>
          <t>VÄRMLANDS LÄN</t>
        </is>
      </c>
      <c r="G3399" t="inlineStr">
        <is>
          <t>HAGFORS</t>
        </is>
      </c>
      <c r="I3399" t="n">
        <v>1.1</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61545-2024</t>
        </is>
      </c>
      <c r="B3400" t="inlineStr">
        <is>
          <t>avverkningsanmälan</t>
        </is>
      </c>
      <c r="C3400" t="inlineStr">
        <is>
          <t>Föryngringsavverkning</t>
        </is>
      </c>
      <c r="D3400" s="1" t="n">
        <v>45646</v>
      </c>
      <c r="E3400" s="1" t="n">
        <v>46307</v>
      </c>
      <c r="F3400" t="inlineStr">
        <is>
          <t>VÄRMLANDS LÄN</t>
        </is>
      </c>
      <c r="G3400" t="inlineStr">
        <is>
          <t>ÅRJÄNG</t>
        </is>
      </c>
      <c r="I3400" t="n">
        <v>1.1</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57449-2022</t>
        </is>
      </c>
      <c r="B3401" t="inlineStr">
        <is>
          <t>avverkningsanmälan</t>
        </is>
      </c>
      <c r="C3401" t="inlineStr">
        <is>
          <t>Föryngringsavverkning</t>
        </is>
      </c>
      <c r="D3401" s="1" t="n">
        <v>44896</v>
      </c>
      <c r="E3401" s="1" t="n">
        <v>46307</v>
      </c>
      <c r="F3401" t="inlineStr">
        <is>
          <t>VÄRMLANDS LÄN</t>
        </is>
      </c>
      <c r="G3401" t="inlineStr">
        <is>
          <t>KARLSTAD</t>
        </is>
      </c>
      <c r="I3401" t="n">
        <v>2.4</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60182-2022</t>
        </is>
      </c>
      <c r="B3402" t="inlineStr">
        <is>
          <t>avverkningsanmälan</t>
        </is>
      </c>
      <c r="C3402" t="inlineStr">
        <is>
          <t>Föryngringsavverkning</t>
        </is>
      </c>
      <c r="D3402" s="1" t="n">
        <v>44910</v>
      </c>
      <c r="E3402" s="1" t="n">
        <v>46307</v>
      </c>
      <c r="F3402" t="inlineStr">
        <is>
          <t>VÄRMLANDS LÄN</t>
        </is>
      </c>
      <c r="G3402" t="inlineStr">
        <is>
          <t>SUNNE</t>
        </is>
      </c>
      <c r="I3402" t="n">
        <v>0.4</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23279-2024</t>
        </is>
      </c>
      <c r="B3403" t="inlineStr">
        <is>
          <t>avverkningsanmälan</t>
        </is>
      </c>
      <c r="C3403" t="inlineStr">
        <is>
          <t>Föryngringsavverkning</t>
        </is>
      </c>
      <c r="D3403" s="1" t="n">
        <v>45453</v>
      </c>
      <c r="E3403" s="1" t="n">
        <v>46307</v>
      </c>
      <c r="F3403" t="inlineStr">
        <is>
          <t>VÄRMLANDS LÄN</t>
        </is>
      </c>
      <c r="G3403" t="inlineStr">
        <is>
          <t>STORFORS</t>
        </is>
      </c>
      <c r="I3403" t="n">
        <v>1.5</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5431-2025</t>
        </is>
      </c>
      <c r="B3404" t="inlineStr">
        <is>
          <t>avverkningsanmälan</t>
        </is>
      </c>
      <c r="C3404" t="inlineStr">
        <is>
          <t>Avverkning för annat ändamål</t>
        </is>
      </c>
      <c r="D3404" s="1" t="n">
        <v>45692</v>
      </c>
      <c r="E3404" s="1" t="n">
        <v>46307</v>
      </c>
      <c r="F3404" t="inlineStr">
        <is>
          <t>VÄRMLANDS LÄN</t>
        </is>
      </c>
      <c r="G3404" t="inlineStr">
        <is>
          <t>EDA</t>
        </is>
      </c>
      <c r="I3404" t="n">
        <v>1.4</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42208-2025</t>
        </is>
      </c>
      <c r="B3405" t="inlineStr">
        <is>
          <t>avverkningsanmälan</t>
        </is>
      </c>
      <c r="C3405" t="inlineStr">
        <is>
          <t>Föryngringsavverkning</t>
        </is>
      </c>
      <c r="D3405" s="1" t="n">
        <v>45904</v>
      </c>
      <c r="E3405" s="1" t="n">
        <v>46307</v>
      </c>
      <c r="F3405" t="inlineStr">
        <is>
          <t>VÄRMLANDS LÄN</t>
        </is>
      </c>
      <c r="G3405" t="inlineStr">
        <is>
          <t>SÄFFLE</t>
        </is>
      </c>
      <c r="I3405" t="n">
        <v>0.5</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34400-2023</t>
        </is>
      </c>
      <c r="B3406" t="inlineStr">
        <is>
          <t>avverkningsanmälan</t>
        </is>
      </c>
      <c r="C3406" t="inlineStr">
        <is>
          <t>Föryngringsavverkning</t>
        </is>
      </c>
      <c r="D3406" s="1" t="n">
        <v>45132</v>
      </c>
      <c r="E3406" s="1" t="n">
        <v>46307</v>
      </c>
      <c r="F3406" t="inlineStr">
        <is>
          <t>VÄRMLANDS LÄN</t>
        </is>
      </c>
      <c r="G3406" t="inlineStr">
        <is>
          <t>ARVIKA</t>
        </is>
      </c>
      <c r="I3406" t="n">
        <v>2.2</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38062-2024</t>
        </is>
      </c>
      <c r="B3407" t="inlineStr">
        <is>
          <t>avverkningsanmälan</t>
        </is>
      </c>
      <c r="C3407" t="inlineStr">
        <is>
          <t>Föryngringsavverkning</t>
        </is>
      </c>
      <c r="D3407" s="1" t="n">
        <v>45544</v>
      </c>
      <c r="E3407" s="1" t="n">
        <v>46307</v>
      </c>
      <c r="F3407" t="inlineStr">
        <is>
          <t>VÄRMLANDS LÄN</t>
        </is>
      </c>
      <c r="G3407" t="inlineStr">
        <is>
          <t>TORSBY</t>
        </is>
      </c>
      <c r="H3407" t="inlineStr">
        <is>
          <t>Bergvik skog väst AB</t>
        </is>
      </c>
      <c r="I3407" t="n">
        <v>7.9</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42577-2025</t>
        </is>
      </c>
      <c r="B3408" t="inlineStr">
        <is>
          <t>avverkningsanmälan</t>
        </is>
      </c>
      <c r="C3408" t="inlineStr">
        <is>
          <t>Föryngringsavverkning</t>
        </is>
      </c>
      <c r="D3408" s="1" t="n">
        <v>45905</v>
      </c>
      <c r="E3408" s="1" t="n">
        <v>46307</v>
      </c>
      <c r="F3408" t="inlineStr">
        <is>
          <t>VÄRMLANDS LÄN</t>
        </is>
      </c>
      <c r="G3408" t="inlineStr">
        <is>
          <t>KRISTINEHAMN</t>
        </is>
      </c>
      <c r="I3408" t="n">
        <v>7.8</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19506-2023</t>
        </is>
      </c>
      <c r="B3409" t="inlineStr">
        <is>
          <t>avverkningsanmälan</t>
        </is>
      </c>
      <c r="C3409" t="inlineStr">
        <is>
          <t>Avverkning för annat ändamål</t>
        </is>
      </c>
      <c r="D3409" s="1" t="n">
        <v>45050</v>
      </c>
      <c r="E3409" s="1" t="n">
        <v>46307</v>
      </c>
      <c r="F3409" t="inlineStr">
        <is>
          <t>VÄRMLANDS LÄN</t>
        </is>
      </c>
      <c r="G3409" t="inlineStr">
        <is>
          <t>SÄFFLE</t>
        </is>
      </c>
      <c r="I3409" t="n">
        <v>3.2</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19508-2023</t>
        </is>
      </c>
      <c r="B3410" t="inlineStr">
        <is>
          <t>avverkningsanmälan</t>
        </is>
      </c>
      <c r="C3410" t="inlineStr">
        <is>
          <t>Avverkning för annat ändamål</t>
        </is>
      </c>
      <c r="D3410" s="1" t="n">
        <v>45050</v>
      </c>
      <c r="E3410" s="1" t="n">
        <v>46307</v>
      </c>
      <c r="F3410" t="inlineStr">
        <is>
          <t>VÄRMLANDS LÄN</t>
        </is>
      </c>
      <c r="G3410" t="inlineStr">
        <is>
          <t>SÄFFLE</t>
        </is>
      </c>
      <c r="I3410" t="n">
        <v>2.4</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42381-2025</t>
        </is>
      </c>
      <c r="B3411" t="inlineStr">
        <is>
          <t>avverkningsanmälan</t>
        </is>
      </c>
      <c r="C3411" t="inlineStr">
        <is>
          <t>Föryngringsavverkning</t>
        </is>
      </c>
      <c r="D3411" s="1" t="n">
        <v>45905</v>
      </c>
      <c r="E3411" s="1" t="n">
        <v>46307</v>
      </c>
      <c r="F3411" t="inlineStr">
        <is>
          <t>VÄRMLANDS LÄN</t>
        </is>
      </c>
      <c r="G3411" t="inlineStr">
        <is>
          <t>HAGFORS</t>
        </is>
      </c>
      <c r="H3411" t="inlineStr">
        <is>
          <t>Bergvik skog väst AB</t>
        </is>
      </c>
      <c r="I3411" t="n">
        <v>0.8</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6577-2025</t>
        </is>
      </c>
      <c r="B3412" t="inlineStr">
        <is>
          <t>avverkningsanmälan</t>
        </is>
      </c>
      <c r="C3412" t="inlineStr">
        <is>
          <t>Föryngringsavverkning</t>
        </is>
      </c>
      <c r="D3412" s="1" t="n">
        <v>45699</v>
      </c>
      <c r="E3412" s="1" t="n">
        <v>46307</v>
      </c>
      <c r="F3412" t="inlineStr">
        <is>
          <t>VÄRMLANDS LÄN</t>
        </is>
      </c>
      <c r="G3412" t="inlineStr">
        <is>
          <t>ÅRJÄNG</t>
        </is>
      </c>
      <c r="I3412" t="n">
        <v>1.2</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42406-2025</t>
        </is>
      </c>
      <c r="B3413" t="inlineStr">
        <is>
          <t>avverkningsanmälan</t>
        </is>
      </c>
      <c r="C3413" t="inlineStr">
        <is>
          <t>Föryngringsavverkning</t>
        </is>
      </c>
      <c r="D3413" s="1" t="n">
        <v>45905</v>
      </c>
      <c r="E3413" s="1" t="n">
        <v>46307</v>
      </c>
      <c r="F3413" t="inlineStr">
        <is>
          <t>VÄRMLANDS LÄN</t>
        </is>
      </c>
      <c r="G3413" t="inlineStr">
        <is>
          <t>HAGFORS</t>
        </is>
      </c>
      <c r="H3413" t="inlineStr">
        <is>
          <t>Bergvik skog väst AB</t>
        </is>
      </c>
      <c r="I3413" t="n">
        <v>5.8</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42441-2025</t>
        </is>
      </c>
      <c r="B3414" t="inlineStr">
        <is>
          <t>avverkningsanmälan</t>
        </is>
      </c>
      <c r="C3414" t="inlineStr">
        <is>
          <t>Föryngringsavverkning</t>
        </is>
      </c>
      <c r="D3414" s="1" t="n">
        <v>45905</v>
      </c>
      <c r="E3414" s="1" t="n">
        <v>46307</v>
      </c>
      <c r="F3414" t="inlineStr">
        <is>
          <t>VÄRMLANDS LÄN</t>
        </is>
      </c>
      <c r="G3414" t="inlineStr">
        <is>
          <t>FORSHAGA</t>
        </is>
      </c>
      <c r="I3414" t="n">
        <v>4.1</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11370-2023</t>
        </is>
      </c>
      <c r="B3415" t="inlineStr">
        <is>
          <t>avverkningsanmälan</t>
        </is>
      </c>
      <c r="C3415" t="inlineStr">
        <is>
          <t>Föryngringsavverkning</t>
        </is>
      </c>
      <c r="D3415" s="1" t="n">
        <v>44985</v>
      </c>
      <c r="E3415" s="1" t="n">
        <v>46307</v>
      </c>
      <c r="F3415" t="inlineStr">
        <is>
          <t>VÄRMLANDS LÄN</t>
        </is>
      </c>
      <c r="G3415" t="inlineStr">
        <is>
          <t>KARLSTAD</t>
        </is>
      </c>
      <c r="I3415" t="n">
        <v>1.5</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56566-2022</t>
        </is>
      </c>
      <c r="B3416" t="inlineStr">
        <is>
          <t>avverkningsanmälan</t>
        </is>
      </c>
      <c r="C3416" t="inlineStr">
        <is>
          <t>Föryngringsavverkning</t>
        </is>
      </c>
      <c r="D3416" s="1" t="n">
        <v>44893</v>
      </c>
      <c r="E3416" s="1" t="n">
        <v>46307</v>
      </c>
      <c r="F3416" t="inlineStr">
        <is>
          <t>VÄRMLANDS LÄN</t>
        </is>
      </c>
      <c r="G3416" t="inlineStr">
        <is>
          <t>ÅRJÄNG</t>
        </is>
      </c>
      <c r="I3416" t="n">
        <v>2.2</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11121-2024</t>
        </is>
      </c>
      <c r="B3417" t="inlineStr">
        <is>
          <t>avverkningsanmälan</t>
        </is>
      </c>
      <c r="C3417" t="inlineStr">
        <is>
          <t>Föryngringsavverkning</t>
        </is>
      </c>
      <c r="D3417" s="1" t="n">
        <v>45371</v>
      </c>
      <c r="E3417" s="1" t="n">
        <v>46307</v>
      </c>
      <c r="F3417" t="inlineStr">
        <is>
          <t>VÄRMLANDS LÄN</t>
        </is>
      </c>
      <c r="G3417" t="inlineStr">
        <is>
          <t>TORSBY</t>
        </is>
      </c>
      <c r="I3417" t="n">
        <v>2.3</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11154-2024</t>
        </is>
      </c>
      <c r="B3418" t="inlineStr">
        <is>
          <t>avverkningsanmälan</t>
        </is>
      </c>
      <c r="C3418" t="inlineStr">
        <is>
          <t>Föryngringsavverkning</t>
        </is>
      </c>
      <c r="D3418" s="1" t="n">
        <v>45371</v>
      </c>
      <c r="E3418" s="1" t="n">
        <v>46307</v>
      </c>
      <c r="F3418" t="inlineStr">
        <is>
          <t>VÄRMLANDS LÄN</t>
        </is>
      </c>
      <c r="G3418" t="inlineStr">
        <is>
          <t>ARVIKA</t>
        </is>
      </c>
      <c r="I3418" t="n">
        <v>1.5</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27826-2024</t>
        </is>
      </c>
      <c r="B3419" t="inlineStr">
        <is>
          <t>avverkningsanmälan</t>
        </is>
      </c>
      <c r="C3419" t="inlineStr">
        <is>
          <t>Föryngringsavverkning</t>
        </is>
      </c>
      <c r="D3419" s="1" t="n">
        <v>45475</v>
      </c>
      <c r="E3419" s="1" t="n">
        <v>46307</v>
      </c>
      <c r="F3419" t="inlineStr">
        <is>
          <t>VÄRMLANDS LÄN</t>
        </is>
      </c>
      <c r="G3419" t="inlineStr">
        <is>
          <t>HAGFORS</t>
        </is>
      </c>
      <c r="H3419" t="inlineStr">
        <is>
          <t>Bergvik skog väst AB</t>
        </is>
      </c>
      <c r="I3419" t="n">
        <v>0.6</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27827-2024</t>
        </is>
      </c>
      <c r="B3420" t="inlineStr">
        <is>
          <t>avverkningsanmälan</t>
        </is>
      </c>
      <c r="C3420" t="inlineStr">
        <is>
          <t>Föryngringsavverkning</t>
        </is>
      </c>
      <c r="D3420" s="1" t="n">
        <v>45475</v>
      </c>
      <c r="E3420" s="1" t="n">
        <v>46307</v>
      </c>
      <c r="F3420" t="inlineStr">
        <is>
          <t>VÄRMLANDS LÄN</t>
        </is>
      </c>
      <c r="G3420" t="inlineStr">
        <is>
          <t>HAGFORS</t>
        </is>
      </c>
      <c r="H3420" t="inlineStr">
        <is>
          <t>Bergvik skog väst AB</t>
        </is>
      </c>
      <c r="I3420" t="n">
        <v>0.6</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19109-2024</t>
        </is>
      </c>
      <c r="B3421" t="inlineStr">
        <is>
          <t>avverkningsanmälan</t>
        </is>
      </c>
      <c r="C3421" t="inlineStr">
        <is>
          <t>Föryngringsavverkning</t>
        </is>
      </c>
      <c r="D3421" s="1" t="n">
        <v>45428</v>
      </c>
      <c r="E3421" s="1" t="n">
        <v>46307</v>
      </c>
      <c r="F3421" t="inlineStr">
        <is>
          <t>VÄRMLANDS LÄN</t>
        </is>
      </c>
      <c r="G3421" t="inlineStr">
        <is>
          <t>ARVIKA</t>
        </is>
      </c>
      <c r="I3421" t="n">
        <v>2</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19125-2024</t>
        </is>
      </c>
      <c r="B3422" t="inlineStr">
        <is>
          <t>avverkningsanmälan</t>
        </is>
      </c>
      <c r="C3422" t="inlineStr">
        <is>
          <t>Föryngringsavverkning</t>
        </is>
      </c>
      <c r="D3422" s="1" t="n">
        <v>45428</v>
      </c>
      <c r="E3422" s="1" t="n">
        <v>46307</v>
      </c>
      <c r="F3422" t="inlineStr">
        <is>
          <t>VÄRMLANDS LÄN</t>
        </is>
      </c>
      <c r="G3422" t="inlineStr">
        <is>
          <t>HAGFORS</t>
        </is>
      </c>
      <c r="H3422" t="inlineStr">
        <is>
          <t>Bergvik skog väst AB</t>
        </is>
      </c>
      <c r="I3422" t="n">
        <v>19.5</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10878-2023</t>
        </is>
      </c>
      <c r="B3423" t="inlineStr">
        <is>
          <t>avverkningsanmälan</t>
        </is>
      </c>
      <c r="C3423" t="inlineStr">
        <is>
          <t>Föryngringsavverkning</t>
        </is>
      </c>
      <c r="D3423" s="1" t="n">
        <v>44991</v>
      </c>
      <c r="E3423" s="1" t="n">
        <v>46307</v>
      </c>
      <c r="F3423" t="inlineStr">
        <is>
          <t>VÄRMLANDS LÄN</t>
        </is>
      </c>
      <c r="G3423" t="inlineStr">
        <is>
          <t>EDA</t>
        </is>
      </c>
      <c r="I3423" t="n">
        <v>1.5</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7602-2024</t>
        </is>
      </c>
      <c r="B3424" t="inlineStr">
        <is>
          <t>avverkningsanmälan</t>
        </is>
      </c>
      <c r="C3424" t="inlineStr">
        <is>
          <t>Föryngringsavverkning</t>
        </is>
      </c>
      <c r="D3424" s="1" t="n">
        <v>45348</v>
      </c>
      <c r="E3424" s="1" t="n">
        <v>46307</v>
      </c>
      <c r="F3424" t="inlineStr">
        <is>
          <t>VÄRMLANDS LÄN</t>
        </is>
      </c>
      <c r="G3424" t="inlineStr">
        <is>
          <t>SÄFFLE</t>
        </is>
      </c>
      <c r="I3424" t="n">
        <v>4.9</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10910-2023</t>
        </is>
      </c>
      <c r="B3425" t="inlineStr">
        <is>
          <t>avverkningsanmälan</t>
        </is>
      </c>
      <c r="C3425" t="inlineStr">
        <is>
          <t>Föryngringsavverkning</t>
        </is>
      </c>
      <c r="D3425" s="1" t="n">
        <v>44991</v>
      </c>
      <c r="E3425" s="1" t="n">
        <v>46307</v>
      </c>
      <c r="F3425" t="inlineStr">
        <is>
          <t>VÄRMLANDS LÄN</t>
        </is>
      </c>
      <c r="G3425" t="inlineStr">
        <is>
          <t>KIL</t>
        </is>
      </c>
      <c r="I3425" t="n">
        <v>1.6</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34262-2024</t>
        </is>
      </c>
      <c r="B3426" t="inlineStr">
        <is>
          <t>avverkningsanmälan</t>
        </is>
      </c>
      <c r="C3426" t="inlineStr">
        <is>
          <t>Föryngringsavverkning</t>
        </is>
      </c>
      <c r="D3426" s="1" t="n">
        <v>45524</v>
      </c>
      <c r="E3426" s="1" t="n">
        <v>46307</v>
      </c>
      <c r="F3426" t="inlineStr">
        <is>
          <t>VÄRMLANDS LÄN</t>
        </is>
      </c>
      <c r="G3426" t="inlineStr">
        <is>
          <t>FILIPSTAD</t>
        </is>
      </c>
      <c r="I3426" t="n">
        <v>1.4</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3072-2024</t>
        </is>
      </c>
      <c r="B3427" t="inlineStr">
        <is>
          <t>avverkningsanmälan</t>
        </is>
      </c>
      <c r="C3427" t="inlineStr">
        <is>
          <t>Föryngringsavverkning</t>
        </is>
      </c>
      <c r="D3427" s="1" t="n">
        <v>45316</v>
      </c>
      <c r="E3427" s="1" t="n">
        <v>46307</v>
      </c>
      <c r="F3427" t="inlineStr">
        <is>
          <t>VÄRMLANDS LÄN</t>
        </is>
      </c>
      <c r="G3427" t="inlineStr">
        <is>
          <t>SUNNE</t>
        </is>
      </c>
      <c r="H3427" t="inlineStr">
        <is>
          <t>Kommuner</t>
        </is>
      </c>
      <c r="I3427" t="n">
        <v>3.3</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513-2023</t>
        </is>
      </c>
      <c r="B3428" t="inlineStr">
        <is>
          <t>avverkningsanmälan</t>
        </is>
      </c>
      <c r="C3428" t="inlineStr">
        <is>
          <t>Föryngringsavverkning</t>
        </is>
      </c>
      <c r="D3428" s="1" t="n">
        <v>44930</v>
      </c>
      <c r="E3428" s="1" t="n">
        <v>46307</v>
      </c>
      <c r="F3428" t="inlineStr">
        <is>
          <t>VÄRMLANDS LÄN</t>
        </is>
      </c>
      <c r="G3428" t="inlineStr">
        <is>
          <t>SUNNE</t>
        </is>
      </c>
      <c r="I3428" t="n">
        <v>0.3</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37347-2024</t>
        </is>
      </c>
      <c r="B3429" t="inlineStr">
        <is>
          <t>avverkningsanmälan</t>
        </is>
      </c>
      <c r="C3429" t="inlineStr">
        <is>
          <t>Föryngringsavverkning</t>
        </is>
      </c>
      <c r="D3429" s="1" t="n">
        <v>45540</v>
      </c>
      <c r="E3429" s="1" t="n">
        <v>46307</v>
      </c>
      <c r="F3429" t="inlineStr">
        <is>
          <t>VÄRMLANDS LÄN</t>
        </is>
      </c>
      <c r="G3429" t="inlineStr">
        <is>
          <t>ÅRJÄNG</t>
        </is>
      </c>
      <c r="I3429" t="n">
        <v>1.9</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52689-2024</t>
        </is>
      </c>
      <c r="B3430" t="inlineStr">
        <is>
          <t>avverkningsanmälan</t>
        </is>
      </c>
      <c r="C3430" t="inlineStr">
        <is>
          <t>Föryngringsavverkning</t>
        </is>
      </c>
      <c r="D3430" s="1" t="n">
        <v>45610</v>
      </c>
      <c r="E3430" s="1" t="n">
        <v>46307</v>
      </c>
      <c r="F3430" t="inlineStr">
        <is>
          <t>VÄRMLANDS LÄN</t>
        </is>
      </c>
      <c r="G3430" t="inlineStr">
        <is>
          <t>TORSBY</t>
        </is>
      </c>
      <c r="I3430" t="n">
        <v>1.2</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34534-2024</t>
        </is>
      </c>
      <c r="B3431" t="inlineStr">
        <is>
          <t>avverkningsanmälan</t>
        </is>
      </c>
      <c r="C3431" t="inlineStr">
        <is>
          <t>Föryngringsavverkning</t>
        </is>
      </c>
      <c r="D3431" s="1" t="n">
        <v>45525</v>
      </c>
      <c r="E3431" s="1" t="n">
        <v>46307</v>
      </c>
      <c r="F3431" t="inlineStr">
        <is>
          <t>VÄRMLANDS LÄN</t>
        </is>
      </c>
      <c r="G3431" t="inlineStr">
        <is>
          <t>TORSBY</t>
        </is>
      </c>
      <c r="I3431" t="n">
        <v>1.5</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2930-2022</t>
        </is>
      </c>
      <c r="B3432" t="inlineStr">
        <is>
          <t>avverkningsanmälan</t>
        </is>
      </c>
      <c r="C3432" t="inlineStr">
        <is>
          <t>Föryngringsavverkning</t>
        </is>
      </c>
      <c r="D3432" s="1" t="n">
        <v>44581</v>
      </c>
      <c r="E3432" s="1" t="n">
        <v>46307</v>
      </c>
      <c r="F3432" t="inlineStr">
        <is>
          <t>VÄRMLANDS LÄN</t>
        </is>
      </c>
      <c r="G3432" t="inlineStr">
        <is>
          <t>SUNNE</t>
        </is>
      </c>
      <c r="I3432" t="n">
        <v>1.1</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42448-2025</t>
        </is>
      </c>
      <c r="B3433" t="inlineStr">
        <is>
          <t>avverkningsanmälan</t>
        </is>
      </c>
      <c r="C3433" t="inlineStr">
        <is>
          <t>Föryngringsavverkning</t>
        </is>
      </c>
      <c r="D3433" s="1" t="n">
        <v>45905</v>
      </c>
      <c r="E3433" s="1" t="n">
        <v>46307</v>
      </c>
      <c r="F3433" t="inlineStr">
        <is>
          <t>VÄRMLANDS LÄN</t>
        </is>
      </c>
      <c r="G3433" t="inlineStr">
        <is>
          <t>ARVIKA</t>
        </is>
      </c>
      <c r="H3433" t="inlineStr">
        <is>
          <t>Bergvik skog väst AB</t>
        </is>
      </c>
      <c r="I3433" t="n">
        <v>7.5</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34121-2024</t>
        </is>
      </c>
      <c r="B3434" t="inlineStr">
        <is>
          <t>avverkningsanmälan</t>
        </is>
      </c>
      <c r="C3434" t="inlineStr">
        <is>
          <t>Föryngringsavverkning</t>
        </is>
      </c>
      <c r="D3434" s="1" t="n">
        <v>45524</v>
      </c>
      <c r="E3434" s="1" t="n">
        <v>46307</v>
      </c>
      <c r="F3434" t="inlineStr">
        <is>
          <t>VÄRMLANDS LÄN</t>
        </is>
      </c>
      <c r="G3434" t="inlineStr">
        <is>
          <t>SÄFFLE</t>
        </is>
      </c>
      <c r="I3434" t="n">
        <v>2.6</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19844-2024</t>
        </is>
      </c>
      <c r="B3435" t="inlineStr">
        <is>
          <t>avverkningsanmälan</t>
        </is>
      </c>
      <c r="C3435" t="inlineStr">
        <is>
          <t>Föryngringsavverkning</t>
        </is>
      </c>
      <c r="D3435" s="1" t="n">
        <v>45432</v>
      </c>
      <c r="E3435" s="1" t="n">
        <v>46307</v>
      </c>
      <c r="F3435" t="inlineStr">
        <is>
          <t>VÄRMLANDS LÄN</t>
        </is>
      </c>
      <c r="G3435" t="inlineStr">
        <is>
          <t>KARLSTAD</t>
        </is>
      </c>
      <c r="I3435" t="n">
        <v>3.4</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11890-2025</t>
        </is>
      </c>
      <c r="B3436" t="inlineStr">
        <is>
          <t>avverkningsanmälan</t>
        </is>
      </c>
      <c r="C3436" t="inlineStr">
        <is>
          <t>Föryngringsavverkning</t>
        </is>
      </c>
      <c r="D3436" s="1" t="n">
        <v>45728</v>
      </c>
      <c r="E3436" s="1" t="n">
        <v>46307</v>
      </c>
      <c r="F3436" t="inlineStr">
        <is>
          <t>VÄRMLANDS LÄN</t>
        </is>
      </c>
      <c r="G3436" t="inlineStr">
        <is>
          <t>ARVIKA</t>
        </is>
      </c>
      <c r="I3436" t="n">
        <v>1.5</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15472-2025</t>
        </is>
      </c>
      <c r="B3437" t="inlineStr">
        <is>
          <t>avverkningsanmälan</t>
        </is>
      </c>
      <c r="C3437" t="inlineStr">
        <is>
          <t>Föryngringsavverkning</t>
        </is>
      </c>
      <c r="D3437" s="1" t="n">
        <v>45747</v>
      </c>
      <c r="E3437" s="1" t="n">
        <v>46307</v>
      </c>
      <c r="F3437" t="inlineStr">
        <is>
          <t>VÄRMLANDS LÄN</t>
        </is>
      </c>
      <c r="G3437" t="inlineStr">
        <is>
          <t>KIL</t>
        </is>
      </c>
      <c r="I3437" t="n">
        <v>2.4</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41533-2025</t>
        </is>
      </c>
      <c r="B3438" t="inlineStr">
        <is>
          <t>avverkningsanmälan</t>
        </is>
      </c>
      <c r="C3438" t="inlineStr">
        <is>
          <t>Föryngringsavverkning</t>
        </is>
      </c>
      <c r="D3438" s="1" t="n">
        <v>45901</v>
      </c>
      <c r="E3438" s="1" t="n">
        <v>46307</v>
      </c>
      <c r="F3438" t="inlineStr">
        <is>
          <t>VÄRMLANDS LÄN</t>
        </is>
      </c>
      <c r="G3438" t="inlineStr">
        <is>
          <t>SÄFFLE</t>
        </is>
      </c>
      <c r="I3438" t="n">
        <v>2.7</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42720-2025</t>
        </is>
      </c>
      <c r="B3439" t="inlineStr">
        <is>
          <t>avverkningsanmälan</t>
        </is>
      </c>
      <c r="C3439" t="inlineStr">
        <is>
          <t>Föryngringsavverkning</t>
        </is>
      </c>
      <c r="D3439" s="1" t="n">
        <v>45908</v>
      </c>
      <c r="E3439" s="1" t="n">
        <v>46307</v>
      </c>
      <c r="F3439" t="inlineStr">
        <is>
          <t>VÄRMLANDS LÄN</t>
        </is>
      </c>
      <c r="G3439" t="inlineStr">
        <is>
          <t>TORSBY</t>
        </is>
      </c>
      <c r="H3439" t="inlineStr">
        <is>
          <t>Bergvik skog väst AB</t>
        </is>
      </c>
      <c r="I3439" t="n">
        <v>6.8</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16486-2024</t>
        </is>
      </c>
      <c r="B3440" t="inlineStr">
        <is>
          <t>avverkningsanmälan</t>
        </is>
      </c>
      <c r="C3440" t="inlineStr">
        <is>
          <t>Föryngringsavverkning</t>
        </is>
      </c>
      <c r="D3440" s="1" t="n">
        <v>45408</v>
      </c>
      <c r="E3440" s="1" t="n">
        <v>46307</v>
      </c>
      <c r="F3440" t="inlineStr">
        <is>
          <t>VÄRMLANDS LÄN</t>
        </is>
      </c>
      <c r="G3440" t="inlineStr">
        <is>
          <t>EDA</t>
        </is>
      </c>
      <c r="I3440" t="n">
        <v>0.8</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52803-2024</t>
        </is>
      </c>
      <c r="B3441" t="inlineStr">
        <is>
          <t>avverkningsanmälan</t>
        </is>
      </c>
      <c r="C3441" t="inlineStr">
        <is>
          <t>Föryngringsavverkning</t>
        </is>
      </c>
      <c r="D3441" s="1" t="n">
        <v>45610</v>
      </c>
      <c r="E3441" s="1" t="n">
        <v>46307</v>
      </c>
      <c r="F3441" t="inlineStr">
        <is>
          <t>VÄRMLANDS LÄN</t>
        </is>
      </c>
      <c r="G3441" t="inlineStr">
        <is>
          <t>ÅRJÄNG</t>
        </is>
      </c>
      <c r="I3441" t="n">
        <v>1.3</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18183-2023</t>
        </is>
      </c>
      <c r="B3442" t="inlineStr">
        <is>
          <t>avverkningsanmälan</t>
        </is>
      </c>
      <c r="C3442" t="inlineStr">
        <is>
          <t>Föryngringsavverkning</t>
        </is>
      </c>
      <c r="D3442" s="1" t="n">
        <v>45041</v>
      </c>
      <c r="E3442" s="1" t="n">
        <v>46307</v>
      </c>
      <c r="F3442" t="inlineStr">
        <is>
          <t>VÄRMLANDS LÄN</t>
        </is>
      </c>
      <c r="G3442" t="inlineStr">
        <is>
          <t>SUNNE</t>
        </is>
      </c>
      <c r="I3442" t="n">
        <v>1</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42562-2025</t>
        </is>
      </c>
      <c r="B3443" t="inlineStr">
        <is>
          <t>avverkningsanmälan</t>
        </is>
      </c>
      <c r="C3443" t="inlineStr">
        <is>
          <t>Föryngringsavverkning</t>
        </is>
      </c>
      <c r="D3443" s="1" t="n">
        <v>45905</v>
      </c>
      <c r="E3443" s="1" t="n">
        <v>46307</v>
      </c>
      <c r="F3443" t="inlineStr">
        <is>
          <t>VÄRMLANDS LÄN</t>
        </is>
      </c>
      <c r="G3443" t="inlineStr">
        <is>
          <t>ÅRJÄNG</t>
        </is>
      </c>
      <c r="I3443" t="n">
        <v>2.3</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60440-2022</t>
        </is>
      </c>
      <c r="B3444" t="inlineStr">
        <is>
          <t>avverkningsanmälan</t>
        </is>
      </c>
      <c r="C3444" t="inlineStr">
        <is>
          <t>Föryngringsavverkning</t>
        </is>
      </c>
      <c r="D3444" s="1" t="n">
        <v>44911</v>
      </c>
      <c r="E3444" s="1" t="n">
        <v>46307</v>
      </c>
      <c r="F3444" t="inlineStr">
        <is>
          <t>VÄRMLANDS LÄN</t>
        </is>
      </c>
      <c r="G3444" t="inlineStr">
        <is>
          <t>EDA</t>
        </is>
      </c>
      <c r="I3444" t="n">
        <v>2.6</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31358-2023</t>
        </is>
      </c>
      <c r="B3445" t="inlineStr">
        <is>
          <t>avverkningsanmälan</t>
        </is>
      </c>
      <c r="C3445" t="inlineStr">
        <is>
          <t>Föryngringsavverkning</t>
        </is>
      </c>
      <c r="D3445" s="1" t="n">
        <v>45114</v>
      </c>
      <c r="E3445" s="1" t="n">
        <v>46307</v>
      </c>
      <c r="F3445" t="inlineStr">
        <is>
          <t>VÄRMLANDS LÄN</t>
        </is>
      </c>
      <c r="G3445" t="inlineStr">
        <is>
          <t>FILIPSTAD</t>
        </is>
      </c>
      <c r="I3445" t="n">
        <v>2.6</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14014-2024</t>
        </is>
      </c>
      <c r="B3446" t="inlineStr">
        <is>
          <t>avverkningsanmälan</t>
        </is>
      </c>
      <c r="C3446" t="inlineStr">
        <is>
          <t>Föryngringsavverkning</t>
        </is>
      </c>
      <c r="D3446" s="1" t="n">
        <v>45392</v>
      </c>
      <c r="E3446" s="1" t="n">
        <v>46307</v>
      </c>
      <c r="F3446" t="inlineStr">
        <is>
          <t>VÄRMLANDS LÄN</t>
        </is>
      </c>
      <c r="G3446" t="inlineStr">
        <is>
          <t>KRISTINEHAMN</t>
        </is>
      </c>
      <c r="I3446" t="n">
        <v>2.6</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5790-2024</t>
        </is>
      </c>
      <c r="B3447" t="inlineStr">
        <is>
          <t>avverkningsanmälan</t>
        </is>
      </c>
      <c r="C3447" t="inlineStr">
        <is>
          <t>Föryngringsavverkning</t>
        </is>
      </c>
      <c r="D3447" s="1" t="n">
        <v>45335</v>
      </c>
      <c r="E3447" s="1" t="n">
        <v>46307</v>
      </c>
      <c r="F3447" t="inlineStr">
        <is>
          <t>VÄRMLANDS LÄN</t>
        </is>
      </c>
      <c r="G3447" t="inlineStr">
        <is>
          <t>HAGFORS</t>
        </is>
      </c>
      <c r="I3447" t="n">
        <v>0.5</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6405-2024</t>
        </is>
      </c>
      <c r="B3448" t="inlineStr">
        <is>
          <t>avverkningsanmälan</t>
        </is>
      </c>
      <c r="C3448" t="inlineStr">
        <is>
          <t>Föryngringsavverkning</t>
        </is>
      </c>
      <c r="D3448" s="1" t="n">
        <v>45338</v>
      </c>
      <c r="E3448" s="1" t="n">
        <v>46307</v>
      </c>
      <c r="F3448" t="inlineStr">
        <is>
          <t>VÄRMLANDS LÄN</t>
        </is>
      </c>
      <c r="G3448" t="inlineStr">
        <is>
          <t>ÅRJÄNG</t>
        </is>
      </c>
      <c r="I3448" t="n">
        <v>1.4</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68011-2021</t>
        </is>
      </c>
      <c r="B3449" t="inlineStr">
        <is>
          <t>avverkningsanmälan</t>
        </is>
      </c>
      <c r="C3449" t="inlineStr">
        <is>
          <t>Föryngringsavverkning</t>
        </is>
      </c>
      <c r="D3449" s="1" t="n">
        <v>44525</v>
      </c>
      <c r="E3449" s="1" t="n">
        <v>46307</v>
      </c>
      <c r="F3449" t="inlineStr">
        <is>
          <t>VÄRMLANDS LÄN</t>
        </is>
      </c>
      <c r="G3449" t="inlineStr">
        <is>
          <t>KARLSTAD</t>
        </is>
      </c>
      <c r="I3449" t="n">
        <v>6.2</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36228-2024</t>
        </is>
      </c>
      <c r="B3450" t="inlineStr">
        <is>
          <t>avverkningsanmälan</t>
        </is>
      </c>
      <c r="C3450" t="inlineStr">
        <is>
          <t>Föryngringsavverkning</t>
        </is>
      </c>
      <c r="D3450" s="1" t="n">
        <v>45534</v>
      </c>
      <c r="E3450" s="1" t="n">
        <v>46307</v>
      </c>
      <c r="F3450" t="inlineStr">
        <is>
          <t>VÄRMLANDS LÄN</t>
        </is>
      </c>
      <c r="G3450" t="inlineStr">
        <is>
          <t>HAGFORS</t>
        </is>
      </c>
      <c r="I3450" t="n">
        <v>0.8</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36233-2024</t>
        </is>
      </c>
      <c r="B3451" t="inlineStr">
        <is>
          <t>avverkningsanmälan</t>
        </is>
      </c>
      <c r="C3451" t="inlineStr">
        <is>
          <t>Föryngringsavverkning</t>
        </is>
      </c>
      <c r="D3451" s="1" t="n">
        <v>45534</v>
      </c>
      <c r="E3451" s="1" t="n">
        <v>46307</v>
      </c>
      <c r="F3451" t="inlineStr">
        <is>
          <t>VÄRMLANDS LÄN</t>
        </is>
      </c>
      <c r="G3451" t="inlineStr">
        <is>
          <t>SUNNE</t>
        </is>
      </c>
      <c r="I3451" t="n">
        <v>1</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42173-2024</t>
        </is>
      </c>
      <c r="B3452" t="inlineStr">
        <is>
          <t>avverkningsanmälan</t>
        </is>
      </c>
      <c r="C3452" t="inlineStr">
        <is>
          <t>Föryngringsavverkning</t>
        </is>
      </c>
      <c r="D3452" s="1" t="n">
        <v>45562</v>
      </c>
      <c r="E3452" s="1" t="n">
        <v>46307</v>
      </c>
      <c r="F3452" t="inlineStr">
        <is>
          <t>VÄRMLANDS LÄN</t>
        </is>
      </c>
      <c r="G3452" t="inlineStr">
        <is>
          <t>HAGFORS</t>
        </is>
      </c>
      <c r="H3452" t="inlineStr">
        <is>
          <t>Bergvik skog väst AB</t>
        </is>
      </c>
      <c r="I3452" t="n">
        <v>0.9</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17305-2023</t>
        </is>
      </c>
      <c r="B3453" t="inlineStr">
        <is>
          <t>avverkningsanmälan</t>
        </is>
      </c>
      <c r="C3453" t="inlineStr">
        <is>
          <t>Avverkning för annat ändamål</t>
        </is>
      </c>
      <c r="D3453" s="1" t="n">
        <v>45035</v>
      </c>
      <c r="E3453" s="1" t="n">
        <v>46307</v>
      </c>
      <c r="F3453" t="inlineStr">
        <is>
          <t>VÄRMLANDS LÄN</t>
        </is>
      </c>
      <c r="G3453" t="inlineStr">
        <is>
          <t>HAGFORS</t>
        </is>
      </c>
      <c r="H3453" t="inlineStr">
        <is>
          <t>Bergvik skog väst AB</t>
        </is>
      </c>
      <c r="I3453" t="n">
        <v>0.5</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17358-2023</t>
        </is>
      </c>
      <c r="B3454" t="inlineStr">
        <is>
          <t>avverkningsanmälan</t>
        </is>
      </c>
      <c r="C3454" t="inlineStr">
        <is>
          <t>Föryngringsavverkning</t>
        </is>
      </c>
      <c r="D3454" s="1" t="n">
        <v>45035</v>
      </c>
      <c r="E3454" s="1" t="n">
        <v>46307</v>
      </c>
      <c r="F3454" t="inlineStr">
        <is>
          <t>VÄRMLANDS LÄN</t>
        </is>
      </c>
      <c r="G3454" t="inlineStr">
        <is>
          <t>SUNNE</t>
        </is>
      </c>
      <c r="I3454" t="n">
        <v>2.3</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37356-2024</t>
        </is>
      </c>
      <c r="B3455" t="inlineStr">
        <is>
          <t>avverkningsanmälan</t>
        </is>
      </c>
      <c r="C3455" t="inlineStr">
        <is>
          <t>Föryngringsavverkning</t>
        </is>
      </c>
      <c r="D3455" s="1" t="n">
        <v>45540</v>
      </c>
      <c r="E3455" s="1" t="n">
        <v>46307</v>
      </c>
      <c r="F3455" t="inlineStr">
        <is>
          <t>VÄRMLANDS LÄN</t>
        </is>
      </c>
      <c r="G3455" t="inlineStr">
        <is>
          <t>ÅRJÄNG</t>
        </is>
      </c>
      <c r="I3455" t="n">
        <v>3.4</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42742-2025</t>
        </is>
      </c>
      <c r="B3456" t="inlineStr">
        <is>
          <t>avverkningsanmälan</t>
        </is>
      </c>
      <c r="C3456" t="inlineStr">
        <is>
          <t>Avverkning för annat ändamål</t>
        </is>
      </c>
      <c r="D3456" s="1" t="n">
        <v>45908</v>
      </c>
      <c r="E3456" s="1" t="n">
        <v>46307</v>
      </c>
      <c r="F3456" t="inlineStr">
        <is>
          <t>VÄRMLANDS LÄN</t>
        </is>
      </c>
      <c r="G3456" t="inlineStr">
        <is>
          <t>TORSBY</t>
        </is>
      </c>
      <c r="H3456" t="inlineStr">
        <is>
          <t>Bergvik skog väst AB</t>
        </is>
      </c>
      <c r="I3456" t="n">
        <v>0.5</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42178-2024</t>
        </is>
      </c>
      <c r="B3457" t="inlineStr">
        <is>
          <t>avverkningsanmälan</t>
        </is>
      </c>
      <c r="C3457" t="inlineStr">
        <is>
          <t>Föryngringsavverkning</t>
        </is>
      </c>
      <c r="D3457" s="1" t="n">
        <v>45562</v>
      </c>
      <c r="E3457" s="1" t="n">
        <v>46307</v>
      </c>
      <c r="F3457" t="inlineStr">
        <is>
          <t>VÄRMLANDS LÄN</t>
        </is>
      </c>
      <c r="G3457" t="inlineStr">
        <is>
          <t>HAGFORS</t>
        </is>
      </c>
      <c r="H3457" t="inlineStr">
        <is>
          <t>Bergvik skog väst AB</t>
        </is>
      </c>
      <c r="I3457" t="n">
        <v>0.9</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42230-2024</t>
        </is>
      </c>
      <c r="B3458" t="inlineStr">
        <is>
          <t>avverkningsanmälan</t>
        </is>
      </c>
      <c r="C3458" t="inlineStr">
        <is>
          <t>Föryngringsavverkning</t>
        </is>
      </c>
      <c r="D3458" s="1" t="n">
        <v>45562</v>
      </c>
      <c r="E3458" s="1" t="n">
        <v>46307</v>
      </c>
      <c r="F3458" t="inlineStr">
        <is>
          <t>VÄRMLANDS LÄN</t>
        </is>
      </c>
      <c r="G3458" t="inlineStr">
        <is>
          <t>ÅRJÄNG</t>
        </is>
      </c>
      <c r="I3458" t="n">
        <v>8.6</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42235-2024</t>
        </is>
      </c>
      <c r="B3459" t="inlineStr">
        <is>
          <t>avverkningsanmälan</t>
        </is>
      </c>
      <c r="C3459" t="inlineStr">
        <is>
          <t>Föryngringsavverkning</t>
        </is>
      </c>
      <c r="D3459" s="1" t="n">
        <v>45562</v>
      </c>
      <c r="E3459" s="1" t="n">
        <v>46307</v>
      </c>
      <c r="F3459" t="inlineStr">
        <is>
          <t>VÄRMLANDS LÄN</t>
        </is>
      </c>
      <c r="G3459" t="inlineStr">
        <is>
          <t>HAGFORS</t>
        </is>
      </c>
      <c r="I3459" t="n">
        <v>2.5</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491-2024</t>
        </is>
      </c>
      <c r="B3460" t="inlineStr">
        <is>
          <t>avverkningsanmälan</t>
        </is>
      </c>
      <c r="C3460" t="inlineStr">
        <is>
          <t>Föryngringsavverkning</t>
        </is>
      </c>
      <c r="D3460" s="1" t="n">
        <v>45299</v>
      </c>
      <c r="E3460" s="1" t="n">
        <v>46307</v>
      </c>
      <c r="F3460" t="inlineStr">
        <is>
          <t>VÄRMLANDS LÄN</t>
        </is>
      </c>
      <c r="G3460" t="inlineStr">
        <is>
          <t>FILIPSTAD</t>
        </is>
      </c>
      <c r="H3460" t="inlineStr">
        <is>
          <t>Bergvik skog väst AB</t>
        </is>
      </c>
      <c r="I3460" t="n">
        <v>4.6</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42696-2025</t>
        </is>
      </c>
      <c r="B3461" t="inlineStr">
        <is>
          <t>avverkningsanmälan</t>
        </is>
      </c>
      <c r="C3461" t="inlineStr">
        <is>
          <t>Föryngringsavverkning</t>
        </is>
      </c>
      <c r="D3461" s="1" t="n">
        <v>45908</v>
      </c>
      <c r="E3461" s="1" t="n">
        <v>46307</v>
      </c>
      <c r="F3461" t="inlineStr">
        <is>
          <t>VÄRMLANDS LÄN</t>
        </is>
      </c>
      <c r="G3461" t="inlineStr">
        <is>
          <t>SÄFFLE</t>
        </is>
      </c>
      <c r="I3461" t="n">
        <v>1.2</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12568-2023</t>
        </is>
      </c>
      <c r="B3462" t="inlineStr">
        <is>
          <t>avverkningsanmälan</t>
        </is>
      </c>
      <c r="C3462" t="inlineStr">
        <is>
          <t>Föryngringsavverkning</t>
        </is>
      </c>
      <c r="D3462" s="1" t="n">
        <v>45000</v>
      </c>
      <c r="E3462" s="1" t="n">
        <v>46307</v>
      </c>
      <c r="F3462" t="inlineStr">
        <is>
          <t>VÄRMLANDS LÄN</t>
        </is>
      </c>
      <c r="G3462" t="inlineStr">
        <is>
          <t>KRISTINEHAMN</t>
        </is>
      </c>
      <c r="I3462" t="n">
        <v>0.6</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56765-2021</t>
        </is>
      </c>
      <c r="B3463" t="inlineStr">
        <is>
          <t>avverkningsanmälan</t>
        </is>
      </c>
      <c r="C3463" t="inlineStr">
        <is>
          <t>Föryngringsavverkning</t>
        </is>
      </c>
      <c r="D3463" s="1" t="n">
        <v>44481</v>
      </c>
      <c r="E3463" s="1" t="n">
        <v>46307</v>
      </c>
      <c r="F3463" t="inlineStr">
        <is>
          <t>VÄRMLANDS LÄN</t>
        </is>
      </c>
      <c r="G3463" t="inlineStr">
        <is>
          <t>KIL</t>
        </is>
      </c>
      <c r="I3463" t="n">
        <v>0.6</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8589-2024</t>
        </is>
      </c>
      <c r="B3464" t="inlineStr">
        <is>
          <t>avverkningsanmälan</t>
        </is>
      </c>
      <c r="C3464" t="inlineStr">
        <is>
          <t>Föryngringsavverkning</t>
        </is>
      </c>
      <c r="D3464" s="1" t="n">
        <v>45355</v>
      </c>
      <c r="E3464" s="1" t="n">
        <v>46307</v>
      </c>
      <c r="F3464" t="inlineStr">
        <is>
          <t>VÄRMLANDS LÄN</t>
        </is>
      </c>
      <c r="G3464" t="inlineStr">
        <is>
          <t>SÄFFLE</t>
        </is>
      </c>
      <c r="I3464" t="n">
        <v>3.1</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38531-2023</t>
        </is>
      </c>
      <c r="B3465" t="inlineStr">
        <is>
          <t>avverkningsanmälan</t>
        </is>
      </c>
      <c r="C3465" t="inlineStr">
        <is>
          <t>Föryngringsavverkning</t>
        </is>
      </c>
      <c r="D3465" s="1" t="n">
        <v>45162</v>
      </c>
      <c r="E3465" s="1" t="n">
        <v>46307</v>
      </c>
      <c r="F3465" t="inlineStr">
        <is>
          <t>VÄRMLANDS LÄN</t>
        </is>
      </c>
      <c r="G3465" t="inlineStr">
        <is>
          <t>ARVIKA</t>
        </is>
      </c>
      <c r="I3465" t="n">
        <v>2.3</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53499-2023</t>
        </is>
      </c>
      <c r="B3466" t="inlineStr">
        <is>
          <t>avverkningsanmälan</t>
        </is>
      </c>
      <c r="C3466" t="inlineStr">
        <is>
          <t>Föryngringsavverkning</t>
        </is>
      </c>
      <c r="D3466" s="1" t="n">
        <v>45223</v>
      </c>
      <c r="E3466" s="1" t="n">
        <v>46307</v>
      </c>
      <c r="F3466" t="inlineStr">
        <is>
          <t>VÄRMLANDS LÄN</t>
        </is>
      </c>
      <c r="G3466" t="inlineStr">
        <is>
          <t>TORSBY</t>
        </is>
      </c>
      <c r="I3466" t="n">
        <v>4.3</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42829-2025</t>
        </is>
      </c>
      <c r="B3467" t="inlineStr">
        <is>
          <t>avverkningsanmälan</t>
        </is>
      </c>
      <c r="C3467" t="inlineStr">
        <is>
          <t>Föryngringsavverkning</t>
        </is>
      </c>
      <c r="D3467" s="1" t="n">
        <v>45908</v>
      </c>
      <c r="E3467" s="1" t="n">
        <v>46307</v>
      </c>
      <c r="F3467" t="inlineStr">
        <is>
          <t>VÄRMLANDS LÄN</t>
        </is>
      </c>
      <c r="G3467" t="inlineStr">
        <is>
          <t>KARLSTAD</t>
        </is>
      </c>
      <c r="I3467" t="n">
        <v>2.5</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61128-2022</t>
        </is>
      </c>
      <c r="B3468" t="inlineStr">
        <is>
          <t>avverkningsanmälan</t>
        </is>
      </c>
      <c r="C3468" t="inlineStr">
        <is>
          <t>Föryngringsavverkning</t>
        </is>
      </c>
      <c r="D3468" s="1" t="n">
        <v>44915</v>
      </c>
      <c r="E3468" s="1" t="n">
        <v>46307</v>
      </c>
      <c r="F3468" t="inlineStr">
        <is>
          <t>VÄRMLANDS LÄN</t>
        </is>
      </c>
      <c r="G3468" t="inlineStr">
        <is>
          <t>TORSBY</t>
        </is>
      </c>
      <c r="I3468" t="n">
        <v>2.4</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38257-2023</t>
        </is>
      </c>
      <c r="B3469" t="inlineStr">
        <is>
          <t>avverkningsanmälan</t>
        </is>
      </c>
      <c r="C3469" t="inlineStr">
        <is>
          <t>Föryngringsavverkning</t>
        </is>
      </c>
      <c r="D3469" s="1" t="n">
        <v>45161</v>
      </c>
      <c r="E3469" s="1" t="n">
        <v>46307</v>
      </c>
      <c r="F3469" t="inlineStr">
        <is>
          <t>VÄRMLANDS LÄN</t>
        </is>
      </c>
      <c r="G3469" t="inlineStr">
        <is>
          <t>TORSBY</t>
        </is>
      </c>
      <c r="I3469" t="n">
        <v>1.3</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60525-2023</t>
        </is>
      </c>
      <c r="B3470" t="inlineStr">
        <is>
          <t>avverkningsanmälan</t>
        </is>
      </c>
      <c r="C3470" t="inlineStr">
        <is>
          <t>Föryngringsavverkning</t>
        </is>
      </c>
      <c r="D3470" s="1" t="n">
        <v>45259</v>
      </c>
      <c r="E3470" s="1" t="n">
        <v>46307</v>
      </c>
      <c r="F3470" t="inlineStr">
        <is>
          <t>VÄRMLANDS LÄN</t>
        </is>
      </c>
      <c r="G3470" t="inlineStr">
        <is>
          <t>TORSBY</t>
        </is>
      </c>
      <c r="I3470" t="n">
        <v>3.1</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60539-2023</t>
        </is>
      </c>
      <c r="B3471" t="inlineStr">
        <is>
          <t>avverkningsanmälan</t>
        </is>
      </c>
      <c r="C3471" t="inlineStr">
        <is>
          <t>Föryngringsavverkning</t>
        </is>
      </c>
      <c r="D3471" s="1" t="n">
        <v>45259</v>
      </c>
      <c r="E3471" s="1" t="n">
        <v>46307</v>
      </c>
      <c r="F3471" t="inlineStr">
        <is>
          <t>VÄRMLANDS LÄN</t>
        </is>
      </c>
      <c r="G3471" t="inlineStr">
        <is>
          <t>SUNNE</t>
        </is>
      </c>
      <c r="I3471" t="n">
        <v>5.5</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744-2024</t>
        </is>
      </c>
      <c r="B3472" t="inlineStr">
        <is>
          <t>avverkningsanmälan</t>
        </is>
      </c>
      <c r="C3472" t="inlineStr">
        <is>
          <t>Föryngringsavverkning</t>
        </is>
      </c>
      <c r="D3472" s="1" t="n">
        <v>45300</v>
      </c>
      <c r="E3472" s="1" t="n">
        <v>46307</v>
      </c>
      <c r="F3472" t="inlineStr">
        <is>
          <t>VÄRMLANDS LÄN</t>
        </is>
      </c>
      <c r="G3472" t="inlineStr">
        <is>
          <t>KARLSTAD</t>
        </is>
      </c>
      <c r="I3472" t="n">
        <v>1.9</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53654-2024</t>
        </is>
      </c>
      <c r="B3473" t="inlineStr">
        <is>
          <t>avverkningsanmälan</t>
        </is>
      </c>
      <c r="C3473" t="inlineStr">
        <is>
          <t>Föryngringsavverkning</t>
        </is>
      </c>
      <c r="D3473" s="1" t="n">
        <v>45615</v>
      </c>
      <c r="E3473" s="1" t="n">
        <v>46307</v>
      </c>
      <c r="F3473" t="inlineStr">
        <is>
          <t>VÄRMLANDS LÄN</t>
        </is>
      </c>
      <c r="G3473" t="inlineStr">
        <is>
          <t>KARLSTAD</t>
        </is>
      </c>
      <c r="I3473" t="n">
        <v>1.5</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52025-2024</t>
        </is>
      </c>
      <c r="B3474" t="inlineStr">
        <is>
          <t>avverkningsanmälan</t>
        </is>
      </c>
      <c r="C3474" t="inlineStr">
        <is>
          <t>Föryngringsavverkning</t>
        </is>
      </c>
      <c r="D3474" s="1" t="n">
        <v>45607</v>
      </c>
      <c r="E3474" s="1" t="n">
        <v>46307</v>
      </c>
      <c r="F3474" t="inlineStr">
        <is>
          <t>VÄRMLANDS LÄN</t>
        </is>
      </c>
      <c r="G3474" t="inlineStr">
        <is>
          <t>SÄFFLE</t>
        </is>
      </c>
      <c r="I3474" t="n">
        <v>1.8</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42430-2025</t>
        </is>
      </c>
      <c r="B3475" t="inlineStr">
        <is>
          <t>avverkningsanmälan</t>
        </is>
      </c>
      <c r="C3475" t="inlineStr">
        <is>
          <t>Föryngringsavverkning</t>
        </is>
      </c>
      <c r="D3475" s="1" t="n">
        <v>45905</v>
      </c>
      <c r="E3475" s="1" t="n">
        <v>46307</v>
      </c>
      <c r="F3475" t="inlineStr">
        <is>
          <t>VÄRMLANDS LÄN</t>
        </is>
      </c>
      <c r="G3475" t="inlineStr">
        <is>
          <t>HAGFORS</t>
        </is>
      </c>
      <c r="H3475" t="inlineStr">
        <is>
          <t>Bergvik skog väst AB</t>
        </is>
      </c>
      <c r="I3475" t="n">
        <v>2.9</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27086-2024</t>
        </is>
      </c>
      <c r="B3476" t="inlineStr">
        <is>
          <t>avverkningsanmälan</t>
        </is>
      </c>
      <c r="C3476" t="inlineStr">
        <is>
          <t>Föryngringsavverkning</t>
        </is>
      </c>
      <c r="D3476" s="1" t="n">
        <v>45471</v>
      </c>
      <c r="E3476" s="1" t="n">
        <v>46307</v>
      </c>
      <c r="F3476" t="inlineStr">
        <is>
          <t>VÄRMLANDS LÄN</t>
        </is>
      </c>
      <c r="G3476" t="inlineStr">
        <is>
          <t>TORSBY</t>
        </is>
      </c>
      <c r="I3476" t="n">
        <v>0.7</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6037-2023</t>
        </is>
      </c>
      <c r="B3477" t="inlineStr">
        <is>
          <t>avverkningsanmälan</t>
        </is>
      </c>
      <c r="C3477" t="inlineStr">
        <is>
          <t>Föryngringsavverkning</t>
        </is>
      </c>
      <c r="D3477" s="1" t="n">
        <v>44964</v>
      </c>
      <c r="E3477" s="1" t="n">
        <v>46307</v>
      </c>
      <c r="F3477" t="inlineStr">
        <is>
          <t>VÄRMLANDS LÄN</t>
        </is>
      </c>
      <c r="G3477" t="inlineStr">
        <is>
          <t>SUNNE</t>
        </is>
      </c>
      <c r="I3477" t="n">
        <v>1.1</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61942-2022</t>
        </is>
      </c>
      <c r="B3478" t="inlineStr">
        <is>
          <t>avverkningsanmälan</t>
        </is>
      </c>
      <c r="C3478" t="inlineStr">
        <is>
          <t>Föryngringsavverkning</t>
        </is>
      </c>
      <c r="D3478" s="1" t="n">
        <v>44918</v>
      </c>
      <c r="E3478" s="1" t="n">
        <v>46307</v>
      </c>
      <c r="F3478" t="inlineStr">
        <is>
          <t>VÄRMLANDS LÄN</t>
        </is>
      </c>
      <c r="G3478" t="inlineStr">
        <is>
          <t>KRISTINEHAMN</t>
        </is>
      </c>
      <c r="H3478" t="inlineStr">
        <is>
          <t>Kommuner</t>
        </is>
      </c>
      <c r="I3478" t="n">
        <v>0.2</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38057-2024</t>
        </is>
      </c>
      <c r="B3479" t="inlineStr">
        <is>
          <t>avverkningsanmälan</t>
        </is>
      </c>
      <c r="C3479" t="inlineStr">
        <is>
          <t>Föryngringsavverkning</t>
        </is>
      </c>
      <c r="D3479" s="1" t="n">
        <v>45544</v>
      </c>
      <c r="E3479" s="1" t="n">
        <v>46307</v>
      </c>
      <c r="F3479" t="inlineStr">
        <is>
          <t>VÄRMLANDS LÄN</t>
        </is>
      </c>
      <c r="G3479" t="inlineStr">
        <is>
          <t>ÅRJÄNG</t>
        </is>
      </c>
      <c r="I3479" t="n">
        <v>1</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13791-2023</t>
        </is>
      </c>
      <c r="B3480" t="inlineStr">
        <is>
          <t>avverkningsanmälan</t>
        </is>
      </c>
      <c r="C3480" t="inlineStr">
        <is>
          <t>Föryngringsavverkning</t>
        </is>
      </c>
      <c r="D3480" s="1" t="n">
        <v>45005</v>
      </c>
      <c r="E3480" s="1" t="n">
        <v>46307</v>
      </c>
      <c r="F3480" t="inlineStr">
        <is>
          <t>VÄRMLANDS LÄN</t>
        </is>
      </c>
      <c r="G3480" t="inlineStr">
        <is>
          <t>TORSBY</t>
        </is>
      </c>
      <c r="I3480" t="n">
        <v>3.5</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33146-2025</t>
        </is>
      </c>
      <c r="B3481" t="inlineStr">
        <is>
          <t>avverkningsanmälan</t>
        </is>
      </c>
      <c r="C3481" t="inlineStr">
        <is>
          <t>Föryngringsavverkning</t>
        </is>
      </c>
      <c r="D3481" s="1" t="n">
        <v>45840</v>
      </c>
      <c r="E3481" s="1" t="n">
        <v>46307</v>
      </c>
      <c r="F3481" t="inlineStr">
        <is>
          <t>VÄRMLANDS LÄN</t>
        </is>
      </c>
      <c r="G3481" t="inlineStr">
        <is>
          <t>TORSBY</t>
        </is>
      </c>
      <c r="I3481" t="n">
        <v>4.8</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13859-2023</t>
        </is>
      </c>
      <c r="B3482" t="inlineStr">
        <is>
          <t>avverkningsanmälan</t>
        </is>
      </c>
      <c r="C3482" t="inlineStr">
        <is>
          <t>Föryngringsavverkning</t>
        </is>
      </c>
      <c r="D3482" s="1" t="n">
        <v>45007</v>
      </c>
      <c r="E3482" s="1" t="n">
        <v>46307</v>
      </c>
      <c r="F3482" t="inlineStr">
        <is>
          <t>VÄRMLANDS LÄN</t>
        </is>
      </c>
      <c r="G3482" t="inlineStr">
        <is>
          <t>ÅRJÄNG</t>
        </is>
      </c>
      <c r="I3482" t="n">
        <v>3</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2633-2024</t>
        </is>
      </c>
      <c r="B3483" t="inlineStr">
        <is>
          <t>avverkningsanmälan</t>
        </is>
      </c>
      <c r="C3483" t="inlineStr">
        <is>
          <t>Föryngringsavverkning</t>
        </is>
      </c>
      <c r="D3483" s="1" t="n">
        <v>45314</v>
      </c>
      <c r="E3483" s="1" t="n">
        <v>46307</v>
      </c>
      <c r="F3483" t="inlineStr">
        <is>
          <t>VÄRMLANDS LÄN</t>
        </is>
      </c>
      <c r="G3483" t="inlineStr">
        <is>
          <t>SÄFFLE</t>
        </is>
      </c>
      <c r="I3483" t="n">
        <v>0.6</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4335-2025</t>
        </is>
      </c>
      <c r="B3484" t="inlineStr">
        <is>
          <t>avverkningsanmälan</t>
        </is>
      </c>
      <c r="C3484" t="inlineStr">
        <is>
          <t>Föryngringsavverkning</t>
        </is>
      </c>
      <c r="D3484" s="1" t="n">
        <v>45685</v>
      </c>
      <c r="E3484" s="1" t="n">
        <v>46307</v>
      </c>
      <c r="F3484" t="inlineStr">
        <is>
          <t>VÄRMLANDS LÄN</t>
        </is>
      </c>
      <c r="G3484" t="inlineStr">
        <is>
          <t>KRISTINEHAMN</t>
        </is>
      </c>
      <c r="I3484" t="n">
        <v>2.9</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4342-2025</t>
        </is>
      </c>
      <c r="B3485" t="inlineStr">
        <is>
          <t>avverkningsanmälan</t>
        </is>
      </c>
      <c r="C3485" t="inlineStr">
        <is>
          <t>Föryngringsavverkning</t>
        </is>
      </c>
      <c r="D3485" s="1" t="n">
        <v>45685</v>
      </c>
      <c r="E3485" s="1" t="n">
        <v>46307</v>
      </c>
      <c r="F3485" t="inlineStr">
        <is>
          <t>VÄRMLANDS LÄN</t>
        </is>
      </c>
      <c r="G3485" t="inlineStr">
        <is>
          <t>TORSBY</t>
        </is>
      </c>
      <c r="I3485" t="n">
        <v>1.8</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44048-2023</t>
        </is>
      </c>
      <c r="B3486" t="inlineStr">
        <is>
          <t>avverkningsanmälan</t>
        </is>
      </c>
      <c r="C3486" t="inlineStr">
        <is>
          <t>Föryngringsavverkning</t>
        </is>
      </c>
      <c r="D3486" s="1" t="n">
        <v>45188</v>
      </c>
      <c r="E3486" s="1" t="n">
        <v>46307</v>
      </c>
      <c r="F3486" t="inlineStr">
        <is>
          <t>VÄRMLANDS LÄN</t>
        </is>
      </c>
      <c r="G3486" t="inlineStr">
        <is>
          <t>GRUMS</t>
        </is>
      </c>
      <c r="I3486" t="n">
        <v>2.5</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43012-2025</t>
        </is>
      </c>
      <c r="B3487" t="inlineStr">
        <is>
          <t>avverkningsanmälan</t>
        </is>
      </c>
      <c r="C3487" t="inlineStr">
        <is>
          <t>Föryngringsavverkning</t>
        </is>
      </c>
      <c r="D3487" s="1" t="n">
        <v>45909</v>
      </c>
      <c r="E3487" s="1" t="n">
        <v>46307</v>
      </c>
      <c r="F3487" t="inlineStr">
        <is>
          <t>VÄRMLANDS LÄN</t>
        </is>
      </c>
      <c r="G3487" t="inlineStr">
        <is>
          <t>ÅRJÄNG</t>
        </is>
      </c>
      <c r="I3487" t="n">
        <v>3.1</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2397-2022</t>
        </is>
      </c>
      <c r="B3488" t="inlineStr">
        <is>
          <t>avverkningsanmälan</t>
        </is>
      </c>
      <c r="C3488" t="inlineStr">
        <is>
          <t>Föryngringsavverkning</t>
        </is>
      </c>
      <c r="D3488" s="1" t="n">
        <v>44579</v>
      </c>
      <c r="E3488" s="1" t="n">
        <v>46307</v>
      </c>
      <c r="F3488" t="inlineStr">
        <is>
          <t>VÄRMLANDS LÄN</t>
        </is>
      </c>
      <c r="G3488" t="inlineStr">
        <is>
          <t>SUNNE</t>
        </is>
      </c>
      <c r="I3488" t="n">
        <v>9.5</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2662-2024</t>
        </is>
      </c>
      <c r="B3489" t="inlineStr">
        <is>
          <t>avverkningsanmälan</t>
        </is>
      </c>
      <c r="C3489" t="inlineStr">
        <is>
          <t>Föryngringsavverkning</t>
        </is>
      </c>
      <c r="D3489" s="1" t="n">
        <v>45314</v>
      </c>
      <c r="E3489" s="1" t="n">
        <v>46307</v>
      </c>
      <c r="F3489" t="inlineStr">
        <is>
          <t>VÄRMLANDS LÄN</t>
        </is>
      </c>
      <c r="G3489" t="inlineStr">
        <is>
          <t>TORSBY</t>
        </is>
      </c>
      <c r="I3489" t="n">
        <v>1.7</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72669-2021</t>
        </is>
      </c>
      <c r="B3490" t="inlineStr">
        <is>
          <t>avverkningsanmälan</t>
        </is>
      </c>
      <c r="C3490" t="inlineStr">
        <is>
          <t>Föryngringsavverkning</t>
        </is>
      </c>
      <c r="D3490" s="1" t="n">
        <v>44546</v>
      </c>
      <c r="E3490" s="1" t="n">
        <v>46307</v>
      </c>
      <c r="F3490" t="inlineStr">
        <is>
          <t>VÄRMLANDS LÄN</t>
        </is>
      </c>
      <c r="G3490" t="inlineStr">
        <is>
          <t>EDA</t>
        </is>
      </c>
      <c r="I3490" t="n">
        <v>5.8</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1411-2025</t>
        </is>
      </c>
      <c r="B3491" t="inlineStr">
        <is>
          <t>avverkningsanmälan</t>
        </is>
      </c>
      <c r="C3491" t="inlineStr">
        <is>
          <t>Föryngringsavverkning</t>
        </is>
      </c>
      <c r="D3491" s="1" t="n">
        <v>45667</v>
      </c>
      <c r="E3491" s="1" t="n">
        <v>46307</v>
      </c>
      <c r="F3491" t="inlineStr">
        <is>
          <t>VÄRMLANDS LÄN</t>
        </is>
      </c>
      <c r="G3491" t="inlineStr">
        <is>
          <t>ARVIKA</t>
        </is>
      </c>
      <c r="I3491" t="n">
        <v>2.2</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43017-2025</t>
        </is>
      </c>
      <c r="B3492" t="inlineStr">
        <is>
          <t>avverkningsanmälan</t>
        </is>
      </c>
      <c r="C3492" t="inlineStr">
        <is>
          <t>Föryngringsavverkning</t>
        </is>
      </c>
      <c r="D3492" s="1" t="n">
        <v>45909</v>
      </c>
      <c r="E3492" s="1" t="n">
        <v>46307</v>
      </c>
      <c r="F3492" t="inlineStr">
        <is>
          <t>VÄRMLANDS LÄN</t>
        </is>
      </c>
      <c r="G3492" t="inlineStr">
        <is>
          <t>SUNNE</t>
        </is>
      </c>
      <c r="I3492" t="n">
        <v>0.9</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594-2022</t>
        </is>
      </c>
      <c r="B3493" t="inlineStr">
        <is>
          <t>avverkningsanmälan</t>
        </is>
      </c>
      <c r="C3493" t="inlineStr">
        <is>
          <t>Föryngringsavverkning</t>
        </is>
      </c>
      <c r="D3493" s="1" t="n">
        <v>44567</v>
      </c>
      <c r="E3493" s="1" t="n">
        <v>46307</v>
      </c>
      <c r="F3493" t="inlineStr">
        <is>
          <t>VÄRMLANDS LÄN</t>
        </is>
      </c>
      <c r="G3493" t="inlineStr">
        <is>
          <t>HAGFORS</t>
        </is>
      </c>
      <c r="I3493" t="n">
        <v>1.1</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36697-2023</t>
        </is>
      </c>
      <c r="B3494" t="inlineStr">
        <is>
          <t>avverkningsanmälan</t>
        </is>
      </c>
      <c r="C3494" t="inlineStr">
        <is>
          <t>Föryngringsavverkning</t>
        </is>
      </c>
      <c r="D3494" s="1" t="n">
        <v>45153</v>
      </c>
      <c r="E3494" s="1" t="n">
        <v>46307</v>
      </c>
      <c r="F3494" t="inlineStr">
        <is>
          <t>VÄRMLANDS LÄN</t>
        </is>
      </c>
      <c r="G3494" t="inlineStr">
        <is>
          <t>STORFORS</t>
        </is>
      </c>
      <c r="H3494" t="inlineStr">
        <is>
          <t>Kyrkan</t>
        </is>
      </c>
      <c r="I3494" t="n">
        <v>0.8</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36717-2023</t>
        </is>
      </c>
      <c r="B3495" t="inlineStr">
        <is>
          <t>avverkningsanmälan</t>
        </is>
      </c>
      <c r="C3495" t="inlineStr">
        <is>
          <t>Avverkning för att bevara och utveckla /försöksver</t>
        </is>
      </c>
      <c r="D3495" s="1" t="n">
        <v>45153</v>
      </c>
      <c r="E3495" s="1" t="n">
        <v>46307</v>
      </c>
      <c r="F3495" t="inlineStr">
        <is>
          <t>VÄRMLANDS LÄN</t>
        </is>
      </c>
      <c r="G3495" t="inlineStr">
        <is>
          <t>ARVIKA</t>
        </is>
      </c>
      <c r="H3495" t="inlineStr">
        <is>
          <t>Bergvik skog väst AB</t>
        </is>
      </c>
      <c r="I3495" t="n">
        <v>2.4</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43162-2025</t>
        </is>
      </c>
      <c r="B3496" t="inlineStr">
        <is>
          <t>avverkningsanmälan</t>
        </is>
      </c>
      <c r="C3496" t="inlineStr">
        <is>
          <t>Föryngringsavverkning</t>
        </is>
      </c>
      <c r="D3496" s="1" t="n">
        <v>45910</v>
      </c>
      <c r="E3496" s="1" t="n">
        <v>46307</v>
      </c>
      <c r="F3496" t="inlineStr">
        <is>
          <t>VÄRMLANDS LÄN</t>
        </is>
      </c>
      <c r="G3496" t="inlineStr">
        <is>
          <t>ÅRJÄNG</t>
        </is>
      </c>
      <c r="H3496" t="inlineStr">
        <is>
          <t>Bergvik skog väst AB</t>
        </is>
      </c>
      <c r="I3496" t="n">
        <v>12.9</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41967-2025</t>
        </is>
      </c>
      <c r="B3497" t="inlineStr">
        <is>
          <t>avverkningsanmälan</t>
        </is>
      </c>
      <c r="C3497" t="inlineStr">
        <is>
          <t>Föryngringsavverkning</t>
        </is>
      </c>
      <c r="D3497" s="1" t="n">
        <v>45903</v>
      </c>
      <c r="E3497" s="1" t="n">
        <v>46307</v>
      </c>
      <c r="F3497" t="inlineStr">
        <is>
          <t>VÄRMLANDS LÄN</t>
        </is>
      </c>
      <c r="G3497" t="inlineStr">
        <is>
          <t>MUNKFORS</t>
        </is>
      </c>
      <c r="I3497" t="n">
        <v>1.9</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33656-2023</t>
        </is>
      </c>
      <c r="B3498" t="inlineStr">
        <is>
          <t>avverkningsanmälan</t>
        </is>
      </c>
      <c r="C3498" t="inlineStr">
        <is>
          <t>Föryngringsavverkning</t>
        </is>
      </c>
      <c r="D3498" s="1" t="n">
        <v>45132</v>
      </c>
      <c r="E3498" s="1" t="n">
        <v>46307</v>
      </c>
      <c r="F3498" t="inlineStr">
        <is>
          <t>VÄRMLANDS LÄN</t>
        </is>
      </c>
      <c r="G3498" t="inlineStr">
        <is>
          <t>TORSBY</t>
        </is>
      </c>
      <c r="H3498" t="inlineStr">
        <is>
          <t>Bergvik skog väst AB</t>
        </is>
      </c>
      <c r="I3498" t="n">
        <v>15</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32409-2023</t>
        </is>
      </c>
      <c r="B3499" t="inlineStr">
        <is>
          <t>avverkningsanmälan</t>
        </is>
      </c>
      <c r="C3499" t="inlineStr">
        <is>
          <t>Föryngringsavverkning</t>
        </is>
      </c>
      <c r="D3499" s="1" t="n">
        <v>45110</v>
      </c>
      <c r="E3499" s="1" t="n">
        <v>46307</v>
      </c>
      <c r="F3499" t="inlineStr">
        <is>
          <t>VÄRMLANDS LÄN</t>
        </is>
      </c>
      <c r="G3499" t="inlineStr">
        <is>
          <t>KRISTINEHAMN</t>
        </is>
      </c>
      <c r="I3499" t="n">
        <v>0.9</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30914-2023</t>
        </is>
      </c>
      <c r="B3500" t="inlineStr">
        <is>
          <t>avverkningsanmälan</t>
        </is>
      </c>
      <c r="C3500" t="inlineStr">
        <is>
          <t>Föryngringsavverkning</t>
        </is>
      </c>
      <c r="D3500" s="1" t="n">
        <v>45113</v>
      </c>
      <c r="E3500" s="1" t="n">
        <v>46307</v>
      </c>
      <c r="F3500" t="inlineStr">
        <is>
          <t>VÄRMLANDS LÄN</t>
        </is>
      </c>
      <c r="G3500" t="inlineStr">
        <is>
          <t>GRUMS</t>
        </is>
      </c>
      <c r="I3500" t="n">
        <v>2.1</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44674-2023</t>
        </is>
      </c>
      <c r="B3501" t="inlineStr">
        <is>
          <t>avverkningsanmälan</t>
        </is>
      </c>
      <c r="C3501" t="inlineStr">
        <is>
          <t>Föryngringsavverkning</t>
        </is>
      </c>
      <c r="D3501" s="1" t="n">
        <v>45189</v>
      </c>
      <c r="E3501" s="1" t="n">
        <v>46307</v>
      </c>
      <c r="F3501" t="inlineStr">
        <is>
          <t>VÄRMLANDS LÄN</t>
        </is>
      </c>
      <c r="G3501" t="inlineStr">
        <is>
          <t>EDA</t>
        </is>
      </c>
      <c r="I3501" t="n">
        <v>1</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70571-2021</t>
        </is>
      </c>
      <c r="B3502" t="inlineStr">
        <is>
          <t>avverkningsanmälan</t>
        </is>
      </c>
      <c r="C3502" t="inlineStr">
        <is>
          <t>Föryngringsavverkning</t>
        </is>
      </c>
      <c r="D3502" s="1" t="n">
        <v>44537</v>
      </c>
      <c r="E3502" s="1" t="n">
        <v>46307</v>
      </c>
      <c r="F3502" t="inlineStr">
        <is>
          <t>VÄRMLANDS LÄN</t>
        </is>
      </c>
      <c r="G3502" t="inlineStr">
        <is>
          <t>EDA</t>
        </is>
      </c>
      <c r="I3502" t="n">
        <v>1.3</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43313-2025</t>
        </is>
      </c>
      <c r="B3503" t="inlineStr">
        <is>
          <t>avverkningsanmälan</t>
        </is>
      </c>
      <c r="C3503" t="inlineStr">
        <is>
          <t>Föryngringsavverkning</t>
        </is>
      </c>
      <c r="D3503" s="1" t="n">
        <v>45910</v>
      </c>
      <c r="E3503" s="1" t="n">
        <v>46307</v>
      </c>
      <c r="F3503" t="inlineStr">
        <is>
          <t>VÄRMLANDS LÄN</t>
        </is>
      </c>
      <c r="G3503" t="inlineStr">
        <is>
          <t>TORSBY</t>
        </is>
      </c>
      <c r="H3503" t="inlineStr">
        <is>
          <t>Övriga Aktiebolag</t>
        </is>
      </c>
      <c r="I3503" t="n">
        <v>9.5</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43084-2025</t>
        </is>
      </c>
      <c r="B3504" t="inlineStr">
        <is>
          <t>avverkningsanmälan</t>
        </is>
      </c>
      <c r="C3504" t="inlineStr">
        <is>
          <t>Föryngringsavverkning</t>
        </is>
      </c>
      <c r="D3504" s="1" t="n">
        <v>45909</v>
      </c>
      <c r="E3504" s="1" t="n">
        <v>46307</v>
      </c>
      <c r="F3504" t="inlineStr">
        <is>
          <t>VÄRMLANDS LÄN</t>
        </is>
      </c>
      <c r="G3504" t="inlineStr">
        <is>
          <t>HAGFORS</t>
        </is>
      </c>
      <c r="I3504" t="n">
        <v>8.1</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63745-2021</t>
        </is>
      </c>
      <c r="B3505" t="inlineStr">
        <is>
          <t>avverkningsanmälan</t>
        </is>
      </c>
      <c r="C3505" t="inlineStr">
        <is>
          <t>Föryngringsavverkning</t>
        </is>
      </c>
      <c r="D3505" s="1" t="n">
        <v>44509</v>
      </c>
      <c r="E3505" s="1" t="n">
        <v>46307</v>
      </c>
      <c r="F3505" t="inlineStr">
        <is>
          <t>VÄRMLANDS LÄN</t>
        </is>
      </c>
      <c r="G3505" t="inlineStr">
        <is>
          <t>SÄFFLE</t>
        </is>
      </c>
      <c r="I3505" t="n">
        <v>1.9</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27195-2023</t>
        </is>
      </c>
      <c r="B3506" t="inlineStr">
        <is>
          <t>avverkningsanmälan</t>
        </is>
      </c>
      <c r="C3506" t="inlineStr">
        <is>
          <t>Föryngringsavverkning</t>
        </is>
      </c>
      <c r="D3506" s="1" t="n">
        <v>45096</v>
      </c>
      <c r="E3506" s="1" t="n">
        <v>46307</v>
      </c>
      <c r="F3506" t="inlineStr">
        <is>
          <t>VÄRMLANDS LÄN</t>
        </is>
      </c>
      <c r="G3506" t="inlineStr">
        <is>
          <t>TORSBY</t>
        </is>
      </c>
      <c r="I3506" t="n">
        <v>0.8</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21757-2024</t>
        </is>
      </c>
      <c r="B3507" t="inlineStr">
        <is>
          <t>avverkningsanmälan</t>
        </is>
      </c>
      <c r="C3507" t="inlineStr">
        <is>
          <t>Föryngringsavverkning</t>
        </is>
      </c>
      <c r="D3507" s="1" t="n">
        <v>45442</v>
      </c>
      <c r="E3507" s="1" t="n">
        <v>46307</v>
      </c>
      <c r="F3507" t="inlineStr">
        <is>
          <t>VÄRMLANDS LÄN</t>
        </is>
      </c>
      <c r="G3507" t="inlineStr">
        <is>
          <t>TORSBY</t>
        </is>
      </c>
      <c r="I3507" t="n">
        <v>1.6</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42572-2025</t>
        </is>
      </c>
      <c r="B3508" t="inlineStr">
        <is>
          <t>avverkningsanmälan</t>
        </is>
      </c>
      <c r="C3508" t="inlineStr">
        <is>
          <t>Föryngringsavverkning</t>
        </is>
      </c>
      <c r="D3508" s="1" t="n">
        <v>45905</v>
      </c>
      <c r="E3508" s="1" t="n">
        <v>46307</v>
      </c>
      <c r="F3508" t="inlineStr">
        <is>
          <t>VÄRMLANDS LÄN</t>
        </is>
      </c>
      <c r="G3508" t="inlineStr">
        <is>
          <t>FORSHAGA</t>
        </is>
      </c>
      <c r="I3508" t="n">
        <v>12.5</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22964-2024</t>
        </is>
      </c>
      <c r="B3509" t="inlineStr">
        <is>
          <t>avverkningsanmälan</t>
        </is>
      </c>
      <c r="C3509" t="inlineStr">
        <is>
          <t>Föryngringsavverkning</t>
        </is>
      </c>
      <c r="D3509" s="1" t="n">
        <v>45449</v>
      </c>
      <c r="E3509" s="1" t="n">
        <v>46307</v>
      </c>
      <c r="F3509" t="inlineStr">
        <is>
          <t>VÄRMLANDS LÄN</t>
        </is>
      </c>
      <c r="G3509" t="inlineStr">
        <is>
          <t>SUNNE</t>
        </is>
      </c>
      <c r="I3509" t="n">
        <v>4.1</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42465-2024</t>
        </is>
      </c>
      <c r="B3510" t="inlineStr">
        <is>
          <t>avverkningsanmälan</t>
        </is>
      </c>
      <c r="C3510" t="inlineStr">
        <is>
          <t>Föryngringsavverkning</t>
        </is>
      </c>
      <c r="D3510" s="1" t="n">
        <v>45565</v>
      </c>
      <c r="E3510" s="1" t="n">
        <v>46307</v>
      </c>
      <c r="F3510" t="inlineStr">
        <is>
          <t>VÄRMLANDS LÄN</t>
        </is>
      </c>
      <c r="G3510" t="inlineStr">
        <is>
          <t>KARLSTAD</t>
        </is>
      </c>
      <c r="I3510" t="n">
        <v>0.7</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30110-2023</t>
        </is>
      </c>
      <c r="B3511" t="inlineStr">
        <is>
          <t>avverkningsanmälan</t>
        </is>
      </c>
      <c r="C3511" t="inlineStr">
        <is>
          <t>Föryngringsavverkning</t>
        </is>
      </c>
      <c r="D3511" s="1" t="n">
        <v>45110</v>
      </c>
      <c r="E3511" s="1" t="n">
        <v>46307</v>
      </c>
      <c r="F3511" t="inlineStr">
        <is>
          <t>VÄRMLANDS LÄN</t>
        </is>
      </c>
      <c r="G3511" t="inlineStr">
        <is>
          <t>TORSBY</t>
        </is>
      </c>
      <c r="I3511" t="n">
        <v>1</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4189-2025</t>
        </is>
      </c>
      <c r="B3512" t="inlineStr">
        <is>
          <t>avverkningsanmälan</t>
        </is>
      </c>
      <c r="C3512" t="inlineStr">
        <is>
          <t>Föryngringsavverkning</t>
        </is>
      </c>
      <c r="D3512" s="1" t="n">
        <v>45685</v>
      </c>
      <c r="E3512" s="1" t="n">
        <v>46307</v>
      </c>
      <c r="F3512" t="inlineStr">
        <is>
          <t>VÄRMLANDS LÄN</t>
        </is>
      </c>
      <c r="G3512" t="inlineStr">
        <is>
          <t>ÅRJÄNG</t>
        </is>
      </c>
      <c r="I3512" t="n">
        <v>3.1</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24270-2024</t>
        </is>
      </c>
      <c r="B3513" t="inlineStr">
        <is>
          <t>avverkningsanmälan</t>
        </is>
      </c>
      <c r="C3513" t="inlineStr">
        <is>
          <t>Föryngringsavverkning</t>
        </is>
      </c>
      <c r="D3513" s="1" t="n">
        <v>45457</v>
      </c>
      <c r="E3513" s="1" t="n">
        <v>46307</v>
      </c>
      <c r="F3513" t="inlineStr">
        <is>
          <t>VÄRMLANDS LÄN</t>
        </is>
      </c>
      <c r="G3513" t="inlineStr">
        <is>
          <t>KARLSTAD</t>
        </is>
      </c>
      <c r="I3513" t="n">
        <v>2.6</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35855-2023</t>
        </is>
      </c>
      <c r="B3514" t="inlineStr">
        <is>
          <t>avverkningsanmälan</t>
        </is>
      </c>
      <c r="C3514" t="inlineStr">
        <is>
          <t>Föryngringsavverkning</t>
        </is>
      </c>
      <c r="D3514" s="1" t="n">
        <v>45148</v>
      </c>
      <c r="E3514" s="1" t="n">
        <v>46307</v>
      </c>
      <c r="F3514" t="inlineStr">
        <is>
          <t>VÄRMLANDS LÄN</t>
        </is>
      </c>
      <c r="G3514" t="inlineStr">
        <is>
          <t>FORSHAGA</t>
        </is>
      </c>
      <c r="H3514" t="inlineStr">
        <is>
          <t>Kommuner</t>
        </is>
      </c>
      <c r="I3514" t="n">
        <v>0.2</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24883-2024</t>
        </is>
      </c>
      <c r="B3515" t="inlineStr">
        <is>
          <t>avverkningsanmälan</t>
        </is>
      </c>
      <c r="C3515" t="inlineStr">
        <is>
          <t>Föryngringsavverkning</t>
        </is>
      </c>
      <c r="D3515" s="1" t="n">
        <v>45461</v>
      </c>
      <c r="E3515" s="1" t="n">
        <v>46307</v>
      </c>
      <c r="F3515" t="inlineStr">
        <is>
          <t>VÄRMLANDS LÄN</t>
        </is>
      </c>
      <c r="G3515" t="inlineStr">
        <is>
          <t>KRISTINEHAMN</t>
        </is>
      </c>
      <c r="I3515" t="n">
        <v>4.2</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6263-2023</t>
        </is>
      </c>
      <c r="B3516" t="inlineStr">
        <is>
          <t>avverkningsanmälan</t>
        </is>
      </c>
      <c r="C3516" t="inlineStr">
        <is>
          <t>Föryngringsavverkning</t>
        </is>
      </c>
      <c r="D3516" s="1" t="n">
        <v>44959</v>
      </c>
      <c r="E3516" s="1" t="n">
        <v>46307</v>
      </c>
      <c r="F3516" t="inlineStr">
        <is>
          <t>VÄRMLANDS LÄN</t>
        </is>
      </c>
      <c r="G3516" t="inlineStr">
        <is>
          <t>KARLSTAD</t>
        </is>
      </c>
      <c r="I3516" t="n">
        <v>1.1</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26166-2024</t>
        </is>
      </c>
      <c r="B3517" t="inlineStr">
        <is>
          <t>avverkningsanmälan</t>
        </is>
      </c>
      <c r="C3517" t="inlineStr">
        <is>
          <t>Föryngringsavverkning</t>
        </is>
      </c>
      <c r="D3517" s="1" t="n">
        <v>45468</v>
      </c>
      <c r="E3517" s="1" t="n">
        <v>46307</v>
      </c>
      <c r="F3517" t="inlineStr">
        <is>
          <t>VÄRMLANDS LÄN</t>
        </is>
      </c>
      <c r="G3517" t="inlineStr">
        <is>
          <t>TORSBY</t>
        </is>
      </c>
      <c r="I3517" t="n">
        <v>0.8</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26175-2024</t>
        </is>
      </c>
      <c r="B3518" t="inlineStr">
        <is>
          <t>avverkningsanmälan</t>
        </is>
      </c>
      <c r="C3518" t="inlineStr">
        <is>
          <t>Föryngringsavverkning</t>
        </is>
      </c>
      <c r="D3518" s="1" t="n">
        <v>45468</v>
      </c>
      <c r="E3518" s="1" t="n">
        <v>46307</v>
      </c>
      <c r="F3518" t="inlineStr">
        <is>
          <t>VÄRMLANDS LÄN</t>
        </is>
      </c>
      <c r="G3518" t="inlineStr">
        <is>
          <t>ARVIKA</t>
        </is>
      </c>
      <c r="H3518" t="inlineStr">
        <is>
          <t>Bergvik skog väst AB</t>
        </is>
      </c>
      <c r="I3518" t="n">
        <v>0.8</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35878-2023</t>
        </is>
      </c>
      <c r="B3519" t="inlineStr">
        <is>
          <t>avverkningsanmälan</t>
        </is>
      </c>
      <c r="C3519" t="inlineStr">
        <is>
          <t>Föryngringsavverkning</t>
        </is>
      </c>
      <c r="D3519" s="1" t="n">
        <v>45148</v>
      </c>
      <c r="E3519" s="1" t="n">
        <v>46307</v>
      </c>
      <c r="F3519" t="inlineStr">
        <is>
          <t>VÄRMLANDS LÄN</t>
        </is>
      </c>
      <c r="G3519" t="inlineStr">
        <is>
          <t>SÄFFLE</t>
        </is>
      </c>
      <c r="I3519" t="n">
        <v>1.8</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35888-2023</t>
        </is>
      </c>
      <c r="B3520" t="inlineStr">
        <is>
          <t>avverkningsanmälan</t>
        </is>
      </c>
      <c r="C3520" t="inlineStr">
        <is>
          <t>Föryngringsavverkning</t>
        </is>
      </c>
      <c r="D3520" s="1" t="n">
        <v>45148</v>
      </c>
      <c r="E3520" s="1" t="n">
        <v>46307</v>
      </c>
      <c r="F3520" t="inlineStr">
        <is>
          <t>VÄRMLANDS LÄN</t>
        </is>
      </c>
      <c r="G3520" t="inlineStr">
        <is>
          <t>HAGFORS</t>
        </is>
      </c>
      <c r="I3520" t="n">
        <v>3.7</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31073-2023</t>
        </is>
      </c>
      <c r="B3521" t="inlineStr">
        <is>
          <t>avverkningsanmälan</t>
        </is>
      </c>
      <c r="C3521" t="inlineStr">
        <is>
          <t>Föryngringsavverkning</t>
        </is>
      </c>
      <c r="D3521" s="1" t="n">
        <v>45113</v>
      </c>
      <c r="E3521" s="1" t="n">
        <v>46307</v>
      </c>
      <c r="F3521" t="inlineStr">
        <is>
          <t>VÄRMLANDS LÄN</t>
        </is>
      </c>
      <c r="G3521" t="inlineStr">
        <is>
          <t>SÄFFLE</t>
        </is>
      </c>
      <c r="I3521" t="n">
        <v>2</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31081-2023</t>
        </is>
      </c>
      <c r="B3522" t="inlineStr">
        <is>
          <t>avverkningsanmälan</t>
        </is>
      </c>
      <c r="C3522" t="inlineStr">
        <is>
          <t>Föryngringsavverkning</t>
        </is>
      </c>
      <c r="D3522" s="1" t="n">
        <v>45113</v>
      </c>
      <c r="E3522" s="1" t="n">
        <v>46307</v>
      </c>
      <c r="F3522" t="inlineStr">
        <is>
          <t>VÄRMLANDS LÄN</t>
        </is>
      </c>
      <c r="G3522" t="inlineStr">
        <is>
          <t>SÄFFLE</t>
        </is>
      </c>
      <c r="I3522" t="n">
        <v>1.4</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50941-2023</t>
        </is>
      </c>
      <c r="B3523" t="inlineStr">
        <is>
          <t>avverkningsanmälan</t>
        </is>
      </c>
      <c r="C3523" t="inlineStr">
        <is>
          <t>Föryngringsavverkning</t>
        </is>
      </c>
      <c r="D3523" s="1" t="n">
        <v>45218</v>
      </c>
      <c r="E3523" s="1" t="n">
        <v>46307</v>
      </c>
      <c r="F3523" t="inlineStr">
        <is>
          <t>VÄRMLANDS LÄN</t>
        </is>
      </c>
      <c r="G3523" t="inlineStr">
        <is>
          <t>ÅRJÄNG</t>
        </is>
      </c>
      <c r="I3523" t="n">
        <v>1.1</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17704-2023</t>
        </is>
      </c>
      <c r="B3524" t="inlineStr">
        <is>
          <t>avverkningsanmälan</t>
        </is>
      </c>
      <c r="C3524" t="inlineStr">
        <is>
          <t>Avverkning för annat ändamål</t>
        </is>
      </c>
      <c r="D3524" s="1" t="n">
        <v>45035</v>
      </c>
      <c r="E3524" s="1" t="n">
        <v>46307</v>
      </c>
      <c r="F3524" t="inlineStr">
        <is>
          <t>VÄRMLANDS LÄN</t>
        </is>
      </c>
      <c r="G3524" t="inlineStr">
        <is>
          <t>ARVIKA</t>
        </is>
      </c>
      <c r="I3524" t="n">
        <v>2.8</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4191-2022</t>
        </is>
      </c>
      <c r="B3525" t="inlineStr">
        <is>
          <t>avverkningsanmälan</t>
        </is>
      </c>
      <c r="C3525" t="inlineStr">
        <is>
          <t>Föryngringsavverkning</t>
        </is>
      </c>
      <c r="D3525" s="1" t="n">
        <v>44588</v>
      </c>
      <c r="E3525" s="1" t="n">
        <v>46307</v>
      </c>
      <c r="F3525" t="inlineStr">
        <is>
          <t>VÄRMLANDS LÄN</t>
        </is>
      </c>
      <c r="G3525" t="inlineStr">
        <is>
          <t>FILIPSTAD</t>
        </is>
      </c>
      <c r="H3525" t="inlineStr">
        <is>
          <t>Kommuner</t>
        </is>
      </c>
      <c r="I3525" t="n">
        <v>2.1</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25482-2023</t>
        </is>
      </c>
      <c r="B3526" t="inlineStr">
        <is>
          <t>avverkningsanmälan</t>
        </is>
      </c>
      <c r="C3526" t="inlineStr">
        <is>
          <t>Föryngringsavverkning</t>
        </is>
      </c>
      <c r="D3526" s="1" t="n">
        <v>45089</v>
      </c>
      <c r="E3526" s="1" t="n">
        <v>46307</v>
      </c>
      <c r="F3526" t="inlineStr">
        <is>
          <t>VÄRMLANDS LÄN</t>
        </is>
      </c>
      <c r="G3526" t="inlineStr">
        <is>
          <t>ARVIKA</t>
        </is>
      </c>
      <c r="I3526" t="n">
        <v>0.6</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20740-2025</t>
        </is>
      </c>
      <c r="B3527" t="inlineStr">
        <is>
          <t>avverkningsanmälan</t>
        </is>
      </c>
      <c r="C3527" t="inlineStr">
        <is>
          <t>Föryngringsavverkning</t>
        </is>
      </c>
      <c r="D3527" s="1" t="n">
        <v>45776</v>
      </c>
      <c r="E3527" s="1" t="n">
        <v>46307</v>
      </c>
      <c r="F3527" t="inlineStr">
        <is>
          <t>VÄRMLANDS LÄN</t>
        </is>
      </c>
      <c r="G3527" t="inlineStr">
        <is>
          <t>TORSBY</t>
        </is>
      </c>
      <c r="H3527" t="inlineStr">
        <is>
          <t>Bergvik skog väst AB</t>
        </is>
      </c>
      <c r="I3527" t="n">
        <v>3.7</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20598-2025</t>
        </is>
      </c>
      <c r="B3528" t="inlineStr">
        <is>
          <t>avverkningsanmälan</t>
        </is>
      </c>
      <c r="C3528" t="inlineStr">
        <is>
          <t>Föryngringsavverkning</t>
        </is>
      </c>
      <c r="D3528" s="1" t="n">
        <v>45775</v>
      </c>
      <c r="E3528" s="1" t="n">
        <v>46307</v>
      </c>
      <c r="F3528" t="inlineStr">
        <is>
          <t>VÄRMLANDS LÄN</t>
        </is>
      </c>
      <c r="G3528" t="inlineStr">
        <is>
          <t>EDA</t>
        </is>
      </c>
      <c r="I3528" t="n">
        <v>8</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43025-2025</t>
        </is>
      </c>
      <c r="B3529" t="inlineStr">
        <is>
          <t>avverkningsanmälan</t>
        </is>
      </c>
      <c r="C3529" t="inlineStr">
        <is>
          <t>Föryngringsavverkning</t>
        </is>
      </c>
      <c r="D3529" s="1" t="n">
        <v>45909</v>
      </c>
      <c r="E3529" s="1" t="n">
        <v>46307</v>
      </c>
      <c r="F3529" t="inlineStr">
        <is>
          <t>VÄRMLANDS LÄN</t>
        </is>
      </c>
      <c r="G3529" t="inlineStr">
        <is>
          <t>ÅRJÄNG</t>
        </is>
      </c>
      <c r="I3529" t="n">
        <v>3.8</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38536-2023</t>
        </is>
      </c>
      <c r="B3530" t="inlineStr">
        <is>
          <t>avverkningsanmälan</t>
        </is>
      </c>
      <c r="C3530" t="inlineStr">
        <is>
          <t>Föryngringsavverkning</t>
        </is>
      </c>
      <c r="D3530" s="1" t="n">
        <v>45162</v>
      </c>
      <c r="E3530" s="1" t="n">
        <v>46307</v>
      </c>
      <c r="F3530" t="inlineStr">
        <is>
          <t>VÄRMLANDS LÄN</t>
        </is>
      </c>
      <c r="G3530" t="inlineStr">
        <is>
          <t>ARVIKA</t>
        </is>
      </c>
      <c r="I3530" t="n">
        <v>1.3</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43047-2025</t>
        </is>
      </c>
      <c r="B3531" t="inlineStr">
        <is>
          <t>avverkningsanmälan</t>
        </is>
      </c>
      <c r="C3531" t="inlineStr">
        <is>
          <t>Föryngringsavverkning</t>
        </is>
      </c>
      <c r="D3531" s="1" t="n">
        <v>45909</v>
      </c>
      <c r="E3531" s="1" t="n">
        <v>46307</v>
      </c>
      <c r="F3531" t="inlineStr">
        <is>
          <t>VÄRMLANDS LÄN</t>
        </is>
      </c>
      <c r="G3531" t="inlineStr">
        <is>
          <t>ÅRJÄNG</t>
        </is>
      </c>
      <c r="I3531" t="n">
        <v>6.3</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42966-2025</t>
        </is>
      </c>
      <c r="B3532" t="inlineStr">
        <is>
          <t>avverkningsanmälan</t>
        </is>
      </c>
      <c r="C3532" t="inlineStr">
        <is>
          <t>Föryngringsavverkning</t>
        </is>
      </c>
      <c r="D3532" s="1" t="n">
        <v>45909</v>
      </c>
      <c r="E3532" s="1" t="n">
        <v>46307</v>
      </c>
      <c r="F3532" t="inlineStr">
        <is>
          <t>VÄRMLANDS LÄN</t>
        </is>
      </c>
      <c r="G3532" t="inlineStr">
        <is>
          <t>TORSBY</t>
        </is>
      </c>
      <c r="I3532" t="n">
        <v>1.7</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684-2025</t>
        </is>
      </c>
      <c r="B3533" t="inlineStr">
        <is>
          <t>avverkningsanmälan</t>
        </is>
      </c>
      <c r="C3533" t="inlineStr">
        <is>
          <t>Föryngringsavverkning</t>
        </is>
      </c>
      <c r="D3533" s="1" t="n">
        <v>45665</v>
      </c>
      <c r="E3533" s="1" t="n">
        <v>46307</v>
      </c>
      <c r="F3533" t="inlineStr">
        <is>
          <t>VÄRMLANDS LÄN</t>
        </is>
      </c>
      <c r="G3533" t="inlineStr">
        <is>
          <t>SUNNE</t>
        </is>
      </c>
      <c r="I3533" t="n">
        <v>9</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42938-2025</t>
        </is>
      </c>
      <c r="B3534" t="inlineStr">
        <is>
          <t>avverkningsanmälan</t>
        </is>
      </c>
      <c r="C3534" t="inlineStr">
        <is>
          <t>Föryngringsavverkning</t>
        </is>
      </c>
      <c r="D3534" s="1" t="n">
        <v>45909</v>
      </c>
      <c r="E3534" s="1" t="n">
        <v>46307</v>
      </c>
      <c r="F3534" t="inlineStr">
        <is>
          <t>VÄRMLANDS LÄN</t>
        </is>
      </c>
      <c r="G3534" t="inlineStr">
        <is>
          <t>ARVIKA</t>
        </is>
      </c>
      <c r="I3534" t="n">
        <v>0.8</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20622-2025</t>
        </is>
      </c>
      <c r="B3535" t="inlineStr">
        <is>
          <t>avverkningsanmälan</t>
        </is>
      </c>
      <c r="C3535" t="inlineStr">
        <is>
          <t>Föryngringsavverkning</t>
        </is>
      </c>
      <c r="D3535" s="1" t="n">
        <v>45776</v>
      </c>
      <c r="E3535" s="1" t="n">
        <v>46307</v>
      </c>
      <c r="F3535" t="inlineStr">
        <is>
          <t>VÄRMLANDS LÄN</t>
        </is>
      </c>
      <c r="G3535" t="inlineStr">
        <is>
          <t>SUNNE</t>
        </is>
      </c>
      <c r="I3535" t="n">
        <v>0.9</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29447-2025</t>
        </is>
      </c>
      <c r="B3536" t="inlineStr">
        <is>
          <t>avverkningsanmälan</t>
        </is>
      </c>
      <c r="C3536" t="inlineStr">
        <is>
          <t>Föryngringsavverkning</t>
        </is>
      </c>
      <c r="D3536" s="1" t="n">
        <v>45824</v>
      </c>
      <c r="E3536" s="1" t="n">
        <v>46307</v>
      </c>
      <c r="F3536" t="inlineStr">
        <is>
          <t>VÄRMLANDS LÄN</t>
        </is>
      </c>
      <c r="G3536" t="inlineStr">
        <is>
          <t>HAGFORS</t>
        </is>
      </c>
      <c r="H3536" t="inlineStr">
        <is>
          <t>Bergvik skog väst AB</t>
        </is>
      </c>
      <c r="I3536" t="n">
        <v>2.3</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46335-2024</t>
        </is>
      </c>
      <c r="B3537" t="inlineStr">
        <is>
          <t>avverkningsanmälan</t>
        </is>
      </c>
      <c r="C3537" t="inlineStr">
        <is>
          <t>Föryngringsavverkning</t>
        </is>
      </c>
      <c r="D3537" s="1" t="n">
        <v>45582</v>
      </c>
      <c r="E3537" s="1" t="n">
        <v>46307</v>
      </c>
      <c r="F3537" t="inlineStr">
        <is>
          <t>VÄRMLANDS LÄN</t>
        </is>
      </c>
      <c r="G3537" t="inlineStr">
        <is>
          <t>KARLSTAD</t>
        </is>
      </c>
      <c r="I3537" t="n">
        <v>1.9</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46336-2024</t>
        </is>
      </c>
      <c r="B3538" t="inlineStr">
        <is>
          <t>avverkningsanmälan</t>
        </is>
      </c>
      <c r="C3538" t="inlineStr">
        <is>
          <t>Föryngringsavverkning</t>
        </is>
      </c>
      <c r="D3538" s="1" t="n">
        <v>45582</v>
      </c>
      <c r="E3538" s="1" t="n">
        <v>46307</v>
      </c>
      <c r="F3538" t="inlineStr">
        <is>
          <t>VÄRMLANDS LÄN</t>
        </is>
      </c>
      <c r="G3538" t="inlineStr">
        <is>
          <t>KARLSTAD</t>
        </is>
      </c>
      <c r="I3538" t="n">
        <v>0.7</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43050-2025</t>
        </is>
      </c>
      <c r="B3539" t="inlineStr">
        <is>
          <t>avverkningsanmälan</t>
        </is>
      </c>
      <c r="C3539" t="inlineStr">
        <is>
          <t>Föryngringsavverkning</t>
        </is>
      </c>
      <c r="D3539" s="1" t="n">
        <v>45909</v>
      </c>
      <c r="E3539" s="1" t="n">
        <v>46307</v>
      </c>
      <c r="F3539" t="inlineStr">
        <is>
          <t>VÄRMLANDS LÄN</t>
        </is>
      </c>
      <c r="G3539" t="inlineStr">
        <is>
          <t>ÅRJÄNG</t>
        </is>
      </c>
      <c r="I3539" t="n">
        <v>4.8</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43064-2025</t>
        </is>
      </c>
      <c r="B3540" t="inlineStr">
        <is>
          <t>avverkningsanmälan</t>
        </is>
      </c>
      <c r="C3540" t="inlineStr">
        <is>
          <t>Föryngringsavverkning</t>
        </is>
      </c>
      <c r="D3540" s="1" t="n">
        <v>45909</v>
      </c>
      <c r="E3540" s="1" t="n">
        <v>46307</v>
      </c>
      <c r="F3540" t="inlineStr">
        <is>
          <t>VÄRMLANDS LÄN</t>
        </is>
      </c>
      <c r="G3540" t="inlineStr">
        <is>
          <t>FILIPSTAD</t>
        </is>
      </c>
      <c r="I3540" t="n">
        <v>2.3</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23055-2023</t>
        </is>
      </c>
      <c r="B3541" t="inlineStr">
        <is>
          <t>avverkningsanmälan</t>
        </is>
      </c>
      <c r="C3541" t="inlineStr">
        <is>
          <t>Föryngringsavverkning</t>
        </is>
      </c>
      <c r="D3541" s="1" t="n">
        <v>45075</v>
      </c>
      <c r="E3541" s="1" t="n">
        <v>46307</v>
      </c>
      <c r="F3541" t="inlineStr">
        <is>
          <t>VÄRMLANDS LÄN</t>
        </is>
      </c>
      <c r="G3541" t="inlineStr">
        <is>
          <t>SÄFFLE</t>
        </is>
      </c>
      <c r="I3541" t="n">
        <v>5.3</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43155-2025</t>
        </is>
      </c>
      <c r="B3542" t="inlineStr">
        <is>
          <t>avverkningsanmälan</t>
        </is>
      </c>
      <c r="C3542" t="inlineStr">
        <is>
          <t>Föryngringsavverkning</t>
        </is>
      </c>
      <c r="D3542" s="1" t="n">
        <v>45910</v>
      </c>
      <c r="E3542" s="1" t="n">
        <v>46307</v>
      </c>
      <c r="F3542" t="inlineStr">
        <is>
          <t>VÄRMLANDS LÄN</t>
        </is>
      </c>
      <c r="G3542" t="inlineStr">
        <is>
          <t>EDA</t>
        </is>
      </c>
      <c r="I3542" t="n">
        <v>1.4</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27739-2024</t>
        </is>
      </c>
      <c r="B3543" t="inlineStr">
        <is>
          <t>avverkningsanmälan</t>
        </is>
      </c>
      <c r="C3543" t="inlineStr">
        <is>
          <t>Föryngringsavverkning</t>
        </is>
      </c>
      <c r="D3543" s="1" t="n">
        <v>45475</v>
      </c>
      <c r="E3543" s="1" t="n">
        <v>46307</v>
      </c>
      <c r="F3543" t="inlineStr">
        <is>
          <t>VÄRMLANDS LÄN</t>
        </is>
      </c>
      <c r="G3543" t="inlineStr">
        <is>
          <t>HAGFORS</t>
        </is>
      </c>
      <c r="I3543" t="n">
        <v>4</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58092-2022</t>
        </is>
      </c>
      <c r="B3544" t="inlineStr">
        <is>
          <t>avverkningsanmälan</t>
        </is>
      </c>
      <c r="C3544" t="inlineStr">
        <is>
          <t>Föryngringsavverkning</t>
        </is>
      </c>
      <c r="D3544" s="1" t="n">
        <v>44900</v>
      </c>
      <c r="E3544" s="1" t="n">
        <v>46307</v>
      </c>
      <c r="F3544" t="inlineStr">
        <is>
          <t>VÄRMLANDS LÄN</t>
        </is>
      </c>
      <c r="G3544" t="inlineStr">
        <is>
          <t>SUNNE</t>
        </is>
      </c>
      <c r="I3544" t="n">
        <v>1.4</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27617-2024</t>
        </is>
      </c>
      <c r="B3545" t="inlineStr">
        <is>
          <t>avverkningsanmälan</t>
        </is>
      </c>
      <c r="C3545" t="inlineStr">
        <is>
          <t>Föryngringsavverkning</t>
        </is>
      </c>
      <c r="D3545" s="1" t="n">
        <v>45474</v>
      </c>
      <c r="E3545" s="1" t="n">
        <v>46307</v>
      </c>
      <c r="F3545" t="inlineStr">
        <is>
          <t>VÄRMLANDS LÄN</t>
        </is>
      </c>
      <c r="G3545" t="inlineStr">
        <is>
          <t>ARVIKA</t>
        </is>
      </c>
      <c r="I3545" t="n">
        <v>3.4</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53112-2022</t>
        </is>
      </c>
      <c r="B3546" t="inlineStr">
        <is>
          <t>avverkningsanmälan</t>
        </is>
      </c>
      <c r="C3546" t="inlineStr">
        <is>
          <t>Föryngringsavverkning</t>
        </is>
      </c>
      <c r="D3546" s="1" t="n">
        <v>44876</v>
      </c>
      <c r="E3546" s="1" t="n">
        <v>46307</v>
      </c>
      <c r="F3546" t="inlineStr">
        <is>
          <t>VÄRMLANDS LÄN</t>
        </is>
      </c>
      <c r="G3546" t="inlineStr">
        <is>
          <t>SÄFFLE</t>
        </is>
      </c>
      <c r="I3546" t="n">
        <v>6.5</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20747-2025</t>
        </is>
      </c>
      <c r="B3547" t="inlineStr">
        <is>
          <t>avverkningsanmälan</t>
        </is>
      </c>
      <c r="C3547" t="inlineStr">
        <is>
          <t>Föryngringsavverkning</t>
        </is>
      </c>
      <c r="D3547" s="1" t="n">
        <v>45776</v>
      </c>
      <c r="E3547" s="1" t="n">
        <v>46307</v>
      </c>
      <c r="F3547" t="inlineStr">
        <is>
          <t>VÄRMLANDS LÄN</t>
        </is>
      </c>
      <c r="G3547" t="inlineStr">
        <is>
          <t>ÅRJÄNG</t>
        </is>
      </c>
      <c r="I3547" t="n">
        <v>12.2</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20773-2025</t>
        </is>
      </c>
      <c r="B3548" t="inlineStr">
        <is>
          <t>avverkningsanmälan</t>
        </is>
      </c>
      <c r="C3548" t="inlineStr">
        <is>
          <t>Föryngringsavverkning</t>
        </is>
      </c>
      <c r="D3548" s="1" t="n">
        <v>45776</v>
      </c>
      <c r="E3548" s="1" t="n">
        <v>46307</v>
      </c>
      <c r="F3548" t="inlineStr">
        <is>
          <t>VÄRMLANDS LÄN</t>
        </is>
      </c>
      <c r="G3548" t="inlineStr">
        <is>
          <t>TORSBY</t>
        </is>
      </c>
      <c r="H3548" t="inlineStr">
        <is>
          <t>Bergvik skog väst AB</t>
        </is>
      </c>
      <c r="I3548" t="n">
        <v>4.2</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43037-2024</t>
        </is>
      </c>
      <c r="B3549" t="inlineStr">
        <is>
          <t>avverkningsanmälan</t>
        </is>
      </c>
      <c r="C3549" t="inlineStr">
        <is>
          <t>Avverkning för annat ändamål</t>
        </is>
      </c>
      <c r="D3549" s="1" t="n">
        <v>45567</v>
      </c>
      <c r="E3549" s="1" t="n">
        <v>46307</v>
      </c>
      <c r="F3549" t="inlineStr">
        <is>
          <t>VÄRMLANDS LÄN</t>
        </is>
      </c>
      <c r="G3549" t="inlineStr">
        <is>
          <t>TORSBY</t>
        </is>
      </c>
      <c r="H3549" t="inlineStr">
        <is>
          <t>Bergvik skog väst AB</t>
        </is>
      </c>
      <c r="I3549" t="n">
        <v>0.5</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43059-2024</t>
        </is>
      </c>
      <c r="B3550" t="inlineStr">
        <is>
          <t>avverkningsanmälan</t>
        </is>
      </c>
      <c r="C3550" t="inlineStr">
        <is>
          <t>Föryngringsavverkning</t>
        </is>
      </c>
      <c r="D3550" s="1" t="n">
        <v>45567</v>
      </c>
      <c r="E3550" s="1" t="n">
        <v>46307</v>
      </c>
      <c r="F3550" t="inlineStr">
        <is>
          <t>VÄRMLANDS LÄN</t>
        </is>
      </c>
      <c r="G3550" t="inlineStr">
        <is>
          <t>FILIPSTAD</t>
        </is>
      </c>
      <c r="H3550" t="inlineStr">
        <is>
          <t>Kyrkan</t>
        </is>
      </c>
      <c r="I3550" t="n">
        <v>4.7</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54145-2024</t>
        </is>
      </c>
      <c r="B3551" t="inlineStr">
        <is>
          <t>avverkningsanmälan</t>
        </is>
      </c>
      <c r="C3551" t="inlineStr">
        <is>
          <t>Föryngringsavverkning</t>
        </is>
      </c>
      <c r="D3551" s="1" t="n">
        <v>45616</v>
      </c>
      <c r="E3551" s="1" t="n">
        <v>46307</v>
      </c>
      <c r="F3551" t="inlineStr">
        <is>
          <t>VÄRMLANDS LÄN</t>
        </is>
      </c>
      <c r="G3551" t="inlineStr">
        <is>
          <t>FILIPSTAD</t>
        </is>
      </c>
      <c r="H3551" t="inlineStr">
        <is>
          <t>Bergvik skog väst AB</t>
        </is>
      </c>
      <c r="I3551" t="n">
        <v>3.2</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27727-2023</t>
        </is>
      </c>
      <c r="B3552" t="inlineStr">
        <is>
          <t>avverkningsanmälan</t>
        </is>
      </c>
      <c r="C3552" t="inlineStr">
        <is>
          <t>Föryngringsavverkning</t>
        </is>
      </c>
      <c r="D3552" s="1" t="n">
        <v>45093</v>
      </c>
      <c r="E3552" s="1" t="n">
        <v>46307</v>
      </c>
      <c r="F3552" t="inlineStr">
        <is>
          <t>VÄRMLANDS LÄN</t>
        </is>
      </c>
      <c r="G3552" t="inlineStr">
        <is>
          <t>SUNNE</t>
        </is>
      </c>
      <c r="I3552" t="n">
        <v>1.6</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12599-2024</t>
        </is>
      </c>
      <c r="B3553" t="inlineStr">
        <is>
          <t>avverkningsanmälan</t>
        </is>
      </c>
      <c r="C3553" t="inlineStr">
        <is>
          <t>Föryngringsavverkning</t>
        </is>
      </c>
      <c r="D3553" s="1" t="n">
        <v>45380</v>
      </c>
      <c r="E3553" s="1" t="n">
        <v>46307</v>
      </c>
      <c r="F3553" t="inlineStr">
        <is>
          <t>VÄRMLANDS LÄN</t>
        </is>
      </c>
      <c r="G3553" t="inlineStr">
        <is>
          <t>SÄFFLE</t>
        </is>
      </c>
      <c r="I3553" t="n">
        <v>3.2</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53993-2022</t>
        </is>
      </c>
      <c r="B3554" t="inlineStr">
        <is>
          <t>avverkningsanmälan</t>
        </is>
      </c>
      <c r="C3554" t="inlineStr">
        <is>
          <t>Föryngringsavverkning</t>
        </is>
      </c>
      <c r="D3554" s="1" t="n">
        <v>44881</v>
      </c>
      <c r="E3554" s="1" t="n">
        <v>46307</v>
      </c>
      <c r="F3554" t="inlineStr">
        <is>
          <t>VÄRMLANDS LÄN</t>
        </is>
      </c>
      <c r="G3554" t="inlineStr">
        <is>
          <t>ARVIKA</t>
        </is>
      </c>
      <c r="I3554" t="n">
        <v>7.2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1648-2024</t>
        </is>
      </c>
      <c r="B3555" t="inlineStr">
        <is>
          <t>avverkningsanmälan</t>
        </is>
      </c>
      <c r="C3555" t="inlineStr">
        <is>
          <t>Föryngringsavverkning</t>
        </is>
      </c>
      <c r="D3555" s="1" t="n">
        <v>45306</v>
      </c>
      <c r="E3555" s="1" t="n">
        <v>46307</v>
      </c>
      <c r="F3555" t="inlineStr">
        <is>
          <t>VÄRMLANDS LÄN</t>
        </is>
      </c>
      <c r="G3555" t="inlineStr">
        <is>
          <t>KARLSTAD</t>
        </is>
      </c>
      <c r="I3555" t="n">
        <v>1</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1652-2024</t>
        </is>
      </c>
      <c r="B3556" t="inlineStr">
        <is>
          <t>avverkningsanmälan</t>
        </is>
      </c>
      <c r="C3556" t="inlineStr">
        <is>
          <t>Föryngringsavverkning</t>
        </is>
      </c>
      <c r="D3556" s="1" t="n">
        <v>45306</v>
      </c>
      <c r="E3556" s="1" t="n">
        <v>46307</v>
      </c>
      <c r="F3556" t="inlineStr">
        <is>
          <t>VÄRMLANDS LÄN</t>
        </is>
      </c>
      <c r="G3556" t="inlineStr">
        <is>
          <t>EDA</t>
        </is>
      </c>
      <c r="I3556" t="n">
        <v>2.9</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42937-2025</t>
        </is>
      </c>
      <c r="B3557" t="inlineStr">
        <is>
          <t>avverkningsanmälan</t>
        </is>
      </c>
      <c r="C3557" t="inlineStr">
        <is>
          <t>Föryngringsavverkning</t>
        </is>
      </c>
      <c r="D3557" s="1" t="n">
        <v>45909</v>
      </c>
      <c r="E3557" s="1" t="n">
        <v>46307</v>
      </c>
      <c r="F3557" t="inlineStr">
        <is>
          <t>VÄRMLANDS LÄN</t>
        </is>
      </c>
      <c r="G3557" t="inlineStr">
        <is>
          <t>ARVIKA</t>
        </is>
      </c>
      <c r="I3557" t="n">
        <v>1.5</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42965-2025</t>
        </is>
      </c>
      <c r="B3558" t="inlineStr">
        <is>
          <t>avverkningsanmälan</t>
        </is>
      </c>
      <c r="C3558" t="inlineStr">
        <is>
          <t>Föryngringsavverkning</t>
        </is>
      </c>
      <c r="D3558" s="1" t="n">
        <v>45909</v>
      </c>
      <c r="E3558" s="1" t="n">
        <v>46307</v>
      </c>
      <c r="F3558" t="inlineStr">
        <is>
          <t>VÄRMLANDS LÄN</t>
        </is>
      </c>
      <c r="G3558" t="inlineStr">
        <is>
          <t>TORSBY</t>
        </is>
      </c>
      <c r="I3558" t="n">
        <v>2</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24620-2023</t>
        </is>
      </c>
      <c r="B3559" t="inlineStr">
        <is>
          <t>avverkningsanmälan</t>
        </is>
      </c>
      <c r="C3559" t="inlineStr">
        <is>
          <t>Föryngringsavverkning</t>
        </is>
      </c>
      <c r="D3559" s="1" t="n">
        <v>45084</v>
      </c>
      <c r="E3559" s="1" t="n">
        <v>46307</v>
      </c>
      <c r="F3559" t="inlineStr">
        <is>
          <t>VÄRMLANDS LÄN</t>
        </is>
      </c>
      <c r="G3559" t="inlineStr">
        <is>
          <t>EDA</t>
        </is>
      </c>
      <c r="I3559" t="n">
        <v>7.8</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3149-2022</t>
        </is>
      </c>
      <c r="B3560" t="inlineStr">
        <is>
          <t>avverkningsanmälan</t>
        </is>
      </c>
      <c r="C3560" t="inlineStr">
        <is>
          <t>Föryngringsavverkning</t>
        </is>
      </c>
      <c r="D3560" s="1" t="n">
        <v>44582</v>
      </c>
      <c r="E3560" s="1" t="n">
        <v>46307</v>
      </c>
      <c r="F3560" t="inlineStr">
        <is>
          <t>VÄRMLANDS LÄN</t>
        </is>
      </c>
      <c r="G3560" t="inlineStr">
        <is>
          <t>HAGFORS</t>
        </is>
      </c>
      <c r="H3560" t="inlineStr">
        <is>
          <t>Bergvik skog väst AB</t>
        </is>
      </c>
      <c r="I3560" t="n">
        <v>1.2</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36851-2024</t>
        </is>
      </c>
      <c r="B3561" t="inlineStr">
        <is>
          <t>avverkningsanmälan</t>
        </is>
      </c>
      <c r="C3561" t="inlineStr">
        <is>
          <t>Föryngringsavverkning</t>
        </is>
      </c>
      <c r="D3561" s="1" t="n">
        <v>45538</v>
      </c>
      <c r="E3561" s="1" t="n">
        <v>46307</v>
      </c>
      <c r="F3561" t="inlineStr">
        <is>
          <t>VÄRMLANDS LÄN</t>
        </is>
      </c>
      <c r="G3561" t="inlineStr">
        <is>
          <t>SUNNE</t>
        </is>
      </c>
      <c r="I3561" t="n">
        <v>0.5</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43209-2025</t>
        </is>
      </c>
      <c r="B3562" t="inlineStr">
        <is>
          <t>avverkningsanmälan</t>
        </is>
      </c>
      <c r="C3562" t="inlineStr">
        <is>
          <t>Avverkning för annat ändamål</t>
        </is>
      </c>
      <c r="D3562" s="1" t="n">
        <v>45910</v>
      </c>
      <c r="E3562" s="1" t="n">
        <v>46307</v>
      </c>
      <c r="F3562" t="inlineStr">
        <is>
          <t>VÄRMLANDS LÄN</t>
        </is>
      </c>
      <c r="G3562" t="inlineStr">
        <is>
          <t>SÄFFLE</t>
        </is>
      </c>
      <c r="I3562" t="n">
        <v>1.9</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43213-2025</t>
        </is>
      </c>
      <c r="B3563" t="inlineStr">
        <is>
          <t>avverkningsanmälan</t>
        </is>
      </c>
      <c r="C3563" t="inlineStr">
        <is>
          <t>Föryngringsavverkning</t>
        </is>
      </c>
      <c r="D3563" s="1" t="n">
        <v>45910</v>
      </c>
      <c r="E3563" s="1" t="n">
        <v>46307</v>
      </c>
      <c r="F3563" t="inlineStr">
        <is>
          <t>VÄRMLANDS LÄN</t>
        </is>
      </c>
      <c r="G3563" t="inlineStr">
        <is>
          <t>SÄFFLE</t>
        </is>
      </c>
      <c r="I3563" t="n">
        <v>0.7</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43426-2025</t>
        </is>
      </c>
      <c r="B3564" t="inlineStr">
        <is>
          <t>avverkningsanmälan</t>
        </is>
      </c>
      <c r="C3564" t="inlineStr">
        <is>
          <t>Föryngringsavverkning</t>
        </is>
      </c>
      <c r="D3564" s="1" t="n">
        <v>45911</v>
      </c>
      <c r="E3564" s="1" t="n">
        <v>46307</v>
      </c>
      <c r="F3564" t="inlineStr">
        <is>
          <t>VÄRMLANDS LÄN</t>
        </is>
      </c>
      <c r="G3564" t="inlineStr">
        <is>
          <t>ÅRJÄNG</t>
        </is>
      </c>
      <c r="I3564" t="n">
        <v>1.4</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20601-2025</t>
        </is>
      </c>
      <c r="B3565" t="inlineStr">
        <is>
          <t>avverkningsanmälan</t>
        </is>
      </c>
      <c r="C3565" t="inlineStr">
        <is>
          <t>Föryngringsavverkning</t>
        </is>
      </c>
      <c r="D3565" s="1" t="n">
        <v>45775</v>
      </c>
      <c r="E3565" s="1" t="n">
        <v>46307</v>
      </c>
      <c r="F3565" t="inlineStr">
        <is>
          <t>VÄRMLANDS LÄN</t>
        </is>
      </c>
      <c r="G3565" t="inlineStr">
        <is>
          <t>EDA</t>
        </is>
      </c>
      <c r="I3565" t="n">
        <v>12.7</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39028-2024</t>
        </is>
      </c>
      <c r="B3566" t="inlineStr">
        <is>
          <t>avverkningsanmälan</t>
        </is>
      </c>
      <c r="C3566" t="inlineStr">
        <is>
          <t>Föryngringsavverkning</t>
        </is>
      </c>
      <c r="D3566" s="1" t="n">
        <v>45548</v>
      </c>
      <c r="E3566" s="1" t="n">
        <v>46307</v>
      </c>
      <c r="F3566" t="inlineStr">
        <is>
          <t>VÄRMLANDS LÄN</t>
        </is>
      </c>
      <c r="G3566" t="inlineStr">
        <is>
          <t>SUNNE</t>
        </is>
      </c>
      <c r="I3566" t="n">
        <v>6.3</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28321-2023</t>
        </is>
      </c>
      <c r="B3567" t="inlineStr">
        <is>
          <t>avverkningsanmälan</t>
        </is>
      </c>
      <c r="C3567" t="inlineStr">
        <is>
          <t>Föryngringsavverkning</t>
        </is>
      </c>
      <c r="D3567" s="1" t="n">
        <v>45099</v>
      </c>
      <c r="E3567" s="1" t="n">
        <v>46307</v>
      </c>
      <c r="F3567" t="inlineStr">
        <is>
          <t>VÄRMLANDS LÄN</t>
        </is>
      </c>
      <c r="G3567" t="inlineStr">
        <is>
          <t>FORSHAGA</t>
        </is>
      </c>
      <c r="I3567" t="n">
        <v>1.9</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24639-2023</t>
        </is>
      </c>
      <c r="B3568" t="inlineStr">
        <is>
          <t>avverkningsanmälan</t>
        </is>
      </c>
      <c r="C3568" t="inlineStr">
        <is>
          <t>Föryngringsavverkning</t>
        </is>
      </c>
      <c r="D3568" s="1" t="n">
        <v>45084</v>
      </c>
      <c r="E3568" s="1" t="n">
        <v>46307</v>
      </c>
      <c r="F3568" t="inlineStr">
        <is>
          <t>VÄRMLANDS LÄN</t>
        </is>
      </c>
      <c r="G3568" t="inlineStr">
        <is>
          <t>TORSBY</t>
        </is>
      </c>
      <c r="I3568" t="n">
        <v>0.6</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34380-2024</t>
        </is>
      </c>
      <c r="B3569" t="inlineStr">
        <is>
          <t>avverkningsanmälan</t>
        </is>
      </c>
      <c r="C3569" t="inlineStr">
        <is>
          <t>Föryngringsavverkning</t>
        </is>
      </c>
      <c r="D3569" s="1" t="n">
        <v>45525</v>
      </c>
      <c r="E3569" s="1" t="n">
        <v>46307</v>
      </c>
      <c r="F3569" t="inlineStr">
        <is>
          <t>VÄRMLANDS LÄN</t>
        </is>
      </c>
      <c r="G3569" t="inlineStr">
        <is>
          <t>EDA</t>
        </is>
      </c>
      <c r="I3569" t="n">
        <v>1.3</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35084-2024</t>
        </is>
      </c>
      <c r="B3570" t="inlineStr">
        <is>
          <t>avverkningsanmälan</t>
        </is>
      </c>
      <c r="C3570" t="inlineStr">
        <is>
          <t>Föryngringsavverkning</t>
        </is>
      </c>
      <c r="D3570" s="1" t="n">
        <v>45527</v>
      </c>
      <c r="E3570" s="1" t="n">
        <v>46307</v>
      </c>
      <c r="F3570" t="inlineStr">
        <is>
          <t>VÄRMLANDS LÄN</t>
        </is>
      </c>
      <c r="G3570" t="inlineStr">
        <is>
          <t>KIL</t>
        </is>
      </c>
      <c r="I3570" t="n">
        <v>2.6</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48573-2024</t>
        </is>
      </c>
      <c r="B3571" t="inlineStr">
        <is>
          <t>avverkningsanmälan</t>
        </is>
      </c>
      <c r="C3571" t="inlineStr">
        <is>
          <t>Föryngringsavverkning</t>
        </is>
      </c>
      <c r="D3571" s="1" t="n">
        <v>45593</v>
      </c>
      <c r="E3571" s="1" t="n">
        <v>46307</v>
      </c>
      <c r="F3571" t="inlineStr">
        <is>
          <t>VÄRMLANDS LÄN</t>
        </is>
      </c>
      <c r="G3571" t="inlineStr">
        <is>
          <t>KRISTINEHAMN</t>
        </is>
      </c>
      <c r="I3571" t="n">
        <v>1</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43484-2025</t>
        </is>
      </c>
      <c r="B3572" t="inlineStr">
        <is>
          <t>avverkningsanmälan</t>
        </is>
      </c>
      <c r="C3572" t="inlineStr">
        <is>
          <t>Föryngringsavverkning</t>
        </is>
      </c>
      <c r="D3572" s="1" t="n">
        <v>45911</v>
      </c>
      <c r="E3572" s="1" t="n">
        <v>46307</v>
      </c>
      <c r="F3572" t="inlineStr">
        <is>
          <t>VÄRMLANDS LÄN</t>
        </is>
      </c>
      <c r="G3572" t="inlineStr">
        <is>
          <t>ÅRJÄNG</t>
        </is>
      </c>
      <c r="I3572" t="n">
        <v>1.8</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35116-2024</t>
        </is>
      </c>
      <c r="B3573" t="inlineStr">
        <is>
          <t>avverkningsanmälan</t>
        </is>
      </c>
      <c r="C3573" t="inlineStr">
        <is>
          <t>Föryngringsavverkning</t>
        </is>
      </c>
      <c r="D3573" s="1" t="n">
        <v>45527</v>
      </c>
      <c r="E3573" s="1" t="n">
        <v>46307</v>
      </c>
      <c r="F3573" t="inlineStr">
        <is>
          <t>VÄRMLANDS LÄN</t>
        </is>
      </c>
      <c r="G3573" t="inlineStr">
        <is>
          <t>SÄFFLE</t>
        </is>
      </c>
      <c r="I3573" t="n">
        <v>2.1</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27680-2024</t>
        </is>
      </c>
      <c r="B3574" t="inlineStr">
        <is>
          <t>avverkningsanmälan</t>
        </is>
      </c>
      <c r="C3574" t="inlineStr">
        <is>
          <t>Föryngringsavverkning</t>
        </is>
      </c>
      <c r="D3574" s="1" t="n">
        <v>45475</v>
      </c>
      <c r="E3574" s="1" t="n">
        <v>46307</v>
      </c>
      <c r="F3574" t="inlineStr">
        <is>
          <t>VÄRMLANDS LÄN</t>
        </is>
      </c>
      <c r="G3574" t="inlineStr">
        <is>
          <t>EDA</t>
        </is>
      </c>
      <c r="I3574" t="n">
        <v>1.5</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22798-2024</t>
        </is>
      </c>
      <c r="B3575" t="inlineStr">
        <is>
          <t>avverkningsanmälan</t>
        </is>
      </c>
      <c r="C3575" t="inlineStr">
        <is>
          <t>Föryngringsavverkning</t>
        </is>
      </c>
      <c r="D3575" s="1" t="n">
        <v>45448</v>
      </c>
      <c r="E3575" s="1" t="n">
        <v>46307</v>
      </c>
      <c r="F3575" t="inlineStr">
        <is>
          <t>VÄRMLANDS LÄN</t>
        </is>
      </c>
      <c r="G3575" t="inlineStr">
        <is>
          <t>KIL</t>
        </is>
      </c>
      <c r="H3575" t="inlineStr">
        <is>
          <t>Kyrkan</t>
        </is>
      </c>
      <c r="I3575" t="n">
        <v>5.9</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68328-2021</t>
        </is>
      </c>
      <c r="B3576" t="inlineStr">
        <is>
          <t>avverkningsanmälan</t>
        </is>
      </c>
      <c r="C3576" t="inlineStr">
        <is>
          <t>Föryngringsavverkning</t>
        </is>
      </c>
      <c r="D3576" s="1" t="n">
        <v>44527</v>
      </c>
      <c r="E3576" s="1" t="n">
        <v>46307</v>
      </c>
      <c r="F3576" t="inlineStr">
        <is>
          <t>VÄRMLANDS LÄN</t>
        </is>
      </c>
      <c r="G3576" t="inlineStr">
        <is>
          <t>ÅRJÄNG</t>
        </is>
      </c>
      <c r="I3576" t="n">
        <v>1.4</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43400-2025</t>
        </is>
      </c>
      <c r="B3577" t="inlineStr">
        <is>
          <t>avverkningsanmälan</t>
        </is>
      </c>
      <c r="C3577" t="inlineStr">
        <is>
          <t>Avverkning för annat ändamål</t>
        </is>
      </c>
      <c r="D3577" s="1" t="n">
        <v>45911</v>
      </c>
      <c r="E3577" s="1" t="n">
        <v>46307</v>
      </c>
      <c r="F3577" t="inlineStr">
        <is>
          <t>VÄRMLANDS LÄN</t>
        </is>
      </c>
      <c r="G3577" t="inlineStr">
        <is>
          <t>KARLSTAD</t>
        </is>
      </c>
      <c r="I3577" t="n">
        <v>1.4</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27069-2024</t>
        </is>
      </c>
      <c r="B3578" t="inlineStr">
        <is>
          <t>avverkningsanmälan</t>
        </is>
      </c>
      <c r="C3578" t="inlineStr">
        <is>
          <t>Föryngringsavverkning</t>
        </is>
      </c>
      <c r="D3578" s="1" t="n">
        <v>45471</v>
      </c>
      <c r="E3578" s="1" t="n">
        <v>46307</v>
      </c>
      <c r="F3578" t="inlineStr">
        <is>
          <t>VÄRMLANDS LÄN</t>
        </is>
      </c>
      <c r="G3578" t="inlineStr">
        <is>
          <t>MUNKFORS</t>
        </is>
      </c>
      <c r="I3578" t="n">
        <v>2.9</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35608-2025</t>
        </is>
      </c>
      <c r="B3579" t="inlineStr">
        <is>
          <t>avverkningsanmälan</t>
        </is>
      </c>
      <c r="C3579" t="inlineStr">
        <is>
          <t>Föryngringsavverkning</t>
        </is>
      </c>
      <c r="D3579" s="1" t="n">
        <v>45859</v>
      </c>
      <c r="E3579" s="1" t="n">
        <v>46307</v>
      </c>
      <c r="F3579" t="inlineStr">
        <is>
          <t>VÄRMLANDS LÄN</t>
        </is>
      </c>
      <c r="G3579" t="inlineStr">
        <is>
          <t>SUNNE</t>
        </is>
      </c>
      <c r="H3579" t="inlineStr">
        <is>
          <t>Bergvik skog väst AB</t>
        </is>
      </c>
      <c r="I3579" t="n">
        <v>0.5</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45587-2023</t>
        </is>
      </c>
      <c r="B3580" t="inlineStr">
        <is>
          <t>avverkningsanmälan</t>
        </is>
      </c>
      <c r="C3580" t="inlineStr">
        <is>
          <t>Föryngringsavverkning</t>
        </is>
      </c>
      <c r="D3580" s="1" t="n">
        <v>45194</v>
      </c>
      <c r="E3580" s="1" t="n">
        <v>46307</v>
      </c>
      <c r="F3580" t="inlineStr">
        <is>
          <t>VÄRMLANDS LÄN</t>
        </is>
      </c>
      <c r="G3580" t="inlineStr">
        <is>
          <t>TORSBY</t>
        </is>
      </c>
      <c r="I3580" t="n">
        <v>1.6</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20957-2025</t>
        </is>
      </c>
      <c r="B3581" t="inlineStr">
        <is>
          <t>avverkningsanmälan</t>
        </is>
      </c>
      <c r="C3581" t="inlineStr">
        <is>
          <t>Föryngringsavverkning</t>
        </is>
      </c>
      <c r="D3581" s="1" t="n">
        <v>45777</v>
      </c>
      <c r="E3581" s="1" t="n">
        <v>46307</v>
      </c>
      <c r="F3581" t="inlineStr">
        <is>
          <t>VÄRMLANDS LÄN</t>
        </is>
      </c>
      <c r="G3581" t="inlineStr">
        <is>
          <t>ÅRJÄNG</t>
        </is>
      </c>
      <c r="I3581" t="n">
        <v>6.2</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4465-2022</t>
        </is>
      </c>
      <c r="B3582" t="inlineStr">
        <is>
          <t>avverkningsanmälan</t>
        </is>
      </c>
      <c r="C3582" t="inlineStr">
        <is>
          <t>Föryngringsavverkning</t>
        </is>
      </c>
      <c r="D3582" s="1" t="n">
        <v>44589</v>
      </c>
      <c r="E3582" s="1" t="n">
        <v>46307</v>
      </c>
      <c r="F3582" t="inlineStr">
        <is>
          <t>VÄRMLANDS LÄN</t>
        </is>
      </c>
      <c r="G3582" t="inlineStr">
        <is>
          <t>ÅRJÄNG</t>
        </is>
      </c>
      <c r="I3582" t="n">
        <v>1.1</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1626-2023</t>
        </is>
      </c>
      <c r="B3583" t="inlineStr">
        <is>
          <t>avverkningsanmälan</t>
        </is>
      </c>
      <c r="C3583" t="inlineStr">
        <is>
          <t>Föryngringsavverkning</t>
        </is>
      </c>
      <c r="D3583" s="1" t="n">
        <v>44937</v>
      </c>
      <c r="E3583" s="1" t="n">
        <v>46307</v>
      </c>
      <c r="F3583" t="inlineStr">
        <is>
          <t>VÄRMLANDS LÄN</t>
        </is>
      </c>
      <c r="G3583" t="inlineStr">
        <is>
          <t>SUNNE</t>
        </is>
      </c>
      <c r="I3583" t="n">
        <v>0.6</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43614-2025</t>
        </is>
      </c>
      <c r="B3584" t="inlineStr">
        <is>
          <t>avverkningsanmälan</t>
        </is>
      </c>
      <c r="C3584" t="inlineStr">
        <is>
          <t>Föryngringsavverkning</t>
        </is>
      </c>
      <c r="D3584" s="1" t="n">
        <v>45911</v>
      </c>
      <c r="E3584" s="1" t="n">
        <v>46307</v>
      </c>
      <c r="F3584" t="inlineStr">
        <is>
          <t>VÄRMLANDS LÄN</t>
        </is>
      </c>
      <c r="G3584" t="inlineStr">
        <is>
          <t>TORSBY</t>
        </is>
      </c>
      <c r="H3584" t="inlineStr">
        <is>
          <t>Bergvik skog väst AB</t>
        </is>
      </c>
      <c r="I3584" t="n">
        <v>3</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45647-2023</t>
        </is>
      </c>
      <c r="B3585" t="inlineStr">
        <is>
          <t>avverkningsanmälan</t>
        </is>
      </c>
      <c r="C3585" t="inlineStr">
        <is>
          <t>Föryngringsavverkning</t>
        </is>
      </c>
      <c r="D3585" s="1" t="n">
        <v>45194</v>
      </c>
      <c r="E3585" s="1" t="n">
        <v>46307</v>
      </c>
      <c r="F3585" t="inlineStr">
        <is>
          <t>VÄRMLANDS LÄN</t>
        </is>
      </c>
      <c r="G3585" t="inlineStr">
        <is>
          <t>SÄFFLE</t>
        </is>
      </c>
      <c r="I3585" t="n">
        <v>2.4</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43787-2025</t>
        </is>
      </c>
      <c r="B3586" t="inlineStr">
        <is>
          <t>avverkningsanmälan</t>
        </is>
      </c>
      <c r="C3586" t="inlineStr">
        <is>
          <t>Föryngringsavverkning</t>
        </is>
      </c>
      <c r="D3586" s="1" t="n">
        <v>45912</v>
      </c>
      <c r="E3586" s="1" t="n">
        <v>46307</v>
      </c>
      <c r="F3586" t="inlineStr">
        <is>
          <t>VÄRMLANDS LÄN</t>
        </is>
      </c>
      <c r="G3586" t="inlineStr">
        <is>
          <t>TORSBY</t>
        </is>
      </c>
      <c r="I3586" t="n">
        <v>13.1</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21066-2025</t>
        </is>
      </c>
      <c r="B3587" t="inlineStr">
        <is>
          <t>avverkningsanmälan</t>
        </is>
      </c>
      <c r="C3587" t="inlineStr">
        <is>
          <t>Föryngringsavverkning</t>
        </is>
      </c>
      <c r="D3587" s="1" t="n">
        <v>45777</v>
      </c>
      <c r="E3587" s="1" t="n">
        <v>46307</v>
      </c>
      <c r="F3587" t="inlineStr">
        <is>
          <t>VÄRMLANDS LÄN</t>
        </is>
      </c>
      <c r="G3587" t="inlineStr">
        <is>
          <t>EDA</t>
        </is>
      </c>
      <c r="I3587" t="n">
        <v>0.9</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10224-2022</t>
        </is>
      </c>
      <c r="B3588" t="inlineStr">
        <is>
          <t>avverkningsanmälan</t>
        </is>
      </c>
      <c r="C3588" t="inlineStr">
        <is>
          <t>Föryngringsavverkning</t>
        </is>
      </c>
      <c r="D3588" s="1" t="n">
        <v>44622</v>
      </c>
      <c r="E3588" s="1" t="n">
        <v>46307</v>
      </c>
      <c r="F3588" t="inlineStr">
        <is>
          <t>VÄRMLANDS LÄN</t>
        </is>
      </c>
      <c r="G3588" t="inlineStr">
        <is>
          <t>SUNNE</t>
        </is>
      </c>
      <c r="I3588" t="n">
        <v>1</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10236-2022</t>
        </is>
      </c>
      <c r="B3589" t="inlineStr">
        <is>
          <t>avverkningsanmälan</t>
        </is>
      </c>
      <c r="C3589" t="inlineStr">
        <is>
          <t>Föryngringsavverkning</t>
        </is>
      </c>
      <c r="D3589" s="1" t="n">
        <v>44622</v>
      </c>
      <c r="E3589" s="1" t="n">
        <v>46307</v>
      </c>
      <c r="F3589" t="inlineStr">
        <is>
          <t>VÄRMLANDS LÄN</t>
        </is>
      </c>
      <c r="G3589" t="inlineStr">
        <is>
          <t>HAGFORS</t>
        </is>
      </c>
      <c r="I3589" t="n">
        <v>2.2</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43839-2025</t>
        </is>
      </c>
      <c r="B3590" t="inlineStr">
        <is>
          <t>avverkningsanmälan</t>
        </is>
      </c>
      <c r="C3590" t="inlineStr">
        <is>
          <t>Föryngringsavverkning</t>
        </is>
      </c>
      <c r="D3590" s="1" t="n">
        <v>45912</v>
      </c>
      <c r="E3590" s="1" t="n">
        <v>46307</v>
      </c>
      <c r="F3590" t="inlineStr">
        <is>
          <t>VÄRMLANDS LÄN</t>
        </is>
      </c>
      <c r="G3590" t="inlineStr">
        <is>
          <t>SÄFFLE</t>
        </is>
      </c>
      <c r="I3590" t="n">
        <v>1.1</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58874-2023</t>
        </is>
      </c>
      <c r="B3591" t="inlineStr">
        <is>
          <t>avverkningsanmälan</t>
        </is>
      </c>
      <c r="C3591" t="inlineStr">
        <is>
          <t>Föryngringsavverkning</t>
        </is>
      </c>
      <c r="D3591" s="1" t="n">
        <v>45252</v>
      </c>
      <c r="E3591" s="1" t="n">
        <v>46307</v>
      </c>
      <c r="F3591" t="inlineStr">
        <is>
          <t>VÄRMLANDS LÄN</t>
        </is>
      </c>
      <c r="G3591" t="inlineStr">
        <is>
          <t>ÅRJÄNG</t>
        </is>
      </c>
      <c r="I3591" t="n">
        <v>2.5</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29002-2023</t>
        </is>
      </c>
      <c r="B3592" t="inlineStr">
        <is>
          <t>avverkningsanmälan</t>
        </is>
      </c>
      <c r="C3592" t="inlineStr">
        <is>
          <t>Föryngringsavverkning</t>
        </is>
      </c>
      <c r="D3592" s="1" t="n">
        <v>45104</v>
      </c>
      <c r="E3592" s="1" t="n">
        <v>46307</v>
      </c>
      <c r="F3592" t="inlineStr">
        <is>
          <t>VÄRMLANDS LÄN</t>
        </is>
      </c>
      <c r="G3592" t="inlineStr">
        <is>
          <t>STORFORS</t>
        </is>
      </c>
      <c r="I3592" t="n">
        <v>1.1</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25008-2023</t>
        </is>
      </c>
      <c r="B3593" t="inlineStr">
        <is>
          <t>avverkningsanmälan</t>
        </is>
      </c>
      <c r="C3593" t="inlineStr">
        <is>
          <t>Föryngringsavverkning</t>
        </is>
      </c>
      <c r="D3593" s="1" t="n">
        <v>45085</v>
      </c>
      <c r="E3593" s="1" t="n">
        <v>46307</v>
      </c>
      <c r="F3593" t="inlineStr">
        <is>
          <t>VÄRMLANDS LÄN</t>
        </is>
      </c>
      <c r="G3593" t="inlineStr">
        <is>
          <t>FORSHAGA</t>
        </is>
      </c>
      <c r="I3593" t="n">
        <v>3.2</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13198-2024</t>
        </is>
      </c>
      <c r="B3594" t="inlineStr">
        <is>
          <t>avverkningsanmälan</t>
        </is>
      </c>
      <c r="C3594" t="inlineStr">
        <is>
          <t>Föryngringsavverkning</t>
        </is>
      </c>
      <c r="D3594" s="1" t="n">
        <v>45386</v>
      </c>
      <c r="E3594" s="1" t="n">
        <v>46307</v>
      </c>
      <c r="F3594" t="inlineStr">
        <is>
          <t>VÄRMLANDS LÄN</t>
        </is>
      </c>
      <c r="G3594" t="inlineStr">
        <is>
          <t>FORSHAGA</t>
        </is>
      </c>
      <c r="I3594" t="n">
        <v>4.2</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2437-2025</t>
        </is>
      </c>
      <c r="B3595" t="inlineStr">
        <is>
          <t>avverkningsanmälan</t>
        </is>
      </c>
      <c r="C3595" t="inlineStr">
        <is>
          <t>Föryngringsavverkning</t>
        </is>
      </c>
      <c r="D3595" s="1" t="n">
        <v>45674</v>
      </c>
      <c r="E3595" s="1" t="n">
        <v>46307</v>
      </c>
      <c r="F3595" t="inlineStr">
        <is>
          <t>VÄRMLANDS LÄN</t>
        </is>
      </c>
      <c r="G3595" t="inlineStr">
        <is>
          <t>FILIPSTAD</t>
        </is>
      </c>
      <c r="I3595" t="n">
        <v>1.1</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21067-2025</t>
        </is>
      </c>
      <c r="B3596" t="inlineStr">
        <is>
          <t>avverkningsanmälan</t>
        </is>
      </c>
      <c r="C3596" t="inlineStr">
        <is>
          <t>Föryngringsavverkning</t>
        </is>
      </c>
      <c r="D3596" s="1" t="n">
        <v>45777</v>
      </c>
      <c r="E3596" s="1" t="n">
        <v>46307</v>
      </c>
      <c r="F3596" t="inlineStr">
        <is>
          <t>VÄRMLANDS LÄN</t>
        </is>
      </c>
      <c r="G3596" t="inlineStr">
        <is>
          <t>HAGFORS</t>
        </is>
      </c>
      <c r="I3596" t="n">
        <v>2.2</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24986-2024</t>
        </is>
      </c>
      <c r="B3597" t="inlineStr">
        <is>
          <t>avverkningsanmälan</t>
        </is>
      </c>
      <c r="C3597" t="inlineStr">
        <is>
          <t>Avverkning för annat ändamål</t>
        </is>
      </c>
      <c r="D3597" s="1" t="n">
        <v>45461</v>
      </c>
      <c r="E3597" s="1" t="n">
        <v>46307</v>
      </c>
      <c r="F3597" t="inlineStr">
        <is>
          <t>VÄRMLANDS LÄN</t>
        </is>
      </c>
      <c r="G3597" t="inlineStr">
        <is>
          <t>ARVIKA</t>
        </is>
      </c>
      <c r="I3597" t="n">
        <v>0.7</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11913-2025</t>
        </is>
      </c>
      <c r="B3598" t="inlineStr">
        <is>
          <t>avverkningsanmälan</t>
        </is>
      </c>
      <c r="C3598" t="inlineStr">
        <is>
          <t>Föryngringsavverkning</t>
        </is>
      </c>
      <c r="D3598" s="1" t="n">
        <v>45728</v>
      </c>
      <c r="E3598" s="1" t="n">
        <v>46307</v>
      </c>
      <c r="F3598" t="inlineStr">
        <is>
          <t>VÄRMLANDS LÄN</t>
        </is>
      </c>
      <c r="G3598" t="inlineStr">
        <is>
          <t>ARVIKA</t>
        </is>
      </c>
      <c r="I3598" t="n">
        <v>1.1</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65023-2023</t>
        </is>
      </c>
      <c r="B3599" t="inlineStr">
        <is>
          <t>avverkningsanmälan</t>
        </is>
      </c>
      <c r="C3599" t="inlineStr">
        <is>
          <t>Föryngringsavverkning</t>
        </is>
      </c>
      <c r="D3599" s="1" t="n">
        <v>45282</v>
      </c>
      <c r="E3599" s="1" t="n">
        <v>46307</v>
      </c>
      <c r="F3599" t="inlineStr">
        <is>
          <t>VÄRMLANDS LÄN</t>
        </is>
      </c>
      <c r="G3599" t="inlineStr">
        <is>
          <t>SÄFFLE</t>
        </is>
      </c>
      <c r="I3599" t="n">
        <v>2.5</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414-2024</t>
        </is>
      </c>
      <c r="B3600" t="inlineStr">
        <is>
          <t>avverkningsanmälan</t>
        </is>
      </c>
      <c r="C3600" t="inlineStr">
        <is>
          <t>Föryngringsavverkning</t>
        </is>
      </c>
      <c r="D3600" s="1" t="n">
        <v>45296</v>
      </c>
      <c r="E3600" s="1" t="n">
        <v>46307</v>
      </c>
      <c r="F3600" t="inlineStr">
        <is>
          <t>VÄRMLANDS LÄN</t>
        </is>
      </c>
      <c r="G3600" t="inlineStr">
        <is>
          <t>ARVIKA</t>
        </is>
      </c>
      <c r="I3600" t="n">
        <v>1.6</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43434-2025</t>
        </is>
      </c>
      <c r="B3601" t="inlineStr">
        <is>
          <t>avverkningsanmälan</t>
        </is>
      </c>
      <c r="C3601" t="inlineStr">
        <is>
          <t>Föryngringsavverkning</t>
        </is>
      </c>
      <c r="D3601" s="1" t="n">
        <v>45911</v>
      </c>
      <c r="E3601" s="1" t="n">
        <v>46307</v>
      </c>
      <c r="F3601" t="inlineStr">
        <is>
          <t>VÄRMLANDS LÄN</t>
        </is>
      </c>
      <c r="G3601" t="inlineStr">
        <is>
          <t>ÅRJÄNG</t>
        </is>
      </c>
      <c r="I3601" t="n">
        <v>2.3</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42834-2024</t>
        </is>
      </c>
      <c r="B3602" t="inlineStr">
        <is>
          <t>avverkningsanmälan</t>
        </is>
      </c>
      <c r="C3602" t="inlineStr">
        <is>
          <t>Föryngringsavverkning</t>
        </is>
      </c>
      <c r="D3602" s="1" t="n">
        <v>45566</v>
      </c>
      <c r="E3602" s="1" t="n">
        <v>46307</v>
      </c>
      <c r="F3602" t="inlineStr">
        <is>
          <t>VÄRMLANDS LÄN</t>
        </is>
      </c>
      <c r="G3602" t="inlineStr">
        <is>
          <t>TORSBY</t>
        </is>
      </c>
      <c r="I3602" t="n">
        <v>5.8</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36231-2024</t>
        </is>
      </c>
      <c r="B3603" t="inlineStr">
        <is>
          <t>avverkningsanmälan</t>
        </is>
      </c>
      <c r="C3603" t="inlineStr">
        <is>
          <t>Föryngringsavverkning</t>
        </is>
      </c>
      <c r="D3603" s="1" t="n">
        <v>45534</v>
      </c>
      <c r="E3603" s="1" t="n">
        <v>46307</v>
      </c>
      <c r="F3603" t="inlineStr">
        <is>
          <t>VÄRMLANDS LÄN</t>
        </is>
      </c>
      <c r="G3603" t="inlineStr">
        <is>
          <t>SÄFFLE</t>
        </is>
      </c>
      <c r="I3603" t="n">
        <v>2.4</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24995-2024</t>
        </is>
      </c>
      <c r="B3604" t="inlineStr">
        <is>
          <t>avverkningsanmälan</t>
        </is>
      </c>
      <c r="C3604" t="inlineStr">
        <is>
          <t>Föryngringsavverkning</t>
        </is>
      </c>
      <c r="D3604" s="1" t="n">
        <v>45461</v>
      </c>
      <c r="E3604" s="1" t="n">
        <v>46307</v>
      </c>
      <c r="F3604" t="inlineStr">
        <is>
          <t>VÄRMLANDS LÄN</t>
        </is>
      </c>
      <c r="G3604" t="inlineStr">
        <is>
          <t>TORSBY</t>
        </is>
      </c>
      <c r="I3604" t="n">
        <v>1.2</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423-2024</t>
        </is>
      </c>
      <c r="B3605" t="inlineStr">
        <is>
          <t>avverkningsanmälan</t>
        </is>
      </c>
      <c r="C3605" t="inlineStr">
        <is>
          <t>Föryngringsavverkning</t>
        </is>
      </c>
      <c r="D3605" s="1" t="n">
        <v>45296</v>
      </c>
      <c r="E3605" s="1" t="n">
        <v>46307</v>
      </c>
      <c r="F3605" t="inlineStr">
        <is>
          <t>VÄRMLANDS LÄN</t>
        </is>
      </c>
      <c r="G3605" t="inlineStr">
        <is>
          <t>TORSBY</t>
        </is>
      </c>
      <c r="I3605" t="n">
        <v>1.1</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24118-2024</t>
        </is>
      </c>
      <c r="B3606" t="inlineStr">
        <is>
          <t>avverkningsanmälan</t>
        </is>
      </c>
      <c r="C3606" t="inlineStr">
        <is>
          <t>Föryngringsavverkning</t>
        </is>
      </c>
      <c r="D3606" s="1" t="n">
        <v>45456</v>
      </c>
      <c r="E3606" s="1" t="n">
        <v>46307</v>
      </c>
      <c r="F3606" t="inlineStr">
        <is>
          <t>VÄRMLANDS LÄN</t>
        </is>
      </c>
      <c r="G3606" t="inlineStr">
        <is>
          <t>KRISTINEHAMN</t>
        </is>
      </c>
      <c r="I3606" t="n">
        <v>1</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10583-2023</t>
        </is>
      </c>
      <c r="B3607" t="inlineStr">
        <is>
          <t>avverkningsanmälan</t>
        </is>
      </c>
      <c r="C3607" t="inlineStr">
        <is>
          <t>Föryngringsavverkning</t>
        </is>
      </c>
      <c r="D3607" s="1" t="n">
        <v>44988</v>
      </c>
      <c r="E3607" s="1" t="n">
        <v>46307</v>
      </c>
      <c r="F3607" t="inlineStr">
        <is>
          <t>VÄRMLANDS LÄN</t>
        </is>
      </c>
      <c r="G3607" t="inlineStr">
        <is>
          <t>TORSBY</t>
        </is>
      </c>
      <c r="I3607" t="n">
        <v>3.6</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21462-2025</t>
        </is>
      </c>
      <c r="B3608" t="inlineStr">
        <is>
          <t>avverkningsanmälan</t>
        </is>
      </c>
      <c r="C3608" t="inlineStr">
        <is>
          <t>Föryngringsavverkning</t>
        </is>
      </c>
      <c r="D3608" s="1" t="n">
        <v>45782</v>
      </c>
      <c r="E3608" s="1" t="n">
        <v>46307</v>
      </c>
      <c r="F3608" t="inlineStr">
        <is>
          <t>VÄRMLANDS LÄN</t>
        </is>
      </c>
      <c r="G3608" t="inlineStr">
        <is>
          <t>TORSBY</t>
        </is>
      </c>
      <c r="I3608" t="n">
        <v>0.7</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21442-2025</t>
        </is>
      </c>
      <c r="B3609" t="inlineStr">
        <is>
          <t>avverkningsanmälan</t>
        </is>
      </c>
      <c r="C3609" t="inlineStr">
        <is>
          <t>Föryngringsavverkning</t>
        </is>
      </c>
      <c r="D3609" s="1" t="n">
        <v>45782</v>
      </c>
      <c r="E3609" s="1" t="n">
        <v>46307</v>
      </c>
      <c r="F3609" t="inlineStr">
        <is>
          <t>VÄRMLANDS LÄN</t>
        </is>
      </c>
      <c r="G3609" t="inlineStr">
        <is>
          <t>KARLSTAD</t>
        </is>
      </c>
      <c r="I3609" t="n">
        <v>6</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10297-2025</t>
        </is>
      </c>
      <c r="B3610" t="inlineStr">
        <is>
          <t>avverkningsanmälan</t>
        </is>
      </c>
      <c r="C3610" t="inlineStr">
        <is>
          <t>Föryngringsavverkning</t>
        </is>
      </c>
      <c r="D3610" s="1" t="n">
        <v>45720</v>
      </c>
      <c r="E3610" s="1" t="n">
        <v>46307</v>
      </c>
      <c r="F3610" t="inlineStr">
        <is>
          <t>VÄRMLANDS LÄN</t>
        </is>
      </c>
      <c r="G3610" t="inlineStr">
        <is>
          <t>HAGFORS</t>
        </is>
      </c>
      <c r="I3610" t="n">
        <v>4</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24004-2024</t>
        </is>
      </c>
      <c r="B3611" t="inlineStr">
        <is>
          <t>avverkningsanmälan</t>
        </is>
      </c>
      <c r="C3611" t="inlineStr">
        <is>
          <t>Föryngringsavverkning</t>
        </is>
      </c>
      <c r="D3611" s="1" t="n">
        <v>45456</v>
      </c>
      <c r="E3611" s="1" t="n">
        <v>46307</v>
      </c>
      <c r="F3611" t="inlineStr">
        <is>
          <t>VÄRMLANDS LÄN</t>
        </is>
      </c>
      <c r="G3611" t="inlineStr">
        <is>
          <t>TORSBY</t>
        </is>
      </c>
      <c r="I3611" t="n">
        <v>2.9</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33219-2023</t>
        </is>
      </c>
      <c r="B3612" t="inlineStr">
        <is>
          <t>avverkningsanmälan</t>
        </is>
      </c>
      <c r="C3612" t="inlineStr">
        <is>
          <t>Föryngringsavverkning</t>
        </is>
      </c>
      <c r="D3612" s="1" t="n">
        <v>45127</v>
      </c>
      <c r="E3612" s="1" t="n">
        <v>46307</v>
      </c>
      <c r="F3612" t="inlineStr">
        <is>
          <t>VÄRMLANDS LÄN</t>
        </is>
      </c>
      <c r="G3612" t="inlineStr">
        <is>
          <t>FORSHAGA</t>
        </is>
      </c>
      <c r="H3612" t="inlineStr">
        <is>
          <t>Kommuner</t>
        </is>
      </c>
      <c r="I3612" t="n">
        <v>1.2</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17795-2024</t>
        </is>
      </c>
      <c r="B3613" t="inlineStr">
        <is>
          <t>avverkningsanmälan</t>
        </is>
      </c>
      <c r="C3613" t="inlineStr">
        <is>
          <t>Föryngringsavverkning</t>
        </is>
      </c>
      <c r="D3613" s="1" t="n">
        <v>45418</v>
      </c>
      <c r="E3613" s="1" t="n">
        <v>46307</v>
      </c>
      <c r="F3613" t="inlineStr">
        <is>
          <t>VÄRMLANDS LÄN</t>
        </is>
      </c>
      <c r="G3613" t="inlineStr">
        <is>
          <t>FILIPSTAD</t>
        </is>
      </c>
      <c r="I3613" t="n">
        <v>3.1</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48590-2024</t>
        </is>
      </c>
      <c r="B3614" t="inlineStr">
        <is>
          <t>avverkningsanmälan</t>
        </is>
      </c>
      <c r="C3614" t="inlineStr">
        <is>
          <t>Avverkning för att bevara och utveckla /försöksver</t>
        </is>
      </c>
      <c r="D3614" s="1" t="n">
        <v>45593</v>
      </c>
      <c r="E3614" s="1" t="n">
        <v>46307</v>
      </c>
      <c r="F3614" t="inlineStr">
        <is>
          <t>VÄRMLANDS LÄN</t>
        </is>
      </c>
      <c r="G3614" t="inlineStr">
        <is>
          <t>FORSHAGA</t>
        </is>
      </c>
      <c r="H3614" t="inlineStr">
        <is>
          <t>Bergvik skog väst AB</t>
        </is>
      </c>
      <c r="I3614" t="n">
        <v>7.9</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30387-2024</t>
        </is>
      </c>
      <c r="B3615" t="inlineStr">
        <is>
          <t>avverkningsanmälan</t>
        </is>
      </c>
      <c r="C3615" t="inlineStr">
        <is>
          <t>Föryngringsavverkning</t>
        </is>
      </c>
      <c r="D3615" s="1" t="n">
        <v>45491</v>
      </c>
      <c r="E3615" s="1" t="n">
        <v>46307</v>
      </c>
      <c r="F3615" t="inlineStr">
        <is>
          <t>VÄRMLANDS LÄN</t>
        </is>
      </c>
      <c r="G3615" t="inlineStr">
        <is>
          <t>SÄFFLE</t>
        </is>
      </c>
      <c r="I3615" t="n">
        <v>0.6</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43408-2025</t>
        </is>
      </c>
      <c r="B3616" t="inlineStr">
        <is>
          <t>avverkningsanmälan</t>
        </is>
      </c>
      <c r="C3616" t="inlineStr">
        <is>
          <t>Föryngringsavverkning</t>
        </is>
      </c>
      <c r="D3616" s="1" t="n">
        <v>45911</v>
      </c>
      <c r="E3616" s="1" t="n">
        <v>46307</v>
      </c>
      <c r="F3616" t="inlineStr">
        <is>
          <t>VÄRMLANDS LÄN</t>
        </is>
      </c>
      <c r="G3616" t="inlineStr">
        <is>
          <t>ARVIKA</t>
        </is>
      </c>
      <c r="I3616" t="n">
        <v>4.7</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43410-2025</t>
        </is>
      </c>
      <c r="B3617" t="inlineStr">
        <is>
          <t>avverkningsanmälan</t>
        </is>
      </c>
      <c r="C3617" t="inlineStr">
        <is>
          <t>Föryngringsavverkning</t>
        </is>
      </c>
      <c r="D3617" s="1" t="n">
        <v>45911</v>
      </c>
      <c r="E3617" s="1" t="n">
        <v>46307</v>
      </c>
      <c r="F3617" t="inlineStr">
        <is>
          <t>VÄRMLANDS LÄN</t>
        </is>
      </c>
      <c r="G3617" t="inlineStr">
        <is>
          <t>ARVIKA</t>
        </is>
      </c>
      <c r="I3617" t="n">
        <v>1.6</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43761-2025</t>
        </is>
      </c>
      <c r="B3618" t="inlineStr">
        <is>
          <t>avverkningsanmälan</t>
        </is>
      </c>
      <c r="C3618" t="inlineStr">
        <is>
          <t>Föryngringsavverkning</t>
        </is>
      </c>
      <c r="D3618" s="1" t="n">
        <v>45912</v>
      </c>
      <c r="E3618" s="1" t="n">
        <v>46307</v>
      </c>
      <c r="F3618" t="inlineStr">
        <is>
          <t>VÄRMLANDS LÄN</t>
        </is>
      </c>
      <c r="G3618" t="inlineStr">
        <is>
          <t>ARVIKA</t>
        </is>
      </c>
      <c r="I3618" t="n">
        <v>0.9</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62357-2021</t>
        </is>
      </c>
      <c r="B3619" t="inlineStr">
        <is>
          <t>avverkningsanmälan</t>
        </is>
      </c>
      <c r="C3619" t="inlineStr">
        <is>
          <t>Föryngringsavverkning</t>
        </is>
      </c>
      <c r="D3619" s="1" t="n">
        <v>44503</v>
      </c>
      <c r="E3619" s="1" t="n">
        <v>46307</v>
      </c>
      <c r="F3619" t="inlineStr">
        <is>
          <t>VÄRMLANDS LÄN</t>
        </is>
      </c>
      <c r="G3619" t="inlineStr">
        <is>
          <t>ÅRJÄNG</t>
        </is>
      </c>
      <c r="I3619" t="n">
        <v>1.9</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21400-2025</t>
        </is>
      </c>
      <c r="B3620" t="inlineStr">
        <is>
          <t>avverkningsanmälan</t>
        </is>
      </c>
      <c r="C3620" t="inlineStr">
        <is>
          <t>Föryngringsavverkning</t>
        </is>
      </c>
      <c r="D3620" s="1" t="n">
        <v>45782</v>
      </c>
      <c r="E3620" s="1" t="n">
        <v>46307</v>
      </c>
      <c r="F3620" t="inlineStr">
        <is>
          <t>VÄRMLANDS LÄN</t>
        </is>
      </c>
      <c r="G3620" t="inlineStr">
        <is>
          <t>SUNNE</t>
        </is>
      </c>
      <c r="I3620" t="n">
        <v>12.2</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22316-2023</t>
        </is>
      </c>
      <c r="B3621" t="inlineStr">
        <is>
          <t>avverkningsanmälan</t>
        </is>
      </c>
      <c r="C3621" t="inlineStr">
        <is>
          <t>Föryngringsavverkning</t>
        </is>
      </c>
      <c r="D3621" s="1" t="n">
        <v>45070</v>
      </c>
      <c r="E3621" s="1" t="n">
        <v>46307</v>
      </c>
      <c r="F3621" t="inlineStr">
        <is>
          <t>VÄRMLANDS LÄN</t>
        </is>
      </c>
      <c r="G3621" t="inlineStr">
        <is>
          <t>ARVIKA</t>
        </is>
      </c>
      <c r="I3621" t="n">
        <v>2.3</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47890-2024</t>
        </is>
      </c>
      <c r="B3622" t="inlineStr">
        <is>
          <t>avverkningsanmälan</t>
        </is>
      </c>
      <c r="C3622" t="inlineStr">
        <is>
          <t>Föryngringsavverkning</t>
        </is>
      </c>
      <c r="D3622" s="1" t="n">
        <v>45588</v>
      </c>
      <c r="E3622" s="1" t="n">
        <v>46307</v>
      </c>
      <c r="F3622" t="inlineStr">
        <is>
          <t>VÄRMLANDS LÄN</t>
        </is>
      </c>
      <c r="G3622" t="inlineStr">
        <is>
          <t>FILIPSTAD</t>
        </is>
      </c>
      <c r="I3622" t="n">
        <v>0.9</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43849-2025</t>
        </is>
      </c>
      <c r="B3623" t="inlineStr">
        <is>
          <t>avverkningsanmälan</t>
        </is>
      </c>
      <c r="C3623" t="inlineStr">
        <is>
          <t>Föryngringsavverkning</t>
        </is>
      </c>
      <c r="D3623" s="1" t="n">
        <v>45912</v>
      </c>
      <c r="E3623" s="1" t="n">
        <v>46307</v>
      </c>
      <c r="F3623" t="inlineStr">
        <is>
          <t>VÄRMLANDS LÄN</t>
        </is>
      </c>
      <c r="G3623" t="inlineStr">
        <is>
          <t>SÄFFLE</t>
        </is>
      </c>
      <c r="I3623" t="n">
        <v>0.9</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43794-2024</t>
        </is>
      </c>
      <c r="B3624" t="inlineStr">
        <is>
          <t>avverkningsanmälan</t>
        </is>
      </c>
      <c r="C3624" t="inlineStr">
        <is>
          <t>Föryngringsavverkning</t>
        </is>
      </c>
      <c r="D3624" s="1" t="n">
        <v>45571</v>
      </c>
      <c r="E3624" s="1" t="n">
        <v>46307</v>
      </c>
      <c r="F3624" t="inlineStr">
        <is>
          <t>VÄRMLANDS LÄN</t>
        </is>
      </c>
      <c r="G3624" t="inlineStr">
        <is>
          <t>ÅRJÄNG</t>
        </is>
      </c>
      <c r="I3624" t="n">
        <v>0.6</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34122-2023</t>
        </is>
      </c>
      <c r="B3625" t="inlineStr">
        <is>
          <t>avverkningsanmälan</t>
        </is>
      </c>
      <c r="C3625" t="inlineStr">
        <is>
          <t>Föryngringsavverkning</t>
        </is>
      </c>
      <c r="D3625" s="1" t="n">
        <v>45135</v>
      </c>
      <c r="E3625" s="1" t="n">
        <v>46307</v>
      </c>
      <c r="F3625" t="inlineStr">
        <is>
          <t>VÄRMLANDS LÄN</t>
        </is>
      </c>
      <c r="G3625" t="inlineStr">
        <is>
          <t>EDA</t>
        </is>
      </c>
      <c r="I3625" t="n">
        <v>1</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43608-2025</t>
        </is>
      </c>
      <c r="B3626" t="inlineStr">
        <is>
          <t>avverkningsanmälan</t>
        </is>
      </c>
      <c r="C3626" t="inlineStr">
        <is>
          <t>Föryngringsavverkning</t>
        </is>
      </c>
      <c r="D3626" s="1" t="n">
        <v>45911</v>
      </c>
      <c r="E3626" s="1" t="n">
        <v>46307</v>
      </c>
      <c r="F3626" t="inlineStr">
        <is>
          <t>VÄRMLANDS LÄN</t>
        </is>
      </c>
      <c r="G3626" t="inlineStr">
        <is>
          <t>TORSBY</t>
        </is>
      </c>
      <c r="H3626" t="inlineStr">
        <is>
          <t>Bergvik skog väst AB</t>
        </is>
      </c>
      <c r="I3626" t="n">
        <v>6</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56430-2024</t>
        </is>
      </c>
      <c r="B3627" t="inlineStr">
        <is>
          <t>avverkningsanmälan</t>
        </is>
      </c>
      <c r="C3627" t="inlineStr">
        <is>
          <t>Föryngringsavverkning</t>
        </is>
      </c>
      <c r="D3627" s="1" t="n">
        <v>45625</v>
      </c>
      <c r="E3627" s="1" t="n">
        <v>46307</v>
      </c>
      <c r="F3627" t="inlineStr">
        <is>
          <t>VÄRMLANDS LÄN</t>
        </is>
      </c>
      <c r="G3627" t="inlineStr">
        <is>
          <t>TORSBY</t>
        </is>
      </c>
      <c r="I3627" t="n">
        <v>1.4</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43571-2025</t>
        </is>
      </c>
      <c r="B3628" t="inlineStr">
        <is>
          <t>avverkningsanmälan</t>
        </is>
      </c>
      <c r="C3628" t="inlineStr">
        <is>
          <t>Föryngringsavverkning</t>
        </is>
      </c>
      <c r="D3628" s="1" t="n">
        <v>45911</v>
      </c>
      <c r="E3628" s="1" t="n">
        <v>46307</v>
      </c>
      <c r="F3628" t="inlineStr">
        <is>
          <t>VÄRMLANDS LÄN</t>
        </is>
      </c>
      <c r="G3628" t="inlineStr">
        <is>
          <t>FILIPSTAD</t>
        </is>
      </c>
      <c r="I3628" t="n">
        <v>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36644-2023</t>
        </is>
      </c>
      <c r="B3629" t="inlineStr">
        <is>
          <t>avverkningsanmälan</t>
        </is>
      </c>
      <c r="C3629" t="inlineStr">
        <is>
          <t>Föryngringsavverkning</t>
        </is>
      </c>
      <c r="D3629" s="1" t="n">
        <v>45153</v>
      </c>
      <c r="E3629" s="1" t="n">
        <v>46307</v>
      </c>
      <c r="F3629" t="inlineStr">
        <is>
          <t>VÄRMLANDS LÄN</t>
        </is>
      </c>
      <c r="G3629" t="inlineStr">
        <is>
          <t>GRUMS</t>
        </is>
      </c>
      <c r="I3629" t="n">
        <v>0.5</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10888-2023</t>
        </is>
      </c>
      <c r="B3630" t="inlineStr">
        <is>
          <t>avverkningsanmälan</t>
        </is>
      </c>
      <c r="C3630" t="inlineStr">
        <is>
          <t>Föryngringsavverkning</t>
        </is>
      </c>
      <c r="D3630" s="1" t="n">
        <v>44985</v>
      </c>
      <c r="E3630" s="1" t="n">
        <v>46307</v>
      </c>
      <c r="F3630" t="inlineStr">
        <is>
          <t>VÄRMLANDS LÄN</t>
        </is>
      </c>
      <c r="G3630" t="inlineStr">
        <is>
          <t>TORSBY</t>
        </is>
      </c>
      <c r="I3630" t="n">
        <v>0.5</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44659-2024</t>
        </is>
      </c>
      <c r="B3631" t="inlineStr">
        <is>
          <t>avverkningsanmälan</t>
        </is>
      </c>
      <c r="C3631" t="inlineStr">
        <is>
          <t>Föryngringsavverkning</t>
        </is>
      </c>
      <c r="D3631" s="1" t="n">
        <v>45574</v>
      </c>
      <c r="E3631" s="1" t="n">
        <v>46307</v>
      </c>
      <c r="F3631" t="inlineStr">
        <is>
          <t>VÄRMLANDS LÄN</t>
        </is>
      </c>
      <c r="G3631" t="inlineStr">
        <is>
          <t>TORSBY</t>
        </is>
      </c>
      <c r="I3631" t="n">
        <v>13</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44660-2024</t>
        </is>
      </c>
      <c r="B3632" t="inlineStr">
        <is>
          <t>avverkningsanmälan</t>
        </is>
      </c>
      <c r="C3632" t="inlineStr">
        <is>
          <t>Föryngringsavverkning</t>
        </is>
      </c>
      <c r="D3632" s="1" t="n">
        <v>45574</v>
      </c>
      <c r="E3632" s="1" t="n">
        <v>46307</v>
      </c>
      <c r="F3632" t="inlineStr">
        <is>
          <t>VÄRMLANDS LÄN</t>
        </is>
      </c>
      <c r="G3632" t="inlineStr">
        <is>
          <t>KIL</t>
        </is>
      </c>
      <c r="I3632" t="n">
        <v>3.5</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44666-2024</t>
        </is>
      </c>
      <c r="B3633" t="inlineStr">
        <is>
          <t>avverkningsanmälan</t>
        </is>
      </c>
      <c r="C3633" t="inlineStr">
        <is>
          <t>Föryngringsavverkning</t>
        </is>
      </c>
      <c r="D3633" s="1" t="n">
        <v>45574</v>
      </c>
      <c r="E3633" s="1" t="n">
        <v>46307</v>
      </c>
      <c r="F3633" t="inlineStr">
        <is>
          <t>VÄRMLANDS LÄN</t>
        </is>
      </c>
      <c r="G3633" t="inlineStr">
        <is>
          <t>KIL</t>
        </is>
      </c>
      <c r="I3633" t="n">
        <v>1.6</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14488-2025</t>
        </is>
      </c>
      <c r="B3634" t="inlineStr">
        <is>
          <t>avverkningsanmälan</t>
        </is>
      </c>
      <c r="C3634" t="inlineStr">
        <is>
          <t>Föryngringsavverkning</t>
        </is>
      </c>
      <c r="D3634" s="1" t="n">
        <v>45741</v>
      </c>
      <c r="E3634" s="1" t="n">
        <v>46307</v>
      </c>
      <c r="F3634" t="inlineStr">
        <is>
          <t>VÄRMLANDS LÄN</t>
        </is>
      </c>
      <c r="G3634" t="inlineStr">
        <is>
          <t>ARVIKA</t>
        </is>
      </c>
      <c r="I3634" t="n">
        <v>1.1</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43453-2025</t>
        </is>
      </c>
      <c r="B3635" t="inlineStr">
        <is>
          <t>avverkningsanmälan</t>
        </is>
      </c>
      <c r="C3635" t="inlineStr">
        <is>
          <t>Föryngringsavverkning</t>
        </is>
      </c>
      <c r="D3635" s="1" t="n">
        <v>45911</v>
      </c>
      <c r="E3635" s="1" t="n">
        <v>46307</v>
      </c>
      <c r="F3635" t="inlineStr">
        <is>
          <t>VÄRMLANDS LÄN</t>
        </is>
      </c>
      <c r="G3635" t="inlineStr">
        <is>
          <t>SUNNE</t>
        </is>
      </c>
      <c r="H3635" t="inlineStr">
        <is>
          <t>Bergvik skog väst AB</t>
        </is>
      </c>
      <c r="I3635" t="n">
        <v>29.9</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19554-2023</t>
        </is>
      </c>
      <c r="B3636" t="inlineStr">
        <is>
          <t>avverkningsanmälan</t>
        </is>
      </c>
      <c r="C3636" t="inlineStr">
        <is>
          <t>Föryngringsavverkning</t>
        </is>
      </c>
      <c r="D3636" s="1" t="n">
        <v>45050</v>
      </c>
      <c r="E3636" s="1" t="n">
        <v>46307</v>
      </c>
      <c r="F3636" t="inlineStr">
        <is>
          <t>VÄRMLANDS LÄN</t>
        </is>
      </c>
      <c r="G3636" t="inlineStr">
        <is>
          <t>SUNNE</t>
        </is>
      </c>
      <c r="H3636" t="inlineStr">
        <is>
          <t>Övriga Aktiebolag</t>
        </is>
      </c>
      <c r="I3636" t="n">
        <v>11.2</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38764-2024</t>
        </is>
      </c>
      <c r="B3637" t="inlineStr">
        <is>
          <t>avverkningsanmälan</t>
        </is>
      </c>
      <c r="C3637" t="inlineStr">
        <is>
          <t>Föryngringsavverkning</t>
        </is>
      </c>
      <c r="D3637" s="1" t="n">
        <v>45547</v>
      </c>
      <c r="E3637" s="1" t="n">
        <v>46307</v>
      </c>
      <c r="F3637" t="inlineStr">
        <is>
          <t>VÄRMLANDS LÄN</t>
        </is>
      </c>
      <c r="G3637" t="inlineStr">
        <is>
          <t>SÄFFLE</t>
        </is>
      </c>
      <c r="I3637" t="n">
        <v>1.9</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60385-2024</t>
        </is>
      </c>
      <c r="B3638" t="inlineStr">
        <is>
          <t>avverkningsanmälan</t>
        </is>
      </c>
      <c r="C3638" t="inlineStr">
        <is>
          <t>Föryngringsavverkning</t>
        </is>
      </c>
      <c r="D3638" s="1" t="n">
        <v>45643</v>
      </c>
      <c r="E3638" s="1" t="n">
        <v>46307</v>
      </c>
      <c r="F3638" t="inlineStr">
        <is>
          <t>VÄRMLANDS LÄN</t>
        </is>
      </c>
      <c r="G3638" t="inlineStr">
        <is>
          <t>TORSBY</t>
        </is>
      </c>
      <c r="I3638" t="n">
        <v>2.4</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19475-2024</t>
        </is>
      </c>
      <c r="B3639" t="inlineStr">
        <is>
          <t>avverkningsanmälan</t>
        </is>
      </c>
      <c r="C3639" t="inlineStr">
        <is>
          <t>Föryngringsavverkning</t>
        </is>
      </c>
      <c r="D3639" s="1" t="n">
        <v>45429</v>
      </c>
      <c r="E3639" s="1" t="n">
        <v>46307</v>
      </c>
      <c r="F3639" t="inlineStr">
        <is>
          <t>VÄRMLANDS LÄN</t>
        </is>
      </c>
      <c r="G3639" t="inlineStr">
        <is>
          <t>EDA</t>
        </is>
      </c>
      <c r="I3639" t="n">
        <v>1.2</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21531-2025</t>
        </is>
      </c>
      <c r="B3640" t="inlineStr">
        <is>
          <t>avverkningsanmälan</t>
        </is>
      </c>
      <c r="C3640" t="inlineStr">
        <is>
          <t>Föryngringsavverkning</t>
        </is>
      </c>
      <c r="D3640" s="1" t="n">
        <v>45782</v>
      </c>
      <c r="E3640" s="1" t="n">
        <v>46307</v>
      </c>
      <c r="F3640" t="inlineStr">
        <is>
          <t>VÄRMLANDS LÄN</t>
        </is>
      </c>
      <c r="G3640" t="inlineStr">
        <is>
          <t>KARLSTAD</t>
        </is>
      </c>
      <c r="I3640" t="n">
        <v>2.8</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21312-2025</t>
        </is>
      </c>
      <c r="B3641" t="inlineStr">
        <is>
          <t>avverkningsanmälan</t>
        </is>
      </c>
      <c r="C3641" t="inlineStr">
        <is>
          <t>Föryngringsavverkning</t>
        </is>
      </c>
      <c r="D3641" s="1" t="n">
        <v>45781</v>
      </c>
      <c r="E3641" s="1" t="n">
        <v>46307</v>
      </c>
      <c r="F3641" t="inlineStr">
        <is>
          <t>VÄRMLANDS LÄN</t>
        </is>
      </c>
      <c r="G3641" t="inlineStr">
        <is>
          <t>SUNNE</t>
        </is>
      </c>
      <c r="I3641" t="n">
        <v>4.9</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23065-2025</t>
        </is>
      </c>
      <c r="B3642" t="inlineStr">
        <is>
          <t>avverkningsanmälan</t>
        </is>
      </c>
      <c r="C3642" t="inlineStr">
        <is>
          <t>Föryngringsavverkning</t>
        </is>
      </c>
      <c r="D3642" s="1" t="n">
        <v>45790</v>
      </c>
      <c r="E3642" s="1" t="n">
        <v>46307</v>
      </c>
      <c r="F3642" t="inlineStr">
        <is>
          <t>VÄRMLANDS LÄN</t>
        </is>
      </c>
      <c r="G3642" t="inlineStr">
        <is>
          <t>HAGFORS</t>
        </is>
      </c>
      <c r="H3642" t="inlineStr">
        <is>
          <t>Bergvik skog väst AB</t>
        </is>
      </c>
      <c r="I3642" t="n">
        <v>8.5</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3148-2024</t>
        </is>
      </c>
      <c r="B3643" t="inlineStr">
        <is>
          <t>avverkningsanmälan</t>
        </is>
      </c>
      <c r="C3643" t="inlineStr">
        <is>
          <t>Föryngringsavverkning</t>
        </is>
      </c>
      <c r="D3643" s="1" t="n">
        <v>45316</v>
      </c>
      <c r="E3643" s="1" t="n">
        <v>46307</v>
      </c>
      <c r="F3643" t="inlineStr">
        <is>
          <t>VÄRMLANDS LÄN</t>
        </is>
      </c>
      <c r="G3643" t="inlineStr">
        <is>
          <t>ARVIKA</t>
        </is>
      </c>
      <c r="I3643" t="n">
        <v>1.4</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54292-2024</t>
        </is>
      </c>
      <c r="B3644" t="inlineStr">
        <is>
          <t>avverkningsanmälan</t>
        </is>
      </c>
      <c r="C3644" t="inlineStr">
        <is>
          <t>Föryngringsavverkning</t>
        </is>
      </c>
      <c r="D3644" s="1" t="n">
        <v>45617</v>
      </c>
      <c r="E3644" s="1" t="n">
        <v>46307</v>
      </c>
      <c r="F3644" t="inlineStr">
        <is>
          <t>VÄRMLANDS LÄN</t>
        </is>
      </c>
      <c r="G3644" t="inlineStr">
        <is>
          <t>KARLSTAD</t>
        </is>
      </c>
      <c r="I3644" t="n">
        <v>0.7</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19583-2023</t>
        </is>
      </c>
      <c r="B3645" t="inlineStr">
        <is>
          <t>avverkningsanmälan</t>
        </is>
      </c>
      <c r="C3645" t="inlineStr">
        <is>
          <t>Föryngringsavverkning</t>
        </is>
      </c>
      <c r="D3645" s="1" t="n">
        <v>45050</v>
      </c>
      <c r="E3645" s="1" t="n">
        <v>46307</v>
      </c>
      <c r="F3645" t="inlineStr">
        <is>
          <t>VÄRMLANDS LÄN</t>
        </is>
      </c>
      <c r="G3645" t="inlineStr">
        <is>
          <t>HAGFORS</t>
        </is>
      </c>
      <c r="H3645" t="inlineStr">
        <is>
          <t>Kommuner</t>
        </is>
      </c>
      <c r="I3645" t="n">
        <v>1.5</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62225-2021</t>
        </is>
      </c>
      <c r="B3646" t="inlineStr">
        <is>
          <t>avverkningsanmälan</t>
        </is>
      </c>
      <c r="C3646" t="inlineStr">
        <is>
          <t>Föryngringsavverkning</t>
        </is>
      </c>
      <c r="D3646" s="1" t="n">
        <v>44503</v>
      </c>
      <c r="E3646" s="1" t="n">
        <v>46307</v>
      </c>
      <c r="F3646" t="inlineStr">
        <is>
          <t>VÄRMLANDS LÄN</t>
        </is>
      </c>
      <c r="G3646" t="inlineStr">
        <is>
          <t>KARLSTAD</t>
        </is>
      </c>
      <c r="I3646" t="n">
        <v>1</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44448-2024</t>
        </is>
      </c>
      <c r="B3647" t="inlineStr">
        <is>
          <t>avverkningsanmälan</t>
        </is>
      </c>
      <c r="C3647" t="inlineStr">
        <is>
          <t>Föryngringsavverkning</t>
        </is>
      </c>
      <c r="D3647" s="1" t="n">
        <v>45574</v>
      </c>
      <c r="E3647" s="1" t="n">
        <v>46307</v>
      </c>
      <c r="F3647" t="inlineStr">
        <is>
          <t>VÄRMLANDS LÄN</t>
        </is>
      </c>
      <c r="G3647" t="inlineStr">
        <is>
          <t>TORSBY</t>
        </is>
      </c>
      <c r="I3647" t="n">
        <v>8.9</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38065-2024</t>
        </is>
      </c>
      <c r="B3648" t="inlineStr">
        <is>
          <t>avverkningsanmälan</t>
        </is>
      </c>
      <c r="C3648" t="inlineStr">
        <is>
          <t>Föryngringsavverkning</t>
        </is>
      </c>
      <c r="D3648" s="1" t="n">
        <v>45544</v>
      </c>
      <c r="E3648" s="1" t="n">
        <v>46307</v>
      </c>
      <c r="F3648" t="inlineStr">
        <is>
          <t>VÄRMLANDS LÄN</t>
        </is>
      </c>
      <c r="G3648" t="inlineStr">
        <is>
          <t>ÅRJÄNG</t>
        </is>
      </c>
      <c r="I3648" t="n">
        <v>1.4</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44259-2025</t>
        </is>
      </c>
      <c r="B3649" t="inlineStr">
        <is>
          <t>avverkningsanmälan</t>
        </is>
      </c>
      <c r="C3649" t="inlineStr">
        <is>
          <t>Föryngringsavverkning</t>
        </is>
      </c>
      <c r="D3649" s="1" t="n">
        <v>45915</v>
      </c>
      <c r="E3649" s="1" t="n">
        <v>46307</v>
      </c>
      <c r="F3649" t="inlineStr">
        <is>
          <t>VÄRMLANDS LÄN</t>
        </is>
      </c>
      <c r="G3649" t="inlineStr">
        <is>
          <t>ARVIKA</t>
        </is>
      </c>
      <c r="I3649" t="n">
        <v>5.7</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44141-2025</t>
        </is>
      </c>
      <c r="B3650" t="inlineStr">
        <is>
          <t>avverkningsanmälan</t>
        </is>
      </c>
      <c r="C3650" t="inlineStr">
        <is>
          <t>Föryngringsavverkning</t>
        </is>
      </c>
      <c r="D3650" s="1" t="n">
        <v>45915</v>
      </c>
      <c r="E3650" s="1" t="n">
        <v>46307</v>
      </c>
      <c r="F3650" t="inlineStr">
        <is>
          <t>VÄRMLANDS LÄN</t>
        </is>
      </c>
      <c r="G3650" t="inlineStr">
        <is>
          <t>TORSBY</t>
        </is>
      </c>
      <c r="H3650" t="inlineStr">
        <is>
          <t>Kyrkan</t>
        </is>
      </c>
      <c r="I3650" t="n">
        <v>2.4</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25313-2024</t>
        </is>
      </c>
      <c r="B3651" t="inlineStr">
        <is>
          <t>avverkningsanmälan</t>
        </is>
      </c>
      <c r="C3651" t="inlineStr">
        <is>
          <t>Föryngringsavverkning</t>
        </is>
      </c>
      <c r="D3651" s="1" t="n">
        <v>45462</v>
      </c>
      <c r="E3651" s="1" t="n">
        <v>46307</v>
      </c>
      <c r="F3651" t="inlineStr">
        <is>
          <t>VÄRMLANDS LÄN</t>
        </is>
      </c>
      <c r="G3651" t="inlineStr">
        <is>
          <t>TORSBY</t>
        </is>
      </c>
      <c r="I3651" t="n">
        <v>0.7</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44497-2025</t>
        </is>
      </c>
      <c r="B3652" t="inlineStr">
        <is>
          <t>avverkningsanmälan</t>
        </is>
      </c>
      <c r="C3652" t="inlineStr">
        <is>
          <t>Föryngringsavverkning</t>
        </is>
      </c>
      <c r="D3652" s="1" t="n">
        <v>45916</v>
      </c>
      <c r="E3652" s="1" t="n">
        <v>46307</v>
      </c>
      <c r="F3652" t="inlineStr">
        <is>
          <t>VÄRMLANDS LÄN</t>
        </is>
      </c>
      <c r="G3652" t="inlineStr">
        <is>
          <t>GRUMS</t>
        </is>
      </c>
      <c r="I3652" t="n">
        <v>3.1</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44507-2025</t>
        </is>
      </c>
      <c r="B3653" t="inlineStr">
        <is>
          <t>avverkningsanmälan</t>
        </is>
      </c>
      <c r="C3653" t="inlineStr">
        <is>
          <t>Föryngringsavverkning</t>
        </is>
      </c>
      <c r="D3653" s="1" t="n">
        <v>45916</v>
      </c>
      <c r="E3653" s="1" t="n">
        <v>46307</v>
      </c>
      <c r="F3653" t="inlineStr">
        <is>
          <t>VÄRMLANDS LÄN</t>
        </is>
      </c>
      <c r="G3653" t="inlineStr">
        <is>
          <t>TORSBY</t>
        </is>
      </c>
      <c r="H3653" t="inlineStr">
        <is>
          <t>Bergvik skog väst AB</t>
        </is>
      </c>
      <c r="I3653" t="n">
        <v>10.9</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29204-2023</t>
        </is>
      </c>
      <c r="B3654" t="inlineStr">
        <is>
          <t>avverkningsanmälan</t>
        </is>
      </c>
      <c r="C3654" t="inlineStr">
        <is>
          <t>Föryngringsavverkning</t>
        </is>
      </c>
      <c r="D3654" s="1" t="n">
        <v>45105</v>
      </c>
      <c r="E3654" s="1" t="n">
        <v>46307</v>
      </c>
      <c r="F3654" t="inlineStr">
        <is>
          <t>VÄRMLANDS LÄN</t>
        </is>
      </c>
      <c r="G3654" t="inlineStr">
        <is>
          <t>ÅRJÄNG</t>
        </is>
      </c>
      <c r="I3654" t="n">
        <v>1.5</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46526-2024</t>
        </is>
      </c>
      <c r="B3655" t="inlineStr">
        <is>
          <t>avverkningsanmälan</t>
        </is>
      </c>
      <c r="C3655" t="inlineStr">
        <is>
          <t>Föryngringsavverkning</t>
        </is>
      </c>
      <c r="D3655" s="1" t="n">
        <v>45582</v>
      </c>
      <c r="E3655" s="1" t="n">
        <v>46307</v>
      </c>
      <c r="F3655" t="inlineStr">
        <is>
          <t>VÄRMLANDS LÄN</t>
        </is>
      </c>
      <c r="G3655" t="inlineStr">
        <is>
          <t>SÄFFLE</t>
        </is>
      </c>
      <c r="I3655" t="n">
        <v>1.1</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58586-2024</t>
        </is>
      </c>
      <c r="B3656" t="inlineStr">
        <is>
          <t>avverkningsanmälan</t>
        </is>
      </c>
      <c r="C3656" t="inlineStr">
        <is>
          <t>Föryngringsavverkning</t>
        </is>
      </c>
      <c r="D3656" s="1" t="n">
        <v>45635</v>
      </c>
      <c r="E3656" s="1" t="n">
        <v>46307</v>
      </c>
      <c r="F3656" t="inlineStr">
        <is>
          <t>VÄRMLANDS LÄN</t>
        </is>
      </c>
      <c r="G3656" t="inlineStr">
        <is>
          <t>STORFORS</t>
        </is>
      </c>
      <c r="H3656" t="inlineStr">
        <is>
          <t>Bergvik skog väst AB</t>
        </is>
      </c>
      <c r="I3656" t="n">
        <v>2.1</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61945-2024</t>
        </is>
      </c>
      <c r="B3657" t="inlineStr">
        <is>
          <t>avverkningsanmälan</t>
        </is>
      </c>
      <c r="C3657" t="inlineStr">
        <is>
          <t>Föryngringsavverkning</t>
        </is>
      </c>
      <c r="D3657" s="1" t="n">
        <v>45653</v>
      </c>
      <c r="E3657" s="1" t="n">
        <v>46307</v>
      </c>
      <c r="F3657" t="inlineStr">
        <is>
          <t>VÄRMLANDS LÄN</t>
        </is>
      </c>
      <c r="G3657" t="inlineStr">
        <is>
          <t>ARVIKA</t>
        </is>
      </c>
      <c r="H3657" t="inlineStr">
        <is>
          <t>Bergvik skog väst AB</t>
        </is>
      </c>
      <c r="I3657" t="n">
        <v>5.3</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67196-2021</t>
        </is>
      </c>
      <c r="B3658" t="inlineStr">
        <is>
          <t>avverkningsanmälan</t>
        </is>
      </c>
      <c r="C3658" t="inlineStr">
        <is>
          <t>Föryngringsavverkning</t>
        </is>
      </c>
      <c r="D3658" s="1" t="n">
        <v>44523</v>
      </c>
      <c r="E3658" s="1" t="n">
        <v>46307</v>
      </c>
      <c r="F3658" t="inlineStr">
        <is>
          <t>VÄRMLANDS LÄN</t>
        </is>
      </c>
      <c r="G3658" t="inlineStr">
        <is>
          <t>ARVIKA</t>
        </is>
      </c>
      <c r="I3658" t="n">
        <v>4.7</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10548-2024</t>
        </is>
      </c>
      <c r="B3659" t="inlineStr">
        <is>
          <t>avverkningsanmälan</t>
        </is>
      </c>
      <c r="C3659" t="inlineStr">
        <is>
          <t>Föryngringsavverkning</t>
        </is>
      </c>
      <c r="D3659" s="1" t="n">
        <v>45366</v>
      </c>
      <c r="E3659" s="1" t="n">
        <v>46307</v>
      </c>
      <c r="F3659" t="inlineStr">
        <is>
          <t>VÄRMLANDS LÄN</t>
        </is>
      </c>
      <c r="G3659" t="inlineStr">
        <is>
          <t>KRISTINEHAMN</t>
        </is>
      </c>
      <c r="I3659" t="n">
        <v>0.7</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36917-2024</t>
        </is>
      </c>
      <c r="B3660" t="inlineStr">
        <is>
          <t>avverkningsanmälan</t>
        </is>
      </c>
      <c r="C3660" t="inlineStr">
        <is>
          <t>Föryngringsavverkning</t>
        </is>
      </c>
      <c r="D3660" s="1" t="n">
        <v>45538</v>
      </c>
      <c r="E3660" s="1" t="n">
        <v>46307</v>
      </c>
      <c r="F3660" t="inlineStr">
        <is>
          <t>VÄRMLANDS LÄN</t>
        </is>
      </c>
      <c r="G3660" t="inlineStr">
        <is>
          <t>TORSBY</t>
        </is>
      </c>
      <c r="I3660" t="n">
        <v>2.9</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36922-2024</t>
        </is>
      </c>
      <c r="B3661" t="inlineStr">
        <is>
          <t>avverkningsanmälan</t>
        </is>
      </c>
      <c r="C3661" t="inlineStr">
        <is>
          <t>Föryngringsavverkning</t>
        </is>
      </c>
      <c r="D3661" s="1" t="n">
        <v>45538</v>
      </c>
      <c r="E3661" s="1" t="n">
        <v>46307</v>
      </c>
      <c r="F3661" t="inlineStr">
        <is>
          <t>VÄRMLANDS LÄN</t>
        </is>
      </c>
      <c r="G3661" t="inlineStr">
        <is>
          <t>TORSBY</t>
        </is>
      </c>
      <c r="I3661" t="n">
        <v>2</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61999-2024</t>
        </is>
      </c>
      <c r="B3662" t="inlineStr">
        <is>
          <t>avverkningsanmälan</t>
        </is>
      </c>
      <c r="C3662" t="inlineStr">
        <is>
          <t>Föryngringsavverkning</t>
        </is>
      </c>
      <c r="D3662" s="1" t="n">
        <v>45654</v>
      </c>
      <c r="E3662" s="1" t="n">
        <v>46307</v>
      </c>
      <c r="F3662" t="inlineStr">
        <is>
          <t>VÄRMLANDS LÄN</t>
        </is>
      </c>
      <c r="G3662" t="inlineStr">
        <is>
          <t>EDA</t>
        </is>
      </c>
      <c r="I3662" t="n">
        <v>1.9</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47425-2024</t>
        </is>
      </c>
      <c r="B3663" t="inlineStr">
        <is>
          <t>avverkningsanmälan</t>
        </is>
      </c>
      <c r="C3663" t="inlineStr">
        <is>
          <t>Föryngringsavverkning</t>
        </is>
      </c>
      <c r="D3663" s="1" t="n">
        <v>45587</v>
      </c>
      <c r="E3663" s="1" t="n">
        <v>46307</v>
      </c>
      <c r="F3663" t="inlineStr">
        <is>
          <t>VÄRMLANDS LÄN</t>
        </is>
      </c>
      <c r="G3663" t="inlineStr">
        <is>
          <t>HAGFORS</t>
        </is>
      </c>
      <c r="I3663" t="n">
        <v>1.1</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2037-2023</t>
        </is>
      </c>
      <c r="B3664" t="inlineStr">
        <is>
          <t>avverkningsanmälan</t>
        </is>
      </c>
      <c r="C3664" t="inlineStr">
        <is>
          <t>Föryngringsavverkning</t>
        </is>
      </c>
      <c r="D3664" s="1" t="n">
        <v>44939</v>
      </c>
      <c r="E3664" s="1" t="n">
        <v>46307</v>
      </c>
      <c r="F3664" t="inlineStr">
        <is>
          <t>VÄRMLANDS LÄN</t>
        </is>
      </c>
      <c r="G3664" t="inlineStr">
        <is>
          <t>STORFORS</t>
        </is>
      </c>
      <c r="H3664" t="inlineStr">
        <is>
          <t>Kyrkan</t>
        </is>
      </c>
      <c r="I3664" t="n">
        <v>1.4</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21838-2025</t>
        </is>
      </c>
      <c r="B3665" t="inlineStr">
        <is>
          <t>avverkningsanmälan</t>
        </is>
      </c>
      <c r="C3665" t="inlineStr">
        <is>
          <t>Föryngringsavverkning</t>
        </is>
      </c>
      <c r="D3665" s="1" t="n">
        <v>45784</v>
      </c>
      <c r="E3665" s="1" t="n">
        <v>46307</v>
      </c>
      <c r="F3665" t="inlineStr">
        <is>
          <t>VÄRMLANDS LÄN</t>
        </is>
      </c>
      <c r="G3665" t="inlineStr">
        <is>
          <t>KARLSTAD</t>
        </is>
      </c>
      <c r="I3665" t="n">
        <v>2.8</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44300-2025</t>
        </is>
      </c>
      <c r="B3666" t="inlineStr">
        <is>
          <t>avverkningsanmälan</t>
        </is>
      </c>
      <c r="C3666" t="inlineStr">
        <is>
          <t>Föryngringsavverkning</t>
        </is>
      </c>
      <c r="D3666" s="1" t="n">
        <v>45916</v>
      </c>
      <c r="E3666" s="1" t="n">
        <v>46307</v>
      </c>
      <c r="F3666" t="inlineStr">
        <is>
          <t>VÄRMLANDS LÄN</t>
        </is>
      </c>
      <c r="G3666" t="inlineStr">
        <is>
          <t>ÅRJÄNG</t>
        </is>
      </c>
      <c r="I3666" t="n">
        <v>0.9</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37213-2024</t>
        </is>
      </c>
      <c r="B3667" t="inlineStr">
        <is>
          <t>avverkningsanmälan</t>
        </is>
      </c>
      <c r="C3667" t="inlineStr">
        <is>
          <t>Föryngringsavverkning</t>
        </is>
      </c>
      <c r="D3667" s="1" t="n">
        <v>45539</v>
      </c>
      <c r="E3667" s="1" t="n">
        <v>46307</v>
      </c>
      <c r="F3667" t="inlineStr">
        <is>
          <t>VÄRMLANDS LÄN</t>
        </is>
      </c>
      <c r="G3667" t="inlineStr">
        <is>
          <t>ARVIKA</t>
        </is>
      </c>
      <c r="I3667" t="n">
        <v>1.7</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44396-2025</t>
        </is>
      </c>
      <c r="B3668" t="inlineStr">
        <is>
          <t>avverkningsanmälan</t>
        </is>
      </c>
      <c r="C3668" t="inlineStr">
        <is>
          <t>Föryngringsavverkning</t>
        </is>
      </c>
      <c r="D3668" s="1" t="n">
        <v>45916</v>
      </c>
      <c r="E3668" s="1" t="n">
        <v>46307</v>
      </c>
      <c r="F3668" t="inlineStr">
        <is>
          <t>VÄRMLANDS LÄN</t>
        </is>
      </c>
      <c r="G3668" t="inlineStr">
        <is>
          <t>SUNNE</t>
        </is>
      </c>
      <c r="I3668" t="n">
        <v>7</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24680-2024</t>
        </is>
      </c>
      <c r="B3669" t="inlineStr">
        <is>
          <t>avverkningsanmälan</t>
        </is>
      </c>
      <c r="C3669" t="inlineStr">
        <is>
          <t>Föryngringsavverkning</t>
        </is>
      </c>
      <c r="D3669" s="1" t="n">
        <v>45460</v>
      </c>
      <c r="E3669" s="1" t="n">
        <v>46307</v>
      </c>
      <c r="F3669" t="inlineStr">
        <is>
          <t>VÄRMLANDS LÄN</t>
        </is>
      </c>
      <c r="G3669" t="inlineStr">
        <is>
          <t>HAGFORS</t>
        </is>
      </c>
      <c r="I3669" t="n">
        <v>6</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11198-2025</t>
        </is>
      </c>
      <c r="B3670" t="inlineStr">
        <is>
          <t>avverkningsanmälan</t>
        </is>
      </c>
      <c r="C3670" t="inlineStr">
        <is>
          <t>Föryngringsavverkning</t>
        </is>
      </c>
      <c r="D3670" s="1" t="n">
        <v>45725</v>
      </c>
      <c r="E3670" s="1" t="n">
        <v>46307</v>
      </c>
      <c r="F3670" t="inlineStr">
        <is>
          <t>VÄRMLANDS LÄN</t>
        </is>
      </c>
      <c r="G3670" t="inlineStr">
        <is>
          <t>ÅRJÄNG</t>
        </is>
      </c>
      <c r="I3670" t="n">
        <v>3.5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38536-2024</t>
        </is>
      </c>
      <c r="B3671" t="inlineStr">
        <is>
          <t>avverkningsanmälan</t>
        </is>
      </c>
      <c r="C3671" t="inlineStr">
        <is>
          <t>Föryngringsavverkning</t>
        </is>
      </c>
      <c r="D3671" s="1" t="n">
        <v>45546</v>
      </c>
      <c r="E3671" s="1" t="n">
        <v>46307</v>
      </c>
      <c r="F3671" t="inlineStr">
        <is>
          <t>VÄRMLANDS LÄN</t>
        </is>
      </c>
      <c r="G3671" t="inlineStr">
        <is>
          <t>ÅRJÄNG</t>
        </is>
      </c>
      <c r="H3671" t="inlineStr">
        <is>
          <t>Bergvik skog väst AB</t>
        </is>
      </c>
      <c r="I3671" t="n">
        <v>0.4</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21718-2025</t>
        </is>
      </c>
      <c r="B3672" t="inlineStr">
        <is>
          <t>avverkningsanmälan</t>
        </is>
      </c>
      <c r="C3672" t="inlineStr">
        <is>
          <t>Föryngringsavverkning</t>
        </is>
      </c>
      <c r="D3672" s="1" t="n">
        <v>45783</v>
      </c>
      <c r="E3672" s="1" t="n">
        <v>46307</v>
      </c>
      <c r="F3672" t="inlineStr">
        <is>
          <t>VÄRMLANDS LÄN</t>
        </is>
      </c>
      <c r="G3672" t="inlineStr">
        <is>
          <t>EDA</t>
        </is>
      </c>
      <c r="I3672" t="n">
        <v>4.8</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39075-2024</t>
        </is>
      </c>
      <c r="B3673" t="inlineStr">
        <is>
          <t>avverkningsanmälan</t>
        </is>
      </c>
      <c r="C3673" t="inlineStr">
        <is>
          <t>Föryngringsavverkning</t>
        </is>
      </c>
      <c r="D3673" s="1" t="n">
        <v>45548</v>
      </c>
      <c r="E3673" s="1" t="n">
        <v>46307</v>
      </c>
      <c r="F3673" t="inlineStr">
        <is>
          <t>VÄRMLANDS LÄN</t>
        </is>
      </c>
      <c r="G3673" t="inlineStr">
        <is>
          <t>TORSBY</t>
        </is>
      </c>
      <c r="I3673" t="n">
        <v>5.8</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19188-2023</t>
        </is>
      </c>
      <c r="B3674" t="inlineStr">
        <is>
          <t>avverkningsanmälan</t>
        </is>
      </c>
      <c r="C3674" t="inlineStr">
        <is>
          <t>Föryngringsavverkning</t>
        </is>
      </c>
      <c r="D3674" s="1" t="n">
        <v>45044</v>
      </c>
      <c r="E3674" s="1" t="n">
        <v>46307</v>
      </c>
      <c r="F3674" t="inlineStr">
        <is>
          <t>VÄRMLANDS LÄN</t>
        </is>
      </c>
      <c r="G3674" t="inlineStr">
        <is>
          <t>SÄFFLE</t>
        </is>
      </c>
      <c r="I3674" t="n">
        <v>2.6</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3643-2022</t>
        </is>
      </c>
      <c r="B3675" t="inlineStr">
        <is>
          <t>avverkningsanmälan</t>
        </is>
      </c>
      <c r="C3675" t="inlineStr">
        <is>
          <t>Föryngringsavverkning</t>
        </is>
      </c>
      <c r="D3675" s="1" t="n">
        <v>44586</v>
      </c>
      <c r="E3675" s="1" t="n">
        <v>46307</v>
      </c>
      <c r="F3675" t="inlineStr">
        <is>
          <t>VÄRMLANDS LÄN</t>
        </is>
      </c>
      <c r="G3675" t="inlineStr">
        <is>
          <t>ARVIKA</t>
        </is>
      </c>
      <c r="H3675" t="inlineStr">
        <is>
          <t>Bergvik skog väst AB</t>
        </is>
      </c>
      <c r="I3675" t="n">
        <v>2.1</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21849-2025</t>
        </is>
      </c>
      <c r="B3676" t="inlineStr">
        <is>
          <t>avverkningsanmälan</t>
        </is>
      </c>
      <c r="C3676" t="inlineStr">
        <is>
          <t>Föryngringsavverkning</t>
        </is>
      </c>
      <c r="D3676" s="1" t="n">
        <v>45784</v>
      </c>
      <c r="E3676" s="1" t="n">
        <v>46307</v>
      </c>
      <c r="F3676" t="inlineStr">
        <is>
          <t>VÄRMLANDS LÄN</t>
        </is>
      </c>
      <c r="G3676" t="inlineStr">
        <is>
          <t>KARLSTAD</t>
        </is>
      </c>
      <c r="I3676" t="n">
        <v>3.6</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21858-2025</t>
        </is>
      </c>
      <c r="B3677" t="inlineStr">
        <is>
          <t>avverkningsanmälan</t>
        </is>
      </c>
      <c r="C3677" t="inlineStr">
        <is>
          <t>Avverkning för annat ändamål</t>
        </is>
      </c>
      <c r="D3677" s="1" t="n">
        <v>45784</v>
      </c>
      <c r="E3677" s="1" t="n">
        <v>46307</v>
      </c>
      <c r="F3677" t="inlineStr">
        <is>
          <t>VÄRMLANDS LÄN</t>
        </is>
      </c>
      <c r="G3677" t="inlineStr">
        <is>
          <t>TORSBY</t>
        </is>
      </c>
      <c r="H3677" t="inlineStr">
        <is>
          <t>Bergvik skog väst AB</t>
        </is>
      </c>
      <c r="I3677" t="n">
        <v>1.5</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7922-2022</t>
        </is>
      </c>
      <c r="B3678" t="inlineStr">
        <is>
          <t>avverkningsanmälan</t>
        </is>
      </c>
      <c r="C3678" t="inlineStr">
        <is>
          <t>Föryngringsavverkning</t>
        </is>
      </c>
      <c r="D3678" s="1" t="n">
        <v>44608</v>
      </c>
      <c r="E3678" s="1" t="n">
        <v>46307</v>
      </c>
      <c r="F3678" t="inlineStr">
        <is>
          <t>VÄRMLANDS LÄN</t>
        </is>
      </c>
      <c r="G3678" t="inlineStr">
        <is>
          <t>GRUMS</t>
        </is>
      </c>
      <c r="I3678" t="n">
        <v>1.2</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30646-2024</t>
        </is>
      </c>
      <c r="B3679" t="inlineStr">
        <is>
          <t>avverkningsanmälan</t>
        </is>
      </c>
      <c r="C3679" t="inlineStr">
        <is>
          <t>Föryngringsavverkning</t>
        </is>
      </c>
      <c r="D3679" s="1" t="n">
        <v>45495</v>
      </c>
      <c r="E3679" s="1" t="n">
        <v>46307</v>
      </c>
      <c r="F3679" t="inlineStr">
        <is>
          <t>VÄRMLANDS LÄN</t>
        </is>
      </c>
      <c r="G3679" t="inlineStr">
        <is>
          <t>FILIPSTAD</t>
        </is>
      </c>
      <c r="I3679" t="n">
        <v>4.6</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40332-2023</t>
        </is>
      </c>
      <c r="B3680" t="inlineStr">
        <is>
          <t>avverkningsanmälan</t>
        </is>
      </c>
      <c r="C3680" t="inlineStr">
        <is>
          <t>Föryngringsavverkning</t>
        </is>
      </c>
      <c r="D3680" s="1" t="n">
        <v>45169</v>
      </c>
      <c r="E3680" s="1" t="n">
        <v>46307</v>
      </c>
      <c r="F3680" t="inlineStr">
        <is>
          <t>VÄRMLANDS LÄN</t>
        </is>
      </c>
      <c r="G3680" t="inlineStr">
        <is>
          <t>HAGFORS</t>
        </is>
      </c>
      <c r="I3680" t="n">
        <v>6.3</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44263-2025</t>
        </is>
      </c>
      <c r="B3681" t="inlineStr">
        <is>
          <t>avverkningsanmälan</t>
        </is>
      </c>
      <c r="C3681" t="inlineStr">
        <is>
          <t>Föryngringsavverkning</t>
        </is>
      </c>
      <c r="D3681" s="1" t="n">
        <v>45916</v>
      </c>
      <c r="E3681" s="1" t="n">
        <v>46307</v>
      </c>
      <c r="F3681" t="inlineStr">
        <is>
          <t>VÄRMLANDS LÄN</t>
        </is>
      </c>
      <c r="G3681" t="inlineStr">
        <is>
          <t>SUNNE</t>
        </is>
      </c>
      <c r="I3681" t="n">
        <v>4.9</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58058-2024</t>
        </is>
      </c>
      <c r="B3682" t="inlineStr">
        <is>
          <t>avverkningsanmälan</t>
        </is>
      </c>
      <c r="C3682" t="inlineStr">
        <is>
          <t>Föryngringsavverkning</t>
        </is>
      </c>
      <c r="D3682" s="1" t="n">
        <v>45631</v>
      </c>
      <c r="E3682" s="1" t="n">
        <v>46307</v>
      </c>
      <c r="F3682" t="inlineStr">
        <is>
          <t>VÄRMLANDS LÄN</t>
        </is>
      </c>
      <c r="G3682" t="inlineStr">
        <is>
          <t>ARVIKA</t>
        </is>
      </c>
      <c r="I3682" t="n">
        <v>2</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3841-2022</t>
        </is>
      </c>
      <c r="B3683" t="inlineStr">
        <is>
          <t>avverkningsanmälan</t>
        </is>
      </c>
      <c r="C3683" t="inlineStr">
        <is>
          <t>Föryngringsavverkning</t>
        </is>
      </c>
      <c r="D3683" s="1" t="n">
        <v>44587</v>
      </c>
      <c r="E3683" s="1" t="n">
        <v>46307</v>
      </c>
      <c r="F3683" t="inlineStr">
        <is>
          <t>VÄRMLANDS LÄN</t>
        </is>
      </c>
      <c r="G3683" t="inlineStr">
        <is>
          <t>TORSBY</t>
        </is>
      </c>
      <c r="I3683" t="n">
        <v>6.4</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7193-2024</t>
        </is>
      </c>
      <c r="B3684" t="inlineStr">
        <is>
          <t>avverkningsanmälan</t>
        </is>
      </c>
      <c r="C3684" t="inlineStr">
        <is>
          <t>Föryngringsavverkning</t>
        </is>
      </c>
      <c r="D3684" s="1" t="n">
        <v>45344</v>
      </c>
      <c r="E3684" s="1" t="n">
        <v>46307</v>
      </c>
      <c r="F3684" t="inlineStr">
        <is>
          <t>VÄRMLANDS LÄN</t>
        </is>
      </c>
      <c r="G3684" t="inlineStr">
        <is>
          <t>ÅRJÄNG</t>
        </is>
      </c>
      <c r="I3684" t="n">
        <v>2</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15992-2023</t>
        </is>
      </c>
      <c r="B3685" t="inlineStr">
        <is>
          <t>avverkningsanmälan</t>
        </is>
      </c>
      <c r="C3685" t="inlineStr">
        <is>
          <t>Föryngringsavverkning</t>
        </is>
      </c>
      <c r="D3685" s="1" t="n">
        <v>45023</v>
      </c>
      <c r="E3685" s="1" t="n">
        <v>46307</v>
      </c>
      <c r="F3685" t="inlineStr">
        <is>
          <t>VÄRMLANDS LÄN</t>
        </is>
      </c>
      <c r="G3685" t="inlineStr">
        <is>
          <t>TORSBY</t>
        </is>
      </c>
      <c r="I3685" t="n">
        <v>5.4</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16044-2023</t>
        </is>
      </c>
      <c r="B3686" t="inlineStr">
        <is>
          <t>avverkningsanmälan</t>
        </is>
      </c>
      <c r="C3686" t="inlineStr">
        <is>
          <t>Föryngringsavverkning</t>
        </is>
      </c>
      <c r="D3686" s="1" t="n">
        <v>45027</v>
      </c>
      <c r="E3686" s="1" t="n">
        <v>46307</v>
      </c>
      <c r="F3686" t="inlineStr">
        <is>
          <t>VÄRMLANDS LÄN</t>
        </is>
      </c>
      <c r="G3686" t="inlineStr">
        <is>
          <t>TORSBY</t>
        </is>
      </c>
      <c r="I3686" t="n">
        <v>4.3</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53138-2023</t>
        </is>
      </c>
      <c r="B3687" t="inlineStr">
        <is>
          <t>avverkningsanmälan</t>
        </is>
      </c>
      <c r="C3687" t="inlineStr">
        <is>
          <t>Föryngringsavverkning</t>
        </is>
      </c>
      <c r="D3687" s="1" t="n">
        <v>45229</v>
      </c>
      <c r="E3687" s="1" t="n">
        <v>46307</v>
      </c>
      <c r="F3687" t="inlineStr">
        <is>
          <t>VÄRMLANDS LÄN</t>
        </is>
      </c>
      <c r="G3687" t="inlineStr">
        <is>
          <t>GRUMS</t>
        </is>
      </c>
      <c r="I3687" t="n">
        <v>3.4</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21866-2025</t>
        </is>
      </c>
      <c r="B3688" t="inlineStr">
        <is>
          <t>avverkningsanmälan</t>
        </is>
      </c>
      <c r="C3688" t="inlineStr">
        <is>
          <t>Föryngringsavverkning</t>
        </is>
      </c>
      <c r="D3688" s="1" t="n">
        <v>45784</v>
      </c>
      <c r="E3688" s="1" t="n">
        <v>46307</v>
      </c>
      <c r="F3688" t="inlineStr">
        <is>
          <t>VÄRMLANDS LÄN</t>
        </is>
      </c>
      <c r="G3688" t="inlineStr">
        <is>
          <t>KARLSTAD</t>
        </is>
      </c>
      <c r="I3688" t="n">
        <v>0.6</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12247-2022</t>
        </is>
      </c>
      <c r="B3689" t="inlineStr">
        <is>
          <t>avverkningsanmälan</t>
        </is>
      </c>
      <c r="C3689" t="inlineStr">
        <is>
          <t>Föryngringsavverkning</t>
        </is>
      </c>
      <c r="D3689" s="1" t="n">
        <v>44637</v>
      </c>
      <c r="E3689" s="1" t="n">
        <v>46307</v>
      </c>
      <c r="F3689" t="inlineStr">
        <is>
          <t>VÄRMLANDS LÄN</t>
        </is>
      </c>
      <c r="G3689" t="inlineStr">
        <is>
          <t>FILIPSTAD</t>
        </is>
      </c>
      <c r="I3689" t="n">
        <v>1.9</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8370-2023</t>
        </is>
      </c>
      <c r="B3690" t="inlineStr">
        <is>
          <t>avverkningsanmälan</t>
        </is>
      </c>
      <c r="C3690" t="inlineStr">
        <is>
          <t>Föryngringsavverkning</t>
        </is>
      </c>
      <c r="D3690" s="1" t="n">
        <v>44977</v>
      </c>
      <c r="E3690" s="1" t="n">
        <v>46307</v>
      </c>
      <c r="F3690" t="inlineStr">
        <is>
          <t>VÄRMLANDS LÄN</t>
        </is>
      </c>
      <c r="G3690" t="inlineStr">
        <is>
          <t>GRUMS</t>
        </is>
      </c>
      <c r="I3690" t="n">
        <v>0.9</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44361-2025</t>
        </is>
      </c>
      <c r="B3691" t="inlineStr">
        <is>
          <t>avverkningsanmälan</t>
        </is>
      </c>
      <c r="C3691" t="inlineStr">
        <is>
          <t>Föryngringsavverkning</t>
        </is>
      </c>
      <c r="D3691" s="1" t="n">
        <v>45916</v>
      </c>
      <c r="E3691" s="1" t="n">
        <v>46307</v>
      </c>
      <c r="F3691" t="inlineStr">
        <is>
          <t>VÄRMLANDS LÄN</t>
        </is>
      </c>
      <c r="G3691" t="inlineStr">
        <is>
          <t>SUNNE</t>
        </is>
      </c>
      <c r="I3691" t="n">
        <v>1.1</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44433-2025</t>
        </is>
      </c>
      <c r="B3692" t="inlineStr">
        <is>
          <t>avverkningsanmälan</t>
        </is>
      </c>
      <c r="C3692" t="inlineStr">
        <is>
          <t>Föryngringsavverkning</t>
        </is>
      </c>
      <c r="D3692" s="1" t="n">
        <v>45916</v>
      </c>
      <c r="E3692" s="1" t="n">
        <v>46307</v>
      </c>
      <c r="F3692" t="inlineStr">
        <is>
          <t>VÄRMLANDS LÄN</t>
        </is>
      </c>
      <c r="G3692" t="inlineStr">
        <is>
          <t>SUNNE</t>
        </is>
      </c>
      <c r="H3692" t="inlineStr">
        <is>
          <t>Bergvik skog väst AB</t>
        </is>
      </c>
      <c r="I3692" t="n">
        <v>1</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15083-2024</t>
        </is>
      </c>
      <c r="B3693" t="inlineStr">
        <is>
          <t>avverkningsanmälan</t>
        </is>
      </c>
      <c r="C3693" t="inlineStr">
        <is>
          <t>Föryngringsavverkning</t>
        </is>
      </c>
      <c r="D3693" s="1" t="n">
        <v>45399</v>
      </c>
      <c r="E3693" s="1" t="n">
        <v>46307</v>
      </c>
      <c r="F3693" t="inlineStr">
        <is>
          <t>VÄRMLANDS LÄN</t>
        </is>
      </c>
      <c r="G3693" t="inlineStr">
        <is>
          <t>TORSBY</t>
        </is>
      </c>
      <c r="I3693" t="n">
        <v>2.8</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9749-2024</t>
        </is>
      </c>
      <c r="B3694" t="inlineStr">
        <is>
          <t>avverkningsanmälan</t>
        </is>
      </c>
      <c r="C3694" t="inlineStr">
        <is>
          <t>Föryngringsavverkning</t>
        </is>
      </c>
      <c r="D3694" s="1" t="n">
        <v>45362</v>
      </c>
      <c r="E3694" s="1" t="n">
        <v>46307</v>
      </c>
      <c r="F3694" t="inlineStr">
        <is>
          <t>VÄRMLANDS LÄN</t>
        </is>
      </c>
      <c r="G3694" t="inlineStr">
        <is>
          <t>ÅRJÄNG</t>
        </is>
      </c>
      <c r="H3694" t="inlineStr">
        <is>
          <t>Kyrkan</t>
        </is>
      </c>
      <c r="I3694" t="n">
        <v>0.5</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11020-2025</t>
        </is>
      </c>
      <c r="B3695" t="inlineStr">
        <is>
          <t>avverkningsanmälan</t>
        </is>
      </c>
      <c r="C3695" t="inlineStr">
        <is>
          <t>Föryngringsavverkning</t>
        </is>
      </c>
      <c r="D3695" s="1" t="n">
        <v>45723</v>
      </c>
      <c r="E3695" s="1" t="n">
        <v>46307</v>
      </c>
      <c r="F3695" t="inlineStr">
        <is>
          <t>VÄRMLANDS LÄN</t>
        </is>
      </c>
      <c r="G3695" t="inlineStr">
        <is>
          <t>SÄFFLE</t>
        </is>
      </c>
      <c r="I3695" t="n">
        <v>1.6</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22008-2025</t>
        </is>
      </c>
      <c r="B3696" t="inlineStr">
        <is>
          <t>avverkningsanmälan</t>
        </is>
      </c>
      <c r="C3696" t="inlineStr">
        <is>
          <t>Föryngringsavverkning</t>
        </is>
      </c>
      <c r="D3696" s="1" t="n">
        <v>45784</v>
      </c>
      <c r="E3696" s="1" t="n">
        <v>46307</v>
      </c>
      <c r="F3696" t="inlineStr">
        <is>
          <t>VÄRMLANDS LÄN</t>
        </is>
      </c>
      <c r="G3696" t="inlineStr">
        <is>
          <t>KIL</t>
        </is>
      </c>
      <c r="I3696" t="n">
        <v>1.4</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35336-2024</t>
        </is>
      </c>
      <c r="B3697" t="inlineStr">
        <is>
          <t>avverkningsanmälan</t>
        </is>
      </c>
      <c r="C3697" t="inlineStr">
        <is>
          <t>Föryngringsavverkning</t>
        </is>
      </c>
      <c r="D3697" s="1" t="n">
        <v>45530</v>
      </c>
      <c r="E3697" s="1" t="n">
        <v>46307</v>
      </c>
      <c r="F3697" t="inlineStr">
        <is>
          <t>VÄRMLANDS LÄN</t>
        </is>
      </c>
      <c r="G3697" t="inlineStr">
        <is>
          <t>FORSHAGA</t>
        </is>
      </c>
      <c r="H3697" t="inlineStr">
        <is>
          <t>Kommuner</t>
        </is>
      </c>
      <c r="I3697" t="n">
        <v>1.4</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61819-2024</t>
        </is>
      </c>
      <c r="B3698" t="inlineStr">
        <is>
          <t>avverkningsanmälan</t>
        </is>
      </c>
      <c r="C3698" t="inlineStr">
        <is>
          <t>Föryngringsavverkning</t>
        </is>
      </c>
      <c r="D3698" s="1" t="n">
        <v>45646</v>
      </c>
      <c r="E3698" s="1" t="n">
        <v>46307</v>
      </c>
      <c r="F3698" t="inlineStr">
        <is>
          <t>VÄRMLANDS LÄN</t>
        </is>
      </c>
      <c r="G3698" t="inlineStr">
        <is>
          <t>SÄFFLE</t>
        </is>
      </c>
      <c r="I3698" t="n">
        <v>0.9</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1467-2025</t>
        </is>
      </c>
      <c r="B3699" t="inlineStr">
        <is>
          <t>avverkningsanmälan</t>
        </is>
      </c>
      <c r="C3699" t="inlineStr">
        <is>
          <t>Föryngringsavverkning</t>
        </is>
      </c>
      <c r="D3699" s="1" t="n">
        <v>45667</v>
      </c>
      <c r="E3699" s="1" t="n">
        <v>46307</v>
      </c>
      <c r="F3699" t="inlineStr">
        <is>
          <t>VÄRMLANDS LÄN</t>
        </is>
      </c>
      <c r="G3699" t="inlineStr">
        <is>
          <t>ÅRJÄNG</t>
        </is>
      </c>
      <c r="H3699" t="inlineStr">
        <is>
          <t>Övriga Aktiebolag</t>
        </is>
      </c>
      <c r="I3699" t="n">
        <v>1.8</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50973-2023</t>
        </is>
      </c>
      <c r="B3700" t="inlineStr">
        <is>
          <t>avverkningsanmälan</t>
        </is>
      </c>
      <c r="C3700" t="inlineStr">
        <is>
          <t>Föryngringsavverkning</t>
        </is>
      </c>
      <c r="D3700" s="1" t="n">
        <v>45218</v>
      </c>
      <c r="E3700" s="1" t="n">
        <v>46307</v>
      </c>
      <c r="F3700" t="inlineStr">
        <is>
          <t>VÄRMLANDS LÄN</t>
        </is>
      </c>
      <c r="G3700" t="inlineStr">
        <is>
          <t>TORSBY</t>
        </is>
      </c>
      <c r="I3700" t="n">
        <v>10.7</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13618-2022</t>
        </is>
      </c>
      <c r="B3701" t="inlineStr">
        <is>
          <t>avverkningsanmälan</t>
        </is>
      </c>
      <c r="C3701" t="inlineStr">
        <is>
          <t>Föryngringsavverkning</t>
        </is>
      </c>
      <c r="D3701" s="1" t="n">
        <v>44648</v>
      </c>
      <c r="E3701" s="1" t="n">
        <v>46307</v>
      </c>
      <c r="F3701" t="inlineStr">
        <is>
          <t>VÄRMLANDS LÄN</t>
        </is>
      </c>
      <c r="G3701" t="inlineStr">
        <is>
          <t>SUNNE</t>
        </is>
      </c>
      <c r="I3701" t="n">
        <v>1.1</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8614-2023</t>
        </is>
      </c>
      <c r="B3702" t="inlineStr">
        <is>
          <t>avverkningsanmälan</t>
        </is>
      </c>
      <c r="C3702" t="inlineStr">
        <is>
          <t>Föryngringsavverkning</t>
        </is>
      </c>
      <c r="D3702" s="1" t="n">
        <v>44977</v>
      </c>
      <c r="E3702" s="1" t="n">
        <v>46307</v>
      </c>
      <c r="F3702" t="inlineStr">
        <is>
          <t>VÄRMLANDS LÄN</t>
        </is>
      </c>
      <c r="G3702" t="inlineStr">
        <is>
          <t>ÅRJÄNG</t>
        </is>
      </c>
      <c r="I3702" t="n">
        <v>3.8</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12217-2025</t>
        </is>
      </c>
      <c r="B3703" t="inlineStr">
        <is>
          <t>avverkningsanmälan</t>
        </is>
      </c>
      <c r="C3703" t="inlineStr">
        <is>
          <t>Föryngringsavverkning</t>
        </is>
      </c>
      <c r="D3703" s="1" t="n">
        <v>45729</v>
      </c>
      <c r="E3703" s="1" t="n">
        <v>46307</v>
      </c>
      <c r="F3703" t="inlineStr">
        <is>
          <t>VÄRMLANDS LÄN</t>
        </is>
      </c>
      <c r="G3703" t="inlineStr">
        <is>
          <t>GRUMS</t>
        </is>
      </c>
      <c r="I3703" t="n">
        <v>4.6</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16772-2024</t>
        </is>
      </c>
      <c r="B3704" t="inlineStr">
        <is>
          <t>avverkningsanmälan</t>
        </is>
      </c>
      <c r="C3704" t="inlineStr">
        <is>
          <t>Föryngringsavverkning</t>
        </is>
      </c>
      <c r="D3704" s="1" t="n">
        <v>45411</v>
      </c>
      <c r="E3704" s="1" t="n">
        <v>46307</v>
      </c>
      <c r="F3704" t="inlineStr">
        <is>
          <t>VÄRMLANDS LÄN</t>
        </is>
      </c>
      <c r="G3704" t="inlineStr">
        <is>
          <t>GRUMS</t>
        </is>
      </c>
      <c r="I3704" t="n">
        <v>0.7</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17015-2023</t>
        </is>
      </c>
      <c r="B3705" t="inlineStr">
        <is>
          <t>avverkningsanmälan</t>
        </is>
      </c>
      <c r="C3705" t="inlineStr">
        <is>
          <t>Föryngringsavverkning</t>
        </is>
      </c>
      <c r="D3705" s="1" t="n">
        <v>45030</v>
      </c>
      <c r="E3705" s="1" t="n">
        <v>46307</v>
      </c>
      <c r="F3705" t="inlineStr">
        <is>
          <t>VÄRMLANDS LÄN</t>
        </is>
      </c>
      <c r="G3705" t="inlineStr">
        <is>
          <t>ÅRJÄNG</t>
        </is>
      </c>
      <c r="H3705" t="inlineStr">
        <is>
          <t>Övriga Aktiebolag</t>
        </is>
      </c>
      <c r="I3705" t="n">
        <v>13.9</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43200-2024</t>
        </is>
      </c>
      <c r="B3706" t="inlineStr">
        <is>
          <t>avverkningsanmälan</t>
        </is>
      </c>
      <c r="C3706" t="inlineStr">
        <is>
          <t>Föryngringsavverkning</t>
        </is>
      </c>
      <c r="D3706" s="1" t="n">
        <v>45567</v>
      </c>
      <c r="E3706" s="1" t="n">
        <v>46307</v>
      </c>
      <c r="F3706" t="inlineStr">
        <is>
          <t>VÄRMLANDS LÄN</t>
        </is>
      </c>
      <c r="G3706" t="inlineStr">
        <is>
          <t>EDA</t>
        </is>
      </c>
      <c r="I3706" t="n">
        <v>2.3</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56101-2024</t>
        </is>
      </c>
      <c r="B3707" t="inlineStr">
        <is>
          <t>avverkningsanmälan</t>
        </is>
      </c>
      <c r="C3707" t="inlineStr">
        <is>
          <t>Föryngringsavverkning</t>
        </is>
      </c>
      <c r="D3707" s="1" t="n">
        <v>45624</v>
      </c>
      <c r="E3707" s="1" t="n">
        <v>46307</v>
      </c>
      <c r="F3707" t="inlineStr">
        <is>
          <t>VÄRMLANDS LÄN</t>
        </is>
      </c>
      <c r="G3707" t="inlineStr">
        <is>
          <t>TORSBY</t>
        </is>
      </c>
      <c r="I3707" t="n">
        <v>3.2</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21806-2025</t>
        </is>
      </c>
      <c r="B3708" t="inlineStr">
        <is>
          <t>avverkningsanmälan</t>
        </is>
      </c>
      <c r="C3708" t="inlineStr">
        <is>
          <t>Föryngringsavverkning</t>
        </is>
      </c>
      <c r="D3708" s="1" t="n">
        <v>45783</v>
      </c>
      <c r="E3708" s="1" t="n">
        <v>46307</v>
      </c>
      <c r="F3708" t="inlineStr">
        <is>
          <t>VÄRMLANDS LÄN</t>
        </is>
      </c>
      <c r="G3708" t="inlineStr">
        <is>
          <t>SUNNE</t>
        </is>
      </c>
      <c r="I3708" t="n">
        <v>3</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21980-2025</t>
        </is>
      </c>
      <c r="B3709" t="inlineStr">
        <is>
          <t>avverkningsanmälan</t>
        </is>
      </c>
      <c r="C3709" t="inlineStr">
        <is>
          <t>Föryngringsavverkning</t>
        </is>
      </c>
      <c r="D3709" s="1" t="n">
        <v>45784</v>
      </c>
      <c r="E3709" s="1" t="n">
        <v>46307</v>
      </c>
      <c r="F3709" t="inlineStr">
        <is>
          <t>VÄRMLANDS LÄN</t>
        </is>
      </c>
      <c r="G3709" t="inlineStr">
        <is>
          <t>SÄFFLE</t>
        </is>
      </c>
      <c r="I3709" t="n">
        <v>1.5</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48462-2023</t>
        </is>
      </c>
      <c r="B3710" t="inlineStr">
        <is>
          <t>avverkningsanmälan</t>
        </is>
      </c>
      <c r="C3710" t="inlineStr">
        <is>
          <t>Föryngringsavverkning</t>
        </is>
      </c>
      <c r="D3710" s="1" t="n">
        <v>45206</v>
      </c>
      <c r="E3710" s="1" t="n">
        <v>46307</v>
      </c>
      <c r="F3710" t="inlineStr">
        <is>
          <t>VÄRMLANDS LÄN</t>
        </is>
      </c>
      <c r="G3710" t="inlineStr">
        <is>
          <t>ARVIKA</t>
        </is>
      </c>
      <c r="I3710" t="n">
        <v>0.7</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48510-2023</t>
        </is>
      </c>
      <c r="B3711" t="inlineStr">
        <is>
          <t>avverkningsanmälan</t>
        </is>
      </c>
      <c r="C3711" t="inlineStr">
        <is>
          <t>Avverkning för annat ändamål</t>
        </is>
      </c>
      <c r="D3711" s="1" t="n">
        <v>45207</v>
      </c>
      <c r="E3711" s="1" t="n">
        <v>46307</v>
      </c>
      <c r="F3711" t="inlineStr">
        <is>
          <t>VÄRMLANDS LÄN</t>
        </is>
      </c>
      <c r="G3711" t="inlineStr">
        <is>
          <t>ARVIKA</t>
        </is>
      </c>
      <c r="I3711" t="n">
        <v>0.3</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53912-2024</t>
        </is>
      </c>
      <c r="B3712" t="inlineStr">
        <is>
          <t>avverkningsanmälan</t>
        </is>
      </c>
      <c r="C3712" t="inlineStr">
        <is>
          <t>Föryngringsavverkning</t>
        </is>
      </c>
      <c r="D3712" s="1" t="n">
        <v>45615</v>
      </c>
      <c r="E3712" s="1" t="n">
        <v>46307</v>
      </c>
      <c r="F3712" t="inlineStr">
        <is>
          <t>VÄRMLANDS LÄN</t>
        </is>
      </c>
      <c r="G3712" t="inlineStr">
        <is>
          <t>STORFORS</t>
        </is>
      </c>
      <c r="I3712" t="n">
        <v>1.3</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27139-2024</t>
        </is>
      </c>
      <c r="B3713" t="inlineStr">
        <is>
          <t>avverkningsanmälan</t>
        </is>
      </c>
      <c r="C3713" t="inlineStr">
        <is>
          <t>Föryngringsavverkning</t>
        </is>
      </c>
      <c r="D3713" s="1" t="n">
        <v>45471</v>
      </c>
      <c r="E3713" s="1" t="n">
        <v>46307</v>
      </c>
      <c r="F3713" t="inlineStr">
        <is>
          <t>VÄRMLANDS LÄN</t>
        </is>
      </c>
      <c r="G3713" t="inlineStr">
        <is>
          <t>FILIPSTAD</t>
        </is>
      </c>
      <c r="H3713" t="inlineStr">
        <is>
          <t>Bergvik skog väst AB</t>
        </is>
      </c>
      <c r="I3713" t="n">
        <v>2.5</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31793-2023</t>
        </is>
      </c>
      <c r="B3714" t="inlineStr">
        <is>
          <t>avverkningsanmälan</t>
        </is>
      </c>
      <c r="C3714" t="inlineStr">
        <is>
          <t>Föryngringsavverkning</t>
        </is>
      </c>
      <c r="D3714" s="1" t="n">
        <v>45118</v>
      </c>
      <c r="E3714" s="1" t="n">
        <v>46307</v>
      </c>
      <c r="F3714" t="inlineStr">
        <is>
          <t>VÄRMLANDS LÄN</t>
        </is>
      </c>
      <c r="G3714" t="inlineStr">
        <is>
          <t>ÅRJÄNG</t>
        </is>
      </c>
      <c r="I3714" t="n">
        <v>10.9</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50347-2024</t>
        </is>
      </c>
      <c r="B3715" t="inlineStr">
        <is>
          <t>avverkningsanmälan</t>
        </is>
      </c>
      <c r="C3715" t="inlineStr">
        <is>
          <t>Avverkning för att bevara och utveckla /försöksver</t>
        </is>
      </c>
      <c r="D3715" s="1" t="n">
        <v>45600</v>
      </c>
      <c r="E3715" s="1" t="n">
        <v>46307</v>
      </c>
      <c r="F3715" t="inlineStr">
        <is>
          <t>VÄRMLANDS LÄN</t>
        </is>
      </c>
      <c r="G3715" t="inlineStr">
        <is>
          <t>ÅRJÄNG</t>
        </is>
      </c>
      <c r="I3715" t="n">
        <v>3</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34375-2023</t>
        </is>
      </c>
      <c r="B3716" t="inlineStr">
        <is>
          <t>avverkningsanmälan</t>
        </is>
      </c>
      <c r="C3716" t="inlineStr">
        <is>
          <t>Föryngringsavverkning</t>
        </is>
      </c>
      <c r="D3716" s="1" t="n">
        <v>45131</v>
      </c>
      <c r="E3716" s="1" t="n">
        <v>46307</v>
      </c>
      <c r="F3716" t="inlineStr">
        <is>
          <t>VÄRMLANDS LÄN</t>
        </is>
      </c>
      <c r="G3716" t="inlineStr">
        <is>
          <t>SUNNE</t>
        </is>
      </c>
      <c r="I3716" t="n">
        <v>2.2</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41603-2023</t>
        </is>
      </c>
      <c r="B3717" t="inlineStr">
        <is>
          <t>avverkningsanmälan</t>
        </is>
      </c>
      <c r="C3717" t="inlineStr">
        <is>
          <t>Föryngringsavverkning</t>
        </is>
      </c>
      <c r="D3717" s="1" t="n">
        <v>45175</v>
      </c>
      <c r="E3717" s="1" t="n">
        <v>46307</v>
      </c>
      <c r="F3717" t="inlineStr">
        <is>
          <t>VÄRMLANDS LÄN</t>
        </is>
      </c>
      <c r="G3717" t="inlineStr">
        <is>
          <t>HAGFORS</t>
        </is>
      </c>
      <c r="I3717" t="n">
        <v>1.5</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41607-2023</t>
        </is>
      </c>
      <c r="B3718" t="inlineStr">
        <is>
          <t>avverkningsanmälan</t>
        </is>
      </c>
      <c r="C3718" t="inlineStr">
        <is>
          <t>Föryngringsavverkning</t>
        </is>
      </c>
      <c r="D3718" s="1" t="n">
        <v>45175</v>
      </c>
      <c r="E3718" s="1" t="n">
        <v>46307</v>
      </c>
      <c r="F3718" t="inlineStr">
        <is>
          <t>VÄRMLANDS LÄN</t>
        </is>
      </c>
      <c r="G3718" t="inlineStr">
        <is>
          <t>ARVIKA</t>
        </is>
      </c>
      <c r="I3718" t="n">
        <v>5.3</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65915-2021</t>
        </is>
      </c>
      <c r="B3719" t="inlineStr">
        <is>
          <t>avverkningsanmälan</t>
        </is>
      </c>
      <c r="C3719" t="inlineStr">
        <is>
          <t>Föryngringsavverkning</t>
        </is>
      </c>
      <c r="D3719" s="1" t="n">
        <v>44517</v>
      </c>
      <c r="E3719" s="1" t="n">
        <v>46307</v>
      </c>
      <c r="F3719" t="inlineStr">
        <is>
          <t>VÄRMLANDS LÄN</t>
        </is>
      </c>
      <c r="G3719" t="inlineStr">
        <is>
          <t>FORSHAGA</t>
        </is>
      </c>
      <c r="I3719" t="n">
        <v>17.2</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47355-2023</t>
        </is>
      </c>
      <c r="B3720" t="inlineStr">
        <is>
          <t>avverkningsanmälan</t>
        </is>
      </c>
      <c r="C3720" t="inlineStr">
        <is>
          <t>Föryngringsavverkning</t>
        </is>
      </c>
      <c r="D3720" s="1" t="n">
        <v>45202</v>
      </c>
      <c r="E3720" s="1" t="n">
        <v>46307</v>
      </c>
      <c r="F3720" t="inlineStr">
        <is>
          <t>VÄRMLANDS LÄN</t>
        </is>
      </c>
      <c r="G3720" t="inlineStr">
        <is>
          <t>TORSBY</t>
        </is>
      </c>
      <c r="I3720" t="n">
        <v>3.5</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32569-2023</t>
        </is>
      </c>
      <c r="B3721" t="inlineStr">
        <is>
          <t>avverkningsanmälan</t>
        </is>
      </c>
      <c r="C3721" t="inlineStr">
        <is>
          <t>Föryngringsavverkning</t>
        </is>
      </c>
      <c r="D3721" s="1" t="n">
        <v>45121</v>
      </c>
      <c r="E3721" s="1" t="n">
        <v>46307</v>
      </c>
      <c r="F3721" t="inlineStr">
        <is>
          <t>VÄRMLANDS LÄN</t>
        </is>
      </c>
      <c r="G3721" t="inlineStr">
        <is>
          <t>KRISTINEHAMN</t>
        </is>
      </c>
      <c r="I3721" t="n">
        <v>0.6</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36578-2023</t>
        </is>
      </c>
      <c r="B3722" t="inlineStr">
        <is>
          <t>avverkningsanmälan</t>
        </is>
      </c>
      <c r="C3722" t="inlineStr">
        <is>
          <t>Föryngringsavverkning</t>
        </is>
      </c>
      <c r="D3722" s="1" t="n">
        <v>45153</v>
      </c>
      <c r="E3722" s="1" t="n">
        <v>46307</v>
      </c>
      <c r="F3722" t="inlineStr">
        <is>
          <t>VÄRMLANDS LÄN</t>
        </is>
      </c>
      <c r="G3722" t="inlineStr">
        <is>
          <t>SUNNE</t>
        </is>
      </c>
      <c r="I3722" t="n">
        <v>6.7</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17244-2024</t>
        </is>
      </c>
      <c r="B3723" t="inlineStr">
        <is>
          <t>avverkningsanmälan</t>
        </is>
      </c>
      <c r="C3723" t="inlineStr">
        <is>
          <t>Föryngringsavverkning</t>
        </is>
      </c>
      <c r="D3723" s="1" t="n">
        <v>45414</v>
      </c>
      <c r="E3723" s="1" t="n">
        <v>46307</v>
      </c>
      <c r="F3723" t="inlineStr">
        <is>
          <t>VÄRMLANDS LÄN</t>
        </is>
      </c>
      <c r="G3723" t="inlineStr">
        <is>
          <t>FILIPSTAD</t>
        </is>
      </c>
      <c r="I3723" t="n">
        <v>5.2</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21602-2025</t>
        </is>
      </c>
      <c r="B3724" t="inlineStr">
        <is>
          <t>avverkningsanmälan</t>
        </is>
      </c>
      <c r="C3724" t="inlineStr">
        <is>
          <t>Avverkning för att bevara och utveckla /försöksver</t>
        </is>
      </c>
      <c r="D3724" s="1" t="n">
        <v>45783</v>
      </c>
      <c r="E3724" s="1" t="n">
        <v>46307</v>
      </c>
      <c r="F3724" t="inlineStr">
        <is>
          <t>VÄRMLANDS LÄN</t>
        </is>
      </c>
      <c r="G3724" t="inlineStr">
        <is>
          <t>KRISTINEHAMN</t>
        </is>
      </c>
      <c r="H3724" t="inlineStr">
        <is>
          <t>Sveaskog</t>
        </is>
      </c>
      <c r="I3724" t="n">
        <v>1</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21580-2025</t>
        </is>
      </c>
      <c r="B3725" t="inlineStr">
        <is>
          <t>avverkningsanmälan</t>
        </is>
      </c>
      <c r="C3725" t="inlineStr">
        <is>
          <t>Föryngringsavverkning</t>
        </is>
      </c>
      <c r="D3725" s="1" t="n">
        <v>45782</v>
      </c>
      <c r="E3725" s="1" t="n">
        <v>46307</v>
      </c>
      <c r="F3725" t="inlineStr">
        <is>
          <t>VÄRMLANDS LÄN</t>
        </is>
      </c>
      <c r="G3725" t="inlineStr">
        <is>
          <t>ARVIKA</t>
        </is>
      </c>
      <c r="I3725" t="n">
        <v>1.1</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50530-2023</t>
        </is>
      </c>
      <c r="B3726" t="inlineStr">
        <is>
          <t>avverkningsanmälan</t>
        </is>
      </c>
      <c r="C3726" t="inlineStr">
        <is>
          <t>Föryngringsavverkning</t>
        </is>
      </c>
      <c r="D3726" s="1" t="n">
        <v>45217</v>
      </c>
      <c r="E3726" s="1" t="n">
        <v>46307</v>
      </c>
      <c r="F3726" t="inlineStr">
        <is>
          <t>VÄRMLANDS LÄN</t>
        </is>
      </c>
      <c r="G3726" t="inlineStr">
        <is>
          <t>ARVIKA</t>
        </is>
      </c>
      <c r="I3726" t="n">
        <v>1.6</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16731-2024</t>
        </is>
      </c>
      <c r="B3727" t="inlineStr">
        <is>
          <t>avverkningsanmälan</t>
        </is>
      </c>
      <c r="C3727" t="inlineStr">
        <is>
          <t>Föryngringsavverkning</t>
        </is>
      </c>
      <c r="D3727" s="1" t="n">
        <v>45410</v>
      </c>
      <c r="E3727" s="1" t="n">
        <v>46307</v>
      </c>
      <c r="F3727" t="inlineStr">
        <is>
          <t>VÄRMLANDS LÄN</t>
        </is>
      </c>
      <c r="G3727" t="inlineStr">
        <is>
          <t>ARVIKA</t>
        </is>
      </c>
      <c r="I3727" t="n">
        <v>1.5</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16739-2024</t>
        </is>
      </c>
      <c r="B3728" t="inlineStr">
        <is>
          <t>avverkningsanmälan</t>
        </is>
      </c>
      <c r="C3728" t="inlineStr">
        <is>
          <t>Föryngringsavverkning</t>
        </is>
      </c>
      <c r="D3728" s="1" t="n">
        <v>45410</v>
      </c>
      <c r="E3728" s="1" t="n">
        <v>46307</v>
      </c>
      <c r="F3728" t="inlineStr">
        <is>
          <t>VÄRMLANDS LÄN</t>
        </is>
      </c>
      <c r="G3728" t="inlineStr">
        <is>
          <t>ARVIKA</t>
        </is>
      </c>
      <c r="I3728" t="n">
        <v>1</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16757-2024</t>
        </is>
      </c>
      <c r="B3729" t="inlineStr">
        <is>
          <t>avverkningsanmälan</t>
        </is>
      </c>
      <c r="C3729" t="inlineStr">
        <is>
          <t>Avverkning för annat ändamål</t>
        </is>
      </c>
      <c r="D3729" s="1" t="n">
        <v>45411</v>
      </c>
      <c r="E3729" s="1" t="n">
        <v>46307</v>
      </c>
      <c r="F3729" t="inlineStr">
        <is>
          <t>VÄRMLANDS LÄN</t>
        </is>
      </c>
      <c r="G3729" t="inlineStr">
        <is>
          <t>KARLSTAD</t>
        </is>
      </c>
      <c r="I3729" t="n">
        <v>1.4</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21723-2025</t>
        </is>
      </c>
      <c r="B3730" t="inlineStr">
        <is>
          <t>avverkningsanmälan</t>
        </is>
      </c>
      <c r="C3730" t="inlineStr">
        <is>
          <t>Föryngringsavverkning</t>
        </is>
      </c>
      <c r="D3730" s="1" t="n">
        <v>45783</v>
      </c>
      <c r="E3730" s="1" t="n">
        <v>46307</v>
      </c>
      <c r="F3730" t="inlineStr">
        <is>
          <t>VÄRMLANDS LÄN</t>
        </is>
      </c>
      <c r="G3730" t="inlineStr">
        <is>
          <t>HAGFORS</t>
        </is>
      </c>
      <c r="I3730" t="n">
        <v>0.9</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20966-2024</t>
        </is>
      </c>
      <c r="B3731" t="inlineStr">
        <is>
          <t>avverkningsanmälan</t>
        </is>
      </c>
      <c r="C3731" t="inlineStr">
        <is>
          <t>Föryngringsavverkning</t>
        </is>
      </c>
      <c r="D3731" s="1" t="n">
        <v>45439</v>
      </c>
      <c r="E3731" s="1" t="n">
        <v>46307</v>
      </c>
      <c r="F3731" t="inlineStr">
        <is>
          <t>VÄRMLANDS LÄN</t>
        </is>
      </c>
      <c r="G3731" t="inlineStr">
        <is>
          <t>FILIPSTAD</t>
        </is>
      </c>
      <c r="H3731" t="inlineStr">
        <is>
          <t>Bergvik skog väst AB</t>
        </is>
      </c>
      <c r="I3731" t="n">
        <v>0.9</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21840-2025</t>
        </is>
      </c>
      <c r="B3732" t="inlineStr">
        <is>
          <t>avverkningsanmälan</t>
        </is>
      </c>
      <c r="C3732" t="inlineStr">
        <is>
          <t>Föryngringsavverkning</t>
        </is>
      </c>
      <c r="D3732" s="1" t="n">
        <v>45784</v>
      </c>
      <c r="E3732" s="1" t="n">
        <v>46307</v>
      </c>
      <c r="F3732" t="inlineStr">
        <is>
          <t>VÄRMLANDS LÄN</t>
        </is>
      </c>
      <c r="G3732" t="inlineStr">
        <is>
          <t>KARLSTAD</t>
        </is>
      </c>
      <c r="I3732" t="n">
        <v>0.9</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21844-2025</t>
        </is>
      </c>
      <c r="B3733" t="inlineStr">
        <is>
          <t>avverkningsanmälan</t>
        </is>
      </c>
      <c r="C3733" t="inlineStr">
        <is>
          <t>Föryngringsavverkning</t>
        </is>
      </c>
      <c r="D3733" s="1" t="n">
        <v>45784</v>
      </c>
      <c r="E3733" s="1" t="n">
        <v>46307</v>
      </c>
      <c r="F3733" t="inlineStr">
        <is>
          <t>VÄRMLANDS LÄN</t>
        </is>
      </c>
      <c r="G3733" t="inlineStr">
        <is>
          <t>KARLSTAD</t>
        </is>
      </c>
      <c r="I3733" t="n">
        <v>8.4</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17519-2024</t>
        </is>
      </c>
      <c r="B3734" t="inlineStr">
        <is>
          <t>avverkningsanmälan</t>
        </is>
      </c>
      <c r="C3734" t="inlineStr">
        <is>
          <t>Föryngringsavverkning</t>
        </is>
      </c>
      <c r="D3734" s="1" t="n">
        <v>45415</v>
      </c>
      <c r="E3734" s="1" t="n">
        <v>46307</v>
      </c>
      <c r="F3734" t="inlineStr">
        <is>
          <t>VÄRMLANDS LÄN</t>
        </is>
      </c>
      <c r="G3734" t="inlineStr">
        <is>
          <t>FORSHAGA</t>
        </is>
      </c>
      <c r="H3734" t="inlineStr">
        <is>
          <t>Bergvik skog väst AB</t>
        </is>
      </c>
      <c r="I3734" t="n">
        <v>4.5</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60567-2024</t>
        </is>
      </c>
      <c r="B3735" t="inlineStr">
        <is>
          <t>avverkningsanmälan</t>
        </is>
      </c>
      <c r="C3735" t="inlineStr">
        <is>
          <t>Föryngringsavverkning</t>
        </is>
      </c>
      <c r="D3735" s="1" t="n">
        <v>45644</v>
      </c>
      <c r="E3735" s="1" t="n">
        <v>46307</v>
      </c>
      <c r="F3735" t="inlineStr">
        <is>
          <t>VÄRMLANDS LÄN</t>
        </is>
      </c>
      <c r="G3735" t="inlineStr">
        <is>
          <t>KRISTINEHAMN</t>
        </is>
      </c>
      <c r="I3735" t="n">
        <v>2.3</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44472-2025</t>
        </is>
      </c>
      <c r="B3736" t="inlineStr">
        <is>
          <t>avverkningsanmälan</t>
        </is>
      </c>
      <c r="C3736" t="inlineStr">
        <is>
          <t>Föryngringsavverkning</t>
        </is>
      </c>
      <c r="D3736" s="1" t="n">
        <v>45916</v>
      </c>
      <c r="E3736" s="1" t="n">
        <v>46307</v>
      </c>
      <c r="F3736" t="inlineStr">
        <is>
          <t>VÄRMLANDS LÄN</t>
        </is>
      </c>
      <c r="G3736" t="inlineStr">
        <is>
          <t>ARVIKA</t>
        </is>
      </c>
      <c r="I3736" t="n">
        <v>2.5</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21810-2025</t>
        </is>
      </c>
      <c r="B3737" t="inlineStr">
        <is>
          <t>avverkningsanmälan</t>
        </is>
      </c>
      <c r="C3737" t="inlineStr">
        <is>
          <t>Föryngringsavverkning</t>
        </is>
      </c>
      <c r="D3737" s="1" t="n">
        <v>45783</v>
      </c>
      <c r="E3737" s="1" t="n">
        <v>46307</v>
      </c>
      <c r="F3737" t="inlineStr">
        <is>
          <t>VÄRMLANDS LÄN</t>
        </is>
      </c>
      <c r="G3737" t="inlineStr">
        <is>
          <t>SUNNE</t>
        </is>
      </c>
      <c r="I3737" t="n">
        <v>2.3</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21907-2025</t>
        </is>
      </c>
      <c r="B3738" t="inlineStr">
        <is>
          <t>avverkningsanmälan</t>
        </is>
      </c>
      <c r="C3738" t="inlineStr">
        <is>
          <t>Föryngringsavverkning</t>
        </is>
      </c>
      <c r="D3738" s="1" t="n">
        <v>45784</v>
      </c>
      <c r="E3738" s="1" t="n">
        <v>46307</v>
      </c>
      <c r="F3738" t="inlineStr">
        <is>
          <t>VÄRMLANDS LÄN</t>
        </is>
      </c>
      <c r="G3738" t="inlineStr">
        <is>
          <t>ARVIKA</t>
        </is>
      </c>
      <c r="I3738" t="n">
        <v>1.2</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10697-2024</t>
        </is>
      </c>
      <c r="B3739" t="inlineStr">
        <is>
          <t>avverkningsanmälan</t>
        </is>
      </c>
      <c r="C3739" t="inlineStr">
        <is>
          <t>Föryngringsavverkning</t>
        </is>
      </c>
      <c r="D3739" s="1" t="n">
        <v>45369</v>
      </c>
      <c r="E3739" s="1" t="n">
        <v>46307</v>
      </c>
      <c r="F3739" t="inlineStr">
        <is>
          <t>VÄRMLANDS LÄN</t>
        </is>
      </c>
      <c r="G3739" t="inlineStr">
        <is>
          <t>SÄFFLE</t>
        </is>
      </c>
      <c r="I3739" t="n">
        <v>4.3</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60633-2024</t>
        </is>
      </c>
      <c r="B3740" t="inlineStr">
        <is>
          <t>avverkningsanmälan</t>
        </is>
      </c>
      <c r="C3740" t="inlineStr">
        <is>
          <t>Föryngringsavverkning</t>
        </is>
      </c>
      <c r="D3740" s="1" t="n">
        <v>45644</v>
      </c>
      <c r="E3740" s="1" t="n">
        <v>46307</v>
      </c>
      <c r="F3740" t="inlineStr">
        <is>
          <t>VÄRMLANDS LÄN</t>
        </is>
      </c>
      <c r="G3740" t="inlineStr">
        <is>
          <t>SUNNE</t>
        </is>
      </c>
      <c r="I3740" t="n">
        <v>0.6</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50841-2024</t>
        </is>
      </c>
      <c r="B3741" t="inlineStr">
        <is>
          <t>avverkningsanmälan</t>
        </is>
      </c>
      <c r="C3741" t="inlineStr">
        <is>
          <t>Föryngringsavverkning</t>
        </is>
      </c>
      <c r="D3741" s="1" t="n">
        <v>45602</v>
      </c>
      <c r="E3741" s="1" t="n">
        <v>46307</v>
      </c>
      <c r="F3741" t="inlineStr">
        <is>
          <t>VÄRMLANDS LÄN</t>
        </is>
      </c>
      <c r="G3741" t="inlineStr">
        <is>
          <t>SUNNE</t>
        </is>
      </c>
      <c r="I3741" t="n">
        <v>1</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35370-2023</t>
        </is>
      </c>
      <c r="B3742" t="inlineStr">
        <is>
          <t>avverkningsanmälan</t>
        </is>
      </c>
      <c r="C3742" t="inlineStr">
        <is>
          <t>Föryngringsavverkning</t>
        </is>
      </c>
      <c r="D3742" s="1" t="n">
        <v>45146</v>
      </c>
      <c r="E3742" s="1" t="n">
        <v>46307</v>
      </c>
      <c r="F3742" t="inlineStr">
        <is>
          <t>VÄRMLANDS LÄN</t>
        </is>
      </c>
      <c r="G3742" t="inlineStr">
        <is>
          <t>STORFORS</t>
        </is>
      </c>
      <c r="H3742" t="inlineStr">
        <is>
          <t>Kyrkan</t>
        </is>
      </c>
      <c r="I3742" t="n">
        <v>5.4</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15773-2023</t>
        </is>
      </c>
      <c r="B3743" t="inlineStr">
        <is>
          <t>avverkningsanmälan</t>
        </is>
      </c>
      <c r="C3743" t="inlineStr">
        <is>
          <t>Föryngringsavverkning</t>
        </is>
      </c>
      <c r="D3743" s="1" t="n">
        <v>45021</v>
      </c>
      <c r="E3743" s="1" t="n">
        <v>46307</v>
      </c>
      <c r="F3743" t="inlineStr">
        <is>
          <t>VÄRMLANDS LÄN</t>
        </is>
      </c>
      <c r="G3743" t="inlineStr">
        <is>
          <t>TORSBY</t>
        </is>
      </c>
      <c r="I3743" t="n">
        <v>2.5</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52226-2024</t>
        </is>
      </c>
      <c r="B3744" t="inlineStr">
        <is>
          <t>avverkningsanmälan</t>
        </is>
      </c>
      <c r="C3744" t="inlineStr">
        <is>
          <t>Föryngringsavverkning</t>
        </is>
      </c>
      <c r="D3744" s="1" t="n">
        <v>45607</v>
      </c>
      <c r="E3744" s="1" t="n">
        <v>46307</v>
      </c>
      <c r="F3744" t="inlineStr">
        <is>
          <t>VÄRMLANDS LÄN</t>
        </is>
      </c>
      <c r="G3744" t="inlineStr">
        <is>
          <t>SUNNE</t>
        </is>
      </c>
      <c r="I3744" t="n">
        <v>1.8</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21614-2025</t>
        </is>
      </c>
      <c r="B3745" t="inlineStr">
        <is>
          <t>avverkningsanmälan</t>
        </is>
      </c>
      <c r="C3745" t="inlineStr">
        <is>
          <t>Föryngringsavverkning</t>
        </is>
      </c>
      <c r="D3745" s="1" t="n">
        <v>45783</v>
      </c>
      <c r="E3745" s="1" t="n">
        <v>46307</v>
      </c>
      <c r="F3745" t="inlineStr">
        <is>
          <t>VÄRMLANDS LÄN</t>
        </is>
      </c>
      <c r="G3745" t="inlineStr">
        <is>
          <t>MUNKFORS</t>
        </is>
      </c>
      <c r="I3745" t="n">
        <v>3</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40458-2023</t>
        </is>
      </c>
      <c r="B3746" t="inlineStr">
        <is>
          <t>avverkningsanmälan</t>
        </is>
      </c>
      <c r="C3746" t="inlineStr">
        <is>
          <t>Föryngringsavverkning</t>
        </is>
      </c>
      <c r="D3746" s="1" t="n">
        <v>45170</v>
      </c>
      <c r="E3746" s="1" t="n">
        <v>46307</v>
      </c>
      <c r="F3746" t="inlineStr">
        <is>
          <t>VÄRMLANDS LÄN</t>
        </is>
      </c>
      <c r="G3746" t="inlineStr">
        <is>
          <t>ÅRJÄNG</t>
        </is>
      </c>
      <c r="I3746" t="n">
        <v>17</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10578-2023</t>
        </is>
      </c>
      <c r="B3747" t="inlineStr">
        <is>
          <t>avverkningsanmälan</t>
        </is>
      </c>
      <c r="C3747" t="inlineStr">
        <is>
          <t>Föryngringsavverkning</t>
        </is>
      </c>
      <c r="D3747" s="1" t="n">
        <v>44988</v>
      </c>
      <c r="E3747" s="1" t="n">
        <v>46307</v>
      </c>
      <c r="F3747" t="inlineStr">
        <is>
          <t>VÄRMLANDS LÄN</t>
        </is>
      </c>
      <c r="G3747" t="inlineStr">
        <is>
          <t>ARVIKA</t>
        </is>
      </c>
      <c r="I3747" t="n">
        <v>2.7</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4506-2022</t>
        </is>
      </c>
      <c r="B3748" t="inlineStr">
        <is>
          <t>avverkningsanmälan</t>
        </is>
      </c>
      <c r="C3748" t="inlineStr">
        <is>
          <t>Föryngringsavverkning</t>
        </is>
      </c>
      <c r="D3748" s="1" t="n">
        <v>44589</v>
      </c>
      <c r="E3748" s="1" t="n">
        <v>46307</v>
      </c>
      <c r="F3748" t="inlineStr">
        <is>
          <t>VÄRMLANDS LÄN</t>
        </is>
      </c>
      <c r="G3748" t="inlineStr">
        <is>
          <t>ARVIKA</t>
        </is>
      </c>
      <c r="I3748" t="n">
        <v>2</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32147-2023</t>
        </is>
      </c>
      <c r="B3749" t="inlineStr">
        <is>
          <t>avverkningsanmälan</t>
        </is>
      </c>
      <c r="C3749" t="inlineStr">
        <is>
          <t>Föryngringsavverkning</t>
        </is>
      </c>
      <c r="D3749" s="1" t="n">
        <v>45107</v>
      </c>
      <c r="E3749" s="1" t="n">
        <v>46307</v>
      </c>
      <c r="F3749" t="inlineStr">
        <is>
          <t>VÄRMLANDS LÄN</t>
        </is>
      </c>
      <c r="G3749" t="inlineStr">
        <is>
          <t>HAGFORS</t>
        </is>
      </c>
      <c r="I3749" t="n">
        <v>1.7</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44055-2025</t>
        </is>
      </c>
      <c r="B3750" t="inlineStr">
        <is>
          <t>avverkningsanmälan</t>
        </is>
      </c>
      <c r="C3750" t="inlineStr">
        <is>
          <t>Föryngringsavverkning</t>
        </is>
      </c>
      <c r="D3750" s="1" t="n">
        <v>45915</v>
      </c>
      <c r="E3750" s="1" t="n">
        <v>46307</v>
      </c>
      <c r="F3750" t="inlineStr">
        <is>
          <t>VÄRMLANDS LÄN</t>
        </is>
      </c>
      <c r="G3750" t="inlineStr">
        <is>
          <t>TORSBY</t>
        </is>
      </c>
      <c r="H3750" t="inlineStr">
        <is>
          <t>Kyrkan</t>
        </is>
      </c>
      <c r="I3750" t="n">
        <v>5.4</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44156-2025</t>
        </is>
      </c>
      <c r="B3751" t="inlineStr">
        <is>
          <t>avverkningsanmälan</t>
        </is>
      </c>
      <c r="C3751" t="inlineStr">
        <is>
          <t>Föryngringsavverkning</t>
        </is>
      </c>
      <c r="D3751" s="1" t="n">
        <v>45915</v>
      </c>
      <c r="E3751" s="1" t="n">
        <v>46307</v>
      </c>
      <c r="F3751" t="inlineStr">
        <is>
          <t>VÄRMLANDS LÄN</t>
        </is>
      </c>
      <c r="G3751" t="inlineStr">
        <is>
          <t>TORSBY</t>
        </is>
      </c>
      <c r="H3751" t="inlineStr">
        <is>
          <t>Kyrkan</t>
        </is>
      </c>
      <c r="I3751" t="n">
        <v>3.2</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54618-2024</t>
        </is>
      </c>
      <c r="B3752" t="inlineStr">
        <is>
          <t>avverkningsanmälan</t>
        </is>
      </c>
      <c r="C3752" t="inlineStr">
        <is>
          <t>Föryngringsavverkning</t>
        </is>
      </c>
      <c r="D3752" s="1" t="n">
        <v>45617</v>
      </c>
      <c r="E3752" s="1" t="n">
        <v>46307</v>
      </c>
      <c r="F3752" t="inlineStr">
        <is>
          <t>VÄRMLANDS LÄN</t>
        </is>
      </c>
      <c r="G3752" t="inlineStr">
        <is>
          <t>TORSBY</t>
        </is>
      </c>
      <c r="H3752" t="inlineStr">
        <is>
          <t>Kommuner</t>
        </is>
      </c>
      <c r="I3752" t="n">
        <v>1.2</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21693-2025</t>
        </is>
      </c>
      <c r="B3753" t="inlineStr">
        <is>
          <t>avverkningsanmälan</t>
        </is>
      </c>
      <c r="C3753" t="inlineStr">
        <is>
          <t>Föryngringsavverkning</t>
        </is>
      </c>
      <c r="D3753" s="1" t="n">
        <v>45783</v>
      </c>
      <c r="E3753" s="1" t="n">
        <v>46307</v>
      </c>
      <c r="F3753" t="inlineStr">
        <is>
          <t>VÄRMLANDS LÄN</t>
        </is>
      </c>
      <c r="G3753" t="inlineStr">
        <is>
          <t>ARVIKA</t>
        </is>
      </c>
      <c r="I3753" t="n">
        <v>2.3</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21745-2025</t>
        </is>
      </c>
      <c r="B3754" t="inlineStr">
        <is>
          <t>avverkningsanmälan</t>
        </is>
      </c>
      <c r="C3754" t="inlineStr">
        <is>
          <t>Föryngringsavverkning</t>
        </is>
      </c>
      <c r="D3754" s="1" t="n">
        <v>45783</v>
      </c>
      <c r="E3754" s="1" t="n">
        <v>46307</v>
      </c>
      <c r="F3754" t="inlineStr">
        <is>
          <t>VÄRMLANDS LÄN</t>
        </is>
      </c>
      <c r="G3754" t="inlineStr">
        <is>
          <t>SÄFFLE</t>
        </is>
      </c>
      <c r="I3754" t="n">
        <v>3.4</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19922-2024</t>
        </is>
      </c>
      <c r="B3755" t="inlineStr">
        <is>
          <t>avverkningsanmälan</t>
        </is>
      </c>
      <c r="C3755" t="inlineStr">
        <is>
          <t>Föryngringsavverkning</t>
        </is>
      </c>
      <c r="D3755" s="1" t="n">
        <v>45433</v>
      </c>
      <c r="E3755" s="1" t="n">
        <v>46307</v>
      </c>
      <c r="F3755" t="inlineStr">
        <is>
          <t>VÄRMLANDS LÄN</t>
        </is>
      </c>
      <c r="G3755" t="inlineStr">
        <is>
          <t>ARVIKA</t>
        </is>
      </c>
      <c r="I3755" t="n">
        <v>1.1</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59144-2021</t>
        </is>
      </c>
      <c r="B3756" t="inlineStr">
        <is>
          <t>avverkningsanmälan</t>
        </is>
      </c>
      <c r="C3756" t="inlineStr">
        <is>
          <t>Föryngringsavverkning</t>
        </is>
      </c>
      <c r="D3756" s="1" t="n">
        <v>44490</v>
      </c>
      <c r="E3756" s="1" t="n">
        <v>46307</v>
      </c>
      <c r="F3756" t="inlineStr">
        <is>
          <t>VÄRMLANDS LÄN</t>
        </is>
      </c>
      <c r="G3756" t="inlineStr">
        <is>
          <t>KRISTINEHAMN</t>
        </is>
      </c>
      <c r="I3756" t="n">
        <v>3.3</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21929-2023</t>
        </is>
      </c>
      <c r="B3757" t="inlineStr">
        <is>
          <t>avverkningsanmälan</t>
        </is>
      </c>
      <c r="C3757" t="inlineStr">
        <is>
          <t>Föryngringsavverkning</t>
        </is>
      </c>
      <c r="D3757" s="1" t="n">
        <v>45068</v>
      </c>
      <c r="E3757" s="1" t="n">
        <v>46307</v>
      </c>
      <c r="F3757" t="inlineStr">
        <is>
          <t>VÄRMLANDS LÄN</t>
        </is>
      </c>
      <c r="G3757" t="inlineStr">
        <is>
          <t>STORFORS</t>
        </is>
      </c>
      <c r="I3757" t="n">
        <v>6.8</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74230-2021</t>
        </is>
      </c>
      <c r="B3758" t="inlineStr">
        <is>
          <t>avverkningsanmälan</t>
        </is>
      </c>
      <c r="C3758" t="inlineStr">
        <is>
          <t>Föryngringsavverkning</t>
        </is>
      </c>
      <c r="D3758" s="1" t="n">
        <v>44558</v>
      </c>
      <c r="E3758" s="1" t="n">
        <v>46307</v>
      </c>
      <c r="F3758" t="inlineStr">
        <is>
          <t>VÄRMLANDS LÄN</t>
        </is>
      </c>
      <c r="G3758" t="inlineStr">
        <is>
          <t>SUNNE</t>
        </is>
      </c>
      <c r="I3758" t="n">
        <v>1.9</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44038-2025</t>
        </is>
      </c>
      <c r="B3759" t="inlineStr">
        <is>
          <t>avverkningsanmälan</t>
        </is>
      </c>
      <c r="C3759" t="inlineStr">
        <is>
          <t>Föryngringsavverkning</t>
        </is>
      </c>
      <c r="D3759" s="1" t="n">
        <v>45915</v>
      </c>
      <c r="E3759" s="1" t="n">
        <v>46307</v>
      </c>
      <c r="F3759" t="inlineStr">
        <is>
          <t>VÄRMLANDS LÄN</t>
        </is>
      </c>
      <c r="G3759" t="inlineStr">
        <is>
          <t>SÄFFLE</t>
        </is>
      </c>
      <c r="I3759" t="n">
        <v>4.2</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24146-2023</t>
        </is>
      </c>
      <c r="B3760" t="inlineStr">
        <is>
          <t>avverkningsanmälan</t>
        </is>
      </c>
      <c r="C3760" t="inlineStr">
        <is>
          <t>Föryngringsavverkning</t>
        </is>
      </c>
      <c r="D3760" s="1" t="n">
        <v>45079</v>
      </c>
      <c r="E3760" s="1" t="n">
        <v>46307</v>
      </c>
      <c r="F3760" t="inlineStr">
        <is>
          <t>VÄRMLANDS LÄN</t>
        </is>
      </c>
      <c r="G3760" t="inlineStr">
        <is>
          <t>KRISTINEHAMN</t>
        </is>
      </c>
      <c r="I3760" t="n">
        <v>0.2</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58623-2022</t>
        </is>
      </c>
      <c r="B3761" t="inlineStr">
        <is>
          <t>avverkningsanmälan</t>
        </is>
      </c>
      <c r="C3761" t="inlineStr">
        <is>
          <t>Föryngringsavverkning</t>
        </is>
      </c>
      <c r="D3761" s="1" t="n">
        <v>44902</v>
      </c>
      <c r="E3761" s="1" t="n">
        <v>46307</v>
      </c>
      <c r="F3761" t="inlineStr">
        <is>
          <t>VÄRMLANDS LÄN</t>
        </is>
      </c>
      <c r="G3761" t="inlineStr">
        <is>
          <t>SUNNE</t>
        </is>
      </c>
      <c r="I3761" t="n">
        <v>0.5</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62517-2022</t>
        </is>
      </c>
      <c r="B3762" t="inlineStr">
        <is>
          <t>avverkningsanmälan</t>
        </is>
      </c>
      <c r="C3762" t="inlineStr">
        <is>
          <t>Föryngringsavverkning</t>
        </is>
      </c>
      <c r="D3762" s="1" t="n">
        <v>44917</v>
      </c>
      <c r="E3762" s="1" t="n">
        <v>46307</v>
      </c>
      <c r="F3762" t="inlineStr">
        <is>
          <t>VÄRMLANDS LÄN</t>
        </is>
      </c>
      <c r="G3762" t="inlineStr">
        <is>
          <t>KRISTINEHAMN</t>
        </is>
      </c>
      <c r="I3762" t="n">
        <v>2.5</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14314-2024</t>
        </is>
      </c>
      <c r="B3763" t="inlineStr">
        <is>
          <t>avverkningsanmälan</t>
        </is>
      </c>
      <c r="C3763" t="inlineStr">
        <is>
          <t>Föryngringsavverkning</t>
        </is>
      </c>
      <c r="D3763" s="1" t="n">
        <v>45393</v>
      </c>
      <c r="E3763" s="1" t="n">
        <v>46307</v>
      </c>
      <c r="F3763" t="inlineStr">
        <is>
          <t>VÄRMLANDS LÄN</t>
        </is>
      </c>
      <c r="G3763" t="inlineStr">
        <is>
          <t>SÄFFLE</t>
        </is>
      </c>
      <c r="I3763" t="n">
        <v>5</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44133-2025</t>
        </is>
      </c>
      <c r="B3764" t="inlineStr">
        <is>
          <t>avverkningsanmälan</t>
        </is>
      </c>
      <c r="C3764" t="inlineStr">
        <is>
          <t>Föryngringsavverkning</t>
        </is>
      </c>
      <c r="D3764" s="1" t="n">
        <v>45915</v>
      </c>
      <c r="E3764" s="1" t="n">
        <v>46307</v>
      </c>
      <c r="F3764" t="inlineStr">
        <is>
          <t>VÄRMLANDS LÄN</t>
        </is>
      </c>
      <c r="G3764" t="inlineStr">
        <is>
          <t>TORSBY</t>
        </is>
      </c>
      <c r="I3764" t="n">
        <v>0.9</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22062-2024</t>
        </is>
      </c>
      <c r="B3765" t="inlineStr">
        <is>
          <t>avverkningsanmälan</t>
        </is>
      </c>
      <c r="C3765" t="inlineStr">
        <is>
          <t>Föryngringsavverkning</t>
        </is>
      </c>
      <c r="D3765" s="1" t="n">
        <v>45443</v>
      </c>
      <c r="E3765" s="1" t="n">
        <v>46307</v>
      </c>
      <c r="F3765" t="inlineStr">
        <is>
          <t>VÄRMLANDS LÄN</t>
        </is>
      </c>
      <c r="G3765" t="inlineStr">
        <is>
          <t>EDA</t>
        </is>
      </c>
      <c r="I3765" t="n">
        <v>1.2</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16010-2024</t>
        </is>
      </c>
      <c r="B3766" t="inlineStr">
        <is>
          <t>avverkningsanmälan</t>
        </is>
      </c>
      <c r="C3766" t="inlineStr">
        <is>
          <t>Föryngringsavverkning</t>
        </is>
      </c>
      <c r="D3766" s="1" t="n">
        <v>45405</v>
      </c>
      <c r="E3766" s="1" t="n">
        <v>46307</v>
      </c>
      <c r="F3766" t="inlineStr">
        <is>
          <t>VÄRMLANDS LÄN</t>
        </is>
      </c>
      <c r="G3766" t="inlineStr">
        <is>
          <t>ÅRJÄNG</t>
        </is>
      </c>
      <c r="I3766" t="n">
        <v>4.6</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8586-2024</t>
        </is>
      </c>
      <c r="B3767" t="inlineStr">
        <is>
          <t>avverkningsanmälan</t>
        </is>
      </c>
      <c r="C3767" t="inlineStr">
        <is>
          <t>Föryngringsavverkning</t>
        </is>
      </c>
      <c r="D3767" s="1" t="n">
        <v>45355</v>
      </c>
      <c r="E3767" s="1" t="n">
        <v>46307</v>
      </c>
      <c r="F3767" t="inlineStr">
        <is>
          <t>VÄRMLANDS LÄN</t>
        </is>
      </c>
      <c r="G3767" t="inlineStr">
        <is>
          <t>EDA</t>
        </is>
      </c>
      <c r="I3767" t="n">
        <v>3.5</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47538-2024</t>
        </is>
      </c>
      <c r="B3768" t="inlineStr">
        <is>
          <t>avverkningsanmälan</t>
        </is>
      </c>
      <c r="C3768" t="inlineStr">
        <is>
          <t>Föryngringsavverkning</t>
        </is>
      </c>
      <c r="D3768" s="1" t="n">
        <v>45587</v>
      </c>
      <c r="E3768" s="1" t="n">
        <v>46307</v>
      </c>
      <c r="F3768" t="inlineStr">
        <is>
          <t>VÄRMLANDS LÄN</t>
        </is>
      </c>
      <c r="G3768" t="inlineStr">
        <is>
          <t>ARVIKA</t>
        </is>
      </c>
      <c r="H3768" t="inlineStr">
        <is>
          <t>Bergvik skog väst AB</t>
        </is>
      </c>
      <c r="I3768" t="n">
        <v>1.7</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50695-2024</t>
        </is>
      </c>
      <c r="B3769" t="inlineStr">
        <is>
          <t>avverkningsanmälan</t>
        </is>
      </c>
      <c r="C3769" t="inlineStr">
        <is>
          <t>Föryngringsavverkning</t>
        </is>
      </c>
      <c r="D3769" s="1" t="n">
        <v>45602</v>
      </c>
      <c r="E3769" s="1" t="n">
        <v>46307</v>
      </c>
      <c r="F3769" t="inlineStr">
        <is>
          <t>VÄRMLANDS LÄN</t>
        </is>
      </c>
      <c r="G3769" t="inlineStr">
        <is>
          <t>SUNNE</t>
        </is>
      </c>
      <c r="I3769" t="n">
        <v>1.5</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50753-2024</t>
        </is>
      </c>
      <c r="B3770" t="inlineStr">
        <is>
          <t>avverkningsanmälan</t>
        </is>
      </c>
      <c r="C3770" t="inlineStr">
        <is>
          <t>Föryngringsavverkning</t>
        </is>
      </c>
      <c r="D3770" s="1" t="n">
        <v>45602</v>
      </c>
      <c r="E3770" s="1" t="n">
        <v>46307</v>
      </c>
      <c r="F3770" t="inlineStr">
        <is>
          <t>VÄRMLANDS LÄN</t>
        </is>
      </c>
      <c r="G3770" t="inlineStr">
        <is>
          <t>SUNNE</t>
        </is>
      </c>
      <c r="I3770" t="n">
        <v>0.6</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57393-2022</t>
        </is>
      </c>
      <c r="B3771" t="inlineStr">
        <is>
          <t>avverkningsanmälan</t>
        </is>
      </c>
      <c r="C3771" t="inlineStr">
        <is>
          <t>Föryngringsavverkning</t>
        </is>
      </c>
      <c r="D3771" s="1" t="n">
        <v>44896</v>
      </c>
      <c r="E3771" s="1" t="n">
        <v>46307</v>
      </c>
      <c r="F3771" t="inlineStr">
        <is>
          <t>VÄRMLANDS LÄN</t>
        </is>
      </c>
      <c r="G3771" t="inlineStr">
        <is>
          <t>TORSBY</t>
        </is>
      </c>
      <c r="I3771" t="n">
        <v>5</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666-2023</t>
        </is>
      </c>
      <c r="B3772" t="inlineStr">
        <is>
          <t>avverkningsanmälan</t>
        </is>
      </c>
      <c r="C3772" t="inlineStr">
        <is>
          <t>Föryngringsavverkning</t>
        </is>
      </c>
      <c r="D3772" s="1" t="n">
        <v>44930</v>
      </c>
      <c r="E3772" s="1" t="n">
        <v>46307</v>
      </c>
      <c r="F3772" t="inlineStr">
        <is>
          <t>VÄRMLANDS LÄN</t>
        </is>
      </c>
      <c r="G3772" t="inlineStr">
        <is>
          <t>KIL</t>
        </is>
      </c>
      <c r="I3772" t="n">
        <v>8.199999999999999</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20884-2024</t>
        </is>
      </c>
      <c r="B3773" t="inlineStr">
        <is>
          <t>avverkningsanmälan</t>
        </is>
      </c>
      <c r="C3773" t="inlineStr">
        <is>
          <t>Föryngringsavverkning</t>
        </is>
      </c>
      <c r="D3773" s="1" t="n">
        <v>45439</v>
      </c>
      <c r="E3773" s="1" t="n">
        <v>46307</v>
      </c>
      <c r="F3773" t="inlineStr">
        <is>
          <t>VÄRMLANDS LÄN</t>
        </is>
      </c>
      <c r="G3773" t="inlineStr">
        <is>
          <t>ARVIKA</t>
        </is>
      </c>
      <c r="I3773" t="n">
        <v>1.9</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62966-2023</t>
        </is>
      </c>
      <c r="B3774" t="inlineStr">
        <is>
          <t>avverkningsanmälan</t>
        </is>
      </c>
      <c r="C3774" t="inlineStr">
        <is>
          <t>Föryngringsavverkning</t>
        </is>
      </c>
      <c r="D3774" s="1" t="n">
        <v>45272</v>
      </c>
      <c r="E3774" s="1" t="n">
        <v>46307</v>
      </c>
      <c r="F3774" t="inlineStr">
        <is>
          <t>VÄRMLANDS LÄN</t>
        </is>
      </c>
      <c r="G3774" t="inlineStr">
        <is>
          <t>ÅRJÄNG</t>
        </is>
      </c>
      <c r="I3774" t="n">
        <v>4.5</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63032-2023</t>
        </is>
      </c>
      <c r="B3775" t="inlineStr">
        <is>
          <t>avverkningsanmälan</t>
        </is>
      </c>
      <c r="C3775" t="inlineStr">
        <is>
          <t>Föryngringsavverkning</t>
        </is>
      </c>
      <c r="D3775" s="1" t="n">
        <v>45272</v>
      </c>
      <c r="E3775" s="1" t="n">
        <v>46307</v>
      </c>
      <c r="F3775" t="inlineStr">
        <is>
          <t>VÄRMLANDS LÄN</t>
        </is>
      </c>
      <c r="G3775" t="inlineStr">
        <is>
          <t>TORSBY</t>
        </is>
      </c>
      <c r="I3775" t="n">
        <v>2.8</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33088-2024</t>
        </is>
      </c>
      <c r="B3776" t="inlineStr">
        <is>
          <t>avverkningsanmälan</t>
        </is>
      </c>
      <c r="C3776" t="inlineStr">
        <is>
          <t>Föryngringsavverkning</t>
        </is>
      </c>
      <c r="D3776" s="1" t="n">
        <v>45517</v>
      </c>
      <c r="E3776" s="1" t="n">
        <v>46307</v>
      </c>
      <c r="F3776" t="inlineStr">
        <is>
          <t>VÄRMLANDS LÄN</t>
        </is>
      </c>
      <c r="G3776" t="inlineStr">
        <is>
          <t>TORSBY</t>
        </is>
      </c>
      <c r="I3776" t="n">
        <v>1.3</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22269-2025</t>
        </is>
      </c>
      <c r="B3777" t="inlineStr">
        <is>
          <t>avverkningsanmälan</t>
        </is>
      </c>
      <c r="C3777" t="inlineStr">
        <is>
          <t>Föryngringsavverkning</t>
        </is>
      </c>
      <c r="D3777" s="1" t="n">
        <v>45785</v>
      </c>
      <c r="E3777" s="1" t="n">
        <v>46307</v>
      </c>
      <c r="F3777" t="inlineStr">
        <is>
          <t>VÄRMLANDS LÄN</t>
        </is>
      </c>
      <c r="G3777" t="inlineStr">
        <is>
          <t>TORSBY</t>
        </is>
      </c>
      <c r="I3777" t="n">
        <v>2.3</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15442-2024</t>
        </is>
      </c>
      <c r="B3778" t="inlineStr">
        <is>
          <t>avverkningsanmälan</t>
        </is>
      </c>
      <c r="C3778" t="inlineStr">
        <is>
          <t>Föryngringsavverkning</t>
        </is>
      </c>
      <c r="D3778" s="1" t="n">
        <v>45401</v>
      </c>
      <c r="E3778" s="1" t="n">
        <v>46307</v>
      </c>
      <c r="F3778" t="inlineStr">
        <is>
          <t>VÄRMLANDS LÄN</t>
        </is>
      </c>
      <c r="G3778" t="inlineStr">
        <is>
          <t>STORFORS</t>
        </is>
      </c>
      <c r="I3778" t="n">
        <v>1.7</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37357-2023</t>
        </is>
      </c>
      <c r="B3779" t="inlineStr">
        <is>
          <t>avverkningsanmälan</t>
        </is>
      </c>
      <c r="C3779" t="inlineStr">
        <is>
          <t>Föryngringsavverkning</t>
        </is>
      </c>
      <c r="D3779" s="1" t="n">
        <v>45156</v>
      </c>
      <c r="E3779" s="1" t="n">
        <v>46307</v>
      </c>
      <c r="F3779" t="inlineStr">
        <is>
          <t>VÄRMLANDS LÄN</t>
        </is>
      </c>
      <c r="G3779" t="inlineStr">
        <is>
          <t>TORSBY</t>
        </is>
      </c>
      <c r="I3779" t="n">
        <v>0.7</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71399-2021</t>
        </is>
      </c>
      <c r="B3780" t="inlineStr">
        <is>
          <t>avverkningsanmälan</t>
        </is>
      </c>
      <c r="C3780" t="inlineStr">
        <is>
          <t>Föryngringsavverkning</t>
        </is>
      </c>
      <c r="D3780" s="1" t="n">
        <v>44540</v>
      </c>
      <c r="E3780" s="1" t="n">
        <v>46307</v>
      </c>
      <c r="F3780" t="inlineStr">
        <is>
          <t>VÄRMLANDS LÄN</t>
        </is>
      </c>
      <c r="G3780" t="inlineStr">
        <is>
          <t>ARVIKA</t>
        </is>
      </c>
      <c r="H3780" t="inlineStr">
        <is>
          <t>Bergvik skog väst AB</t>
        </is>
      </c>
      <c r="I3780" t="n">
        <v>1.5</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58143-2022</t>
        </is>
      </c>
      <c r="B3781" t="inlineStr">
        <is>
          <t>avverkningsanmälan</t>
        </is>
      </c>
      <c r="C3781" t="inlineStr">
        <is>
          <t>Föryngringsavverkning</t>
        </is>
      </c>
      <c r="D3781" s="1" t="n">
        <v>44900</v>
      </c>
      <c r="E3781" s="1" t="n">
        <v>46307</v>
      </c>
      <c r="F3781" t="inlineStr">
        <is>
          <t>VÄRMLANDS LÄN</t>
        </is>
      </c>
      <c r="G3781" t="inlineStr">
        <is>
          <t>ARVIKA</t>
        </is>
      </c>
      <c r="I3781" t="n">
        <v>0.2</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11709-2025</t>
        </is>
      </c>
      <c r="B3782" t="inlineStr">
        <is>
          <t>avverkningsanmälan</t>
        </is>
      </c>
      <c r="C3782" t="inlineStr">
        <is>
          <t>Föryngringsavverkning</t>
        </is>
      </c>
      <c r="D3782" s="1" t="n">
        <v>45727</v>
      </c>
      <c r="E3782" s="1" t="n">
        <v>46307</v>
      </c>
      <c r="F3782" t="inlineStr">
        <is>
          <t>VÄRMLANDS LÄN</t>
        </is>
      </c>
      <c r="G3782" t="inlineStr">
        <is>
          <t>SUNNE</t>
        </is>
      </c>
      <c r="I3782" t="n">
        <v>11.6</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3074-2024</t>
        </is>
      </c>
      <c r="B3783" t="inlineStr">
        <is>
          <t>avverkningsanmälan</t>
        </is>
      </c>
      <c r="C3783" t="inlineStr">
        <is>
          <t>Föryngringsavverkning</t>
        </is>
      </c>
      <c r="D3783" s="1" t="n">
        <v>45316</v>
      </c>
      <c r="E3783" s="1" t="n">
        <v>46307</v>
      </c>
      <c r="F3783" t="inlineStr">
        <is>
          <t>VÄRMLANDS LÄN</t>
        </is>
      </c>
      <c r="G3783" t="inlineStr">
        <is>
          <t>SUNNE</t>
        </is>
      </c>
      <c r="H3783" t="inlineStr">
        <is>
          <t>Kommuner</t>
        </is>
      </c>
      <c r="I3783" t="n">
        <v>1.9</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58951-2022</t>
        </is>
      </c>
      <c r="B3784" t="inlineStr">
        <is>
          <t>avverkningsanmälan</t>
        </is>
      </c>
      <c r="C3784" t="inlineStr">
        <is>
          <t>Föryngringsavverkning</t>
        </is>
      </c>
      <c r="D3784" s="1" t="n">
        <v>44903</v>
      </c>
      <c r="E3784" s="1" t="n">
        <v>46307</v>
      </c>
      <c r="F3784" t="inlineStr">
        <is>
          <t>VÄRMLANDS LÄN</t>
        </is>
      </c>
      <c r="G3784" t="inlineStr">
        <is>
          <t>TORSBY</t>
        </is>
      </c>
      <c r="I3784" t="n">
        <v>2.7</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44901-2025</t>
        </is>
      </c>
      <c r="B3785" t="inlineStr">
        <is>
          <t>avverkningsanmälan</t>
        </is>
      </c>
      <c r="C3785" t="inlineStr">
        <is>
          <t>Avverkning för att bevara och utveckla /försöksver</t>
        </is>
      </c>
      <c r="D3785" s="1" t="n">
        <v>45918</v>
      </c>
      <c r="E3785" s="1" t="n">
        <v>46307</v>
      </c>
      <c r="F3785" t="inlineStr">
        <is>
          <t>VÄRMLANDS LÄN</t>
        </is>
      </c>
      <c r="G3785" t="inlineStr">
        <is>
          <t>TORSBY</t>
        </is>
      </c>
      <c r="I3785" t="n">
        <v>1.5</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44808-2025</t>
        </is>
      </c>
      <c r="B3786" t="inlineStr">
        <is>
          <t>avverkningsanmälan</t>
        </is>
      </c>
      <c r="C3786" t="inlineStr">
        <is>
          <t>Föryngringsavverkning</t>
        </is>
      </c>
      <c r="D3786" s="1" t="n">
        <v>45918</v>
      </c>
      <c r="E3786" s="1" t="n">
        <v>46307</v>
      </c>
      <c r="F3786" t="inlineStr">
        <is>
          <t>VÄRMLANDS LÄN</t>
        </is>
      </c>
      <c r="G3786" t="inlineStr">
        <is>
          <t>TORSBY</t>
        </is>
      </c>
      <c r="I3786" t="n">
        <v>7.2</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21744-2024</t>
        </is>
      </c>
      <c r="B3787" t="inlineStr">
        <is>
          <t>avverkningsanmälan</t>
        </is>
      </c>
      <c r="C3787" t="inlineStr">
        <is>
          <t>Föryngringsavverkning</t>
        </is>
      </c>
      <c r="D3787" s="1" t="n">
        <v>45442</v>
      </c>
      <c r="E3787" s="1" t="n">
        <v>46307</v>
      </c>
      <c r="F3787" t="inlineStr">
        <is>
          <t>VÄRMLANDS LÄN</t>
        </is>
      </c>
      <c r="G3787" t="inlineStr">
        <is>
          <t>TORSBY</t>
        </is>
      </c>
      <c r="I3787" t="n">
        <v>3.3</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44085-2023</t>
        </is>
      </c>
      <c r="B3788" t="inlineStr">
        <is>
          <t>avverkningsanmälan</t>
        </is>
      </c>
      <c r="C3788" t="inlineStr">
        <is>
          <t>Föryngringsavverkning</t>
        </is>
      </c>
      <c r="D3788" s="1" t="n">
        <v>45188</v>
      </c>
      <c r="E3788" s="1" t="n">
        <v>46307</v>
      </c>
      <c r="F3788" t="inlineStr">
        <is>
          <t>VÄRMLANDS LÄN</t>
        </is>
      </c>
      <c r="G3788" t="inlineStr">
        <is>
          <t>KRISTINEHAMN</t>
        </is>
      </c>
      <c r="I3788" t="n">
        <v>1.8</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49437-2024</t>
        </is>
      </c>
      <c r="B3789" t="inlineStr">
        <is>
          <t>avverkningsanmälan</t>
        </is>
      </c>
      <c r="C3789" t="inlineStr">
        <is>
          <t>Föryngringsavverkning</t>
        </is>
      </c>
      <c r="D3789" s="1" t="n">
        <v>45595</v>
      </c>
      <c r="E3789" s="1" t="n">
        <v>46307</v>
      </c>
      <c r="F3789" t="inlineStr">
        <is>
          <t>VÄRMLANDS LÄN</t>
        </is>
      </c>
      <c r="G3789" t="inlineStr">
        <is>
          <t>SUNNE</t>
        </is>
      </c>
      <c r="I3789" t="n">
        <v>3.2</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12406-2025</t>
        </is>
      </c>
      <c r="B3790" t="inlineStr">
        <is>
          <t>avverkningsanmälan</t>
        </is>
      </c>
      <c r="C3790" t="inlineStr">
        <is>
          <t>Föryngringsavverkning</t>
        </is>
      </c>
      <c r="D3790" s="1" t="n">
        <v>45730</v>
      </c>
      <c r="E3790" s="1" t="n">
        <v>46307</v>
      </c>
      <c r="F3790" t="inlineStr">
        <is>
          <t>VÄRMLANDS LÄN</t>
        </is>
      </c>
      <c r="G3790" t="inlineStr">
        <is>
          <t>EDA</t>
        </is>
      </c>
      <c r="I3790" t="n">
        <v>12.7</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9160-2024</t>
        </is>
      </c>
      <c r="B3791" t="inlineStr">
        <is>
          <t>avverkningsanmälan</t>
        </is>
      </c>
      <c r="C3791" t="inlineStr">
        <is>
          <t>Föryngringsavverkning</t>
        </is>
      </c>
      <c r="D3791" s="1" t="n">
        <v>45358</v>
      </c>
      <c r="E3791" s="1" t="n">
        <v>46307</v>
      </c>
      <c r="F3791" t="inlineStr">
        <is>
          <t>VÄRMLANDS LÄN</t>
        </is>
      </c>
      <c r="G3791" t="inlineStr">
        <is>
          <t>EDA</t>
        </is>
      </c>
      <c r="I3791" t="n">
        <v>0.7</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1120-2023</t>
        </is>
      </c>
      <c r="B3792" t="inlineStr">
        <is>
          <t>avverkningsanmälan</t>
        </is>
      </c>
      <c r="C3792" t="inlineStr">
        <is>
          <t>Föryngringsavverkning</t>
        </is>
      </c>
      <c r="D3792" s="1" t="n">
        <v>44935</v>
      </c>
      <c r="E3792" s="1" t="n">
        <v>46307</v>
      </c>
      <c r="F3792" t="inlineStr">
        <is>
          <t>VÄRMLANDS LÄN</t>
        </is>
      </c>
      <c r="G3792" t="inlineStr">
        <is>
          <t>TORSBY</t>
        </is>
      </c>
      <c r="I3792" t="n">
        <v>1.3</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58386-2023</t>
        </is>
      </c>
      <c r="B3793" t="inlineStr">
        <is>
          <t>avverkningsanmälan</t>
        </is>
      </c>
      <c r="C3793" t="inlineStr">
        <is>
          <t>Föryngringsavverkning</t>
        </is>
      </c>
      <c r="D3793" s="1" t="n">
        <v>45250</v>
      </c>
      <c r="E3793" s="1" t="n">
        <v>46307</v>
      </c>
      <c r="F3793" t="inlineStr">
        <is>
          <t>VÄRMLANDS LÄN</t>
        </is>
      </c>
      <c r="G3793" t="inlineStr">
        <is>
          <t>TORSBY</t>
        </is>
      </c>
      <c r="I3793" t="n">
        <v>0.7</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10087-2025</t>
        </is>
      </c>
      <c r="B3794" t="inlineStr">
        <is>
          <t>avverkningsanmälan</t>
        </is>
      </c>
      <c r="C3794" t="inlineStr">
        <is>
          <t>Föryngringsavverkning</t>
        </is>
      </c>
      <c r="D3794" s="1" t="n">
        <v>45719</v>
      </c>
      <c r="E3794" s="1" t="n">
        <v>46307</v>
      </c>
      <c r="F3794" t="inlineStr">
        <is>
          <t>VÄRMLANDS LÄN</t>
        </is>
      </c>
      <c r="G3794" t="inlineStr">
        <is>
          <t>SÄFFLE</t>
        </is>
      </c>
      <c r="I3794" t="n">
        <v>11.9</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44585-2025</t>
        </is>
      </c>
      <c r="B3795" t="inlineStr">
        <is>
          <t>avverkningsanmälan</t>
        </is>
      </c>
      <c r="C3795" t="inlineStr">
        <is>
          <t>Föryngringsavverkning</t>
        </is>
      </c>
      <c r="D3795" s="1" t="n">
        <v>45917</v>
      </c>
      <c r="E3795" s="1" t="n">
        <v>46307</v>
      </c>
      <c r="F3795" t="inlineStr">
        <is>
          <t>VÄRMLANDS LÄN</t>
        </is>
      </c>
      <c r="G3795" t="inlineStr">
        <is>
          <t>ARVIKA</t>
        </is>
      </c>
      <c r="I3795" t="n">
        <v>1.2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44586-2025</t>
        </is>
      </c>
      <c r="B3796" t="inlineStr">
        <is>
          <t>avverkningsanmälan</t>
        </is>
      </c>
      <c r="C3796" t="inlineStr">
        <is>
          <t>Föryngringsavverkning</t>
        </is>
      </c>
      <c r="D3796" s="1" t="n">
        <v>45917</v>
      </c>
      <c r="E3796" s="1" t="n">
        <v>46307</v>
      </c>
      <c r="F3796" t="inlineStr">
        <is>
          <t>VÄRMLANDS LÄN</t>
        </is>
      </c>
      <c r="G3796" t="inlineStr">
        <is>
          <t>ARVIKA</t>
        </is>
      </c>
      <c r="I3796" t="n">
        <v>0.9</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60689-2023</t>
        </is>
      </c>
      <c r="B3797" t="inlineStr">
        <is>
          <t>avverkningsanmälan</t>
        </is>
      </c>
      <c r="C3797" t="inlineStr">
        <is>
          <t>Föryngringsavverkning</t>
        </is>
      </c>
      <c r="D3797" s="1" t="n">
        <v>45260</v>
      </c>
      <c r="E3797" s="1" t="n">
        <v>46307</v>
      </c>
      <c r="F3797" t="inlineStr">
        <is>
          <t>VÄRMLANDS LÄN</t>
        </is>
      </c>
      <c r="G3797" t="inlineStr">
        <is>
          <t>SUNNE</t>
        </is>
      </c>
      <c r="I3797" t="n">
        <v>0.9</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62905-2023</t>
        </is>
      </c>
      <c r="B3798" t="inlineStr">
        <is>
          <t>avverkningsanmälan</t>
        </is>
      </c>
      <c r="C3798" t="inlineStr">
        <is>
          <t>Föryngringsavverkning</t>
        </is>
      </c>
      <c r="D3798" s="1" t="n">
        <v>45272</v>
      </c>
      <c r="E3798" s="1" t="n">
        <v>46307</v>
      </c>
      <c r="F3798" t="inlineStr">
        <is>
          <t>VÄRMLANDS LÄN</t>
        </is>
      </c>
      <c r="G3798" t="inlineStr">
        <is>
          <t>GRUMS</t>
        </is>
      </c>
      <c r="I3798" t="n">
        <v>13.8</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62922-2023</t>
        </is>
      </c>
      <c r="B3799" t="inlineStr">
        <is>
          <t>avverkningsanmälan</t>
        </is>
      </c>
      <c r="C3799" t="inlineStr">
        <is>
          <t>Föryngringsavverkning</t>
        </is>
      </c>
      <c r="D3799" s="1" t="n">
        <v>45272</v>
      </c>
      <c r="E3799" s="1" t="n">
        <v>46307</v>
      </c>
      <c r="F3799" t="inlineStr">
        <is>
          <t>VÄRMLANDS LÄN</t>
        </is>
      </c>
      <c r="G3799" t="inlineStr">
        <is>
          <t>FORSHAGA</t>
        </is>
      </c>
      <c r="I3799" t="n">
        <v>2.1</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21237-2024</t>
        </is>
      </c>
      <c r="B3800" t="inlineStr">
        <is>
          <t>avverkningsanmälan</t>
        </is>
      </c>
      <c r="C3800" t="inlineStr">
        <is>
          <t>Föryngringsavverkning</t>
        </is>
      </c>
      <c r="D3800" s="1" t="n">
        <v>45440</v>
      </c>
      <c r="E3800" s="1" t="n">
        <v>46307</v>
      </c>
      <c r="F3800" t="inlineStr">
        <is>
          <t>VÄRMLANDS LÄN</t>
        </is>
      </c>
      <c r="G3800" t="inlineStr">
        <is>
          <t>SUNNE</t>
        </is>
      </c>
      <c r="I3800" t="n">
        <v>0.9</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34886-2024</t>
        </is>
      </c>
      <c r="B3801" t="inlineStr">
        <is>
          <t>avverkningsanmälan</t>
        </is>
      </c>
      <c r="C3801" t="inlineStr">
        <is>
          <t>Föryngringsavverkning</t>
        </is>
      </c>
      <c r="D3801" s="1" t="n">
        <v>45527</v>
      </c>
      <c r="E3801" s="1" t="n">
        <v>46307</v>
      </c>
      <c r="F3801" t="inlineStr">
        <is>
          <t>VÄRMLANDS LÄN</t>
        </is>
      </c>
      <c r="G3801" t="inlineStr">
        <is>
          <t>FORSHAGA</t>
        </is>
      </c>
      <c r="H3801" t="inlineStr">
        <is>
          <t>Bergvik skog väst AB</t>
        </is>
      </c>
      <c r="I3801" t="n">
        <v>6.3</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39792-2024</t>
        </is>
      </c>
      <c r="B3802" t="inlineStr">
        <is>
          <t>avverkningsanmälan</t>
        </is>
      </c>
      <c r="C3802" t="inlineStr">
        <is>
          <t>Föryngringsavverkning</t>
        </is>
      </c>
      <c r="D3802" s="1" t="n">
        <v>45553</v>
      </c>
      <c r="E3802" s="1" t="n">
        <v>46307</v>
      </c>
      <c r="F3802" t="inlineStr">
        <is>
          <t>VÄRMLANDS LÄN</t>
        </is>
      </c>
      <c r="G3802" t="inlineStr">
        <is>
          <t>KARLSTAD</t>
        </is>
      </c>
      <c r="I3802" t="n">
        <v>2.1</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3996-2022</t>
        </is>
      </c>
      <c r="B3803" t="inlineStr">
        <is>
          <t>avverkningsanmälan</t>
        </is>
      </c>
      <c r="C3803" t="inlineStr">
        <is>
          <t>Föryngringsavverkning</t>
        </is>
      </c>
      <c r="D3803" s="1" t="n">
        <v>44587</v>
      </c>
      <c r="E3803" s="1" t="n">
        <v>46307</v>
      </c>
      <c r="F3803" t="inlineStr">
        <is>
          <t>VÄRMLANDS LÄN</t>
        </is>
      </c>
      <c r="G3803" t="inlineStr">
        <is>
          <t>KIL</t>
        </is>
      </c>
      <c r="I3803" t="n">
        <v>3.1</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36195-2023</t>
        </is>
      </c>
      <c r="B3804" t="inlineStr">
        <is>
          <t>avverkningsanmälan</t>
        </is>
      </c>
      <c r="C3804" t="inlineStr">
        <is>
          <t>Föryngringsavverkning</t>
        </is>
      </c>
      <c r="D3804" s="1" t="n">
        <v>45149</v>
      </c>
      <c r="E3804" s="1" t="n">
        <v>46307</v>
      </c>
      <c r="F3804" t="inlineStr">
        <is>
          <t>VÄRMLANDS LÄN</t>
        </is>
      </c>
      <c r="G3804" t="inlineStr">
        <is>
          <t>ÅRJÄNG</t>
        </is>
      </c>
      <c r="I3804" t="n">
        <v>2.3</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39555-2024</t>
        </is>
      </c>
      <c r="B3805" t="inlineStr">
        <is>
          <t>avverkningsanmälan</t>
        </is>
      </c>
      <c r="C3805" t="inlineStr">
        <is>
          <t>Föryngringsavverkning</t>
        </is>
      </c>
      <c r="D3805" s="1" t="n">
        <v>45551</v>
      </c>
      <c r="E3805" s="1" t="n">
        <v>46307</v>
      </c>
      <c r="F3805" t="inlineStr">
        <is>
          <t>VÄRMLANDS LÄN</t>
        </is>
      </c>
      <c r="G3805" t="inlineStr">
        <is>
          <t>KARLSTAD</t>
        </is>
      </c>
      <c r="I3805" t="n">
        <v>1</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50371-2023</t>
        </is>
      </c>
      <c r="B3806" t="inlineStr">
        <is>
          <t>avverkningsanmälan</t>
        </is>
      </c>
      <c r="C3806" t="inlineStr">
        <is>
          <t>Föryngringsavverkning</t>
        </is>
      </c>
      <c r="D3806" s="1" t="n">
        <v>45216</v>
      </c>
      <c r="E3806" s="1" t="n">
        <v>46307</v>
      </c>
      <c r="F3806" t="inlineStr">
        <is>
          <t>VÄRMLANDS LÄN</t>
        </is>
      </c>
      <c r="G3806" t="inlineStr">
        <is>
          <t>ARVIKA</t>
        </is>
      </c>
      <c r="I3806" t="n">
        <v>6.5</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41031-2024</t>
        </is>
      </c>
      <c r="B3807" t="inlineStr">
        <is>
          <t>avverkningsanmälan</t>
        </is>
      </c>
      <c r="C3807" t="inlineStr">
        <is>
          <t>Föryngringsavverkning</t>
        </is>
      </c>
      <c r="D3807" s="1" t="n">
        <v>45559</v>
      </c>
      <c r="E3807" s="1" t="n">
        <v>46307</v>
      </c>
      <c r="F3807" t="inlineStr">
        <is>
          <t>VÄRMLANDS LÄN</t>
        </is>
      </c>
      <c r="G3807" t="inlineStr">
        <is>
          <t>EDA</t>
        </is>
      </c>
      <c r="I3807" t="n">
        <v>1.4</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7244-2023</t>
        </is>
      </c>
      <c r="B3808" t="inlineStr">
        <is>
          <t>avverkningsanmälan</t>
        </is>
      </c>
      <c r="C3808" t="inlineStr">
        <is>
          <t>Föryngringsavverkning</t>
        </is>
      </c>
      <c r="D3808" s="1" t="n">
        <v>44970</v>
      </c>
      <c r="E3808" s="1" t="n">
        <v>46307</v>
      </c>
      <c r="F3808" t="inlineStr">
        <is>
          <t>VÄRMLANDS LÄN</t>
        </is>
      </c>
      <c r="G3808" t="inlineStr">
        <is>
          <t>EDA</t>
        </is>
      </c>
      <c r="I3808" t="n">
        <v>3.8</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44816-2025</t>
        </is>
      </c>
      <c r="B3809" t="inlineStr">
        <is>
          <t>avverkningsanmälan</t>
        </is>
      </c>
      <c r="C3809" t="inlineStr">
        <is>
          <t>Föryngringsavverkning</t>
        </is>
      </c>
      <c r="D3809" s="1" t="n">
        <v>45918</v>
      </c>
      <c r="E3809" s="1" t="n">
        <v>46307</v>
      </c>
      <c r="F3809" t="inlineStr">
        <is>
          <t>VÄRMLANDS LÄN</t>
        </is>
      </c>
      <c r="G3809" t="inlineStr">
        <is>
          <t>SUNNE</t>
        </is>
      </c>
      <c r="I3809" t="n">
        <v>0.8</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44794-2025</t>
        </is>
      </c>
      <c r="B3810" t="inlineStr">
        <is>
          <t>avverkningsanmälan</t>
        </is>
      </c>
      <c r="C3810" t="inlineStr">
        <is>
          <t>Föryngringsavverkning</t>
        </is>
      </c>
      <c r="D3810" s="1" t="n">
        <v>45918</v>
      </c>
      <c r="E3810" s="1" t="n">
        <v>46307</v>
      </c>
      <c r="F3810" t="inlineStr">
        <is>
          <t>VÄRMLANDS LÄN</t>
        </is>
      </c>
      <c r="G3810" t="inlineStr">
        <is>
          <t>TORSBY</t>
        </is>
      </c>
      <c r="I3810" t="n">
        <v>3.4</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44804-2025</t>
        </is>
      </c>
      <c r="B3811" t="inlineStr">
        <is>
          <t>avverkningsanmälan</t>
        </is>
      </c>
      <c r="C3811" t="inlineStr">
        <is>
          <t>Föryngringsavverkning</t>
        </is>
      </c>
      <c r="D3811" s="1" t="n">
        <v>45918</v>
      </c>
      <c r="E3811" s="1" t="n">
        <v>46307</v>
      </c>
      <c r="F3811" t="inlineStr">
        <is>
          <t>VÄRMLANDS LÄN</t>
        </is>
      </c>
      <c r="G3811" t="inlineStr">
        <is>
          <t>HAGFORS</t>
        </is>
      </c>
      <c r="H3811" t="inlineStr">
        <is>
          <t>Bergvik skog väst AB</t>
        </is>
      </c>
      <c r="I3811" t="n">
        <v>2.4</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50393-2023</t>
        </is>
      </c>
      <c r="B3812" t="inlineStr">
        <is>
          <t>avverkningsanmälan</t>
        </is>
      </c>
      <c r="C3812" t="inlineStr">
        <is>
          <t>Föryngringsavverkning</t>
        </is>
      </c>
      <c r="D3812" s="1" t="n">
        <v>45216</v>
      </c>
      <c r="E3812" s="1" t="n">
        <v>46307</v>
      </c>
      <c r="F3812" t="inlineStr">
        <is>
          <t>VÄRMLANDS LÄN</t>
        </is>
      </c>
      <c r="G3812" t="inlineStr">
        <is>
          <t>ARVIKA</t>
        </is>
      </c>
      <c r="I3812" t="n">
        <v>1.6</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50396-2023</t>
        </is>
      </c>
      <c r="B3813" t="inlineStr">
        <is>
          <t>avverkningsanmälan</t>
        </is>
      </c>
      <c r="C3813" t="inlineStr">
        <is>
          <t>Föryngringsavverkning</t>
        </is>
      </c>
      <c r="D3813" s="1" t="n">
        <v>45216</v>
      </c>
      <c r="E3813" s="1" t="n">
        <v>46307</v>
      </c>
      <c r="F3813" t="inlineStr">
        <is>
          <t>VÄRMLANDS LÄN</t>
        </is>
      </c>
      <c r="G3813" t="inlineStr">
        <is>
          <t>ARVIKA</t>
        </is>
      </c>
      <c r="I3813" t="n">
        <v>2.9</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10284-2023</t>
        </is>
      </c>
      <c r="B3814" t="inlineStr">
        <is>
          <t>avverkningsanmälan</t>
        </is>
      </c>
      <c r="C3814" t="inlineStr">
        <is>
          <t>Föryngringsavverkning</t>
        </is>
      </c>
      <c r="D3814" s="1" t="n">
        <v>44986</v>
      </c>
      <c r="E3814" s="1" t="n">
        <v>46307</v>
      </c>
      <c r="F3814" t="inlineStr">
        <is>
          <t>VÄRMLANDS LÄN</t>
        </is>
      </c>
      <c r="G3814" t="inlineStr">
        <is>
          <t>KARLSTAD</t>
        </is>
      </c>
      <c r="H3814" t="inlineStr">
        <is>
          <t>Kommuner</t>
        </is>
      </c>
      <c r="I3814" t="n">
        <v>0.9</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59014-2022</t>
        </is>
      </c>
      <c r="B3815" t="inlineStr">
        <is>
          <t>avverkningsanmälan</t>
        </is>
      </c>
      <c r="C3815" t="inlineStr">
        <is>
          <t>Föryngringsavverkning</t>
        </is>
      </c>
      <c r="D3815" s="1" t="n">
        <v>44903</v>
      </c>
      <c r="E3815" s="1" t="n">
        <v>46307</v>
      </c>
      <c r="F3815" t="inlineStr">
        <is>
          <t>VÄRMLANDS LÄN</t>
        </is>
      </c>
      <c r="G3815" t="inlineStr">
        <is>
          <t>ARVIKA</t>
        </is>
      </c>
      <c r="I3815" t="n">
        <v>0.4</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45233-2023</t>
        </is>
      </c>
      <c r="B3816" t="inlineStr">
        <is>
          <t>avverkningsanmälan</t>
        </is>
      </c>
      <c r="C3816" t="inlineStr">
        <is>
          <t>Föryngringsavverkning</t>
        </is>
      </c>
      <c r="D3816" s="1" t="n">
        <v>45191</v>
      </c>
      <c r="E3816" s="1" t="n">
        <v>46307</v>
      </c>
      <c r="F3816" t="inlineStr">
        <is>
          <t>VÄRMLANDS LÄN</t>
        </is>
      </c>
      <c r="G3816" t="inlineStr">
        <is>
          <t>SÄFFLE</t>
        </is>
      </c>
      <c r="I3816" t="n">
        <v>2</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17898-2023</t>
        </is>
      </c>
      <c r="B3817" t="inlineStr">
        <is>
          <t>avverkningsanmälan</t>
        </is>
      </c>
      <c r="C3817" t="inlineStr">
        <is>
          <t>Föryngringsavverkning</t>
        </is>
      </c>
      <c r="D3817" s="1" t="n">
        <v>45039</v>
      </c>
      <c r="E3817" s="1" t="n">
        <v>46307</v>
      </c>
      <c r="F3817" t="inlineStr">
        <is>
          <t>VÄRMLANDS LÄN</t>
        </is>
      </c>
      <c r="G3817" t="inlineStr">
        <is>
          <t>TORSBY</t>
        </is>
      </c>
      <c r="I3817" t="n">
        <v>0.3</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44817-2025</t>
        </is>
      </c>
      <c r="B3818" t="inlineStr">
        <is>
          <t>avverkningsanmälan</t>
        </is>
      </c>
      <c r="C3818" t="inlineStr">
        <is>
          <t>Föryngringsavverkning</t>
        </is>
      </c>
      <c r="D3818" s="1" t="n">
        <v>45918</v>
      </c>
      <c r="E3818" s="1" t="n">
        <v>46307</v>
      </c>
      <c r="F3818" t="inlineStr">
        <is>
          <t>VÄRMLANDS LÄN</t>
        </is>
      </c>
      <c r="G3818" t="inlineStr">
        <is>
          <t>TORSBY</t>
        </is>
      </c>
      <c r="H3818" t="inlineStr">
        <is>
          <t>Bergvik skog väst AB</t>
        </is>
      </c>
      <c r="I3818" t="n">
        <v>6.2</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14954-2024</t>
        </is>
      </c>
      <c r="B3819" t="inlineStr">
        <is>
          <t>avverkningsanmälan</t>
        </is>
      </c>
      <c r="C3819" t="inlineStr">
        <is>
          <t>Föryngringsavverkning</t>
        </is>
      </c>
      <c r="D3819" s="1" t="n">
        <v>45398</v>
      </c>
      <c r="E3819" s="1" t="n">
        <v>46307</v>
      </c>
      <c r="F3819" t="inlineStr">
        <is>
          <t>VÄRMLANDS LÄN</t>
        </is>
      </c>
      <c r="G3819" t="inlineStr">
        <is>
          <t>KIL</t>
        </is>
      </c>
      <c r="I3819" t="n">
        <v>3.7</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65002-2023</t>
        </is>
      </c>
      <c r="B3820" t="inlineStr">
        <is>
          <t>avverkningsanmälan</t>
        </is>
      </c>
      <c r="C3820" t="inlineStr">
        <is>
          <t>Föryngringsavverkning</t>
        </is>
      </c>
      <c r="D3820" s="1" t="n">
        <v>45287</v>
      </c>
      <c r="E3820" s="1" t="n">
        <v>46307</v>
      </c>
      <c r="F3820" t="inlineStr">
        <is>
          <t>VÄRMLANDS LÄN</t>
        </is>
      </c>
      <c r="G3820" t="inlineStr">
        <is>
          <t>KIL</t>
        </is>
      </c>
      <c r="I3820" t="n">
        <v>6.9</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1750-2025</t>
        </is>
      </c>
      <c r="B3821" t="inlineStr">
        <is>
          <t>avverkningsanmälan</t>
        </is>
      </c>
      <c r="C3821" t="inlineStr">
        <is>
          <t>Föryngringsavverkning</t>
        </is>
      </c>
      <c r="D3821" s="1" t="n">
        <v>45671</v>
      </c>
      <c r="E3821" s="1" t="n">
        <v>46307</v>
      </c>
      <c r="F3821" t="inlineStr">
        <is>
          <t>VÄRMLANDS LÄN</t>
        </is>
      </c>
      <c r="G3821" t="inlineStr">
        <is>
          <t>FILIPSTAD</t>
        </is>
      </c>
      <c r="I3821" t="n">
        <v>0.5</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62485-2022</t>
        </is>
      </c>
      <c r="B3822" t="inlineStr">
        <is>
          <t>avverkningsanmälan</t>
        </is>
      </c>
      <c r="C3822" t="inlineStr">
        <is>
          <t>Föryngringsavverkning</t>
        </is>
      </c>
      <c r="D3822" s="1" t="n">
        <v>44924</v>
      </c>
      <c r="E3822" s="1" t="n">
        <v>46307</v>
      </c>
      <c r="F3822" t="inlineStr">
        <is>
          <t>VÄRMLANDS LÄN</t>
        </is>
      </c>
      <c r="G3822" t="inlineStr">
        <is>
          <t>ARVIKA</t>
        </is>
      </c>
      <c r="H3822" t="inlineStr">
        <is>
          <t>Bergvik skog väst AB</t>
        </is>
      </c>
      <c r="I3822" t="n">
        <v>0.5</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50425-2023</t>
        </is>
      </c>
      <c r="B3823" t="inlineStr">
        <is>
          <t>avverkningsanmälan</t>
        </is>
      </c>
      <c r="C3823" t="inlineStr">
        <is>
          <t>Föryngringsavverkning</t>
        </is>
      </c>
      <c r="D3823" s="1" t="n">
        <v>45216</v>
      </c>
      <c r="E3823" s="1" t="n">
        <v>46307</v>
      </c>
      <c r="F3823" t="inlineStr">
        <is>
          <t>VÄRMLANDS LÄN</t>
        </is>
      </c>
      <c r="G3823" t="inlineStr">
        <is>
          <t>SUNNE</t>
        </is>
      </c>
      <c r="I3823" t="n">
        <v>0.8</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5106-2023</t>
        </is>
      </c>
      <c r="B3824" t="inlineStr">
        <is>
          <t>avverkningsanmälan</t>
        </is>
      </c>
      <c r="C3824" t="inlineStr">
        <is>
          <t>Avverkning för annat ändamål</t>
        </is>
      </c>
      <c r="D3824" s="1" t="n">
        <v>44953</v>
      </c>
      <c r="E3824" s="1" t="n">
        <v>46307</v>
      </c>
      <c r="F3824" t="inlineStr">
        <is>
          <t>VÄRMLANDS LÄN</t>
        </is>
      </c>
      <c r="G3824" t="inlineStr">
        <is>
          <t>ÅRJÄNG</t>
        </is>
      </c>
      <c r="I3824" t="n">
        <v>0.6</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5126-2023</t>
        </is>
      </c>
      <c r="B3825" t="inlineStr">
        <is>
          <t>avverkningsanmälan</t>
        </is>
      </c>
      <c r="C3825" t="inlineStr">
        <is>
          <t>Föryngringsavverkning</t>
        </is>
      </c>
      <c r="D3825" s="1" t="n">
        <v>44958</v>
      </c>
      <c r="E3825" s="1" t="n">
        <v>46307</v>
      </c>
      <c r="F3825" t="inlineStr">
        <is>
          <t>VÄRMLANDS LÄN</t>
        </is>
      </c>
      <c r="G3825" t="inlineStr">
        <is>
          <t>GRUMS</t>
        </is>
      </c>
      <c r="I3825" t="n">
        <v>14.3</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31615-2023</t>
        </is>
      </c>
      <c r="B3826" t="inlineStr">
        <is>
          <t>avverkningsanmälan</t>
        </is>
      </c>
      <c r="C3826" t="inlineStr">
        <is>
          <t>Föryngringsavverkning</t>
        </is>
      </c>
      <c r="D3826" s="1" t="n">
        <v>45117</v>
      </c>
      <c r="E3826" s="1" t="n">
        <v>46307</v>
      </c>
      <c r="F3826" t="inlineStr">
        <is>
          <t>VÄRMLANDS LÄN</t>
        </is>
      </c>
      <c r="G3826" t="inlineStr">
        <is>
          <t>ARVIKA</t>
        </is>
      </c>
      <c r="I3826" t="n">
        <v>2.2</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20875-2024</t>
        </is>
      </c>
      <c r="B3827" t="inlineStr">
        <is>
          <t>avverkningsanmälan</t>
        </is>
      </c>
      <c r="C3827" t="inlineStr">
        <is>
          <t>Föryngringsavverkning</t>
        </is>
      </c>
      <c r="D3827" s="1" t="n">
        <v>45439</v>
      </c>
      <c r="E3827" s="1" t="n">
        <v>46307</v>
      </c>
      <c r="F3827" t="inlineStr">
        <is>
          <t>VÄRMLANDS LÄN</t>
        </is>
      </c>
      <c r="G3827" t="inlineStr">
        <is>
          <t>FILIPSTAD</t>
        </is>
      </c>
      <c r="H3827" t="inlineStr">
        <is>
          <t>Bergvik skog väst AB</t>
        </is>
      </c>
      <c r="I3827" t="n">
        <v>6.8</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57792-2022</t>
        </is>
      </c>
      <c r="B3828" t="inlineStr">
        <is>
          <t>avverkningsanmälan</t>
        </is>
      </c>
      <c r="C3828" t="inlineStr">
        <is>
          <t>Föryngringsavverkning</t>
        </is>
      </c>
      <c r="D3828" s="1" t="n">
        <v>44897</v>
      </c>
      <c r="E3828" s="1" t="n">
        <v>46307</v>
      </c>
      <c r="F3828" t="inlineStr">
        <is>
          <t>VÄRMLANDS LÄN</t>
        </is>
      </c>
      <c r="G3828" t="inlineStr">
        <is>
          <t>STORFORS</t>
        </is>
      </c>
      <c r="I3828" t="n">
        <v>3.1</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47076-2023</t>
        </is>
      </c>
      <c r="B3829" t="inlineStr">
        <is>
          <t>avverkningsanmälan</t>
        </is>
      </c>
      <c r="C3829" t="inlineStr">
        <is>
          <t>Föryngringsavverkning</t>
        </is>
      </c>
      <c r="D3829" s="1" t="n">
        <v>45201</v>
      </c>
      <c r="E3829" s="1" t="n">
        <v>46307</v>
      </c>
      <c r="F3829" t="inlineStr">
        <is>
          <t>VÄRMLANDS LÄN</t>
        </is>
      </c>
      <c r="G3829" t="inlineStr">
        <is>
          <t>SUNNE</t>
        </is>
      </c>
      <c r="I3829" t="n">
        <v>0.5</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38883-2023</t>
        </is>
      </c>
      <c r="B3830" t="inlineStr">
        <is>
          <t>avverkningsanmälan</t>
        </is>
      </c>
      <c r="C3830" t="inlineStr">
        <is>
          <t>Föryngringsavverkning</t>
        </is>
      </c>
      <c r="D3830" s="1" t="n">
        <v>45163</v>
      </c>
      <c r="E3830" s="1" t="n">
        <v>46307</v>
      </c>
      <c r="F3830" t="inlineStr">
        <is>
          <t>VÄRMLANDS LÄN</t>
        </is>
      </c>
      <c r="G3830" t="inlineStr">
        <is>
          <t>KARLSTAD</t>
        </is>
      </c>
      <c r="I3830" t="n">
        <v>2.9</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33047-2024</t>
        </is>
      </c>
      <c r="B3831" t="inlineStr">
        <is>
          <t>avverkningsanmälan</t>
        </is>
      </c>
      <c r="C3831" t="inlineStr">
        <is>
          <t>Föryngringsavverkning</t>
        </is>
      </c>
      <c r="D3831" s="1" t="n">
        <v>45517</v>
      </c>
      <c r="E3831" s="1" t="n">
        <v>46307</v>
      </c>
      <c r="F3831" t="inlineStr">
        <is>
          <t>VÄRMLANDS LÄN</t>
        </is>
      </c>
      <c r="G3831" t="inlineStr">
        <is>
          <t>ARVIKA</t>
        </is>
      </c>
      <c r="I3831" t="n">
        <v>1.5</v>
      </c>
      <c r="J3831" t="n">
        <v>0</v>
      </c>
      <c r="K3831" t="n">
        <v>0</v>
      </c>
      <c r="L3831" t="n">
        <v>0</v>
      </c>
      <c r="M3831" t="n">
        <v>0</v>
      </c>
      <c r="N3831" t="n">
        <v>0</v>
      </c>
      <c r="O3831" t="n">
        <v>0</v>
      </c>
      <c r="P3831" t="n">
        <v>0</v>
      </c>
      <c r="Q3831" t="n">
        <v>0</v>
      </c>
      <c r="R3831" t="n">
        <v>0</v>
      </c>
      <c r="S3831" t="n">
        <v>0</v>
      </c>
      <c r="T3831" t="n">
        <v>0</v>
      </c>
      <c r="U3831" t="n">
        <v>0</v>
      </c>
      <c r="V3831" s="2" t="inlineStr"/>
      <c r="Z3831">
        <f>HYPERLINK("https://klasma.github.io/Logging_1784/knärot/A 33047-2024 karta knärot.png", "A 33047-2024")</f>
        <v/>
      </c>
      <c r="AA3831">
        <f>HYPERLINK("https://klasma.github.io/Logging_1784/klagomål/A 33047-2024 FSC-klagomål.docx", "A 33047-2024")</f>
        <v/>
      </c>
      <c r="AB3831">
        <f>HYPERLINK("https://klasma.github.io/Logging_1784/klagomålsmail/A 33047-2024 FSC-klagomål mail.docx", "A 33047-2024")</f>
        <v/>
      </c>
      <c r="AC3831">
        <f>HYPERLINK("https://klasma.github.io/Logging_1784/tillsyn/A 33047-2024 tillsynsbegäran.docx", "A 33047-2024")</f>
        <v/>
      </c>
      <c r="AD3831">
        <f>HYPERLINK("https://klasma.github.io/Logging_1784/tillsynsmail/A 33047-2024 tillsynsbegäran mail.docx", "A 33047-2024")</f>
        <v/>
      </c>
    </row>
    <row r="3832" ht="15" customHeight="1">
      <c r="A3832" t="inlineStr">
        <is>
          <t>A 63203-2021</t>
        </is>
      </c>
      <c r="B3832" t="inlineStr">
        <is>
          <t>avverkningsanmälan</t>
        </is>
      </c>
      <c r="C3832" t="inlineStr">
        <is>
          <t>Föryngringsavverkning</t>
        </is>
      </c>
      <c r="D3832" s="1" t="n">
        <v>44507</v>
      </c>
      <c r="E3832" s="1" t="n">
        <v>46307</v>
      </c>
      <c r="F3832" t="inlineStr">
        <is>
          <t>VÄRMLANDS LÄN</t>
        </is>
      </c>
      <c r="G3832" t="inlineStr">
        <is>
          <t>ÅRJÄNG</t>
        </is>
      </c>
      <c r="I3832" t="n">
        <v>2.8</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6959-2024</t>
        </is>
      </c>
      <c r="B3833" t="inlineStr">
        <is>
          <t>avverkningsanmälan</t>
        </is>
      </c>
      <c r="C3833" t="inlineStr">
        <is>
          <t>Föryngringsavverkning</t>
        </is>
      </c>
      <c r="D3833" s="1" t="n">
        <v>45343</v>
      </c>
      <c r="E3833" s="1" t="n">
        <v>46307</v>
      </c>
      <c r="F3833" t="inlineStr">
        <is>
          <t>VÄRMLANDS LÄN</t>
        </is>
      </c>
      <c r="G3833" t="inlineStr">
        <is>
          <t>SÄFFLE</t>
        </is>
      </c>
      <c r="I3833" t="n">
        <v>3.8</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4373-2022</t>
        </is>
      </c>
      <c r="B3834" t="inlineStr">
        <is>
          <t>avverkningsanmälan</t>
        </is>
      </c>
      <c r="C3834" t="inlineStr">
        <is>
          <t>Föryngringsavverkning</t>
        </is>
      </c>
      <c r="D3834" s="1" t="n">
        <v>44589</v>
      </c>
      <c r="E3834" s="1" t="n">
        <v>46307</v>
      </c>
      <c r="F3834" t="inlineStr">
        <is>
          <t>VÄRMLANDS LÄN</t>
        </is>
      </c>
      <c r="G3834" t="inlineStr">
        <is>
          <t>KARLSTAD</t>
        </is>
      </c>
      <c r="H3834" t="inlineStr">
        <is>
          <t>Bergvik skog väst AB</t>
        </is>
      </c>
      <c r="I3834" t="n">
        <v>17.9</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64425-2023</t>
        </is>
      </c>
      <c r="B3835" t="inlineStr">
        <is>
          <t>avverkningsanmälan</t>
        </is>
      </c>
      <c r="C3835" t="inlineStr">
        <is>
          <t>Föryngringsavverkning</t>
        </is>
      </c>
      <c r="D3835" s="1" t="n">
        <v>45280</v>
      </c>
      <c r="E3835" s="1" t="n">
        <v>46307</v>
      </c>
      <c r="F3835" t="inlineStr">
        <is>
          <t>VÄRMLANDS LÄN</t>
        </is>
      </c>
      <c r="G3835" t="inlineStr">
        <is>
          <t>SUNNE</t>
        </is>
      </c>
      <c r="I3835" t="n">
        <v>2.1</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32796-2023</t>
        </is>
      </c>
      <c r="B3836" t="inlineStr">
        <is>
          <t>avverkningsanmälan</t>
        </is>
      </c>
      <c r="C3836" t="inlineStr">
        <is>
          <t>Föryngringsavverkning</t>
        </is>
      </c>
      <c r="D3836" s="1" t="n">
        <v>45124</v>
      </c>
      <c r="E3836" s="1" t="n">
        <v>46307</v>
      </c>
      <c r="F3836" t="inlineStr">
        <is>
          <t>VÄRMLANDS LÄN</t>
        </is>
      </c>
      <c r="G3836" t="inlineStr">
        <is>
          <t>FORSHAGA</t>
        </is>
      </c>
      <c r="H3836" t="inlineStr">
        <is>
          <t>Kommuner</t>
        </is>
      </c>
      <c r="I3836" t="n">
        <v>5.7</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44976-2025</t>
        </is>
      </c>
      <c r="B3837" t="inlineStr">
        <is>
          <t>avverkningsanmälan</t>
        </is>
      </c>
      <c r="C3837" t="inlineStr">
        <is>
          <t>Föryngringsavverkning</t>
        </is>
      </c>
      <c r="D3837" s="1" t="n">
        <v>45918</v>
      </c>
      <c r="E3837" s="1" t="n">
        <v>46307</v>
      </c>
      <c r="F3837" t="inlineStr">
        <is>
          <t>VÄRMLANDS LÄN</t>
        </is>
      </c>
      <c r="G3837" t="inlineStr">
        <is>
          <t>TORSBY</t>
        </is>
      </c>
      <c r="H3837" t="inlineStr">
        <is>
          <t>Bergvik skog väst AB</t>
        </is>
      </c>
      <c r="I3837" t="n">
        <v>2.6</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22320-2025</t>
        </is>
      </c>
      <c r="B3838" t="inlineStr">
        <is>
          <t>avverkningsanmälan</t>
        </is>
      </c>
      <c r="C3838" t="inlineStr">
        <is>
          <t>Föryngringsavverkning</t>
        </is>
      </c>
      <c r="D3838" s="1" t="n">
        <v>45786</v>
      </c>
      <c r="E3838" s="1" t="n">
        <v>46307</v>
      </c>
      <c r="F3838" t="inlineStr">
        <is>
          <t>VÄRMLANDS LÄN</t>
        </is>
      </c>
      <c r="G3838" t="inlineStr">
        <is>
          <t>TORSBY</t>
        </is>
      </c>
      <c r="H3838" t="inlineStr">
        <is>
          <t>Bergvik skog väst AB</t>
        </is>
      </c>
      <c r="I3838" t="n">
        <v>0.6</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22461-2025</t>
        </is>
      </c>
      <c r="B3839" t="inlineStr">
        <is>
          <t>avverkningsanmälan</t>
        </is>
      </c>
      <c r="C3839" t="inlineStr">
        <is>
          <t>Föryngringsavverkning</t>
        </is>
      </c>
      <c r="D3839" s="1" t="n">
        <v>45786</v>
      </c>
      <c r="E3839" s="1" t="n">
        <v>46307</v>
      </c>
      <c r="F3839" t="inlineStr">
        <is>
          <t>VÄRMLANDS LÄN</t>
        </is>
      </c>
      <c r="G3839" t="inlineStr">
        <is>
          <t>HAGFORS</t>
        </is>
      </c>
      <c r="I3839" t="n">
        <v>0.8</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45037-2025</t>
        </is>
      </c>
      <c r="B3840" t="inlineStr">
        <is>
          <t>avverkningsanmälan</t>
        </is>
      </c>
      <c r="C3840" t="inlineStr">
        <is>
          <t>Föryngringsavverkning</t>
        </is>
      </c>
      <c r="D3840" s="1" t="n">
        <v>45918</v>
      </c>
      <c r="E3840" s="1" t="n">
        <v>46307</v>
      </c>
      <c r="F3840" t="inlineStr">
        <is>
          <t>VÄRMLANDS LÄN</t>
        </is>
      </c>
      <c r="G3840" t="inlineStr">
        <is>
          <t>ÅRJÄNG</t>
        </is>
      </c>
      <c r="I3840" t="n">
        <v>8.5</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33338-2024</t>
        </is>
      </c>
      <c r="B3841" t="inlineStr">
        <is>
          <t>avverkningsanmälan</t>
        </is>
      </c>
      <c r="C3841" t="inlineStr">
        <is>
          <t>Föryngringsavverkning</t>
        </is>
      </c>
      <c r="D3841" s="1" t="n">
        <v>45519</v>
      </c>
      <c r="E3841" s="1" t="n">
        <v>46307</v>
      </c>
      <c r="F3841" t="inlineStr">
        <is>
          <t>VÄRMLANDS LÄN</t>
        </is>
      </c>
      <c r="G3841" t="inlineStr">
        <is>
          <t>TORSBY</t>
        </is>
      </c>
      <c r="I3841" t="n">
        <v>0.7</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33360-2024</t>
        </is>
      </c>
      <c r="B3842" t="inlineStr">
        <is>
          <t>avverkningsanmälan</t>
        </is>
      </c>
      <c r="C3842" t="inlineStr">
        <is>
          <t>Föryngringsavverkning</t>
        </is>
      </c>
      <c r="D3842" s="1" t="n">
        <v>45519</v>
      </c>
      <c r="E3842" s="1" t="n">
        <v>46307</v>
      </c>
      <c r="F3842" t="inlineStr">
        <is>
          <t>VÄRMLANDS LÄN</t>
        </is>
      </c>
      <c r="G3842" t="inlineStr">
        <is>
          <t>ARVIKA</t>
        </is>
      </c>
      <c r="I3842" t="n">
        <v>1.8</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50234-2023</t>
        </is>
      </c>
      <c r="B3843" t="inlineStr">
        <is>
          <t>avverkningsanmälan</t>
        </is>
      </c>
      <c r="C3843" t="inlineStr">
        <is>
          <t>Föryngringsavverkning</t>
        </is>
      </c>
      <c r="D3843" s="1" t="n">
        <v>45216</v>
      </c>
      <c r="E3843" s="1" t="n">
        <v>46307</v>
      </c>
      <c r="F3843" t="inlineStr">
        <is>
          <t>VÄRMLANDS LÄN</t>
        </is>
      </c>
      <c r="G3843" t="inlineStr">
        <is>
          <t>ARVIKA</t>
        </is>
      </c>
      <c r="I3843" t="n">
        <v>1.3</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15891-2025</t>
        </is>
      </c>
      <c r="B3844" t="inlineStr">
        <is>
          <t>avverkningsanmälan</t>
        </is>
      </c>
      <c r="C3844" t="inlineStr">
        <is>
          <t>Föryngringsavverkning</t>
        </is>
      </c>
      <c r="D3844" s="1" t="n">
        <v>45749</v>
      </c>
      <c r="E3844" s="1" t="n">
        <v>46307</v>
      </c>
      <c r="F3844" t="inlineStr">
        <is>
          <t>VÄRMLANDS LÄN</t>
        </is>
      </c>
      <c r="G3844" t="inlineStr">
        <is>
          <t>EDA</t>
        </is>
      </c>
      <c r="I3844" t="n">
        <v>2.6</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45038-2025</t>
        </is>
      </c>
      <c r="B3845" t="inlineStr">
        <is>
          <t>avverkningsanmälan</t>
        </is>
      </c>
      <c r="C3845" t="inlineStr">
        <is>
          <t>Föryngringsavverkning</t>
        </is>
      </c>
      <c r="D3845" s="1" t="n">
        <v>45918</v>
      </c>
      <c r="E3845" s="1" t="n">
        <v>46307</v>
      </c>
      <c r="F3845" t="inlineStr">
        <is>
          <t>VÄRMLANDS LÄN</t>
        </is>
      </c>
      <c r="G3845" t="inlineStr">
        <is>
          <t>SUNNE</t>
        </is>
      </c>
      <c r="I3845" t="n">
        <v>3.2</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44845-2025</t>
        </is>
      </c>
      <c r="B3846" t="inlineStr">
        <is>
          <t>avverkningsanmälan</t>
        </is>
      </c>
      <c r="C3846" t="inlineStr">
        <is>
          <t>Föryngringsavverkning</t>
        </is>
      </c>
      <c r="D3846" s="1" t="n">
        <v>45918</v>
      </c>
      <c r="E3846" s="1" t="n">
        <v>46307</v>
      </c>
      <c r="F3846" t="inlineStr">
        <is>
          <t>VÄRMLANDS LÄN</t>
        </is>
      </c>
      <c r="G3846" t="inlineStr">
        <is>
          <t>EDA</t>
        </is>
      </c>
      <c r="H3846" t="inlineStr">
        <is>
          <t>Bergvik skog väst AB</t>
        </is>
      </c>
      <c r="I3846" t="n">
        <v>12.6</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46792-2024</t>
        </is>
      </c>
      <c r="B3847" t="inlineStr">
        <is>
          <t>avverkningsanmälan</t>
        </is>
      </c>
      <c r="C3847" t="inlineStr">
        <is>
          <t>Föryngringsavverkning</t>
        </is>
      </c>
      <c r="D3847" s="1" t="n">
        <v>45583</v>
      </c>
      <c r="E3847" s="1" t="n">
        <v>46307</v>
      </c>
      <c r="F3847" t="inlineStr">
        <is>
          <t>VÄRMLANDS LÄN</t>
        </is>
      </c>
      <c r="G3847" t="inlineStr">
        <is>
          <t>SUNNE</t>
        </is>
      </c>
      <c r="H3847" t="inlineStr">
        <is>
          <t>Kommuner</t>
        </is>
      </c>
      <c r="I3847" t="n">
        <v>0.8</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15951-2025</t>
        </is>
      </c>
      <c r="B3848" t="inlineStr">
        <is>
          <t>avverkningsanmälan</t>
        </is>
      </c>
      <c r="C3848" t="inlineStr">
        <is>
          <t>Föryngringsavverkning</t>
        </is>
      </c>
      <c r="D3848" s="1" t="n">
        <v>45749</v>
      </c>
      <c r="E3848" s="1" t="n">
        <v>46307</v>
      </c>
      <c r="F3848" t="inlineStr">
        <is>
          <t>VÄRMLANDS LÄN</t>
        </is>
      </c>
      <c r="G3848" t="inlineStr">
        <is>
          <t>ÅRJÄNG</t>
        </is>
      </c>
      <c r="H3848" t="inlineStr">
        <is>
          <t>Bergvik skog väst AB</t>
        </is>
      </c>
      <c r="I3848" t="n">
        <v>5.1</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21702-2024</t>
        </is>
      </c>
      <c r="B3849" t="inlineStr">
        <is>
          <t>avverkningsanmälan</t>
        </is>
      </c>
      <c r="C3849" t="inlineStr">
        <is>
          <t>Föryngringsavverkning</t>
        </is>
      </c>
      <c r="D3849" s="1" t="n">
        <v>45442</v>
      </c>
      <c r="E3849" s="1" t="n">
        <v>46307</v>
      </c>
      <c r="F3849" t="inlineStr">
        <is>
          <t>VÄRMLANDS LÄN</t>
        </is>
      </c>
      <c r="G3849" t="inlineStr">
        <is>
          <t>KRISTINEHAMN</t>
        </is>
      </c>
      <c r="I3849" t="n">
        <v>14.9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23044-2024</t>
        </is>
      </c>
      <c r="B3850" t="inlineStr">
        <is>
          <t>avverkningsanmälan</t>
        </is>
      </c>
      <c r="C3850" t="inlineStr">
        <is>
          <t>Föryngringsavverkning</t>
        </is>
      </c>
      <c r="D3850" s="1" t="n">
        <v>45450</v>
      </c>
      <c r="E3850" s="1" t="n">
        <v>46307</v>
      </c>
      <c r="F3850" t="inlineStr">
        <is>
          <t>VÄRMLANDS LÄN</t>
        </is>
      </c>
      <c r="G3850" t="inlineStr">
        <is>
          <t>TORSBY</t>
        </is>
      </c>
      <c r="I3850" t="n">
        <v>2.9</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8094-2025</t>
        </is>
      </c>
      <c r="B3851" t="inlineStr">
        <is>
          <t>avverkningsanmälan</t>
        </is>
      </c>
      <c r="C3851" t="inlineStr">
        <is>
          <t>Föryngringsavverkning</t>
        </is>
      </c>
      <c r="D3851" s="1" t="n">
        <v>45707</v>
      </c>
      <c r="E3851" s="1" t="n">
        <v>46307</v>
      </c>
      <c r="F3851" t="inlineStr">
        <is>
          <t>VÄRMLANDS LÄN</t>
        </is>
      </c>
      <c r="G3851" t="inlineStr">
        <is>
          <t>ÅRJÄNG</t>
        </is>
      </c>
      <c r="I3851" t="n">
        <v>12.6</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17833-2022</t>
        </is>
      </c>
      <c r="B3852" t="inlineStr">
        <is>
          <t>avverkningsanmälan</t>
        </is>
      </c>
      <c r="C3852" t="inlineStr">
        <is>
          <t>Föryngringsavverkning</t>
        </is>
      </c>
      <c r="D3852" s="1" t="n">
        <v>44683</v>
      </c>
      <c r="E3852" s="1" t="n">
        <v>46307</v>
      </c>
      <c r="F3852" t="inlineStr">
        <is>
          <t>VÄRMLANDS LÄN</t>
        </is>
      </c>
      <c r="G3852" t="inlineStr">
        <is>
          <t>HAGFORS</t>
        </is>
      </c>
      <c r="I3852" t="n">
        <v>2.3</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13533-2025</t>
        </is>
      </c>
      <c r="B3853" t="inlineStr">
        <is>
          <t>avverkningsanmälan</t>
        </is>
      </c>
      <c r="C3853" t="inlineStr">
        <is>
          <t>Föryngringsavverkning</t>
        </is>
      </c>
      <c r="D3853" s="1" t="n">
        <v>45736</v>
      </c>
      <c r="E3853" s="1" t="n">
        <v>46307</v>
      </c>
      <c r="F3853" t="inlineStr">
        <is>
          <t>VÄRMLANDS LÄN</t>
        </is>
      </c>
      <c r="G3853" t="inlineStr">
        <is>
          <t>SÄFFLE</t>
        </is>
      </c>
      <c r="I3853" t="n">
        <v>8.5</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22133-2025</t>
        </is>
      </c>
      <c r="B3854" t="inlineStr">
        <is>
          <t>avverkningsanmälan</t>
        </is>
      </c>
      <c r="C3854" t="inlineStr">
        <is>
          <t>Föryngringsavverkning</t>
        </is>
      </c>
      <c r="D3854" s="1" t="n">
        <v>45785</v>
      </c>
      <c r="E3854" s="1" t="n">
        <v>46307</v>
      </c>
      <c r="F3854" t="inlineStr">
        <is>
          <t>VÄRMLANDS LÄN</t>
        </is>
      </c>
      <c r="G3854" t="inlineStr">
        <is>
          <t>GRUMS</t>
        </is>
      </c>
      <c r="I3854" t="n">
        <v>4.7</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24704-2024</t>
        </is>
      </c>
      <c r="B3855" t="inlineStr">
        <is>
          <t>avverkningsanmälan</t>
        </is>
      </c>
      <c r="C3855" t="inlineStr">
        <is>
          <t>Föryngringsavverkning</t>
        </is>
      </c>
      <c r="D3855" s="1" t="n">
        <v>45460</v>
      </c>
      <c r="E3855" s="1" t="n">
        <v>46307</v>
      </c>
      <c r="F3855" t="inlineStr">
        <is>
          <t>VÄRMLANDS LÄN</t>
        </is>
      </c>
      <c r="G3855" t="inlineStr">
        <is>
          <t>SÄFFLE</t>
        </is>
      </c>
      <c r="I3855" t="n">
        <v>49.7</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24182-2024</t>
        </is>
      </c>
      <c r="B3856" t="inlineStr">
        <is>
          <t>avverkningsanmälan</t>
        </is>
      </c>
      <c r="C3856" t="inlineStr">
        <is>
          <t>Föryngringsavverkning</t>
        </is>
      </c>
      <c r="D3856" s="1" t="n">
        <v>45456</v>
      </c>
      <c r="E3856" s="1" t="n">
        <v>46307</v>
      </c>
      <c r="F3856" t="inlineStr">
        <is>
          <t>VÄRMLANDS LÄN</t>
        </is>
      </c>
      <c r="G3856" t="inlineStr">
        <is>
          <t>TORSBY</t>
        </is>
      </c>
      <c r="H3856" t="inlineStr">
        <is>
          <t>Bergvik skog väst AB</t>
        </is>
      </c>
      <c r="I3856" t="n">
        <v>28.9</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15248-2025</t>
        </is>
      </c>
      <c r="B3857" t="inlineStr">
        <is>
          <t>avverkningsanmälan</t>
        </is>
      </c>
      <c r="C3857" t="inlineStr">
        <is>
          <t>Föryngringsavverkning</t>
        </is>
      </c>
      <c r="D3857" s="1" t="n">
        <v>45744</v>
      </c>
      <c r="E3857" s="1" t="n">
        <v>46307</v>
      </c>
      <c r="F3857" t="inlineStr">
        <is>
          <t>VÄRMLANDS LÄN</t>
        </is>
      </c>
      <c r="G3857" t="inlineStr">
        <is>
          <t>ÅRJÄNG</t>
        </is>
      </c>
      <c r="I3857" t="n">
        <v>3.2</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1734-2023</t>
        </is>
      </c>
      <c r="B3858" t="inlineStr">
        <is>
          <t>avverkningsanmälan</t>
        </is>
      </c>
      <c r="C3858" t="inlineStr">
        <is>
          <t>Föryngringsavverkning</t>
        </is>
      </c>
      <c r="D3858" s="1" t="n">
        <v>44938</v>
      </c>
      <c r="E3858" s="1" t="n">
        <v>46307</v>
      </c>
      <c r="F3858" t="inlineStr">
        <is>
          <t>VÄRMLANDS LÄN</t>
        </is>
      </c>
      <c r="G3858" t="inlineStr">
        <is>
          <t>HAGFORS</t>
        </is>
      </c>
      <c r="I3858" t="n">
        <v>1.5</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47929-2023</t>
        </is>
      </c>
      <c r="B3859" t="inlineStr">
        <is>
          <t>avverkningsanmälan</t>
        </is>
      </c>
      <c r="C3859" t="inlineStr">
        <is>
          <t>Föryngringsavverkning</t>
        </is>
      </c>
      <c r="D3859" s="1" t="n">
        <v>45204</v>
      </c>
      <c r="E3859" s="1" t="n">
        <v>46307</v>
      </c>
      <c r="F3859" t="inlineStr">
        <is>
          <t>VÄRMLANDS LÄN</t>
        </is>
      </c>
      <c r="G3859" t="inlineStr">
        <is>
          <t>KARLSTAD</t>
        </is>
      </c>
      <c r="H3859" t="inlineStr">
        <is>
          <t>Kommuner</t>
        </is>
      </c>
      <c r="I3859" t="n">
        <v>0.6</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44615-2025</t>
        </is>
      </c>
      <c r="B3860" t="inlineStr">
        <is>
          <t>avverkningsanmälan</t>
        </is>
      </c>
      <c r="C3860" t="inlineStr">
        <is>
          <t>Föryngringsavverkning</t>
        </is>
      </c>
      <c r="D3860" s="1" t="n">
        <v>45917</v>
      </c>
      <c r="E3860" s="1" t="n">
        <v>46307</v>
      </c>
      <c r="F3860" t="inlineStr">
        <is>
          <t>VÄRMLANDS LÄN</t>
        </is>
      </c>
      <c r="G3860" t="inlineStr">
        <is>
          <t>KARLSTAD</t>
        </is>
      </c>
      <c r="I3860" t="n">
        <v>1</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43364-2023</t>
        </is>
      </c>
      <c r="B3861" t="inlineStr">
        <is>
          <t>avverkningsanmälan</t>
        </is>
      </c>
      <c r="C3861" t="inlineStr">
        <is>
          <t>Föryngringsavverkning</t>
        </is>
      </c>
      <c r="D3861" s="1" t="n">
        <v>45183</v>
      </c>
      <c r="E3861" s="1" t="n">
        <v>46307</v>
      </c>
      <c r="F3861" t="inlineStr">
        <is>
          <t>VÄRMLANDS LÄN</t>
        </is>
      </c>
      <c r="G3861" t="inlineStr">
        <is>
          <t>ARVIKA</t>
        </is>
      </c>
      <c r="I3861" t="n">
        <v>0.8</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10875-2022</t>
        </is>
      </c>
      <c r="B3862" t="inlineStr">
        <is>
          <t>avverkningsanmälan</t>
        </is>
      </c>
      <c r="C3862" t="inlineStr">
        <is>
          <t>Föryngringsavverkning</t>
        </is>
      </c>
      <c r="D3862" s="1" t="n">
        <v>44627</v>
      </c>
      <c r="E3862" s="1" t="n">
        <v>46307</v>
      </c>
      <c r="F3862" t="inlineStr">
        <is>
          <t>VÄRMLANDS LÄN</t>
        </is>
      </c>
      <c r="G3862" t="inlineStr">
        <is>
          <t>SÄFFLE</t>
        </is>
      </c>
      <c r="I3862" t="n">
        <v>2.2</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7445-2024</t>
        </is>
      </c>
      <c r="B3863" t="inlineStr">
        <is>
          <t>avverkningsanmälan</t>
        </is>
      </c>
      <c r="C3863" t="inlineStr">
        <is>
          <t>Föryngringsavverkning</t>
        </is>
      </c>
      <c r="D3863" s="1" t="n">
        <v>45345</v>
      </c>
      <c r="E3863" s="1" t="n">
        <v>46307</v>
      </c>
      <c r="F3863" t="inlineStr">
        <is>
          <t>VÄRMLANDS LÄN</t>
        </is>
      </c>
      <c r="G3863" t="inlineStr">
        <is>
          <t>ÅRJÄNG</t>
        </is>
      </c>
      <c r="I3863" t="n">
        <v>0.5</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31038-2023</t>
        </is>
      </c>
      <c r="B3864" t="inlineStr">
        <is>
          <t>avverkningsanmälan</t>
        </is>
      </c>
      <c r="C3864" t="inlineStr">
        <is>
          <t>Föryngringsavverkning</t>
        </is>
      </c>
      <c r="D3864" s="1" t="n">
        <v>45113</v>
      </c>
      <c r="E3864" s="1" t="n">
        <v>46307</v>
      </c>
      <c r="F3864" t="inlineStr">
        <is>
          <t>VÄRMLANDS LÄN</t>
        </is>
      </c>
      <c r="G3864" t="inlineStr">
        <is>
          <t>SUNNE</t>
        </is>
      </c>
      <c r="I3864" t="n">
        <v>3.2</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31053-2023</t>
        </is>
      </c>
      <c r="B3865" t="inlineStr">
        <is>
          <t>avverkningsanmälan</t>
        </is>
      </c>
      <c r="C3865" t="inlineStr">
        <is>
          <t>Föryngringsavverkning</t>
        </is>
      </c>
      <c r="D3865" s="1" t="n">
        <v>45113</v>
      </c>
      <c r="E3865" s="1" t="n">
        <v>46307</v>
      </c>
      <c r="F3865" t="inlineStr">
        <is>
          <t>VÄRMLANDS LÄN</t>
        </is>
      </c>
      <c r="G3865" t="inlineStr">
        <is>
          <t>ARVIKA</t>
        </is>
      </c>
      <c r="I3865" t="n">
        <v>2.7</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49245-2024</t>
        </is>
      </c>
      <c r="B3866" t="inlineStr">
        <is>
          <t>avverkningsanmälan</t>
        </is>
      </c>
      <c r="C3866" t="inlineStr">
        <is>
          <t>Föryngringsavverkning</t>
        </is>
      </c>
      <c r="D3866" s="1" t="n">
        <v>45595</v>
      </c>
      <c r="E3866" s="1" t="n">
        <v>46307</v>
      </c>
      <c r="F3866" t="inlineStr">
        <is>
          <t>VÄRMLANDS LÄN</t>
        </is>
      </c>
      <c r="G3866" t="inlineStr">
        <is>
          <t>KRISTINEHAMN</t>
        </is>
      </c>
      <c r="I3866" t="n">
        <v>2</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43336-2025</t>
        </is>
      </c>
      <c r="B3867" t="inlineStr">
        <is>
          <t>avverkningsanmälan</t>
        </is>
      </c>
      <c r="C3867" t="inlineStr">
        <is>
          <t>Föryngringsavverkning</t>
        </is>
      </c>
      <c r="D3867" s="1" t="n">
        <v>45910</v>
      </c>
      <c r="E3867" s="1" t="n">
        <v>46307</v>
      </c>
      <c r="F3867" t="inlineStr">
        <is>
          <t>VÄRMLANDS LÄN</t>
        </is>
      </c>
      <c r="G3867" t="inlineStr">
        <is>
          <t>EDA</t>
        </is>
      </c>
      <c r="I3867" t="n">
        <v>2.3</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54023-2024</t>
        </is>
      </c>
      <c r="B3868" t="inlineStr">
        <is>
          <t>avverkningsanmälan</t>
        </is>
      </c>
      <c r="C3868" t="inlineStr">
        <is>
          <t>Föryngringsavverkning</t>
        </is>
      </c>
      <c r="D3868" s="1" t="n">
        <v>45616</v>
      </c>
      <c r="E3868" s="1" t="n">
        <v>46307</v>
      </c>
      <c r="F3868" t="inlineStr">
        <is>
          <t>VÄRMLANDS LÄN</t>
        </is>
      </c>
      <c r="G3868" t="inlineStr">
        <is>
          <t>TORSBY</t>
        </is>
      </c>
      <c r="H3868" t="inlineStr">
        <is>
          <t>Kommuner</t>
        </is>
      </c>
      <c r="I3868" t="n">
        <v>3</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25435-2024</t>
        </is>
      </c>
      <c r="B3869" t="inlineStr">
        <is>
          <t>avverkningsanmälan</t>
        </is>
      </c>
      <c r="C3869" t="inlineStr">
        <is>
          <t>Föryngringsavverkning</t>
        </is>
      </c>
      <c r="D3869" s="1" t="n">
        <v>45463</v>
      </c>
      <c r="E3869" s="1" t="n">
        <v>46307</v>
      </c>
      <c r="F3869" t="inlineStr">
        <is>
          <t>VÄRMLANDS LÄN</t>
        </is>
      </c>
      <c r="G3869" t="inlineStr">
        <is>
          <t>KIL</t>
        </is>
      </c>
      <c r="H3869" t="inlineStr">
        <is>
          <t>Kyrkan</t>
        </is>
      </c>
      <c r="I3869" t="n">
        <v>2.3</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21468-2023</t>
        </is>
      </c>
      <c r="B3870" t="inlineStr">
        <is>
          <t>avverkningsanmälan</t>
        </is>
      </c>
      <c r="C3870" t="inlineStr">
        <is>
          <t>Föryngringsavverkning</t>
        </is>
      </c>
      <c r="D3870" s="1" t="n">
        <v>45063</v>
      </c>
      <c r="E3870" s="1" t="n">
        <v>46307</v>
      </c>
      <c r="F3870" t="inlineStr">
        <is>
          <t>VÄRMLANDS LÄN</t>
        </is>
      </c>
      <c r="G3870" t="inlineStr">
        <is>
          <t>ARVIKA</t>
        </is>
      </c>
      <c r="I3870" t="n">
        <v>3.6</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47002-2024</t>
        </is>
      </c>
      <c r="B3871" t="inlineStr">
        <is>
          <t>avverkningsanmälan</t>
        </is>
      </c>
      <c r="C3871" t="inlineStr">
        <is>
          <t>Föryngringsavverkning</t>
        </is>
      </c>
      <c r="D3871" s="1" t="n">
        <v>45586</v>
      </c>
      <c r="E3871" s="1" t="n">
        <v>46307</v>
      </c>
      <c r="F3871" t="inlineStr">
        <is>
          <t>VÄRMLANDS LÄN</t>
        </is>
      </c>
      <c r="G3871" t="inlineStr">
        <is>
          <t>FILIPSTAD</t>
        </is>
      </c>
      <c r="H3871" t="inlineStr">
        <is>
          <t>Bergvik skog väst AB</t>
        </is>
      </c>
      <c r="I3871" t="n">
        <v>3.1</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55036-2024</t>
        </is>
      </c>
      <c r="B3872" t="inlineStr">
        <is>
          <t>avverkningsanmälan</t>
        </is>
      </c>
      <c r="C3872" t="inlineStr">
        <is>
          <t>Föryngringsavverkning</t>
        </is>
      </c>
      <c r="D3872" s="1" t="n">
        <v>45621</v>
      </c>
      <c r="E3872" s="1" t="n">
        <v>46307</v>
      </c>
      <c r="F3872" t="inlineStr">
        <is>
          <t>VÄRMLANDS LÄN</t>
        </is>
      </c>
      <c r="G3872" t="inlineStr">
        <is>
          <t>TORSBY</t>
        </is>
      </c>
      <c r="I3872" t="n">
        <v>5.5</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49766-2023</t>
        </is>
      </c>
      <c r="B3873" t="inlineStr">
        <is>
          <t>avverkningsanmälan</t>
        </is>
      </c>
      <c r="C3873" t="inlineStr">
        <is>
          <t>Föryngringsavverkning</t>
        </is>
      </c>
      <c r="D3873" s="1" t="n">
        <v>45212</v>
      </c>
      <c r="E3873" s="1" t="n">
        <v>46307</v>
      </c>
      <c r="F3873" t="inlineStr">
        <is>
          <t>VÄRMLANDS LÄN</t>
        </is>
      </c>
      <c r="G3873" t="inlineStr">
        <is>
          <t>HAGFORS</t>
        </is>
      </c>
      <c r="H3873" t="inlineStr">
        <is>
          <t>Bergvik skog väst AB</t>
        </is>
      </c>
      <c r="I3873" t="n">
        <v>5.1</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37942-2024</t>
        </is>
      </c>
      <c r="B3874" t="inlineStr">
        <is>
          <t>avverkningsanmälan</t>
        </is>
      </c>
      <c r="C3874" t="inlineStr">
        <is>
          <t>Föryngringsavverkning</t>
        </is>
      </c>
      <c r="D3874" s="1" t="n">
        <v>45544</v>
      </c>
      <c r="E3874" s="1" t="n">
        <v>46307</v>
      </c>
      <c r="F3874" t="inlineStr">
        <is>
          <t>VÄRMLANDS LÄN</t>
        </is>
      </c>
      <c r="G3874" t="inlineStr">
        <is>
          <t>ARVIKA</t>
        </is>
      </c>
      <c r="I3874" t="n">
        <v>1.5</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9525-2024</t>
        </is>
      </c>
      <c r="B3875" t="inlineStr">
        <is>
          <t>avverkningsanmälan</t>
        </is>
      </c>
      <c r="C3875" t="inlineStr">
        <is>
          <t>Föryngringsavverkning</t>
        </is>
      </c>
      <c r="D3875" s="1" t="n">
        <v>45359</v>
      </c>
      <c r="E3875" s="1" t="n">
        <v>46307</v>
      </c>
      <c r="F3875" t="inlineStr">
        <is>
          <t>VÄRMLANDS LÄN</t>
        </is>
      </c>
      <c r="G3875" t="inlineStr">
        <is>
          <t>ARVIKA</t>
        </is>
      </c>
      <c r="I3875" t="n">
        <v>3.3</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44973-2024</t>
        </is>
      </c>
      <c r="B3876" t="inlineStr">
        <is>
          <t>avverkningsanmälan</t>
        </is>
      </c>
      <c r="C3876" t="inlineStr">
        <is>
          <t>Föryngringsavverkning</t>
        </is>
      </c>
      <c r="D3876" s="1" t="n">
        <v>45575</v>
      </c>
      <c r="E3876" s="1" t="n">
        <v>46307</v>
      </c>
      <c r="F3876" t="inlineStr">
        <is>
          <t>VÄRMLANDS LÄN</t>
        </is>
      </c>
      <c r="G3876" t="inlineStr">
        <is>
          <t>SÄFFLE</t>
        </is>
      </c>
      <c r="H3876" t="inlineStr">
        <is>
          <t>Bergvik skog väst AB</t>
        </is>
      </c>
      <c r="I3876" t="n">
        <v>0.6</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20471-2024</t>
        </is>
      </c>
      <c r="B3877" t="inlineStr">
        <is>
          <t>avverkningsanmälan</t>
        </is>
      </c>
      <c r="C3877" t="inlineStr">
        <is>
          <t>Föryngringsavverkning</t>
        </is>
      </c>
      <c r="D3877" s="1" t="n">
        <v>45435</v>
      </c>
      <c r="E3877" s="1" t="n">
        <v>46307</v>
      </c>
      <c r="F3877" t="inlineStr">
        <is>
          <t>VÄRMLANDS LÄN</t>
        </is>
      </c>
      <c r="G3877" t="inlineStr">
        <is>
          <t>EDA</t>
        </is>
      </c>
      <c r="I3877" t="n">
        <v>2.2</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20476-2024</t>
        </is>
      </c>
      <c r="B3878" t="inlineStr">
        <is>
          <t>avverkningsanmälan</t>
        </is>
      </c>
      <c r="C3878" t="inlineStr">
        <is>
          <t>Föryngringsavverkning</t>
        </is>
      </c>
      <c r="D3878" s="1" t="n">
        <v>45435</v>
      </c>
      <c r="E3878" s="1" t="n">
        <v>46307</v>
      </c>
      <c r="F3878" t="inlineStr">
        <is>
          <t>VÄRMLANDS LÄN</t>
        </is>
      </c>
      <c r="G3878" t="inlineStr">
        <is>
          <t>KIL</t>
        </is>
      </c>
      <c r="I3878" t="n">
        <v>0.8</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66056-2021</t>
        </is>
      </c>
      <c r="B3879" t="inlineStr">
        <is>
          <t>avverkningsanmälan</t>
        </is>
      </c>
      <c r="C3879" t="inlineStr">
        <is>
          <t>Föryngringsavverkning</t>
        </is>
      </c>
      <c r="D3879" s="1" t="n">
        <v>44517</v>
      </c>
      <c r="E3879" s="1" t="n">
        <v>46307</v>
      </c>
      <c r="F3879" t="inlineStr">
        <is>
          <t>VÄRMLANDS LÄN</t>
        </is>
      </c>
      <c r="G3879" t="inlineStr">
        <is>
          <t>GRUMS</t>
        </is>
      </c>
      <c r="I3879" t="n">
        <v>0.7</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45099-2025</t>
        </is>
      </c>
      <c r="B3880" t="inlineStr">
        <is>
          <t>avverkningsanmälan</t>
        </is>
      </c>
      <c r="C3880" t="inlineStr">
        <is>
          <t>Föryngringsavverkning</t>
        </is>
      </c>
      <c r="D3880" s="1" t="n">
        <v>45919</v>
      </c>
      <c r="E3880" s="1" t="n">
        <v>46307</v>
      </c>
      <c r="F3880" t="inlineStr">
        <is>
          <t>VÄRMLANDS LÄN</t>
        </is>
      </c>
      <c r="G3880" t="inlineStr">
        <is>
          <t>ÅRJÄNG</t>
        </is>
      </c>
      <c r="H3880" t="inlineStr">
        <is>
          <t>Övriga Aktiebolag</t>
        </is>
      </c>
      <c r="I3880" t="n">
        <v>4.7</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45380-2025</t>
        </is>
      </c>
      <c r="B3881" t="inlineStr">
        <is>
          <t>avverkningsanmälan</t>
        </is>
      </c>
      <c r="C3881" t="inlineStr">
        <is>
          <t>Föryngringsavverkning</t>
        </is>
      </c>
      <c r="D3881" s="1" t="n">
        <v>45922</v>
      </c>
      <c r="E3881" s="1" t="n">
        <v>46307</v>
      </c>
      <c r="F3881" t="inlineStr">
        <is>
          <t>VÄRMLANDS LÄN</t>
        </is>
      </c>
      <c r="G3881" t="inlineStr">
        <is>
          <t>TORSBY</t>
        </is>
      </c>
      <c r="I3881" t="n">
        <v>4.8</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56727-2024</t>
        </is>
      </c>
      <c r="B3882" t="inlineStr">
        <is>
          <t>avverkningsanmälan</t>
        </is>
      </c>
      <c r="C3882" t="inlineStr">
        <is>
          <t>Föryngringsavverkning</t>
        </is>
      </c>
      <c r="D3882" s="1" t="n">
        <v>45628</v>
      </c>
      <c r="E3882" s="1" t="n">
        <v>46307</v>
      </c>
      <c r="F3882" t="inlineStr">
        <is>
          <t>VÄRMLANDS LÄN</t>
        </is>
      </c>
      <c r="G3882" t="inlineStr">
        <is>
          <t>SUNNE</t>
        </is>
      </c>
      <c r="I3882" t="n">
        <v>3.1</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39124-2024</t>
        </is>
      </c>
      <c r="B3883" t="inlineStr">
        <is>
          <t>avverkningsanmälan</t>
        </is>
      </c>
      <c r="C3883" t="inlineStr">
        <is>
          <t>Föryngringsavverkning</t>
        </is>
      </c>
      <c r="D3883" s="1" t="n">
        <v>45548</v>
      </c>
      <c r="E3883" s="1" t="n">
        <v>46307</v>
      </c>
      <c r="F3883" t="inlineStr">
        <is>
          <t>VÄRMLANDS LÄN</t>
        </is>
      </c>
      <c r="G3883" t="inlineStr">
        <is>
          <t>ARVIKA</t>
        </is>
      </c>
      <c r="H3883" t="inlineStr">
        <is>
          <t>Bergvik skog väst AB</t>
        </is>
      </c>
      <c r="I3883" t="n">
        <v>3.9</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63409-2023</t>
        </is>
      </c>
      <c r="B3884" t="inlineStr">
        <is>
          <t>avverkningsanmälan</t>
        </is>
      </c>
      <c r="C3884" t="inlineStr">
        <is>
          <t>Föryngringsavverkning</t>
        </is>
      </c>
      <c r="D3884" s="1" t="n">
        <v>45274</v>
      </c>
      <c r="E3884" s="1" t="n">
        <v>46307</v>
      </c>
      <c r="F3884" t="inlineStr">
        <is>
          <t>VÄRMLANDS LÄN</t>
        </is>
      </c>
      <c r="G3884" t="inlineStr">
        <is>
          <t>TORSBY</t>
        </is>
      </c>
      <c r="I3884" t="n">
        <v>1.4</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63411-2023</t>
        </is>
      </c>
      <c r="B3885" t="inlineStr">
        <is>
          <t>avverkningsanmälan</t>
        </is>
      </c>
      <c r="C3885" t="inlineStr">
        <is>
          <t>Föryngringsavverkning</t>
        </is>
      </c>
      <c r="D3885" s="1" t="n">
        <v>45274</v>
      </c>
      <c r="E3885" s="1" t="n">
        <v>46307</v>
      </c>
      <c r="F3885" t="inlineStr">
        <is>
          <t>VÄRMLANDS LÄN</t>
        </is>
      </c>
      <c r="G3885" t="inlineStr">
        <is>
          <t>FILIPSTAD</t>
        </is>
      </c>
      <c r="I3885" t="n">
        <v>2.4</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45108-2025</t>
        </is>
      </c>
      <c r="B3886" t="inlineStr">
        <is>
          <t>avverkningsanmälan</t>
        </is>
      </c>
      <c r="C3886" t="inlineStr">
        <is>
          <t>Föryngringsavverkning</t>
        </is>
      </c>
      <c r="D3886" s="1" t="n">
        <v>45919</v>
      </c>
      <c r="E3886" s="1" t="n">
        <v>46307</v>
      </c>
      <c r="F3886" t="inlineStr">
        <is>
          <t>VÄRMLANDS LÄN</t>
        </is>
      </c>
      <c r="G3886" t="inlineStr">
        <is>
          <t>TORSBY</t>
        </is>
      </c>
      <c r="H3886" t="inlineStr">
        <is>
          <t>Bergvik skog väst AB</t>
        </is>
      </c>
      <c r="I3886" t="n">
        <v>24.4</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54654-2024</t>
        </is>
      </c>
      <c r="B3887" t="inlineStr">
        <is>
          <t>avverkningsanmälan</t>
        </is>
      </c>
      <c r="C3887" t="inlineStr">
        <is>
          <t>Föryngringsavverkning</t>
        </is>
      </c>
      <c r="D3887" s="1" t="n">
        <v>45617</v>
      </c>
      <c r="E3887" s="1" t="n">
        <v>46307</v>
      </c>
      <c r="F3887" t="inlineStr">
        <is>
          <t>VÄRMLANDS LÄN</t>
        </is>
      </c>
      <c r="G3887" t="inlineStr">
        <is>
          <t>SÄFFLE</t>
        </is>
      </c>
      <c r="I3887" t="n">
        <v>0.7</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42170-2024</t>
        </is>
      </c>
      <c r="B3888" t="inlineStr">
        <is>
          <t>avverkningsanmälan</t>
        </is>
      </c>
      <c r="C3888" t="inlineStr">
        <is>
          <t>Föryngringsavverkning</t>
        </is>
      </c>
      <c r="D3888" s="1" t="n">
        <v>45562</v>
      </c>
      <c r="E3888" s="1" t="n">
        <v>46307</v>
      </c>
      <c r="F3888" t="inlineStr">
        <is>
          <t>VÄRMLANDS LÄN</t>
        </is>
      </c>
      <c r="G3888" t="inlineStr">
        <is>
          <t>HAGFORS</t>
        </is>
      </c>
      <c r="H3888" t="inlineStr">
        <is>
          <t>Bergvik skog väst AB</t>
        </is>
      </c>
      <c r="I3888" t="n">
        <v>0.9</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42523-2023</t>
        </is>
      </c>
      <c r="B3889" t="inlineStr">
        <is>
          <t>avverkningsanmälan</t>
        </is>
      </c>
      <c r="C3889" t="inlineStr">
        <is>
          <t>Föryngringsavverkning</t>
        </is>
      </c>
      <c r="D3889" s="1" t="n">
        <v>45181</v>
      </c>
      <c r="E3889" s="1" t="n">
        <v>46307</v>
      </c>
      <c r="F3889" t="inlineStr">
        <is>
          <t>VÄRMLANDS LÄN</t>
        </is>
      </c>
      <c r="G3889" t="inlineStr">
        <is>
          <t>SUNNE</t>
        </is>
      </c>
      <c r="I3889" t="n">
        <v>0.5</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8625-2022</t>
        </is>
      </c>
      <c r="B3890" t="inlineStr">
        <is>
          <t>avverkningsanmälan</t>
        </is>
      </c>
      <c r="C3890" t="inlineStr">
        <is>
          <t>Föryngringsavverkning</t>
        </is>
      </c>
      <c r="D3890" s="1" t="n">
        <v>44613</v>
      </c>
      <c r="E3890" s="1" t="n">
        <v>46307</v>
      </c>
      <c r="F3890" t="inlineStr">
        <is>
          <t>VÄRMLANDS LÄN</t>
        </is>
      </c>
      <c r="G3890" t="inlineStr">
        <is>
          <t>ÅRJÄNG</t>
        </is>
      </c>
      <c r="I3890" t="n">
        <v>1</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54141-2024</t>
        </is>
      </c>
      <c r="B3891" t="inlineStr">
        <is>
          <t>avverkningsanmälan</t>
        </is>
      </c>
      <c r="C3891" t="inlineStr">
        <is>
          <t>Avverkning för att bevara och utveckla /försöksver</t>
        </is>
      </c>
      <c r="D3891" s="1" t="n">
        <v>45616</v>
      </c>
      <c r="E3891" s="1" t="n">
        <v>46307</v>
      </c>
      <c r="F3891" t="inlineStr">
        <is>
          <t>VÄRMLANDS LÄN</t>
        </is>
      </c>
      <c r="G3891" t="inlineStr">
        <is>
          <t>KARLSTAD</t>
        </is>
      </c>
      <c r="H3891" t="inlineStr">
        <is>
          <t>Bergvik skog väst AB</t>
        </is>
      </c>
      <c r="I3891" t="n">
        <v>2.1</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42171-2024</t>
        </is>
      </c>
      <c r="B3892" t="inlineStr">
        <is>
          <t>avverkningsanmälan</t>
        </is>
      </c>
      <c r="C3892" t="inlineStr">
        <is>
          <t>Föryngringsavverkning</t>
        </is>
      </c>
      <c r="D3892" s="1" t="n">
        <v>45562</v>
      </c>
      <c r="E3892" s="1" t="n">
        <v>46307</v>
      </c>
      <c r="F3892" t="inlineStr">
        <is>
          <t>VÄRMLANDS LÄN</t>
        </is>
      </c>
      <c r="G3892" t="inlineStr">
        <is>
          <t>HAGFORS</t>
        </is>
      </c>
      <c r="H3892" t="inlineStr">
        <is>
          <t>Bergvik skog väst AB</t>
        </is>
      </c>
      <c r="I3892" t="n">
        <v>0.9</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3752-2025</t>
        </is>
      </c>
      <c r="B3893" t="inlineStr">
        <is>
          <t>avverkningsanmälan</t>
        </is>
      </c>
      <c r="C3893" t="inlineStr">
        <is>
          <t>Föryngringsavverkning</t>
        </is>
      </c>
      <c r="D3893" s="1" t="n">
        <v>45681</v>
      </c>
      <c r="E3893" s="1" t="n">
        <v>46307</v>
      </c>
      <c r="F3893" t="inlineStr">
        <is>
          <t>VÄRMLANDS LÄN</t>
        </is>
      </c>
      <c r="G3893" t="inlineStr">
        <is>
          <t>SÄFFLE</t>
        </is>
      </c>
      <c r="I3893" t="n">
        <v>2.3</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42233-2024</t>
        </is>
      </c>
      <c r="B3894" t="inlineStr">
        <is>
          <t>avverkningsanmälan</t>
        </is>
      </c>
      <c r="C3894" t="inlineStr">
        <is>
          <t>Föryngringsavverkning</t>
        </is>
      </c>
      <c r="D3894" s="1" t="n">
        <v>45562</v>
      </c>
      <c r="E3894" s="1" t="n">
        <v>46307</v>
      </c>
      <c r="F3894" t="inlineStr">
        <is>
          <t>VÄRMLANDS LÄN</t>
        </is>
      </c>
      <c r="G3894" t="inlineStr">
        <is>
          <t>ÅRJÄNG</t>
        </is>
      </c>
      <c r="I3894" t="n">
        <v>9.800000000000001</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42243-2024</t>
        </is>
      </c>
      <c r="B3895" t="inlineStr">
        <is>
          <t>avverkningsanmälan</t>
        </is>
      </c>
      <c r="C3895" t="inlineStr">
        <is>
          <t>Föryngringsavverkning</t>
        </is>
      </c>
      <c r="D3895" s="1" t="n">
        <v>45562</v>
      </c>
      <c r="E3895" s="1" t="n">
        <v>46307</v>
      </c>
      <c r="F3895" t="inlineStr">
        <is>
          <t>VÄRMLANDS LÄN</t>
        </is>
      </c>
      <c r="G3895" t="inlineStr">
        <is>
          <t>HAGFORS</t>
        </is>
      </c>
      <c r="I3895" t="n">
        <v>3.1</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54173-2024</t>
        </is>
      </c>
      <c r="B3896" t="inlineStr">
        <is>
          <t>avverkningsanmälan</t>
        </is>
      </c>
      <c r="C3896" t="inlineStr">
        <is>
          <t>Föryngringsavverkning</t>
        </is>
      </c>
      <c r="D3896" s="1" t="n">
        <v>45616</v>
      </c>
      <c r="E3896" s="1" t="n">
        <v>46307</v>
      </c>
      <c r="F3896" t="inlineStr">
        <is>
          <t>VÄRMLANDS LÄN</t>
        </is>
      </c>
      <c r="G3896" t="inlineStr">
        <is>
          <t>EDA</t>
        </is>
      </c>
      <c r="I3896" t="n">
        <v>0.7</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45130-2025</t>
        </is>
      </c>
      <c r="B3897" t="inlineStr">
        <is>
          <t>avverkningsanmälan</t>
        </is>
      </c>
      <c r="C3897" t="inlineStr">
        <is>
          <t>Föryngringsavverkning</t>
        </is>
      </c>
      <c r="D3897" s="1" t="n">
        <v>45919</v>
      </c>
      <c r="E3897" s="1" t="n">
        <v>46307</v>
      </c>
      <c r="F3897" t="inlineStr">
        <is>
          <t>VÄRMLANDS LÄN</t>
        </is>
      </c>
      <c r="G3897" t="inlineStr">
        <is>
          <t>ÅRJÄNG</t>
        </is>
      </c>
      <c r="H3897" t="inlineStr">
        <is>
          <t>Övriga Aktiebolag</t>
        </is>
      </c>
      <c r="I3897" t="n">
        <v>1.2</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6448-2025</t>
        </is>
      </c>
      <c r="B3898" t="inlineStr">
        <is>
          <t>avverkningsanmälan</t>
        </is>
      </c>
      <c r="C3898" t="inlineStr">
        <is>
          <t>Föryngringsavverkning</t>
        </is>
      </c>
      <c r="D3898" s="1" t="n">
        <v>45699</v>
      </c>
      <c r="E3898" s="1" t="n">
        <v>46307</v>
      </c>
      <c r="F3898" t="inlineStr">
        <is>
          <t>VÄRMLANDS LÄN</t>
        </is>
      </c>
      <c r="G3898" t="inlineStr">
        <is>
          <t>TORSBY</t>
        </is>
      </c>
      <c r="I3898" t="n">
        <v>6.4</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34181-2024</t>
        </is>
      </c>
      <c r="B3899" t="inlineStr">
        <is>
          <t>avverkningsanmälan</t>
        </is>
      </c>
      <c r="C3899" t="inlineStr">
        <is>
          <t>Föryngringsavverkning</t>
        </is>
      </c>
      <c r="D3899" s="1" t="n">
        <v>45524</v>
      </c>
      <c r="E3899" s="1" t="n">
        <v>46307</v>
      </c>
      <c r="F3899" t="inlineStr">
        <is>
          <t>VÄRMLANDS LÄN</t>
        </is>
      </c>
      <c r="G3899" t="inlineStr">
        <is>
          <t>ÅRJÄNG</t>
        </is>
      </c>
      <c r="I3899" t="n">
        <v>0.8</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34184-2024</t>
        </is>
      </c>
      <c r="B3900" t="inlineStr">
        <is>
          <t>avverkningsanmälan</t>
        </is>
      </c>
      <c r="C3900" t="inlineStr">
        <is>
          <t>Föryngringsavverkning</t>
        </is>
      </c>
      <c r="D3900" s="1" t="n">
        <v>45524</v>
      </c>
      <c r="E3900" s="1" t="n">
        <v>46307</v>
      </c>
      <c r="F3900" t="inlineStr">
        <is>
          <t>VÄRMLANDS LÄN</t>
        </is>
      </c>
      <c r="G3900" t="inlineStr">
        <is>
          <t>ÅRJÄNG</t>
        </is>
      </c>
      <c r="I3900" t="n">
        <v>0.6</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36550-2023</t>
        </is>
      </c>
      <c r="B3901" t="inlineStr">
        <is>
          <t>avverkningsanmälan</t>
        </is>
      </c>
      <c r="C3901" t="inlineStr">
        <is>
          <t>Föryngringsavverkning</t>
        </is>
      </c>
      <c r="D3901" s="1" t="n">
        <v>45153</v>
      </c>
      <c r="E3901" s="1" t="n">
        <v>46307</v>
      </c>
      <c r="F3901" t="inlineStr">
        <is>
          <t>VÄRMLANDS LÄN</t>
        </is>
      </c>
      <c r="G3901" t="inlineStr">
        <is>
          <t>SUNNE</t>
        </is>
      </c>
      <c r="I3901" t="n">
        <v>3.4</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15014-2025</t>
        </is>
      </c>
      <c r="B3902" t="inlineStr">
        <is>
          <t>avverkningsanmälan</t>
        </is>
      </c>
      <c r="C3902" t="inlineStr">
        <is>
          <t>Föryngringsavverkning</t>
        </is>
      </c>
      <c r="D3902" s="1" t="n">
        <v>45743</v>
      </c>
      <c r="E3902" s="1" t="n">
        <v>46307</v>
      </c>
      <c r="F3902" t="inlineStr">
        <is>
          <t>VÄRMLANDS LÄN</t>
        </is>
      </c>
      <c r="G3902" t="inlineStr">
        <is>
          <t>TORSBY</t>
        </is>
      </c>
      <c r="I3902" t="n">
        <v>2.3</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5044-2025</t>
        </is>
      </c>
      <c r="B3903" t="inlineStr">
        <is>
          <t>avverkningsanmälan</t>
        </is>
      </c>
      <c r="C3903" t="inlineStr">
        <is>
          <t>Föryngringsavverkning</t>
        </is>
      </c>
      <c r="D3903" s="1" t="n">
        <v>45691</v>
      </c>
      <c r="E3903" s="1" t="n">
        <v>46307</v>
      </c>
      <c r="F3903" t="inlineStr">
        <is>
          <t>VÄRMLANDS LÄN</t>
        </is>
      </c>
      <c r="G3903" t="inlineStr">
        <is>
          <t>EDA</t>
        </is>
      </c>
      <c r="I3903" t="n">
        <v>1.4</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45245-2025</t>
        </is>
      </c>
      <c r="B3904" t="inlineStr">
        <is>
          <t>avverkningsanmälan</t>
        </is>
      </c>
      <c r="C3904" t="inlineStr">
        <is>
          <t>Föryngringsavverkning</t>
        </is>
      </c>
      <c r="D3904" s="1" t="n">
        <v>45919</v>
      </c>
      <c r="E3904" s="1" t="n">
        <v>46307</v>
      </c>
      <c r="F3904" t="inlineStr">
        <is>
          <t>VÄRMLANDS LÄN</t>
        </is>
      </c>
      <c r="G3904" t="inlineStr">
        <is>
          <t>TORSBY</t>
        </is>
      </c>
      <c r="H3904" t="inlineStr">
        <is>
          <t>Kyrkan</t>
        </is>
      </c>
      <c r="I3904" t="n">
        <v>2.8</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60477-2022</t>
        </is>
      </c>
      <c r="B3905" t="inlineStr">
        <is>
          <t>avverkningsanmälan</t>
        </is>
      </c>
      <c r="C3905" t="inlineStr">
        <is>
          <t>Föryngringsavverkning</t>
        </is>
      </c>
      <c r="D3905" s="1" t="n">
        <v>44911</v>
      </c>
      <c r="E3905" s="1" t="n">
        <v>46307</v>
      </c>
      <c r="F3905" t="inlineStr">
        <is>
          <t>VÄRMLANDS LÄN</t>
        </is>
      </c>
      <c r="G3905" t="inlineStr">
        <is>
          <t>EDA</t>
        </is>
      </c>
      <c r="I3905" t="n">
        <v>3.1</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7741-2025</t>
        </is>
      </c>
      <c r="B3906" t="inlineStr">
        <is>
          <t>avverkningsanmälan</t>
        </is>
      </c>
      <c r="C3906" t="inlineStr">
        <is>
          <t>Föryngringsavverkning</t>
        </is>
      </c>
      <c r="D3906" s="1" t="n">
        <v>45706</v>
      </c>
      <c r="E3906" s="1" t="n">
        <v>46307</v>
      </c>
      <c r="F3906" t="inlineStr">
        <is>
          <t>VÄRMLANDS LÄN</t>
        </is>
      </c>
      <c r="G3906" t="inlineStr">
        <is>
          <t>ARVIKA</t>
        </is>
      </c>
      <c r="H3906" t="inlineStr">
        <is>
          <t>Bergvik skog väst AB</t>
        </is>
      </c>
      <c r="I3906" t="n">
        <v>9.199999999999999</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7792-2025</t>
        </is>
      </c>
      <c r="B3907" t="inlineStr">
        <is>
          <t>avverkningsanmälan</t>
        </is>
      </c>
      <c r="C3907" t="inlineStr">
        <is>
          <t>Föryngringsavverkning</t>
        </is>
      </c>
      <c r="D3907" s="1" t="n">
        <v>45706</v>
      </c>
      <c r="E3907" s="1" t="n">
        <v>46307</v>
      </c>
      <c r="F3907" t="inlineStr">
        <is>
          <t>VÄRMLANDS LÄN</t>
        </is>
      </c>
      <c r="G3907" t="inlineStr">
        <is>
          <t>ARVIKA</t>
        </is>
      </c>
      <c r="H3907" t="inlineStr">
        <is>
          <t>Bergvik skog väst AB</t>
        </is>
      </c>
      <c r="I3907" t="n">
        <v>4.1</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51014-2024</t>
        </is>
      </c>
      <c r="B3908" t="inlineStr">
        <is>
          <t>avverkningsanmälan</t>
        </is>
      </c>
      <c r="C3908" t="inlineStr">
        <is>
          <t>Föryngringsavverkning</t>
        </is>
      </c>
      <c r="D3908" s="1" t="n">
        <v>45603</v>
      </c>
      <c r="E3908" s="1" t="n">
        <v>46307</v>
      </c>
      <c r="F3908" t="inlineStr">
        <is>
          <t>VÄRMLANDS LÄN</t>
        </is>
      </c>
      <c r="G3908" t="inlineStr">
        <is>
          <t>ARVIKA</t>
        </is>
      </c>
      <c r="I3908" t="n">
        <v>1.9</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48451-2024</t>
        </is>
      </c>
      <c r="B3909" t="inlineStr">
        <is>
          <t>avverkningsanmälan</t>
        </is>
      </c>
      <c r="C3909" t="inlineStr">
        <is>
          <t>Föryngringsavverkning</t>
        </is>
      </c>
      <c r="D3909" s="1" t="n">
        <v>45590</v>
      </c>
      <c r="E3909" s="1" t="n">
        <v>46307</v>
      </c>
      <c r="F3909" t="inlineStr">
        <is>
          <t>VÄRMLANDS LÄN</t>
        </is>
      </c>
      <c r="G3909" t="inlineStr">
        <is>
          <t>ARVIKA</t>
        </is>
      </c>
      <c r="H3909" t="inlineStr">
        <is>
          <t>Bergvik skog väst AB</t>
        </is>
      </c>
      <c r="I3909" t="n">
        <v>1.8</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41033-2023</t>
        </is>
      </c>
      <c r="B3910" t="inlineStr">
        <is>
          <t>avverkningsanmälan</t>
        </is>
      </c>
      <c r="C3910" t="inlineStr">
        <is>
          <t>Föryngringsavverkning</t>
        </is>
      </c>
      <c r="D3910" s="1" t="n">
        <v>45173</v>
      </c>
      <c r="E3910" s="1" t="n">
        <v>46307</v>
      </c>
      <c r="F3910" t="inlineStr">
        <is>
          <t>VÄRMLANDS LÄN</t>
        </is>
      </c>
      <c r="G3910" t="inlineStr">
        <is>
          <t>EDA</t>
        </is>
      </c>
      <c r="I3910" t="n">
        <v>0.9</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51033-2024</t>
        </is>
      </c>
      <c r="B3911" t="inlineStr">
        <is>
          <t>avverkningsanmälan</t>
        </is>
      </c>
      <c r="C3911" t="inlineStr">
        <is>
          <t>Föryngringsavverkning</t>
        </is>
      </c>
      <c r="D3911" s="1" t="n">
        <v>45603</v>
      </c>
      <c r="E3911" s="1" t="n">
        <v>46307</v>
      </c>
      <c r="F3911" t="inlineStr">
        <is>
          <t>VÄRMLANDS LÄN</t>
        </is>
      </c>
      <c r="G3911" t="inlineStr">
        <is>
          <t>EDA</t>
        </is>
      </c>
      <c r="I3911" t="n">
        <v>1.2</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422-2025</t>
        </is>
      </c>
      <c r="B3912" t="inlineStr">
        <is>
          <t>avverkningsanmälan</t>
        </is>
      </c>
      <c r="C3912" t="inlineStr">
        <is>
          <t>Föryngringsavverkning</t>
        </is>
      </c>
      <c r="D3912" s="1" t="n">
        <v>45664</v>
      </c>
      <c r="E3912" s="1" t="n">
        <v>46307</v>
      </c>
      <c r="F3912" t="inlineStr">
        <is>
          <t>VÄRMLANDS LÄN</t>
        </is>
      </c>
      <c r="G3912" t="inlineStr">
        <is>
          <t>FILIPSTAD</t>
        </is>
      </c>
      <c r="I3912" t="n">
        <v>2.3</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14622-2025</t>
        </is>
      </c>
      <c r="B3913" t="inlineStr">
        <is>
          <t>avverkningsanmälan</t>
        </is>
      </c>
      <c r="C3913" t="inlineStr">
        <is>
          <t>Föryngringsavverkning</t>
        </is>
      </c>
      <c r="D3913" s="1" t="n">
        <v>45742</v>
      </c>
      <c r="E3913" s="1" t="n">
        <v>46307</v>
      </c>
      <c r="F3913" t="inlineStr">
        <is>
          <t>VÄRMLANDS LÄN</t>
        </is>
      </c>
      <c r="G3913" t="inlineStr">
        <is>
          <t>ARVIKA</t>
        </is>
      </c>
      <c r="I3913" t="n">
        <v>2.4</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55390-2024</t>
        </is>
      </c>
      <c r="B3914" t="inlineStr">
        <is>
          <t>avverkningsanmälan</t>
        </is>
      </c>
      <c r="C3914" t="inlineStr">
        <is>
          <t>Föryngringsavverkning</t>
        </is>
      </c>
      <c r="D3914" s="1" t="n">
        <v>45622</v>
      </c>
      <c r="E3914" s="1" t="n">
        <v>46307</v>
      </c>
      <c r="F3914" t="inlineStr">
        <is>
          <t>VÄRMLANDS LÄN</t>
        </is>
      </c>
      <c r="G3914" t="inlineStr">
        <is>
          <t>SUNNE</t>
        </is>
      </c>
      <c r="I3914" t="n">
        <v>0.7</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45043-2025</t>
        </is>
      </c>
      <c r="B3915" t="inlineStr">
        <is>
          <t>avverkningsanmälan</t>
        </is>
      </c>
      <c r="C3915" t="inlineStr">
        <is>
          <t>Föryngringsavverkning</t>
        </is>
      </c>
      <c r="D3915" s="1" t="n">
        <v>45918</v>
      </c>
      <c r="E3915" s="1" t="n">
        <v>46307</v>
      </c>
      <c r="F3915" t="inlineStr">
        <is>
          <t>VÄRMLANDS LÄN</t>
        </is>
      </c>
      <c r="G3915" t="inlineStr">
        <is>
          <t>TORSBY</t>
        </is>
      </c>
      <c r="I3915" t="n">
        <v>1.4</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45153-2025</t>
        </is>
      </c>
      <c r="B3916" t="inlineStr">
        <is>
          <t>avverkningsanmälan</t>
        </is>
      </c>
      <c r="C3916" t="inlineStr">
        <is>
          <t>Föryngringsavverkning</t>
        </is>
      </c>
      <c r="D3916" s="1" t="n">
        <v>45919</v>
      </c>
      <c r="E3916" s="1" t="n">
        <v>46307</v>
      </c>
      <c r="F3916" t="inlineStr">
        <is>
          <t>VÄRMLANDS LÄN</t>
        </is>
      </c>
      <c r="G3916" t="inlineStr">
        <is>
          <t>MUNKFORS</t>
        </is>
      </c>
      <c r="I3916" t="n">
        <v>2.4</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45137-2025</t>
        </is>
      </c>
      <c r="B3917" t="inlineStr">
        <is>
          <t>avverkningsanmälan</t>
        </is>
      </c>
      <c r="C3917" t="inlineStr">
        <is>
          <t>Föryngringsavverkning</t>
        </is>
      </c>
      <c r="D3917" s="1" t="n">
        <v>45919</v>
      </c>
      <c r="E3917" s="1" t="n">
        <v>46307</v>
      </c>
      <c r="F3917" t="inlineStr">
        <is>
          <t>VÄRMLANDS LÄN</t>
        </is>
      </c>
      <c r="G3917" t="inlineStr">
        <is>
          <t>ÅRJÄNG</t>
        </is>
      </c>
      <c r="H3917" t="inlineStr">
        <is>
          <t>Övriga Aktiebolag</t>
        </is>
      </c>
      <c r="I3917" t="n">
        <v>1.9</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33085-2024</t>
        </is>
      </c>
      <c r="B3918" t="inlineStr">
        <is>
          <t>avverkningsanmälan</t>
        </is>
      </c>
      <c r="C3918" t="inlineStr">
        <is>
          <t>Föryngringsavverkning</t>
        </is>
      </c>
      <c r="D3918" s="1" t="n">
        <v>45517</v>
      </c>
      <c r="E3918" s="1" t="n">
        <v>46307</v>
      </c>
      <c r="F3918" t="inlineStr">
        <is>
          <t>VÄRMLANDS LÄN</t>
        </is>
      </c>
      <c r="G3918" t="inlineStr">
        <is>
          <t>TORSBY</t>
        </is>
      </c>
      <c r="I3918" t="n">
        <v>4.4</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36017-2024</t>
        </is>
      </c>
      <c r="B3919" t="inlineStr">
        <is>
          <t>avverkningsanmälan</t>
        </is>
      </c>
      <c r="C3919" t="inlineStr">
        <is>
          <t>Föryngringsavverkning</t>
        </is>
      </c>
      <c r="D3919" s="1" t="n">
        <v>45533</v>
      </c>
      <c r="E3919" s="1" t="n">
        <v>46307</v>
      </c>
      <c r="F3919" t="inlineStr">
        <is>
          <t>VÄRMLANDS LÄN</t>
        </is>
      </c>
      <c r="G3919" t="inlineStr">
        <is>
          <t>ÅRJÄNG</t>
        </is>
      </c>
      <c r="I3919" t="n">
        <v>1</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34047-2024</t>
        </is>
      </c>
      <c r="B3920" t="inlineStr">
        <is>
          <t>avverkningsanmälan</t>
        </is>
      </c>
      <c r="C3920" t="inlineStr">
        <is>
          <t>Föryngringsavverkning</t>
        </is>
      </c>
      <c r="D3920" s="1" t="n">
        <v>45523</v>
      </c>
      <c r="E3920" s="1" t="n">
        <v>46307</v>
      </c>
      <c r="F3920" t="inlineStr">
        <is>
          <t>VÄRMLANDS LÄN</t>
        </is>
      </c>
      <c r="G3920" t="inlineStr">
        <is>
          <t>SUNNE</t>
        </is>
      </c>
      <c r="I3920" t="n">
        <v>2.6</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14303-2023</t>
        </is>
      </c>
      <c r="B3921" t="inlineStr">
        <is>
          <t>avverkningsanmälan</t>
        </is>
      </c>
      <c r="C3921" t="inlineStr">
        <is>
          <t>Föryngringsavverkning</t>
        </is>
      </c>
      <c r="D3921" s="1" t="n">
        <v>45011</v>
      </c>
      <c r="E3921" s="1" t="n">
        <v>46307</v>
      </c>
      <c r="F3921" t="inlineStr">
        <is>
          <t>VÄRMLANDS LÄN</t>
        </is>
      </c>
      <c r="G3921" t="inlineStr">
        <is>
          <t>TORSBY</t>
        </is>
      </c>
      <c r="I3921" t="n">
        <v>1</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38887-2024</t>
        </is>
      </c>
      <c r="B3922" t="inlineStr">
        <is>
          <t>avverkningsanmälan</t>
        </is>
      </c>
      <c r="C3922" t="inlineStr">
        <is>
          <t>Föryngringsavverkning</t>
        </is>
      </c>
      <c r="D3922" s="1" t="n">
        <v>45547</v>
      </c>
      <c r="E3922" s="1" t="n">
        <v>46307</v>
      </c>
      <c r="F3922" t="inlineStr">
        <is>
          <t>VÄRMLANDS LÄN</t>
        </is>
      </c>
      <c r="G3922" t="inlineStr">
        <is>
          <t>HAGFORS</t>
        </is>
      </c>
      <c r="I3922" t="n">
        <v>1.3</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43179-2023</t>
        </is>
      </c>
      <c r="B3923" t="inlineStr">
        <is>
          <t>avverkningsanmälan</t>
        </is>
      </c>
      <c r="C3923" t="inlineStr">
        <is>
          <t>Föryngringsavverkning</t>
        </is>
      </c>
      <c r="D3923" s="1" t="n">
        <v>45183</v>
      </c>
      <c r="E3923" s="1" t="n">
        <v>46307</v>
      </c>
      <c r="F3923" t="inlineStr">
        <is>
          <t>VÄRMLANDS LÄN</t>
        </is>
      </c>
      <c r="G3923" t="inlineStr">
        <is>
          <t>TORSBY</t>
        </is>
      </c>
      <c r="I3923" t="n">
        <v>2.1</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33495-2024</t>
        </is>
      </c>
      <c r="B3924" t="inlineStr">
        <is>
          <t>avverkningsanmälan</t>
        </is>
      </c>
      <c r="C3924" t="inlineStr">
        <is>
          <t>Föryngringsavverkning</t>
        </is>
      </c>
      <c r="D3924" s="1" t="n">
        <v>45519</v>
      </c>
      <c r="E3924" s="1" t="n">
        <v>46307</v>
      </c>
      <c r="F3924" t="inlineStr">
        <is>
          <t>VÄRMLANDS LÄN</t>
        </is>
      </c>
      <c r="G3924" t="inlineStr">
        <is>
          <t>TORSBY</t>
        </is>
      </c>
      <c r="I3924" t="n">
        <v>2.5</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45324-2025</t>
        </is>
      </c>
      <c r="B3925" t="inlineStr">
        <is>
          <t>avverkningsanmälan</t>
        </is>
      </c>
      <c r="C3925" t="inlineStr">
        <is>
          <t>Föryngringsavverkning</t>
        </is>
      </c>
      <c r="D3925" s="1" t="n">
        <v>45922</v>
      </c>
      <c r="E3925" s="1" t="n">
        <v>46307</v>
      </c>
      <c r="F3925" t="inlineStr">
        <is>
          <t>VÄRMLANDS LÄN</t>
        </is>
      </c>
      <c r="G3925" t="inlineStr">
        <is>
          <t>ARVIKA</t>
        </is>
      </c>
      <c r="H3925" t="inlineStr">
        <is>
          <t>Bergvik skog väst AB</t>
        </is>
      </c>
      <c r="I3925" t="n">
        <v>4.1</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45332-2025</t>
        </is>
      </c>
      <c r="B3926" t="inlineStr">
        <is>
          <t>avverkningsanmälan</t>
        </is>
      </c>
      <c r="C3926" t="inlineStr">
        <is>
          <t>Föryngringsavverkning</t>
        </is>
      </c>
      <c r="D3926" s="1" t="n">
        <v>45922</v>
      </c>
      <c r="E3926" s="1" t="n">
        <v>46307</v>
      </c>
      <c r="F3926" t="inlineStr">
        <is>
          <t>VÄRMLANDS LÄN</t>
        </is>
      </c>
      <c r="G3926" t="inlineStr">
        <is>
          <t>ÅRJÄNG</t>
        </is>
      </c>
      <c r="H3926" t="inlineStr">
        <is>
          <t>Bergvik skog väst AB</t>
        </is>
      </c>
      <c r="I3926" t="n">
        <v>1.8</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34427-2023</t>
        </is>
      </c>
      <c r="B3927" t="inlineStr">
        <is>
          <t>avverkningsanmälan</t>
        </is>
      </c>
      <c r="C3927" t="inlineStr">
        <is>
          <t>Föryngringsavverkning</t>
        </is>
      </c>
      <c r="D3927" s="1" t="n">
        <v>45139</v>
      </c>
      <c r="E3927" s="1" t="n">
        <v>46307</v>
      </c>
      <c r="F3927" t="inlineStr">
        <is>
          <t>VÄRMLANDS LÄN</t>
        </is>
      </c>
      <c r="G3927" t="inlineStr">
        <is>
          <t>TORSBY</t>
        </is>
      </c>
      <c r="I3927" t="n">
        <v>3.9</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29897-2024</t>
        </is>
      </c>
      <c r="B3928" t="inlineStr">
        <is>
          <t>avverkningsanmälan</t>
        </is>
      </c>
      <c r="C3928" t="inlineStr">
        <is>
          <t>Föryngringsavverkning</t>
        </is>
      </c>
      <c r="D3928" s="1" t="n">
        <v>45487</v>
      </c>
      <c r="E3928" s="1" t="n">
        <v>46307</v>
      </c>
      <c r="F3928" t="inlineStr">
        <is>
          <t>VÄRMLANDS LÄN</t>
        </is>
      </c>
      <c r="G3928" t="inlineStr">
        <is>
          <t>TORSBY</t>
        </is>
      </c>
      <c r="I3928" t="n">
        <v>1.9</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29940-2024</t>
        </is>
      </c>
      <c r="B3929" t="inlineStr">
        <is>
          <t>avverkningsanmälan</t>
        </is>
      </c>
      <c r="C3929" t="inlineStr">
        <is>
          <t>Föryngringsavverkning</t>
        </is>
      </c>
      <c r="D3929" s="1" t="n">
        <v>45488</v>
      </c>
      <c r="E3929" s="1" t="n">
        <v>46307</v>
      </c>
      <c r="F3929" t="inlineStr">
        <is>
          <t>VÄRMLANDS LÄN</t>
        </is>
      </c>
      <c r="G3929" t="inlineStr">
        <is>
          <t>SUNNE</t>
        </is>
      </c>
      <c r="I3929" t="n">
        <v>2.3</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5012-2023</t>
        </is>
      </c>
      <c r="B3930" t="inlineStr">
        <is>
          <t>avverkningsanmälan</t>
        </is>
      </c>
      <c r="C3930" t="inlineStr">
        <is>
          <t>Avverkning för annat ändamål</t>
        </is>
      </c>
      <c r="D3930" s="1" t="n">
        <v>44953</v>
      </c>
      <c r="E3930" s="1" t="n">
        <v>46307</v>
      </c>
      <c r="F3930" t="inlineStr">
        <is>
          <t>VÄRMLANDS LÄN</t>
        </is>
      </c>
      <c r="G3930" t="inlineStr">
        <is>
          <t>SUNNE</t>
        </is>
      </c>
      <c r="I3930" t="n">
        <v>2.2</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24113-2024</t>
        </is>
      </c>
      <c r="B3931" t="inlineStr">
        <is>
          <t>avverkningsanmälan</t>
        </is>
      </c>
      <c r="C3931" t="inlineStr">
        <is>
          <t>Föryngringsavverkning</t>
        </is>
      </c>
      <c r="D3931" s="1" t="n">
        <v>45456</v>
      </c>
      <c r="E3931" s="1" t="n">
        <v>46307</v>
      </c>
      <c r="F3931" t="inlineStr">
        <is>
          <t>VÄRMLANDS LÄN</t>
        </is>
      </c>
      <c r="G3931" t="inlineStr">
        <is>
          <t>TORSBY</t>
        </is>
      </c>
      <c r="I3931" t="n">
        <v>1.2</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41175-2024</t>
        </is>
      </c>
      <c r="B3932" t="inlineStr">
        <is>
          <t>avverkningsanmälan</t>
        </is>
      </c>
      <c r="C3932" t="inlineStr">
        <is>
          <t>Föryngringsavverkning</t>
        </is>
      </c>
      <c r="D3932" s="1" t="n">
        <v>45559</v>
      </c>
      <c r="E3932" s="1" t="n">
        <v>46307</v>
      </c>
      <c r="F3932" t="inlineStr">
        <is>
          <t>VÄRMLANDS LÄN</t>
        </is>
      </c>
      <c r="G3932" t="inlineStr">
        <is>
          <t>ARVIKA</t>
        </is>
      </c>
      <c r="I3932" t="n">
        <v>1.1</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71886-2021</t>
        </is>
      </c>
      <c r="B3933" t="inlineStr">
        <is>
          <t>avverkningsanmälan</t>
        </is>
      </c>
      <c r="C3933" t="inlineStr">
        <is>
          <t>Föryngringsavverkning</t>
        </is>
      </c>
      <c r="D3933" s="1" t="n">
        <v>44543</v>
      </c>
      <c r="E3933" s="1" t="n">
        <v>46307</v>
      </c>
      <c r="F3933" t="inlineStr">
        <is>
          <t>VÄRMLANDS LÄN</t>
        </is>
      </c>
      <c r="G3933" t="inlineStr">
        <is>
          <t>ARVIKA</t>
        </is>
      </c>
      <c r="I3933" t="n">
        <v>8</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18082-2024</t>
        </is>
      </c>
      <c r="B3934" t="inlineStr">
        <is>
          <t>avverkningsanmälan</t>
        </is>
      </c>
      <c r="C3934" t="inlineStr">
        <is>
          <t>Föryngringsavverkning</t>
        </is>
      </c>
      <c r="D3934" s="1" t="n">
        <v>45420</v>
      </c>
      <c r="E3934" s="1" t="n">
        <v>46307</v>
      </c>
      <c r="F3934" t="inlineStr">
        <is>
          <t>VÄRMLANDS LÄN</t>
        </is>
      </c>
      <c r="G3934" t="inlineStr">
        <is>
          <t>ARVIKA</t>
        </is>
      </c>
      <c r="I3934" t="n">
        <v>0.9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15087-2023</t>
        </is>
      </c>
      <c r="B3935" t="inlineStr">
        <is>
          <t>avverkningsanmälan</t>
        </is>
      </c>
      <c r="C3935" t="inlineStr">
        <is>
          <t>Föryngringsavverkning</t>
        </is>
      </c>
      <c r="D3935" s="1" t="n">
        <v>45016</v>
      </c>
      <c r="E3935" s="1" t="n">
        <v>46307</v>
      </c>
      <c r="F3935" t="inlineStr">
        <is>
          <t>VÄRMLANDS LÄN</t>
        </is>
      </c>
      <c r="G3935" t="inlineStr">
        <is>
          <t>TORSBY</t>
        </is>
      </c>
      <c r="H3935" t="inlineStr">
        <is>
          <t>Bergvik skog väst AB</t>
        </is>
      </c>
      <c r="I3935" t="n">
        <v>11.4</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35065-2023</t>
        </is>
      </c>
      <c r="B3936" t="inlineStr">
        <is>
          <t>avverkningsanmälan</t>
        </is>
      </c>
      <c r="C3936" t="inlineStr">
        <is>
          <t>Föryngringsavverkning</t>
        </is>
      </c>
      <c r="D3936" s="1" t="n">
        <v>45145</v>
      </c>
      <c r="E3936" s="1" t="n">
        <v>46307</v>
      </c>
      <c r="F3936" t="inlineStr">
        <is>
          <t>VÄRMLANDS LÄN</t>
        </is>
      </c>
      <c r="G3936" t="inlineStr">
        <is>
          <t>HAGFORS</t>
        </is>
      </c>
      <c r="I3936" t="n">
        <v>13.5</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33582-2024</t>
        </is>
      </c>
      <c r="B3937" t="inlineStr">
        <is>
          <t>avverkningsanmälan</t>
        </is>
      </c>
      <c r="C3937" t="inlineStr">
        <is>
          <t>Föryngringsavverkning</t>
        </is>
      </c>
      <c r="D3937" s="1" t="n">
        <v>45520</v>
      </c>
      <c r="E3937" s="1" t="n">
        <v>46307</v>
      </c>
      <c r="F3937" t="inlineStr">
        <is>
          <t>VÄRMLANDS LÄN</t>
        </is>
      </c>
      <c r="G3937" t="inlineStr">
        <is>
          <t>SUNNE</t>
        </is>
      </c>
      <c r="H3937" t="inlineStr">
        <is>
          <t>Bergvik skog väst AB</t>
        </is>
      </c>
      <c r="I3937" t="n">
        <v>2.7</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34636-2024</t>
        </is>
      </c>
      <c r="B3938" t="inlineStr">
        <is>
          <t>avverkningsanmälan</t>
        </is>
      </c>
      <c r="C3938" t="inlineStr">
        <is>
          <t>Föryngringsavverkning</t>
        </is>
      </c>
      <c r="D3938" s="1" t="n">
        <v>45526</v>
      </c>
      <c r="E3938" s="1" t="n">
        <v>46307</v>
      </c>
      <c r="F3938" t="inlineStr">
        <is>
          <t>VÄRMLANDS LÄN</t>
        </is>
      </c>
      <c r="G3938" t="inlineStr">
        <is>
          <t>HAGFORS</t>
        </is>
      </c>
      <c r="H3938" t="inlineStr">
        <is>
          <t>Bergvik skog väst AB</t>
        </is>
      </c>
      <c r="I3938" t="n">
        <v>0.8</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45452-2025</t>
        </is>
      </c>
      <c r="B3939" t="inlineStr">
        <is>
          <t>avverkningsanmälan</t>
        </is>
      </c>
      <c r="C3939" t="inlineStr">
        <is>
          <t>Föryngringsavverkning</t>
        </is>
      </c>
      <c r="D3939" s="1" t="n">
        <v>45922</v>
      </c>
      <c r="E3939" s="1" t="n">
        <v>46307</v>
      </c>
      <c r="F3939" t="inlineStr">
        <is>
          <t>VÄRMLANDS LÄN</t>
        </is>
      </c>
      <c r="G3939" t="inlineStr">
        <is>
          <t>SUNNE</t>
        </is>
      </c>
      <c r="I3939" t="n">
        <v>1.7</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37557-2024</t>
        </is>
      </c>
      <c r="B3940" t="inlineStr">
        <is>
          <t>avverkningsanmälan</t>
        </is>
      </c>
      <c r="C3940" t="inlineStr">
        <is>
          <t>Föryngringsavverkning</t>
        </is>
      </c>
      <c r="D3940" s="1" t="n">
        <v>45541</v>
      </c>
      <c r="E3940" s="1" t="n">
        <v>46307</v>
      </c>
      <c r="F3940" t="inlineStr">
        <is>
          <t>VÄRMLANDS LÄN</t>
        </is>
      </c>
      <c r="G3940" t="inlineStr">
        <is>
          <t>EDA</t>
        </is>
      </c>
      <c r="I3940" t="n">
        <v>2.8</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45192-2025</t>
        </is>
      </c>
      <c r="B3941" t="inlineStr">
        <is>
          <t>avverkningsanmälan</t>
        </is>
      </c>
      <c r="C3941" t="inlineStr">
        <is>
          <t>Föryngringsavverkning</t>
        </is>
      </c>
      <c r="D3941" s="1" t="n">
        <v>45919</v>
      </c>
      <c r="E3941" s="1" t="n">
        <v>46307</v>
      </c>
      <c r="F3941" t="inlineStr">
        <is>
          <t>VÄRMLANDS LÄN</t>
        </is>
      </c>
      <c r="G3941" t="inlineStr">
        <is>
          <t>ÅRJÄNG</t>
        </is>
      </c>
      <c r="H3941" t="inlineStr">
        <is>
          <t>Bergvik skog väst AB</t>
        </is>
      </c>
      <c r="I3941" t="n">
        <v>3.8</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42377-2023</t>
        </is>
      </c>
      <c r="B3942" t="inlineStr">
        <is>
          <t>avverkningsanmälan</t>
        </is>
      </c>
      <c r="C3942" t="inlineStr">
        <is>
          <t>Föryngringsavverkning</t>
        </is>
      </c>
      <c r="D3942" s="1" t="n">
        <v>45180</v>
      </c>
      <c r="E3942" s="1" t="n">
        <v>46307</v>
      </c>
      <c r="F3942" t="inlineStr">
        <is>
          <t>VÄRMLANDS LÄN</t>
        </is>
      </c>
      <c r="G3942" t="inlineStr">
        <is>
          <t>SUNNE</t>
        </is>
      </c>
      <c r="I3942" t="n">
        <v>2.6</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57146-2024</t>
        </is>
      </c>
      <c r="B3943" t="inlineStr">
        <is>
          <t>avverkningsanmälan</t>
        </is>
      </c>
      <c r="C3943" t="inlineStr">
        <is>
          <t>Föryngringsavverkning</t>
        </is>
      </c>
      <c r="D3943" s="1" t="n">
        <v>45629</v>
      </c>
      <c r="E3943" s="1" t="n">
        <v>46307</v>
      </c>
      <c r="F3943" t="inlineStr">
        <is>
          <t>VÄRMLANDS LÄN</t>
        </is>
      </c>
      <c r="G3943" t="inlineStr">
        <is>
          <t>KARLSTAD</t>
        </is>
      </c>
      <c r="I3943" t="n">
        <v>9.300000000000001</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57158-2024</t>
        </is>
      </c>
      <c r="B3944" t="inlineStr">
        <is>
          <t>avverkningsanmälan</t>
        </is>
      </c>
      <c r="C3944" t="inlineStr">
        <is>
          <t>Föryngringsavverkning</t>
        </is>
      </c>
      <c r="D3944" s="1" t="n">
        <v>45628</v>
      </c>
      <c r="E3944" s="1" t="n">
        <v>46307</v>
      </c>
      <c r="F3944" t="inlineStr">
        <is>
          <t>VÄRMLANDS LÄN</t>
        </is>
      </c>
      <c r="G3944" t="inlineStr">
        <is>
          <t>ÅRJÄNG</t>
        </is>
      </c>
      <c r="I3944" t="n">
        <v>6.3</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45298-2025</t>
        </is>
      </c>
      <c r="B3945" t="inlineStr">
        <is>
          <t>avverkningsanmälan</t>
        </is>
      </c>
      <c r="C3945" t="inlineStr">
        <is>
          <t>Avverkning för annat ändamål</t>
        </is>
      </c>
      <c r="D3945" s="1" t="n">
        <v>45920</v>
      </c>
      <c r="E3945" s="1" t="n">
        <v>46307</v>
      </c>
      <c r="F3945" t="inlineStr">
        <is>
          <t>VÄRMLANDS LÄN</t>
        </is>
      </c>
      <c r="G3945" t="inlineStr">
        <is>
          <t>EDA</t>
        </is>
      </c>
      <c r="I3945" t="n">
        <v>3.6</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45515-2025</t>
        </is>
      </c>
      <c r="B3946" t="inlineStr">
        <is>
          <t>avverkningsanmälan</t>
        </is>
      </c>
      <c r="C3946" t="inlineStr">
        <is>
          <t>Föryngringsavverkning</t>
        </is>
      </c>
      <c r="D3946" s="1" t="n">
        <v>45922</v>
      </c>
      <c r="E3946" s="1" t="n">
        <v>46307</v>
      </c>
      <c r="F3946" t="inlineStr">
        <is>
          <t>VÄRMLANDS LÄN</t>
        </is>
      </c>
      <c r="G3946" t="inlineStr">
        <is>
          <t>ÅRJÄNG</t>
        </is>
      </c>
      <c r="I3946" t="n">
        <v>1.8</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45590-2025</t>
        </is>
      </c>
      <c r="B3947" t="inlineStr">
        <is>
          <t>avverkningsanmälan</t>
        </is>
      </c>
      <c r="C3947" t="inlineStr">
        <is>
          <t>Föryngringsavverkning</t>
        </is>
      </c>
      <c r="D3947" s="1" t="n">
        <v>45922</v>
      </c>
      <c r="E3947" s="1" t="n">
        <v>46307</v>
      </c>
      <c r="F3947" t="inlineStr">
        <is>
          <t>VÄRMLANDS LÄN</t>
        </is>
      </c>
      <c r="G3947" t="inlineStr">
        <is>
          <t>ÅRJÄNG</t>
        </is>
      </c>
      <c r="I3947" t="n">
        <v>3.2</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57162-2024</t>
        </is>
      </c>
      <c r="B3948" t="inlineStr">
        <is>
          <t>avverkningsanmälan</t>
        </is>
      </c>
      <c r="C3948" t="inlineStr">
        <is>
          <t>Föryngringsavverkning</t>
        </is>
      </c>
      <c r="D3948" s="1" t="n">
        <v>45629</v>
      </c>
      <c r="E3948" s="1" t="n">
        <v>46307</v>
      </c>
      <c r="F3948" t="inlineStr">
        <is>
          <t>VÄRMLANDS LÄN</t>
        </is>
      </c>
      <c r="G3948" t="inlineStr">
        <is>
          <t>HAGFORS</t>
        </is>
      </c>
      <c r="I3948" t="n">
        <v>1.2</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44623-2023</t>
        </is>
      </c>
      <c r="B3949" t="inlineStr">
        <is>
          <t>avverkningsanmälan</t>
        </is>
      </c>
      <c r="C3949" t="inlineStr">
        <is>
          <t>Föryngringsavverkning</t>
        </is>
      </c>
      <c r="D3949" s="1" t="n">
        <v>45189</v>
      </c>
      <c r="E3949" s="1" t="n">
        <v>46307</v>
      </c>
      <c r="F3949" t="inlineStr">
        <is>
          <t>VÄRMLANDS LÄN</t>
        </is>
      </c>
      <c r="G3949" t="inlineStr">
        <is>
          <t>SUNNE</t>
        </is>
      </c>
      <c r="I3949" t="n">
        <v>1.4</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45599-2025</t>
        </is>
      </c>
      <c r="B3950" t="inlineStr">
        <is>
          <t>avverkningsanmälan</t>
        </is>
      </c>
      <c r="C3950" t="inlineStr">
        <is>
          <t>Föryngringsavverkning</t>
        </is>
      </c>
      <c r="D3950" s="1" t="n">
        <v>45922</v>
      </c>
      <c r="E3950" s="1" t="n">
        <v>46307</v>
      </c>
      <c r="F3950" t="inlineStr">
        <is>
          <t>VÄRMLANDS LÄN</t>
        </is>
      </c>
      <c r="G3950" t="inlineStr">
        <is>
          <t>ÅRJÄNG</t>
        </is>
      </c>
      <c r="I3950" t="n">
        <v>6.7</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3397-2022</t>
        </is>
      </c>
      <c r="B3951" t="inlineStr">
        <is>
          <t>avverkningsanmälan</t>
        </is>
      </c>
      <c r="C3951" t="inlineStr">
        <is>
          <t>Föryngringsavverkning</t>
        </is>
      </c>
      <c r="D3951" s="1" t="n">
        <v>44585</v>
      </c>
      <c r="E3951" s="1" t="n">
        <v>46307</v>
      </c>
      <c r="F3951" t="inlineStr">
        <is>
          <t>VÄRMLANDS LÄN</t>
        </is>
      </c>
      <c r="G3951" t="inlineStr">
        <is>
          <t>TORSBY</t>
        </is>
      </c>
      <c r="I3951" t="n">
        <v>2</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45159-2025</t>
        </is>
      </c>
      <c r="B3952" t="inlineStr">
        <is>
          <t>avverkningsanmälan</t>
        </is>
      </c>
      <c r="C3952" t="inlineStr">
        <is>
          <t>Föryngringsavverkning</t>
        </is>
      </c>
      <c r="D3952" s="1" t="n">
        <v>45919</v>
      </c>
      <c r="E3952" s="1" t="n">
        <v>46307</v>
      </c>
      <c r="F3952" t="inlineStr">
        <is>
          <t>VÄRMLANDS LÄN</t>
        </is>
      </c>
      <c r="G3952" t="inlineStr">
        <is>
          <t>ÅRJÄNG</t>
        </is>
      </c>
      <c r="H3952" t="inlineStr">
        <is>
          <t>Bergvik skog väst AB</t>
        </is>
      </c>
      <c r="I3952" t="n">
        <v>1.1</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45178-2025</t>
        </is>
      </c>
      <c r="B3953" t="inlineStr">
        <is>
          <t>avverkningsanmälan</t>
        </is>
      </c>
      <c r="C3953" t="inlineStr">
        <is>
          <t>Föryngringsavverkning</t>
        </is>
      </c>
      <c r="D3953" s="1" t="n">
        <v>45919</v>
      </c>
      <c r="E3953" s="1" t="n">
        <v>46307</v>
      </c>
      <c r="F3953" t="inlineStr">
        <is>
          <t>VÄRMLANDS LÄN</t>
        </is>
      </c>
      <c r="G3953" t="inlineStr">
        <is>
          <t>SUNNE</t>
        </is>
      </c>
      <c r="H3953" t="inlineStr">
        <is>
          <t>Kommuner</t>
        </is>
      </c>
      <c r="I3953" t="n">
        <v>4.9</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45581-2025</t>
        </is>
      </c>
      <c r="B3954" t="inlineStr">
        <is>
          <t>avverkningsanmälan</t>
        </is>
      </c>
      <c r="C3954" t="inlineStr">
        <is>
          <t>Föryngringsavverkning</t>
        </is>
      </c>
      <c r="D3954" s="1" t="n">
        <v>45922</v>
      </c>
      <c r="E3954" s="1" t="n">
        <v>46307</v>
      </c>
      <c r="F3954" t="inlineStr">
        <is>
          <t>VÄRMLANDS LÄN</t>
        </is>
      </c>
      <c r="G3954" t="inlineStr">
        <is>
          <t>ÅRJÄNG</t>
        </is>
      </c>
      <c r="I3954" t="n">
        <v>1.2</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30520-2024</t>
        </is>
      </c>
      <c r="B3955" t="inlineStr">
        <is>
          <t>avverkningsanmälan</t>
        </is>
      </c>
      <c r="C3955" t="inlineStr">
        <is>
          <t>Föryngringsavverkning</t>
        </is>
      </c>
      <c r="D3955" s="1" t="n">
        <v>45492</v>
      </c>
      <c r="E3955" s="1" t="n">
        <v>46307</v>
      </c>
      <c r="F3955" t="inlineStr">
        <is>
          <t>VÄRMLANDS LÄN</t>
        </is>
      </c>
      <c r="G3955" t="inlineStr">
        <is>
          <t>HAGFORS</t>
        </is>
      </c>
      <c r="H3955" t="inlineStr">
        <is>
          <t>Kyrkan</t>
        </is>
      </c>
      <c r="I3955" t="n">
        <v>6</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18925-2024</t>
        </is>
      </c>
      <c r="B3956" t="inlineStr">
        <is>
          <t>avverkningsanmälan</t>
        </is>
      </c>
      <c r="C3956" t="inlineStr">
        <is>
          <t>Föryngringsavverkning</t>
        </is>
      </c>
      <c r="D3956" s="1" t="n">
        <v>45427</v>
      </c>
      <c r="E3956" s="1" t="n">
        <v>46307</v>
      </c>
      <c r="F3956" t="inlineStr">
        <is>
          <t>VÄRMLANDS LÄN</t>
        </is>
      </c>
      <c r="G3956" t="inlineStr">
        <is>
          <t>SÄFFLE</t>
        </is>
      </c>
      <c r="I3956" t="n">
        <v>7.7</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57220-2024</t>
        </is>
      </c>
      <c r="B3957" t="inlineStr">
        <is>
          <t>avverkningsanmälan</t>
        </is>
      </c>
      <c r="C3957" t="inlineStr">
        <is>
          <t>Föryngringsavverkning</t>
        </is>
      </c>
      <c r="D3957" s="1" t="n">
        <v>45629</v>
      </c>
      <c r="E3957" s="1" t="n">
        <v>46307</v>
      </c>
      <c r="F3957" t="inlineStr">
        <is>
          <t>VÄRMLANDS LÄN</t>
        </is>
      </c>
      <c r="G3957" t="inlineStr">
        <is>
          <t>KIL</t>
        </is>
      </c>
      <c r="I3957" t="n">
        <v>5.5</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60626-2024</t>
        </is>
      </c>
      <c r="B3958" t="inlineStr">
        <is>
          <t>avverkningsanmälan</t>
        </is>
      </c>
      <c r="C3958" t="inlineStr">
        <is>
          <t>Föryngringsavverkning</t>
        </is>
      </c>
      <c r="D3958" s="1" t="n">
        <v>45642</v>
      </c>
      <c r="E3958" s="1" t="n">
        <v>46307</v>
      </c>
      <c r="F3958" t="inlineStr">
        <is>
          <t>VÄRMLANDS LÄN</t>
        </is>
      </c>
      <c r="G3958" t="inlineStr">
        <is>
          <t>TORSBY</t>
        </is>
      </c>
      <c r="I3958" t="n">
        <v>1</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40518-2024</t>
        </is>
      </c>
      <c r="B3959" t="inlineStr">
        <is>
          <t>avverkningsanmälan</t>
        </is>
      </c>
      <c r="C3959" t="inlineStr">
        <is>
          <t>Föryngringsavverkning</t>
        </is>
      </c>
      <c r="D3959" s="1" t="n">
        <v>45555</v>
      </c>
      <c r="E3959" s="1" t="n">
        <v>46307</v>
      </c>
      <c r="F3959" t="inlineStr">
        <is>
          <t>VÄRMLANDS LÄN</t>
        </is>
      </c>
      <c r="G3959" t="inlineStr">
        <is>
          <t>SÄFFLE</t>
        </is>
      </c>
      <c r="I3959" t="n">
        <v>2.1</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45508-2025</t>
        </is>
      </c>
      <c r="B3960" t="inlineStr">
        <is>
          <t>avverkningsanmälan</t>
        </is>
      </c>
      <c r="C3960" t="inlineStr">
        <is>
          <t>Föryngringsavverkning</t>
        </is>
      </c>
      <c r="D3960" s="1" t="n">
        <v>45922</v>
      </c>
      <c r="E3960" s="1" t="n">
        <v>46307</v>
      </c>
      <c r="F3960" t="inlineStr">
        <is>
          <t>VÄRMLANDS LÄN</t>
        </is>
      </c>
      <c r="G3960" t="inlineStr">
        <is>
          <t>TORSBY</t>
        </is>
      </c>
      <c r="I3960" t="n">
        <v>2.5</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48449-2024</t>
        </is>
      </c>
      <c r="B3961" t="inlineStr">
        <is>
          <t>avverkningsanmälan</t>
        </is>
      </c>
      <c r="C3961" t="inlineStr">
        <is>
          <t>Föryngringsavverkning</t>
        </is>
      </c>
      <c r="D3961" s="1" t="n">
        <v>45590</v>
      </c>
      <c r="E3961" s="1" t="n">
        <v>46307</v>
      </c>
      <c r="F3961" t="inlineStr">
        <is>
          <t>VÄRMLANDS LÄN</t>
        </is>
      </c>
      <c r="G3961" t="inlineStr">
        <is>
          <t>ARVIKA</t>
        </is>
      </c>
      <c r="H3961" t="inlineStr">
        <is>
          <t>Bergvik skog väst AB</t>
        </is>
      </c>
      <c r="I3961" t="n">
        <v>1</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2849-2023</t>
        </is>
      </c>
      <c r="B3962" t="inlineStr">
        <is>
          <t>avverkningsanmälan</t>
        </is>
      </c>
      <c r="C3962" t="inlineStr">
        <is>
          <t>Föryngringsavverkning</t>
        </is>
      </c>
      <c r="D3962" s="1" t="n">
        <v>44945</v>
      </c>
      <c r="E3962" s="1" t="n">
        <v>46307</v>
      </c>
      <c r="F3962" t="inlineStr">
        <is>
          <t>VÄRMLANDS LÄN</t>
        </is>
      </c>
      <c r="G3962" t="inlineStr">
        <is>
          <t>ARVIKA</t>
        </is>
      </c>
      <c r="H3962" t="inlineStr">
        <is>
          <t>Bergvik skog väst AB</t>
        </is>
      </c>
      <c r="I3962" t="n">
        <v>0.4</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26995-2024</t>
        </is>
      </c>
      <c r="B3963" t="inlineStr">
        <is>
          <t>avverkningsanmälan</t>
        </is>
      </c>
      <c r="C3963" t="inlineStr">
        <is>
          <t>Föryngringsavverkning</t>
        </is>
      </c>
      <c r="D3963" s="1" t="n">
        <v>45471</v>
      </c>
      <c r="E3963" s="1" t="n">
        <v>46307</v>
      </c>
      <c r="F3963" t="inlineStr">
        <is>
          <t>VÄRMLANDS LÄN</t>
        </is>
      </c>
      <c r="G3963" t="inlineStr">
        <is>
          <t>SUNNE</t>
        </is>
      </c>
      <c r="H3963" t="inlineStr">
        <is>
          <t>Bergvik skog väst AB</t>
        </is>
      </c>
      <c r="I3963" t="n">
        <v>2</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17001-2024</t>
        </is>
      </c>
      <c r="B3964" t="inlineStr">
        <is>
          <t>avverkningsanmälan</t>
        </is>
      </c>
      <c r="C3964" t="inlineStr">
        <is>
          <t>Föryngringsavverkning</t>
        </is>
      </c>
      <c r="D3964" s="1" t="n">
        <v>45412</v>
      </c>
      <c r="E3964" s="1" t="n">
        <v>46307</v>
      </c>
      <c r="F3964" t="inlineStr">
        <is>
          <t>VÄRMLANDS LÄN</t>
        </is>
      </c>
      <c r="G3964" t="inlineStr">
        <is>
          <t>TORSBY</t>
        </is>
      </c>
      <c r="I3964" t="n">
        <v>3.6</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55719-2024</t>
        </is>
      </c>
      <c r="B3965" t="inlineStr">
        <is>
          <t>avverkningsanmälan</t>
        </is>
      </c>
      <c r="C3965" t="inlineStr">
        <is>
          <t>Föryngringsavverkning</t>
        </is>
      </c>
      <c r="D3965" s="1" t="n">
        <v>45622</v>
      </c>
      <c r="E3965" s="1" t="n">
        <v>46307</v>
      </c>
      <c r="F3965" t="inlineStr">
        <is>
          <t>VÄRMLANDS LÄN</t>
        </is>
      </c>
      <c r="G3965" t="inlineStr">
        <is>
          <t>KRISTINEHAMN</t>
        </is>
      </c>
      <c r="I3965" t="n">
        <v>1.2</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45355-2025</t>
        </is>
      </c>
      <c r="B3966" t="inlineStr">
        <is>
          <t>avverkningsanmälan</t>
        </is>
      </c>
      <c r="C3966" t="inlineStr">
        <is>
          <t>Föryngringsavverkning</t>
        </is>
      </c>
      <c r="D3966" s="1" t="n">
        <v>45922</v>
      </c>
      <c r="E3966" s="1" t="n">
        <v>46307</v>
      </c>
      <c r="F3966" t="inlineStr">
        <is>
          <t>VÄRMLANDS LÄN</t>
        </is>
      </c>
      <c r="G3966" t="inlineStr">
        <is>
          <t>HAGFORS</t>
        </is>
      </c>
      <c r="I3966" t="n">
        <v>2.6</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60207-2024</t>
        </is>
      </c>
      <c r="B3967" t="inlineStr">
        <is>
          <t>avverkningsanmälan</t>
        </is>
      </c>
      <c r="C3967" t="inlineStr">
        <is>
          <t>Föryngringsavverkning</t>
        </is>
      </c>
      <c r="D3967" s="1" t="n">
        <v>45642</v>
      </c>
      <c r="E3967" s="1" t="n">
        <v>46307</v>
      </c>
      <c r="F3967" t="inlineStr">
        <is>
          <t>VÄRMLANDS LÄN</t>
        </is>
      </c>
      <c r="G3967" t="inlineStr">
        <is>
          <t>TORSBY</t>
        </is>
      </c>
      <c r="I3967" t="n">
        <v>2.6</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17687-2024</t>
        </is>
      </c>
      <c r="B3968" t="inlineStr">
        <is>
          <t>avverkningsanmälan</t>
        </is>
      </c>
      <c r="C3968" t="inlineStr">
        <is>
          <t>Föryngringsavverkning</t>
        </is>
      </c>
      <c r="D3968" s="1" t="n">
        <v>45418</v>
      </c>
      <c r="E3968" s="1" t="n">
        <v>46307</v>
      </c>
      <c r="F3968" t="inlineStr">
        <is>
          <t>VÄRMLANDS LÄN</t>
        </is>
      </c>
      <c r="G3968" t="inlineStr">
        <is>
          <t>TORSBY</t>
        </is>
      </c>
      <c r="I3968" t="n">
        <v>1.9</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74268-2021</t>
        </is>
      </c>
      <c r="B3969" t="inlineStr">
        <is>
          <t>avverkningsanmälan</t>
        </is>
      </c>
      <c r="C3969" t="inlineStr">
        <is>
          <t>Föryngringsavverkning</t>
        </is>
      </c>
      <c r="D3969" s="1" t="n">
        <v>44558</v>
      </c>
      <c r="E3969" s="1" t="n">
        <v>46307</v>
      </c>
      <c r="F3969" t="inlineStr">
        <is>
          <t>VÄRMLANDS LÄN</t>
        </is>
      </c>
      <c r="G3969" t="inlineStr">
        <is>
          <t>SUNNE</t>
        </is>
      </c>
      <c r="I3969" t="n">
        <v>3.2</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17794-2024</t>
        </is>
      </c>
      <c r="B3970" t="inlineStr">
        <is>
          <t>avverkningsanmälan</t>
        </is>
      </c>
      <c r="C3970" t="inlineStr">
        <is>
          <t>Föryngringsavverkning</t>
        </is>
      </c>
      <c r="D3970" s="1" t="n">
        <v>45418</v>
      </c>
      <c r="E3970" s="1" t="n">
        <v>46307</v>
      </c>
      <c r="F3970" t="inlineStr">
        <is>
          <t>VÄRMLANDS LÄN</t>
        </is>
      </c>
      <c r="G3970" t="inlineStr">
        <is>
          <t>FILIPSTAD</t>
        </is>
      </c>
      <c r="I3970" t="n">
        <v>2.2</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2014-2023</t>
        </is>
      </c>
      <c r="B3971" t="inlineStr">
        <is>
          <t>avverkningsanmälan</t>
        </is>
      </c>
      <c r="C3971" t="inlineStr">
        <is>
          <t>Föryngringsavverkning</t>
        </is>
      </c>
      <c r="D3971" s="1" t="n">
        <v>44939</v>
      </c>
      <c r="E3971" s="1" t="n">
        <v>46307</v>
      </c>
      <c r="F3971" t="inlineStr">
        <is>
          <t>VÄRMLANDS LÄN</t>
        </is>
      </c>
      <c r="G3971" t="inlineStr">
        <is>
          <t>SUNNE</t>
        </is>
      </c>
      <c r="I3971" t="n">
        <v>6.4</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58540-2024</t>
        </is>
      </c>
      <c r="B3972" t="inlineStr">
        <is>
          <t>avverkningsanmälan</t>
        </is>
      </c>
      <c r="C3972" t="inlineStr">
        <is>
          <t>Föryngringsavverkning</t>
        </is>
      </c>
      <c r="D3972" s="1" t="n">
        <v>45635</v>
      </c>
      <c r="E3972" s="1" t="n">
        <v>46307</v>
      </c>
      <c r="F3972" t="inlineStr">
        <is>
          <t>VÄRMLANDS LÄN</t>
        </is>
      </c>
      <c r="G3972" t="inlineStr">
        <is>
          <t>ÅRJÄNG</t>
        </is>
      </c>
      <c r="I3972" t="n">
        <v>1.4</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45357-2025</t>
        </is>
      </c>
      <c r="B3973" t="inlineStr">
        <is>
          <t>avverkningsanmälan</t>
        </is>
      </c>
      <c r="C3973" t="inlineStr">
        <is>
          <t>Föryngringsavverkning</t>
        </is>
      </c>
      <c r="D3973" s="1" t="n">
        <v>45922</v>
      </c>
      <c r="E3973" s="1" t="n">
        <v>46307</v>
      </c>
      <c r="F3973" t="inlineStr">
        <is>
          <t>VÄRMLANDS LÄN</t>
        </is>
      </c>
      <c r="G3973" t="inlineStr">
        <is>
          <t>TORSBY</t>
        </is>
      </c>
      <c r="I3973" t="n">
        <v>0.8</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54185-2022</t>
        </is>
      </c>
      <c r="B3974" t="inlineStr">
        <is>
          <t>avverkningsanmälan</t>
        </is>
      </c>
      <c r="C3974" t="inlineStr">
        <is>
          <t>Föryngringsavverkning</t>
        </is>
      </c>
      <c r="D3974" s="1" t="n">
        <v>44881</v>
      </c>
      <c r="E3974" s="1" t="n">
        <v>46307</v>
      </c>
      <c r="F3974" t="inlineStr">
        <is>
          <t>VÄRMLANDS LÄN</t>
        </is>
      </c>
      <c r="G3974" t="inlineStr">
        <is>
          <t>EDA</t>
        </is>
      </c>
      <c r="H3974" t="inlineStr">
        <is>
          <t>Övriga Aktiebolag</t>
        </is>
      </c>
      <c r="I3974" t="n">
        <v>1.7</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30267-2023</t>
        </is>
      </c>
      <c r="B3975" t="inlineStr">
        <is>
          <t>avverkningsanmälan</t>
        </is>
      </c>
      <c r="C3975" t="inlineStr">
        <is>
          <t>Föryngringsavverkning</t>
        </is>
      </c>
      <c r="D3975" s="1" t="n">
        <v>45110</v>
      </c>
      <c r="E3975" s="1" t="n">
        <v>46307</v>
      </c>
      <c r="F3975" t="inlineStr">
        <is>
          <t>VÄRMLANDS LÄN</t>
        </is>
      </c>
      <c r="G3975" t="inlineStr">
        <is>
          <t>TORSBY</t>
        </is>
      </c>
      <c r="I3975" t="n">
        <v>2.1</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30269-2023</t>
        </is>
      </c>
      <c r="B3976" t="inlineStr">
        <is>
          <t>avverkningsanmälan</t>
        </is>
      </c>
      <c r="C3976" t="inlineStr">
        <is>
          <t>Föryngringsavverkning</t>
        </is>
      </c>
      <c r="D3976" s="1" t="n">
        <v>45110</v>
      </c>
      <c r="E3976" s="1" t="n">
        <v>46307</v>
      </c>
      <c r="F3976" t="inlineStr">
        <is>
          <t>VÄRMLANDS LÄN</t>
        </is>
      </c>
      <c r="G3976" t="inlineStr">
        <is>
          <t>TORSBY</t>
        </is>
      </c>
      <c r="I3976" t="n">
        <v>1.4</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4566-2022</t>
        </is>
      </c>
      <c r="B3977" t="inlineStr">
        <is>
          <t>avverkningsanmälan</t>
        </is>
      </c>
      <c r="C3977" t="inlineStr">
        <is>
          <t>Föryngringsavverkning</t>
        </is>
      </c>
      <c r="D3977" s="1" t="n">
        <v>44591</v>
      </c>
      <c r="E3977" s="1" t="n">
        <v>46307</v>
      </c>
      <c r="F3977" t="inlineStr">
        <is>
          <t>VÄRMLANDS LÄN</t>
        </is>
      </c>
      <c r="G3977" t="inlineStr">
        <is>
          <t>SUNNE</t>
        </is>
      </c>
      <c r="I3977" t="n">
        <v>2.1</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70926-2021</t>
        </is>
      </c>
      <c r="B3978" t="inlineStr">
        <is>
          <t>avverkningsanmälan</t>
        </is>
      </c>
      <c r="C3978" t="inlineStr">
        <is>
          <t>Föryngringsavverkning</t>
        </is>
      </c>
      <c r="D3978" s="1" t="n">
        <v>44538</v>
      </c>
      <c r="E3978" s="1" t="n">
        <v>46307</v>
      </c>
      <c r="F3978" t="inlineStr">
        <is>
          <t>VÄRMLANDS LÄN</t>
        </is>
      </c>
      <c r="G3978" t="inlineStr">
        <is>
          <t>TORSBY</t>
        </is>
      </c>
      <c r="I3978" t="n">
        <v>6.5</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45313-2025</t>
        </is>
      </c>
      <c r="B3979" t="inlineStr">
        <is>
          <t>avverkningsanmälan</t>
        </is>
      </c>
      <c r="C3979" t="inlineStr">
        <is>
          <t>Föryngringsavverkning</t>
        </is>
      </c>
      <c r="D3979" s="1" t="n">
        <v>45921</v>
      </c>
      <c r="E3979" s="1" t="n">
        <v>46307</v>
      </c>
      <c r="F3979" t="inlineStr">
        <is>
          <t>VÄRMLANDS LÄN</t>
        </is>
      </c>
      <c r="G3979" t="inlineStr">
        <is>
          <t>ARVIKA</t>
        </is>
      </c>
      <c r="I3979" t="n">
        <v>1.2</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73753-2021</t>
        </is>
      </c>
      <c r="B3980" t="inlineStr">
        <is>
          <t>avverkningsanmälan</t>
        </is>
      </c>
      <c r="C3980" t="inlineStr">
        <is>
          <t>Föryngringsavverkning</t>
        </is>
      </c>
      <c r="D3980" s="1" t="n">
        <v>44552</v>
      </c>
      <c r="E3980" s="1" t="n">
        <v>46307</v>
      </c>
      <c r="F3980" t="inlineStr">
        <is>
          <t>VÄRMLANDS LÄN</t>
        </is>
      </c>
      <c r="G3980" t="inlineStr">
        <is>
          <t>KARLSTAD</t>
        </is>
      </c>
      <c r="H3980" t="inlineStr">
        <is>
          <t>Kyrkan</t>
        </is>
      </c>
      <c r="I3980" t="n">
        <v>1.5</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62428-2022</t>
        </is>
      </c>
      <c r="B3981" t="inlineStr">
        <is>
          <t>avverkningsanmälan</t>
        </is>
      </c>
      <c r="C3981" t="inlineStr">
        <is>
          <t>Föryngringsavverkning</t>
        </is>
      </c>
      <c r="D3981" s="1" t="n">
        <v>44924</v>
      </c>
      <c r="E3981" s="1" t="n">
        <v>46307</v>
      </c>
      <c r="F3981" t="inlineStr">
        <is>
          <t>VÄRMLANDS LÄN</t>
        </is>
      </c>
      <c r="G3981" t="inlineStr">
        <is>
          <t>ARVIKA</t>
        </is>
      </c>
      <c r="I3981" t="n">
        <v>10</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2818-2022</t>
        </is>
      </c>
      <c r="B3982" t="inlineStr">
        <is>
          <t>avverkningsanmälan</t>
        </is>
      </c>
      <c r="C3982" t="inlineStr">
        <is>
          <t>Föryngringsavverkning</t>
        </is>
      </c>
      <c r="D3982" s="1" t="n">
        <v>44581</v>
      </c>
      <c r="E3982" s="1" t="n">
        <v>46307</v>
      </c>
      <c r="F3982" t="inlineStr">
        <is>
          <t>VÄRMLANDS LÄN</t>
        </is>
      </c>
      <c r="G3982" t="inlineStr">
        <is>
          <t>FORSHAGA</t>
        </is>
      </c>
      <c r="I3982" t="n">
        <v>11</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22715-2025</t>
        </is>
      </c>
      <c r="B3983" t="inlineStr">
        <is>
          <t>avverkningsanmälan</t>
        </is>
      </c>
      <c r="C3983" t="inlineStr">
        <is>
          <t>Föryngringsavverkning</t>
        </is>
      </c>
      <c r="D3983" s="1" t="n">
        <v>45789</v>
      </c>
      <c r="E3983" s="1" t="n">
        <v>46307</v>
      </c>
      <c r="F3983" t="inlineStr">
        <is>
          <t>VÄRMLANDS LÄN</t>
        </is>
      </c>
      <c r="G3983" t="inlineStr">
        <is>
          <t>TORSBY</t>
        </is>
      </c>
      <c r="H3983" t="inlineStr">
        <is>
          <t>Kyrkan</t>
        </is>
      </c>
      <c r="I3983" t="n">
        <v>2</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9394-2024</t>
        </is>
      </c>
      <c r="B3984" t="inlineStr">
        <is>
          <t>avverkningsanmälan</t>
        </is>
      </c>
      <c r="C3984" t="inlineStr">
        <is>
          <t>Föryngringsavverkning</t>
        </is>
      </c>
      <c r="D3984" s="1" t="n">
        <v>45359</v>
      </c>
      <c r="E3984" s="1" t="n">
        <v>46307</v>
      </c>
      <c r="F3984" t="inlineStr">
        <is>
          <t>VÄRMLANDS LÄN</t>
        </is>
      </c>
      <c r="G3984" t="inlineStr">
        <is>
          <t>KRISTINEHAMN</t>
        </is>
      </c>
      <c r="I3984" t="n">
        <v>0.9</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10892-2022</t>
        </is>
      </c>
      <c r="B3985" t="inlineStr">
        <is>
          <t>avverkningsanmälan</t>
        </is>
      </c>
      <c r="C3985" t="inlineStr">
        <is>
          <t>Föryngringsavverkning</t>
        </is>
      </c>
      <c r="D3985" s="1" t="n">
        <v>44627</v>
      </c>
      <c r="E3985" s="1" t="n">
        <v>46307</v>
      </c>
      <c r="F3985" t="inlineStr">
        <is>
          <t>VÄRMLANDS LÄN</t>
        </is>
      </c>
      <c r="G3985" t="inlineStr">
        <is>
          <t>GRUMS</t>
        </is>
      </c>
      <c r="I3985" t="n">
        <v>1.4</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45361-2025</t>
        </is>
      </c>
      <c r="B3986" t="inlineStr">
        <is>
          <t>avverkningsanmälan</t>
        </is>
      </c>
      <c r="C3986" t="inlineStr">
        <is>
          <t>Föryngringsavverkning</t>
        </is>
      </c>
      <c r="D3986" s="1" t="n">
        <v>45922</v>
      </c>
      <c r="E3986" s="1" t="n">
        <v>46307</v>
      </c>
      <c r="F3986" t="inlineStr">
        <is>
          <t>VÄRMLANDS LÄN</t>
        </is>
      </c>
      <c r="G3986" t="inlineStr">
        <is>
          <t>HAGFORS</t>
        </is>
      </c>
      <c r="I3986" t="n">
        <v>1.3</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44257-2025</t>
        </is>
      </c>
      <c r="B3987" t="inlineStr">
        <is>
          <t>avverkningsanmälan</t>
        </is>
      </c>
      <c r="C3987" t="inlineStr">
        <is>
          <t>Föryngringsavverkning</t>
        </is>
      </c>
      <c r="D3987" s="1" t="n">
        <v>45915</v>
      </c>
      <c r="E3987" s="1" t="n">
        <v>46307</v>
      </c>
      <c r="F3987" t="inlineStr">
        <is>
          <t>VÄRMLANDS LÄN</t>
        </is>
      </c>
      <c r="G3987" t="inlineStr">
        <is>
          <t>ÅRJÄNG</t>
        </is>
      </c>
      <c r="I3987" t="n">
        <v>3.6</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44292-2025</t>
        </is>
      </c>
      <c r="B3988" t="inlineStr">
        <is>
          <t>avverkningsanmälan</t>
        </is>
      </c>
      <c r="C3988" t="inlineStr">
        <is>
          <t>Avverkning för annat ändamål</t>
        </is>
      </c>
      <c r="D3988" s="1" t="n">
        <v>45915</v>
      </c>
      <c r="E3988" s="1" t="n">
        <v>46307</v>
      </c>
      <c r="F3988" t="inlineStr">
        <is>
          <t>VÄRMLANDS LÄN</t>
        </is>
      </c>
      <c r="G3988" t="inlineStr">
        <is>
          <t>TORSBY</t>
        </is>
      </c>
      <c r="I3988" t="n">
        <v>1</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45360-2025</t>
        </is>
      </c>
      <c r="B3989" t="inlineStr">
        <is>
          <t>avverkningsanmälan</t>
        </is>
      </c>
      <c r="C3989" t="inlineStr">
        <is>
          <t>Föryngringsavverkning</t>
        </is>
      </c>
      <c r="D3989" s="1" t="n">
        <v>45922</v>
      </c>
      <c r="E3989" s="1" t="n">
        <v>46307</v>
      </c>
      <c r="F3989" t="inlineStr">
        <is>
          <t>VÄRMLANDS LÄN</t>
        </is>
      </c>
      <c r="G3989" t="inlineStr">
        <is>
          <t>TORSBY</t>
        </is>
      </c>
      <c r="H3989" t="inlineStr">
        <is>
          <t>Kommuner</t>
        </is>
      </c>
      <c r="I3989" t="n">
        <v>1.1</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3570-2022</t>
        </is>
      </c>
      <c r="B3990" t="inlineStr">
        <is>
          <t>avverkningsanmälan</t>
        </is>
      </c>
      <c r="C3990" t="inlineStr">
        <is>
          <t>Föryngringsavverkning</t>
        </is>
      </c>
      <c r="D3990" s="1" t="n">
        <v>44586</v>
      </c>
      <c r="E3990" s="1" t="n">
        <v>46307</v>
      </c>
      <c r="F3990" t="inlineStr">
        <is>
          <t>VÄRMLANDS LÄN</t>
        </is>
      </c>
      <c r="G3990" t="inlineStr">
        <is>
          <t>EDA</t>
        </is>
      </c>
      <c r="I3990" t="n">
        <v>1.5</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22905-2025</t>
        </is>
      </c>
      <c r="B3991" t="inlineStr">
        <is>
          <t>avverkningsanmälan</t>
        </is>
      </c>
      <c r="C3991" t="inlineStr">
        <is>
          <t>Föryngringsavverkning</t>
        </is>
      </c>
      <c r="D3991" s="1" t="n">
        <v>45790</v>
      </c>
      <c r="E3991" s="1" t="n">
        <v>46307</v>
      </c>
      <c r="F3991" t="inlineStr">
        <is>
          <t>VÄRMLANDS LÄN</t>
        </is>
      </c>
      <c r="G3991" t="inlineStr">
        <is>
          <t>SÄFFLE</t>
        </is>
      </c>
      <c r="H3991" t="inlineStr">
        <is>
          <t>Bergvik skog väst AB</t>
        </is>
      </c>
      <c r="I3991" t="n">
        <v>0.6</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22988-2025</t>
        </is>
      </c>
      <c r="B3992" t="inlineStr">
        <is>
          <t>avverkningsanmälan</t>
        </is>
      </c>
      <c r="C3992" t="inlineStr">
        <is>
          <t>Föryngringsavverkning</t>
        </is>
      </c>
      <c r="D3992" s="1" t="n">
        <v>45790</v>
      </c>
      <c r="E3992" s="1" t="n">
        <v>46307</v>
      </c>
      <c r="F3992" t="inlineStr">
        <is>
          <t>VÄRMLANDS LÄN</t>
        </is>
      </c>
      <c r="G3992" t="inlineStr">
        <is>
          <t>SÄFFLE</t>
        </is>
      </c>
      <c r="I3992" t="n">
        <v>1</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11929-2023</t>
        </is>
      </c>
      <c r="B3993" t="inlineStr">
        <is>
          <t>avverkningsanmälan</t>
        </is>
      </c>
      <c r="C3993" t="inlineStr">
        <is>
          <t>Föryngringsavverkning</t>
        </is>
      </c>
      <c r="D3993" s="1" t="n">
        <v>44995</v>
      </c>
      <c r="E3993" s="1" t="n">
        <v>46307</v>
      </c>
      <c r="F3993" t="inlineStr">
        <is>
          <t>VÄRMLANDS LÄN</t>
        </is>
      </c>
      <c r="G3993" t="inlineStr">
        <is>
          <t>KIL</t>
        </is>
      </c>
      <c r="I3993" t="n">
        <v>2.5</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35353-2023</t>
        </is>
      </c>
      <c r="B3994" t="inlineStr">
        <is>
          <t>avverkningsanmälan</t>
        </is>
      </c>
      <c r="C3994" t="inlineStr">
        <is>
          <t>Föryngringsavverkning</t>
        </is>
      </c>
      <c r="D3994" s="1" t="n">
        <v>45146</v>
      </c>
      <c r="E3994" s="1" t="n">
        <v>46307</v>
      </c>
      <c r="F3994" t="inlineStr">
        <is>
          <t>VÄRMLANDS LÄN</t>
        </is>
      </c>
      <c r="G3994" t="inlineStr">
        <is>
          <t>SÄFFLE</t>
        </is>
      </c>
      <c r="I3994" t="n">
        <v>0.6</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46014-2025</t>
        </is>
      </c>
      <c r="B3995" t="inlineStr">
        <is>
          <t>avverkningsanmälan</t>
        </is>
      </c>
      <c r="C3995" t="inlineStr">
        <is>
          <t>Föryngringsavverkning</t>
        </is>
      </c>
      <c r="D3995" s="1" t="n">
        <v>45924</v>
      </c>
      <c r="E3995" s="1" t="n">
        <v>46307</v>
      </c>
      <c r="F3995" t="inlineStr">
        <is>
          <t>VÄRMLANDS LÄN</t>
        </is>
      </c>
      <c r="G3995" t="inlineStr">
        <is>
          <t>ARVIKA</t>
        </is>
      </c>
      <c r="I3995" t="n">
        <v>2</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22537-2025</t>
        </is>
      </c>
      <c r="B3996" t="inlineStr">
        <is>
          <t>avverkningsanmälan</t>
        </is>
      </c>
      <c r="C3996" t="inlineStr">
        <is>
          <t>Avverkning för annat ändamål</t>
        </is>
      </c>
      <c r="D3996" s="1" t="n">
        <v>45787</v>
      </c>
      <c r="E3996" s="1" t="n">
        <v>46307</v>
      </c>
      <c r="F3996" t="inlineStr">
        <is>
          <t>VÄRMLANDS LÄN</t>
        </is>
      </c>
      <c r="G3996" t="inlineStr">
        <is>
          <t>GRUMS</t>
        </is>
      </c>
      <c r="I3996" t="n">
        <v>0.8</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4284-2022</t>
        </is>
      </c>
      <c r="B3997" t="inlineStr">
        <is>
          <t>avverkningsanmälan</t>
        </is>
      </c>
      <c r="C3997" t="inlineStr">
        <is>
          <t>Föryngringsavverkning</t>
        </is>
      </c>
      <c r="D3997" s="1" t="n">
        <v>44588</v>
      </c>
      <c r="E3997" s="1" t="n">
        <v>46307</v>
      </c>
      <c r="F3997" t="inlineStr">
        <is>
          <t>VÄRMLANDS LÄN</t>
        </is>
      </c>
      <c r="G3997" t="inlineStr">
        <is>
          <t>KRISTINEHAMN</t>
        </is>
      </c>
      <c r="H3997" t="inlineStr">
        <is>
          <t>Sveaskog</t>
        </is>
      </c>
      <c r="I3997" t="n">
        <v>0.8</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22996-2025</t>
        </is>
      </c>
      <c r="B3998" t="inlineStr">
        <is>
          <t>avverkningsanmälan</t>
        </is>
      </c>
      <c r="C3998" t="inlineStr">
        <is>
          <t>Föryngringsavverkning</t>
        </is>
      </c>
      <c r="D3998" s="1" t="n">
        <v>45790</v>
      </c>
      <c r="E3998" s="1" t="n">
        <v>46307</v>
      </c>
      <c r="F3998" t="inlineStr">
        <is>
          <t>VÄRMLANDS LÄN</t>
        </is>
      </c>
      <c r="G3998" t="inlineStr">
        <is>
          <t>SÄFFLE</t>
        </is>
      </c>
      <c r="H3998" t="inlineStr">
        <is>
          <t>Bergvik skog väst AB</t>
        </is>
      </c>
      <c r="I3998" t="n">
        <v>1.5</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45747-2025</t>
        </is>
      </c>
      <c r="B3999" t="inlineStr">
        <is>
          <t>avverkningsanmälan</t>
        </is>
      </c>
      <c r="C3999" t="inlineStr">
        <is>
          <t>Föryngringsavverkning</t>
        </is>
      </c>
      <c r="D3999" s="1" t="n">
        <v>45923</v>
      </c>
      <c r="E3999" s="1" t="n">
        <v>46307</v>
      </c>
      <c r="F3999" t="inlineStr">
        <is>
          <t>VÄRMLANDS LÄN</t>
        </is>
      </c>
      <c r="G3999" t="inlineStr">
        <is>
          <t>SUNNE</t>
        </is>
      </c>
      <c r="I3999" t="n">
        <v>1.4</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45967-2025</t>
        </is>
      </c>
      <c r="B4000" t="inlineStr">
        <is>
          <t>avverkningsanmälan</t>
        </is>
      </c>
      <c r="C4000" t="inlineStr">
        <is>
          <t>Föryngringsavverkning</t>
        </is>
      </c>
      <c r="D4000" s="1" t="n">
        <v>45924</v>
      </c>
      <c r="E4000" s="1" t="n">
        <v>46307</v>
      </c>
      <c r="F4000" t="inlineStr">
        <is>
          <t>VÄRMLANDS LÄN</t>
        </is>
      </c>
      <c r="G4000" t="inlineStr">
        <is>
          <t>TORSBY</t>
        </is>
      </c>
      <c r="H4000" t="inlineStr">
        <is>
          <t>Övriga Aktiebolag</t>
        </is>
      </c>
      <c r="I4000" t="n">
        <v>1.9</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31860-2023</t>
        </is>
      </c>
      <c r="B4001" t="inlineStr">
        <is>
          <t>avverkningsanmälan</t>
        </is>
      </c>
      <c r="C4001" t="inlineStr">
        <is>
          <t>Föryngringsavverkning</t>
        </is>
      </c>
      <c r="D4001" s="1" t="n">
        <v>45106</v>
      </c>
      <c r="E4001" s="1" t="n">
        <v>46307</v>
      </c>
      <c r="F4001" t="inlineStr">
        <is>
          <t>VÄRMLANDS LÄN</t>
        </is>
      </c>
      <c r="G4001" t="inlineStr">
        <is>
          <t>EDA</t>
        </is>
      </c>
      <c r="I4001" t="n">
        <v>3.1</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36558-2024</t>
        </is>
      </c>
      <c r="B4002" t="inlineStr">
        <is>
          <t>avverkningsanmälan</t>
        </is>
      </c>
      <c r="C4002" t="inlineStr">
        <is>
          <t>Föryngringsavverkning</t>
        </is>
      </c>
      <c r="D4002" s="1" t="n">
        <v>45537</v>
      </c>
      <c r="E4002" s="1" t="n">
        <v>46307</v>
      </c>
      <c r="F4002" t="inlineStr">
        <is>
          <t>VÄRMLANDS LÄN</t>
        </is>
      </c>
      <c r="G4002" t="inlineStr">
        <is>
          <t>TORSBY</t>
        </is>
      </c>
      <c r="I4002" t="n">
        <v>0.4</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18116-2023</t>
        </is>
      </c>
      <c r="B4003" t="inlineStr">
        <is>
          <t>avverkningsanmälan</t>
        </is>
      </c>
      <c r="C4003" t="inlineStr">
        <is>
          <t>Föryngringsavverkning</t>
        </is>
      </c>
      <c r="D4003" s="1" t="n">
        <v>45040</v>
      </c>
      <c r="E4003" s="1" t="n">
        <v>46307</v>
      </c>
      <c r="F4003" t="inlineStr">
        <is>
          <t>VÄRMLANDS LÄN</t>
        </is>
      </c>
      <c r="G4003" t="inlineStr">
        <is>
          <t>SUNNE</t>
        </is>
      </c>
      <c r="I4003" t="n">
        <v>2.5</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40546-2024</t>
        </is>
      </c>
      <c r="B4004" t="inlineStr">
        <is>
          <t>avverkningsanmälan</t>
        </is>
      </c>
      <c r="C4004" t="inlineStr">
        <is>
          <t>Föryngringsavverkning</t>
        </is>
      </c>
      <c r="D4004" s="1" t="n">
        <v>45555</v>
      </c>
      <c r="E4004" s="1" t="n">
        <v>46307</v>
      </c>
      <c r="F4004" t="inlineStr">
        <is>
          <t>VÄRMLANDS LÄN</t>
        </is>
      </c>
      <c r="G4004" t="inlineStr">
        <is>
          <t>TORSBY</t>
        </is>
      </c>
      <c r="H4004" t="inlineStr">
        <is>
          <t>Bergvik skog väst AB</t>
        </is>
      </c>
      <c r="I4004" t="n">
        <v>13.9</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13196-2023</t>
        </is>
      </c>
      <c r="B4005" t="inlineStr">
        <is>
          <t>avverkningsanmälan</t>
        </is>
      </c>
      <c r="C4005" t="inlineStr">
        <is>
          <t>Avverkning för att bevara och utveckla /försöksver</t>
        </is>
      </c>
      <c r="D4005" s="1" t="n">
        <v>45002</v>
      </c>
      <c r="E4005" s="1" t="n">
        <v>46307</v>
      </c>
      <c r="F4005" t="inlineStr">
        <is>
          <t>VÄRMLANDS LÄN</t>
        </is>
      </c>
      <c r="G4005" t="inlineStr">
        <is>
          <t>ÅRJÄNG</t>
        </is>
      </c>
      <c r="H4005" t="inlineStr">
        <is>
          <t>Kyrkan</t>
        </is>
      </c>
      <c r="I4005" t="n">
        <v>4.5</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4304-2022</t>
        </is>
      </c>
      <c r="B4006" t="inlineStr">
        <is>
          <t>avverkningsanmälan</t>
        </is>
      </c>
      <c r="C4006" t="inlineStr">
        <is>
          <t>Föryngringsavverkning</t>
        </is>
      </c>
      <c r="D4006" s="1" t="n">
        <v>44588</v>
      </c>
      <c r="E4006" s="1" t="n">
        <v>46307</v>
      </c>
      <c r="F4006" t="inlineStr">
        <is>
          <t>VÄRMLANDS LÄN</t>
        </is>
      </c>
      <c r="G4006" t="inlineStr">
        <is>
          <t>KRISTINEHAMN</t>
        </is>
      </c>
      <c r="I4006" t="n">
        <v>1</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39164-2024</t>
        </is>
      </c>
      <c r="B4007" t="inlineStr">
        <is>
          <t>avverkningsanmälan</t>
        </is>
      </c>
      <c r="C4007" t="inlineStr">
        <is>
          <t>Föryngringsavverkning</t>
        </is>
      </c>
      <c r="D4007" s="1" t="n">
        <v>45548</v>
      </c>
      <c r="E4007" s="1" t="n">
        <v>46307</v>
      </c>
      <c r="F4007" t="inlineStr">
        <is>
          <t>VÄRMLANDS LÄN</t>
        </is>
      </c>
      <c r="G4007" t="inlineStr">
        <is>
          <t>SUNNE</t>
        </is>
      </c>
      <c r="I4007" t="n">
        <v>3.2</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13198-2023</t>
        </is>
      </c>
      <c r="B4008" t="inlineStr">
        <is>
          <t>avverkningsanmälan</t>
        </is>
      </c>
      <c r="C4008" t="inlineStr">
        <is>
          <t>Föryngringsavverkning</t>
        </is>
      </c>
      <c r="D4008" s="1" t="n">
        <v>45002</v>
      </c>
      <c r="E4008" s="1" t="n">
        <v>46307</v>
      </c>
      <c r="F4008" t="inlineStr">
        <is>
          <t>VÄRMLANDS LÄN</t>
        </is>
      </c>
      <c r="G4008" t="inlineStr">
        <is>
          <t>SUNNE</t>
        </is>
      </c>
      <c r="I4008" t="n">
        <v>0.9</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55436-2022</t>
        </is>
      </c>
      <c r="B4009" t="inlineStr">
        <is>
          <t>avverkningsanmälan</t>
        </is>
      </c>
      <c r="C4009" t="inlineStr">
        <is>
          <t>Föryngringsavverkning</t>
        </is>
      </c>
      <c r="D4009" s="1" t="n">
        <v>44887</v>
      </c>
      <c r="E4009" s="1" t="n">
        <v>46307</v>
      </c>
      <c r="F4009" t="inlineStr">
        <is>
          <t>VÄRMLANDS LÄN</t>
        </is>
      </c>
      <c r="G4009" t="inlineStr">
        <is>
          <t>TORSBY</t>
        </is>
      </c>
      <c r="I4009" t="n">
        <v>0.5</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16328-2023</t>
        </is>
      </c>
      <c r="B4010" t="inlineStr">
        <is>
          <t>avverkningsanmälan</t>
        </is>
      </c>
      <c r="C4010" t="inlineStr">
        <is>
          <t>Föryngringsavverkning</t>
        </is>
      </c>
      <c r="D4010" s="1" t="n">
        <v>45028</v>
      </c>
      <c r="E4010" s="1" t="n">
        <v>46307</v>
      </c>
      <c r="F4010" t="inlineStr">
        <is>
          <t>VÄRMLANDS LÄN</t>
        </is>
      </c>
      <c r="G4010" t="inlineStr">
        <is>
          <t>EDA</t>
        </is>
      </c>
      <c r="I4010" t="n">
        <v>0.8</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45825-2025</t>
        </is>
      </c>
      <c r="B4011" t="inlineStr">
        <is>
          <t>avverkningsanmälan</t>
        </is>
      </c>
      <c r="C4011" t="inlineStr">
        <is>
          <t>Föryngringsavverkning</t>
        </is>
      </c>
      <c r="D4011" s="1" t="n">
        <v>45923</v>
      </c>
      <c r="E4011" s="1" t="n">
        <v>46307</v>
      </c>
      <c r="F4011" t="inlineStr">
        <is>
          <t>VÄRMLANDS LÄN</t>
        </is>
      </c>
      <c r="G4011" t="inlineStr">
        <is>
          <t>TORSBY</t>
        </is>
      </c>
      <c r="I4011" t="n">
        <v>11.4</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20057-2024</t>
        </is>
      </c>
      <c r="B4012" t="inlineStr">
        <is>
          <t>avverkningsanmälan</t>
        </is>
      </c>
      <c r="C4012" t="inlineStr">
        <is>
          <t>Föryngringsavverkning</t>
        </is>
      </c>
      <c r="D4012" s="1" t="n">
        <v>45434</v>
      </c>
      <c r="E4012" s="1" t="n">
        <v>46307</v>
      </c>
      <c r="F4012" t="inlineStr">
        <is>
          <t>VÄRMLANDS LÄN</t>
        </is>
      </c>
      <c r="G4012" t="inlineStr">
        <is>
          <t>SUNNE</t>
        </is>
      </c>
      <c r="I4012" t="n">
        <v>1.8</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72783-2021</t>
        </is>
      </c>
      <c r="B4013" t="inlineStr">
        <is>
          <t>avverkningsanmälan</t>
        </is>
      </c>
      <c r="C4013" t="inlineStr">
        <is>
          <t>Föryngringsavverkning</t>
        </is>
      </c>
      <c r="D4013" s="1" t="n">
        <v>44547</v>
      </c>
      <c r="E4013" s="1" t="n">
        <v>46307</v>
      </c>
      <c r="F4013" t="inlineStr">
        <is>
          <t>VÄRMLANDS LÄN</t>
        </is>
      </c>
      <c r="G4013" t="inlineStr">
        <is>
          <t>SUNNE</t>
        </is>
      </c>
      <c r="I4013" t="n">
        <v>1</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28107-2024</t>
        </is>
      </c>
      <c r="B4014" t="inlineStr">
        <is>
          <t>avverkningsanmälan</t>
        </is>
      </c>
      <c r="C4014" t="inlineStr">
        <is>
          <t>Föryngringsavverkning</t>
        </is>
      </c>
      <c r="D4014" s="1" t="n">
        <v>45476</v>
      </c>
      <c r="E4014" s="1" t="n">
        <v>46307</v>
      </c>
      <c r="F4014" t="inlineStr">
        <is>
          <t>VÄRMLANDS LÄN</t>
        </is>
      </c>
      <c r="G4014" t="inlineStr">
        <is>
          <t>SUNNE</t>
        </is>
      </c>
      <c r="I4014" t="n">
        <v>1.2</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45966-2025</t>
        </is>
      </c>
      <c r="B4015" t="inlineStr">
        <is>
          <t>avverkningsanmälan</t>
        </is>
      </c>
      <c r="C4015" t="inlineStr">
        <is>
          <t>Föryngringsavverkning</t>
        </is>
      </c>
      <c r="D4015" s="1" t="n">
        <v>45924</v>
      </c>
      <c r="E4015" s="1" t="n">
        <v>46307</v>
      </c>
      <c r="F4015" t="inlineStr">
        <is>
          <t>VÄRMLANDS LÄN</t>
        </is>
      </c>
      <c r="G4015" t="inlineStr">
        <is>
          <t>TORSBY</t>
        </is>
      </c>
      <c r="H4015" t="inlineStr">
        <is>
          <t>Övriga Aktiebolag</t>
        </is>
      </c>
      <c r="I4015" t="n">
        <v>1.5</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25786-2024</t>
        </is>
      </c>
      <c r="B4016" t="inlineStr">
        <is>
          <t>avverkningsanmälan</t>
        </is>
      </c>
      <c r="C4016" t="inlineStr">
        <is>
          <t>Föryngringsavverkning</t>
        </is>
      </c>
      <c r="D4016" s="1" t="n">
        <v>45466</v>
      </c>
      <c r="E4016" s="1" t="n">
        <v>46307</v>
      </c>
      <c r="F4016" t="inlineStr">
        <is>
          <t>VÄRMLANDS LÄN</t>
        </is>
      </c>
      <c r="G4016" t="inlineStr">
        <is>
          <t>KARLSTAD</t>
        </is>
      </c>
      <c r="I4016" t="n">
        <v>3.1</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10350-2025</t>
        </is>
      </c>
      <c r="B4017" t="inlineStr">
        <is>
          <t>avverkningsanmälan</t>
        </is>
      </c>
      <c r="C4017" t="inlineStr">
        <is>
          <t>Föryngringsavverkning</t>
        </is>
      </c>
      <c r="D4017" s="1" t="n">
        <v>45720</v>
      </c>
      <c r="E4017" s="1" t="n">
        <v>46307</v>
      </c>
      <c r="F4017" t="inlineStr">
        <is>
          <t>VÄRMLANDS LÄN</t>
        </is>
      </c>
      <c r="G4017" t="inlineStr">
        <is>
          <t>SÄFFLE</t>
        </is>
      </c>
      <c r="H4017" t="inlineStr">
        <is>
          <t>Kyrkan</t>
        </is>
      </c>
      <c r="I4017" t="n">
        <v>1</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45955-2025</t>
        </is>
      </c>
      <c r="B4018" t="inlineStr">
        <is>
          <t>avverkningsanmälan</t>
        </is>
      </c>
      <c r="C4018" t="inlineStr">
        <is>
          <t>Föryngringsavverkning</t>
        </is>
      </c>
      <c r="D4018" s="1" t="n">
        <v>45924</v>
      </c>
      <c r="E4018" s="1" t="n">
        <v>46307</v>
      </c>
      <c r="F4018" t="inlineStr">
        <is>
          <t>VÄRMLANDS LÄN</t>
        </is>
      </c>
      <c r="G4018" t="inlineStr">
        <is>
          <t>EDA</t>
        </is>
      </c>
      <c r="I4018" t="n">
        <v>1.6</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13848-2024</t>
        </is>
      </c>
      <c r="B4019" t="inlineStr">
        <is>
          <t>avverkningsanmälan</t>
        </is>
      </c>
      <c r="C4019" t="inlineStr">
        <is>
          <t>Föryngringsavverkning</t>
        </is>
      </c>
      <c r="D4019" s="1" t="n">
        <v>45390</v>
      </c>
      <c r="E4019" s="1" t="n">
        <v>46307</v>
      </c>
      <c r="F4019" t="inlineStr">
        <is>
          <t>VÄRMLANDS LÄN</t>
        </is>
      </c>
      <c r="G4019" t="inlineStr">
        <is>
          <t>TORSBY</t>
        </is>
      </c>
      <c r="I4019" t="n">
        <v>4.5</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46343-2024</t>
        </is>
      </c>
      <c r="B4020" t="inlineStr">
        <is>
          <t>avverkningsanmälan</t>
        </is>
      </c>
      <c r="C4020" t="inlineStr">
        <is>
          <t>Föryngringsavverkning</t>
        </is>
      </c>
      <c r="D4020" s="1" t="n">
        <v>45582</v>
      </c>
      <c r="E4020" s="1" t="n">
        <v>46307</v>
      </c>
      <c r="F4020" t="inlineStr">
        <is>
          <t>VÄRMLANDS LÄN</t>
        </is>
      </c>
      <c r="G4020" t="inlineStr">
        <is>
          <t>TORSBY</t>
        </is>
      </c>
      <c r="I4020" t="n">
        <v>1.7</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29474-2024</t>
        </is>
      </c>
      <c r="B4021" t="inlineStr">
        <is>
          <t>avverkningsanmälan</t>
        </is>
      </c>
      <c r="C4021" t="inlineStr">
        <is>
          <t>Föryngringsavverkning</t>
        </is>
      </c>
      <c r="D4021" s="1" t="n">
        <v>45484</v>
      </c>
      <c r="E4021" s="1" t="n">
        <v>46307</v>
      </c>
      <c r="F4021" t="inlineStr">
        <is>
          <t>VÄRMLANDS LÄN</t>
        </is>
      </c>
      <c r="G4021" t="inlineStr">
        <is>
          <t>FILIPSTAD</t>
        </is>
      </c>
      <c r="I4021" t="n">
        <v>1.1</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22917-2025</t>
        </is>
      </c>
      <c r="B4022" t="inlineStr">
        <is>
          <t>avverkningsanmälan</t>
        </is>
      </c>
      <c r="C4022" t="inlineStr">
        <is>
          <t>Föryngringsavverkning</t>
        </is>
      </c>
      <c r="D4022" s="1" t="n">
        <v>45790</v>
      </c>
      <c r="E4022" s="1" t="n">
        <v>46307</v>
      </c>
      <c r="F4022" t="inlineStr">
        <is>
          <t>VÄRMLANDS LÄN</t>
        </is>
      </c>
      <c r="G4022" t="inlineStr">
        <is>
          <t>HAGFORS</t>
        </is>
      </c>
      <c r="H4022" t="inlineStr">
        <is>
          <t>Bergvik skog väst AB</t>
        </is>
      </c>
      <c r="I4022" t="n">
        <v>3.2</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23039-2025</t>
        </is>
      </c>
      <c r="B4023" t="inlineStr">
        <is>
          <t>avverkningsanmälan</t>
        </is>
      </c>
      <c r="C4023" t="inlineStr">
        <is>
          <t>Föryngringsavverkning</t>
        </is>
      </c>
      <c r="D4023" s="1" t="n">
        <v>45790</v>
      </c>
      <c r="E4023" s="1" t="n">
        <v>46307</v>
      </c>
      <c r="F4023" t="inlineStr">
        <is>
          <t>VÄRMLANDS LÄN</t>
        </is>
      </c>
      <c r="G4023" t="inlineStr">
        <is>
          <t>ÅRJÄNG</t>
        </is>
      </c>
      <c r="I4023" t="n">
        <v>0.9</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34914-2023</t>
        </is>
      </c>
      <c r="B4024" t="inlineStr">
        <is>
          <t>avverkningsanmälan</t>
        </is>
      </c>
      <c r="C4024" t="inlineStr">
        <is>
          <t>Föryngringsavverkning</t>
        </is>
      </c>
      <c r="D4024" s="1" t="n">
        <v>45142</v>
      </c>
      <c r="E4024" s="1" t="n">
        <v>46307</v>
      </c>
      <c r="F4024" t="inlineStr">
        <is>
          <t>VÄRMLANDS LÄN</t>
        </is>
      </c>
      <c r="G4024" t="inlineStr">
        <is>
          <t>EDA</t>
        </is>
      </c>
      <c r="I4024" t="n">
        <v>0.8</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45679-2025</t>
        </is>
      </c>
      <c r="B4025" t="inlineStr">
        <is>
          <t>avverkningsanmälan</t>
        </is>
      </c>
      <c r="C4025" t="inlineStr">
        <is>
          <t>Föryngringsavverkning</t>
        </is>
      </c>
      <c r="D4025" s="1" t="n">
        <v>45923</v>
      </c>
      <c r="E4025" s="1" t="n">
        <v>46307</v>
      </c>
      <c r="F4025" t="inlineStr">
        <is>
          <t>VÄRMLANDS LÄN</t>
        </is>
      </c>
      <c r="G4025" t="inlineStr">
        <is>
          <t>TORSBY</t>
        </is>
      </c>
      <c r="H4025" t="inlineStr">
        <is>
          <t>Bergvik skog väst AB</t>
        </is>
      </c>
      <c r="I4025" t="n">
        <v>8.300000000000001</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31998-2024</t>
        </is>
      </c>
      <c r="B4026" t="inlineStr">
        <is>
          <t>avverkningsanmälan</t>
        </is>
      </c>
      <c r="C4026" t="inlineStr">
        <is>
          <t>Föryngringsavverkning</t>
        </is>
      </c>
      <c r="D4026" s="1" t="n">
        <v>45510</v>
      </c>
      <c r="E4026" s="1" t="n">
        <v>46307</v>
      </c>
      <c r="F4026" t="inlineStr">
        <is>
          <t>VÄRMLANDS LÄN</t>
        </is>
      </c>
      <c r="G4026" t="inlineStr">
        <is>
          <t>ARVIKA</t>
        </is>
      </c>
      <c r="I4026" t="n">
        <v>4.5</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14709-2023</t>
        </is>
      </c>
      <c r="B4027" t="inlineStr">
        <is>
          <t>avverkningsanmälan</t>
        </is>
      </c>
      <c r="C4027" t="inlineStr">
        <is>
          <t>Föryngringsavverkning</t>
        </is>
      </c>
      <c r="D4027" s="1" t="n">
        <v>45014</v>
      </c>
      <c r="E4027" s="1" t="n">
        <v>46307</v>
      </c>
      <c r="F4027" t="inlineStr">
        <is>
          <t>VÄRMLANDS LÄN</t>
        </is>
      </c>
      <c r="G4027" t="inlineStr">
        <is>
          <t>TORSBY</t>
        </is>
      </c>
      <c r="I4027" t="n">
        <v>2.7</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14740-2023</t>
        </is>
      </c>
      <c r="B4028" t="inlineStr">
        <is>
          <t>avverkningsanmälan</t>
        </is>
      </c>
      <c r="C4028" t="inlineStr">
        <is>
          <t>Föryngringsavverkning</t>
        </is>
      </c>
      <c r="D4028" s="1" t="n">
        <v>45014</v>
      </c>
      <c r="E4028" s="1" t="n">
        <v>46307</v>
      </c>
      <c r="F4028" t="inlineStr">
        <is>
          <t>VÄRMLANDS LÄN</t>
        </is>
      </c>
      <c r="G4028" t="inlineStr">
        <is>
          <t>SUNNE</t>
        </is>
      </c>
      <c r="I4028" t="n">
        <v>6.8</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57348-2022</t>
        </is>
      </c>
      <c r="B4029" t="inlineStr">
        <is>
          <t>avverkningsanmälan</t>
        </is>
      </c>
      <c r="C4029" t="inlineStr">
        <is>
          <t>Föryngringsavverkning</t>
        </is>
      </c>
      <c r="D4029" s="1" t="n">
        <v>44896</v>
      </c>
      <c r="E4029" s="1" t="n">
        <v>46307</v>
      </c>
      <c r="F4029" t="inlineStr">
        <is>
          <t>VÄRMLANDS LÄN</t>
        </is>
      </c>
      <c r="G4029" t="inlineStr">
        <is>
          <t>EDA</t>
        </is>
      </c>
      <c r="I4029" t="n">
        <v>3.8</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59425-2021</t>
        </is>
      </c>
      <c r="B4030" t="inlineStr">
        <is>
          <t>avverkningsanmälan</t>
        </is>
      </c>
      <c r="C4030" t="inlineStr">
        <is>
          <t>Föryngringsavverkning</t>
        </is>
      </c>
      <c r="D4030" s="1" t="n">
        <v>44491</v>
      </c>
      <c r="E4030" s="1" t="n">
        <v>46307</v>
      </c>
      <c r="F4030" t="inlineStr">
        <is>
          <t>VÄRMLANDS LÄN</t>
        </is>
      </c>
      <c r="G4030" t="inlineStr">
        <is>
          <t>TORSBY</t>
        </is>
      </c>
      <c r="H4030" t="inlineStr">
        <is>
          <t>Bergvik skog väst AB</t>
        </is>
      </c>
      <c r="I4030" t="n">
        <v>14.9</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17691-2025</t>
        </is>
      </c>
      <c r="B4031" t="inlineStr">
        <is>
          <t>avverkningsanmälan</t>
        </is>
      </c>
      <c r="C4031" t="inlineStr">
        <is>
          <t>Föryngringsavverkning</t>
        </is>
      </c>
      <c r="D4031" s="1" t="n">
        <v>45758</v>
      </c>
      <c r="E4031" s="1" t="n">
        <v>46307</v>
      </c>
      <c r="F4031" t="inlineStr">
        <is>
          <t>VÄRMLANDS LÄN</t>
        </is>
      </c>
      <c r="G4031" t="inlineStr">
        <is>
          <t>SUNNE</t>
        </is>
      </c>
      <c r="I4031" t="n">
        <v>1.9</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47028-2024</t>
        </is>
      </c>
      <c r="B4032" t="inlineStr">
        <is>
          <t>avverkningsanmälan</t>
        </is>
      </c>
      <c r="C4032" t="inlineStr">
        <is>
          <t>Föryngringsavverkning</t>
        </is>
      </c>
      <c r="D4032" s="1" t="n">
        <v>45586</v>
      </c>
      <c r="E4032" s="1" t="n">
        <v>46307</v>
      </c>
      <c r="F4032" t="inlineStr">
        <is>
          <t>VÄRMLANDS LÄN</t>
        </is>
      </c>
      <c r="G4032" t="inlineStr">
        <is>
          <t>ÅRJÄNG</t>
        </is>
      </c>
      <c r="I4032" t="n">
        <v>1.4</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45641-2025</t>
        </is>
      </c>
      <c r="B4033" t="inlineStr">
        <is>
          <t>avverkningsanmälan</t>
        </is>
      </c>
      <c r="C4033" t="inlineStr">
        <is>
          <t>Föryngringsavverkning</t>
        </is>
      </c>
      <c r="D4033" s="1" t="n">
        <v>45922</v>
      </c>
      <c r="E4033" s="1" t="n">
        <v>46307</v>
      </c>
      <c r="F4033" t="inlineStr">
        <is>
          <t>VÄRMLANDS LÄN</t>
        </is>
      </c>
      <c r="G4033" t="inlineStr">
        <is>
          <t>HAGFORS</t>
        </is>
      </c>
      <c r="I4033" t="n">
        <v>3.5</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46018-2025</t>
        </is>
      </c>
      <c r="B4034" t="inlineStr">
        <is>
          <t>avverkningsanmälan</t>
        </is>
      </c>
      <c r="C4034" t="inlineStr">
        <is>
          <t>Föryngringsavverkning</t>
        </is>
      </c>
      <c r="D4034" s="1" t="n">
        <v>45924</v>
      </c>
      <c r="E4034" s="1" t="n">
        <v>46307</v>
      </c>
      <c r="F4034" t="inlineStr">
        <is>
          <t>VÄRMLANDS LÄN</t>
        </is>
      </c>
      <c r="G4034" t="inlineStr">
        <is>
          <t>EDA</t>
        </is>
      </c>
      <c r="I4034" t="n">
        <v>1.7</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22593-2025</t>
        </is>
      </c>
      <c r="B4035" t="inlineStr">
        <is>
          <t>avverkningsanmälan</t>
        </is>
      </c>
      <c r="C4035" t="inlineStr">
        <is>
          <t>Avverkning för annat ändamål</t>
        </is>
      </c>
      <c r="D4035" s="1" t="n">
        <v>45789</v>
      </c>
      <c r="E4035" s="1" t="n">
        <v>46307</v>
      </c>
      <c r="F4035" t="inlineStr">
        <is>
          <t>VÄRMLANDS LÄN</t>
        </is>
      </c>
      <c r="G4035" t="inlineStr">
        <is>
          <t>TORSBY</t>
        </is>
      </c>
      <c r="H4035" t="inlineStr">
        <is>
          <t>Bergvik skog väst AB</t>
        </is>
      </c>
      <c r="I4035" t="n">
        <v>0.3</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36208-2024</t>
        </is>
      </c>
      <c r="B4036" t="inlineStr">
        <is>
          <t>avverkningsanmälan</t>
        </is>
      </c>
      <c r="C4036" t="inlineStr">
        <is>
          <t>Föryngringsavverkning</t>
        </is>
      </c>
      <c r="D4036" s="1" t="n">
        <v>45534</v>
      </c>
      <c r="E4036" s="1" t="n">
        <v>46307</v>
      </c>
      <c r="F4036" t="inlineStr">
        <is>
          <t>VÄRMLANDS LÄN</t>
        </is>
      </c>
      <c r="G4036" t="inlineStr">
        <is>
          <t>SÄFFLE</t>
        </is>
      </c>
      <c r="H4036" t="inlineStr">
        <is>
          <t>Kyrkan</t>
        </is>
      </c>
      <c r="I4036" t="n">
        <v>4.8</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5709-2025</t>
        </is>
      </c>
      <c r="B4037" t="inlineStr">
        <is>
          <t>avverkningsanmälan</t>
        </is>
      </c>
      <c r="C4037" t="inlineStr">
        <is>
          <t>Föryngringsavverkning</t>
        </is>
      </c>
      <c r="D4037" s="1" t="n">
        <v>45694</v>
      </c>
      <c r="E4037" s="1" t="n">
        <v>46307</v>
      </c>
      <c r="F4037" t="inlineStr">
        <is>
          <t>VÄRMLANDS LÄN</t>
        </is>
      </c>
      <c r="G4037" t="inlineStr">
        <is>
          <t>SUNNE</t>
        </is>
      </c>
      <c r="I4037" t="n">
        <v>11.3</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46204-2025</t>
        </is>
      </c>
      <c r="B4038" t="inlineStr">
        <is>
          <t>avverkningsanmälan</t>
        </is>
      </c>
      <c r="C4038" t="inlineStr">
        <is>
          <t>Föryngringsavverkning</t>
        </is>
      </c>
      <c r="D4038" s="1" t="n">
        <v>45924</v>
      </c>
      <c r="E4038" s="1" t="n">
        <v>46307</v>
      </c>
      <c r="F4038" t="inlineStr">
        <is>
          <t>VÄRMLANDS LÄN</t>
        </is>
      </c>
      <c r="G4038" t="inlineStr">
        <is>
          <t>FILIPSTAD</t>
        </is>
      </c>
      <c r="I4038" t="n">
        <v>0.6</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55093-2022</t>
        </is>
      </c>
      <c r="B4039" t="inlineStr">
        <is>
          <t>avverkningsanmälan</t>
        </is>
      </c>
      <c r="C4039" t="inlineStr">
        <is>
          <t>Föryngringsavverkning</t>
        </is>
      </c>
      <c r="D4039" s="1" t="n">
        <v>44881</v>
      </c>
      <c r="E4039" s="1" t="n">
        <v>46307</v>
      </c>
      <c r="F4039" t="inlineStr">
        <is>
          <t>VÄRMLANDS LÄN</t>
        </is>
      </c>
      <c r="G4039" t="inlineStr">
        <is>
          <t>SÄFFLE</t>
        </is>
      </c>
      <c r="I4039" t="n">
        <v>4.5</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7101-2025</t>
        </is>
      </c>
      <c r="B4040" t="inlineStr">
        <is>
          <t>avverkningsanmälan</t>
        </is>
      </c>
      <c r="C4040" t="inlineStr">
        <is>
          <t>Föryngringsavverkning</t>
        </is>
      </c>
      <c r="D4040" s="1" t="n">
        <v>45701</v>
      </c>
      <c r="E4040" s="1" t="n">
        <v>46307</v>
      </c>
      <c r="F4040" t="inlineStr">
        <is>
          <t>VÄRMLANDS LÄN</t>
        </is>
      </c>
      <c r="G4040" t="inlineStr">
        <is>
          <t>TORSBY</t>
        </is>
      </c>
      <c r="I4040" t="n">
        <v>4.2</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22544-2025</t>
        </is>
      </c>
      <c r="B4041" t="inlineStr">
        <is>
          <t>avverkningsanmälan</t>
        </is>
      </c>
      <c r="C4041" t="inlineStr">
        <is>
          <t>Föryngringsavverkning</t>
        </is>
      </c>
      <c r="D4041" s="1" t="n">
        <v>45788</v>
      </c>
      <c r="E4041" s="1" t="n">
        <v>46307</v>
      </c>
      <c r="F4041" t="inlineStr">
        <is>
          <t>VÄRMLANDS LÄN</t>
        </is>
      </c>
      <c r="G4041" t="inlineStr">
        <is>
          <t>SUNNE</t>
        </is>
      </c>
      <c r="I4041" t="n">
        <v>6</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16591-2022</t>
        </is>
      </c>
      <c r="B4042" t="inlineStr">
        <is>
          <t>avverkningsanmälan</t>
        </is>
      </c>
      <c r="C4042" t="inlineStr">
        <is>
          <t>Föryngringsavverkning</t>
        </is>
      </c>
      <c r="D4042" s="1" t="n">
        <v>44672</v>
      </c>
      <c r="E4042" s="1" t="n">
        <v>46307</v>
      </c>
      <c r="F4042" t="inlineStr">
        <is>
          <t>VÄRMLANDS LÄN</t>
        </is>
      </c>
      <c r="G4042" t="inlineStr">
        <is>
          <t>FILIPSTAD</t>
        </is>
      </c>
      <c r="I4042" t="n">
        <v>2.9</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37029-2024</t>
        </is>
      </c>
      <c r="B4043" t="inlineStr">
        <is>
          <t>avverkningsanmälan</t>
        </is>
      </c>
      <c r="C4043" t="inlineStr">
        <is>
          <t>Föryngringsavverkning</t>
        </is>
      </c>
      <c r="D4043" s="1" t="n">
        <v>45539</v>
      </c>
      <c r="E4043" s="1" t="n">
        <v>46307</v>
      </c>
      <c r="F4043" t="inlineStr">
        <is>
          <t>VÄRMLANDS LÄN</t>
        </is>
      </c>
      <c r="G4043" t="inlineStr">
        <is>
          <t>ÅRJÄNG</t>
        </is>
      </c>
      <c r="I4043" t="n">
        <v>4.7</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16613-2022</t>
        </is>
      </c>
      <c r="B4044" t="inlineStr">
        <is>
          <t>avverkningsanmälan</t>
        </is>
      </c>
      <c r="C4044" t="inlineStr">
        <is>
          <t>Föryngringsavverkning</t>
        </is>
      </c>
      <c r="D4044" s="1" t="n">
        <v>44672</v>
      </c>
      <c r="E4044" s="1" t="n">
        <v>46307</v>
      </c>
      <c r="F4044" t="inlineStr">
        <is>
          <t>VÄRMLANDS LÄN</t>
        </is>
      </c>
      <c r="G4044" t="inlineStr">
        <is>
          <t>ÅRJÄNG</t>
        </is>
      </c>
      <c r="I4044" t="n">
        <v>2.3</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22585-2025</t>
        </is>
      </c>
      <c r="B4045" t="inlineStr">
        <is>
          <t>avverkningsanmälan</t>
        </is>
      </c>
      <c r="C4045" t="inlineStr">
        <is>
          <t>Föryngringsavverkning</t>
        </is>
      </c>
      <c r="D4045" s="1" t="n">
        <v>45789</v>
      </c>
      <c r="E4045" s="1" t="n">
        <v>46307</v>
      </c>
      <c r="F4045" t="inlineStr">
        <is>
          <t>VÄRMLANDS LÄN</t>
        </is>
      </c>
      <c r="G4045" t="inlineStr">
        <is>
          <t>KARLSTAD</t>
        </is>
      </c>
      <c r="H4045" t="inlineStr">
        <is>
          <t>Bergvik skog väst AB</t>
        </is>
      </c>
      <c r="I4045" t="n">
        <v>1.6</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32433-2023</t>
        </is>
      </c>
      <c r="B4046" t="inlineStr">
        <is>
          <t>avverkningsanmälan</t>
        </is>
      </c>
      <c r="C4046" t="inlineStr">
        <is>
          <t>Föryngringsavverkning</t>
        </is>
      </c>
      <c r="D4046" s="1" t="n">
        <v>45120</v>
      </c>
      <c r="E4046" s="1" t="n">
        <v>46307</v>
      </c>
      <c r="F4046" t="inlineStr">
        <is>
          <t>VÄRMLANDS LÄN</t>
        </is>
      </c>
      <c r="G4046" t="inlineStr">
        <is>
          <t>KARLSTAD</t>
        </is>
      </c>
      <c r="I4046" t="n">
        <v>2.3</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22845-2025</t>
        </is>
      </c>
      <c r="B4047" t="inlineStr">
        <is>
          <t>avverkningsanmälan</t>
        </is>
      </c>
      <c r="C4047" t="inlineStr">
        <is>
          <t>Föryngringsavverkning</t>
        </is>
      </c>
      <c r="D4047" s="1" t="n">
        <v>45790</v>
      </c>
      <c r="E4047" s="1" t="n">
        <v>46307</v>
      </c>
      <c r="F4047" t="inlineStr">
        <is>
          <t>VÄRMLANDS LÄN</t>
        </is>
      </c>
      <c r="G4047" t="inlineStr">
        <is>
          <t>TORSBY</t>
        </is>
      </c>
      <c r="H4047" t="inlineStr">
        <is>
          <t>Bergvik skog väst AB</t>
        </is>
      </c>
      <c r="I4047" t="n">
        <v>3.8</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3065-2024</t>
        </is>
      </c>
      <c r="B4048" t="inlineStr">
        <is>
          <t>avverkningsanmälan</t>
        </is>
      </c>
      <c r="C4048" t="inlineStr">
        <is>
          <t>Föryngringsavverkning</t>
        </is>
      </c>
      <c r="D4048" s="1" t="n">
        <v>45316</v>
      </c>
      <c r="E4048" s="1" t="n">
        <v>46307</v>
      </c>
      <c r="F4048" t="inlineStr">
        <is>
          <t>VÄRMLANDS LÄN</t>
        </is>
      </c>
      <c r="G4048" t="inlineStr">
        <is>
          <t>GRUMS</t>
        </is>
      </c>
      <c r="I4048" t="n">
        <v>0.8</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45948-2025</t>
        </is>
      </c>
      <c r="B4049" t="inlineStr">
        <is>
          <t>avverkningsanmälan</t>
        </is>
      </c>
      <c r="C4049" t="inlineStr">
        <is>
          <t>Föryngringsavverkning</t>
        </is>
      </c>
      <c r="D4049" s="1" t="n">
        <v>45924</v>
      </c>
      <c r="E4049" s="1" t="n">
        <v>46307</v>
      </c>
      <c r="F4049" t="inlineStr">
        <is>
          <t>VÄRMLANDS LÄN</t>
        </is>
      </c>
      <c r="G4049" t="inlineStr">
        <is>
          <t>EDA</t>
        </is>
      </c>
      <c r="I4049" t="n">
        <v>1.4</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7636-2024</t>
        </is>
      </c>
      <c r="B4050" t="inlineStr">
        <is>
          <t>avverkningsanmälan</t>
        </is>
      </c>
      <c r="C4050" t="inlineStr">
        <is>
          <t>Föryngringsavverkning</t>
        </is>
      </c>
      <c r="D4050" s="1" t="n">
        <v>45348</v>
      </c>
      <c r="E4050" s="1" t="n">
        <v>46307</v>
      </c>
      <c r="F4050" t="inlineStr">
        <is>
          <t>VÄRMLANDS LÄN</t>
        </is>
      </c>
      <c r="G4050" t="inlineStr">
        <is>
          <t>TORSBY</t>
        </is>
      </c>
      <c r="I4050" t="n">
        <v>5.1</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38377-2024</t>
        </is>
      </c>
      <c r="B4051" t="inlineStr">
        <is>
          <t>avverkningsanmälan</t>
        </is>
      </c>
      <c r="C4051" t="inlineStr">
        <is>
          <t>Föryngringsavverkning</t>
        </is>
      </c>
      <c r="D4051" s="1" t="n">
        <v>45545</v>
      </c>
      <c r="E4051" s="1" t="n">
        <v>46307</v>
      </c>
      <c r="F4051" t="inlineStr">
        <is>
          <t>VÄRMLANDS LÄN</t>
        </is>
      </c>
      <c r="G4051" t="inlineStr">
        <is>
          <t>SUNNE</t>
        </is>
      </c>
      <c r="I4051" t="n">
        <v>4.1</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22708-2025</t>
        </is>
      </c>
      <c r="B4052" t="inlineStr">
        <is>
          <t>avverkningsanmälan</t>
        </is>
      </c>
      <c r="C4052" t="inlineStr">
        <is>
          <t>Föryngringsavverkning</t>
        </is>
      </c>
      <c r="D4052" s="1" t="n">
        <v>45789</v>
      </c>
      <c r="E4052" s="1" t="n">
        <v>46307</v>
      </c>
      <c r="F4052" t="inlineStr">
        <is>
          <t>VÄRMLANDS LÄN</t>
        </is>
      </c>
      <c r="G4052" t="inlineStr">
        <is>
          <t>TORSBY</t>
        </is>
      </c>
      <c r="I4052" t="n">
        <v>0.9</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22757-2025</t>
        </is>
      </c>
      <c r="B4053" t="inlineStr">
        <is>
          <t>avverkningsanmälan</t>
        </is>
      </c>
      <c r="C4053" t="inlineStr">
        <is>
          <t>Föryngringsavverkning</t>
        </is>
      </c>
      <c r="D4053" s="1" t="n">
        <v>45789</v>
      </c>
      <c r="E4053" s="1" t="n">
        <v>46307</v>
      </c>
      <c r="F4053" t="inlineStr">
        <is>
          <t>VÄRMLANDS LÄN</t>
        </is>
      </c>
      <c r="G4053" t="inlineStr">
        <is>
          <t>TORSBY</t>
        </is>
      </c>
      <c r="I4053" t="n">
        <v>7.1</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46150-2025</t>
        </is>
      </c>
      <c r="B4054" t="inlineStr">
        <is>
          <t>avverkningsanmälan</t>
        </is>
      </c>
      <c r="C4054" t="inlineStr">
        <is>
          <t>Föryngringsavverkning</t>
        </is>
      </c>
      <c r="D4054" s="1" t="n">
        <v>45924</v>
      </c>
      <c r="E4054" s="1" t="n">
        <v>46307</v>
      </c>
      <c r="F4054" t="inlineStr">
        <is>
          <t>VÄRMLANDS LÄN</t>
        </is>
      </c>
      <c r="G4054" t="inlineStr">
        <is>
          <t>SÄFFLE</t>
        </is>
      </c>
      <c r="I4054" t="n">
        <v>2.6</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45511-2024</t>
        </is>
      </c>
      <c r="B4055" t="inlineStr">
        <is>
          <t>avverkningsanmälan</t>
        </is>
      </c>
      <c r="C4055" t="inlineStr">
        <is>
          <t>Föryngringsavverkning</t>
        </is>
      </c>
      <c r="D4055" s="1" t="n">
        <v>45578</v>
      </c>
      <c r="E4055" s="1" t="n">
        <v>46307</v>
      </c>
      <c r="F4055" t="inlineStr">
        <is>
          <t>VÄRMLANDS LÄN</t>
        </is>
      </c>
      <c r="G4055" t="inlineStr">
        <is>
          <t>FILIPSTAD</t>
        </is>
      </c>
      <c r="I4055" t="n">
        <v>5.1</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33222-2023</t>
        </is>
      </c>
      <c r="B4056" t="inlineStr">
        <is>
          <t>avverkningsanmälan</t>
        </is>
      </c>
      <c r="C4056" t="inlineStr">
        <is>
          <t>Föryngringsavverkning</t>
        </is>
      </c>
      <c r="D4056" s="1" t="n">
        <v>45127</v>
      </c>
      <c r="E4056" s="1" t="n">
        <v>46307</v>
      </c>
      <c r="F4056" t="inlineStr">
        <is>
          <t>VÄRMLANDS LÄN</t>
        </is>
      </c>
      <c r="G4056" t="inlineStr">
        <is>
          <t>FORSHAGA</t>
        </is>
      </c>
      <c r="H4056" t="inlineStr">
        <is>
          <t>Kommuner</t>
        </is>
      </c>
      <c r="I4056" t="n">
        <v>5.9</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31794-2023</t>
        </is>
      </c>
      <c r="B4057" t="inlineStr">
        <is>
          <t>avverkningsanmälan</t>
        </is>
      </c>
      <c r="C4057" t="inlineStr">
        <is>
          <t>Föryngringsavverkning</t>
        </is>
      </c>
      <c r="D4057" s="1" t="n">
        <v>45118</v>
      </c>
      <c r="E4057" s="1" t="n">
        <v>46307</v>
      </c>
      <c r="F4057" t="inlineStr">
        <is>
          <t>VÄRMLANDS LÄN</t>
        </is>
      </c>
      <c r="G4057" t="inlineStr">
        <is>
          <t>ÅRJÄNG</t>
        </is>
      </c>
      <c r="I4057" t="n">
        <v>2.3</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33229-2023</t>
        </is>
      </c>
      <c r="B4058" t="inlineStr">
        <is>
          <t>avverkningsanmälan</t>
        </is>
      </c>
      <c r="C4058" t="inlineStr">
        <is>
          <t>Föryngringsavverkning</t>
        </is>
      </c>
      <c r="D4058" s="1" t="n">
        <v>45127</v>
      </c>
      <c r="E4058" s="1" t="n">
        <v>46307</v>
      </c>
      <c r="F4058" t="inlineStr">
        <is>
          <t>VÄRMLANDS LÄN</t>
        </is>
      </c>
      <c r="G4058" t="inlineStr">
        <is>
          <t>FORSHAGA</t>
        </is>
      </c>
      <c r="H4058" t="inlineStr">
        <is>
          <t>Kommuner</t>
        </is>
      </c>
      <c r="I4058" t="n">
        <v>1</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50159-2024</t>
        </is>
      </c>
      <c r="B4059" t="inlineStr">
        <is>
          <t>avverkningsanmälan</t>
        </is>
      </c>
      <c r="C4059" t="inlineStr">
        <is>
          <t>Föryngringsavverkning</t>
        </is>
      </c>
      <c r="D4059" s="1" t="n">
        <v>45600</v>
      </c>
      <c r="E4059" s="1" t="n">
        <v>46307</v>
      </c>
      <c r="F4059" t="inlineStr">
        <is>
          <t>VÄRMLANDS LÄN</t>
        </is>
      </c>
      <c r="G4059" t="inlineStr">
        <is>
          <t>KRISTINEHAMN</t>
        </is>
      </c>
      <c r="I4059" t="n">
        <v>0.5</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5351-2024</t>
        </is>
      </c>
      <c r="B4060" t="inlineStr">
        <is>
          <t>avverkningsanmälan</t>
        </is>
      </c>
      <c r="C4060" t="inlineStr">
        <is>
          <t>Föryngringsavverkning</t>
        </is>
      </c>
      <c r="D4060" s="1" t="n">
        <v>45331</v>
      </c>
      <c r="E4060" s="1" t="n">
        <v>46307</v>
      </c>
      <c r="F4060" t="inlineStr">
        <is>
          <t>VÄRMLANDS LÄN</t>
        </is>
      </c>
      <c r="G4060" t="inlineStr">
        <is>
          <t>TORSBY</t>
        </is>
      </c>
      <c r="I4060" t="n">
        <v>8.9</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65167-2021</t>
        </is>
      </c>
      <c r="B4061" t="inlineStr">
        <is>
          <t>avverkningsanmälan</t>
        </is>
      </c>
      <c r="C4061" t="inlineStr">
        <is>
          <t>Föryngringsavverkning</t>
        </is>
      </c>
      <c r="D4061" s="1" t="n">
        <v>44515</v>
      </c>
      <c r="E4061" s="1" t="n">
        <v>46307</v>
      </c>
      <c r="F4061" t="inlineStr">
        <is>
          <t>VÄRMLANDS LÄN</t>
        </is>
      </c>
      <c r="G4061" t="inlineStr">
        <is>
          <t>FILIPSTAD</t>
        </is>
      </c>
      <c r="I4061" t="n">
        <v>1</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45907-2025</t>
        </is>
      </c>
      <c r="B4062" t="inlineStr">
        <is>
          <t>avverkningsanmälan</t>
        </is>
      </c>
      <c r="C4062" t="inlineStr">
        <is>
          <t>Föryngringsavverkning</t>
        </is>
      </c>
      <c r="D4062" s="1" t="n">
        <v>45923</v>
      </c>
      <c r="E4062" s="1" t="n">
        <v>46307</v>
      </c>
      <c r="F4062" t="inlineStr">
        <is>
          <t>VÄRMLANDS LÄN</t>
        </is>
      </c>
      <c r="G4062" t="inlineStr">
        <is>
          <t>ÅRJÄNG</t>
        </is>
      </c>
      <c r="I4062" t="n">
        <v>2.9</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7712-2024</t>
        </is>
      </c>
      <c r="B4063" t="inlineStr">
        <is>
          <t>avverkningsanmälan</t>
        </is>
      </c>
      <c r="C4063" t="inlineStr">
        <is>
          <t>Föryngringsavverkning</t>
        </is>
      </c>
      <c r="D4063" s="1" t="n">
        <v>45349</v>
      </c>
      <c r="E4063" s="1" t="n">
        <v>46307</v>
      </c>
      <c r="F4063" t="inlineStr">
        <is>
          <t>VÄRMLANDS LÄN</t>
        </is>
      </c>
      <c r="G4063" t="inlineStr">
        <is>
          <t>SUNNE</t>
        </is>
      </c>
      <c r="I4063" t="n">
        <v>4</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2743-2022</t>
        </is>
      </c>
      <c r="B4064" t="inlineStr">
        <is>
          <t>avverkningsanmälan</t>
        </is>
      </c>
      <c r="C4064" t="inlineStr">
        <is>
          <t>Föryngringsavverkning</t>
        </is>
      </c>
      <c r="D4064" s="1" t="n">
        <v>44580</v>
      </c>
      <c r="E4064" s="1" t="n">
        <v>46307</v>
      </c>
      <c r="F4064" t="inlineStr">
        <is>
          <t>VÄRMLANDS LÄN</t>
        </is>
      </c>
      <c r="G4064" t="inlineStr">
        <is>
          <t>SÄFFLE</t>
        </is>
      </c>
      <c r="I4064" t="n">
        <v>0.6</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14149-2025</t>
        </is>
      </c>
      <c r="B4065" t="inlineStr">
        <is>
          <t>avverkningsanmälan</t>
        </is>
      </c>
      <c r="C4065" t="inlineStr">
        <is>
          <t>Föryngringsavverkning</t>
        </is>
      </c>
      <c r="D4065" s="1" t="n">
        <v>45740</v>
      </c>
      <c r="E4065" s="1" t="n">
        <v>46307</v>
      </c>
      <c r="F4065" t="inlineStr">
        <is>
          <t>VÄRMLANDS LÄN</t>
        </is>
      </c>
      <c r="G4065" t="inlineStr">
        <is>
          <t>SÄFFLE</t>
        </is>
      </c>
      <c r="H4065" t="inlineStr">
        <is>
          <t>Bergvik skog väst AB</t>
        </is>
      </c>
      <c r="I4065" t="n">
        <v>0.5</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23259-2022</t>
        </is>
      </c>
      <c r="B4066" t="inlineStr">
        <is>
          <t>avverkningsanmälan</t>
        </is>
      </c>
      <c r="C4066" t="inlineStr">
        <is>
          <t>Föryngringsavverkning</t>
        </is>
      </c>
      <c r="D4066" s="1" t="n">
        <v>44720</v>
      </c>
      <c r="E4066" s="1" t="n">
        <v>46307</v>
      </c>
      <c r="F4066" t="inlineStr">
        <is>
          <t>VÄRMLANDS LÄN</t>
        </is>
      </c>
      <c r="G4066" t="inlineStr">
        <is>
          <t>SÄFFLE</t>
        </is>
      </c>
      <c r="I4066" t="n">
        <v>0.9</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53915-2023</t>
        </is>
      </c>
      <c r="B4067" t="inlineStr">
        <is>
          <t>avverkningsanmälan</t>
        </is>
      </c>
      <c r="C4067" t="inlineStr">
        <is>
          <t>Föryngringsavverkning</t>
        </is>
      </c>
      <c r="D4067" s="1" t="n">
        <v>45231</v>
      </c>
      <c r="E4067" s="1" t="n">
        <v>46307</v>
      </c>
      <c r="F4067" t="inlineStr">
        <is>
          <t>VÄRMLANDS LÄN</t>
        </is>
      </c>
      <c r="G4067" t="inlineStr">
        <is>
          <t>SÄFFLE</t>
        </is>
      </c>
      <c r="I4067" t="n">
        <v>1.5</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53945-2023</t>
        </is>
      </c>
      <c r="B4068" t="inlineStr">
        <is>
          <t>avverkningsanmälan</t>
        </is>
      </c>
      <c r="C4068" t="inlineStr">
        <is>
          <t>Föryngringsavverkning</t>
        </is>
      </c>
      <c r="D4068" s="1" t="n">
        <v>45231</v>
      </c>
      <c r="E4068" s="1" t="n">
        <v>46307</v>
      </c>
      <c r="F4068" t="inlineStr">
        <is>
          <t>VÄRMLANDS LÄN</t>
        </is>
      </c>
      <c r="G4068" t="inlineStr">
        <is>
          <t>TORSBY</t>
        </is>
      </c>
      <c r="I4068" t="n">
        <v>1.4</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22997-2025</t>
        </is>
      </c>
      <c r="B4069" t="inlineStr">
        <is>
          <t>avverkningsanmälan</t>
        </is>
      </c>
      <c r="C4069" t="inlineStr">
        <is>
          <t>Föryngringsavverkning</t>
        </is>
      </c>
      <c r="D4069" s="1" t="n">
        <v>45790</v>
      </c>
      <c r="E4069" s="1" t="n">
        <v>46307</v>
      </c>
      <c r="F4069" t="inlineStr">
        <is>
          <t>VÄRMLANDS LÄN</t>
        </is>
      </c>
      <c r="G4069" t="inlineStr">
        <is>
          <t>SÄFFLE</t>
        </is>
      </c>
      <c r="H4069" t="inlineStr">
        <is>
          <t>Bergvik skog väst AB</t>
        </is>
      </c>
      <c r="I4069" t="n">
        <v>0.7</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23002-2025</t>
        </is>
      </c>
      <c r="B4070" t="inlineStr">
        <is>
          <t>avverkningsanmälan</t>
        </is>
      </c>
      <c r="C4070" t="inlineStr">
        <is>
          <t>Föryngringsavverkning</t>
        </is>
      </c>
      <c r="D4070" s="1" t="n">
        <v>45790</v>
      </c>
      <c r="E4070" s="1" t="n">
        <v>46307</v>
      </c>
      <c r="F4070" t="inlineStr">
        <is>
          <t>VÄRMLANDS LÄN</t>
        </is>
      </c>
      <c r="G4070" t="inlineStr">
        <is>
          <t>SÄFFLE</t>
        </is>
      </c>
      <c r="H4070" t="inlineStr">
        <is>
          <t>Bergvik skog väst AB</t>
        </is>
      </c>
      <c r="I4070" t="n">
        <v>0.8</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63482-2021</t>
        </is>
      </c>
      <c r="B4071" t="inlineStr">
        <is>
          <t>avverkningsanmälan</t>
        </is>
      </c>
      <c r="C4071" t="inlineStr">
        <is>
          <t>Föryngringsavverkning</t>
        </is>
      </c>
      <c r="D4071" s="1" t="n">
        <v>44508</v>
      </c>
      <c r="E4071" s="1" t="n">
        <v>46307</v>
      </c>
      <c r="F4071" t="inlineStr">
        <is>
          <t>VÄRMLANDS LÄN</t>
        </is>
      </c>
      <c r="G4071" t="inlineStr">
        <is>
          <t>FILIPSTAD</t>
        </is>
      </c>
      <c r="I4071" t="n">
        <v>2.1</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22619-2025</t>
        </is>
      </c>
      <c r="B4072" t="inlineStr">
        <is>
          <t>avverkningsanmälan</t>
        </is>
      </c>
      <c r="C4072" t="inlineStr">
        <is>
          <t>Föryngringsavverkning</t>
        </is>
      </c>
      <c r="D4072" s="1" t="n">
        <v>45789</v>
      </c>
      <c r="E4072" s="1" t="n">
        <v>46307</v>
      </c>
      <c r="F4072" t="inlineStr">
        <is>
          <t>VÄRMLANDS LÄN</t>
        </is>
      </c>
      <c r="G4072" t="inlineStr">
        <is>
          <t>FORSHAGA</t>
        </is>
      </c>
      <c r="H4072" t="inlineStr">
        <is>
          <t>Bergvik skog väst AB</t>
        </is>
      </c>
      <c r="I4072" t="n">
        <v>0.4</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45719-2025</t>
        </is>
      </c>
      <c r="B4073" t="inlineStr">
        <is>
          <t>avverkningsanmälan</t>
        </is>
      </c>
      <c r="C4073" t="inlineStr">
        <is>
          <t>Föryngringsavverkning</t>
        </is>
      </c>
      <c r="D4073" s="1" t="n">
        <v>45923</v>
      </c>
      <c r="E4073" s="1" t="n">
        <v>46307</v>
      </c>
      <c r="F4073" t="inlineStr">
        <is>
          <t>VÄRMLANDS LÄN</t>
        </is>
      </c>
      <c r="G4073" t="inlineStr">
        <is>
          <t>SUNNE</t>
        </is>
      </c>
      <c r="I4073" t="n">
        <v>2.3</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4754-2024</t>
        </is>
      </c>
      <c r="B4074" t="inlineStr">
        <is>
          <t>avverkningsanmälan</t>
        </is>
      </c>
      <c r="C4074" t="inlineStr">
        <is>
          <t>Föryngringsavverkning</t>
        </is>
      </c>
      <c r="D4074" s="1" t="n">
        <v>45328</v>
      </c>
      <c r="E4074" s="1" t="n">
        <v>46307</v>
      </c>
      <c r="F4074" t="inlineStr">
        <is>
          <t>VÄRMLANDS LÄN</t>
        </is>
      </c>
      <c r="G4074" t="inlineStr">
        <is>
          <t>ARVIKA</t>
        </is>
      </c>
      <c r="I4074" t="n">
        <v>1.3</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46577-2025</t>
        </is>
      </c>
      <c r="B4075" t="inlineStr">
        <is>
          <t>avverkningsanmälan</t>
        </is>
      </c>
      <c r="C4075" t="inlineStr">
        <is>
          <t>Föryngringsavverkning</t>
        </is>
      </c>
      <c r="D4075" s="1" t="n">
        <v>45926</v>
      </c>
      <c r="E4075" s="1" t="n">
        <v>46307</v>
      </c>
      <c r="F4075" t="inlineStr">
        <is>
          <t>VÄRMLANDS LÄN</t>
        </is>
      </c>
      <c r="G4075" t="inlineStr">
        <is>
          <t>MUNKFORS</t>
        </is>
      </c>
      <c r="H4075" t="inlineStr">
        <is>
          <t>Bergvik skog väst AB</t>
        </is>
      </c>
      <c r="I4075" t="n">
        <v>5</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38699-2022</t>
        </is>
      </c>
      <c r="B4076" t="inlineStr">
        <is>
          <t>avverkningsanmälan</t>
        </is>
      </c>
      <c r="C4076" t="inlineStr">
        <is>
          <t>Föryngringsavverkning</t>
        </is>
      </c>
      <c r="D4076" s="1" t="n">
        <v>44814</v>
      </c>
      <c r="E4076" s="1" t="n">
        <v>46307</v>
      </c>
      <c r="F4076" t="inlineStr">
        <is>
          <t>VÄRMLANDS LÄN</t>
        </is>
      </c>
      <c r="G4076" t="inlineStr">
        <is>
          <t>TORSBY</t>
        </is>
      </c>
      <c r="H4076" t="inlineStr">
        <is>
          <t>Bergvik skog väst AB</t>
        </is>
      </c>
      <c r="I4076" t="n">
        <v>22.6</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59190-2024</t>
        </is>
      </c>
      <c r="B4077" t="inlineStr">
        <is>
          <t>avverkningsanmälan</t>
        </is>
      </c>
      <c r="C4077" t="inlineStr">
        <is>
          <t>Föryngringsavverkning</t>
        </is>
      </c>
      <c r="D4077" s="1" t="n">
        <v>45636</v>
      </c>
      <c r="E4077" s="1" t="n">
        <v>46307</v>
      </c>
      <c r="F4077" t="inlineStr">
        <is>
          <t>VÄRMLANDS LÄN</t>
        </is>
      </c>
      <c r="G4077" t="inlineStr">
        <is>
          <t>KRISTINEHAMN</t>
        </is>
      </c>
      <c r="I4077" t="n">
        <v>8.300000000000001</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34387-2023</t>
        </is>
      </c>
      <c r="B4078" t="inlineStr">
        <is>
          <t>avverkningsanmälan</t>
        </is>
      </c>
      <c r="C4078" t="inlineStr">
        <is>
          <t>Föryngringsavverkning</t>
        </is>
      </c>
      <c r="D4078" s="1" t="n">
        <v>45139</v>
      </c>
      <c r="E4078" s="1" t="n">
        <v>46307</v>
      </c>
      <c r="F4078" t="inlineStr">
        <is>
          <t>VÄRMLANDS LÄN</t>
        </is>
      </c>
      <c r="G4078" t="inlineStr">
        <is>
          <t>ÅRJÄNG</t>
        </is>
      </c>
      <c r="I4078" t="n">
        <v>2.6</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41407-2024</t>
        </is>
      </c>
      <c r="B4079" t="inlineStr">
        <is>
          <t>avverkningsanmälan</t>
        </is>
      </c>
      <c r="C4079" t="inlineStr">
        <is>
          <t>Föryngringsavverkning</t>
        </is>
      </c>
      <c r="D4079" s="1" t="n">
        <v>45560</v>
      </c>
      <c r="E4079" s="1" t="n">
        <v>46307</v>
      </c>
      <c r="F4079" t="inlineStr">
        <is>
          <t>VÄRMLANDS LÄN</t>
        </is>
      </c>
      <c r="G4079" t="inlineStr">
        <is>
          <t>SUNNE</t>
        </is>
      </c>
      <c r="I4079" t="n">
        <v>0.6</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37240-2024</t>
        </is>
      </c>
      <c r="B4080" t="inlineStr">
        <is>
          <t>avverkningsanmälan</t>
        </is>
      </c>
      <c r="C4080" t="inlineStr">
        <is>
          <t>Föryngringsavverkning</t>
        </is>
      </c>
      <c r="D4080" s="1" t="n">
        <v>45540</v>
      </c>
      <c r="E4080" s="1" t="n">
        <v>46307</v>
      </c>
      <c r="F4080" t="inlineStr">
        <is>
          <t>VÄRMLANDS LÄN</t>
        </is>
      </c>
      <c r="G4080" t="inlineStr">
        <is>
          <t>ARVIKA</t>
        </is>
      </c>
      <c r="I4080" t="n">
        <v>1.7</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55847-2023</t>
        </is>
      </c>
      <c r="B4081" t="inlineStr">
        <is>
          <t>avverkningsanmälan</t>
        </is>
      </c>
      <c r="C4081" t="inlineStr">
        <is>
          <t>Föryngringsavverkning</t>
        </is>
      </c>
      <c r="D4081" s="1" t="n">
        <v>45233</v>
      </c>
      <c r="E4081" s="1" t="n">
        <v>46307</v>
      </c>
      <c r="F4081" t="inlineStr">
        <is>
          <t>VÄRMLANDS LÄN</t>
        </is>
      </c>
      <c r="G4081" t="inlineStr">
        <is>
          <t>SÄFFLE</t>
        </is>
      </c>
      <c r="I4081" t="n">
        <v>2.1</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16882-2024</t>
        </is>
      </c>
      <c r="B4082" t="inlineStr">
        <is>
          <t>avverkningsanmälan</t>
        </is>
      </c>
      <c r="C4082" t="inlineStr">
        <is>
          <t>Föryngringsavverkning</t>
        </is>
      </c>
      <c r="D4082" s="1" t="n">
        <v>45411</v>
      </c>
      <c r="E4082" s="1" t="n">
        <v>46307</v>
      </c>
      <c r="F4082" t="inlineStr">
        <is>
          <t>VÄRMLANDS LÄN</t>
        </is>
      </c>
      <c r="G4082" t="inlineStr">
        <is>
          <t>SUNNE</t>
        </is>
      </c>
      <c r="H4082" t="inlineStr">
        <is>
          <t>Bergvik skog väst AB</t>
        </is>
      </c>
      <c r="I4082" t="n">
        <v>0.5</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12082-2024</t>
        </is>
      </c>
      <c r="B4083" t="inlineStr">
        <is>
          <t>avverkningsanmälan</t>
        </is>
      </c>
      <c r="C4083" t="inlineStr">
        <is>
          <t>Föryngringsavverkning</t>
        </is>
      </c>
      <c r="D4083" s="1" t="n">
        <v>45377</v>
      </c>
      <c r="E4083" s="1" t="n">
        <v>46307</v>
      </c>
      <c r="F4083" t="inlineStr">
        <is>
          <t>VÄRMLANDS LÄN</t>
        </is>
      </c>
      <c r="G4083" t="inlineStr">
        <is>
          <t>GRUMS</t>
        </is>
      </c>
      <c r="I4083" t="n">
        <v>1.2</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12084-2024</t>
        </is>
      </c>
      <c r="B4084" t="inlineStr">
        <is>
          <t>avverkningsanmälan</t>
        </is>
      </c>
      <c r="C4084" t="inlineStr">
        <is>
          <t>Föryngringsavverkning</t>
        </is>
      </c>
      <c r="D4084" s="1" t="n">
        <v>45377</v>
      </c>
      <c r="E4084" s="1" t="n">
        <v>46307</v>
      </c>
      <c r="F4084" t="inlineStr">
        <is>
          <t>VÄRMLANDS LÄN</t>
        </is>
      </c>
      <c r="G4084" t="inlineStr">
        <is>
          <t>GRUMS</t>
        </is>
      </c>
      <c r="I4084" t="n">
        <v>1.1</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46657-2025</t>
        </is>
      </c>
      <c r="B4085" t="inlineStr">
        <is>
          <t>avverkningsanmälan</t>
        </is>
      </c>
      <c r="C4085" t="inlineStr">
        <is>
          <t>Föryngringsavverkning</t>
        </is>
      </c>
      <c r="D4085" s="1" t="n">
        <v>45926</v>
      </c>
      <c r="E4085" s="1" t="n">
        <v>46307</v>
      </c>
      <c r="F4085" t="inlineStr">
        <is>
          <t>VÄRMLANDS LÄN</t>
        </is>
      </c>
      <c r="G4085" t="inlineStr">
        <is>
          <t>SUNNE</t>
        </is>
      </c>
      <c r="I4085" t="n">
        <v>4.3</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5594-2024</t>
        </is>
      </c>
      <c r="B4086" t="inlineStr">
        <is>
          <t>avverkningsanmälan</t>
        </is>
      </c>
      <c r="C4086" t="inlineStr">
        <is>
          <t>Föryngringsavverkning</t>
        </is>
      </c>
      <c r="D4086" s="1" t="n">
        <v>45334</v>
      </c>
      <c r="E4086" s="1" t="n">
        <v>46307</v>
      </c>
      <c r="F4086" t="inlineStr">
        <is>
          <t>VÄRMLANDS LÄN</t>
        </is>
      </c>
      <c r="G4086" t="inlineStr">
        <is>
          <t>SÄFFLE</t>
        </is>
      </c>
      <c r="I4086" t="n">
        <v>4.3</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22760-2025</t>
        </is>
      </c>
      <c r="B4087" t="inlineStr">
        <is>
          <t>avverkningsanmälan</t>
        </is>
      </c>
      <c r="C4087" t="inlineStr">
        <is>
          <t>Föryngringsavverkning</t>
        </is>
      </c>
      <c r="D4087" s="1" t="n">
        <v>45789</v>
      </c>
      <c r="E4087" s="1" t="n">
        <v>46307</v>
      </c>
      <c r="F4087" t="inlineStr">
        <is>
          <t>VÄRMLANDS LÄN</t>
        </is>
      </c>
      <c r="G4087" t="inlineStr">
        <is>
          <t>TORSBY</t>
        </is>
      </c>
      <c r="I4087" t="n">
        <v>1.2</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56151-2023</t>
        </is>
      </c>
      <c r="B4088" t="inlineStr">
        <is>
          <t>avverkningsanmälan</t>
        </is>
      </c>
      <c r="C4088" t="inlineStr">
        <is>
          <t>Föryngringsavverkning</t>
        </is>
      </c>
      <c r="D4088" s="1" t="n">
        <v>45240</v>
      </c>
      <c r="E4088" s="1" t="n">
        <v>46307</v>
      </c>
      <c r="F4088" t="inlineStr">
        <is>
          <t>VÄRMLANDS LÄN</t>
        </is>
      </c>
      <c r="G4088" t="inlineStr">
        <is>
          <t>FILIPSTAD</t>
        </is>
      </c>
      <c r="I4088" t="n">
        <v>1.3</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22964-2025</t>
        </is>
      </c>
      <c r="B4089" t="inlineStr">
        <is>
          <t>avverkningsanmälan</t>
        </is>
      </c>
      <c r="C4089" t="inlineStr">
        <is>
          <t>Föryngringsavverkning</t>
        </is>
      </c>
      <c r="D4089" s="1" t="n">
        <v>45790</v>
      </c>
      <c r="E4089" s="1" t="n">
        <v>46307</v>
      </c>
      <c r="F4089" t="inlineStr">
        <is>
          <t>VÄRMLANDS LÄN</t>
        </is>
      </c>
      <c r="G4089" t="inlineStr">
        <is>
          <t>HAGFORS</t>
        </is>
      </c>
      <c r="H4089" t="inlineStr">
        <is>
          <t>Bergvik skog väst AB</t>
        </is>
      </c>
      <c r="I4089" t="n">
        <v>2.4</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46301-2025</t>
        </is>
      </c>
      <c r="B4090" t="inlineStr">
        <is>
          <t>avverkningsanmälan</t>
        </is>
      </c>
      <c r="C4090" t="inlineStr">
        <is>
          <t>Föryngringsavverkning</t>
        </is>
      </c>
      <c r="D4090" s="1" t="n">
        <v>45925</v>
      </c>
      <c r="E4090" s="1" t="n">
        <v>46307</v>
      </c>
      <c r="F4090" t="inlineStr">
        <is>
          <t>VÄRMLANDS LÄN</t>
        </is>
      </c>
      <c r="G4090" t="inlineStr">
        <is>
          <t>ÅRJÄNG</t>
        </is>
      </c>
      <c r="I4090" t="n">
        <v>3.8</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26515-2023</t>
        </is>
      </c>
      <c r="B4091" t="inlineStr">
        <is>
          <t>avverkningsanmälan</t>
        </is>
      </c>
      <c r="C4091" t="inlineStr">
        <is>
          <t>Föryngringsavverkning</t>
        </is>
      </c>
      <c r="D4091" s="1" t="n">
        <v>45092</v>
      </c>
      <c r="E4091" s="1" t="n">
        <v>46307</v>
      </c>
      <c r="F4091" t="inlineStr">
        <is>
          <t>VÄRMLANDS LÄN</t>
        </is>
      </c>
      <c r="G4091" t="inlineStr">
        <is>
          <t>KARLSTAD</t>
        </is>
      </c>
      <c r="I4091" t="n">
        <v>6</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22993-2025</t>
        </is>
      </c>
      <c r="B4092" t="inlineStr">
        <is>
          <t>avverkningsanmälan</t>
        </is>
      </c>
      <c r="C4092" t="inlineStr">
        <is>
          <t>Föryngringsavverkning</t>
        </is>
      </c>
      <c r="D4092" s="1" t="n">
        <v>45790</v>
      </c>
      <c r="E4092" s="1" t="n">
        <v>46307</v>
      </c>
      <c r="F4092" t="inlineStr">
        <is>
          <t>VÄRMLANDS LÄN</t>
        </is>
      </c>
      <c r="G4092" t="inlineStr">
        <is>
          <t>SÄFFLE</t>
        </is>
      </c>
      <c r="H4092" t="inlineStr">
        <is>
          <t>Bergvik skog väst AB</t>
        </is>
      </c>
      <c r="I4092" t="n">
        <v>0.5</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22880-2025</t>
        </is>
      </c>
      <c r="B4093" t="inlineStr">
        <is>
          <t>avverkningsanmälan</t>
        </is>
      </c>
      <c r="C4093" t="inlineStr">
        <is>
          <t>Föryngringsavverkning</t>
        </is>
      </c>
      <c r="D4093" s="1" t="n">
        <v>45790</v>
      </c>
      <c r="E4093" s="1" t="n">
        <v>46307</v>
      </c>
      <c r="F4093" t="inlineStr">
        <is>
          <t>VÄRMLANDS LÄN</t>
        </is>
      </c>
      <c r="G4093" t="inlineStr">
        <is>
          <t>FILIPSTAD</t>
        </is>
      </c>
      <c r="H4093" t="inlineStr">
        <is>
          <t>Kyrkan</t>
        </is>
      </c>
      <c r="I4093" t="n">
        <v>5.4</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25628-2025</t>
        </is>
      </c>
      <c r="B4094" t="inlineStr">
        <is>
          <t>avverkningsanmälan</t>
        </is>
      </c>
      <c r="C4094" t="inlineStr">
        <is>
          <t>Föryngringsavverkning</t>
        </is>
      </c>
      <c r="D4094" s="1" t="n">
        <v>45803</v>
      </c>
      <c r="E4094" s="1" t="n">
        <v>46307</v>
      </c>
      <c r="F4094" t="inlineStr">
        <is>
          <t>VÄRMLANDS LÄN</t>
        </is>
      </c>
      <c r="G4094" t="inlineStr">
        <is>
          <t>KRISTINEHAMN</t>
        </is>
      </c>
      <c r="H4094" t="inlineStr">
        <is>
          <t>Naturvårdsverket</t>
        </is>
      </c>
      <c r="I4094" t="n">
        <v>3.4</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46214-2025</t>
        </is>
      </c>
      <c r="B4095" t="inlineStr">
        <is>
          <t>avverkningsanmälan</t>
        </is>
      </c>
      <c r="C4095" t="inlineStr">
        <is>
          <t>Föryngringsavverkning</t>
        </is>
      </c>
      <c r="D4095" s="1" t="n">
        <v>45924</v>
      </c>
      <c r="E4095" s="1" t="n">
        <v>46307</v>
      </c>
      <c r="F4095" t="inlineStr">
        <is>
          <t>VÄRMLANDS LÄN</t>
        </is>
      </c>
      <c r="G4095" t="inlineStr">
        <is>
          <t>SÄFFLE</t>
        </is>
      </c>
      <c r="I4095" t="n">
        <v>1.5</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46663-2025</t>
        </is>
      </c>
      <c r="B4096" t="inlineStr">
        <is>
          <t>avverkningsanmälan</t>
        </is>
      </c>
      <c r="C4096" t="inlineStr">
        <is>
          <t>Föryngringsavverkning</t>
        </is>
      </c>
      <c r="D4096" s="1" t="n">
        <v>45926</v>
      </c>
      <c r="E4096" s="1" t="n">
        <v>46307</v>
      </c>
      <c r="F4096" t="inlineStr">
        <is>
          <t>VÄRMLANDS LÄN</t>
        </is>
      </c>
      <c r="G4096" t="inlineStr">
        <is>
          <t>SUNNE</t>
        </is>
      </c>
      <c r="I4096" t="n">
        <v>3.7</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46680-2025</t>
        </is>
      </c>
      <c r="B4097" t="inlineStr">
        <is>
          <t>avverkningsanmälan</t>
        </is>
      </c>
      <c r="C4097" t="inlineStr">
        <is>
          <t>Föryngringsavverkning</t>
        </is>
      </c>
      <c r="D4097" s="1" t="n">
        <v>45926</v>
      </c>
      <c r="E4097" s="1" t="n">
        <v>46307</v>
      </c>
      <c r="F4097" t="inlineStr">
        <is>
          <t>VÄRMLANDS LÄN</t>
        </is>
      </c>
      <c r="G4097" t="inlineStr">
        <is>
          <t>ARVIKA</t>
        </is>
      </c>
      <c r="H4097" t="inlineStr">
        <is>
          <t>Bergvik skog väst AB</t>
        </is>
      </c>
      <c r="I4097" t="n">
        <v>3.2</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27815-2023</t>
        </is>
      </c>
      <c r="B4098" t="inlineStr">
        <is>
          <t>avverkningsanmälan</t>
        </is>
      </c>
      <c r="C4098" t="inlineStr">
        <is>
          <t>Föryngringsavverkning</t>
        </is>
      </c>
      <c r="D4098" s="1" t="n">
        <v>45098</v>
      </c>
      <c r="E4098" s="1" t="n">
        <v>46307</v>
      </c>
      <c r="F4098" t="inlineStr">
        <is>
          <t>VÄRMLANDS LÄN</t>
        </is>
      </c>
      <c r="G4098" t="inlineStr">
        <is>
          <t>SÄFFLE</t>
        </is>
      </c>
      <c r="I4098" t="n">
        <v>3.5</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46685-2025</t>
        </is>
      </c>
      <c r="B4099" t="inlineStr">
        <is>
          <t>avverkningsanmälan</t>
        </is>
      </c>
      <c r="C4099" t="inlineStr">
        <is>
          <t>Föryngringsavverkning</t>
        </is>
      </c>
      <c r="D4099" s="1" t="n">
        <v>45926</v>
      </c>
      <c r="E4099" s="1" t="n">
        <v>46307</v>
      </c>
      <c r="F4099" t="inlineStr">
        <is>
          <t>VÄRMLANDS LÄN</t>
        </is>
      </c>
      <c r="G4099" t="inlineStr">
        <is>
          <t>ARVIKA</t>
        </is>
      </c>
      <c r="H4099" t="inlineStr">
        <is>
          <t>Bergvik skog väst AB</t>
        </is>
      </c>
      <c r="I4099" t="n">
        <v>0.6</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46231-2025</t>
        </is>
      </c>
      <c r="B4100" t="inlineStr">
        <is>
          <t>avverkningsanmälan</t>
        </is>
      </c>
      <c r="C4100" t="inlineStr">
        <is>
          <t>Föryngringsavverkning</t>
        </is>
      </c>
      <c r="D4100" s="1" t="n">
        <v>45925</v>
      </c>
      <c r="E4100" s="1" t="n">
        <v>46307</v>
      </c>
      <c r="F4100" t="inlineStr">
        <is>
          <t>VÄRMLANDS LÄN</t>
        </is>
      </c>
      <c r="G4100" t="inlineStr">
        <is>
          <t>KARLSTAD</t>
        </is>
      </c>
      <c r="I4100" t="n">
        <v>0.2</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6023-2025</t>
        </is>
      </c>
      <c r="B4101" t="inlineStr">
        <is>
          <t>avverkningsanmälan</t>
        </is>
      </c>
      <c r="C4101" t="inlineStr">
        <is>
          <t>Föryngringsavverkning</t>
        </is>
      </c>
      <c r="D4101" s="1" t="n">
        <v>45695</v>
      </c>
      <c r="E4101" s="1" t="n">
        <v>46307</v>
      </c>
      <c r="F4101" t="inlineStr">
        <is>
          <t>VÄRMLANDS LÄN</t>
        </is>
      </c>
      <c r="G4101" t="inlineStr">
        <is>
          <t>SUNNE</t>
        </is>
      </c>
      <c r="I4101" t="n">
        <v>1.1</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22799-2025</t>
        </is>
      </c>
      <c r="B4102" t="inlineStr">
        <is>
          <t>avverkningsanmälan</t>
        </is>
      </c>
      <c r="C4102" t="inlineStr">
        <is>
          <t>Föryngringsavverkning</t>
        </is>
      </c>
      <c r="D4102" s="1" t="n">
        <v>45789</v>
      </c>
      <c r="E4102" s="1" t="n">
        <v>46307</v>
      </c>
      <c r="F4102" t="inlineStr">
        <is>
          <t>VÄRMLANDS LÄN</t>
        </is>
      </c>
      <c r="G4102" t="inlineStr">
        <is>
          <t>HAGFORS</t>
        </is>
      </c>
      <c r="H4102" t="inlineStr">
        <is>
          <t>Bergvik skog väst AB</t>
        </is>
      </c>
      <c r="I4102" t="n">
        <v>2</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31582-2024</t>
        </is>
      </c>
      <c r="B4103" t="inlineStr">
        <is>
          <t>avverkningsanmälan</t>
        </is>
      </c>
      <c r="C4103" t="inlineStr">
        <is>
          <t>Föryngringsavverkning</t>
        </is>
      </c>
      <c r="D4103" s="1" t="n">
        <v>45506</v>
      </c>
      <c r="E4103" s="1" t="n">
        <v>46307</v>
      </c>
      <c r="F4103" t="inlineStr">
        <is>
          <t>VÄRMLANDS LÄN</t>
        </is>
      </c>
      <c r="G4103" t="inlineStr">
        <is>
          <t>ARVIKA</t>
        </is>
      </c>
      <c r="I4103" t="n">
        <v>2.5</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14643-2023</t>
        </is>
      </c>
      <c r="B4104" t="inlineStr">
        <is>
          <t>avverkningsanmälan</t>
        </is>
      </c>
      <c r="C4104" t="inlineStr">
        <is>
          <t>Föryngringsavverkning</t>
        </is>
      </c>
      <c r="D4104" s="1" t="n">
        <v>45012</v>
      </c>
      <c r="E4104" s="1" t="n">
        <v>46307</v>
      </c>
      <c r="F4104" t="inlineStr">
        <is>
          <t>VÄRMLANDS LÄN</t>
        </is>
      </c>
      <c r="G4104" t="inlineStr">
        <is>
          <t>SÄFFLE</t>
        </is>
      </c>
      <c r="I4104" t="n">
        <v>2.4</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14735-2023</t>
        </is>
      </c>
      <c r="B4105" t="inlineStr">
        <is>
          <t>avverkningsanmälan</t>
        </is>
      </c>
      <c r="C4105" t="inlineStr">
        <is>
          <t>Föryngringsavverkning</t>
        </is>
      </c>
      <c r="D4105" s="1" t="n">
        <v>45013</v>
      </c>
      <c r="E4105" s="1" t="n">
        <v>46307</v>
      </c>
      <c r="F4105" t="inlineStr">
        <is>
          <t>VÄRMLANDS LÄN</t>
        </is>
      </c>
      <c r="G4105" t="inlineStr">
        <is>
          <t>ARVIKA</t>
        </is>
      </c>
      <c r="I4105" t="n">
        <v>3</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22589-2025</t>
        </is>
      </c>
      <c r="B4106" t="inlineStr">
        <is>
          <t>avverkningsanmälan</t>
        </is>
      </c>
      <c r="C4106" t="inlineStr">
        <is>
          <t>Avverkning för annat ändamål</t>
        </is>
      </c>
      <c r="D4106" s="1" t="n">
        <v>45789</v>
      </c>
      <c r="E4106" s="1" t="n">
        <v>46307</v>
      </c>
      <c r="F4106" t="inlineStr">
        <is>
          <t>VÄRMLANDS LÄN</t>
        </is>
      </c>
      <c r="G4106" t="inlineStr">
        <is>
          <t>ARVIKA</t>
        </is>
      </c>
      <c r="H4106" t="inlineStr">
        <is>
          <t>Bergvik skog väst AB</t>
        </is>
      </c>
      <c r="I4106" t="n">
        <v>1.9</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7273-2023</t>
        </is>
      </c>
      <c r="B4107" t="inlineStr">
        <is>
          <t>avverkningsanmälan</t>
        </is>
      </c>
      <c r="C4107" t="inlineStr">
        <is>
          <t>Föryngringsavverkning</t>
        </is>
      </c>
      <c r="D4107" s="1" t="n">
        <v>44970</v>
      </c>
      <c r="E4107" s="1" t="n">
        <v>46307</v>
      </c>
      <c r="F4107" t="inlineStr">
        <is>
          <t>VÄRMLANDS LÄN</t>
        </is>
      </c>
      <c r="G4107" t="inlineStr">
        <is>
          <t>FORSHAGA</t>
        </is>
      </c>
      <c r="I4107" t="n">
        <v>1.9</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32134-2023</t>
        </is>
      </c>
      <c r="B4108" t="inlineStr">
        <is>
          <t>avverkningsanmälan</t>
        </is>
      </c>
      <c r="C4108" t="inlineStr">
        <is>
          <t>Föryngringsavverkning</t>
        </is>
      </c>
      <c r="D4108" s="1" t="n">
        <v>45119</v>
      </c>
      <c r="E4108" s="1" t="n">
        <v>46307</v>
      </c>
      <c r="F4108" t="inlineStr">
        <is>
          <t>VÄRMLANDS LÄN</t>
        </is>
      </c>
      <c r="G4108" t="inlineStr">
        <is>
          <t>SUNNE</t>
        </is>
      </c>
      <c r="I4108" t="n">
        <v>9.300000000000001</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28594-2023</t>
        </is>
      </c>
      <c r="B4109" t="inlineStr">
        <is>
          <t>avverkningsanmälan</t>
        </is>
      </c>
      <c r="C4109" t="inlineStr">
        <is>
          <t>Föryngringsavverkning</t>
        </is>
      </c>
      <c r="D4109" s="1" t="n">
        <v>45103</v>
      </c>
      <c r="E4109" s="1" t="n">
        <v>46307</v>
      </c>
      <c r="F4109" t="inlineStr">
        <is>
          <t>VÄRMLANDS LÄN</t>
        </is>
      </c>
      <c r="G4109" t="inlineStr">
        <is>
          <t>HAGFORS</t>
        </is>
      </c>
      <c r="I4109" t="n">
        <v>1</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46391-2025</t>
        </is>
      </c>
      <c r="B4110" t="inlineStr">
        <is>
          <t>avverkningsanmälan</t>
        </is>
      </c>
      <c r="C4110" t="inlineStr">
        <is>
          <t>Avverkning för annat ändamål</t>
        </is>
      </c>
      <c r="D4110" s="1" t="n">
        <v>45925</v>
      </c>
      <c r="E4110" s="1" t="n">
        <v>46307</v>
      </c>
      <c r="F4110" t="inlineStr">
        <is>
          <t>VÄRMLANDS LÄN</t>
        </is>
      </c>
      <c r="G4110" t="inlineStr">
        <is>
          <t>SÄFFLE</t>
        </is>
      </c>
      <c r="I4110" t="n">
        <v>2.2</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2471-2023</t>
        </is>
      </c>
      <c r="B4111" t="inlineStr">
        <is>
          <t>avverkningsanmälan</t>
        </is>
      </c>
      <c r="C4111" t="inlineStr">
        <is>
          <t>Föryngringsavverkning</t>
        </is>
      </c>
      <c r="D4111" s="1" t="n">
        <v>44943</v>
      </c>
      <c r="E4111" s="1" t="n">
        <v>46307</v>
      </c>
      <c r="F4111" t="inlineStr">
        <is>
          <t>VÄRMLANDS LÄN</t>
        </is>
      </c>
      <c r="G4111" t="inlineStr">
        <is>
          <t>TORSBY</t>
        </is>
      </c>
      <c r="I4111" t="n">
        <v>2.2</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46493-2025</t>
        </is>
      </c>
      <c r="B4112" t="inlineStr">
        <is>
          <t>avverkningsanmälan</t>
        </is>
      </c>
      <c r="C4112" t="inlineStr">
        <is>
          <t>Avverkning för annat ändamål</t>
        </is>
      </c>
      <c r="D4112" s="1" t="n">
        <v>45925</v>
      </c>
      <c r="E4112" s="1" t="n">
        <v>46307</v>
      </c>
      <c r="F4112" t="inlineStr">
        <is>
          <t>VÄRMLANDS LÄN</t>
        </is>
      </c>
      <c r="G4112" t="inlineStr">
        <is>
          <t>TORSBY</t>
        </is>
      </c>
      <c r="I4112" t="n">
        <v>0.3</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17110-2022</t>
        </is>
      </c>
      <c r="B4113" t="inlineStr">
        <is>
          <t>avverkningsanmälan</t>
        </is>
      </c>
      <c r="C4113" t="inlineStr">
        <is>
          <t>Föryngringsavverkning</t>
        </is>
      </c>
      <c r="D4113" s="1" t="n">
        <v>44677</v>
      </c>
      <c r="E4113" s="1" t="n">
        <v>46307</v>
      </c>
      <c r="F4113" t="inlineStr">
        <is>
          <t>VÄRMLANDS LÄN</t>
        </is>
      </c>
      <c r="G4113" t="inlineStr">
        <is>
          <t>KRISTINEHAMN</t>
        </is>
      </c>
      <c r="I4113" t="n">
        <v>5.6</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8173-2023</t>
        </is>
      </c>
      <c r="B4114" t="inlineStr">
        <is>
          <t>avverkningsanmälan</t>
        </is>
      </c>
      <c r="C4114" t="inlineStr">
        <is>
          <t>Föryngringsavverkning</t>
        </is>
      </c>
      <c r="D4114" s="1" t="n">
        <v>44974</v>
      </c>
      <c r="E4114" s="1" t="n">
        <v>46307</v>
      </c>
      <c r="F4114" t="inlineStr">
        <is>
          <t>VÄRMLANDS LÄN</t>
        </is>
      </c>
      <c r="G4114" t="inlineStr">
        <is>
          <t>KRISTINEHAMN</t>
        </is>
      </c>
      <c r="I4114" t="n">
        <v>4</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14078-2025</t>
        </is>
      </c>
      <c r="B4115" t="inlineStr">
        <is>
          <t>avverkningsanmälan</t>
        </is>
      </c>
      <c r="C4115" t="inlineStr">
        <is>
          <t>Föryngringsavverkning</t>
        </is>
      </c>
      <c r="D4115" s="1" t="n">
        <v>45740</v>
      </c>
      <c r="E4115" s="1" t="n">
        <v>46307</v>
      </c>
      <c r="F4115" t="inlineStr">
        <is>
          <t>VÄRMLANDS LÄN</t>
        </is>
      </c>
      <c r="G4115" t="inlineStr">
        <is>
          <t>SUNNE</t>
        </is>
      </c>
      <c r="I4115" t="n">
        <v>4.2</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46550-2025</t>
        </is>
      </c>
      <c r="B4116" t="inlineStr">
        <is>
          <t>avverkningsanmälan</t>
        </is>
      </c>
      <c r="C4116" t="inlineStr">
        <is>
          <t>Föryngringsavverkning</t>
        </is>
      </c>
      <c r="D4116" s="1" t="n">
        <v>45926</v>
      </c>
      <c r="E4116" s="1" t="n">
        <v>46307</v>
      </c>
      <c r="F4116" t="inlineStr">
        <is>
          <t>VÄRMLANDS LÄN</t>
        </is>
      </c>
      <c r="G4116" t="inlineStr">
        <is>
          <t>TORSBY</t>
        </is>
      </c>
      <c r="I4116" t="n">
        <v>2.8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23268-2025</t>
        </is>
      </c>
      <c r="B4117" t="inlineStr">
        <is>
          <t>avverkningsanmälan</t>
        </is>
      </c>
      <c r="C4117" t="inlineStr">
        <is>
          <t>Föryngringsavverkning</t>
        </is>
      </c>
      <c r="D4117" s="1" t="n">
        <v>45791</v>
      </c>
      <c r="E4117" s="1" t="n">
        <v>46307</v>
      </c>
      <c r="F4117" t="inlineStr">
        <is>
          <t>VÄRMLANDS LÄN</t>
        </is>
      </c>
      <c r="G4117" t="inlineStr">
        <is>
          <t>HAGFORS</t>
        </is>
      </c>
      <c r="I4117" t="n">
        <v>1.2</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12399-2024</t>
        </is>
      </c>
      <c r="B4118" t="inlineStr">
        <is>
          <t>avverkningsanmälan</t>
        </is>
      </c>
      <c r="C4118" t="inlineStr">
        <is>
          <t>Föryngringsavverkning</t>
        </is>
      </c>
      <c r="D4118" s="1" t="n">
        <v>45379</v>
      </c>
      <c r="E4118" s="1" t="n">
        <v>46307</v>
      </c>
      <c r="F4118" t="inlineStr">
        <is>
          <t>VÄRMLANDS LÄN</t>
        </is>
      </c>
      <c r="G4118" t="inlineStr">
        <is>
          <t>KARLSTAD</t>
        </is>
      </c>
      <c r="I4118" t="n">
        <v>6.5</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4564-2025</t>
        </is>
      </c>
      <c r="B4119" t="inlineStr">
        <is>
          <t>avverkningsanmälan</t>
        </is>
      </c>
      <c r="C4119" t="inlineStr">
        <is>
          <t>Föryngringsavverkning</t>
        </is>
      </c>
      <c r="D4119" s="1" t="n">
        <v>45687</v>
      </c>
      <c r="E4119" s="1" t="n">
        <v>46307</v>
      </c>
      <c r="F4119" t="inlineStr">
        <is>
          <t>VÄRMLANDS LÄN</t>
        </is>
      </c>
      <c r="G4119" t="inlineStr">
        <is>
          <t>SUNNE</t>
        </is>
      </c>
      <c r="I4119" t="n">
        <v>2.3</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41235-2024</t>
        </is>
      </c>
      <c r="B4120" t="inlineStr">
        <is>
          <t>avverkningsanmälan</t>
        </is>
      </c>
      <c r="C4120" t="inlineStr">
        <is>
          <t>Föryngringsavverkning</t>
        </is>
      </c>
      <c r="D4120" s="1" t="n">
        <v>45559</v>
      </c>
      <c r="E4120" s="1" t="n">
        <v>46307</v>
      </c>
      <c r="F4120" t="inlineStr">
        <is>
          <t>VÄRMLANDS LÄN</t>
        </is>
      </c>
      <c r="G4120" t="inlineStr">
        <is>
          <t>ARVIKA</t>
        </is>
      </c>
      <c r="I4120" t="n">
        <v>3.2</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46371-2025</t>
        </is>
      </c>
      <c r="B4121" t="inlineStr">
        <is>
          <t>avverkningsanmälan</t>
        </is>
      </c>
      <c r="C4121" t="inlineStr">
        <is>
          <t>Föryngringsavverkning</t>
        </is>
      </c>
      <c r="D4121" s="1" t="n">
        <v>45925</v>
      </c>
      <c r="E4121" s="1" t="n">
        <v>46307</v>
      </c>
      <c r="F4121" t="inlineStr">
        <is>
          <t>VÄRMLANDS LÄN</t>
        </is>
      </c>
      <c r="G4121" t="inlineStr">
        <is>
          <t>HAGFORS</t>
        </is>
      </c>
      <c r="H4121" t="inlineStr">
        <is>
          <t>Bergvik skog väst AB</t>
        </is>
      </c>
      <c r="I4121" t="n">
        <v>1.7</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53443-2024</t>
        </is>
      </c>
      <c r="B4122" t="inlineStr">
        <is>
          <t>avverkningsanmälan</t>
        </is>
      </c>
      <c r="C4122" t="inlineStr">
        <is>
          <t>Föryngringsavverkning</t>
        </is>
      </c>
      <c r="D4122" s="1" t="n">
        <v>45614</v>
      </c>
      <c r="E4122" s="1" t="n">
        <v>46307</v>
      </c>
      <c r="F4122" t="inlineStr">
        <is>
          <t>VÄRMLANDS LÄN</t>
        </is>
      </c>
      <c r="G4122" t="inlineStr">
        <is>
          <t>HAGFORS</t>
        </is>
      </c>
      <c r="I4122" t="n">
        <v>2.1</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30370-2023</t>
        </is>
      </c>
      <c r="B4123" t="inlineStr">
        <is>
          <t>avverkningsanmälan</t>
        </is>
      </c>
      <c r="C4123" t="inlineStr">
        <is>
          <t>Föryngringsavverkning</t>
        </is>
      </c>
      <c r="D4123" s="1" t="n">
        <v>45111</v>
      </c>
      <c r="E4123" s="1" t="n">
        <v>46307</v>
      </c>
      <c r="F4123" t="inlineStr">
        <is>
          <t>VÄRMLANDS LÄN</t>
        </is>
      </c>
      <c r="G4123" t="inlineStr">
        <is>
          <t>TORSBY</t>
        </is>
      </c>
      <c r="I4123" t="n">
        <v>2.9</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43659-2024</t>
        </is>
      </c>
      <c r="B4124" t="inlineStr">
        <is>
          <t>avverkningsanmälan</t>
        </is>
      </c>
      <c r="C4124" t="inlineStr">
        <is>
          <t>Föryngringsavverkning</t>
        </is>
      </c>
      <c r="D4124" s="1" t="n">
        <v>45569</v>
      </c>
      <c r="E4124" s="1" t="n">
        <v>46307</v>
      </c>
      <c r="F4124" t="inlineStr">
        <is>
          <t>VÄRMLANDS LÄN</t>
        </is>
      </c>
      <c r="G4124" t="inlineStr">
        <is>
          <t>ÅRJÄNG</t>
        </is>
      </c>
      <c r="I4124" t="n">
        <v>6</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23502-2025</t>
        </is>
      </c>
      <c r="B4125" t="inlineStr">
        <is>
          <t>avverkningsanmälan</t>
        </is>
      </c>
      <c r="C4125" t="inlineStr">
        <is>
          <t>Föryngringsavverkning</t>
        </is>
      </c>
      <c r="D4125" s="1" t="n">
        <v>45792</v>
      </c>
      <c r="E4125" s="1" t="n">
        <v>46307</v>
      </c>
      <c r="F4125" t="inlineStr">
        <is>
          <t>VÄRMLANDS LÄN</t>
        </is>
      </c>
      <c r="G4125" t="inlineStr">
        <is>
          <t>KRISTINEHAMN</t>
        </is>
      </c>
      <c r="H4125" t="inlineStr">
        <is>
          <t>Sveaskog</t>
        </is>
      </c>
      <c r="I4125" t="n">
        <v>0.9</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20862-2024</t>
        </is>
      </c>
      <c r="B4126" t="inlineStr">
        <is>
          <t>avverkningsanmälan</t>
        </is>
      </c>
      <c r="C4126" t="inlineStr">
        <is>
          <t>Föryngringsavverkning</t>
        </is>
      </c>
      <c r="D4126" s="1" t="n">
        <v>45439</v>
      </c>
      <c r="E4126" s="1" t="n">
        <v>46307</v>
      </c>
      <c r="F4126" t="inlineStr">
        <is>
          <t>VÄRMLANDS LÄN</t>
        </is>
      </c>
      <c r="G4126" t="inlineStr">
        <is>
          <t>FORSHAGA</t>
        </is>
      </c>
      <c r="I4126" t="n">
        <v>9.199999999999999</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11447-2022</t>
        </is>
      </c>
      <c r="B4127" t="inlineStr">
        <is>
          <t>avverkningsanmälan</t>
        </is>
      </c>
      <c r="C4127" t="inlineStr">
        <is>
          <t>Föryngringsavverkning</t>
        </is>
      </c>
      <c r="D4127" s="1" t="n">
        <v>44630</v>
      </c>
      <c r="E4127" s="1" t="n">
        <v>46307</v>
      </c>
      <c r="F4127" t="inlineStr">
        <is>
          <t>VÄRMLANDS LÄN</t>
        </is>
      </c>
      <c r="G4127" t="inlineStr">
        <is>
          <t>TORSBY</t>
        </is>
      </c>
      <c r="I4127" t="n">
        <v>2.4</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46230-2025</t>
        </is>
      </c>
      <c r="B4128" t="inlineStr">
        <is>
          <t>avverkningsanmälan</t>
        </is>
      </c>
      <c r="C4128" t="inlineStr">
        <is>
          <t>Föryngringsavverkning</t>
        </is>
      </c>
      <c r="D4128" s="1" t="n">
        <v>45925</v>
      </c>
      <c r="E4128" s="1" t="n">
        <v>46307</v>
      </c>
      <c r="F4128" t="inlineStr">
        <is>
          <t>VÄRMLANDS LÄN</t>
        </is>
      </c>
      <c r="G4128" t="inlineStr">
        <is>
          <t>KARLSTAD</t>
        </is>
      </c>
      <c r="I4128" t="n">
        <v>0.6</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26424-2023</t>
        </is>
      </c>
      <c r="B4129" t="inlineStr">
        <is>
          <t>avverkningsanmälan</t>
        </is>
      </c>
      <c r="C4129" t="inlineStr">
        <is>
          <t>Föryngringsavverkning</t>
        </is>
      </c>
      <c r="D4129" s="1" t="n">
        <v>45092</v>
      </c>
      <c r="E4129" s="1" t="n">
        <v>46307</v>
      </c>
      <c r="F4129" t="inlineStr">
        <is>
          <t>VÄRMLANDS LÄN</t>
        </is>
      </c>
      <c r="G4129" t="inlineStr">
        <is>
          <t>ARVIKA</t>
        </is>
      </c>
      <c r="H4129" t="inlineStr">
        <is>
          <t>Bergvik skog väst AB</t>
        </is>
      </c>
      <c r="I4129" t="n">
        <v>0.5</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57314-2024</t>
        </is>
      </c>
      <c r="B4130" t="inlineStr">
        <is>
          <t>avverkningsanmälan</t>
        </is>
      </c>
      <c r="C4130" t="inlineStr">
        <is>
          <t>Föryngringsavverkning</t>
        </is>
      </c>
      <c r="D4130" s="1" t="n">
        <v>45629</v>
      </c>
      <c r="E4130" s="1" t="n">
        <v>46307</v>
      </c>
      <c r="F4130" t="inlineStr">
        <is>
          <t>VÄRMLANDS LÄN</t>
        </is>
      </c>
      <c r="G4130" t="inlineStr">
        <is>
          <t>EDA</t>
        </is>
      </c>
      <c r="I4130" t="n">
        <v>3</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46714-2025</t>
        </is>
      </c>
      <c r="B4131" t="inlineStr">
        <is>
          <t>avverkningsanmälan</t>
        </is>
      </c>
      <c r="C4131" t="inlineStr">
        <is>
          <t>Föryngringsavverkning</t>
        </is>
      </c>
      <c r="D4131" s="1" t="n">
        <v>45926</v>
      </c>
      <c r="E4131" s="1" t="n">
        <v>46307</v>
      </c>
      <c r="F4131" t="inlineStr">
        <is>
          <t>VÄRMLANDS LÄN</t>
        </is>
      </c>
      <c r="G4131" t="inlineStr">
        <is>
          <t>ARVIKA</t>
        </is>
      </c>
      <c r="H4131" t="inlineStr">
        <is>
          <t>Bergvik skog väst AB</t>
        </is>
      </c>
      <c r="I4131" t="n">
        <v>6.3</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23556-2025</t>
        </is>
      </c>
      <c r="B4132" t="inlineStr">
        <is>
          <t>avverkningsanmälan</t>
        </is>
      </c>
      <c r="C4132" t="inlineStr">
        <is>
          <t>Avverkning för annat ändamål</t>
        </is>
      </c>
      <c r="D4132" s="1" t="n">
        <v>45792</v>
      </c>
      <c r="E4132" s="1" t="n">
        <v>46307</v>
      </c>
      <c r="F4132" t="inlineStr">
        <is>
          <t>VÄRMLANDS LÄN</t>
        </is>
      </c>
      <c r="G4132" t="inlineStr">
        <is>
          <t>HAGFORS</t>
        </is>
      </c>
      <c r="H4132" t="inlineStr">
        <is>
          <t>Bergvik skog väst AB</t>
        </is>
      </c>
      <c r="I4132" t="n">
        <v>1.3</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23266-2025</t>
        </is>
      </c>
      <c r="B4133" t="inlineStr">
        <is>
          <t>avverkningsanmälan</t>
        </is>
      </c>
      <c r="C4133" t="inlineStr">
        <is>
          <t>Föryngringsavverkning</t>
        </is>
      </c>
      <c r="D4133" s="1" t="n">
        <v>45791</v>
      </c>
      <c r="E4133" s="1" t="n">
        <v>46307</v>
      </c>
      <c r="F4133" t="inlineStr">
        <is>
          <t>VÄRMLANDS LÄN</t>
        </is>
      </c>
      <c r="G4133" t="inlineStr">
        <is>
          <t>FILIPSTAD</t>
        </is>
      </c>
      <c r="I4133" t="n">
        <v>2</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29001-2023</t>
        </is>
      </c>
      <c r="B4134" t="inlineStr">
        <is>
          <t>avverkningsanmälan</t>
        </is>
      </c>
      <c r="C4134" t="inlineStr">
        <is>
          <t>Föryngringsavverkning</t>
        </is>
      </c>
      <c r="D4134" s="1" t="n">
        <v>45104</v>
      </c>
      <c r="E4134" s="1" t="n">
        <v>46307</v>
      </c>
      <c r="F4134" t="inlineStr">
        <is>
          <t>VÄRMLANDS LÄN</t>
        </is>
      </c>
      <c r="G4134" t="inlineStr">
        <is>
          <t>SUNNE</t>
        </is>
      </c>
      <c r="I4134" t="n">
        <v>3.7</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23367-2025</t>
        </is>
      </c>
      <c r="B4135" t="inlineStr">
        <is>
          <t>avverkningsanmälan</t>
        </is>
      </c>
      <c r="C4135" t="inlineStr">
        <is>
          <t>Föryngringsavverkning</t>
        </is>
      </c>
      <c r="D4135" s="1" t="n">
        <v>45791</v>
      </c>
      <c r="E4135" s="1" t="n">
        <v>46307</v>
      </c>
      <c r="F4135" t="inlineStr">
        <is>
          <t>VÄRMLANDS LÄN</t>
        </is>
      </c>
      <c r="G4135" t="inlineStr">
        <is>
          <t>TORSBY</t>
        </is>
      </c>
      <c r="I4135" t="n">
        <v>9.800000000000001</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46408-2025</t>
        </is>
      </c>
      <c r="B4136" t="inlineStr">
        <is>
          <t>avverkningsanmälan</t>
        </is>
      </c>
      <c r="C4136" t="inlineStr">
        <is>
          <t>Föryngringsavverkning</t>
        </is>
      </c>
      <c r="D4136" s="1" t="n">
        <v>45925</v>
      </c>
      <c r="E4136" s="1" t="n">
        <v>46307</v>
      </c>
      <c r="F4136" t="inlineStr">
        <is>
          <t>VÄRMLANDS LÄN</t>
        </is>
      </c>
      <c r="G4136" t="inlineStr">
        <is>
          <t>ARVIKA</t>
        </is>
      </c>
      <c r="I4136" t="n">
        <v>1</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5954-2024</t>
        </is>
      </c>
      <c r="B4137" t="inlineStr">
        <is>
          <t>avverkningsanmälan</t>
        </is>
      </c>
      <c r="C4137" t="inlineStr">
        <is>
          <t>Föryngringsavverkning</t>
        </is>
      </c>
      <c r="D4137" s="1" t="n">
        <v>45336</v>
      </c>
      <c r="E4137" s="1" t="n">
        <v>46307</v>
      </c>
      <c r="F4137" t="inlineStr">
        <is>
          <t>VÄRMLANDS LÄN</t>
        </is>
      </c>
      <c r="G4137" t="inlineStr">
        <is>
          <t>EDA</t>
        </is>
      </c>
      <c r="I4137" t="n">
        <v>5.1</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40692-2022</t>
        </is>
      </c>
      <c r="B4138" t="inlineStr">
        <is>
          <t>avverkningsanmälan</t>
        </is>
      </c>
      <c r="C4138" t="inlineStr">
        <is>
          <t>Föryngringsavverkning</t>
        </is>
      </c>
      <c r="D4138" s="1" t="n">
        <v>44824</v>
      </c>
      <c r="E4138" s="1" t="n">
        <v>46307</v>
      </c>
      <c r="F4138" t="inlineStr">
        <is>
          <t>VÄRMLANDS LÄN</t>
        </is>
      </c>
      <c r="G4138" t="inlineStr">
        <is>
          <t>HAGFORS</t>
        </is>
      </c>
      <c r="H4138" t="inlineStr">
        <is>
          <t>Bergvik skog väst AB</t>
        </is>
      </c>
      <c r="I4138" t="n">
        <v>7.2</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1381-2025</t>
        </is>
      </c>
      <c r="B4139" t="inlineStr">
        <is>
          <t>avverkningsanmälan</t>
        </is>
      </c>
      <c r="C4139" t="inlineStr">
        <is>
          <t>Föryngringsavverkning</t>
        </is>
      </c>
      <c r="D4139" s="1" t="n">
        <v>45667</v>
      </c>
      <c r="E4139" s="1" t="n">
        <v>46307</v>
      </c>
      <c r="F4139" t="inlineStr">
        <is>
          <t>VÄRMLANDS LÄN</t>
        </is>
      </c>
      <c r="G4139" t="inlineStr">
        <is>
          <t>SÄFFLE</t>
        </is>
      </c>
      <c r="I4139" t="n">
        <v>1.9</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34906-2024</t>
        </is>
      </c>
      <c r="B4140" t="inlineStr">
        <is>
          <t>avverkningsanmälan</t>
        </is>
      </c>
      <c r="C4140" t="inlineStr">
        <is>
          <t>Föryngringsavverkning</t>
        </is>
      </c>
      <c r="D4140" s="1" t="n">
        <v>45527</v>
      </c>
      <c r="E4140" s="1" t="n">
        <v>46307</v>
      </c>
      <c r="F4140" t="inlineStr">
        <is>
          <t>VÄRMLANDS LÄN</t>
        </is>
      </c>
      <c r="G4140" t="inlineStr">
        <is>
          <t>TORSBY</t>
        </is>
      </c>
      <c r="I4140" t="n">
        <v>1.7</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23501-2025</t>
        </is>
      </c>
      <c r="B4141" t="inlineStr">
        <is>
          <t>avverkningsanmälan</t>
        </is>
      </c>
      <c r="C4141" t="inlineStr">
        <is>
          <t>Föryngringsavverkning</t>
        </is>
      </c>
      <c r="D4141" s="1" t="n">
        <v>45792</v>
      </c>
      <c r="E4141" s="1" t="n">
        <v>46307</v>
      </c>
      <c r="F4141" t="inlineStr">
        <is>
          <t>VÄRMLANDS LÄN</t>
        </is>
      </c>
      <c r="G4141" t="inlineStr">
        <is>
          <t>KRISTINEHAMN</t>
        </is>
      </c>
      <c r="H4141" t="inlineStr">
        <is>
          <t>Sveaskog</t>
        </is>
      </c>
      <c r="I4141" t="n">
        <v>1.1</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23511-2025</t>
        </is>
      </c>
      <c r="B4142" t="inlineStr">
        <is>
          <t>avverkningsanmälan</t>
        </is>
      </c>
      <c r="C4142" t="inlineStr">
        <is>
          <t>Föryngringsavverkning</t>
        </is>
      </c>
      <c r="D4142" s="1" t="n">
        <v>45792</v>
      </c>
      <c r="E4142" s="1" t="n">
        <v>46307</v>
      </c>
      <c r="F4142" t="inlineStr">
        <is>
          <t>VÄRMLANDS LÄN</t>
        </is>
      </c>
      <c r="G4142" t="inlineStr">
        <is>
          <t>KRISTINEHAMN</t>
        </is>
      </c>
      <c r="H4142" t="inlineStr">
        <is>
          <t>Sveaskog</t>
        </is>
      </c>
      <c r="I4142" t="n">
        <v>1.2</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36774-2022</t>
        </is>
      </c>
      <c r="B4143" t="inlineStr">
        <is>
          <t>avverkningsanmälan</t>
        </is>
      </c>
      <c r="C4143" t="inlineStr">
        <is>
          <t>Föryngringsavverkning</t>
        </is>
      </c>
      <c r="D4143" s="1" t="n">
        <v>44805</v>
      </c>
      <c r="E4143" s="1" t="n">
        <v>46307</v>
      </c>
      <c r="F4143" t="inlineStr">
        <is>
          <t>VÄRMLANDS LÄN</t>
        </is>
      </c>
      <c r="G4143" t="inlineStr">
        <is>
          <t>KRISTINEHAMN</t>
        </is>
      </c>
      <c r="I4143" t="n">
        <v>3.8</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869-2025</t>
        </is>
      </c>
      <c r="B4144" t="inlineStr">
        <is>
          <t>avverkningsanmälan</t>
        </is>
      </c>
      <c r="C4144" t="inlineStr">
        <is>
          <t>Föryngringsavverkning</t>
        </is>
      </c>
      <c r="D4144" s="1" t="n">
        <v>45665</v>
      </c>
      <c r="E4144" s="1" t="n">
        <v>46307</v>
      </c>
      <c r="F4144" t="inlineStr">
        <is>
          <t>VÄRMLANDS LÄN</t>
        </is>
      </c>
      <c r="G4144" t="inlineStr">
        <is>
          <t>FILIPSTAD</t>
        </is>
      </c>
      <c r="I4144" t="n">
        <v>11.7</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12271-2023</t>
        </is>
      </c>
      <c r="B4145" t="inlineStr">
        <is>
          <t>avverkningsanmälan</t>
        </is>
      </c>
      <c r="C4145" t="inlineStr">
        <is>
          <t>Föryngringsavverkning</t>
        </is>
      </c>
      <c r="D4145" s="1" t="n">
        <v>44998</v>
      </c>
      <c r="E4145" s="1" t="n">
        <v>46307</v>
      </c>
      <c r="F4145" t="inlineStr">
        <is>
          <t>VÄRMLANDS LÄN</t>
        </is>
      </c>
      <c r="G4145" t="inlineStr">
        <is>
          <t>ARVIKA</t>
        </is>
      </c>
      <c r="I4145" t="n">
        <v>3</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62761-2023</t>
        </is>
      </c>
      <c r="B4146" t="inlineStr">
        <is>
          <t>avverkningsanmälan</t>
        </is>
      </c>
      <c r="C4146" t="inlineStr">
        <is>
          <t>Föryngringsavverkning</t>
        </is>
      </c>
      <c r="D4146" s="1" t="n">
        <v>45271</v>
      </c>
      <c r="E4146" s="1" t="n">
        <v>46307</v>
      </c>
      <c r="F4146" t="inlineStr">
        <is>
          <t>VÄRMLANDS LÄN</t>
        </is>
      </c>
      <c r="G4146" t="inlineStr">
        <is>
          <t>EDA</t>
        </is>
      </c>
      <c r="I4146" t="n">
        <v>4.4</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2322-2025</t>
        </is>
      </c>
      <c r="B4147" t="inlineStr">
        <is>
          <t>avverkningsanmälan</t>
        </is>
      </c>
      <c r="C4147" t="inlineStr">
        <is>
          <t>Föryngringsavverkning</t>
        </is>
      </c>
      <c r="D4147" s="1" t="n">
        <v>45673</v>
      </c>
      <c r="E4147" s="1" t="n">
        <v>46307</v>
      </c>
      <c r="F4147" t="inlineStr">
        <is>
          <t>VÄRMLANDS LÄN</t>
        </is>
      </c>
      <c r="G4147" t="inlineStr">
        <is>
          <t>ARVIKA</t>
        </is>
      </c>
      <c r="I4147" t="n">
        <v>6.1</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25570-2023</t>
        </is>
      </c>
      <c r="B4148" t="inlineStr">
        <is>
          <t>avverkningsanmälan</t>
        </is>
      </c>
      <c r="C4148" t="inlineStr">
        <is>
          <t>Föryngringsavverkning</t>
        </is>
      </c>
      <c r="D4148" s="1" t="n">
        <v>45082</v>
      </c>
      <c r="E4148" s="1" t="n">
        <v>46307</v>
      </c>
      <c r="F4148" t="inlineStr">
        <is>
          <t>VÄRMLANDS LÄN</t>
        </is>
      </c>
      <c r="G4148" t="inlineStr">
        <is>
          <t>KRISTINEHAMN</t>
        </is>
      </c>
      <c r="I4148" t="n">
        <v>1.8</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62767-2023</t>
        </is>
      </c>
      <c r="B4149" t="inlineStr">
        <is>
          <t>avverkningsanmälan</t>
        </is>
      </c>
      <c r="C4149" t="inlineStr">
        <is>
          <t>Föryngringsavverkning</t>
        </is>
      </c>
      <c r="D4149" s="1" t="n">
        <v>45268</v>
      </c>
      <c r="E4149" s="1" t="n">
        <v>46307</v>
      </c>
      <c r="F4149" t="inlineStr">
        <is>
          <t>VÄRMLANDS LÄN</t>
        </is>
      </c>
      <c r="G4149" t="inlineStr">
        <is>
          <t>KRISTINEHAMN</t>
        </is>
      </c>
      <c r="I4149" t="n">
        <v>6</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31362-2024</t>
        </is>
      </c>
      <c r="B4150" t="inlineStr">
        <is>
          <t>avverkningsanmälan</t>
        </is>
      </c>
      <c r="C4150" t="inlineStr">
        <is>
          <t>Avverkning för annat ändamål</t>
        </is>
      </c>
      <c r="D4150" s="1" t="n">
        <v>45505</v>
      </c>
      <c r="E4150" s="1" t="n">
        <v>46307</v>
      </c>
      <c r="F4150" t="inlineStr">
        <is>
          <t>VÄRMLANDS LÄN</t>
        </is>
      </c>
      <c r="G4150" t="inlineStr">
        <is>
          <t>GRUMS</t>
        </is>
      </c>
      <c r="I4150" t="n">
        <v>0.6</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23525-2025</t>
        </is>
      </c>
      <c r="B4151" t="inlineStr">
        <is>
          <t>avverkningsanmälan</t>
        </is>
      </c>
      <c r="C4151" t="inlineStr">
        <is>
          <t>Föryngringsavverkning</t>
        </is>
      </c>
      <c r="D4151" s="1" t="n">
        <v>45792</v>
      </c>
      <c r="E4151" s="1" t="n">
        <v>46307</v>
      </c>
      <c r="F4151" t="inlineStr">
        <is>
          <t>VÄRMLANDS LÄN</t>
        </is>
      </c>
      <c r="G4151" t="inlineStr">
        <is>
          <t>HAGFORS</t>
        </is>
      </c>
      <c r="I4151" t="n">
        <v>5.5</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25657-2023</t>
        </is>
      </c>
      <c r="B4152" t="inlineStr">
        <is>
          <t>avverkningsanmälan</t>
        </is>
      </c>
      <c r="C4152" t="inlineStr">
        <is>
          <t>Föryngringsavverkning</t>
        </is>
      </c>
      <c r="D4152" s="1" t="n">
        <v>45089</v>
      </c>
      <c r="E4152" s="1" t="n">
        <v>46307</v>
      </c>
      <c r="F4152" t="inlineStr">
        <is>
          <t>VÄRMLANDS LÄN</t>
        </is>
      </c>
      <c r="G4152" t="inlineStr">
        <is>
          <t>SÄFFLE</t>
        </is>
      </c>
      <c r="I4152" t="n">
        <v>1.5</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14732-2022</t>
        </is>
      </c>
      <c r="B4153" t="inlineStr">
        <is>
          <t>avverkningsanmälan</t>
        </is>
      </c>
      <c r="C4153" t="inlineStr">
        <is>
          <t>Föryngringsavverkning</t>
        </is>
      </c>
      <c r="D4153" s="1" t="n">
        <v>44655</v>
      </c>
      <c r="E4153" s="1" t="n">
        <v>46307</v>
      </c>
      <c r="F4153" t="inlineStr">
        <is>
          <t>VÄRMLANDS LÄN</t>
        </is>
      </c>
      <c r="G4153" t="inlineStr">
        <is>
          <t>KIL</t>
        </is>
      </c>
      <c r="I4153" t="n">
        <v>3.3</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58270-2024</t>
        </is>
      </c>
      <c r="B4154" t="inlineStr">
        <is>
          <t>avverkningsanmälan</t>
        </is>
      </c>
      <c r="C4154" t="inlineStr">
        <is>
          <t>Föryngringsavverkning</t>
        </is>
      </c>
      <c r="D4154" s="1" t="n">
        <v>45632</v>
      </c>
      <c r="E4154" s="1" t="n">
        <v>46307</v>
      </c>
      <c r="F4154" t="inlineStr">
        <is>
          <t>VÄRMLANDS LÄN</t>
        </is>
      </c>
      <c r="G4154" t="inlineStr">
        <is>
          <t>ÅRJÄNG</t>
        </is>
      </c>
      <c r="I4154" t="n">
        <v>2.4</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28357-2024</t>
        </is>
      </c>
      <c r="B4155" t="inlineStr">
        <is>
          <t>avverkningsanmälan</t>
        </is>
      </c>
      <c r="C4155" t="inlineStr">
        <is>
          <t>Föryngringsavverkning</t>
        </is>
      </c>
      <c r="D4155" s="1" t="n">
        <v>45477</v>
      </c>
      <c r="E4155" s="1" t="n">
        <v>46307</v>
      </c>
      <c r="F4155" t="inlineStr">
        <is>
          <t>VÄRMLANDS LÄN</t>
        </is>
      </c>
      <c r="G4155" t="inlineStr">
        <is>
          <t>FILIPSTAD</t>
        </is>
      </c>
      <c r="H4155" t="inlineStr">
        <is>
          <t>Bergvik skog väst AB</t>
        </is>
      </c>
      <c r="I4155" t="n">
        <v>5.9</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48702-2024</t>
        </is>
      </c>
      <c r="B4156" t="inlineStr">
        <is>
          <t>avverkningsanmälan</t>
        </is>
      </c>
      <c r="C4156" t="inlineStr">
        <is>
          <t>Föryngringsavverkning</t>
        </is>
      </c>
      <c r="D4156" s="1" t="n">
        <v>45593</v>
      </c>
      <c r="E4156" s="1" t="n">
        <v>46307</v>
      </c>
      <c r="F4156" t="inlineStr">
        <is>
          <t>VÄRMLANDS LÄN</t>
        </is>
      </c>
      <c r="G4156" t="inlineStr">
        <is>
          <t>FILIPSTAD</t>
        </is>
      </c>
      <c r="H4156" t="inlineStr">
        <is>
          <t>Bergvik skog väst AB</t>
        </is>
      </c>
      <c r="I4156" t="n">
        <v>4</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13745-2022</t>
        </is>
      </c>
      <c r="B4157" t="inlineStr">
        <is>
          <t>avverkningsanmälan</t>
        </is>
      </c>
      <c r="C4157" t="inlineStr">
        <is>
          <t>Föryngringsavverkning</t>
        </is>
      </c>
      <c r="D4157" s="1" t="n">
        <v>44649</v>
      </c>
      <c r="E4157" s="1" t="n">
        <v>46307</v>
      </c>
      <c r="F4157" t="inlineStr">
        <is>
          <t>VÄRMLANDS LÄN</t>
        </is>
      </c>
      <c r="G4157" t="inlineStr">
        <is>
          <t>KARLSTAD</t>
        </is>
      </c>
      <c r="H4157" t="inlineStr">
        <is>
          <t>Bergvik skog väst AB</t>
        </is>
      </c>
      <c r="I4157" t="n">
        <v>20.8</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35304-2024</t>
        </is>
      </c>
      <c r="B4158" t="inlineStr">
        <is>
          <t>avverkningsanmälan</t>
        </is>
      </c>
      <c r="C4158" t="inlineStr">
        <is>
          <t>Föryngringsavverkning</t>
        </is>
      </c>
      <c r="D4158" s="1" t="n">
        <v>45530</v>
      </c>
      <c r="E4158" s="1" t="n">
        <v>46307</v>
      </c>
      <c r="F4158" t="inlineStr">
        <is>
          <t>VÄRMLANDS LÄN</t>
        </is>
      </c>
      <c r="G4158" t="inlineStr">
        <is>
          <t>FILIPSTAD</t>
        </is>
      </c>
      <c r="H4158" t="inlineStr">
        <is>
          <t>Bergvik skog väst AB</t>
        </is>
      </c>
      <c r="I4158" t="n">
        <v>6.6</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47981-2023</t>
        </is>
      </c>
      <c r="B4159" t="inlineStr">
        <is>
          <t>avverkningsanmälan</t>
        </is>
      </c>
      <c r="C4159" t="inlineStr">
        <is>
          <t>Föryngringsavverkning</t>
        </is>
      </c>
      <c r="D4159" s="1" t="n">
        <v>45198</v>
      </c>
      <c r="E4159" s="1" t="n">
        <v>46307</v>
      </c>
      <c r="F4159" t="inlineStr">
        <is>
          <t>VÄRMLANDS LÄN</t>
        </is>
      </c>
      <c r="G4159" t="inlineStr">
        <is>
          <t>ÅRJÄNG</t>
        </is>
      </c>
      <c r="I4159" t="n">
        <v>1.1</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12316-2025</t>
        </is>
      </c>
      <c r="B4160" t="inlineStr">
        <is>
          <t>avverkningsanmälan</t>
        </is>
      </c>
      <c r="C4160" t="inlineStr">
        <is>
          <t>Föryngringsavverkning</t>
        </is>
      </c>
      <c r="D4160" s="1" t="n">
        <v>45729</v>
      </c>
      <c r="E4160" s="1" t="n">
        <v>46307</v>
      </c>
      <c r="F4160" t="inlineStr">
        <is>
          <t>VÄRMLANDS LÄN</t>
        </is>
      </c>
      <c r="G4160" t="inlineStr">
        <is>
          <t>KARLSTAD</t>
        </is>
      </c>
      <c r="I4160" t="n">
        <v>4.1</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54790-2024</t>
        </is>
      </c>
      <c r="B4161" t="inlineStr">
        <is>
          <t>avverkningsanmälan</t>
        </is>
      </c>
      <c r="C4161" t="inlineStr">
        <is>
          <t>Föryngringsavverkning</t>
        </is>
      </c>
      <c r="D4161" s="1" t="n">
        <v>45618</v>
      </c>
      <c r="E4161" s="1" t="n">
        <v>46307</v>
      </c>
      <c r="F4161" t="inlineStr">
        <is>
          <t>VÄRMLANDS LÄN</t>
        </is>
      </c>
      <c r="G4161" t="inlineStr">
        <is>
          <t>TORSBY</t>
        </is>
      </c>
      <c r="I4161" t="n">
        <v>1.5</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57483-2022</t>
        </is>
      </c>
      <c r="B4162" t="inlineStr">
        <is>
          <t>avverkningsanmälan</t>
        </is>
      </c>
      <c r="C4162" t="inlineStr">
        <is>
          <t>Föryngringsavverkning</t>
        </is>
      </c>
      <c r="D4162" s="1" t="n">
        <v>44896</v>
      </c>
      <c r="E4162" s="1" t="n">
        <v>46307</v>
      </c>
      <c r="F4162" t="inlineStr">
        <is>
          <t>VÄRMLANDS LÄN</t>
        </is>
      </c>
      <c r="G4162" t="inlineStr">
        <is>
          <t>KIL</t>
        </is>
      </c>
      <c r="H4162" t="inlineStr">
        <is>
          <t>Bergvik skog väst AB</t>
        </is>
      </c>
      <c r="I4162" t="n">
        <v>1.6</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58383-2024</t>
        </is>
      </c>
      <c r="B4163" t="inlineStr">
        <is>
          <t>avverkningsanmälan</t>
        </is>
      </c>
      <c r="C4163" t="inlineStr">
        <is>
          <t>Föryngringsavverkning</t>
        </is>
      </c>
      <c r="D4163" s="1" t="n">
        <v>45632</v>
      </c>
      <c r="E4163" s="1" t="n">
        <v>46307</v>
      </c>
      <c r="F4163" t="inlineStr">
        <is>
          <t>VÄRMLANDS LÄN</t>
        </is>
      </c>
      <c r="G4163" t="inlineStr">
        <is>
          <t>HAMMARÖ</t>
        </is>
      </c>
      <c r="I4163" t="n">
        <v>1.6</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16824-2023</t>
        </is>
      </c>
      <c r="B4164" t="inlineStr">
        <is>
          <t>avverkningsanmälan</t>
        </is>
      </c>
      <c r="C4164" t="inlineStr">
        <is>
          <t>Avverkning för annat ändamål</t>
        </is>
      </c>
      <c r="D4164" s="1" t="n">
        <v>45033</v>
      </c>
      <c r="E4164" s="1" t="n">
        <v>46307</v>
      </c>
      <c r="F4164" t="inlineStr">
        <is>
          <t>VÄRMLANDS LÄN</t>
        </is>
      </c>
      <c r="G4164" t="inlineStr">
        <is>
          <t>HAGFORS</t>
        </is>
      </c>
      <c r="H4164" t="inlineStr">
        <is>
          <t>Bergvik skog väst AB</t>
        </is>
      </c>
      <c r="I4164" t="n">
        <v>2.1</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47815-2023</t>
        </is>
      </c>
      <c r="B4165" t="inlineStr">
        <is>
          <t>avverkningsanmälan</t>
        </is>
      </c>
      <c r="C4165" t="inlineStr">
        <is>
          <t>Föryngringsavverkning</t>
        </is>
      </c>
      <c r="D4165" s="1" t="n">
        <v>45204</v>
      </c>
      <c r="E4165" s="1" t="n">
        <v>46307</v>
      </c>
      <c r="F4165" t="inlineStr">
        <is>
          <t>VÄRMLANDS LÄN</t>
        </is>
      </c>
      <c r="G4165" t="inlineStr">
        <is>
          <t>EDA</t>
        </is>
      </c>
      <c r="I4165" t="n">
        <v>0.3</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28834-2024</t>
        </is>
      </c>
      <c r="B4166" t="inlineStr">
        <is>
          <t>avverkningsanmälan</t>
        </is>
      </c>
      <c r="C4166" t="inlineStr">
        <is>
          <t>Avverkning för att bevara och utveckla /försöksver</t>
        </is>
      </c>
      <c r="D4166" s="1" t="n">
        <v>45478</v>
      </c>
      <c r="E4166" s="1" t="n">
        <v>46307</v>
      </c>
      <c r="F4166" t="inlineStr">
        <is>
          <t>VÄRMLANDS LÄN</t>
        </is>
      </c>
      <c r="G4166" t="inlineStr">
        <is>
          <t>KRISTINEHAMN</t>
        </is>
      </c>
      <c r="I4166" t="n">
        <v>0.6</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19487-2024</t>
        </is>
      </c>
      <c r="B4167" t="inlineStr">
        <is>
          <t>avverkningsanmälan</t>
        </is>
      </c>
      <c r="C4167" t="inlineStr">
        <is>
          <t>Föryngringsavverkning</t>
        </is>
      </c>
      <c r="D4167" s="1" t="n">
        <v>45429</v>
      </c>
      <c r="E4167" s="1" t="n">
        <v>46307</v>
      </c>
      <c r="F4167" t="inlineStr">
        <is>
          <t>VÄRMLANDS LÄN</t>
        </is>
      </c>
      <c r="G4167" t="inlineStr">
        <is>
          <t>SUNNE</t>
        </is>
      </c>
      <c r="I4167" t="n">
        <v>2.7</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62957-2023</t>
        </is>
      </c>
      <c r="B4168" t="inlineStr">
        <is>
          <t>avverkningsanmälan</t>
        </is>
      </c>
      <c r="C4168" t="inlineStr">
        <is>
          <t>Föryngringsavverkning</t>
        </is>
      </c>
      <c r="D4168" s="1" t="n">
        <v>45271</v>
      </c>
      <c r="E4168" s="1" t="n">
        <v>46307</v>
      </c>
      <c r="F4168" t="inlineStr">
        <is>
          <t>VÄRMLANDS LÄN</t>
        </is>
      </c>
      <c r="G4168" t="inlineStr">
        <is>
          <t>TORSBY</t>
        </is>
      </c>
      <c r="H4168" t="inlineStr">
        <is>
          <t>Övriga statliga verk och myndigheter</t>
        </is>
      </c>
      <c r="I4168" t="n">
        <v>3.5</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43766-2024</t>
        </is>
      </c>
      <c r="B4169" t="inlineStr">
        <is>
          <t>avverkningsanmälan</t>
        </is>
      </c>
      <c r="C4169" t="inlineStr">
        <is>
          <t>Föryngringsavverkning</t>
        </is>
      </c>
      <c r="D4169" s="1" t="n">
        <v>45569</v>
      </c>
      <c r="E4169" s="1" t="n">
        <v>46307</v>
      </c>
      <c r="F4169" t="inlineStr">
        <is>
          <t>VÄRMLANDS LÄN</t>
        </is>
      </c>
      <c r="G4169" t="inlineStr">
        <is>
          <t>SÄFFLE</t>
        </is>
      </c>
      <c r="I4169" t="n">
        <v>0.7</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55250-2022</t>
        </is>
      </c>
      <c r="B4170" t="inlineStr">
        <is>
          <t>avverkningsanmälan</t>
        </is>
      </c>
      <c r="C4170" t="inlineStr">
        <is>
          <t>Avverkning för annat ändamål</t>
        </is>
      </c>
      <c r="D4170" s="1" t="n">
        <v>44887</v>
      </c>
      <c r="E4170" s="1" t="n">
        <v>46307</v>
      </c>
      <c r="F4170" t="inlineStr">
        <is>
          <t>VÄRMLANDS LÄN</t>
        </is>
      </c>
      <c r="G4170" t="inlineStr">
        <is>
          <t>KARLSTAD</t>
        </is>
      </c>
      <c r="I4170" t="n">
        <v>1.1</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15917-2023</t>
        </is>
      </c>
      <c r="B4171" t="inlineStr">
        <is>
          <t>avverkningsanmälan</t>
        </is>
      </c>
      <c r="C4171" t="inlineStr">
        <is>
          <t>Föryngringsavverkning</t>
        </is>
      </c>
      <c r="D4171" s="1" t="n">
        <v>45022</v>
      </c>
      <c r="E4171" s="1" t="n">
        <v>46307</v>
      </c>
      <c r="F4171" t="inlineStr">
        <is>
          <t>VÄRMLANDS LÄN</t>
        </is>
      </c>
      <c r="G4171" t="inlineStr">
        <is>
          <t>ARVIKA</t>
        </is>
      </c>
      <c r="I4171" t="n">
        <v>18</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46370-2025</t>
        </is>
      </c>
      <c r="B4172" t="inlineStr">
        <is>
          <t>avverkningsanmälan</t>
        </is>
      </c>
      <c r="C4172" t="inlineStr">
        <is>
          <t>Föryngringsavverkning</t>
        </is>
      </c>
      <c r="D4172" s="1" t="n">
        <v>45925</v>
      </c>
      <c r="E4172" s="1" t="n">
        <v>46307</v>
      </c>
      <c r="F4172" t="inlineStr">
        <is>
          <t>VÄRMLANDS LÄN</t>
        </is>
      </c>
      <c r="G4172" t="inlineStr">
        <is>
          <t>SUNNE</t>
        </is>
      </c>
      <c r="H4172" t="inlineStr">
        <is>
          <t>Bergvik skog väst AB</t>
        </is>
      </c>
      <c r="I4172" t="n">
        <v>14.6</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51143-2024</t>
        </is>
      </c>
      <c r="B4173" t="inlineStr">
        <is>
          <t>avverkningsanmälan</t>
        </is>
      </c>
      <c r="C4173" t="inlineStr">
        <is>
          <t>Föryngringsavverkning</t>
        </is>
      </c>
      <c r="D4173" s="1" t="n">
        <v>45603</v>
      </c>
      <c r="E4173" s="1" t="n">
        <v>46307</v>
      </c>
      <c r="F4173" t="inlineStr">
        <is>
          <t>VÄRMLANDS LÄN</t>
        </is>
      </c>
      <c r="G4173" t="inlineStr">
        <is>
          <t>EDA</t>
        </is>
      </c>
      <c r="I4173" t="n">
        <v>4.1</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52311-2024</t>
        </is>
      </c>
      <c r="B4174" t="inlineStr">
        <is>
          <t>avverkningsanmälan</t>
        </is>
      </c>
      <c r="C4174" t="inlineStr">
        <is>
          <t>Föryngringsavverkning</t>
        </is>
      </c>
      <c r="D4174" s="1" t="n">
        <v>45608</v>
      </c>
      <c r="E4174" s="1" t="n">
        <v>46307</v>
      </c>
      <c r="F4174" t="inlineStr">
        <is>
          <t>VÄRMLANDS LÄN</t>
        </is>
      </c>
      <c r="G4174" t="inlineStr">
        <is>
          <t>SUNNE</t>
        </is>
      </c>
      <c r="I4174" t="n">
        <v>2.5</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54757-2022</t>
        </is>
      </c>
      <c r="B4175" t="inlineStr">
        <is>
          <t>avverkningsanmälan</t>
        </is>
      </c>
      <c r="C4175" t="inlineStr">
        <is>
          <t>Föryngringsavverkning</t>
        </is>
      </c>
      <c r="D4175" s="1" t="n">
        <v>44883</v>
      </c>
      <c r="E4175" s="1" t="n">
        <v>46307</v>
      </c>
      <c r="F4175" t="inlineStr">
        <is>
          <t>VÄRMLANDS LÄN</t>
        </is>
      </c>
      <c r="G4175" t="inlineStr">
        <is>
          <t>HAGFORS</t>
        </is>
      </c>
      <c r="H4175" t="inlineStr">
        <is>
          <t>Bergvik skog väst AB</t>
        </is>
      </c>
      <c r="I4175" t="n">
        <v>17.9</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46280-2025</t>
        </is>
      </c>
      <c r="B4176" t="inlineStr">
        <is>
          <t>avverkningsanmälan</t>
        </is>
      </c>
      <c r="C4176" t="inlineStr">
        <is>
          <t>Föryngringsavverkning</t>
        </is>
      </c>
      <c r="D4176" s="1" t="n">
        <v>45925</v>
      </c>
      <c r="E4176" s="1" t="n">
        <v>46307</v>
      </c>
      <c r="F4176" t="inlineStr">
        <is>
          <t>VÄRMLANDS LÄN</t>
        </is>
      </c>
      <c r="G4176" t="inlineStr">
        <is>
          <t>HAGFORS</t>
        </is>
      </c>
      <c r="H4176" t="inlineStr">
        <is>
          <t>Bergvik skog väst AB</t>
        </is>
      </c>
      <c r="I4176" t="n">
        <v>2</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46282-2025</t>
        </is>
      </c>
      <c r="B4177" t="inlineStr">
        <is>
          <t>avverkningsanmälan</t>
        </is>
      </c>
      <c r="C4177" t="inlineStr">
        <is>
          <t>Föryngringsavverkning</t>
        </is>
      </c>
      <c r="D4177" s="1" t="n">
        <v>45925</v>
      </c>
      <c r="E4177" s="1" t="n">
        <v>46307</v>
      </c>
      <c r="F4177" t="inlineStr">
        <is>
          <t>VÄRMLANDS LÄN</t>
        </is>
      </c>
      <c r="G4177" t="inlineStr">
        <is>
          <t>FILIPSTAD</t>
        </is>
      </c>
      <c r="H4177" t="inlineStr">
        <is>
          <t>Bergvik skog väst AB</t>
        </is>
      </c>
      <c r="I4177" t="n">
        <v>3.5</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23510-2025</t>
        </is>
      </c>
      <c r="B4178" t="inlineStr">
        <is>
          <t>avverkningsanmälan</t>
        </is>
      </c>
      <c r="C4178" t="inlineStr">
        <is>
          <t>Avverkning för att bevara och utveckla /försöksver</t>
        </is>
      </c>
      <c r="D4178" s="1" t="n">
        <v>45792</v>
      </c>
      <c r="E4178" s="1" t="n">
        <v>46307</v>
      </c>
      <c r="F4178" t="inlineStr">
        <is>
          <t>VÄRMLANDS LÄN</t>
        </is>
      </c>
      <c r="G4178" t="inlineStr">
        <is>
          <t>KRISTINEHAMN</t>
        </is>
      </c>
      <c r="H4178" t="inlineStr">
        <is>
          <t>Sveaskog</t>
        </is>
      </c>
      <c r="I4178" t="n">
        <v>1.9</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12849-2022</t>
        </is>
      </c>
      <c r="B4179" t="inlineStr">
        <is>
          <t>avverkningsanmälan</t>
        </is>
      </c>
      <c r="C4179" t="inlineStr">
        <is>
          <t>Föryngringsavverkning</t>
        </is>
      </c>
      <c r="D4179" s="1" t="n">
        <v>44642</v>
      </c>
      <c r="E4179" s="1" t="n">
        <v>46307</v>
      </c>
      <c r="F4179" t="inlineStr">
        <is>
          <t>VÄRMLANDS LÄN</t>
        </is>
      </c>
      <c r="G4179" t="inlineStr">
        <is>
          <t>ARVIKA</t>
        </is>
      </c>
      <c r="I4179" t="n">
        <v>1.4</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52083-2024</t>
        </is>
      </c>
      <c r="B4180" t="inlineStr">
        <is>
          <t>avverkningsanmälan</t>
        </is>
      </c>
      <c r="C4180" t="inlineStr">
        <is>
          <t>Föryngringsavverkning</t>
        </is>
      </c>
      <c r="D4180" s="1" t="n">
        <v>45608</v>
      </c>
      <c r="E4180" s="1" t="n">
        <v>46307</v>
      </c>
      <c r="F4180" t="inlineStr">
        <is>
          <t>VÄRMLANDS LÄN</t>
        </is>
      </c>
      <c r="G4180" t="inlineStr">
        <is>
          <t>HAGFORS</t>
        </is>
      </c>
      <c r="H4180" t="inlineStr">
        <is>
          <t>Bergvik skog väst AB</t>
        </is>
      </c>
      <c r="I4180" t="n">
        <v>1.3</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46581-2025</t>
        </is>
      </c>
      <c r="B4181" t="inlineStr">
        <is>
          <t>avverkningsanmälan</t>
        </is>
      </c>
      <c r="C4181" t="inlineStr">
        <is>
          <t>Föryngringsavverkning</t>
        </is>
      </c>
      <c r="D4181" s="1" t="n">
        <v>45926</v>
      </c>
      <c r="E4181" s="1" t="n">
        <v>46307</v>
      </c>
      <c r="F4181" t="inlineStr">
        <is>
          <t>VÄRMLANDS LÄN</t>
        </is>
      </c>
      <c r="G4181" t="inlineStr">
        <is>
          <t>HAGFORS</t>
        </is>
      </c>
      <c r="H4181" t="inlineStr">
        <is>
          <t>Bergvik skog väst AB</t>
        </is>
      </c>
      <c r="I4181" t="n">
        <v>8.199999999999999</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23399-2025</t>
        </is>
      </c>
      <c r="B4182" t="inlineStr">
        <is>
          <t>avverkningsanmälan</t>
        </is>
      </c>
      <c r="C4182" t="inlineStr">
        <is>
          <t>Avverkning för annat ändamål</t>
        </is>
      </c>
      <c r="D4182" s="1" t="n">
        <v>45792</v>
      </c>
      <c r="E4182" s="1" t="n">
        <v>46307</v>
      </c>
      <c r="F4182" t="inlineStr">
        <is>
          <t>VÄRMLANDS LÄN</t>
        </is>
      </c>
      <c r="G4182" t="inlineStr">
        <is>
          <t>FILIPSTAD</t>
        </is>
      </c>
      <c r="H4182" t="inlineStr">
        <is>
          <t>Bergvik skog väst AB</t>
        </is>
      </c>
      <c r="I4182" t="n">
        <v>0.7</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23371-2025</t>
        </is>
      </c>
      <c r="B4183" t="inlineStr">
        <is>
          <t>avverkningsanmälan</t>
        </is>
      </c>
      <c r="C4183" t="inlineStr">
        <is>
          <t>Föryngringsavverkning</t>
        </is>
      </c>
      <c r="D4183" s="1" t="n">
        <v>45791</v>
      </c>
      <c r="E4183" s="1" t="n">
        <v>46307</v>
      </c>
      <c r="F4183" t="inlineStr">
        <is>
          <t>VÄRMLANDS LÄN</t>
        </is>
      </c>
      <c r="G4183" t="inlineStr">
        <is>
          <t>SÄFFLE</t>
        </is>
      </c>
      <c r="H4183" t="inlineStr">
        <is>
          <t>Bergvik skog väst AB</t>
        </is>
      </c>
      <c r="I4183" t="n">
        <v>4.6</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23081-2025</t>
        </is>
      </c>
      <c r="B4184" t="inlineStr">
        <is>
          <t>avverkningsanmälan</t>
        </is>
      </c>
      <c r="C4184" t="inlineStr">
        <is>
          <t>Föryngringsavverkning</t>
        </is>
      </c>
      <c r="D4184" s="1" t="n">
        <v>45791</v>
      </c>
      <c r="E4184" s="1" t="n">
        <v>46307</v>
      </c>
      <c r="F4184" t="inlineStr">
        <is>
          <t>VÄRMLANDS LÄN</t>
        </is>
      </c>
      <c r="G4184" t="inlineStr">
        <is>
          <t>SÄFFLE</t>
        </is>
      </c>
      <c r="I4184" t="n">
        <v>0.9</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37824-2024</t>
        </is>
      </c>
      <c r="B4185" t="inlineStr">
        <is>
          <t>avverkningsanmälan</t>
        </is>
      </c>
      <c r="C4185" t="inlineStr">
        <is>
          <t>Föryngringsavverkning</t>
        </is>
      </c>
      <c r="D4185" s="1" t="n">
        <v>45544</v>
      </c>
      <c r="E4185" s="1" t="n">
        <v>46307</v>
      </c>
      <c r="F4185" t="inlineStr">
        <is>
          <t>VÄRMLANDS LÄN</t>
        </is>
      </c>
      <c r="G4185" t="inlineStr">
        <is>
          <t>ARVIKA</t>
        </is>
      </c>
      <c r="I4185" t="n">
        <v>0.7</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46426-2024</t>
        </is>
      </c>
      <c r="B4186" t="inlineStr">
        <is>
          <t>avverkningsanmälan</t>
        </is>
      </c>
      <c r="C4186" t="inlineStr">
        <is>
          <t>Föryngringsavverkning</t>
        </is>
      </c>
      <c r="D4186" s="1" t="n">
        <v>45582</v>
      </c>
      <c r="E4186" s="1" t="n">
        <v>46307</v>
      </c>
      <c r="F4186" t="inlineStr">
        <is>
          <t>VÄRMLANDS LÄN</t>
        </is>
      </c>
      <c r="G4186" t="inlineStr">
        <is>
          <t>HAGFORS</t>
        </is>
      </c>
      <c r="H4186" t="inlineStr">
        <is>
          <t>Bergvik skog väst AB</t>
        </is>
      </c>
      <c r="I4186" t="n">
        <v>15.8</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3645-2023</t>
        </is>
      </c>
      <c r="B4187" t="inlineStr">
        <is>
          <t>avverkningsanmälan</t>
        </is>
      </c>
      <c r="C4187" t="inlineStr">
        <is>
          <t>Föryngringsavverkning</t>
        </is>
      </c>
      <c r="D4187" s="1" t="n">
        <v>44950</v>
      </c>
      <c r="E4187" s="1" t="n">
        <v>46307</v>
      </c>
      <c r="F4187" t="inlineStr">
        <is>
          <t>VÄRMLANDS LÄN</t>
        </is>
      </c>
      <c r="G4187" t="inlineStr">
        <is>
          <t>ARVIKA</t>
        </is>
      </c>
      <c r="I4187" t="n">
        <v>1.3</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22536-2024</t>
        </is>
      </c>
      <c r="B4188" t="inlineStr">
        <is>
          <t>avverkningsanmälan</t>
        </is>
      </c>
      <c r="C4188" t="inlineStr">
        <is>
          <t>Föryngringsavverkning</t>
        </is>
      </c>
      <c r="D4188" s="1" t="n">
        <v>45447</v>
      </c>
      <c r="E4188" s="1" t="n">
        <v>46307</v>
      </c>
      <c r="F4188" t="inlineStr">
        <is>
          <t>VÄRMLANDS LÄN</t>
        </is>
      </c>
      <c r="G4188" t="inlineStr">
        <is>
          <t>TORSBY</t>
        </is>
      </c>
      <c r="I4188" t="n">
        <v>25.2</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50680-2023</t>
        </is>
      </c>
      <c r="B4189" t="inlineStr">
        <is>
          <t>avverkningsanmälan</t>
        </is>
      </c>
      <c r="C4189" t="inlineStr">
        <is>
          <t>Föryngringsavverkning</t>
        </is>
      </c>
      <c r="D4189" s="1" t="n">
        <v>45217</v>
      </c>
      <c r="E4189" s="1" t="n">
        <v>46307</v>
      </c>
      <c r="F4189" t="inlineStr">
        <is>
          <t>VÄRMLANDS LÄN</t>
        </is>
      </c>
      <c r="G4189" t="inlineStr">
        <is>
          <t>TORSBY</t>
        </is>
      </c>
      <c r="H4189" t="inlineStr">
        <is>
          <t>Bergvik skog väst AB</t>
        </is>
      </c>
      <c r="I4189" t="n">
        <v>0.6</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2326-2023</t>
        </is>
      </c>
      <c r="B4190" t="inlineStr">
        <is>
          <t>avverkningsanmälan</t>
        </is>
      </c>
      <c r="C4190" t="inlineStr">
        <is>
          <t>Föryngringsavverkning</t>
        </is>
      </c>
      <c r="D4190" s="1" t="n">
        <v>44942</v>
      </c>
      <c r="E4190" s="1" t="n">
        <v>46307</v>
      </c>
      <c r="F4190" t="inlineStr">
        <is>
          <t>VÄRMLANDS LÄN</t>
        </is>
      </c>
      <c r="G4190" t="inlineStr">
        <is>
          <t>EDA</t>
        </is>
      </c>
      <c r="I4190" t="n">
        <v>4</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49596-2024</t>
        </is>
      </c>
      <c r="B4191" t="inlineStr">
        <is>
          <t>avverkningsanmälan</t>
        </is>
      </c>
      <c r="C4191" t="inlineStr">
        <is>
          <t>Föryngringsavverkning</t>
        </is>
      </c>
      <c r="D4191" s="1" t="n">
        <v>45596</v>
      </c>
      <c r="E4191" s="1" t="n">
        <v>46307</v>
      </c>
      <c r="F4191" t="inlineStr">
        <is>
          <t>VÄRMLANDS LÄN</t>
        </is>
      </c>
      <c r="G4191" t="inlineStr">
        <is>
          <t>STORFORS</t>
        </is>
      </c>
      <c r="H4191" t="inlineStr">
        <is>
          <t>Bergvik skog väst AB</t>
        </is>
      </c>
      <c r="I4191" t="n">
        <v>3</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14575-2025</t>
        </is>
      </c>
      <c r="B4192" t="inlineStr">
        <is>
          <t>avverkningsanmälan</t>
        </is>
      </c>
      <c r="C4192" t="inlineStr">
        <is>
          <t>Föryngringsavverkning</t>
        </is>
      </c>
      <c r="D4192" s="1" t="n">
        <v>45742</v>
      </c>
      <c r="E4192" s="1" t="n">
        <v>46307</v>
      </c>
      <c r="F4192" t="inlineStr">
        <is>
          <t>VÄRMLANDS LÄN</t>
        </is>
      </c>
      <c r="G4192" t="inlineStr">
        <is>
          <t>TORSBY</t>
        </is>
      </c>
      <c r="I4192" t="n">
        <v>6.5</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51729-2024</t>
        </is>
      </c>
      <c r="B4193" t="inlineStr">
        <is>
          <t>avverkningsanmälan</t>
        </is>
      </c>
      <c r="C4193" t="inlineStr">
        <is>
          <t>Föryngringsavverkning</t>
        </is>
      </c>
      <c r="D4193" s="1" t="n">
        <v>45607</v>
      </c>
      <c r="E4193" s="1" t="n">
        <v>46307</v>
      </c>
      <c r="F4193" t="inlineStr">
        <is>
          <t>VÄRMLANDS LÄN</t>
        </is>
      </c>
      <c r="G4193" t="inlineStr">
        <is>
          <t>ARVIKA</t>
        </is>
      </c>
      <c r="I4193" t="n">
        <v>1.4</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3076-2025</t>
        </is>
      </c>
      <c r="B4194" t="inlineStr">
        <is>
          <t>avverkningsanmälan</t>
        </is>
      </c>
      <c r="C4194" t="inlineStr">
        <is>
          <t>Föryngringsavverkning</t>
        </is>
      </c>
      <c r="D4194" s="1" t="n">
        <v>45678</v>
      </c>
      <c r="E4194" s="1" t="n">
        <v>46307</v>
      </c>
      <c r="F4194" t="inlineStr">
        <is>
          <t>VÄRMLANDS LÄN</t>
        </is>
      </c>
      <c r="G4194" t="inlineStr">
        <is>
          <t>ARVIKA</t>
        </is>
      </c>
      <c r="I4194" t="n">
        <v>1</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18170-2024</t>
        </is>
      </c>
      <c r="B4195" t="inlineStr">
        <is>
          <t>avverkningsanmälan</t>
        </is>
      </c>
      <c r="C4195" t="inlineStr">
        <is>
          <t>Föryngringsavverkning</t>
        </is>
      </c>
      <c r="D4195" s="1" t="n">
        <v>45420</v>
      </c>
      <c r="E4195" s="1" t="n">
        <v>46307</v>
      </c>
      <c r="F4195" t="inlineStr">
        <is>
          <t>VÄRMLANDS LÄN</t>
        </is>
      </c>
      <c r="G4195" t="inlineStr">
        <is>
          <t>HAGFORS</t>
        </is>
      </c>
      <c r="I4195" t="n">
        <v>1</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56652-2022</t>
        </is>
      </c>
      <c r="B4196" t="inlineStr">
        <is>
          <t>avverkningsanmälan</t>
        </is>
      </c>
      <c r="C4196" t="inlineStr">
        <is>
          <t>Föryngringsavverkning</t>
        </is>
      </c>
      <c r="D4196" s="1" t="n">
        <v>44893</v>
      </c>
      <c r="E4196" s="1" t="n">
        <v>46307</v>
      </c>
      <c r="F4196" t="inlineStr">
        <is>
          <t>VÄRMLANDS LÄN</t>
        </is>
      </c>
      <c r="G4196" t="inlineStr">
        <is>
          <t>SUNNE</t>
        </is>
      </c>
      <c r="I4196" t="n">
        <v>1.1</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34265-2023</t>
        </is>
      </c>
      <c r="B4197" t="inlineStr">
        <is>
          <t>avverkningsanmälan</t>
        </is>
      </c>
      <c r="C4197" t="inlineStr">
        <is>
          <t>Föryngringsavverkning</t>
        </is>
      </c>
      <c r="D4197" s="1" t="n">
        <v>45138</v>
      </c>
      <c r="E4197" s="1" t="n">
        <v>46307</v>
      </c>
      <c r="F4197" t="inlineStr">
        <is>
          <t>VÄRMLANDS LÄN</t>
        </is>
      </c>
      <c r="G4197" t="inlineStr">
        <is>
          <t>SUNNE</t>
        </is>
      </c>
      <c r="I4197" t="n">
        <v>8.300000000000001</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31945-2024</t>
        </is>
      </c>
      <c r="B4198" t="inlineStr">
        <is>
          <t>avverkningsanmälan</t>
        </is>
      </c>
      <c r="C4198" t="inlineStr">
        <is>
          <t>Föryngringsavverkning</t>
        </is>
      </c>
      <c r="D4198" s="1" t="n">
        <v>45510</v>
      </c>
      <c r="E4198" s="1" t="n">
        <v>46307</v>
      </c>
      <c r="F4198" t="inlineStr">
        <is>
          <t>VÄRMLANDS LÄN</t>
        </is>
      </c>
      <c r="G4198" t="inlineStr">
        <is>
          <t>TORSBY</t>
        </is>
      </c>
      <c r="I4198" t="n">
        <v>2.5</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46611-2025</t>
        </is>
      </c>
      <c r="B4199" t="inlineStr">
        <is>
          <t>avverkningsanmälan</t>
        </is>
      </c>
      <c r="C4199" t="inlineStr">
        <is>
          <t>Föryngringsavverkning</t>
        </is>
      </c>
      <c r="D4199" s="1" t="n">
        <v>45926</v>
      </c>
      <c r="E4199" s="1" t="n">
        <v>46307</v>
      </c>
      <c r="F4199" t="inlineStr">
        <is>
          <t>VÄRMLANDS LÄN</t>
        </is>
      </c>
      <c r="G4199" t="inlineStr">
        <is>
          <t>ARVIKA</t>
        </is>
      </c>
      <c r="I4199" t="n">
        <v>0.6</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47187-2025</t>
        </is>
      </c>
      <c r="B4200" t="inlineStr">
        <is>
          <t>avverkningsanmälan</t>
        </is>
      </c>
      <c r="C4200" t="inlineStr">
        <is>
          <t>Föryngringsavverkning</t>
        </is>
      </c>
      <c r="D4200" s="1" t="n">
        <v>45930</v>
      </c>
      <c r="E4200" s="1" t="n">
        <v>46307</v>
      </c>
      <c r="F4200" t="inlineStr">
        <is>
          <t>VÄRMLANDS LÄN</t>
        </is>
      </c>
      <c r="G4200" t="inlineStr">
        <is>
          <t>ARVIKA</t>
        </is>
      </c>
      <c r="I4200" t="n">
        <v>1.3</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47024-2025</t>
        </is>
      </c>
      <c r="B4201" t="inlineStr">
        <is>
          <t>avverkningsanmälan</t>
        </is>
      </c>
      <c r="C4201" t="inlineStr">
        <is>
          <t>Föryngringsavverkning</t>
        </is>
      </c>
      <c r="D4201" s="1" t="n">
        <v>45929</v>
      </c>
      <c r="E4201" s="1" t="n">
        <v>46307</v>
      </c>
      <c r="F4201" t="inlineStr">
        <is>
          <t>VÄRMLANDS LÄN</t>
        </is>
      </c>
      <c r="G4201" t="inlineStr">
        <is>
          <t>ARVIKA</t>
        </is>
      </c>
      <c r="I4201" t="n">
        <v>1.1</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47273-2025</t>
        </is>
      </c>
      <c r="B4202" t="inlineStr">
        <is>
          <t>avverkningsanmälan</t>
        </is>
      </c>
      <c r="C4202" t="inlineStr">
        <is>
          <t>Föryngringsavverkning</t>
        </is>
      </c>
      <c r="D4202" s="1" t="n">
        <v>45930</v>
      </c>
      <c r="E4202" s="1" t="n">
        <v>46307</v>
      </c>
      <c r="F4202" t="inlineStr">
        <is>
          <t>VÄRMLANDS LÄN</t>
        </is>
      </c>
      <c r="G4202" t="inlineStr">
        <is>
          <t>SUNNE</t>
        </is>
      </c>
      <c r="H4202" t="inlineStr">
        <is>
          <t>Bergvik skog väst AB</t>
        </is>
      </c>
      <c r="I4202" t="n">
        <v>2.1</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42403-2023</t>
        </is>
      </c>
      <c r="B4203" t="inlineStr">
        <is>
          <t>avverkningsanmälan</t>
        </is>
      </c>
      <c r="C4203" t="inlineStr">
        <is>
          <t>Föryngringsavverkning</t>
        </is>
      </c>
      <c r="D4203" s="1" t="n">
        <v>45180</v>
      </c>
      <c r="E4203" s="1" t="n">
        <v>46307</v>
      </c>
      <c r="F4203" t="inlineStr">
        <is>
          <t>VÄRMLANDS LÄN</t>
        </is>
      </c>
      <c r="G4203" t="inlineStr">
        <is>
          <t>TORSBY</t>
        </is>
      </c>
      <c r="I4203" t="n">
        <v>2</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47021-2023</t>
        </is>
      </c>
      <c r="B4204" t="inlineStr">
        <is>
          <t>avverkningsanmälan</t>
        </is>
      </c>
      <c r="C4204" t="inlineStr">
        <is>
          <t>Föryngringsavverkning</t>
        </is>
      </c>
      <c r="D4204" s="1" t="n">
        <v>45201</v>
      </c>
      <c r="E4204" s="1" t="n">
        <v>46307</v>
      </c>
      <c r="F4204" t="inlineStr">
        <is>
          <t>VÄRMLANDS LÄN</t>
        </is>
      </c>
      <c r="G4204" t="inlineStr">
        <is>
          <t>HAGFORS</t>
        </is>
      </c>
      <c r="I4204" t="n">
        <v>0.5</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47027-2023</t>
        </is>
      </c>
      <c r="B4205" t="inlineStr">
        <is>
          <t>avverkningsanmälan</t>
        </is>
      </c>
      <c r="C4205" t="inlineStr">
        <is>
          <t>Föryngringsavverkning</t>
        </is>
      </c>
      <c r="D4205" s="1" t="n">
        <v>45201</v>
      </c>
      <c r="E4205" s="1" t="n">
        <v>46307</v>
      </c>
      <c r="F4205" t="inlineStr">
        <is>
          <t>VÄRMLANDS LÄN</t>
        </is>
      </c>
      <c r="G4205" t="inlineStr">
        <is>
          <t>HAGFORS</t>
        </is>
      </c>
      <c r="I4205" t="n">
        <v>7.7</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47033-2023</t>
        </is>
      </c>
      <c r="B4206" t="inlineStr">
        <is>
          <t>avverkningsanmälan</t>
        </is>
      </c>
      <c r="C4206" t="inlineStr">
        <is>
          <t>Föryngringsavverkning</t>
        </is>
      </c>
      <c r="D4206" s="1" t="n">
        <v>45201</v>
      </c>
      <c r="E4206" s="1" t="n">
        <v>46307</v>
      </c>
      <c r="F4206" t="inlineStr">
        <is>
          <t>VÄRMLANDS LÄN</t>
        </is>
      </c>
      <c r="G4206" t="inlineStr">
        <is>
          <t>HAGFORS</t>
        </is>
      </c>
      <c r="I4206" t="n">
        <v>2.3</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8804-2024</t>
        </is>
      </c>
      <c r="B4207" t="inlineStr">
        <is>
          <t>avverkningsanmälan</t>
        </is>
      </c>
      <c r="C4207" t="inlineStr">
        <is>
          <t>Föryngringsavverkning</t>
        </is>
      </c>
      <c r="D4207" s="1" t="n">
        <v>45356</v>
      </c>
      <c r="E4207" s="1" t="n">
        <v>46307</v>
      </c>
      <c r="F4207" t="inlineStr">
        <is>
          <t>VÄRMLANDS LÄN</t>
        </is>
      </c>
      <c r="G4207" t="inlineStr">
        <is>
          <t>KARLSTAD</t>
        </is>
      </c>
      <c r="I4207" t="n">
        <v>12.5</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47366-2025</t>
        </is>
      </c>
      <c r="B4208" t="inlineStr">
        <is>
          <t>avverkningsanmälan</t>
        </is>
      </c>
      <c r="C4208" t="inlineStr">
        <is>
          <t>Föryngringsavverkning</t>
        </is>
      </c>
      <c r="D4208" s="1" t="n">
        <v>45930</v>
      </c>
      <c r="E4208" s="1" t="n">
        <v>46307</v>
      </c>
      <c r="F4208" t="inlineStr">
        <is>
          <t>VÄRMLANDS LÄN</t>
        </is>
      </c>
      <c r="G4208" t="inlineStr">
        <is>
          <t>TORSBY</t>
        </is>
      </c>
      <c r="I4208" t="n">
        <v>5.9</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47047-2025</t>
        </is>
      </c>
      <c r="B4209" t="inlineStr">
        <is>
          <t>avverkningsanmälan</t>
        </is>
      </c>
      <c r="C4209" t="inlineStr">
        <is>
          <t>Föryngringsavverkning</t>
        </is>
      </c>
      <c r="D4209" s="1" t="n">
        <v>45929</v>
      </c>
      <c r="E4209" s="1" t="n">
        <v>46307</v>
      </c>
      <c r="F4209" t="inlineStr">
        <is>
          <t>VÄRMLANDS LÄN</t>
        </is>
      </c>
      <c r="G4209" t="inlineStr">
        <is>
          <t>TORSBY</t>
        </is>
      </c>
      <c r="H4209" t="inlineStr">
        <is>
          <t>Kyrkan</t>
        </is>
      </c>
      <c r="I4209" t="n">
        <v>6.6</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38298-2022</t>
        </is>
      </c>
      <c r="B4210" t="inlineStr">
        <is>
          <t>avverkningsanmälan</t>
        </is>
      </c>
      <c r="C4210" t="inlineStr">
        <is>
          <t>Föryngringsavverkning</t>
        </is>
      </c>
      <c r="D4210" s="1" t="n">
        <v>44812</v>
      </c>
      <c r="E4210" s="1" t="n">
        <v>46307</v>
      </c>
      <c r="F4210" t="inlineStr">
        <is>
          <t>VÄRMLANDS LÄN</t>
        </is>
      </c>
      <c r="G4210" t="inlineStr">
        <is>
          <t>KARLSTAD</t>
        </is>
      </c>
      <c r="H4210" t="inlineStr">
        <is>
          <t>Bergvik skog väst AB</t>
        </is>
      </c>
      <c r="I4210" t="n">
        <v>24.3</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42457-2024</t>
        </is>
      </c>
      <c r="B4211" t="inlineStr">
        <is>
          <t>avverkningsanmälan</t>
        </is>
      </c>
      <c r="C4211" t="inlineStr">
        <is>
          <t>Föryngringsavverkning</t>
        </is>
      </c>
      <c r="D4211" s="1" t="n">
        <v>45565</v>
      </c>
      <c r="E4211" s="1" t="n">
        <v>46307</v>
      </c>
      <c r="F4211" t="inlineStr">
        <is>
          <t>VÄRMLANDS LÄN</t>
        </is>
      </c>
      <c r="G4211" t="inlineStr">
        <is>
          <t>TORSBY</t>
        </is>
      </c>
      <c r="I4211" t="n">
        <v>5.2</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62266-2023</t>
        </is>
      </c>
      <c r="B4212" t="inlineStr">
        <is>
          <t>avverkningsanmälan</t>
        </is>
      </c>
      <c r="C4212" t="inlineStr">
        <is>
          <t>Föryngringsavverkning</t>
        </is>
      </c>
      <c r="D4212" s="1" t="n">
        <v>45266</v>
      </c>
      <c r="E4212" s="1" t="n">
        <v>46307</v>
      </c>
      <c r="F4212" t="inlineStr">
        <is>
          <t>VÄRMLANDS LÄN</t>
        </is>
      </c>
      <c r="G4212" t="inlineStr">
        <is>
          <t>ÅRJÄNG</t>
        </is>
      </c>
      <c r="I4212" t="n">
        <v>10.5</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52592-2024</t>
        </is>
      </c>
      <c r="B4213" t="inlineStr">
        <is>
          <t>avverkningsanmälan</t>
        </is>
      </c>
      <c r="C4213" t="inlineStr">
        <is>
          <t>Föryngringsavverkning</t>
        </is>
      </c>
      <c r="D4213" s="1" t="n">
        <v>45609</v>
      </c>
      <c r="E4213" s="1" t="n">
        <v>46307</v>
      </c>
      <c r="F4213" t="inlineStr">
        <is>
          <t>VÄRMLANDS LÄN</t>
        </is>
      </c>
      <c r="G4213" t="inlineStr">
        <is>
          <t>TORSBY</t>
        </is>
      </c>
      <c r="I4213" t="n">
        <v>1</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3355-2022</t>
        </is>
      </c>
      <c r="B4214" t="inlineStr">
        <is>
          <t>avverkningsanmälan</t>
        </is>
      </c>
      <c r="C4214" t="inlineStr">
        <is>
          <t>Föryngringsavverkning</t>
        </is>
      </c>
      <c r="D4214" s="1" t="n">
        <v>44585</v>
      </c>
      <c r="E4214" s="1" t="n">
        <v>46307</v>
      </c>
      <c r="F4214" t="inlineStr">
        <is>
          <t>VÄRMLANDS LÄN</t>
        </is>
      </c>
      <c r="G4214" t="inlineStr">
        <is>
          <t>ARVIKA</t>
        </is>
      </c>
      <c r="I4214" t="n">
        <v>3.2</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54190-2023</t>
        </is>
      </c>
      <c r="B4215" t="inlineStr">
        <is>
          <t>avverkningsanmälan</t>
        </is>
      </c>
      <c r="C4215" t="inlineStr">
        <is>
          <t>Föryngringsavverkning</t>
        </is>
      </c>
      <c r="D4215" s="1" t="n">
        <v>45232</v>
      </c>
      <c r="E4215" s="1" t="n">
        <v>46307</v>
      </c>
      <c r="F4215" t="inlineStr">
        <is>
          <t>VÄRMLANDS LÄN</t>
        </is>
      </c>
      <c r="G4215" t="inlineStr">
        <is>
          <t>STORFORS</t>
        </is>
      </c>
      <c r="I4215" t="n">
        <v>0.4</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46758-2023</t>
        </is>
      </c>
      <c r="B4216" t="inlineStr">
        <is>
          <t>avverkningsanmälan</t>
        </is>
      </c>
      <c r="C4216" t="inlineStr">
        <is>
          <t>Föryngringsavverkning</t>
        </is>
      </c>
      <c r="D4216" s="1" t="n">
        <v>45198</v>
      </c>
      <c r="E4216" s="1" t="n">
        <v>46307</v>
      </c>
      <c r="F4216" t="inlineStr">
        <is>
          <t>VÄRMLANDS LÄN</t>
        </is>
      </c>
      <c r="G4216" t="inlineStr">
        <is>
          <t>ARVIKA</t>
        </is>
      </c>
      <c r="I4216" t="n">
        <v>1.5</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47256-2025</t>
        </is>
      </c>
      <c r="B4217" t="inlineStr">
        <is>
          <t>avverkningsanmälan</t>
        </is>
      </c>
      <c r="C4217" t="inlineStr">
        <is>
          <t>Föryngringsavverkning</t>
        </is>
      </c>
      <c r="D4217" s="1" t="n">
        <v>45930</v>
      </c>
      <c r="E4217" s="1" t="n">
        <v>46307</v>
      </c>
      <c r="F4217" t="inlineStr">
        <is>
          <t>VÄRMLANDS LÄN</t>
        </is>
      </c>
      <c r="G4217" t="inlineStr">
        <is>
          <t>SUNNE</t>
        </is>
      </c>
      <c r="H4217" t="inlineStr">
        <is>
          <t>Bergvik skog väst AB</t>
        </is>
      </c>
      <c r="I4217" t="n">
        <v>2.9</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20922-2023</t>
        </is>
      </c>
      <c r="B4218" t="inlineStr">
        <is>
          <t>avverkningsanmälan</t>
        </is>
      </c>
      <c r="C4218" t="inlineStr">
        <is>
          <t>Föryngringsavverkning</t>
        </is>
      </c>
      <c r="D4218" s="1" t="n">
        <v>45061</v>
      </c>
      <c r="E4218" s="1" t="n">
        <v>46307</v>
      </c>
      <c r="F4218" t="inlineStr">
        <is>
          <t>VÄRMLANDS LÄN</t>
        </is>
      </c>
      <c r="G4218" t="inlineStr">
        <is>
          <t>EDA</t>
        </is>
      </c>
      <c r="I4218" t="n">
        <v>0.5</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20954-2023</t>
        </is>
      </c>
      <c r="B4219" t="inlineStr">
        <is>
          <t>avverkningsanmälan</t>
        </is>
      </c>
      <c r="C4219" t="inlineStr">
        <is>
          <t>Föryngringsavverkning</t>
        </is>
      </c>
      <c r="D4219" s="1" t="n">
        <v>45061</v>
      </c>
      <c r="E4219" s="1" t="n">
        <v>46307</v>
      </c>
      <c r="F4219" t="inlineStr">
        <is>
          <t>VÄRMLANDS LÄN</t>
        </is>
      </c>
      <c r="G4219" t="inlineStr">
        <is>
          <t>GRUMS</t>
        </is>
      </c>
      <c r="I4219" t="n">
        <v>1.8</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43968-2024</t>
        </is>
      </c>
      <c r="B4220" t="inlineStr">
        <is>
          <t>avverkningsanmälan</t>
        </is>
      </c>
      <c r="C4220" t="inlineStr">
        <is>
          <t>Föryngringsavverkning</t>
        </is>
      </c>
      <c r="D4220" s="1" t="n">
        <v>45572</v>
      </c>
      <c r="E4220" s="1" t="n">
        <v>46307</v>
      </c>
      <c r="F4220" t="inlineStr">
        <is>
          <t>VÄRMLANDS LÄN</t>
        </is>
      </c>
      <c r="G4220" t="inlineStr">
        <is>
          <t>ARVIKA</t>
        </is>
      </c>
      <c r="I4220" t="n">
        <v>1.5</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58259-2024</t>
        </is>
      </c>
      <c r="B4221" t="inlineStr">
        <is>
          <t>avverkningsanmälan</t>
        </is>
      </c>
      <c r="C4221" t="inlineStr">
        <is>
          <t>Föryngringsavverkning</t>
        </is>
      </c>
      <c r="D4221" s="1" t="n">
        <v>45632</v>
      </c>
      <c r="E4221" s="1" t="n">
        <v>46307</v>
      </c>
      <c r="F4221" t="inlineStr">
        <is>
          <t>VÄRMLANDS LÄN</t>
        </is>
      </c>
      <c r="G4221" t="inlineStr">
        <is>
          <t>TORSBY</t>
        </is>
      </c>
      <c r="I4221" t="n">
        <v>2.2</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43988-2024</t>
        </is>
      </c>
      <c r="B4222" t="inlineStr">
        <is>
          <t>avverkningsanmälan</t>
        </is>
      </c>
      <c r="C4222" t="inlineStr">
        <is>
          <t>Föryngringsavverkning</t>
        </is>
      </c>
      <c r="D4222" s="1" t="n">
        <v>45572</v>
      </c>
      <c r="E4222" s="1" t="n">
        <v>46307</v>
      </c>
      <c r="F4222" t="inlineStr">
        <is>
          <t>VÄRMLANDS LÄN</t>
        </is>
      </c>
      <c r="G4222" t="inlineStr">
        <is>
          <t>TORSBY</t>
        </is>
      </c>
      <c r="I4222" t="n">
        <v>0.6</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43998-2024</t>
        </is>
      </c>
      <c r="B4223" t="inlineStr">
        <is>
          <t>avverkningsanmälan</t>
        </is>
      </c>
      <c r="C4223" t="inlineStr">
        <is>
          <t>Föryngringsavverkning</t>
        </is>
      </c>
      <c r="D4223" s="1" t="n">
        <v>45572</v>
      </c>
      <c r="E4223" s="1" t="n">
        <v>46307</v>
      </c>
      <c r="F4223" t="inlineStr">
        <is>
          <t>VÄRMLANDS LÄN</t>
        </is>
      </c>
      <c r="G4223" t="inlineStr">
        <is>
          <t>HAGFORS</t>
        </is>
      </c>
      <c r="I4223" t="n">
        <v>0.9</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34568-2024</t>
        </is>
      </c>
      <c r="B4224" t="inlineStr">
        <is>
          <t>avverkningsanmälan</t>
        </is>
      </c>
      <c r="C4224" t="inlineStr">
        <is>
          <t>Föryngringsavverkning</t>
        </is>
      </c>
      <c r="D4224" s="1" t="n">
        <v>45526</v>
      </c>
      <c r="E4224" s="1" t="n">
        <v>46307</v>
      </c>
      <c r="F4224" t="inlineStr">
        <is>
          <t>VÄRMLANDS LÄN</t>
        </is>
      </c>
      <c r="G4224" t="inlineStr">
        <is>
          <t>TORSBY</t>
        </is>
      </c>
      <c r="I4224" t="n">
        <v>3.1</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57607-2024</t>
        </is>
      </c>
      <c r="B4225" t="inlineStr">
        <is>
          <t>avverkningsanmälan</t>
        </is>
      </c>
      <c r="C4225" t="inlineStr">
        <is>
          <t>Föryngringsavverkning</t>
        </is>
      </c>
      <c r="D4225" s="1" t="n">
        <v>45630</v>
      </c>
      <c r="E4225" s="1" t="n">
        <v>46307</v>
      </c>
      <c r="F4225" t="inlineStr">
        <is>
          <t>VÄRMLANDS LÄN</t>
        </is>
      </c>
      <c r="G4225" t="inlineStr">
        <is>
          <t>KARLSTAD</t>
        </is>
      </c>
      <c r="I4225" t="n">
        <v>1.4</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46832-2025</t>
        </is>
      </c>
      <c r="B4226" t="inlineStr">
        <is>
          <t>avverkningsanmälan</t>
        </is>
      </c>
      <c r="C4226" t="inlineStr">
        <is>
          <t>Föryngringsavverkning</t>
        </is>
      </c>
      <c r="D4226" s="1" t="n">
        <v>45927</v>
      </c>
      <c r="E4226" s="1" t="n">
        <v>46307</v>
      </c>
      <c r="F4226" t="inlineStr">
        <is>
          <t>VÄRMLANDS LÄN</t>
        </is>
      </c>
      <c r="G4226" t="inlineStr">
        <is>
          <t>HAGFORS</t>
        </is>
      </c>
      <c r="H4226" t="inlineStr">
        <is>
          <t>Bergvik skog väst AB</t>
        </is>
      </c>
      <c r="I4226" t="n">
        <v>2.8</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59552-2024</t>
        </is>
      </c>
      <c r="B4227" t="inlineStr">
        <is>
          <t>avverkningsanmälan</t>
        </is>
      </c>
      <c r="C4227" t="inlineStr">
        <is>
          <t>Föryngringsavverkning</t>
        </is>
      </c>
      <c r="D4227" s="1" t="n">
        <v>45638</v>
      </c>
      <c r="E4227" s="1" t="n">
        <v>46307</v>
      </c>
      <c r="F4227" t="inlineStr">
        <is>
          <t>VÄRMLANDS LÄN</t>
        </is>
      </c>
      <c r="G4227" t="inlineStr">
        <is>
          <t>HAGFORS</t>
        </is>
      </c>
      <c r="I4227" t="n">
        <v>0.6</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46850-2025</t>
        </is>
      </c>
      <c r="B4228" t="inlineStr">
        <is>
          <t>avverkningsanmälan</t>
        </is>
      </c>
      <c r="C4228" t="inlineStr">
        <is>
          <t>Föryngringsavverkning</t>
        </is>
      </c>
      <c r="D4228" s="1" t="n">
        <v>45928</v>
      </c>
      <c r="E4228" s="1" t="n">
        <v>46307</v>
      </c>
      <c r="F4228" t="inlineStr">
        <is>
          <t>VÄRMLANDS LÄN</t>
        </is>
      </c>
      <c r="G4228" t="inlineStr">
        <is>
          <t>SUNNE</t>
        </is>
      </c>
      <c r="I4228" t="n">
        <v>1</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46868-2025</t>
        </is>
      </c>
      <c r="B4229" t="inlineStr">
        <is>
          <t>avverkningsanmälan</t>
        </is>
      </c>
      <c r="C4229" t="inlineStr">
        <is>
          <t>Föryngringsavverkning</t>
        </is>
      </c>
      <c r="D4229" s="1" t="n">
        <v>45929</v>
      </c>
      <c r="E4229" s="1" t="n">
        <v>46307</v>
      </c>
      <c r="F4229" t="inlineStr">
        <is>
          <t>VÄRMLANDS LÄN</t>
        </is>
      </c>
      <c r="G4229" t="inlineStr">
        <is>
          <t>FORSHAGA</t>
        </is>
      </c>
      <c r="I4229" t="n">
        <v>1.8</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23357-2025</t>
        </is>
      </c>
      <c r="B4230" t="inlineStr">
        <is>
          <t>avverkningsanmälan</t>
        </is>
      </c>
      <c r="C4230" t="inlineStr">
        <is>
          <t>Föryngringsavverkning</t>
        </is>
      </c>
      <c r="D4230" s="1" t="n">
        <v>45791</v>
      </c>
      <c r="E4230" s="1" t="n">
        <v>46307</v>
      </c>
      <c r="F4230" t="inlineStr">
        <is>
          <t>VÄRMLANDS LÄN</t>
        </is>
      </c>
      <c r="G4230" t="inlineStr">
        <is>
          <t>SÄFFLE</t>
        </is>
      </c>
      <c r="H4230" t="inlineStr">
        <is>
          <t>Bergvik skog väst AB</t>
        </is>
      </c>
      <c r="I4230" t="n">
        <v>3.5</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34634-2023</t>
        </is>
      </c>
      <c r="B4231" t="inlineStr">
        <is>
          <t>avverkningsanmälan</t>
        </is>
      </c>
      <c r="C4231" t="inlineStr">
        <is>
          <t>Föryngringsavverkning</t>
        </is>
      </c>
      <c r="D4231" s="1" t="n">
        <v>45140</v>
      </c>
      <c r="E4231" s="1" t="n">
        <v>46307</v>
      </c>
      <c r="F4231" t="inlineStr">
        <is>
          <t>VÄRMLANDS LÄN</t>
        </is>
      </c>
      <c r="G4231" t="inlineStr">
        <is>
          <t>EDA</t>
        </is>
      </c>
      <c r="I4231" t="n">
        <v>4.3</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1350-2025</t>
        </is>
      </c>
      <c r="B4232" t="inlineStr">
        <is>
          <t>avverkningsanmälan</t>
        </is>
      </c>
      <c r="C4232" t="inlineStr">
        <is>
          <t>Föryngringsavverkning</t>
        </is>
      </c>
      <c r="D4232" s="1" t="n">
        <v>45667</v>
      </c>
      <c r="E4232" s="1" t="n">
        <v>46307</v>
      </c>
      <c r="F4232" t="inlineStr">
        <is>
          <t>VÄRMLANDS LÄN</t>
        </is>
      </c>
      <c r="G4232" t="inlineStr">
        <is>
          <t>FILIPSTAD</t>
        </is>
      </c>
      <c r="H4232" t="inlineStr">
        <is>
          <t>Kommuner</t>
        </is>
      </c>
      <c r="I4232" t="n">
        <v>5.9</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23482-2025</t>
        </is>
      </c>
      <c r="B4233" t="inlineStr">
        <is>
          <t>avverkningsanmälan</t>
        </is>
      </c>
      <c r="C4233" t="inlineStr">
        <is>
          <t>Föryngringsavverkning</t>
        </is>
      </c>
      <c r="D4233" s="1" t="n">
        <v>45792</v>
      </c>
      <c r="E4233" s="1" t="n">
        <v>46307</v>
      </c>
      <c r="F4233" t="inlineStr">
        <is>
          <t>VÄRMLANDS LÄN</t>
        </is>
      </c>
      <c r="G4233" t="inlineStr">
        <is>
          <t>EDA</t>
        </is>
      </c>
      <c r="I4233" t="n">
        <v>2.3</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47426-2025</t>
        </is>
      </c>
      <c r="B4234" t="inlineStr">
        <is>
          <t>avverkningsanmälan</t>
        </is>
      </c>
      <c r="C4234" t="inlineStr">
        <is>
          <t>Föryngringsavverkning</t>
        </is>
      </c>
      <c r="D4234" s="1" t="n">
        <v>45930</v>
      </c>
      <c r="E4234" s="1" t="n">
        <v>46307</v>
      </c>
      <c r="F4234" t="inlineStr">
        <is>
          <t>VÄRMLANDS LÄN</t>
        </is>
      </c>
      <c r="G4234" t="inlineStr">
        <is>
          <t>ÅRJÄNG</t>
        </is>
      </c>
      <c r="I4234" t="n">
        <v>1.1</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38239-2024</t>
        </is>
      </c>
      <c r="B4235" t="inlineStr">
        <is>
          <t>avverkningsanmälan</t>
        </is>
      </c>
      <c r="C4235" t="inlineStr">
        <is>
          <t>Föryngringsavverkning</t>
        </is>
      </c>
      <c r="D4235" s="1" t="n">
        <v>45545</v>
      </c>
      <c r="E4235" s="1" t="n">
        <v>46307</v>
      </c>
      <c r="F4235" t="inlineStr">
        <is>
          <t>VÄRMLANDS LÄN</t>
        </is>
      </c>
      <c r="G4235" t="inlineStr">
        <is>
          <t>HAGFORS</t>
        </is>
      </c>
      <c r="H4235" t="inlineStr">
        <is>
          <t>Bergvik skog väst AB</t>
        </is>
      </c>
      <c r="I4235" t="n">
        <v>5.1</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16488-2024</t>
        </is>
      </c>
      <c r="B4236" t="inlineStr">
        <is>
          <t>avverkningsanmälan</t>
        </is>
      </c>
      <c r="C4236" t="inlineStr">
        <is>
          <t>Föryngringsavverkning</t>
        </is>
      </c>
      <c r="D4236" s="1" t="n">
        <v>45408</v>
      </c>
      <c r="E4236" s="1" t="n">
        <v>46307</v>
      </c>
      <c r="F4236" t="inlineStr">
        <is>
          <t>VÄRMLANDS LÄN</t>
        </is>
      </c>
      <c r="G4236" t="inlineStr">
        <is>
          <t>TORSBY</t>
        </is>
      </c>
      <c r="H4236" t="inlineStr">
        <is>
          <t>Bergvik skog väst AB</t>
        </is>
      </c>
      <c r="I4236" t="n">
        <v>5.6</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47043-2025</t>
        </is>
      </c>
      <c r="B4237" t="inlineStr">
        <is>
          <t>avverkningsanmälan</t>
        </is>
      </c>
      <c r="C4237" t="inlineStr">
        <is>
          <t>Föryngringsavverkning</t>
        </is>
      </c>
      <c r="D4237" s="1" t="n">
        <v>45929</v>
      </c>
      <c r="E4237" s="1" t="n">
        <v>46307</v>
      </c>
      <c r="F4237" t="inlineStr">
        <is>
          <t>VÄRMLANDS LÄN</t>
        </is>
      </c>
      <c r="G4237" t="inlineStr">
        <is>
          <t>EDA</t>
        </is>
      </c>
      <c r="I4237" t="n">
        <v>2.3</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42414-2024</t>
        </is>
      </c>
      <c r="B4238" t="inlineStr">
        <is>
          <t>avverkningsanmälan</t>
        </is>
      </c>
      <c r="C4238" t="inlineStr">
        <is>
          <t>Föryngringsavverkning</t>
        </is>
      </c>
      <c r="D4238" s="1" t="n">
        <v>45565</v>
      </c>
      <c r="E4238" s="1" t="n">
        <v>46307</v>
      </c>
      <c r="F4238" t="inlineStr">
        <is>
          <t>VÄRMLANDS LÄN</t>
        </is>
      </c>
      <c r="G4238" t="inlineStr">
        <is>
          <t>TORSBY</t>
        </is>
      </c>
      <c r="H4238" t="inlineStr">
        <is>
          <t>Bergvik skog väst AB</t>
        </is>
      </c>
      <c r="I4238" t="n">
        <v>0.7</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47237-2025</t>
        </is>
      </c>
      <c r="B4239" t="inlineStr">
        <is>
          <t>avverkningsanmälan</t>
        </is>
      </c>
      <c r="C4239" t="inlineStr">
        <is>
          <t>Föryngringsavverkning</t>
        </is>
      </c>
      <c r="D4239" s="1" t="n">
        <v>45930</v>
      </c>
      <c r="E4239" s="1" t="n">
        <v>46307</v>
      </c>
      <c r="F4239" t="inlineStr">
        <is>
          <t>VÄRMLANDS LÄN</t>
        </is>
      </c>
      <c r="G4239" t="inlineStr">
        <is>
          <t>SUNNE</t>
        </is>
      </c>
      <c r="H4239" t="inlineStr">
        <is>
          <t>Bergvik skog väst AB</t>
        </is>
      </c>
      <c r="I4239" t="n">
        <v>1.3</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6966-2022</t>
        </is>
      </c>
      <c r="B4240" t="inlineStr">
        <is>
          <t>avverkningsanmälan</t>
        </is>
      </c>
      <c r="C4240" t="inlineStr">
        <is>
          <t>Föryngringsavverkning</t>
        </is>
      </c>
      <c r="D4240" s="1" t="n">
        <v>44603</v>
      </c>
      <c r="E4240" s="1" t="n">
        <v>46307</v>
      </c>
      <c r="F4240" t="inlineStr">
        <is>
          <t>VÄRMLANDS LÄN</t>
        </is>
      </c>
      <c r="G4240" t="inlineStr">
        <is>
          <t>SÄFFLE</t>
        </is>
      </c>
      <c r="I4240" t="n">
        <v>2.3</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6980-2022</t>
        </is>
      </c>
      <c r="B4241" t="inlineStr">
        <is>
          <t>avverkningsanmälan</t>
        </is>
      </c>
      <c r="C4241" t="inlineStr">
        <is>
          <t>Föryngringsavverkning</t>
        </is>
      </c>
      <c r="D4241" s="1" t="n">
        <v>44603</v>
      </c>
      <c r="E4241" s="1" t="n">
        <v>46307</v>
      </c>
      <c r="F4241" t="inlineStr">
        <is>
          <t>VÄRMLANDS LÄN</t>
        </is>
      </c>
      <c r="G4241" t="inlineStr">
        <is>
          <t>HAGFORS</t>
        </is>
      </c>
      <c r="I4241" t="n">
        <v>2</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6856-2025</t>
        </is>
      </c>
      <c r="B4242" t="inlineStr">
        <is>
          <t>avverkningsanmälan</t>
        </is>
      </c>
      <c r="C4242" t="inlineStr">
        <is>
          <t>Föryngringsavverkning</t>
        </is>
      </c>
      <c r="D4242" s="1" t="n">
        <v>45700</v>
      </c>
      <c r="E4242" s="1" t="n">
        <v>46307</v>
      </c>
      <c r="F4242" t="inlineStr">
        <is>
          <t>VÄRMLANDS LÄN</t>
        </is>
      </c>
      <c r="G4242" t="inlineStr">
        <is>
          <t>STORFORS</t>
        </is>
      </c>
      <c r="H4242" t="inlineStr">
        <is>
          <t>Kyrkan</t>
        </is>
      </c>
      <c r="I4242" t="n">
        <v>1.2</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39771-2024</t>
        </is>
      </c>
      <c r="B4243" t="inlineStr">
        <is>
          <t>avverkningsanmälan</t>
        </is>
      </c>
      <c r="C4243" t="inlineStr">
        <is>
          <t>Föryngringsavverkning</t>
        </is>
      </c>
      <c r="D4243" s="1" t="n">
        <v>45552</v>
      </c>
      <c r="E4243" s="1" t="n">
        <v>46307</v>
      </c>
      <c r="F4243" t="inlineStr">
        <is>
          <t>VÄRMLANDS LÄN</t>
        </is>
      </c>
      <c r="G4243" t="inlineStr">
        <is>
          <t>TORSBY</t>
        </is>
      </c>
      <c r="I4243" t="n">
        <v>1.6</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47028-2025</t>
        </is>
      </c>
      <c r="B4244" t="inlineStr">
        <is>
          <t>avverkningsanmälan</t>
        </is>
      </c>
      <c r="C4244" t="inlineStr">
        <is>
          <t>Föryngringsavverkning</t>
        </is>
      </c>
      <c r="D4244" s="1" t="n">
        <v>45929</v>
      </c>
      <c r="E4244" s="1" t="n">
        <v>46307</v>
      </c>
      <c r="F4244" t="inlineStr">
        <is>
          <t>VÄRMLANDS LÄN</t>
        </is>
      </c>
      <c r="G4244" t="inlineStr">
        <is>
          <t>EDA</t>
        </is>
      </c>
      <c r="I4244" t="n">
        <v>0.6</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6909-2025</t>
        </is>
      </c>
      <c r="B4245" t="inlineStr">
        <is>
          <t>avverkningsanmälan</t>
        </is>
      </c>
      <c r="C4245" t="inlineStr">
        <is>
          <t>Avverkning för att bevara och utveckla /försöksver</t>
        </is>
      </c>
      <c r="D4245" s="1" t="n">
        <v>45701</v>
      </c>
      <c r="E4245" s="1" t="n">
        <v>46307</v>
      </c>
      <c r="F4245" t="inlineStr">
        <is>
          <t>VÄRMLANDS LÄN</t>
        </is>
      </c>
      <c r="G4245" t="inlineStr">
        <is>
          <t>FORSHAGA</t>
        </is>
      </c>
      <c r="H4245" t="inlineStr">
        <is>
          <t>Bergvik skog väst AB</t>
        </is>
      </c>
      <c r="I4245" t="n">
        <v>2</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23715-2025</t>
        </is>
      </c>
      <c r="B4246" t="inlineStr">
        <is>
          <t>avverkningsanmälan</t>
        </is>
      </c>
      <c r="C4246" t="inlineStr">
        <is>
          <t>Föryngringsavverkning</t>
        </is>
      </c>
      <c r="D4246" s="1" t="n">
        <v>45793</v>
      </c>
      <c r="E4246" s="1" t="n">
        <v>46307</v>
      </c>
      <c r="F4246" t="inlineStr">
        <is>
          <t>VÄRMLANDS LÄN</t>
        </is>
      </c>
      <c r="G4246" t="inlineStr">
        <is>
          <t>SUNNE</t>
        </is>
      </c>
      <c r="I4246" t="n">
        <v>2.9</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58538-2023</t>
        </is>
      </c>
      <c r="B4247" t="inlineStr">
        <is>
          <t>avverkningsanmälan</t>
        </is>
      </c>
      <c r="C4247" t="inlineStr">
        <is>
          <t>Föryngringsavverkning</t>
        </is>
      </c>
      <c r="D4247" s="1" t="n">
        <v>45251</v>
      </c>
      <c r="E4247" s="1" t="n">
        <v>46307</v>
      </c>
      <c r="F4247" t="inlineStr">
        <is>
          <t>VÄRMLANDS LÄN</t>
        </is>
      </c>
      <c r="G4247" t="inlineStr">
        <is>
          <t>ARVIKA</t>
        </is>
      </c>
      <c r="I4247" t="n">
        <v>1.9</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47333-2025</t>
        </is>
      </c>
      <c r="B4248" t="inlineStr">
        <is>
          <t>avverkningsanmälan</t>
        </is>
      </c>
      <c r="C4248" t="inlineStr">
        <is>
          <t>Föryngringsavverkning</t>
        </is>
      </c>
      <c r="D4248" s="1" t="n">
        <v>45930</v>
      </c>
      <c r="E4248" s="1" t="n">
        <v>46307</v>
      </c>
      <c r="F4248" t="inlineStr">
        <is>
          <t>VÄRMLANDS LÄN</t>
        </is>
      </c>
      <c r="G4248" t="inlineStr">
        <is>
          <t>HAGFORS</t>
        </is>
      </c>
      <c r="H4248" t="inlineStr">
        <is>
          <t>Bergvik skog väst AB</t>
        </is>
      </c>
      <c r="I4248" t="n">
        <v>22.1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4078-2024</t>
        </is>
      </c>
      <c r="B4249" t="inlineStr">
        <is>
          <t>avverkningsanmälan</t>
        </is>
      </c>
      <c r="C4249" t="inlineStr">
        <is>
          <t>Föryngringsavverkning</t>
        </is>
      </c>
      <c r="D4249" s="1" t="n">
        <v>45323</v>
      </c>
      <c r="E4249" s="1" t="n">
        <v>46307</v>
      </c>
      <c r="F4249" t="inlineStr">
        <is>
          <t>VÄRMLANDS LÄN</t>
        </is>
      </c>
      <c r="G4249" t="inlineStr">
        <is>
          <t>TORSBY</t>
        </is>
      </c>
      <c r="I4249" t="n">
        <v>1.2</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20844-2024</t>
        </is>
      </c>
      <c r="B4250" t="inlineStr">
        <is>
          <t>avverkningsanmälan</t>
        </is>
      </c>
      <c r="C4250" t="inlineStr">
        <is>
          <t>Föryngringsavverkning</t>
        </is>
      </c>
      <c r="D4250" s="1" t="n">
        <v>45439</v>
      </c>
      <c r="E4250" s="1" t="n">
        <v>46307</v>
      </c>
      <c r="F4250" t="inlineStr">
        <is>
          <t>VÄRMLANDS LÄN</t>
        </is>
      </c>
      <c r="G4250" t="inlineStr">
        <is>
          <t>FILIPSTAD</t>
        </is>
      </c>
      <c r="I4250" t="n">
        <v>1.6</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69015-2021</t>
        </is>
      </c>
      <c r="B4251" t="inlineStr">
        <is>
          <t>avverkningsanmälan</t>
        </is>
      </c>
      <c r="C4251" t="inlineStr">
        <is>
          <t>Föryngringsavverkning</t>
        </is>
      </c>
      <c r="D4251" s="1" t="n">
        <v>44530</v>
      </c>
      <c r="E4251" s="1" t="n">
        <v>46307</v>
      </c>
      <c r="F4251" t="inlineStr">
        <is>
          <t>VÄRMLANDS LÄN</t>
        </is>
      </c>
      <c r="G4251" t="inlineStr">
        <is>
          <t>FILIPSTAD</t>
        </is>
      </c>
      <c r="H4251" t="inlineStr">
        <is>
          <t>Bergvik skog väst AB</t>
        </is>
      </c>
      <c r="I4251" t="n">
        <v>12.7</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46865-2025</t>
        </is>
      </c>
      <c r="B4252" t="inlineStr">
        <is>
          <t>avverkningsanmälan</t>
        </is>
      </c>
      <c r="C4252" t="inlineStr">
        <is>
          <t>Avverkning för annat ändamål</t>
        </is>
      </c>
      <c r="D4252" s="1" t="n">
        <v>45929</v>
      </c>
      <c r="E4252" s="1" t="n">
        <v>46307</v>
      </c>
      <c r="F4252" t="inlineStr">
        <is>
          <t>VÄRMLANDS LÄN</t>
        </is>
      </c>
      <c r="G4252" t="inlineStr">
        <is>
          <t>TORSBY</t>
        </is>
      </c>
      <c r="H4252" t="inlineStr">
        <is>
          <t>Bergvik skog väst AB</t>
        </is>
      </c>
      <c r="I4252" t="n">
        <v>1.1</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46906-2025</t>
        </is>
      </c>
      <c r="B4253" t="inlineStr">
        <is>
          <t>avverkningsanmälan</t>
        </is>
      </c>
      <c r="C4253" t="inlineStr">
        <is>
          <t>Föryngringsavverkning</t>
        </is>
      </c>
      <c r="D4253" s="1" t="n">
        <v>45929</v>
      </c>
      <c r="E4253" s="1" t="n">
        <v>46307</v>
      </c>
      <c r="F4253" t="inlineStr">
        <is>
          <t>VÄRMLANDS LÄN</t>
        </is>
      </c>
      <c r="G4253" t="inlineStr">
        <is>
          <t>FILIPSTAD</t>
        </is>
      </c>
      <c r="H4253" t="inlineStr">
        <is>
          <t>Bergvik skog väst AB</t>
        </is>
      </c>
      <c r="I4253" t="n">
        <v>7.2</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46023-2025</t>
        </is>
      </c>
      <c r="B4254" t="inlineStr">
        <is>
          <t>avverkningsanmälan</t>
        </is>
      </c>
      <c r="C4254" t="inlineStr">
        <is>
          <t>Föryngringsavverkning</t>
        </is>
      </c>
      <c r="D4254" s="1" t="n">
        <v>45924</v>
      </c>
      <c r="E4254" s="1" t="n">
        <v>46307</v>
      </c>
      <c r="F4254" t="inlineStr">
        <is>
          <t>VÄRMLANDS LÄN</t>
        </is>
      </c>
      <c r="G4254" t="inlineStr">
        <is>
          <t>ÅRJÄNG</t>
        </is>
      </c>
      <c r="I4254" t="n">
        <v>1.6</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3979-2024</t>
        </is>
      </c>
      <c r="B4255" t="inlineStr">
        <is>
          <t>avverkningsanmälan</t>
        </is>
      </c>
      <c r="C4255" t="inlineStr">
        <is>
          <t>Föryngringsavverkning</t>
        </is>
      </c>
      <c r="D4255" s="1" t="n">
        <v>45322</v>
      </c>
      <c r="E4255" s="1" t="n">
        <v>46307</v>
      </c>
      <c r="F4255" t="inlineStr">
        <is>
          <t>VÄRMLANDS LÄN</t>
        </is>
      </c>
      <c r="G4255" t="inlineStr">
        <is>
          <t>FILIPSTAD</t>
        </is>
      </c>
      <c r="I4255" t="n">
        <v>8.199999999999999</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6-2022</t>
        </is>
      </c>
      <c r="B4256" t="inlineStr">
        <is>
          <t>avverkningsanmälan</t>
        </is>
      </c>
      <c r="C4256" t="inlineStr">
        <is>
          <t>Föryngringsavverkning</t>
        </is>
      </c>
      <c r="D4256" s="1" t="n">
        <v>44563</v>
      </c>
      <c r="E4256" s="1" t="n">
        <v>46307</v>
      </c>
      <c r="F4256" t="inlineStr">
        <is>
          <t>VÄRMLANDS LÄN</t>
        </is>
      </c>
      <c r="G4256" t="inlineStr">
        <is>
          <t>SUNNE</t>
        </is>
      </c>
      <c r="I4256" t="n">
        <v>3.7</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36175-2024</t>
        </is>
      </c>
      <c r="B4257" t="inlineStr">
        <is>
          <t>avverkningsanmälan</t>
        </is>
      </c>
      <c r="C4257" t="inlineStr">
        <is>
          <t>Föryngringsavverkning</t>
        </is>
      </c>
      <c r="D4257" s="1" t="n">
        <v>45534</v>
      </c>
      <c r="E4257" s="1" t="n">
        <v>46307</v>
      </c>
      <c r="F4257" t="inlineStr">
        <is>
          <t>VÄRMLANDS LÄN</t>
        </is>
      </c>
      <c r="G4257" t="inlineStr">
        <is>
          <t>TORSBY</t>
        </is>
      </c>
      <c r="I4257" t="n">
        <v>1.1</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42656-2023</t>
        </is>
      </c>
      <c r="B4258" t="inlineStr">
        <is>
          <t>avverkningsanmälan</t>
        </is>
      </c>
      <c r="C4258" t="inlineStr">
        <is>
          <t>Föryngringsavverkning</t>
        </is>
      </c>
      <c r="D4258" s="1" t="n">
        <v>45181</v>
      </c>
      <c r="E4258" s="1" t="n">
        <v>46307</v>
      </c>
      <c r="F4258" t="inlineStr">
        <is>
          <t>VÄRMLANDS LÄN</t>
        </is>
      </c>
      <c r="G4258" t="inlineStr">
        <is>
          <t>TORSBY</t>
        </is>
      </c>
      <c r="I4258" t="n">
        <v>1</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8952-2024</t>
        </is>
      </c>
      <c r="B4259" t="inlineStr">
        <is>
          <t>avverkningsanmälan</t>
        </is>
      </c>
      <c r="C4259" t="inlineStr">
        <is>
          <t>Föryngringsavverkning</t>
        </is>
      </c>
      <c r="D4259" s="1" t="n">
        <v>45355</v>
      </c>
      <c r="E4259" s="1" t="n">
        <v>46307</v>
      </c>
      <c r="F4259" t="inlineStr">
        <is>
          <t>VÄRMLANDS LÄN</t>
        </is>
      </c>
      <c r="G4259" t="inlineStr">
        <is>
          <t>FORSHAGA</t>
        </is>
      </c>
      <c r="I4259" t="n">
        <v>1</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47025-2025</t>
        </is>
      </c>
      <c r="B4260" t="inlineStr">
        <is>
          <t>avverkningsanmälan</t>
        </is>
      </c>
      <c r="C4260" t="inlineStr">
        <is>
          <t>Föryngringsavverkning</t>
        </is>
      </c>
      <c r="D4260" s="1" t="n">
        <v>45929</v>
      </c>
      <c r="E4260" s="1" t="n">
        <v>46307</v>
      </c>
      <c r="F4260" t="inlineStr">
        <is>
          <t>VÄRMLANDS LÄN</t>
        </is>
      </c>
      <c r="G4260" t="inlineStr">
        <is>
          <t>SUNNE</t>
        </is>
      </c>
      <c r="I4260" t="n">
        <v>2</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72118-2021</t>
        </is>
      </c>
      <c r="B4261" t="inlineStr">
        <is>
          <t>avverkningsanmälan</t>
        </is>
      </c>
      <c r="C4261" t="inlineStr">
        <is>
          <t>Föryngringsavverkning</t>
        </is>
      </c>
      <c r="D4261" s="1" t="n">
        <v>44543</v>
      </c>
      <c r="E4261" s="1" t="n">
        <v>46307</v>
      </c>
      <c r="F4261" t="inlineStr">
        <is>
          <t>VÄRMLANDS LÄN</t>
        </is>
      </c>
      <c r="G4261" t="inlineStr">
        <is>
          <t>FILIPSTAD</t>
        </is>
      </c>
      <c r="I4261" t="n">
        <v>2.3</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43599-2023</t>
        </is>
      </c>
      <c r="B4262" t="inlineStr">
        <is>
          <t>avverkningsanmälan</t>
        </is>
      </c>
      <c r="C4262" t="inlineStr">
        <is>
          <t>Föryngringsavverkning</t>
        </is>
      </c>
      <c r="D4262" s="1" t="n">
        <v>45184</v>
      </c>
      <c r="E4262" s="1" t="n">
        <v>46307</v>
      </c>
      <c r="F4262" t="inlineStr">
        <is>
          <t>VÄRMLANDS LÄN</t>
        </is>
      </c>
      <c r="G4262" t="inlineStr">
        <is>
          <t>TORSBY</t>
        </is>
      </c>
      <c r="I4262" t="n">
        <v>1.6</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33459-2024</t>
        </is>
      </c>
      <c r="B4263" t="inlineStr">
        <is>
          <t>avverkningsanmälan</t>
        </is>
      </c>
      <c r="C4263" t="inlineStr">
        <is>
          <t>Föryngringsavverkning</t>
        </is>
      </c>
      <c r="D4263" s="1" t="n">
        <v>45519</v>
      </c>
      <c r="E4263" s="1" t="n">
        <v>46307</v>
      </c>
      <c r="F4263" t="inlineStr">
        <is>
          <t>VÄRMLANDS LÄN</t>
        </is>
      </c>
      <c r="G4263" t="inlineStr">
        <is>
          <t>SUNNE</t>
        </is>
      </c>
      <c r="H4263" t="inlineStr">
        <is>
          <t>Bergvik skog väst AB</t>
        </is>
      </c>
      <c r="I4263" t="n">
        <v>2.6</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25429-2023</t>
        </is>
      </c>
      <c r="B4264" t="inlineStr">
        <is>
          <t>avverkningsanmälan</t>
        </is>
      </c>
      <c r="C4264" t="inlineStr">
        <is>
          <t>Föryngringsavverkning</t>
        </is>
      </c>
      <c r="D4264" s="1" t="n">
        <v>45089</v>
      </c>
      <c r="E4264" s="1" t="n">
        <v>46307</v>
      </c>
      <c r="F4264" t="inlineStr">
        <is>
          <t>VÄRMLANDS LÄN</t>
        </is>
      </c>
      <c r="G4264" t="inlineStr">
        <is>
          <t>SUNNE</t>
        </is>
      </c>
      <c r="I4264" t="n">
        <v>8</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46921-2025</t>
        </is>
      </c>
      <c r="B4265" t="inlineStr">
        <is>
          <t>avverkningsanmälan</t>
        </is>
      </c>
      <c r="C4265" t="inlineStr">
        <is>
          <t>Föryngringsavverkning</t>
        </is>
      </c>
      <c r="D4265" s="1" t="n">
        <v>45929</v>
      </c>
      <c r="E4265" s="1" t="n">
        <v>46307</v>
      </c>
      <c r="F4265" t="inlineStr">
        <is>
          <t>VÄRMLANDS LÄN</t>
        </is>
      </c>
      <c r="G4265" t="inlineStr">
        <is>
          <t>TORSBY</t>
        </is>
      </c>
      <c r="I4265" t="n">
        <v>7</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61510-2022</t>
        </is>
      </c>
      <c r="B4266" t="inlineStr">
        <is>
          <t>avverkningsanmälan</t>
        </is>
      </c>
      <c r="C4266" t="inlineStr">
        <is>
          <t>Föryngringsavverkning</t>
        </is>
      </c>
      <c r="D4266" s="1" t="n">
        <v>44916</v>
      </c>
      <c r="E4266" s="1" t="n">
        <v>46307</v>
      </c>
      <c r="F4266" t="inlineStr">
        <is>
          <t>VÄRMLANDS LÄN</t>
        </is>
      </c>
      <c r="G4266" t="inlineStr">
        <is>
          <t>TORSBY</t>
        </is>
      </c>
      <c r="I4266" t="n">
        <v>1.9</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46831-2025</t>
        </is>
      </c>
      <c r="B4267" t="inlineStr">
        <is>
          <t>avverkningsanmälan</t>
        </is>
      </c>
      <c r="C4267" t="inlineStr">
        <is>
          <t>Föryngringsavverkning</t>
        </is>
      </c>
      <c r="D4267" s="1" t="n">
        <v>45927</v>
      </c>
      <c r="E4267" s="1" t="n">
        <v>46307</v>
      </c>
      <c r="F4267" t="inlineStr">
        <is>
          <t>VÄRMLANDS LÄN</t>
        </is>
      </c>
      <c r="G4267" t="inlineStr">
        <is>
          <t>HAGFORS</t>
        </is>
      </c>
      <c r="H4267" t="inlineStr">
        <is>
          <t>Bergvik skog väst AB</t>
        </is>
      </c>
      <c r="I4267" t="n">
        <v>6.5</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73324-2021</t>
        </is>
      </c>
      <c r="B4268" t="inlineStr">
        <is>
          <t>avverkningsanmälan</t>
        </is>
      </c>
      <c r="C4268" t="inlineStr">
        <is>
          <t>Föryngringsavverkning</t>
        </is>
      </c>
      <c r="D4268" s="1" t="n">
        <v>44550</v>
      </c>
      <c r="E4268" s="1" t="n">
        <v>46307</v>
      </c>
      <c r="F4268" t="inlineStr">
        <is>
          <t>VÄRMLANDS LÄN</t>
        </is>
      </c>
      <c r="G4268" t="inlineStr">
        <is>
          <t>TORSBY</t>
        </is>
      </c>
      <c r="I4268" t="n">
        <v>9.9</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73355-2021</t>
        </is>
      </c>
      <c r="B4269" t="inlineStr">
        <is>
          <t>avverkningsanmälan</t>
        </is>
      </c>
      <c r="C4269" t="inlineStr">
        <is>
          <t>Föryngringsavverkning</t>
        </is>
      </c>
      <c r="D4269" s="1" t="n">
        <v>44550</v>
      </c>
      <c r="E4269" s="1" t="n">
        <v>46307</v>
      </c>
      <c r="F4269" t="inlineStr">
        <is>
          <t>VÄRMLANDS LÄN</t>
        </is>
      </c>
      <c r="G4269" t="inlineStr">
        <is>
          <t>SÄFFLE</t>
        </is>
      </c>
      <c r="I4269" t="n">
        <v>2.2</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73363-2021</t>
        </is>
      </c>
      <c r="B4270" t="inlineStr">
        <is>
          <t>avverkningsanmälan</t>
        </is>
      </c>
      <c r="C4270" t="inlineStr">
        <is>
          <t>Föryngringsavverkning</t>
        </is>
      </c>
      <c r="D4270" s="1" t="n">
        <v>44550</v>
      </c>
      <c r="E4270" s="1" t="n">
        <v>46307</v>
      </c>
      <c r="F4270" t="inlineStr">
        <is>
          <t>VÄRMLANDS LÄN</t>
        </is>
      </c>
      <c r="G4270" t="inlineStr">
        <is>
          <t>ÅRJÄNG</t>
        </is>
      </c>
      <c r="I4270" t="n">
        <v>11.5</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33224-2023</t>
        </is>
      </c>
      <c r="B4271" t="inlineStr">
        <is>
          <t>avverkningsanmälan</t>
        </is>
      </c>
      <c r="C4271" t="inlineStr">
        <is>
          <t>Föryngringsavverkning</t>
        </is>
      </c>
      <c r="D4271" s="1" t="n">
        <v>45127</v>
      </c>
      <c r="E4271" s="1" t="n">
        <v>46307</v>
      </c>
      <c r="F4271" t="inlineStr">
        <is>
          <t>VÄRMLANDS LÄN</t>
        </is>
      </c>
      <c r="G4271" t="inlineStr">
        <is>
          <t>FORSHAGA</t>
        </is>
      </c>
      <c r="H4271" t="inlineStr">
        <is>
          <t>Kommuner</t>
        </is>
      </c>
      <c r="I4271" t="n">
        <v>1.3</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14605-2024</t>
        </is>
      </c>
      <c r="B4272" t="inlineStr">
        <is>
          <t>avverkningsanmälan</t>
        </is>
      </c>
      <c r="C4272" t="inlineStr">
        <is>
          <t>Föryngringsavverkning</t>
        </is>
      </c>
      <c r="D4272" s="1" t="n">
        <v>45396</v>
      </c>
      <c r="E4272" s="1" t="n">
        <v>46307</v>
      </c>
      <c r="F4272" t="inlineStr">
        <is>
          <t>VÄRMLANDS LÄN</t>
        </is>
      </c>
      <c r="G4272" t="inlineStr">
        <is>
          <t>STORFORS</t>
        </is>
      </c>
      <c r="H4272" t="inlineStr">
        <is>
          <t>Bergvik skog väst AB</t>
        </is>
      </c>
      <c r="I4272" t="n">
        <v>9.6</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54008-2024</t>
        </is>
      </c>
      <c r="B4273" t="inlineStr">
        <is>
          <t>avverkningsanmälan</t>
        </is>
      </c>
      <c r="C4273" t="inlineStr">
        <is>
          <t>Föryngringsavverkning</t>
        </is>
      </c>
      <c r="D4273" s="1" t="n">
        <v>45615</v>
      </c>
      <c r="E4273" s="1" t="n">
        <v>46307</v>
      </c>
      <c r="F4273" t="inlineStr">
        <is>
          <t>VÄRMLANDS LÄN</t>
        </is>
      </c>
      <c r="G4273" t="inlineStr">
        <is>
          <t>HAGFORS</t>
        </is>
      </c>
      <c r="I4273" t="n">
        <v>3.1</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8129-2025</t>
        </is>
      </c>
      <c r="B4274" t="inlineStr">
        <is>
          <t>avverkningsanmälan</t>
        </is>
      </c>
      <c r="C4274" t="inlineStr">
        <is>
          <t>Föryngringsavverkning</t>
        </is>
      </c>
      <c r="D4274" s="1" t="n">
        <v>45707</v>
      </c>
      <c r="E4274" s="1" t="n">
        <v>46307</v>
      </c>
      <c r="F4274" t="inlineStr">
        <is>
          <t>VÄRMLANDS LÄN</t>
        </is>
      </c>
      <c r="G4274" t="inlineStr">
        <is>
          <t>SÄFFLE</t>
        </is>
      </c>
      <c r="I4274" t="n">
        <v>2.2</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9236-2023</t>
        </is>
      </c>
      <c r="B4275" t="inlineStr">
        <is>
          <t>avverkningsanmälan</t>
        </is>
      </c>
      <c r="C4275" t="inlineStr">
        <is>
          <t>Föryngringsavverkning</t>
        </is>
      </c>
      <c r="D4275" s="1" t="n">
        <v>44980</v>
      </c>
      <c r="E4275" s="1" t="n">
        <v>46307</v>
      </c>
      <c r="F4275" t="inlineStr">
        <is>
          <t>VÄRMLANDS LÄN</t>
        </is>
      </c>
      <c r="G4275" t="inlineStr">
        <is>
          <t>ARVIKA</t>
        </is>
      </c>
      <c r="I4275" t="n">
        <v>1.1</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46102-2023</t>
        </is>
      </c>
      <c r="B4276" t="inlineStr">
        <is>
          <t>avverkningsanmälan</t>
        </is>
      </c>
      <c r="C4276" t="inlineStr">
        <is>
          <t>Föryngringsavverkning</t>
        </is>
      </c>
      <c r="D4276" s="1" t="n">
        <v>45196</v>
      </c>
      <c r="E4276" s="1" t="n">
        <v>46307</v>
      </c>
      <c r="F4276" t="inlineStr">
        <is>
          <t>VÄRMLANDS LÄN</t>
        </is>
      </c>
      <c r="G4276" t="inlineStr">
        <is>
          <t>SUNNE</t>
        </is>
      </c>
      <c r="I4276" t="n">
        <v>3.6</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24109-2025</t>
        </is>
      </c>
      <c r="B4277" t="inlineStr">
        <is>
          <t>avverkningsanmälan</t>
        </is>
      </c>
      <c r="C4277" t="inlineStr">
        <is>
          <t>Föryngringsavverkning</t>
        </is>
      </c>
      <c r="D4277" s="1" t="n">
        <v>45796</v>
      </c>
      <c r="E4277" s="1" t="n">
        <v>46307</v>
      </c>
      <c r="F4277" t="inlineStr">
        <is>
          <t>VÄRMLANDS LÄN</t>
        </is>
      </c>
      <c r="G4277" t="inlineStr">
        <is>
          <t>SÄFFLE</t>
        </is>
      </c>
      <c r="I4277" t="n">
        <v>2</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24112-2025</t>
        </is>
      </c>
      <c r="B4278" t="inlineStr">
        <is>
          <t>avverkningsanmälan</t>
        </is>
      </c>
      <c r="C4278" t="inlineStr">
        <is>
          <t>Föryngringsavverkning</t>
        </is>
      </c>
      <c r="D4278" s="1" t="n">
        <v>45796</v>
      </c>
      <c r="E4278" s="1" t="n">
        <v>46307</v>
      </c>
      <c r="F4278" t="inlineStr">
        <is>
          <t>VÄRMLANDS LÄN</t>
        </is>
      </c>
      <c r="G4278" t="inlineStr">
        <is>
          <t>TORSBY</t>
        </is>
      </c>
      <c r="H4278" t="inlineStr">
        <is>
          <t>Bergvik skog väst AB</t>
        </is>
      </c>
      <c r="I4278" t="n">
        <v>3.9</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46935-2025</t>
        </is>
      </c>
      <c r="B4279" t="inlineStr">
        <is>
          <t>avverkningsanmälan</t>
        </is>
      </c>
      <c r="C4279" t="inlineStr">
        <is>
          <t>Föryngringsavverkning</t>
        </is>
      </c>
      <c r="D4279" s="1" t="n">
        <v>45929</v>
      </c>
      <c r="E4279" s="1" t="n">
        <v>46307</v>
      </c>
      <c r="F4279" t="inlineStr">
        <is>
          <t>VÄRMLANDS LÄN</t>
        </is>
      </c>
      <c r="G4279" t="inlineStr">
        <is>
          <t>EDA</t>
        </is>
      </c>
      <c r="I4279" t="n">
        <v>0.7</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70405-2021</t>
        </is>
      </c>
      <c r="B4280" t="inlineStr">
        <is>
          <t>avverkningsanmälan</t>
        </is>
      </c>
      <c r="C4280" t="inlineStr">
        <is>
          <t>Föryngringsavverkning</t>
        </is>
      </c>
      <c r="D4280" s="1" t="n">
        <v>44536</v>
      </c>
      <c r="E4280" s="1" t="n">
        <v>46307</v>
      </c>
      <c r="F4280" t="inlineStr">
        <is>
          <t>VÄRMLANDS LÄN</t>
        </is>
      </c>
      <c r="G4280" t="inlineStr">
        <is>
          <t>FILIPSTAD</t>
        </is>
      </c>
      <c r="H4280" t="inlineStr">
        <is>
          <t>Bergvik skog väst AB</t>
        </is>
      </c>
      <c r="I4280" t="n">
        <v>1.4</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45994-2025</t>
        </is>
      </c>
      <c r="B4281" t="inlineStr">
        <is>
          <t>avverkningsanmälan</t>
        </is>
      </c>
      <c r="C4281" t="inlineStr">
        <is>
          <t>Föryngringsavverkning</t>
        </is>
      </c>
      <c r="D4281" s="1" t="n">
        <v>45924</v>
      </c>
      <c r="E4281" s="1" t="n">
        <v>46307</v>
      </c>
      <c r="F4281" t="inlineStr">
        <is>
          <t>VÄRMLANDS LÄN</t>
        </is>
      </c>
      <c r="G4281" t="inlineStr">
        <is>
          <t>ÅRJÄNG</t>
        </is>
      </c>
      <c r="I4281" t="n">
        <v>4</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46942-2025</t>
        </is>
      </c>
      <c r="B4282" t="inlineStr">
        <is>
          <t>avverkningsanmälan</t>
        </is>
      </c>
      <c r="C4282" t="inlineStr">
        <is>
          <t>Föryngringsavverkning</t>
        </is>
      </c>
      <c r="D4282" s="1" t="n">
        <v>45929</v>
      </c>
      <c r="E4282" s="1" t="n">
        <v>46307</v>
      </c>
      <c r="F4282" t="inlineStr">
        <is>
          <t>VÄRMLANDS LÄN</t>
        </is>
      </c>
      <c r="G4282" t="inlineStr">
        <is>
          <t>ÅRJÄNG</t>
        </is>
      </c>
      <c r="I4282" t="n">
        <v>0.4</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70453-2021</t>
        </is>
      </c>
      <c r="B4283" t="inlineStr">
        <is>
          <t>avverkningsanmälan</t>
        </is>
      </c>
      <c r="C4283" t="inlineStr">
        <is>
          <t>Föryngringsavverkning</t>
        </is>
      </c>
      <c r="D4283" s="1" t="n">
        <v>44536</v>
      </c>
      <c r="E4283" s="1" t="n">
        <v>46307</v>
      </c>
      <c r="F4283" t="inlineStr">
        <is>
          <t>VÄRMLANDS LÄN</t>
        </is>
      </c>
      <c r="G4283" t="inlineStr">
        <is>
          <t>ARVIKA</t>
        </is>
      </c>
      <c r="I4283" t="n">
        <v>1.1</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55950-2024</t>
        </is>
      </c>
      <c r="B4284" t="inlineStr">
        <is>
          <t>avverkningsanmälan</t>
        </is>
      </c>
      <c r="C4284" t="inlineStr">
        <is>
          <t>Föryngringsavverkning</t>
        </is>
      </c>
      <c r="D4284" s="1" t="n">
        <v>45623</v>
      </c>
      <c r="E4284" s="1" t="n">
        <v>46307</v>
      </c>
      <c r="F4284" t="inlineStr">
        <is>
          <t>VÄRMLANDS LÄN</t>
        </is>
      </c>
      <c r="G4284" t="inlineStr">
        <is>
          <t>HAGFORS</t>
        </is>
      </c>
      <c r="H4284" t="inlineStr">
        <is>
          <t>Bergvik skog väst AB</t>
        </is>
      </c>
      <c r="I4284" t="n">
        <v>2.9</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10999-2024</t>
        </is>
      </c>
      <c r="B4285" t="inlineStr">
        <is>
          <t>avverkningsanmälan</t>
        </is>
      </c>
      <c r="C4285" t="inlineStr">
        <is>
          <t>Föryngringsavverkning</t>
        </is>
      </c>
      <c r="D4285" s="1" t="n">
        <v>45370</v>
      </c>
      <c r="E4285" s="1" t="n">
        <v>46307</v>
      </c>
      <c r="F4285" t="inlineStr">
        <is>
          <t>VÄRMLANDS LÄN</t>
        </is>
      </c>
      <c r="G4285" t="inlineStr">
        <is>
          <t>KRISTINEHAMN</t>
        </is>
      </c>
      <c r="I4285" t="n">
        <v>2.2</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47049-2025</t>
        </is>
      </c>
      <c r="B4286" t="inlineStr">
        <is>
          <t>avverkningsanmälan</t>
        </is>
      </c>
      <c r="C4286" t="inlineStr">
        <is>
          <t>Föryngringsavverkning</t>
        </is>
      </c>
      <c r="D4286" s="1" t="n">
        <v>45929</v>
      </c>
      <c r="E4286" s="1" t="n">
        <v>46307</v>
      </c>
      <c r="F4286" t="inlineStr">
        <is>
          <t>VÄRMLANDS LÄN</t>
        </is>
      </c>
      <c r="G4286" t="inlineStr">
        <is>
          <t>TORSBY</t>
        </is>
      </c>
      <c r="I4286" t="n">
        <v>3.1</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24143-2025</t>
        </is>
      </c>
      <c r="B4287" t="inlineStr">
        <is>
          <t>avverkningsanmälan</t>
        </is>
      </c>
      <c r="C4287" t="inlineStr">
        <is>
          <t>Föryngringsavverkning</t>
        </is>
      </c>
      <c r="D4287" s="1" t="n">
        <v>45796</v>
      </c>
      <c r="E4287" s="1" t="n">
        <v>46307</v>
      </c>
      <c r="F4287" t="inlineStr">
        <is>
          <t>VÄRMLANDS LÄN</t>
        </is>
      </c>
      <c r="G4287" t="inlineStr">
        <is>
          <t>FILIPSTAD</t>
        </is>
      </c>
      <c r="I4287" t="n">
        <v>0.7</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74129-2021</t>
        </is>
      </c>
      <c r="B4288" t="inlineStr">
        <is>
          <t>avverkningsanmälan</t>
        </is>
      </c>
      <c r="C4288" t="inlineStr">
        <is>
          <t>Föryngringsavverkning</t>
        </is>
      </c>
      <c r="D4288" s="1" t="n">
        <v>44557</v>
      </c>
      <c r="E4288" s="1" t="n">
        <v>46307</v>
      </c>
      <c r="F4288" t="inlineStr">
        <is>
          <t>VÄRMLANDS LÄN</t>
        </is>
      </c>
      <c r="G4288" t="inlineStr">
        <is>
          <t>ARVIKA</t>
        </is>
      </c>
      <c r="I4288" t="n">
        <v>1.9</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3541-2024</t>
        </is>
      </c>
      <c r="B4289" t="inlineStr">
        <is>
          <t>avverkningsanmälan</t>
        </is>
      </c>
      <c r="C4289" t="inlineStr">
        <is>
          <t>Föryngringsavverkning</t>
        </is>
      </c>
      <c r="D4289" s="1" t="n">
        <v>45320</v>
      </c>
      <c r="E4289" s="1" t="n">
        <v>46307</v>
      </c>
      <c r="F4289" t="inlineStr">
        <is>
          <t>VÄRMLANDS LÄN</t>
        </is>
      </c>
      <c r="G4289" t="inlineStr">
        <is>
          <t>KARLSTAD</t>
        </is>
      </c>
      <c r="I4289" t="n">
        <v>4.2</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5749-2022</t>
        </is>
      </c>
      <c r="B4290" t="inlineStr">
        <is>
          <t>avverkningsanmälan</t>
        </is>
      </c>
      <c r="C4290" t="inlineStr">
        <is>
          <t>Föryngringsavverkning</t>
        </is>
      </c>
      <c r="D4290" s="1" t="n">
        <v>44596</v>
      </c>
      <c r="E4290" s="1" t="n">
        <v>46307</v>
      </c>
      <c r="F4290" t="inlineStr">
        <is>
          <t>VÄRMLANDS LÄN</t>
        </is>
      </c>
      <c r="G4290" t="inlineStr">
        <is>
          <t>HAGFORS</t>
        </is>
      </c>
      <c r="H4290" t="inlineStr">
        <is>
          <t>Bergvik skog väst AB</t>
        </is>
      </c>
      <c r="I4290" t="n">
        <v>6.1</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5754-2022</t>
        </is>
      </c>
      <c r="B4291" t="inlineStr">
        <is>
          <t>avverkningsanmälan</t>
        </is>
      </c>
      <c r="C4291" t="inlineStr">
        <is>
          <t>Föryngringsavverkning</t>
        </is>
      </c>
      <c r="D4291" s="1" t="n">
        <v>44596</v>
      </c>
      <c r="E4291" s="1" t="n">
        <v>46307</v>
      </c>
      <c r="F4291" t="inlineStr">
        <is>
          <t>VÄRMLANDS LÄN</t>
        </is>
      </c>
      <c r="G4291" t="inlineStr">
        <is>
          <t>FILIPSTAD</t>
        </is>
      </c>
      <c r="I4291" t="n">
        <v>1.8</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4200-2024</t>
        </is>
      </c>
      <c r="B4292" t="inlineStr">
        <is>
          <t>avverkningsanmälan</t>
        </is>
      </c>
      <c r="C4292" t="inlineStr">
        <is>
          <t>Föryngringsavverkning</t>
        </is>
      </c>
      <c r="D4292" s="1" t="n">
        <v>45324</v>
      </c>
      <c r="E4292" s="1" t="n">
        <v>46307</v>
      </c>
      <c r="F4292" t="inlineStr">
        <is>
          <t>VÄRMLANDS LÄN</t>
        </is>
      </c>
      <c r="G4292" t="inlineStr">
        <is>
          <t>SUNNE</t>
        </is>
      </c>
      <c r="I4292" t="n">
        <v>2.6</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12426-2024</t>
        </is>
      </c>
      <c r="B4293" t="inlineStr">
        <is>
          <t>avverkningsanmälan</t>
        </is>
      </c>
      <c r="C4293" t="inlineStr">
        <is>
          <t>Avverkning för annat ändamål</t>
        </is>
      </c>
      <c r="D4293" s="1" t="n">
        <v>45379</v>
      </c>
      <c r="E4293" s="1" t="n">
        <v>46307</v>
      </c>
      <c r="F4293" t="inlineStr">
        <is>
          <t>VÄRMLANDS LÄN</t>
        </is>
      </c>
      <c r="G4293" t="inlineStr">
        <is>
          <t>HAGFORS</t>
        </is>
      </c>
      <c r="I4293" t="n">
        <v>0.1</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12467-2024</t>
        </is>
      </c>
      <c r="B4294" t="inlineStr">
        <is>
          <t>avverkningsanmälan</t>
        </is>
      </c>
      <c r="C4294" t="inlineStr">
        <is>
          <t>Föryngringsavverkning</t>
        </is>
      </c>
      <c r="D4294" s="1" t="n">
        <v>45379</v>
      </c>
      <c r="E4294" s="1" t="n">
        <v>46307</v>
      </c>
      <c r="F4294" t="inlineStr">
        <is>
          <t>VÄRMLANDS LÄN</t>
        </is>
      </c>
      <c r="G4294" t="inlineStr">
        <is>
          <t>KRISTINEHAMN</t>
        </is>
      </c>
      <c r="I4294" t="n">
        <v>0.6</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60737-2022</t>
        </is>
      </c>
      <c r="B4295" t="inlineStr">
        <is>
          <t>avverkningsanmälan</t>
        </is>
      </c>
      <c r="C4295" t="inlineStr">
        <is>
          <t>Föryngringsavverkning</t>
        </is>
      </c>
      <c r="D4295" s="1" t="n">
        <v>44913</v>
      </c>
      <c r="E4295" s="1" t="n">
        <v>46307</v>
      </c>
      <c r="F4295" t="inlineStr">
        <is>
          <t>VÄRMLANDS LÄN</t>
        </is>
      </c>
      <c r="G4295" t="inlineStr">
        <is>
          <t>TORSBY</t>
        </is>
      </c>
      <c r="I4295" t="n">
        <v>1.9</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58064-2024</t>
        </is>
      </c>
      <c r="B4296" t="inlineStr">
        <is>
          <t>avverkningsanmälan</t>
        </is>
      </c>
      <c r="C4296" t="inlineStr">
        <is>
          <t>Föryngringsavverkning</t>
        </is>
      </c>
      <c r="D4296" s="1" t="n">
        <v>45631</v>
      </c>
      <c r="E4296" s="1" t="n">
        <v>46307</v>
      </c>
      <c r="F4296" t="inlineStr">
        <is>
          <t>VÄRMLANDS LÄN</t>
        </is>
      </c>
      <c r="G4296" t="inlineStr">
        <is>
          <t>ARVIKA</t>
        </is>
      </c>
      <c r="I4296" t="n">
        <v>4</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20978-2023</t>
        </is>
      </c>
      <c r="B4297" t="inlineStr">
        <is>
          <t>avverkningsanmälan</t>
        </is>
      </c>
      <c r="C4297" t="inlineStr">
        <is>
          <t>Föryngringsavverkning</t>
        </is>
      </c>
      <c r="D4297" s="1" t="n">
        <v>45061</v>
      </c>
      <c r="E4297" s="1" t="n">
        <v>46307</v>
      </c>
      <c r="F4297" t="inlineStr">
        <is>
          <t>VÄRMLANDS LÄN</t>
        </is>
      </c>
      <c r="G4297" t="inlineStr">
        <is>
          <t>SUNNE</t>
        </is>
      </c>
      <c r="I4297" t="n">
        <v>0.6</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41501-2024</t>
        </is>
      </c>
      <c r="B4298" t="inlineStr">
        <is>
          <t>avverkningsanmälan</t>
        </is>
      </c>
      <c r="C4298" t="inlineStr">
        <is>
          <t>Föryngringsavverkning</t>
        </is>
      </c>
      <c r="D4298" s="1" t="n">
        <v>45560</v>
      </c>
      <c r="E4298" s="1" t="n">
        <v>46307</v>
      </c>
      <c r="F4298" t="inlineStr">
        <is>
          <t>VÄRMLANDS LÄN</t>
        </is>
      </c>
      <c r="G4298" t="inlineStr">
        <is>
          <t>TORSBY</t>
        </is>
      </c>
      <c r="I4298" t="n">
        <v>7.5</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46927-2025</t>
        </is>
      </c>
      <c r="B4299" t="inlineStr">
        <is>
          <t>avverkningsanmälan</t>
        </is>
      </c>
      <c r="C4299" t="inlineStr">
        <is>
          <t>Föryngringsavverkning</t>
        </is>
      </c>
      <c r="D4299" s="1" t="n">
        <v>45929</v>
      </c>
      <c r="E4299" s="1" t="n">
        <v>46307</v>
      </c>
      <c r="F4299" t="inlineStr">
        <is>
          <t>VÄRMLANDS LÄN</t>
        </is>
      </c>
      <c r="G4299" t="inlineStr">
        <is>
          <t>EDA</t>
        </is>
      </c>
      <c r="I4299" t="n">
        <v>1.7</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21866-2024</t>
        </is>
      </c>
      <c r="B4300" t="inlineStr">
        <is>
          <t>avverkningsanmälan</t>
        </is>
      </c>
      <c r="C4300" t="inlineStr">
        <is>
          <t>Föryngringsavverkning</t>
        </is>
      </c>
      <c r="D4300" s="1" t="n">
        <v>45443</v>
      </c>
      <c r="E4300" s="1" t="n">
        <v>46307</v>
      </c>
      <c r="F4300" t="inlineStr">
        <is>
          <t>VÄRMLANDS LÄN</t>
        </is>
      </c>
      <c r="G4300" t="inlineStr">
        <is>
          <t>ARVIKA</t>
        </is>
      </c>
      <c r="I4300" t="n">
        <v>1.5</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55730-2024</t>
        </is>
      </c>
      <c r="B4301" t="inlineStr">
        <is>
          <t>avverkningsanmälan</t>
        </is>
      </c>
      <c r="C4301" t="inlineStr">
        <is>
          <t>Avverkning för annat ändamål</t>
        </is>
      </c>
      <c r="D4301" s="1" t="n">
        <v>45622</v>
      </c>
      <c r="E4301" s="1" t="n">
        <v>46307</v>
      </c>
      <c r="F4301" t="inlineStr">
        <is>
          <t>VÄRMLANDS LÄN</t>
        </is>
      </c>
      <c r="G4301" t="inlineStr">
        <is>
          <t>ARVIKA</t>
        </is>
      </c>
      <c r="I4301" t="n">
        <v>3</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3721-2025</t>
        </is>
      </c>
      <c r="B4302" t="inlineStr">
        <is>
          <t>avverkningsanmälan</t>
        </is>
      </c>
      <c r="C4302" t="inlineStr">
        <is>
          <t>Föryngringsavverkning</t>
        </is>
      </c>
      <c r="D4302" s="1" t="n">
        <v>45681</v>
      </c>
      <c r="E4302" s="1" t="n">
        <v>46307</v>
      </c>
      <c r="F4302" t="inlineStr">
        <is>
          <t>VÄRMLANDS LÄN</t>
        </is>
      </c>
      <c r="G4302" t="inlineStr">
        <is>
          <t>STORFORS</t>
        </is>
      </c>
      <c r="I4302" t="n">
        <v>0.4</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17443-2025</t>
        </is>
      </c>
      <c r="B4303" t="inlineStr">
        <is>
          <t>avverkningsanmälan</t>
        </is>
      </c>
      <c r="C4303" t="inlineStr">
        <is>
          <t>Föryngringsavverkning</t>
        </is>
      </c>
      <c r="D4303" s="1" t="n">
        <v>45757</v>
      </c>
      <c r="E4303" s="1" t="n">
        <v>46307</v>
      </c>
      <c r="F4303" t="inlineStr">
        <is>
          <t>VÄRMLANDS LÄN</t>
        </is>
      </c>
      <c r="G4303" t="inlineStr">
        <is>
          <t>GRUMS</t>
        </is>
      </c>
      <c r="I4303" t="n">
        <v>1</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47007-2025</t>
        </is>
      </c>
      <c r="B4304" t="inlineStr">
        <is>
          <t>avverkningsanmälan</t>
        </is>
      </c>
      <c r="C4304" t="inlineStr">
        <is>
          <t>Föryngringsavverkning</t>
        </is>
      </c>
      <c r="D4304" s="1" t="n">
        <v>45929</v>
      </c>
      <c r="E4304" s="1" t="n">
        <v>46307</v>
      </c>
      <c r="F4304" t="inlineStr">
        <is>
          <t>VÄRMLANDS LÄN</t>
        </is>
      </c>
      <c r="G4304" t="inlineStr">
        <is>
          <t>ÅRJÄNG</t>
        </is>
      </c>
      <c r="I4304" t="n">
        <v>0.5</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15396-2025</t>
        </is>
      </c>
      <c r="B4305" t="inlineStr">
        <is>
          <t>avverkningsanmälan</t>
        </is>
      </c>
      <c r="C4305" t="inlineStr">
        <is>
          <t>Föryngringsavverkning</t>
        </is>
      </c>
      <c r="D4305" s="1" t="n">
        <v>45747</v>
      </c>
      <c r="E4305" s="1" t="n">
        <v>46307</v>
      </c>
      <c r="F4305" t="inlineStr">
        <is>
          <t>VÄRMLANDS LÄN</t>
        </is>
      </c>
      <c r="G4305" t="inlineStr">
        <is>
          <t>FILIPSTAD</t>
        </is>
      </c>
      <c r="I4305" t="n">
        <v>1.5</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2278-2022</t>
        </is>
      </c>
      <c r="B4306" t="inlineStr">
        <is>
          <t>avverkningsanmälan</t>
        </is>
      </c>
      <c r="C4306" t="inlineStr">
        <is>
          <t>Föryngringsavverkning</t>
        </is>
      </c>
      <c r="D4306" s="1" t="n">
        <v>44578</v>
      </c>
      <c r="E4306" s="1" t="n">
        <v>46307</v>
      </c>
      <c r="F4306" t="inlineStr">
        <is>
          <t>VÄRMLANDS LÄN</t>
        </is>
      </c>
      <c r="G4306" t="inlineStr">
        <is>
          <t>FORSHAGA</t>
        </is>
      </c>
      <c r="H4306" t="inlineStr">
        <is>
          <t>Bergvik skog väst AB</t>
        </is>
      </c>
      <c r="I4306" t="n">
        <v>3.2</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55485-2023</t>
        </is>
      </c>
      <c r="B4307" t="inlineStr">
        <is>
          <t>avverkningsanmälan</t>
        </is>
      </c>
      <c r="C4307" t="inlineStr">
        <is>
          <t>Föryngringsavverkning</t>
        </is>
      </c>
      <c r="D4307" s="1" t="n">
        <v>45238</v>
      </c>
      <c r="E4307" s="1" t="n">
        <v>46307</v>
      </c>
      <c r="F4307" t="inlineStr">
        <is>
          <t>VÄRMLANDS LÄN</t>
        </is>
      </c>
      <c r="G4307" t="inlineStr">
        <is>
          <t>TORSBY</t>
        </is>
      </c>
      <c r="I4307" t="n">
        <v>1.3</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45401-2024</t>
        </is>
      </c>
      <c r="B4308" t="inlineStr">
        <is>
          <t>avverkningsanmälan</t>
        </is>
      </c>
      <c r="C4308" t="inlineStr">
        <is>
          <t>Föryngringsavverkning</t>
        </is>
      </c>
      <c r="D4308" s="1" t="n">
        <v>45576</v>
      </c>
      <c r="E4308" s="1" t="n">
        <v>46307</v>
      </c>
      <c r="F4308" t="inlineStr">
        <is>
          <t>VÄRMLANDS LÄN</t>
        </is>
      </c>
      <c r="G4308" t="inlineStr">
        <is>
          <t>EDA</t>
        </is>
      </c>
      <c r="I4308" t="n">
        <v>0.9</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22935-2023</t>
        </is>
      </c>
      <c r="B4309" t="inlineStr">
        <is>
          <t>avverkningsanmälan</t>
        </is>
      </c>
      <c r="C4309" t="inlineStr">
        <is>
          <t>Föryngringsavverkning</t>
        </is>
      </c>
      <c r="D4309" s="1" t="n">
        <v>45072</v>
      </c>
      <c r="E4309" s="1" t="n">
        <v>46307</v>
      </c>
      <c r="F4309" t="inlineStr">
        <is>
          <t>VÄRMLANDS LÄN</t>
        </is>
      </c>
      <c r="G4309" t="inlineStr">
        <is>
          <t>STORFORS</t>
        </is>
      </c>
      <c r="I4309" t="n">
        <v>0.6</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8911-2025</t>
        </is>
      </c>
      <c r="B4310" t="inlineStr">
        <is>
          <t>avverkningsanmälan</t>
        </is>
      </c>
      <c r="C4310" t="inlineStr">
        <is>
          <t>Föryngringsavverkning</t>
        </is>
      </c>
      <c r="D4310" s="1" t="n">
        <v>45713</v>
      </c>
      <c r="E4310" s="1" t="n">
        <v>46307</v>
      </c>
      <c r="F4310" t="inlineStr">
        <is>
          <t>VÄRMLANDS LÄN</t>
        </is>
      </c>
      <c r="G4310" t="inlineStr">
        <is>
          <t>KIL</t>
        </is>
      </c>
      <c r="I4310" t="n">
        <v>2.4</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25208-2023</t>
        </is>
      </c>
      <c r="B4311" t="inlineStr">
        <is>
          <t>avverkningsanmälan</t>
        </is>
      </c>
      <c r="C4311" t="inlineStr">
        <is>
          <t>Föryngringsavverkning</t>
        </is>
      </c>
      <c r="D4311" s="1" t="n">
        <v>45086</v>
      </c>
      <c r="E4311" s="1" t="n">
        <v>46307</v>
      </c>
      <c r="F4311" t="inlineStr">
        <is>
          <t>VÄRMLANDS LÄN</t>
        </is>
      </c>
      <c r="G4311" t="inlineStr">
        <is>
          <t>SUNNE</t>
        </is>
      </c>
      <c r="I4311" t="n">
        <v>0.7</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11505-2024</t>
        </is>
      </c>
      <c r="B4312" t="inlineStr">
        <is>
          <t>avverkningsanmälan</t>
        </is>
      </c>
      <c r="C4312" t="inlineStr">
        <is>
          <t>Avverkning för annat ändamål</t>
        </is>
      </c>
      <c r="D4312" s="1" t="n">
        <v>45372</v>
      </c>
      <c r="E4312" s="1" t="n">
        <v>46307</v>
      </c>
      <c r="F4312" t="inlineStr">
        <is>
          <t>VÄRMLANDS LÄN</t>
        </is>
      </c>
      <c r="G4312" t="inlineStr">
        <is>
          <t>SUNNE</t>
        </is>
      </c>
      <c r="I4312" t="n">
        <v>0.2</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47112-2025</t>
        </is>
      </c>
      <c r="B4313" t="inlineStr">
        <is>
          <t>avverkningsanmälan</t>
        </is>
      </c>
      <c r="C4313" t="inlineStr">
        <is>
          <t>Föryngringsavverkning</t>
        </is>
      </c>
      <c r="D4313" s="1" t="n">
        <v>45929</v>
      </c>
      <c r="E4313" s="1" t="n">
        <v>46307</v>
      </c>
      <c r="F4313" t="inlineStr">
        <is>
          <t>VÄRMLANDS LÄN</t>
        </is>
      </c>
      <c r="G4313" t="inlineStr">
        <is>
          <t>ÅRJÄNG</t>
        </is>
      </c>
      <c r="I4313" t="n">
        <v>0.8</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47133-2025</t>
        </is>
      </c>
      <c r="B4314" t="inlineStr">
        <is>
          <t>avverkningsanmälan</t>
        </is>
      </c>
      <c r="C4314" t="inlineStr">
        <is>
          <t>Föryngringsavverkning</t>
        </is>
      </c>
      <c r="D4314" s="1" t="n">
        <v>45929</v>
      </c>
      <c r="E4314" s="1" t="n">
        <v>46307</v>
      </c>
      <c r="F4314" t="inlineStr">
        <is>
          <t>VÄRMLANDS LÄN</t>
        </is>
      </c>
      <c r="G4314" t="inlineStr">
        <is>
          <t>SUNNE</t>
        </is>
      </c>
      <c r="I4314" t="n">
        <v>0.6</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46889-2025</t>
        </is>
      </c>
      <c r="B4315" t="inlineStr">
        <is>
          <t>avverkningsanmälan</t>
        </is>
      </c>
      <c r="C4315" t="inlineStr">
        <is>
          <t>Föryngringsavverkning</t>
        </is>
      </c>
      <c r="D4315" s="1" t="n">
        <v>45929</v>
      </c>
      <c r="E4315" s="1" t="n">
        <v>46307</v>
      </c>
      <c r="F4315" t="inlineStr">
        <is>
          <t>VÄRMLANDS LÄN</t>
        </is>
      </c>
      <c r="G4315" t="inlineStr">
        <is>
          <t>ARVIKA</t>
        </is>
      </c>
      <c r="H4315" t="inlineStr">
        <is>
          <t>Bergvik skog väst AB</t>
        </is>
      </c>
      <c r="I4315" t="n">
        <v>10</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46838-2025</t>
        </is>
      </c>
      <c r="B4316" t="inlineStr">
        <is>
          <t>avverkningsanmälan</t>
        </is>
      </c>
      <c r="C4316" t="inlineStr">
        <is>
          <t>Föryngringsavverkning</t>
        </is>
      </c>
      <c r="D4316" s="1" t="n">
        <v>45928</v>
      </c>
      <c r="E4316" s="1" t="n">
        <v>46307</v>
      </c>
      <c r="F4316" t="inlineStr">
        <is>
          <t>VÄRMLANDS LÄN</t>
        </is>
      </c>
      <c r="G4316" t="inlineStr">
        <is>
          <t>HAGFORS</t>
        </is>
      </c>
      <c r="H4316" t="inlineStr">
        <is>
          <t>Bergvik skog väst AB</t>
        </is>
      </c>
      <c r="I4316" t="n">
        <v>13.8</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47273-2024</t>
        </is>
      </c>
      <c r="B4317" t="inlineStr">
        <is>
          <t>avverkningsanmälan</t>
        </is>
      </c>
      <c r="C4317" t="inlineStr">
        <is>
          <t>Föryngringsavverkning</t>
        </is>
      </c>
      <c r="D4317" s="1" t="n">
        <v>45586</v>
      </c>
      <c r="E4317" s="1" t="n">
        <v>46307</v>
      </c>
      <c r="F4317" t="inlineStr">
        <is>
          <t>VÄRMLANDS LÄN</t>
        </is>
      </c>
      <c r="G4317" t="inlineStr">
        <is>
          <t>SUNNE</t>
        </is>
      </c>
      <c r="I4317" t="n">
        <v>0.5</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392-2025</t>
        </is>
      </c>
      <c r="B4318" t="inlineStr">
        <is>
          <t>avverkningsanmälan</t>
        </is>
      </c>
      <c r="C4318" t="inlineStr">
        <is>
          <t>Föryngringsavverkning</t>
        </is>
      </c>
      <c r="D4318" s="1" t="n">
        <v>45663</v>
      </c>
      <c r="E4318" s="1" t="n">
        <v>46307</v>
      </c>
      <c r="F4318" t="inlineStr">
        <is>
          <t>VÄRMLANDS LÄN</t>
        </is>
      </c>
      <c r="G4318" t="inlineStr">
        <is>
          <t>TORSBY</t>
        </is>
      </c>
      <c r="I4318" t="n">
        <v>3.5</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23674-2025</t>
        </is>
      </c>
      <c r="B4319" t="inlineStr">
        <is>
          <t>avverkningsanmälan</t>
        </is>
      </c>
      <c r="C4319" t="inlineStr">
        <is>
          <t>Föryngringsavverkning</t>
        </is>
      </c>
      <c r="D4319" s="1" t="n">
        <v>45793</v>
      </c>
      <c r="E4319" s="1" t="n">
        <v>46307</v>
      </c>
      <c r="F4319" t="inlineStr">
        <is>
          <t>VÄRMLANDS LÄN</t>
        </is>
      </c>
      <c r="G4319" t="inlineStr">
        <is>
          <t>HAGFORS</t>
        </is>
      </c>
      <c r="I4319" t="n">
        <v>3.5</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50130-2023</t>
        </is>
      </c>
      <c r="B4320" t="inlineStr">
        <is>
          <t>avverkningsanmälan</t>
        </is>
      </c>
      <c r="C4320" t="inlineStr">
        <is>
          <t>Föryngringsavverkning</t>
        </is>
      </c>
      <c r="D4320" s="1" t="n">
        <v>45215</v>
      </c>
      <c r="E4320" s="1" t="n">
        <v>46307</v>
      </c>
      <c r="F4320" t="inlineStr">
        <is>
          <t>VÄRMLANDS LÄN</t>
        </is>
      </c>
      <c r="G4320" t="inlineStr">
        <is>
          <t>SUNNE</t>
        </is>
      </c>
      <c r="I4320" t="n">
        <v>1.7</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1783-2022</t>
        </is>
      </c>
      <c r="B4321" t="inlineStr">
        <is>
          <t>avverkningsanmälan</t>
        </is>
      </c>
      <c r="C4321" t="inlineStr">
        <is>
          <t>Föryngringsavverkning</t>
        </is>
      </c>
      <c r="D4321" s="1" t="n">
        <v>44574</v>
      </c>
      <c r="E4321" s="1" t="n">
        <v>46307</v>
      </c>
      <c r="F4321" t="inlineStr">
        <is>
          <t>VÄRMLANDS LÄN</t>
        </is>
      </c>
      <c r="G4321" t="inlineStr">
        <is>
          <t>SÄFFLE</t>
        </is>
      </c>
      <c r="I4321" t="n">
        <v>1.4</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23267-2024</t>
        </is>
      </c>
      <c r="B4322" t="inlineStr">
        <is>
          <t>avverkningsanmälan</t>
        </is>
      </c>
      <c r="C4322" t="inlineStr">
        <is>
          <t>Föryngringsavverkning</t>
        </is>
      </c>
      <c r="D4322" s="1" t="n">
        <v>45453</v>
      </c>
      <c r="E4322" s="1" t="n">
        <v>46307</v>
      </c>
      <c r="F4322" t="inlineStr">
        <is>
          <t>VÄRMLANDS LÄN</t>
        </is>
      </c>
      <c r="G4322" t="inlineStr">
        <is>
          <t>ARVIKA</t>
        </is>
      </c>
      <c r="I4322" t="n">
        <v>1.4</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22705-2023</t>
        </is>
      </c>
      <c r="B4323" t="inlineStr">
        <is>
          <t>avverkningsanmälan</t>
        </is>
      </c>
      <c r="C4323" t="inlineStr">
        <is>
          <t>Föryngringsavverkning</t>
        </is>
      </c>
      <c r="D4323" s="1" t="n">
        <v>45071</v>
      </c>
      <c r="E4323" s="1" t="n">
        <v>46307</v>
      </c>
      <c r="F4323" t="inlineStr">
        <is>
          <t>VÄRMLANDS LÄN</t>
        </is>
      </c>
      <c r="G4323" t="inlineStr">
        <is>
          <t>TORSBY</t>
        </is>
      </c>
      <c r="I4323" t="n">
        <v>0.6</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37122-2022</t>
        </is>
      </c>
      <c r="B4324" t="inlineStr">
        <is>
          <t>avverkningsanmälan</t>
        </is>
      </c>
      <c r="C4324" t="inlineStr">
        <is>
          <t>Föryngringsavverkning</t>
        </is>
      </c>
      <c r="D4324" s="1" t="n">
        <v>44806</v>
      </c>
      <c r="E4324" s="1" t="n">
        <v>46307</v>
      </c>
      <c r="F4324" t="inlineStr">
        <is>
          <t>VÄRMLANDS LÄN</t>
        </is>
      </c>
      <c r="G4324" t="inlineStr">
        <is>
          <t>ÅRJÄNG</t>
        </is>
      </c>
      <c r="I4324" t="n">
        <v>2.3</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62557-2022</t>
        </is>
      </c>
      <c r="B4325" t="inlineStr">
        <is>
          <t>avverkningsanmälan</t>
        </is>
      </c>
      <c r="C4325" t="inlineStr">
        <is>
          <t>Föryngringsavverkning</t>
        </is>
      </c>
      <c r="D4325" s="1" t="n">
        <v>44924</v>
      </c>
      <c r="E4325" s="1" t="n">
        <v>46307</v>
      </c>
      <c r="F4325" t="inlineStr">
        <is>
          <t>VÄRMLANDS LÄN</t>
        </is>
      </c>
      <c r="G4325" t="inlineStr">
        <is>
          <t>GRUMS</t>
        </is>
      </c>
      <c r="I4325" t="n">
        <v>0.8</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47741-2025</t>
        </is>
      </c>
      <c r="B4326" t="inlineStr">
        <is>
          <t>avverkningsanmälan</t>
        </is>
      </c>
      <c r="C4326" t="inlineStr">
        <is>
          <t>Föryngringsavverkning</t>
        </is>
      </c>
      <c r="D4326" s="1" t="n">
        <v>45931</v>
      </c>
      <c r="E4326" s="1" t="n">
        <v>46307</v>
      </c>
      <c r="F4326" t="inlineStr">
        <is>
          <t>VÄRMLANDS LÄN</t>
        </is>
      </c>
      <c r="G4326" t="inlineStr">
        <is>
          <t>ARVIKA</t>
        </is>
      </c>
      <c r="I4326" t="n">
        <v>1</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47836-2025</t>
        </is>
      </c>
      <c r="B4327" t="inlineStr">
        <is>
          <t>avverkningsanmälan</t>
        </is>
      </c>
      <c r="C4327" t="inlineStr">
        <is>
          <t>Föryngringsavverkning</t>
        </is>
      </c>
      <c r="D4327" s="1" t="n">
        <v>45931</v>
      </c>
      <c r="E4327" s="1" t="n">
        <v>46307</v>
      </c>
      <c r="F4327" t="inlineStr">
        <is>
          <t>VÄRMLANDS LÄN</t>
        </is>
      </c>
      <c r="G4327" t="inlineStr">
        <is>
          <t>SÄFFLE</t>
        </is>
      </c>
      <c r="I4327" t="n">
        <v>2.1</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47798-2025</t>
        </is>
      </c>
      <c r="B4328" t="inlineStr">
        <is>
          <t>avverkningsanmälan</t>
        </is>
      </c>
      <c r="C4328" t="inlineStr">
        <is>
          <t>Föryngringsavverkning</t>
        </is>
      </c>
      <c r="D4328" s="1" t="n">
        <v>45931</v>
      </c>
      <c r="E4328" s="1" t="n">
        <v>46307</v>
      </c>
      <c r="F4328" t="inlineStr">
        <is>
          <t>VÄRMLANDS LÄN</t>
        </is>
      </c>
      <c r="G4328" t="inlineStr">
        <is>
          <t>KIL</t>
        </is>
      </c>
      <c r="I4328" t="n">
        <v>0.4</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47804-2025</t>
        </is>
      </c>
      <c r="B4329" t="inlineStr">
        <is>
          <t>avverkningsanmälan</t>
        </is>
      </c>
      <c r="C4329" t="inlineStr">
        <is>
          <t>Föryngringsavverkning</t>
        </is>
      </c>
      <c r="D4329" s="1" t="n">
        <v>45931</v>
      </c>
      <c r="E4329" s="1" t="n">
        <v>46307</v>
      </c>
      <c r="F4329" t="inlineStr">
        <is>
          <t>VÄRMLANDS LÄN</t>
        </is>
      </c>
      <c r="G4329" t="inlineStr">
        <is>
          <t>KIL</t>
        </is>
      </c>
      <c r="I4329" t="n">
        <v>0.3</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53353-2024</t>
        </is>
      </c>
      <c r="B4330" t="inlineStr">
        <is>
          <t>avverkningsanmälan</t>
        </is>
      </c>
      <c r="C4330" t="inlineStr">
        <is>
          <t>Föryngringsavverkning</t>
        </is>
      </c>
      <c r="D4330" s="1" t="n">
        <v>45614</v>
      </c>
      <c r="E4330" s="1" t="n">
        <v>46307</v>
      </c>
      <c r="F4330" t="inlineStr">
        <is>
          <t>VÄRMLANDS LÄN</t>
        </is>
      </c>
      <c r="G4330" t="inlineStr">
        <is>
          <t>STORFORS</t>
        </is>
      </c>
      <c r="I4330" t="n">
        <v>0.5</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3760-2023</t>
        </is>
      </c>
      <c r="B4331" t="inlineStr">
        <is>
          <t>avverkningsanmälan</t>
        </is>
      </c>
      <c r="C4331" t="inlineStr">
        <is>
          <t>Föryngringsavverkning</t>
        </is>
      </c>
      <c r="D4331" s="1" t="n">
        <v>44951</v>
      </c>
      <c r="E4331" s="1" t="n">
        <v>46307</v>
      </c>
      <c r="F4331" t="inlineStr">
        <is>
          <t>VÄRMLANDS LÄN</t>
        </is>
      </c>
      <c r="G4331" t="inlineStr">
        <is>
          <t>ARVIKA</t>
        </is>
      </c>
      <c r="I4331" t="n">
        <v>1.9</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37985-2022</t>
        </is>
      </c>
      <c r="B4332" t="inlineStr">
        <is>
          <t>avverkningsanmälan</t>
        </is>
      </c>
      <c r="C4332" t="inlineStr">
        <is>
          <t>Föryngringsavverkning</t>
        </is>
      </c>
      <c r="D4332" s="1" t="n">
        <v>44811</v>
      </c>
      <c r="E4332" s="1" t="n">
        <v>46307</v>
      </c>
      <c r="F4332" t="inlineStr">
        <is>
          <t>VÄRMLANDS LÄN</t>
        </is>
      </c>
      <c r="G4332" t="inlineStr">
        <is>
          <t>TORSBY</t>
        </is>
      </c>
      <c r="I4332" t="n">
        <v>0.7</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40349-2024</t>
        </is>
      </c>
      <c r="B4333" t="inlineStr">
        <is>
          <t>avverkningsanmälan</t>
        </is>
      </c>
      <c r="C4333" t="inlineStr">
        <is>
          <t>Föryngringsavverkning</t>
        </is>
      </c>
      <c r="D4333" s="1" t="n">
        <v>45555</v>
      </c>
      <c r="E4333" s="1" t="n">
        <v>46307</v>
      </c>
      <c r="F4333" t="inlineStr">
        <is>
          <t>VÄRMLANDS LÄN</t>
        </is>
      </c>
      <c r="G4333" t="inlineStr">
        <is>
          <t>ÅRJÄNG</t>
        </is>
      </c>
      <c r="I4333" t="n">
        <v>0.6</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53358-2024</t>
        </is>
      </c>
      <c r="B4334" t="inlineStr">
        <is>
          <t>avverkningsanmälan</t>
        </is>
      </c>
      <c r="C4334" t="inlineStr">
        <is>
          <t>Avverkning för annat ändamål</t>
        </is>
      </c>
      <c r="D4334" s="1" t="n">
        <v>45614</v>
      </c>
      <c r="E4334" s="1" t="n">
        <v>46307</v>
      </c>
      <c r="F4334" t="inlineStr">
        <is>
          <t>VÄRMLANDS LÄN</t>
        </is>
      </c>
      <c r="G4334" t="inlineStr">
        <is>
          <t>TORSBY</t>
        </is>
      </c>
      <c r="I4334" t="n">
        <v>0.3</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53369-2024</t>
        </is>
      </c>
      <c r="B4335" t="inlineStr">
        <is>
          <t>avverkningsanmälan</t>
        </is>
      </c>
      <c r="C4335" t="inlineStr">
        <is>
          <t>Föryngringsavverkning</t>
        </is>
      </c>
      <c r="D4335" s="1" t="n">
        <v>45614</v>
      </c>
      <c r="E4335" s="1" t="n">
        <v>46307</v>
      </c>
      <c r="F4335" t="inlineStr">
        <is>
          <t>VÄRMLANDS LÄN</t>
        </is>
      </c>
      <c r="G4335" t="inlineStr">
        <is>
          <t>HAMMARÖ</t>
        </is>
      </c>
      <c r="I4335" t="n">
        <v>3.4</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8054-2022</t>
        </is>
      </c>
      <c r="B4336" t="inlineStr">
        <is>
          <t>avverkningsanmälan</t>
        </is>
      </c>
      <c r="C4336" t="inlineStr">
        <is>
          <t>Föryngringsavverkning</t>
        </is>
      </c>
      <c r="D4336" s="1" t="n">
        <v>44609</v>
      </c>
      <c r="E4336" s="1" t="n">
        <v>46307</v>
      </c>
      <c r="F4336" t="inlineStr">
        <is>
          <t>VÄRMLANDS LÄN</t>
        </is>
      </c>
      <c r="G4336" t="inlineStr">
        <is>
          <t>TORSBY</t>
        </is>
      </c>
      <c r="I4336" t="n">
        <v>1</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53401-2024</t>
        </is>
      </c>
      <c r="B4337" t="inlineStr">
        <is>
          <t>avverkningsanmälan</t>
        </is>
      </c>
      <c r="C4337" t="inlineStr">
        <is>
          <t>Föryngringsavverkning</t>
        </is>
      </c>
      <c r="D4337" s="1" t="n">
        <v>45614</v>
      </c>
      <c r="E4337" s="1" t="n">
        <v>46307</v>
      </c>
      <c r="F4337" t="inlineStr">
        <is>
          <t>VÄRMLANDS LÄN</t>
        </is>
      </c>
      <c r="G4337" t="inlineStr">
        <is>
          <t>EDA</t>
        </is>
      </c>
      <c r="I4337" t="n">
        <v>1.2</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23939-2025</t>
        </is>
      </c>
      <c r="B4338" t="inlineStr">
        <is>
          <t>avverkningsanmälan</t>
        </is>
      </c>
      <c r="C4338" t="inlineStr">
        <is>
          <t>Föryngringsavverkning</t>
        </is>
      </c>
      <c r="D4338" s="1" t="n">
        <v>45796</v>
      </c>
      <c r="E4338" s="1" t="n">
        <v>46307</v>
      </c>
      <c r="F4338" t="inlineStr">
        <is>
          <t>VÄRMLANDS LÄN</t>
        </is>
      </c>
      <c r="G4338" t="inlineStr">
        <is>
          <t>ARVIKA</t>
        </is>
      </c>
      <c r="H4338" t="inlineStr">
        <is>
          <t>Bergvik skog väst AB</t>
        </is>
      </c>
      <c r="I4338" t="n">
        <v>7.7</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47621-2025</t>
        </is>
      </c>
      <c r="B4339" t="inlineStr">
        <is>
          <t>avverkningsanmälan</t>
        </is>
      </c>
      <c r="C4339" t="inlineStr">
        <is>
          <t>Föryngringsavverkning</t>
        </is>
      </c>
      <c r="D4339" s="1" t="n">
        <v>45931</v>
      </c>
      <c r="E4339" s="1" t="n">
        <v>46307</v>
      </c>
      <c r="F4339" t="inlineStr">
        <is>
          <t>VÄRMLANDS LÄN</t>
        </is>
      </c>
      <c r="G4339" t="inlineStr">
        <is>
          <t>TORSBY</t>
        </is>
      </c>
      <c r="I4339" t="n">
        <v>0.5</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21075-2024</t>
        </is>
      </c>
      <c r="B4340" t="inlineStr">
        <is>
          <t>avverkningsanmälan</t>
        </is>
      </c>
      <c r="C4340" t="inlineStr">
        <is>
          <t>Föryngringsavverkning</t>
        </is>
      </c>
      <c r="D4340" s="1" t="n">
        <v>45439</v>
      </c>
      <c r="E4340" s="1" t="n">
        <v>46307</v>
      </c>
      <c r="F4340" t="inlineStr">
        <is>
          <t>VÄRMLANDS LÄN</t>
        </is>
      </c>
      <c r="G4340" t="inlineStr">
        <is>
          <t>SÄFFLE</t>
        </is>
      </c>
      <c r="I4340" t="n">
        <v>4.5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4493-2025</t>
        </is>
      </c>
      <c r="B4341" t="inlineStr">
        <is>
          <t>avverkningsanmälan</t>
        </is>
      </c>
      <c r="C4341" t="inlineStr">
        <is>
          <t>Föryngringsavverkning</t>
        </is>
      </c>
      <c r="D4341" s="1" t="n">
        <v>45686</v>
      </c>
      <c r="E4341" s="1" t="n">
        <v>46307</v>
      </c>
      <c r="F4341" t="inlineStr">
        <is>
          <t>VÄRMLANDS LÄN</t>
        </is>
      </c>
      <c r="G4341" t="inlineStr">
        <is>
          <t>KRISTINEHAMN</t>
        </is>
      </c>
      <c r="I4341" t="n">
        <v>4.7</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1289-2025</t>
        </is>
      </c>
      <c r="B4342" t="inlineStr">
        <is>
          <t>avverkningsanmälan</t>
        </is>
      </c>
      <c r="C4342" t="inlineStr">
        <is>
          <t>Föryngringsavverkning</t>
        </is>
      </c>
      <c r="D4342" s="1" t="n">
        <v>45667</v>
      </c>
      <c r="E4342" s="1" t="n">
        <v>46307</v>
      </c>
      <c r="F4342" t="inlineStr">
        <is>
          <t>VÄRMLANDS LÄN</t>
        </is>
      </c>
      <c r="G4342" t="inlineStr">
        <is>
          <t>ÅRJÄNG</t>
        </is>
      </c>
      <c r="I4342" t="n">
        <v>2.6</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55081-2024</t>
        </is>
      </c>
      <c r="B4343" t="inlineStr">
        <is>
          <t>avverkningsanmälan</t>
        </is>
      </c>
      <c r="C4343" t="inlineStr">
        <is>
          <t>Föryngringsavverkning</t>
        </is>
      </c>
      <c r="D4343" s="1" t="n">
        <v>45621</v>
      </c>
      <c r="E4343" s="1" t="n">
        <v>46307</v>
      </c>
      <c r="F4343" t="inlineStr">
        <is>
          <t>VÄRMLANDS LÄN</t>
        </is>
      </c>
      <c r="G4343" t="inlineStr">
        <is>
          <t>KARLSTAD</t>
        </is>
      </c>
      <c r="I4343" t="n">
        <v>3.3</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20465-2023</t>
        </is>
      </c>
      <c r="B4344" t="inlineStr">
        <is>
          <t>avverkningsanmälan</t>
        </is>
      </c>
      <c r="C4344" t="inlineStr">
        <is>
          <t>Föryngringsavverkning</t>
        </is>
      </c>
      <c r="D4344" s="1" t="n">
        <v>45057</v>
      </c>
      <c r="E4344" s="1" t="n">
        <v>46307</v>
      </c>
      <c r="F4344" t="inlineStr">
        <is>
          <t>VÄRMLANDS LÄN</t>
        </is>
      </c>
      <c r="G4344" t="inlineStr">
        <is>
          <t>SUNNE</t>
        </is>
      </c>
      <c r="H4344" t="inlineStr">
        <is>
          <t>Kyrkan</t>
        </is>
      </c>
      <c r="I4344" t="n">
        <v>3.5</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11427-2025</t>
        </is>
      </c>
      <c r="B4345" t="inlineStr">
        <is>
          <t>avverkningsanmälan</t>
        </is>
      </c>
      <c r="C4345" t="inlineStr">
        <is>
          <t>Föryngringsavverkning</t>
        </is>
      </c>
      <c r="D4345" s="1" t="n">
        <v>45726</v>
      </c>
      <c r="E4345" s="1" t="n">
        <v>46307</v>
      </c>
      <c r="F4345" t="inlineStr">
        <is>
          <t>VÄRMLANDS LÄN</t>
        </is>
      </c>
      <c r="G4345" t="inlineStr">
        <is>
          <t>TORSBY</t>
        </is>
      </c>
      <c r="I4345" t="n">
        <v>2.8</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4093-2024</t>
        </is>
      </c>
      <c r="B4346" t="inlineStr">
        <is>
          <t>avverkningsanmälan</t>
        </is>
      </c>
      <c r="C4346" t="inlineStr">
        <is>
          <t>Avverkning för annat ändamål</t>
        </is>
      </c>
      <c r="D4346" s="1" t="n">
        <v>45323</v>
      </c>
      <c r="E4346" s="1" t="n">
        <v>46307</v>
      </c>
      <c r="F4346" t="inlineStr">
        <is>
          <t>VÄRMLANDS LÄN</t>
        </is>
      </c>
      <c r="G4346" t="inlineStr">
        <is>
          <t>SÄFFLE</t>
        </is>
      </c>
      <c r="I4346" t="n">
        <v>3.2</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18049-2024</t>
        </is>
      </c>
      <c r="B4347" t="inlineStr">
        <is>
          <t>avverkningsanmälan</t>
        </is>
      </c>
      <c r="C4347" t="inlineStr">
        <is>
          <t>Föryngringsavverkning</t>
        </is>
      </c>
      <c r="D4347" s="1" t="n">
        <v>45420</v>
      </c>
      <c r="E4347" s="1" t="n">
        <v>46307</v>
      </c>
      <c r="F4347" t="inlineStr">
        <is>
          <t>VÄRMLANDS LÄN</t>
        </is>
      </c>
      <c r="G4347" t="inlineStr">
        <is>
          <t>KIL</t>
        </is>
      </c>
      <c r="I4347" t="n">
        <v>0.5</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11179-2022</t>
        </is>
      </c>
      <c r="B4348" t="inlineStr">
        <is>
          <t>avverkningsanmälan</t>
        </is>
      </c>
      <c r="C4348" t="inlineStr">
        <is>
          <t>Föryngringsavverkning</t>
        </is>
      </c>
      <c r="D4348" s="1" t="n">
        <v>44629</v>
      </c>
      <c r="E4348" s="1" t="n">
        <v>46307</v>
      </c>
      <c r="F4348" t="inlineStr">
        <is>
          <t>VÄRMLANDS LÄN</t>
        </is>
      </c>
      <c r="G4348" t="inlineStr">
        <is>
          <t>KARLSTAD</t>
        </is>
      </c>
      <c r="I4348" t="n">
        <v>3.5</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65055-2023</t>
        </is>
      </c>
      <c r="B4349" t="inlineStr">
        <is>
          <t>avverkningsanmälan</t>
        </is>
      </c>
      <c r="C4349" t="inlineStr">
        <is>
          <t>Föryngringsavverkning</t>
        </is>
      </c>
      <c r="D4349" s="1" t="n">
        <v>45282</v>
      </c>
      <c r="E4349" s="1" t="n">
        <v>46307</v>
      </c>
      <c r="F4349" t="inlineStr">
        <is>
          <t>VÄRMLANDS LÄN</t>
        </is>
      </c>
      <c r="G4349" t="inlineStr">
        <is>
          <t>KRISTINEHAMN</t>
        </is>
      </c>
      <c r="I4349" t="n">
        <v>1.1</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50857-2023</t>
        </is>
      </c>
      <c r="B4350" t="inlineStr">
        <is>
          <t>avverkningsanmälan</t>
        </is>
      </c>
      <c r="C4350" t="inlineStr">
        <is>
          <t>Avverkning för annat ändamål</t>
        </is>
      </c>
      <c r="D4350" s="1" t="n">
        <v>45218</v>
      </c>
      <c r="E4350" s="1" t="n">
        <v>46307</v>
      </c>
      <c r="F4350" t="inlineStr">
        <is>
          <t>VÄRMLANDS LÄN</t>
        </is>
      </c>
      <c r="G4350" t="inlineStr">
        <is>
          <t>ARVIKA</t>
        </is>
      </c>
      <c r="I4350" t="n">
        <v>0.9</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57728-2023</t>
        </is>
      </c>
      <c r="B4351" t="inlineStr">
        <is>
          <t>avverkningsanmälan</t>
        </is>
      </c>
      <c r="C4351" t="inlineStr">
        <is>
          <t>Föryngringsavverkning</t>
        </is>
      </c>
      <c r="D4351" s="1" t="n">
        <v>45243</v>
      </c>
      <c r="E4351" s="1" t="n">
        <v>46307</v>
      </c>
      <c r="F4351" t="inlineStr">
        <is>
          <t>VÄRMLANDS LÄN</t>
        </is>
      </c>
      <c r="G4351" t="inlineStr">
        <is>
          <t>SUNNE</t>
        </is>
      </c>
      <c r="I4351" t="n">
        <v>0.6</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7991-2024</t>
        </is>
      </c>
      <c r="B4352" t="inlineStr">
        <is>
          <t>avverkningsanmälan</t>
        </is>
      </c>
      <c r="C4352" t="inlineStr">
        <is>
          <t>Avverkning för annat ändamål</t>
        </is>
      </c>
      <c r="D4352" s="1" t="n">
        <v>45350</v>
      </c>
      <c r="E4352" s="1" t="n">
        <v>46307</v>
      </c>
      <c r="F4352" t="inlineStr">
        <is>
          <t>VÄRMLANDS LÄN</t>
        </is>
      </c>
      <c r="G4352" t="inlineStr">
        <is>
          <t>GRUMS</t>
        </is>
      </c>
      <c r="I4352" t="n">
        <v>1.1</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50929-2023</t>
        </is>
      </c>
      <c r="B4353" t="inlineStr">
        <is>
          <t>avverkningsanmälan</t>
        </is>
      </c>
      <c r="C4353" t="inlineStr">
        <is>
          <t>Föryngringsavverkning</t>
        </is>
      </c>
      <c r="D4353" s="1" t="n">
        <v>45211</v>
      </c>
      <c r="E4353" s="1" t="n">
        <v>46307</v>
      </c>
      <c r="F4353" t="inlineStr">
        <is>
          <t>VÄRMLANDS LÄN</t>
        </is>
      </c>
      <c r="G4353" t="inlineStr">
        <is>
          <t>HAGFORS</t>
        </is>
      </c>
      <c r="I4353" t="n">
        <v>1.6</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16427-2024</t>
        </is>
      </c>
      <c r="B4354" t="inlineStr">
        <is>
          <t>avverkningsanmälan</t>
        </is>
      </c>
      <c r="C4354" t="inlineStr">
        <is>
          <t>Föryngringsavverkning</t>
        </is>
      </c>
      <c r="D4354" s="1" t="n">
        <v>45407</v>
      </c>
      <c r="E4354" s="1" t="n">
        <v>46307</v>
      </c>
      <c r="F4354" t="inlineStr">
        <is>
          <t>VÄRMLANDS LÄN</t>
        </is>
      </c>
      <c r="G4354" t="inlineStr">
        <is>
          <t>KRISTINEHAMN</t>
        </is>
      </c>
      <c r="I4354" t="n">
        <v>3.9</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2605-2025</t>
        </is>
      </c>
      <c r="B4355" t="inlineStr">
        <is>
          <t>avverkningsanmälan</t>
        </is>
      </c>
      <c r="C4355" t="inlineStr">
        <is>
          <t>Föryngringsavverkning</t>
        </is>
      </c>
      <c r="D4355" s="1" t="n">
        <v>45674</v>
      </c>
      <c r="E4355" s="1" t="n">
        <v>46307</v>
      </c>
      <c r="F4355" t="inlineStr">
        <is>
          <t>VÄRMLANDS LÄN</t>
        </is>
      </c>
      <c r="G4355" t="inlineStr">
        <is>
          <t>ARVIKA</t>
        </is>
      </c>
      <c r="I4355" t="n">
        <v>2.5</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33078-2024</t>
        </is>
      </c>
      <c r="B4356" t="inlineStr">
        <is>
          <t>avverkningsanmälan</t>
        </is>
      </c>
      <c r="C4356" t="inlineStr">
        <is>
          <t>Föryngringsavverkning</t>
        </is>
      </c>
      <c r="D4356" s="1" t="n">
        <v>45517</v>
      </c>
      <c r="E4356" s="1" t="n">
        <v>46307</v>
      </c>
      <c r="F4356" t="inlineStr">
        <is>
          <t>VÄRMLANDS LÄN</t>
        </is>
      </c>
      <c r="G4356" t="inlineStr">
        <is>
          <t>TORSBY</t>
        </is>
      </c>
      <c r="I4356" t="n">
        <v>2.1</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47162-2024</t>
        </is>
      </c>
      <c r="B4357" t="inlineStr">
        <is>
          <t>avverkningsanmälan</t>
        </is>
      </c>
      <c r="C4357" t="inlineStr">
        <is>
          <t>Föryngringsavverkning</t>
        </is>
      </c>
      <c r="D4357" s="1" t="n">
        <v>45586</v>
      </c>
      <c r="E4357" s="1" t="n">
        <v>46307</v>
      </c>
      <c r="F4357" t="inlineStr">
        <is>
          <t>VÄRMLANDS LÄN</t>
        </is>
      </c>
      <c r="G4357" t="inlineStr">
        <is>
          <t>SUNNE</t>
        </is>
      </c>
      <c r="H4357" t="inlineStr">
        <is>
          <t>Kommuner</t>
        </is>
      </c>
      <c r="I4357" t="n">
        <v>1.8</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16743-2025</t>
        </is>
      </c>
      <c r="B4358" t="inlineStr">
        <is>
          <t>avverkningsanmälan</t>
        </is>
      </c>
      <c r="C4358" t="inlineStr">
        <is>
          <t>Föryngringsavverkning</t>
        </is>
      </c>
      <c r="D4358" s="1" t="n">
        <v>45754</v>
      </c>
      <c r="E4358" s="1" t="n">
        <v>46307</v>
      </c>
      <c r="F4358" t="inlineStr">
        <is>
          <t>VÄRMLANDS LÄN</t>
        </is>
      </c>
      <c r="G4358" t="inlineStr">
        <is>
          <t>EDA</t>
        </is>
      </c>
      <c r="I4358" t="n">
        <v>1.3</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39407-2024</t>
        </is>
      </c>
      <c r="B4359" t="inlineStr">
        <is>
          <t>avverkningsanmälan</t>
        </is>
      </c>
      <c r="C4359" t="inlineStr">
        <is>
          <t>Föryngringsavverkning</t>
        </is>
      </c>
      <c r="D4359" s="1" t="n">
        <v>45551</v>
      </c>
      <c r="E4359" s="1" t="n">
        <v>46307</v>
      </c>
      <c r="F4359" t="inlineStr">
        <is>
          <t>VÄRMLANDS LÄN</t>
        </is>
      </c>
      <c r="G4359" t="inlineStr">
        <is>
          <t>FORSHAGA</t>
        </is>
      </c>
      <c r="I4359" t="n">
        <v>1.4</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2195-2025</t>
        </is>
      </c>
      <c r="B4360" t="inlineStr">
        <is>
          <t>avverkningsanmälan</t>
        </is>
      </c>
      <c r="C4360" t="inlineStr">
        <is>
          <t>Föryngringsavverkning</t>
        </is>
      </c>
      <c r="D4360" s="1" t="n">
        <v>45673</v>
      </c>
      <c r="E4360" s="1" t="n">
        <v>46307</v>
      </c>
      <c r="F4360" t="inlineStr">
        <is>
          <t>VÄRMLANDS LÄN</t>
        </is>
      </c>
      <c r="G4360" t="inlineStr">
        <is>
          <t>TORSBY</t>
        </is>
      </c>
      <c r="I4360" t="n">
        <v>1.8</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14624-2023</t>
        </is>
      </c>
      <c r="B4361" t="inlineStr">
        <is>
          <t>avverkningsanmälan</t>
        </is>
      </c>
      <c r="C4361" t="inlineStr">
        <is>
          <t>Föryngringsavverkning</t>
        </is>
      </c>
      <c r="D4361" s="1" t="n">
        <v>45013</v>
      </c>
      <c r="E4361" s="1" t="n">
        <v>46307</v>
      </c>
      <c r="F4361" t="inlineStr">
        <is>
          <t>VÄRMLANDS LÄN</t>
        </is>
      </c>
      <c r="G4361" t="inlineStr">
        <is>
          <t>TORSBY</t>
        </is>
      </c>
      <c r="I4361" t="n">
        <v>2.4</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15643-2024</t>
        </is>
      </c>
      <c r="B4362" t="inlineStr">
        <is>
          <t>avverkningsanmälan</t>
        </is>
      </c>
      <c r="C4362" t="inlineStr">
        <is>
          <t>Avverkning för att bevara och utveckla /försöksver</t>
        </is>
      </c>
      <c r="D4362" s="1" t="n">
        <v>45404</v>
      </c>
      <c r="E4362" s="1" t="n">
        <v>46307</v>
      </c>
      <c r="F4362" t="inlineStr">
        <is>
          <t>VÄRMLANDS LÄN</t>
        </is>
      </c>
      <c r="G4362" t="inlineStr">
        <is>
          <t>HAGFORS</t>
        </is>
      </c>
      <c r="H4362" t="inlineStr">
        <is>
          <t>Bergvik skog väst AB</t>
        </is>
      </c>
      <c r="I4362" t="n">
        <v>6.1</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47893-2025</t>
        </is>
      </c>
      <c r="B4363" t="inlineStr">
        <is>
          <t>avverkningsanmälan</t>
        </is>
      </c>
      <c r="C4363" t="inlineStr">
        <is>
          <t>Föryngringsavverkning</t>
        </is>
      </c>
      <c r="D4363" s="1" t="n">
        <v>45932</v>
      </c>
      <c r="E4363" s="1" t="n">
        <v>46307</v>
      </c>
      <c r="F4363" t="inlineStr">
        <is>
          <t>VÄRMLANDS LÄN</t>
        </is>
      </c>
      <c r="G4363" t="inlineStr">
        <is>
          <t>FORSHAGA</t>
        </is>
      </c>
      <c r="I4363" t="n">
        <v>2.7</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47801-2025</t>
        </is>
      </c>
      <c r="B4364" t="inlineStr">
        <is>
          <t>avverkningsanmälan</t>
        </is>
      </c>
      <c r="C4364" t="inlineStr">
        <is>
          <t>Föryngringsavverkning</t>
        </is>
      </c>
      <c r="D4364" s="1" t="n">
        <v>45931</v>
      </c>
      <c r="E4364" s="1" t="n">
        <v>46307</v>
      </c>
      <c r="F4364" t="inlineStr">
        <is>
          <t>VÄRMLANDS LÄN</t>
        </is>
      </c>
      <c r="G4364" t="inlineStr">
        <is>
          <t>KIL</t>
        </is>
      </c>
      <c r="I4364" t="n">
        <v>0.5</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59014-2024</t>
        </is>
      </c>
      <c r="B4365" t="inlineStr">
        <is>
          <t>avverkningsanmälan</t>
        </is>
      </c>
      <c r="C4365" t="inlineStr">
        <is>
          <t>Föryngringsavverkning</t>
        </is>
      </c>
      <c r="D4365" s="1" t="n">
        <v>45636</v>
      </c>
      <c r="E4365" s="1" t="n">
        <v>46307</v>
      </c>
      <c r="F4365" t="inlineStr">
        <is>
          <t>VÄRMLANDS LÄN</t>
        </is>
      </c>
      <c r="G4365" t="inlineStr">
        <is>
          <t>ÅRJÄNG</t>
        </is>
      </c>
      <c r="I4365" t="n">
        <v>0.6</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41092-2024</t>
        </is>
      </c>
      <c r="B4366" t="inlineStr">
        <is>
          <t>avverkningsanmälan</t>
        </is>
      </c>
      <c r="C4366" t="inlineStr">
        <is>
          <t>Föryngringsavverkning</t>
        </is>
      </c>
      <c r="D4366" s="1" t="n">
        <v>45559</v>
      </c>
      <c r="E4366" s="1" t="n">
        <v>46307</v>
      </c>
      <c r="F4366" t="inlineStr">
        <is>
          <t>VÄRMLANDS LÄN</t>
        </is>
      </c>
      <c r="G4366" t="inlineStr">
        <is>
          <t>HAGFORS</t>
        </is>
      </c>
      <c r="I4366" t="n">
        <v>4.3</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11868-2025</t>
        </is>
      </c>
      <c r="B4367" t="inlineStr">
        <is>
          <t>avverkningsanmälan</t>
        </is>
      </c>
      <c r="C4367" t="inlineStr">
        <is>
          <t>Föryngringsavverkning</t>
        </is>
      </c>
      <c r="D4367" s="1" t="n">
        <v>45728</v>
      </c>
      <c r="E4367" s="1" t="n">
        <v>46307</v>
      </c>
      <c r="F4367" t="inlineStr">
        <is>
          <t>VÄRMLANDS LÄN</t>
        </is>
      </c>
      <c r="G4367" t="inlineStr">
        <is>
          <t>TORSBY</t>
        </is>
      </c>
      <c r="I4367" t="n">
        <v>1</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46880-2024</t>
        </is>
      </c>
      <c r="B4368" t="inlineStr">
        <is>
          <t>avverkningsanmälan</t>
        </is>
      </c>
      <c r="C4368" t="inlineStr">
        <is>
          <t>Föryngringsavverkning</t>
        </is>
      </c>
      <c r="D4368" s="1" t="n">
        <v>45583</v>
      </c>
      <c r="E4368" s="1" t="n">
        <v>46307</v>
      </c>
      <c r="F4368" t="inlineStr">
        <is>
          <t>VÄRMLANDS LÄN</t>
        </is>
      </c>
      <c r="G4368" t="inlineStr">
        <is>
          <t>SUNNE</t>
        </is>
      </c>
      <c r="H4368" t="inlineStr">
        <is>
          <t>Kommuner</t>
        </is>
      </c>
      <c r="I4368" t="n">
        <v>4.1</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46914-2024</t>
        </is>
      </c>
      <c r="B4369" t="inlineStr">
        <is>
          <t>avverkningsanmälan</t>
        </is>
      </c>
      <c r="C4369" t="inlineStr">
        <is>
          <t>Föryngringsavverkning</t>
        </is>
      </c>
      <c r="D4369" s="1" t="n">
        <v>45583</v>
      </c>
      <c r="E4369" s="1" t="n">
        <v>46307</v>
      </c>
      <c r="F4369" t="inlineStr">
        <is>
          <t>VÄRMLANDS LÄN</t>
        </is>
      </c>
      <c r="G4369" t="inlineStr">
        <is>
          <t>TORSBY</t>
        </is>
      </c>
      <c r="I4369" t="n">
        <v>2.4</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30993-2024</t>
        </is>
      </c>
      <c r="B4370" t="inlineStr">
        <is>
          <t>avverkningsanmälan</t>
        </is>
      </c>
      <c r="C4370" t="inlineStr">
        <is>
          <t>Föryngringsavverkning</t>
        </is>
      </c>
      <c r="D4370" s="1" t="n">
        <v>45499</v>
      </c>
      <c r="E4370" s="1" t="n">
        <v>46307</v>
      </c>
      <c r="F4370" t="inlineStr">
        <is>
          <t>VÄRMLANDS LÄN</t>
        </is>
      </c>
      <c r="G4370" t="inlineStr">
        <is>
          <t>ÅRJÄNG</t>
        </is>
      </c>
      <c r="H4370" t="inlineStr">
        <is>
          <t>Kyrkan</t>
        </is>
      </c>
      <c r="I4370" t="n">
        <v>4.7</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47344-2023</t>
        </is>
      </c>
      <c r="B4371" t="inlineStr">
        <is>
          <t>avverkningsanmälan</t>
        </is>
      </c>
      <c r="C4371" t="inlineStr">
        <is>
          <t>Föryngringsavverkning</t>
        </is>
      </c>
      <c r="D4371" s="1" t="n">
        <v>45202</v>
      </c>
      <c r="E4371" s="1" t="n">
        <v>46307</v>
      </c>
      <c r="F4371" t="inlineStr">
        <is>
          <t>VÄRMLANDS LÄN</t>
        </is>
      </c>
      <c r="G4371" t="inlineStr">
        <is>
          <t>FILIPSTAD</t>
        </is>
      </c>
      <c r="H4371" t="inlineStr">
        <is>
          <t>Bergvik skog väst AB</t>
        </is>
      </c>
      <c r="I4371" t="n">
        <v>2.1</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23702-2025</t>
        </is>
      </c>
      <c r="B4372" t="inlineStr">
        <is>
          <t>avverkningsanmälan</t>
        </is>
      </c>
      <c r="C4372" t="inlineStr">
        <is>
          <t>Föryngringsavverkning</t>
        </is>
      </c>
      <c r="D4372" s="1" t="n">
        <v>45793</v>
      </c>
      <c r="E4372" s="1" t="n">
        <v>46307</v>
      </c>
      <c r="F4372" t="inlineStr">
        <is>
          <t>VÄRMLANDS LÄN</t>
        </is>
      </c>
      <c r="G4372" t="inlineStr">
        <is>
          <t>SUNNE</t>
        </is>
      </c>
      <c r="I4372" t="n">
        <v>0.7</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23707-2025</t>
        </is>
      </c>
      <c r="B4373" t="inlineStr">
        <is>
          <t>avverkningsanmälan</t>
        </is>
      </c>
      <c r="C4373" t="inlineStr">
        <is>
          <t>Föryngringsavverkning</t>
        </is>
      </c>
      <c r="D4373" s="1" t="n">
        <v>45793</v>
      </c>
      <c r="E4373" s="1" t="n">
        <v>46307</v>
      </c>
      <c r="F4373" t="inlineStr">
        <is>
          <t>VÄRMLANDS LÄN</t>
        </is>
      </c>
      <c r="G4373" t="inlineStr">
        <is>
          <t>SUNNE</t>
        </is>
      </c>
      <c r="I4373" t="n">
        <v>5.3</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2484-2023</t>
        </is>
      </c>
      <c r="B4374" t="inlineStr">
        <is>
          <t>avverkningsanmälan</t>
        </is>
      </c>
      <c r="C4374" t="inlineStr">
        <is>
          <t>Föryngringsavverkning</t>
        </is>
      </c>
      <c r="D4374" s="1" t="n">
        <v>44943</v>
      </c>
      <c r="E4374" s="1" t="n">
        <v>46307</v>
      </c>
      <c r="F4374" t="inlineStr">
        <is>
          <t>VÄRMLANDS LÄN</t>
        </is>
      </c>
      <c r="G4374" t="inlineStr">
        <is>
          <t>SÄFFLE</t>
        </is>
      </c>
      <c r="I4374" t="n">
        <v>0.8</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54735-2024</t>
        </is>
      </c>
      <c r="B4375" t="inlineStr">
        <is>
          <t>avverkningsanmälan</t>
        </is>
      </c>
      <c r="C4375" t="inlineStr">
        <is>
          <t>Föryngringsavverkning</t>
        </is>
      </c>
      <c r="D4375" s="1" t="n">
        <v>45618</v>
      </c>
      <c r="E4375" s="1" t="n">
        <v>46307</v>
      </c>
      <c r="F4375" t="inlineStr">
        <is>
          <t>VÄRMLANDS LÄN</t>
        </is>
      </c>
      <c r="G4375" t="inlineStr">
        <is>
          <t>FILIPSTAD</t>
        </is>
      </c>
      <c r="H4375" t="inlineStr">
        <is>
          <t>Bergvik skog väst AB</t>
        </is>
      </c>
      <c r="I4375" t="n">
        <v>2.6</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54744-2024</t>
        </is>
      </c>
      <c r="B4376" t="inlineStr">
        <is>
          <t>avverkningsanmälan</t>
        </is>
      </c>
      <c r="C4376" t="inlineStr">
        <is>
          <t>Föryngringsavverkning</t>
        </is>
      </c>
      <c r="D4376" s="1" t="n">
        <v>45618</v>
      </c>
      <c r="E4376" s="1" t="n">
        <v>46307</v>
      </c>
      <c r="F4376" t="inlineStr">
        <is>
          <t>VÄRMLANDS LÄN</t>
        </is>
      </c>
      <c r="G4376" t="inlineStr">
        <is>
          <t>HAGFORS</t>
        </is>
      </c>
      <c r="H4376" t="inlineStr">
        <is>
          <t>Kyrkan</t>
        </is>
      </c>
      <c r="I4376" t="n">
        <v>8.800000000000001</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42377-2024</t>
        </is>
      </c>
      <c r="B4377" t="inlineStr">
        <is>
          <t>avverkningsanmälan</t>
        </is>
      </c>
      <c r="C4377" t="inlineStr">
        <is>
          <t>Föryngringsavverkning</t>
        </is>
      </c>
      <c r="D4377" s="1" t="n">
        <v>45564</v>
      </c>
      <c r="E4377" s="1" t="n">
        <v>46307</v>
      </c>
      <c r="F4377" t="inlineStr">
        <is>
          <t>VÄRMLANDS LÄN</t>
        </is>
      </c>
      <c r="G4377" t="inlineStr">
        <is>
          <t>SÄFFLE</t>
        </is>
      </c>
      <c r="I4377" t="n">
        <v>1.2</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32319-2024</t>
        </is>
      </c>
      <c r="B4378" t="inlineStr">
        <is>
          <t>avverkningsanmälan</t>
        </is>
      </c>
      <c r="C4378" t="inlineStr">
        <is>
          <t>Föryngringsavverkning</t>
        </is>
      </c>
      <c r="D4378" s="1" t="n">
        <v>45512</v>
      </c>
      <c r="E4378" s="1" t="n">
        <v>46307</v>
      </c>
      <c r="F4378" t="inlineStr">
        <is>
          <t>VÄRMLANDS LÄN</t>
        </is>
      </c>
      <c r="G4378" t="inlineStr">
        <is>
          <t>TORSBY</t>
        </is>
      </c>
      <c r="I4378" t="n">
        <v>2.6</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32323-2024</t>
        </is>
      </c>
      <c r="B4379" t="inlineStr">
        <is>
          <t>avverkningsanmälan</t>
        </is>
      </c>
      <c r="C4379" t="inlineStr">
        <is>
          <t>Föryngringsavverkning</t>
        </is>
      </c>
      <c r="D4379" s="1" t="n">
        <v>45512</v>
      </c>
      <c r="E4379" s="1" t="n">
        <v>46307</v>
      </c>
      <c r="F4379" t="inlineStr">
        <is>
          <t>VÄRMLANDS LÄN</t>
        </is>
      </c>
      <c r="G4379" t="inlineStr">
        <is>
          <t>EDA</t>
        </is>
      </c>
      <c r="I4379" t="n">
        <v>8.9</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40207-2023</t>
        </is>
      </c>
      <c r="B4380" t="inlineStr">
        <is>
          <t>avverkningsanmälan</t>
        </is>
      </c>
      <c r="C4380" t="inlineStr">
        <is>
          <t>Föryngringsavverkning</t>
        </is>
      </c>
      <c r="D4380" s="1" t="n">
        <v>45169</v>
      </c>
      <c r="E4380" s="1" t="n">
        <v>46307</v>
      </c>
      <c r="F4380" t="inlineStr">
        <is>
          <t>VÄRMLANDS LÄN</t>
        </is>
      </c>
      <c r="G4380" t="inlineStr">
        <is>
          <t>TORSBY</t>
        </is>
      </c>
      <c r="I4380" t="n">
        <v>0.6</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40244-2023</t>
        </is>
      </c>
      <c r="B4381" t="inlineStr">
        <is>
          <t>avverkningsanmälan</t>
        </is>
      </c>
      <c r="C4381" t="inlineStr">
        <is>
          <t>Föryngringsavverkning</t>
        </is>
      </c>
      <c r="D4381" s="1" t="n">
        <v>45169</v>
      </c>
      <c r="E4381" s="1" t="n">
        <v>46307</v>
      </c>
      <c r="F4381" t="inlineStr">
        <is>
          <t>VÄRMLANDS LÄN</t>
        </is>
      </c>
      <c r="G4381" t="inlineStr">
        <is>
          <t>FILIPSTAD</t>
        </is>
      </c>
      <c r="H4381" t="inlineStr">
        <is>
          <t>Bergvik skog väst AB</t>
        </is>
      </c>
      <c r="I4381" t="n">
        <v>1.2</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13207-2022</t>
        </is>
      </c>
      <c r="B4382" t="inlineStr">
        <is>
          <t>avverkningsanmälan</t>
        </is>
      </c>
      <c r="C4382" t="inlineStr">
        <is>
          <t>Föryngringsavverkning</t>
        </is>
      </c>
      <c r="D4382" s="1" t="n">
        <v>44644</v>
      </c>
      <c r="E4382" s="1" t="n">
        <v>46307</v>
      </c>
      <c r="F4382" t="inlineStr">
        <is>
          <t>VÄRMLANDS LÄN</t>
        </is>
      </c>
      <c r="G4382" t="inlineStr">
        <is>
          <t>TORSBY</t>
        </is>
      </c>
      <c r="I4382" t="n">
        <v>1.3</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23775-2025</t>
        </is>
      </c>
      <c r="B4383" t="inlineStr">
        <is>
          <t>avverkningsanmälan</t>
        </is>
      </c>
      <c r="C4383" t="inlineStr">
        <is>
          <t>Föryngringsavverkning</t>
        </is>
      </c>
      <c r="D4383" s="1" t="n">
        <v>45793</v>
      </c>
      <c r="E4383" s="1" t="n">
        <v>46307</v>
      </c>
      <c r="F4383" t="inlineStr">
        <is>
          <t>VÄRMLANDS LÄN</t>
        </is>
      </c>
      <c r="G4383" t="inlineStr">
        <is>
          <t>FILIPSTAD</t>
        </is>
      </c>
      <c r="H4383" t="inlineStr">
        <is>
          <t>Bergvik skog väst AB</t>
        </is>
      </c>
      <c r="I4383" t="n">
        <v>1.9</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47796-2023</t>
        </is>
      </c>
      <c r="B4384" t="inlineStr">
        <is>
          <t>avverkningsanmälan</t>
        </is>
      </c>
      <c r="C4384" t="inlineStr">
        <is>
          <t>Föryngringsavverkning</t>
        </is>
      </c>
      <c r="D4384" s="1" t="n">
        <v>45204</v>
      </c>
      <c r="E4384" s="1" t="n">
        <v>46307</v>
      </c>
      <c r="F4384" t="inlineStr">
        <is>
          <t>VÄRMLANDS LÄN</t>
        </is>
      </c>
      <c r="G4384" t="inlineStr">
        <is>
          <t>EDA</t>
        </is>
      </c>
      <c r="I4384" t="n">
        <v>0.6</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2356-2025</t>
        </is>
      </c>
      <c r="B4385" t="inlineStr">
        <is>
          <t>avverkningsanmälan</t>
        </is>
      </c>
      <c r="C4385" t="inlineStr">
        <is>
          <t>Föryngringsavverkning</t>
        </is>
      </c>
      <c r="D4385" s="1" t="n">
        <v>45673</v>
      </c>
      <c r="E4385" s="1" t="n">
        <v>46307</v>
      </c>
      <c r="F4385" t="inlineStr">
        <is>
          <t>VÄRMLANDS LÄN</t>
        </is>
      </c>
      <c r="G4385" t="inlineStr">
        <is>
          <t>ARVIKA</t>
        </is>
      </c>
      <c r="I4385" t="n">
        <v>1.4</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37191-2023</t>
        </is>
      </c>
      <c r="B4386" t="inlineStr">
        <is>
          <t>avverkningsanmälan</t>
        </is>
      </c>
      <c r="C4386" t="inlineStr">
        <is>
          <t>Föryngringsavverkning</t>
        </is>
      </c>
      <c r="D4386" s="1" t="n">
        <v>45154</v>
      </c>
      <c r="E4386" s="1" t="n">
        <v>46307</v>
      </c>
      <c r="F4386" t="inlineStr">
        <is>
          <t>VÄRMLANDS LÄN</t>
        </is>
      </c>
      <c r="G4386" t="inlineStr">
        <is>
          <t>ÅRJÄNG</t>
        </is>
      </c>
      <c r="I4386" t="n">
        <v>0.7</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42477-2023</t>
        </is>
      </c>
      <c r="B4387" t="inlineStr">
        <is>
          <t>avverkningsanmälan</t>
        </is>
      </c>
      <c r="C4387" t="inlineStr">
        <is>
          <t>Föryngringsavverkning</t>
        </is>
      </c>
      <c r="D4387" s="1" t="n">
        <v>45180</v>
      </c>
      <c r="E4387" s="1" t="n">
        <v>46307</v>
      </c>
      <c r="F4387" t="inlineStr">
        <is>
          <t>VÄRMLANDS LÄN</t>
        </is>
      </c>
      <c r="G4387" t="inlineStr">
        <is>
          <t>SUNNE</t>
        </is>
      </c>
      <c r="I4387" t="n">
        <v>1.2</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6609-2025</t>
        </is>
      </c>
      <c r="B4388" t="inlineStr">
        <is>
          <t>avverkningsanmälan</t>
        </is>
      </c>
      <c r="C4388" t="inlineStr">
        <is>
          <t>Föryngringsavverkning</t>
        </is>
      </c>
      <c r="D4388" s="1" t="n">
        <v>45700</v>
      </c>
      <c r="E4388" s="1" t="n">
        <v>46307</v>
      </c>
      <c r="F4388" t="inlineStr">
        <is>
          <t>VÄRMLANDS LÄN</t>
        </is>
      </c>
      <c r="G4388" t="inlineStr">
        <is>
          <t>KRISTINEHAMN</t>
        </is>
      </c>
      <c r="I4388" t="n">
        <v>11.2</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23712-2025</t>
        </is>
      </c>
      <c r="B4389" t="inlineStr">
        <is>
          <t>avverkningsanmälan</t>
        </is>
      </c>
      <c r="C4389" t="inlineStr">
        <is>
          <t>Föryngringsavverkning</t>
        </is>
      </c>
      <c r="D4389" s="1" t="n">
        <v>45793</v>
      </c>
      <c r="E4389" s="1" t="n">
        <v>46307</v>
      </c>
      <c r="F4389" t="inlineStr">
        <is>
          <t>VÄRMLANDS LÄN</t>
        </is>
      </c>
      <c r="G4389" t="inlineStr">
        <is>
          <t>HAGFORS</t>
        </is>
      </c>
      <c r="I4389" t="n">
        <v>2.9</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22031-2023</t>
        </is>
      </c>
      <c r="B4390" t="inlineStr">
        <is>
          <t>avverkningsanmälan</t>
        </is>
      </c>
      <c r="C4390" t="inlineStr">
        <is>
          <t>Föryngringsavverkning</t>
        </is>
      </c>
      <c r="D4390" s="1" t="n">
        <v>45069</v>
      </c>
      <c r="E4390" s="1" t="n">
        <v>46307</v>
      </c>
      <c r="F4390" t="inlineStr">
        <is>
          <t>VÄRMLANDS LÄN</t>
        </is>
      </c>
      <c r="G4390" t="inlineStr">
        <is>
          <t>HAGFORS</t>
        </is>
      </c>
      <c r="I4390" t="n">
        <v>2.3</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37061-2023</t>
        </is>
      </c>
      <c r="B4391" t="inlineStr">
        <is>
          <t>avverkningsanmälan</t>
        </is>
      </c>
      <c r="C4391" t="inlineStr">
        <is>
          <t>Föryngringsavverkning</t>
        </is>
      </c>
      <c r="D4391" s="1" t="n">
        <v>45155</v>
      </c>
      <c r="E4391" s="1" t="n">
        <v>46307</v>
      </c>
      <c r="F4391" t="inlineStr">
        <is>
          <t>VÄRMLANDS LÄN</t>
        </is>
      </c>
      <c r="G4391" t="inlineStr">
        <is>
          <t>ÅRJÄNG</t>
        </is>
      </c>
      <c r="I4391" t="n">
        <v>0.9</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20055-2023</t>
        </is>
      </c>
      <c r="B4392" t="inlineStr">
        <is>
          <t>avverkningsanmälan</t>
        </is>
      </c>
      <c r="C4392" t="inlineStr">
        <is>
          <t>Föryngringsavverkning</t>
        </is>
      </c>
      <c r="D4392" s="1" t="n">
        <v>45054</v>
      </c>
      <c r="E4392" s="1" t="n">
        <v>46307</v>
      </c>
      <c r="F4392" t="inlineStr">
        <is>
          <t>VÄRMLANDS LÄN</t>
        </is>
      </c>
      <c r="G4392" t="inlineStr">
        <is>
          <t>EDA</t>
        </is>
      </c>
      <c r="I4392" t="n">
        <v>4.1</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51593-2023</t>
        </is>
      </c>
      <c r="B4393" t="inlineStr">
        <is>
          <t>avverkningsanmälan</t>
        </is>
      </c>
      <c r="C4393" t="inlineStr">
        <is>
          <t>Föryngringsavverkning</t>
        </is>
      </c>
      <c r="D4393" s="1" t="n">
        <v>45222</v>
      </c>
      <c r="E4393" s="1" t="n">
        <v>46307</v>
      </c>
      <c r="F4393" t="inlineStr">
        <is>
          <t>VÄRMLANDS LÄN</t>
        </is>
      </c>
      <c r="G4393" t="inlineStr">
        <is>
          <t>SÄFFLE</t>
        </is>
      </c>
      <c r="I4393" t="n">
        <v>2.1</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60281-2024</t>
        </is>
      </c>
      <c r="B4394" t="inlineStr">
        <is>
          <t>avverkningsanmälan</t>
        </is>
      </c>
      <c r="C4394" t="inlineStr">
        <is>
          <t>Föryngringsavverkning</t>
        </is>
      </c>
      <c r="D4394" s="1" t="n">
        <v>45642</v>
      </c>
      <c r="E4394" s="1" t="n">
        <v>46307</v>
      </c>
      <c r="F4394" t="inlineStr">
        <is>
          <t>VÄRMLANDS LÄN</t>
        </is>
      </c>
      <c r="G4394" t="inlineStr">
        <is>
          <t>KARLSTAD</t>
        </is>
      </c>
      <c r="I4394" t="n">
        <v>2.6</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3144-2024</t>
        </is>
      </c>
      <c r="B4395" t="inlineStr">
        <is>
          <t>avverkningsanmälan</t>
        </is>
      </c>
      <c r="C4395" t="inlineStr">
        <is>
          <t>Föryngringsavverkning</t>
        </is>
      </c>
      <c r="D4395" s="1" t="n">
        <v>45316</v>
      </c>
      <c r="E4395" s="1" t="n">
        <v>46307</v>
      </c>
      <c r="F4395" t="inlineStr">
        <is>
          <t>VÄRMLANDS LÄN</t>
        </is>
      </c>
      <c r="G4395" t="inlineStr">
        <is>
          <t>ARVIKA</t>
        </is>
      </c>
      <c r="I4395" t="n">
        <v>1.2</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60272-2024</t>
        </is>
      </c>
      <c r="B4396" t="inlineStr">
        <is>
          <t>avverkningsanmälan</t>
        </is>
      </c>
      <c r="C4396" t="inlineStr">
        <is>
          <t>Föryngringsavverkning</t>
        </is>
      </c>
      <c r="D4396" s="1" t="n">
        <v>45642</v>
      </c>
      <c r="E4396" s="1" t="n">
        <v>46307</v>
      </c>
      <c r="F4396" t="inlineStr">
        <is>
          <t>VÄRMLANDS LÄN</t>
        </is>
      </c>
      <c r="G4396" t="inlineStr">
        <is>
          <t>TORSBY</t>
        </is>
      </c>
      <c r="I4396" t="n">
        <v>0.7</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23677-2025</t>
        </is>
      </c>
      <c r="B4397" t="inlineStr">
        <is>
          <t>avverkningsanmälan</t>
        </is>
      </c>
      <c r="C4397" t="inlineStr">
        <is>
          <t>Föryngringsavverkning</t>
        </is>
      </c>
      <c r="D4397" s="1" t="n">
        <v>45793</v>
      </c>
      <c r="E4397" s="1" t="n">
        <v>46307</v>
      </c>
      <c r="F4397" t="inlineStr">
        <is>
          <t>VÄRMLANDS LÄN</t>
        </is>
      </c>
      <c r="G4397" t="inlineStr">
        <is>
          <t>TORSBY</t>
        </is>
      </c>
      <c r="H4397" t="inlineStr">
        <is>
          <t>Kyrkan</t>
        </is>
      </c>
      <c r="I4397" t="n">
        <v>2.4</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56644-2024</t>
        </is>
      </c>
      <c r="B4398" t="inlineStr">
        <is>
          <t>avverkningsanmälan</t>
        </is>
      </c>
      <c r="C4398" t="inlineStr">
        <is>
          <t>Föryngringsavverkning</t>
        </is>
      </c>
      <c r="D4398" s="1" t="n">
        <v>45625</v>
      </c>
      <c r="E4398" s="1" t="n">
        <v>46307</v>
      </c>
      <c r="F4398" t="inlineStr">
        <is>
          <t>VÄRMLANDS LÄN</t>
        </is>
      </c>
      <c r="G4398" t="inlineStr">
        <is>
          <t>ÅRJÄNG</t>
        </is>
      </c>
      <c r="I4398" t="n">
        <v>12.6</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39772-2024</t>
        </is>
      </c>
      <c r="B4399" t="inlineStr">
        <is>
          <t>avverkningsanmälan</t>
        </is>
      </c>
      <c r="C4399" t="inlineStr">
        <is>
          <t>Föryngringsavverkning</t>
        </is>
      </c>
      <c r="D4399" s="1" t="n">
        <v>45552</v>
      </c>
      <c r="E4399" s="1" t="n">
        <v>46307</v>
      </c>
      <c r="F4399" t="inlineStr">
        <is>
          <t>VÄRMLANDS LÄN</t>
        </is>
      </c>
      <c r="G4399" t="inlineStr">
        <is>
          <t>TORSBY</t>
        </is>
      </c>
      <c r="I4399" t="n">
        <v>2.7</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44383-2024</t>
        </is>
      </c>
      <c r="B4400" t="inlineStr">
        <is>
          <t>avverkningsanmälan</t>
        </is>
      </c>
      <c r="C4400" t="inlineStr">
        <is>
          <t>Avverkning för annat ändamål</t>
        </is>
      </c>
      <c r="D4400" s="1" t="n">
        <v>45573</v>
      </c>
      <c r="E4400" s="1" t="n">
        <v>46307</v>
      </c>
      <c r="F4400" t="inlineStr">
        <is>
          <t>VÄRMLANDS LÄN</t>
        </is>
      </c>
      <c r="G4400" t="inlineStr">
        <is>
          <t>SUNNE</t>
        </is>
      </c>
      <c r="I4400" t="n">
        <v>5.4</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47784-2025</t>
        </is>
      </c>
      <c r="B4401" t="inlineStr">
        <is>
          <t>avverkningsanmälan</t>
        </is>
      </c>
      <c r="C4401" t="inlineStr">
        <is>
          <t>Föryngringsavverkning</t>
        </is>
      </c>
      <c r="D4401" s="1" t="n">
        <v>45931</v>
      </c>
      <c r="E4401" s="1" t="n">
        <v>46307</v>
      </c>
      <c r="F4401" t="inlineStr">
        <is>
          <t>VÄRMLANDS LÄN</t>
        </is>
      </c>
      <c r="G4401" t="inlineStr">
        <is>
          <t>KIL</t>
        </is>
      </c>
      <c r="I4401" t="n">
        <v>1</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213-2025</t>
        </is>
      </c>
      <c r="B4402" t="inlineStr">
        <is>
          <t>avverkningsanmälan</t>
        </is>
      </c>
      <c r="C4402" t="inlineStr">
        <is>
          <t>Föryngringsavverkning</t>
        </is>
      </c>
      <c r="D4402" s="1" t="n">
        <v>45660</v>
      </c>
      <c r="E4402" s="1" t="n">
        <v>46307</v>
      </c>
      <c r="F4402" t="inlineStr">
        <is>
          <t>VÄRMLANDS LÄN</t>
        </is>
      </c>
      <c r="G4402" t="inlineStr">
        <is>
          <t>STORFORS</t>
        </is>
      </c>
      <c r="I4402" t="n">
        <v>3.5</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24052-2025</t>
        </is>
      </c>
      <c r="B4403" t="inlineStr">
        <is>
          <t>avverkningsanmälan</t>
        </is>
      </c>
      <c r="C4403" t="inlineStr">
        <is>
          <t>Föryngringsavverkning</t>
        </is>
      </c>
      <c r="D4403" s="1" t="n">
        <v>45796</v>
      </c>
      <c r="E4403" s="1" t="n">
        <v>46307</v>
      </c>
      <c r="F4403" t="inlineStr">
        <is>
          <t>VÄRMLANDS LÄN</t>
        </is>
      </c>
      <c r="G4403" t="inlineStr">
        <is>
          <t>EDA</t>
        </is>
      </c>
      <c r="I4403" t="n">
        <v>1.3</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40360-2024</t>
        </is>
      </c>
      <c r="B4404" t="inlineStr">
        <is>
          <t>avverkningsanmälan</t>
        </is>
      </c>
      <c r="C4404" t="inlineStr">
        <is>
          <t>Föryngringsavverkning</t>
        </is>
      </c>
      <c r="D4404" s="1" t="n">
        <v>45555</v>
      </c>
      <c r="E4404" s="1" t="n">
        <v>46307</v>
      </c>
      <c r="F4404" t="inlineStr">
        <is>
          <t>VÄRMLANDS LÄN</t>
        </is>
      </c>
      <c r="G4404" t="inlineStr">
        <is>
          <t>ÅRJÄNG</t>
        </is>
      </c>
      <c r="I4404" t="n">
        <v>1.7</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47436-2024</t>
        </is>
      </c>
      <c r="B4405" t="inlineStr">
        <is>
          <t>avverkningsanmälan</t>
        </is>
      </c>
      <c r="C4405" t="inlineStr">
        <is>
          <t>Föryngringsavverkning</t>
        </is>
      </c>
      <c r="D4405" s="1" t="n">
        <v>45587</v>
      </c>
      <c r="E4405" s="1" t="n">
        <v>46307</v>
      </c>
      <c r="F4405" t="inlineStr">
        <is>
          <t>VÄRMLANDS LÄN</t>
        </is>
      </c>
      <c r="G4405" t="inlineStr">
        <is>
          <t>FILIPSTAD</t>
        </is>
      </c>
      <c r="H4405" t="inlineStr">
        <is>
          <t>Bergvik skog väst AB</t>
        </is>
      </c>
      <c r="I4405" t="n">
        <v>5</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47452-2024</t>
        </is>
      </c>
      <c r="B4406" t="inlineStr">
        <is>
          <t>avverkningsanmälan</t>
        </is>
      </c>
      <c r="C4406" t="inlineStr">
        <is>
          <t>Avverkning för annat ändamål</t>
        </is>
      </c>
      <c r="D4406" s="1" t="n">
        <v>45587</v>
      </c>
      <c r="E4406" s="1" t="n">
        <v>46307</v>
      </c>
      <c r="F4406" t="inlineStr">
        <is>
          <t>VÄRMLANDS LÄN</t>
        </is>
      </c>
      <c r="G4406" t="inlineStr">
        <is>
          <t>TORSBY</t>
        </is>
      </c>
      <c r="H4406" t="inlineStr">
        <is>
          <t>Övriga Aktiebolag</t>
        </is>
      </c>
      <c r="I4406" t="n">
        <v>1.4</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8712-2024</t>
        </is>
      </c>
      <c r="B4407" t="inlineStr">
        <is>
          <t>avverkningsanmälan</t>
        </is>
      </c>
      <c r="C4407" t="inlineStr">
        <is>
          <t>Föryngringsavverkning</t>
        </is>
      </c>
      <c r="D4407" s="1" t="n">
        <v>45355</v>
      </c>
      <c r="E4407" s="1" t="n">
        <v>46307</v>
      </c>
      <c r="F4407" t="inlineStr">
        <is>
          <t>VÄRMLANDS LÄN</t>
        </is>
      </c>
      <c r="G4407" t="inlineStr">
        <is>
          <t>FILIPSTAD</t>
        </is>
      </c>
      <c r="I4407" t="n">
        <v>3.3</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40061-2024</t>
        </is>
      </c>
      <c r="B4408" t="inlineStr">
        <is>
          <t>avverkningsanmälan</t>
        </is>
      </c>
      <c r="C4408" t="inlineStr">
        <is>
          <t>Föryngringsavverkning</t>
        </is>
      </c>
      <c r="D4408" s="1" t="n">
        <v>45553</v>
      </c>
      <c r="E4408" s="1" t="n">
        <v>46307</v>
      </c>
      <c r="F4408" t="inlineStr">
        <is>
          <t>VÄRMLANDS LÄN</t>
        </is>
      </c>
      <c r="G4408" t="inlineStr">
        <is>
          <t>SUNNE</t>
        </is>
      </c>
      <c r="I4408" t="n">
        <v>2.1</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47046-2024</t>
        </is>
      </c>
      <c r="B4409" t="inlineStr">
        <is>
          <t>avverkningsanmälan</t>
        </is>
      </c>
      <c r="C4409" t="inlineStr">
        <is>
          <t>Föryngringsavverkning</t>
        </is>
      </c>
      <c r="D4409" s="1" t="n">
        <v>45586</v>
      </c>
      <c r="E4409" s="1" t="n">
        <v>46307</v>
      </c>
      <c r="F4409" t="inlineStr">
        <is>
          <t>VÄRMLANDS LÄN</t>
        </is>
      </c>
      <c r="G4409" t="inlineStr">
        <is>
          <t>ARVIKA</t>
        </is>
      </c>
      <c r="H4409" t="inlineStr">
        <is>
          <t>Bergvik skog väst AB</t>
        </is>
      </c>
      <c r="I4409" t="n">
        <v>1</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45124-2024</t>
        </is>
      </c>
      <c r="B4410" t="inlineStr">
        <is>
          <t>avverkningsanmälan</t>
        </is>
      </c>
      <c r="C4410" t="inlineStr">
        <is>
          <t>Föryngringsavverkning</t>
        </is>
      </c>
      <c r="D4410" s="1" t="n">
        <v>45575</v>
      </c>
      <c r="E4410" s="1" t="n">
        <v>46307</v>
      </c>
      <c r="F4410" t="inlineStr">
        <is>
          <t>VÄRMLANDS LÄN</t>
        </is>
      </c>
      <c r="G4410" t="inlineStr">
        <is>
          <t>ÅRJÄNG</t>
        </is>
      </c>
      <c r="I4410" t="n">
        <v>2.8</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45134-2024</t>
        </is>
      </c>
      <c r="B4411" t="inlineStr">
        <is>
          <t>avverkningsanmälan</t>
        </is>
      </c>
      <c r="C4411" t="inlineStr">
        <is>
          <t>Föryngringsavverkning</t>
        </is>
      </c>
      <c r="D4411" s="1" t="n">
        <v>45575</v>
      </c>
      <c r="E4411" s="1" t="n">
        <v>46307</v>
      </c>
      <c r="F4411" t="inlineStr">
        <is>
          <t>VÄRMLANDS LÄN</t>
        </is>
      </c>
      <c r="G4411" t="inlineStr">
        <is>
          <t>TORSBY</t>
        </is>
      </c>
      <c r="H4411" t="inlineStr">
        <is>
          <t>Bergvik skog väst AB</t>
        </is>
      </c>
      <c r="I4411" t="n">
        <v>1.6</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48020-2025</t>
        </is>
      </c>
      <c r="B4412" t="inlineStr">
        <is>
          <t>avverkningsanmälan</t>
        </is>
      </c>
      <c r="C4412" t="inlineStr">
        <is>
          <t>Föryngringsavverkning</t>
        </is>
      </c>
      <c r="D4412" s="1" t="n">
        <v>45932</v>
      </c>
      <c r="E4412" s="1" t="n">
        <v>46307</v>
      </c>
      <c r="F4412" t="inlineStr">
        <is>
          <t>VÄRMLANDS LÄN</t>
        </is>
      </c>
      <c r="G4412" t="inlineStr">
        <is>
          <t>TORSBY</t>
        </is>
      </c>
      <c r="H4412" t="inlineStr">
        <is>
          <t>Bergvik skog väst AB</t>
        </is>
      </c>
      <c r="I4412" t="n">
        <v>4.5</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47604-2025</t>
        </is>
      </c>
      <c r="B4413" t="inlineStr">
        <is>
          <t>avverkningsanmälan</t>
        </is>
      </c>
      <c r="C4413" t="inlineStr">
        <is>
          <t>Föryngringsavverkning</t>
        </is>
      </c>
      <c r="D4413" s="1" t="n">
        <v>45931</v>
      </c>
      <c r="E4413" s="1" t="n">
        <v>46307</v>
      </c>
      <c r="F4413" t="inlineStr">
        <is>
          <t>VÄRMLANDS LÄN</t>
        </is>
      </c>
      <c r="G4413" t="inlineStr">
        <is>
          <t>ÅRJÄNG</t>
        </is>
      </c>
      <c r="I4413" t="n">
        <v>0.4</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10675-2025</t>
        </is>
      </c>
      <c r="B4414" t="inlineStr">
        <is>
          <t>avverkningsanmälan</t>
        </is>
      </c>
      <c r="C4414" t="inlineStr">
        <is>
          <t>Föryngringsavverkning</t>
        </is>
      </c>
      <c r="D4414" s="1" t="n">
        <v>45721</v>
      </c>
      <c r="E4414" s="1" t="n">
        <v>46307</v>
      </c>
      <c r="F4414" t="inlineStr">
        <is>
          <t>VÄRMLANDS LÄN</t>
        </is>
      </c>
      <c r="G4414" t="inlineStr">
        <is>
          <t>SUNNE</t>
        </is>
      </c>
      <c r="I4414" t="n">
        <v>0.7</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21433-2022</t>
        </is>
      </c>
      <c r="B4415" t="inlineStr">
        <is>
          <t>avverkningsanmälan</t>
        </is>
      </c>
      <c r="C4415" t="inlineStr">
        <is>
          <t>Föryngringsavverkning</t>
        </is>
      </c>
      <c r="D4415" s="1" t="n">
        <v>44706</v>
      </c>
      <c r="E4415" s="1" t="n">
        <v>46307</v>
      </c>
      <c r="F4415" t="inlineStr">
        <is>
          <t>VÄRMLANDS LÄN</t>
        </is>
      </c>
      <c r="G4415" t="inlineStr">
        <is>
          <t>ARVIKA</t>
        </is>
      </c>
      <c r="H4415" t="inlineStr">
        <is>
          <t>Bergvik skog väst AB</t>
        </is>
      </c>
      <c r="I4415" t="n">
        <v>0.7</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57893-2023</t>
        </is>
      </c>
      <c r="B4416" t="inlineStr">
        <is>
          <t>avverkningsanmälan</t>
        </is>
      </c>
      <c r="C4416" t="inlineStr">
        <is>
          <t>Föryngringsavverkning</t>
        </is>
      </c>
      <c r="D4416" s="1" t="n">
        <v>45247</v>
      </c>
      <c r="E4416" s="1" t="n">
        <v>46307</v>
      </c>
      <c r="F4416" t="inlineStr">
        <is>
          <t>VÄRMLANDS LÄN</t>
        </is>
      </c>
      <c r="G4416" t="inlineStr">
        <is>
          <t>HAMMARÖ</t>
        </is>
      </c>
      <c r="H4416" t="inlineStr">
        <is>
          <t>Kommuner</t>
        </is>
      </c>
      <c r="I4416" t="n">
        <v>0.7</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7051-2023</t>
        </is>
      </c>
      <c r="B4417" t="inlineStr">
        <is>
          <t>avverkningsanmälan</t>
        </is>
      </c>
      <c r="C4417" t="inlineStr">
        <is>
          <t>Föryngringsavverkning</t>
        </is>
      </c>
      <c r="D4417" s="1" t="n">
        <v>44969</v>
      </c>
      <c r="E4417" s="1" t="n">
        <v>46307</v>
      </c>
      <c r="F4417" t="inlineStr">
        <is>
          <t>VÄRMLANDS LÄN</t>
        </is>
      </c>
      <c r="G4417" t="inlineStr">
        <is>
          <t>SUNNE</t>
        </is>
      </c>
      <c r="I4417" t="n">
        <v>6.3</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7052-2023</t>
        </is>
      </c>
      <c r="B4418" t="inlineStr">
        <is>
          <t>avverkningsanmälan</t>
        </is>
      </c>
      <c r="C4418" t="inlineStr">
        <is>
          <t>Föryngringsavverkning</t>
        </is>
      </c>
      <c r="D4418" s="1" t="n">
        <v>44969</v>
      </c>
      <c r="E4418" s="1" t="n">
        <v>46307</v>
      </c>
      <c r="F4418" t="inlineStr">
        <is>
          <t>VÄRMLANDS LÄN</t>
        </is>
      </c>
      <c r="G4418" t="inlineStr">
        <is>
          <t>SUNNE</t>
        </is>
      </c>
      <c r="I4418" t="n">
        <v>1.6</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47524-2025</t>
        </is>
      </c>
      <c r="B4419" t="inlineStr">
        <is>
          <t>avverkningsanmälan</t>
        </is>
      </c>
      <c r="C4419" t="inlineStr">
        <is>
          <t>Föryngringsavverkning</t>
        </is>
      </c>
      <c r="D4419" s="1" t="n">
        <v>45931</v>
      </c>
      <c r="E4419" s="1" t="n">
        <v>46307</v>
      </c>
      <c r="F4419" t="inlineStr">
        <is>
          <t>VÄRMLANDS LÄN</t>
        </is>
      </c>
      <c r="G4419" t="inlineStr">
        <is>
          <t>ARVIKA</t>
        </is>
      </c>
      <c r="I4419" t="n">
        <v>2.3</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65174-2021</t>
        </is>
      </c>
      <c r="B4420" t="inlineStr">
        <is>
          <t>avverkningsanmälan</t>
        </is>
      </c>
      <c r="C4420" t="inlineStr">
        <is>
          <t>Föryngringsavverkning</t>
        </is>
      </c>
      <c r="D4420" s="1" t="n">
        <v>44515</v>
      </c>
      <c r="E4420" s="1" t="n">
        <v>46307</v>
      </c>
      <c r="F4420" t="inlineStr">
        <is>
          <t>VÄRMLANDS LÄN</t>
        </is>
      </c>
      <c r="G4420" t="inlineStr">
        <is>
          <t>FILIPSTAD</t>
        </is>
      </c>
      <c r="I4420" t="n">
        <v>8</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24279-2025</t>
        </is>
      </c>
      <c r="B4421" t="inlineStr">
        <is>
          <t>avverkningsanmälan</t>
        </is>
      </c>
      <c r="C4421" t="inlineStr">
        <is>
          <t>Föryngringsavverkning</t>
        </is>
      </c>
      <c r="D4421" s="1" t="n">
        <v>45796</v>
      </c>
      <c r="E4421" s="1" t="n">
        <v>46307</v>
      </c>
      <c r="F4421" t="inlineStr">
        <is>
          <t>VÄRMLANDS LÄN</t>
        </is>
      </c>
      <c r="G4421" t="inlineStr">
        <is>
          <t>SUNNE</t>
        </is>
      </c>
      <c r="I4421" t="n">
        <v>0.5</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73553-2021</t>
        </is>
      </c>
      <c r="B4422" t="inlineStr">
        <is>
          <t>avverkningsanmälan</t>
        </is>
      </c>
      <c r="C4422" t="inlineStr">
        <is>
          <t>Föryngringsavverkning</t>
        </is>
      </c>
      <c r="D4422" s="1" t="n">
        <v>44551</v>
      </c>
      <c r="E4422" s="1" t="n">
        <v>46307</v>
      </c>
      <c r="F4422" t="inlineStr">
        <is>
          <t>VÄRMLANDS LÄN</t>
        </is>
      </c>
      <c r="G4422" t="inlineStr">
        <is>
          <t>TORSBY</t>
        </is>
      </c>
      <c r="I4422" t="n">
        <v>5.1</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47566-2025</t>
        </is>
      </c>
      <c r="B4423" t="inlineStr">
        <is>
          <t>avverkningsanmälan</t>
        </is>
      </c>
      <c r="C4423" t="inlineStr">
        <is>
          <t>Föryngringsavverkning</t>
        </is>
      </c>
      <c r="D4423" s="1" t="n">
        <v>45931</v>
      </c>
      <c r="E4423" s="1" t="n">
        <v>46307</v>
      </c>
      <c r="F4423" t="inlineStr">
        <is>
          <t>VÄRMLANDS LÄN</t>
        </is>
      </c>
      <c r="G4423" t="inlineStr">
        <is>
          <t>FILIPSTAD</t>
        </is>
      </c>
      <c r="H4423" t="inlineStr">
        <is>
          <t>Bergvik skog väst AB</t>
        </is>
      </c>
      <c r="I4423" t="n">
        <v>4.5</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44342-2024</t>
        </is>
      </c>
      <c r="B4424" t="inlineStr">
        <is>
          <t>avverkningsanmälan</t>
        </is>
      </c>
      <c r="C4424" t="inlineStr">
        <is>
          <t>Föryngringsavverkning</t>
        </is>
      </c>
      <c r="D4424" s="1" t="n">
        <v>45573</v>
      </c>
      <c r="E4424" s="1" t="n">
        <v>46307</v>
      </c>
      <c r="F4424" t="inlineStr">
        <is>
          <t>VÄRMLANDS LÄN</t>
        </is>
      </c>
      <c r="G4424" t="inlineStr">
        <is>
          <t>TORSBY</t>
        </is>
      </c>
      <c r="I4424" t="n">
        <v>0.9</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60582-2024</t>
        </is>
      </c>
      <c r="B4425" t="inlineStr">
        <is>
          <t>avverkningsanmälan</t>
        </is>
      </c>
      <c r="C4425" t="inlineStr">
        <is>
          <t>Föryngringsavverkning</t>
        </is>
      </c>
      <c r="D4425" s="1" t="n">
        <v>45644</v>
      </c>
      <c r="E4425" s="1" t="n">
        <v>46307</v>
      </c>
      <c r="F4425" t="inlineStr">
        <is>
          <t>VÄRMLANDS LÄN</t>
        </is>
      </c>
      <c r="G4425" t="inlineStr">
        <is>
          <t>HAGFORS</t>
        </is>
      </c>
      <c r="H4425" t="inlineStr">
        <is>
          <t>Kyrkan</t>
        </is>
      </c>
      <c r="I4425" t="n">
        <v>3.9</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73623-2021</t>
        </is>
      </c>
      <c r="B4426" t="inlineStr">
        <is>
          <t>avverkningsanmälan</t>
        </is>
      </c>
      <c r="C4426" t="inlineStr">
        <is>
          <t>Föryngringsavverkning</t>
        </is>
      </c>
      <c r="D4426" s="1" t="n">
        <v>44552</v>
      </c>
      <c r="E4426" s="1" t="n">
        <v>46307</v>
      </c>
      <c r="F4426" t="inlineStr">
        <is>
          <t>VÄRMLANDS LÄN</t>
        </is>
      </c>
      <c r="G4426" t="inlineStr">
        <is>
          <t>ÅRJÄNG</t>
        </is>
      </c>
      <c r="I4426" t="n">
        <v>7.4</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521-2025</t>
        </is>
      </c>
      <c r="B4427" t="inlineStr">
        <is>
          <t>avverkningsanmälan</t>
        </is>
      </c>
      <c r="C4427" t="inlineStr">
        <is>
          <t>Föryngringsavverkning</t>
        </is>
      </c>
      <c r="D4427" s="1" t="n">
        <v>45664</v>
      </c>
      <c r="E4427" s="1" t="n">
        <v>46307</v>
      </c>
      <c r="F4427" t="inlineStr">
        <is>
          <t>VÄRMLANDS LÄN</t>
        </is>
      </c>
      <c r="G4427" t="inlineStr">
        <is>
          <t>ÅRJÄNG</t>
        </is>
      </c>
      <c r="I4427" t="n">
        <v>2.7</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45599-2023</t>
        </is>
      </c>
      <c r="B4428" t="inlineStr">
        <is>
          <t>avverkningsanmälan</t>
        </is>
      </c>
      <c r="C4428" t="inlineStr">
        <is>
          <t>Föryngringsavverkning</t>
        </is>
      </c>
      <c r="D4428" s="1" t="n">
        <v>45194</v>
      </c>
      <c r="E4428" s="1" t="n">
        <v>46307</v>
      </c>
      <c r="F4428" t="inlineStr">
        <is>
          <t>VÄRMLANDS LÄN</t>
        </is>
      </c>
      <c r="G4428" t="inlineStr">
        <is>
          <t>KIL</t>
        </is>
      </c>
      <c r="I4428" t="n">
        <v>3.4</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13982-2024</t>
        </is>
      </c>
      <c r="B4429" t="inlineStr">
        <is>
          <t>avverkningsanmälan</t>
        </is>
      </c>
      <c r="C4429" t="inlineStr">
        <is>
          <t>Föryngringsavverkning</t>
        </is>
      </c>
      <c r="D4429" s="1" t="n">
        <v>45392</v>
      </c>
      <c r="E4429" s="1" t="n">
        <v>46307</v>
      </c>
      <c r="F4429" t="inlineStr">
        <is>
          <t>VÄRMLANDS LÄN</t>
        </is>
      </c>
      <c r="G4429" t="inlineStr">
        <is>
          <t>ARVIKA</t>
        </is>
      </c>
      <c r="I4429" t="n">
        <v>0.5</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31576-2024</t>
        </is>
      </c>
      <c r="B4430" t="inlineStr">
        <is>
          <t>avverkningsanmälan</t>
        </is>
      </c>
      <c r="C4430" t="inlineStr">
        <is>
          <t>Föryngringsavverkning</t>
        </is>
      </c>
      <c r="D4430" s="1" t="n">
        <v>45506</v>
      </c>
      <c r="E4430" s="1" t="n">
        <v>46307</v>
      </c>
      <c r="F4430" t="inlineStr">
        <is>
          <t>VÄRMLANDS LÄN</t>
        </is>
      </c>
      <c r="G4430" t="inlineStr">
        <is>
          <t>ARVIKA</t>
        </is>
      </c>
      <c r="I4430" t="n">
        <v>2.5</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28004-2024</t>
        </is>
      </c>
      <c r="B4431" t="inlineStr">
        <is>
          <t>avverkningsanmälan</t>
        </is>
      </c>
      <c r="C4431" t="inlineStr">
        <is>
          <t>Föryngringsavverkning</t>
        </is>
      </c>
      <c r="D4431" s="1" t="n">
        <v>45476</v>
      </c>
      <c r="E4431" s="1" t="n">
        <v>46307</v>
      </c>
      <c r="F4431" t="inlineStr">
        <is>
          <t>VÄRMLANDS LÄN</t>
        </is>
      </c>
      <c r="G4431" t="inlineStr">
        <is>
          <t>SUNNE</t>
        </is>
      </c>
      <c r="I4431" t="n">
        <v>2.6</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23270-2024</t>
        </is>
      </c>
      <c r="B4432" t="inlineStr">
        <is>
          <t>avverkningsanmälan</t>
        </is>
      </c>
      <c r="C4432" t="inlineStr">
        <is>
          <t>Föryngringsavverkning</t>
        </is>
      </c>
      <c r="D4432" s="1" t="n">
        <v>45450</v>
      </c>
      <c r="E4432" s="1" t="n">
        <v>46307</v>
      </c>
      <c r="F4432" t="inlineStr">
        <is>
          <t>VÄRMLANDS LÄN</t>
        </is>
      </c>
      <c r="G4432" t="inlineStr">
        <is>
          <t>KRISTINEHAMN</t>
        </is>
      </c>
      <c r="H4432" t="inlineStr">
        <is>
          <t>Kommuner</t>
        </is>
      </c>
      <c r="I4432" t="n">
        <v>2.8</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57323-2024</t>
        </is>
      </c>
      <c r="B4433" t="inlineStr">
        <is>
          <t>avverkningsanmälan</t>
        </is>
      </c>
      <c r="C4433" t="inlineStr">
        <is>
          <t>Föryngringsavverkning</t>
        </is>
      </c>
      <c r="D4433" s="1" t="n">
        <v>45629</v>
      </c>
      <c r="E4433" s="1" t="n">
        <v>46307</v>
      </c>
      <c r="F4433" t="inlineStr">
        <is>
          <t>VÄRMLANDS LÄN</t>
        </is>
      </c>
      <c r="G4433" t="inlineStr">
        <is>
          <t>EDA</t>
        </is>
      </c>
      <c r="I4433" t="n">
        <v>3.8</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47917-2025</t>
        </is>
      </c>
      <c r="B4434" t="inlineStr">
        <is>
          <t>avverkningsanmälan</t>
        </is>
      </c>
      <c r="C4434" t="inlineStr">
        <is>
          <t>Föryngringsavverkning</t>
        </is>
      </c>
      <c r="D4434" s="1" t="n">
        <v>45932</v>
      </c>
      <c r="E4434" s="1" t="n">
        <v>46307</v>
      </c>
      <c r="F4434" t="inlineStr">
        <is>
          <t>VÄRMLANDS LÄN</t>
        </is>
      </c>
      <c r="G4434" t="inlineStr">
        <is>
          <t>FORSHAGA</t>
        </is>
      </c>
      <c r="I4434" t="n">
        <v>0.4</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47940-2025</t>
        </is>
      </c>
      <c r="B4435" t="inlineStr">
        <is>
          <t>avverkningsanmälan</t>
        </is>
      </c>
      <c r="C4435" t="inlineStr">
        <is>
          <t>Föryngringsavverkning</t>
        </is>
      </c>
      <c r="D4435" s="1" t="n">
        <v>45932</v>
      </c>
      <c r="E4435" s="1" t="n">
        <v>46307</v>
      </c>
      <c r="F4435" t="inlineStr">
        <is>
          <t>VÄRMLANDS LÄN</t>
        </is>
      </c>
      <c r="G4435" t="inlineStr">
        <is>
          <t>FORSHAGA</t>
        </is>
      </c>
      <c r="I4435" t="n">
        <v>3</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20386-2025</t>
        </is>
      </c>
      <c r="B4436" t="inlineStr">
        <is>
          <t>avverkningsanmälan</t>
        </is>
      </c>
      <c r="C4436" t="inlineStr">
        <is>
          <t>Föryngringsavverkning</t>
        </is>
      </c>
      <c r="D4436" s="1" t="n">
        <v>45775</v>
      </c>
      <c r="E4436" s="1" t="n">
        <v>46307</v>
      </c>
      <c r="F4436" t="inlineStr">
        <is>
          <t>VÄRMLANDS LÄN</t>
        </is>
      </c>
      <c r="G4436" t="inlineStr">
        <is>
          <t>ARVIKA</t>
        </is>
      </c>
      <c r="I4436" t="n">
        <v>0.9</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57503-2024</t>
        </is>
      </c>
      <c r="B4437" t="inlineStr">
        <is>
          <t>avverkningsanmälan</t>
        </is>
      </c>
      <c r="C4437" t="inlineStr">
        <is>
          <t>Föryngringsavverkning</t>
        </is>
      </c>
      <c r="D4437" s="1" t="n">
        <v>45630</v>
      </c>
      <c r="E4437" s="1" t="n">
        <v>46307</v>
      </c>
      <c r="F4437" t="inlineStr">
        <is>
          <t>VÄRMLANDS LÄN</t>
        </is>
      </c>
      <c r="G4437" t="inlineStr">
        <is>
          <t>KARLSTAD</t>
        </is>
      </c>
      <c r="I4437" t="n">
        <v>2</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60701-2024</t>
        </is>
      </c>
      <c r="B4438" t="inlineStr">
        <is>
          <t>avverkningsanmälan</t>
        </is>
      </c>
      <c r="C4438" t="inlineStr">
        <is>
          <t>Föryngringsavverkning</t>
        </is>
      </c>
      <c r="D4438" s="1" t="n">
        <v>45644</v>
      </c>
      <c r="E4438" s="1" t="n">
        <v>46307</v>
      </c>
      <c r="F4438" t="inlineStr">
        <is>
          <t>VÄRMLANDS LÄN</t>
        </is>
      </c>
      <c r="G4438" t="inlineStr">
        <is>
          <t>SUNNE</t>
        </is>
      </c>
      <c r="I4438" t="n">
        <v>0.5</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10028-2023</t>
        </is>
      </c>
      <c r="B4439" t="inlineStr">
        <is>
          <t>avverkningsanmälan</t>
        </is>
      </c>
      <c r="C4439" t="inlineStr">
        <is>
          <t>Föryngringsavverkning</t>
        </is>
      </c>
      <c r="D4439" s="1" t="n">
        <v>44985</v>
      </c>
      <c r="E4439" s="1" t="n">
        <v>46307</v>
      </c>
      <c r="F4439" t="inlineStr">
        <is>
          <t>VÄRMLANDS LÄN</t>
        </is>
      </c>
      <c r="G4439" t="inlineStr">
        <is>
          <t>SÄFFLE</t>
        </is>
      </c>
      <c r="I4439" t="n">
        <v>3</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29698-2024</t>
        </is>
      </c>
      <c r="B4440" t="inlineStr">
        <is>
          <t>avverkningsanmälan</t>
        </is>
      </c>
      <c r="C4440" t="inlineStr">
        <is>
          <t>Avverkning för annat ändamål</t>
        </is>
      </c>
      <c r="D4440" s="1" t="n">
        <v>45484</v>
      </c>
      <c r="E4440" s="1" t="n">
        <v>46307</v>
      </c>
      <c r="F4440" t="inlineStr">
        <is>
          <t>VÄRMLANDS LÄN</t>
        </is>
      </c>
      <c r="G4440" t="inlineStr">
        <is>
          <t>KIL</t>
        </is>
      </c>
      <c r="I4440" t="n">
        <v>0.4</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47995-2025</t>
        </is>
      </c>
      <c r="B4441" t="inlineStr">
        <is>
          <t>avverkningsanmälan</t>
        </is>
      </c>
      <c r="C4441" t="inlineStr">
        <is>
          <t>Föryngringsavverkning</t>
        </is>
      </c>
      <c r="D4441" s="1" t="n">
        <v>45932</v>
      </c>
      <c r="E4441" s="1" t="n">
        <v>46307</v>
      </c>
      <c r="F4441" t="inlineStr">
        <is>
          <t>VÄRMLANDS LÄN</t>
        </is>
      </c>
      <c r="G4441" t="inlineStr">
        <is>
          <t>ARVIKA</t>
        </is>
      </c>
      <c r="I4441" t="n">
        <v>0.7</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13289-2025</t>
        </is>
      </c>
      <c r="B4442" t="inlineStr">
        <is>
          <t>avverkningsanmälan</t>
        </is>
      </c>
      <c r="C4442" t="inlineStr">
        <is>
          <t>Föryngringsavverkning</t>
        </is>
      </c>
      <c r="D4442" s="1" t="n">
        <v>45735</v>
      </c>
      <c r="E4442" s="1" t="n">
        <v>46307</v>
      </c>
      <c r="F4442" t="inlineStr">
        <is>
          <t>VÄRMLANDS LÄN</t>
        </is>
      </c>
      <c r="G4442" t="inlineStr">
        <is>
          <t>GRUMS</t>
        </is>
      </c>
      <c r="I4442" t="n">
        <v>2</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16560-2022</t>
        </is>
      </c>
      <c r="B4443" t="inlineStr">
        <is>
          <t>avverkningsanmälan</t>
        </is>
      </c>
      <c r="C4443" t="inlineStr">
        <is>
          <t>Föryngringsavverkning</t>
        </is>
      </c>
      <c r="D4443" s="1" t="n">
        <v>44672</v>
      </c>
      <c r="E4443" s="1" t="n">
        <v>46307</v>
      </c>
      <c r="F4443" t="inlineStr">
        <is>
          <t>VÄRMLANDS LÄN</t>
        </is>
      </c>
      <c r="G4443" t="inlineStr">
        <is>
          <t>KARLSTAD</t>
        </is>
      </c>
      <c r="I4443" t="n">
        <v>7.7</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37609-2024</t>
        </is>
      </c>
      <c r="B4444" t="inlineStr">
        <is>
          <t>avverkningsanmälan</t>
        </is>
      </c>
      <c r="C4444" t="inlineStr">
        <is>
          <t>Föryngringsavverkning</t>
        </is>
      </c>
      <c r="D4444" s="1" t="n">
        <v>45541</v>
      </c>
      <c r="E4444" s="1" t="n">
        <v>46307</v>
      </c>
      <c r="F4444" t="inlineStr">
        <is>
          <t>VÄRMLANDS LÄN</t>
        </is>
      </c>
      <c r="G4444" t="inlineStr">
        <is>
          <t>EDA</t>
        </is>
      </c>
      <c r="I4444" t="n">
        <v>1.9</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24435-2025</t>
        </is>
      </c>
      <c r="B4445" t="inlineStr">
        <is>
          <t>avverkningsanmälan</t>
        </is>
      </c>
      <c r="C4445" t="inlineStr">
        <is>
          <t>Avverkning för att bevara och utveckla /försöksver</t>
        </is>
      </c>
      <c r="D4445" s="1" t="n">
        <v>45797</v>
      </c>
      <c r="E4445" s="1" t="n">
        <v>46307</v>
      </c>
      <c r="F4445" t="inlineStr">
        <is>
          <t>VÄRMLANDS LÄN</t>
        </is>
      </c>
      <c r="G4445" t="inlineStr">
        <is>
          <t>HAGFORS</t>
        </is>
      </c>
      <c r="I4445" t="n">
        <v>0.8</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11558-2025</t>
        </is>
      </c>
      <c r="B4446" t="inlineStr">
        <is>
          <t>avverkningsanmälan</t>
        </is>
      </c>
      <c r="C4446" t="inlineStr">
        <is>
          <t>Föryngringsavverkning</t>
        </is>
      </c>
      <c r="D4446" s="1" t="n">
        <v>45727</v>
      </c>
      <c r="E4446" s="1" t="n">
        <v>46307</v>
      </c>
      <c r="F4446" t="inlineStr">
        <is>
          <t>VÄRMLANDS LÄN</t>
        </is>
      </c>
      <c r="G4446" t="inlineStr">
        <is>
          <t>KIL</t>
        </is>
      </c>
      <c r="I4446" t="n">
        <v>1</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37620-2024</t>
        </is>
      </c>
      <c r="B4447" t="inlineStr">
        <is>
          <t>avverkningsanmälan</t>
        </is>
      </c>
      <c r="C4447" t="inlineStr">
        <is>
          <t>Föryngringsavverkning</t>
        </is>
      </c>
      <c r="D4447" s="1" t="n">
        <v>45541</v>
      </c>
      <c r="E4447" s="1" t="n">
        <v>46307</v>
      </c>
      <c r="F4447" t="inlineStr">
        <is>
          <t>VÄRMLANDS LÄN</t>
        </is>
      </c>
      <c r="G4447" t="inlineStr">
        <is>
          <t>KIL</t>
        </is>
      </c>
      <c r="I4447" t="n">
        <v>0.1</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37630-2024</t>
        </is>
      </c>
      <c r="B4448" t="inlineStr">
        <is>
          <t>avverkningsanmälan</t>
        </is>
      </c>
      <c r="C4448" t="inlineStr">
        <is>
          <t>Föryngringsavverkning</t>
        </is>
      </c>
      <c r="D4448" s="1" t="n">
        <v>45541</v>
      </c>
      <c r="E4448" s="1" t="n">
        <v>46307</v>
      </c>
      <c r="F4448" t="inlineStr">
        <is>
          <t>VÄRMLANDS LÄN</t>
        </is>
      </c>
      <c r="G4448" t="inlineStr">
        <is>
          <t>ARVIKA</t>
        </is>
      </c>
      <c r="I4448" t="n">
        <v>3</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48042-2025</t>
        </is>
      </c>
      <c r="B4449" t="inlineStr">
        <is>
          <t>avverkningsanmälan</t>
        </is>
      </c>
      <c r="C4449" t="inlineStr">
        <is>
          <t>Föryngringsavverkning</t>
        </is>
      </c>
      <c r="D4449" s="1" t="n">
        <v>45932</v>
      </c>
      <c r="E4449" s="1" t="n">
        <v>46307</v>
      </c>
      <c r="F4449" t="inlineStr">
        <is>
          <t>VÄRMLANDS LÄN</t>
        </is>
      </c>
      <c r="G4449" t="inlineStr">
        <is>
          <t>HAGFORS</t>
        </is>
      </c>
      <c r="H4449" t="inlineStr">
        <is>
          <t>Bergvik skog väst AB</t>
        </is>
      </c>
      <c r="I4449" t="n">
        <v>3.1</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48064-2025</t>
        </is>
      </c>
      <c r="B4450" t="inlineStr">
        <is>
          <t>avverkningsanmälan</t>
        </is>
      </c>
      <c r="C4450" t="inlineStr">
        <is>
          <t>Föryngringsavverkning</t>
        </is>
      </c>
      <c r="D4450" s="1" t="n">
        <v>45932</v>
      </c>
      <c r="E4450" s="1" t="n">
        <v>46307</v>
      </c>
      <c r="F4450" t="inlineStr">
        <is>
          <t>VÄRMLANDS LÄN</t>
        </is>
      </c>
      <c r="G4450" t="inlineStr">
        <is>
          <t>ARVIKA</t>
        </is>
      </c>
      <c r="I4450" t="n">
        <v>4.3</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47502-2025</t>
        </is>
      </c>
      <c r="B4451" t="inlineStr">
        <is>
          <t>avverkningsanmälan</t>
        </is>
      </c>
      <c r="C4451" t="inlineStr">
        <is>
          <t>Föryngringsavverkning</t>
        </is>
      </c>
      <c r="D4451" s="1" t="n">
        <v>45930</v>
      </c>
      <c r="E4451" s="1" t="n">
        <v>46307</v>
      </c>
      <c r="F4451" t="inlineStr">
        <is>
          <t>VÄRMLANDS LÄN</t>
        </is>
      </c>
      <c r="G4451" t="inlineStr">
        <is>
          <t>ÅRJÄNG</t>
        </is>
      </c>
      <c r="I4451" t="n">
        <v>10.5</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56509-2024</t>
        </is>
      </c>
      <c r="B4452" t="inlineStr">
        <is>
          <t>avverkningsanmälan</t>
        </is>
      </c>
      <c r="C4452" t="inlineStr">
        <is>
          <t>Föryngringsavverkning</t>
        </is>
      </c>
      <c r="D4452" s="1" t="n">
        <v>45625</v>
      </c>
      <c r="E4452" s="1" t="n">
        <v>46307</v>
      </c>
      <c r="F4452" t="inlineStr">
        <is>
          <t>VÄRMLANDS LÄN</t>
        </is>
      </c>
      <c r="G4452" t="inlineStr">
        <is>
          <t>TORSBY</t>
        </is>
      </c>
      <c r="I4452" t="n">
        <v>2.6</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12615-2022</t>
        </is>
      </c>
      <c r="B4453" t="inlineStr">
        <is>
          <t>avverkningsanmälan</t>
        </is>
      </c>
      <c r="C4453" t="inlineStr">
        <is>
          <t>Föryngringsavverkning</t>
        </is>
      </c>
      <c r="D4453" s="1" t="n">
        <v>44641</v>
      </c>
      <c r="E4453" s="1" t="n">
        <v>46307</v>
      </c>
      <c r="F4453" t="inlineStr">
        <is>
          <t>VÄRMLANDS LÄN</t>
        </is>
      </c>
      <c r="G4453" t="inlineStr">
        <is>
          <t>EDA</t>
        </is>
      </c>
      <c r="I4453" t="n">
        <v>2.6</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8284-2023</t>
        </is>
      </c>
      <c r="B4454" t="inlineStr">
        <is>
          <t>avverkningsanmälan</t>
        </is>
      </c>
      <c r="C4454" t="inlineStr">
        <is>
          <t>Föryngringsavverkning</t>
        </is>
      </c>
      <c r="D4454" s="1" t="n">
        <v>44974</v>
      </c>
      <c r="E4454" s="1" t="n">
        <v>46307</v>
      </c>
      <c r="F4454" t="inlineStr">
        <is>
          <t>VÄRMLANDS LÄN</t>
        </is>
      </c>
      <c r="G4454" t="inlineStr">
        <is>
          <t>TORSBY</t>
        </is>
      </c>
      <c r="I4454" t="n">
        <v>1.9</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8285-2023</t>
        </is>
      </c>
      <c r="B4455" t="inlineStr">
        <is>
          <t>avverkningsanmälan</t>
        </is>
      </c>
      <c r="C4455" t="inlineStr">
        <is>
          <t>Föryngringsavverkning</t>
        </is>
      </c>
      <c r="D4455" s="1" t="n">
        <v>44974</v>
      </c>
      <c r="E4455" s="1" t="n">
        <v>46307</v>
      </c>
      <c r="F4455" t="inlineStr">
        <is>
          <t>VÄRMLANDS LÄN</t>
        </is>
      </c>
      <c r="G4455" t="inlineStr">
        <is>
          <t>SUNNE</t>
        </is>
      </c>
      <c r="I4455" t="n">
        <v>1.7</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45812-2024</t>
        </is>
      </c>
      <c r="B4456" t="inlineStr">
        <is>
          <t>avverkningsanmälan</t>
        </is>
      </c>
      <c r="C4456" t="inlineStr">
        <is>
          <t>Föryngringsavverkning</t>
        </is>
      </c>
      <c r="D4456" s="1" t="n">
        <v>45579</v>
      </c>
      <c r="E4456" s="1" t="n">
        <v>46307</v>
      </c>
      <c r="F4456" t="inlineStr">
        <is>
          <t>VÄRMLANDS LÄN</t>
        </is>
      </c>
      <c r="G4456" t="inlineStr">
        <is>
          <t>TORSBY</t>
        </is>
      </c>
      <c r="I4456" t="n">
        <v>1</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56552-2024</t>
        </is>
      </c>
      <c r="B4457" t="inlineStr">
        <is>
          <t>avverkningsanmälan</t>
        </is>
      </c>
      <c r="C4457" t="inlineStr">
        <is>
          <t>Föryngringsavverkning</t>
        </is>
      </c>
      <c r="D4457" s="1" t="n">
        <v>45625</v>
      </c>
      <c r="E4457" s="1" t="n">
        <v>46307</v>
      </c>
      <c r="F4457" t="inlineStr">
        <is>
          <t>VÄRMLANDS LÄN</t>
        </is>
      </c>
      <c r="G4457" t="inlineStr">
        <is>
          <t>SÄFFLE</t>
        </is>
      </c>
      <c r="I4457" t="n">
        <v>2.5</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19313-2023</t>
        </is>
      </c>
      <c r="B4458" t="inlineStr">
        <is>
          <t>avverkningsanmälan</t>
        </is>
      </c>
      <c r="C4458" t="inlineStr">
        <is>
          <t>Föryngringsavverkning</t>
        </is>
      </c>
      <c r="D4458" s="1" t="n">
        <v>45049</v>
      </c>
      <c r="E4458" s="1" t="n">
        <v>46307</v>
      </c>
      <c r="F4458" t="inlineStr">
        <is>
          <t>VÄRMLANDS LÄN</t>
        </is>
      </c>
      <c r="G4458" t="inlineStr">
        <is>
          <t>ÅRJÄNG</t>
        </is>
      </c>
      <c r="I4458" t="n">
        <v>2</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3027-2022</t>
        </is>
      </c>
      <c r="B4459" t="inlineStr">
        <is>
          <t>avverkningsanmälan</t>
        </is>
      </c>
      <c r="C4459" t="inlineStr">
        <is>
          <t>Föryngringsavverkning</t>
        </is>
      </c>
      <c r="D4459" s="1" t="n">
        <v>44581</v>
      </c>
      <c r="E4459" s="1" t="n">
        <v>46307</v>
      </c>
      <c r="F4459" t="inlineStr">
        <is>
          <t>VÄRMLANDS LÄN</t>
        </is>
      </c>
      <c r="G4459" t="inlineStr">
        <is>
          <t>EDA</t>
        </is>
      </c>
      <c r="I4459" t="n">
        <v>22</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34643-2024</t>
        </is>
      </c>
      <c r="B4460" t="inlineStr">
        <is>
          <t>avverkningsanmälan</t>
        </is>
      </c>
      <c r="C4460" t="inlineStr">
        <is>
          <t>Föryngringsavverkning</t>
        </is>
      </c>
      <c r="D4460" s="1" t="n">
        <v>45526</v>
      </c>
      <c r="E4460" s="1" t="n">
        <v>46307</v>
      </c>
      <c r="F4460" t="inlineStr">
        <is>
          <t>VÄRMLANDS LÄN</t>
        </is>
      </c>
      <c r="G4460" t="inlineStr">
        <is>
          <t>ÅRJÄNG</t>
        </is>
      </c>
      <c r="I4460" t="n">
        <v>3.4</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15406-2025</t>
        </is>
      </c>
      <c r="B4461" t="inlineStr">
        <is>
          <t>avverkningsanmälan</t>
        </is>
      </c>
      <c r="C4461" t="inlineStr">
        <is>
          <t>Föryngringsavverkning</t>
        </is>
      </c>
      <c r="D4461" s="1" t="n">
        <v>45747</v>
      </c>
      <c r="E4461" s="1" t="n">
        <v>46307</v>
      </c>
      <c r="F4461" t="inlineStr">
        <is>
          <t>VÄRMLANDS LÄN</t>
        </is>
      </c>
      <c r="G4461" t="inlineStr">
        <is>
          <t>FILIPSTAD</t>
        </is>
      </c>
      <c r="I4461" t="n">
        <v>1</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460-2022</t>
        </is>
      </c>
      <c r="B4462" t="inlineStr">
        <is>
          <t>avverkningsanmälan</t>
        </is>
      </c>
      <c r="C4462" t="inlineStr">
        <is>
          <t>Föryngringsavverkning</t>
        </is>
      </c>
      <c r="D4462" s="1" t="n">
        <v>44566</v>
      </c>
      <c r="E4462" s="1" t="n">
        <v>46307</v>
      </c>
      <c r="F4462" t="inlineStr">
        <is>
          <t>VÄRMLANDS LÄN</t>
        </is>
      </c>
      <c r="G4462" t="inlineStr">
        <is>
          <t>KARLSTAD</t>
        </is>
      </c>
      <c r="I4462" t="n">
        <v>4.7</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50918-2023</t>
        </is>
      </c>
      <c r="B4463" t="inlineStr">
        <is>
          <t>avverkningsanmälan</t>
        </is>
      </c>
      <c r="C4463" t="inlineStr">
        <is>
          <t>Föryngringsavverkning</t>
        </is>
      </c>
      <c r="D4463" s="1" t="n">
        <v>45218</v>
      </c>
      <c r="E4463" s="1" t="n">
        <v>46307</v>
      </c>
      <c r="F4463" t="inlineStr">
        <is>
          <t>VÄRMLANDS LÄN</t>
        </is>
      </c>
      <c r="G4463" t="inlineStr">
        <is>
          <t>ÅRJÄNG</t>
        </is>
      </c>
      <c r="I4463" t="n">
        <v>0.9</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47722-2025</t>
        </is>
      </c>
      <c r="B4464" t="inlineStr">
        <is>
          <t>avverkningsanmälan</t>
        </is>
      </c>
      <c r="C4464" t="inlineStr">
        <is>
          <t>Föryngringsavverkning</t>
        </is>
      </c>
      <c r="D4464" s="1" t="n">
        <v>45931</v>
      </c>
      <c r="E4464" s="1" t="n">
        <v>46307</v>
      </c>
      <c r="F4464" t="inlineStr">
        <is>
          <t>VÄRMLANDS LÄN</t>
        </is>
      </c>
      <c r="G4464" t="inlineStr">
        <is>
          <t>KIL</t>
        </is>
      </c>
      <c r="I4464" t="n">
        <v>0.4</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45592-2024</t>
        </is>
      </c>
      <c r="B4465" t="inlineStr">
        <is>
          <t>avverkningsanmälan</t>
        </is>
      </c>
      <c r="C4465" t="inlineStr">
        <is>
          <t>Föryngringsavverkning</t>
        </is>
      </c>
      <c r="D4465" s="1" t="n">
        <v>45579</v>
      </c>
      <c r="E4465" s="1" t="n">
        <v>46307</v>
      </c>
      <c r="F4465" t="inlineStr">
        <is>
          <t>VÄRMLANDS LÄN</t>
        </is>
      </c>
      <c r="G4465" t="inlineStr">
        <is>
          <t>FILIPSTAD</t>
        </is>
      </c>
      <c r="H4465" t="inlineStr">
        <is>
          <t>Kyrkan</t>
        </is>
      </c>
      <c r="I4465" t="n">
        <v>4.1</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8016-2023</t>
        </is>
      </c>
      <c r="B4466" t="inlineStr">
        <is>
          <t>avverkningsanmälan</t>
        </is>
      </c>
      <c r="C4466" t="inlineStr">
        <is>
          <t>Avverkning för annat ändamål</t>
        </is>
      </c>
      <c r="D4466" s="1" t="n">
        <v>44973</v>
      </c>
      <c r="E4466" s="1" t="n">
        <v>46307</v>
      </c>
      <c r="F4466" t="inlineStr">
        <is>
          <t>VÄRMLANDS LÄN</t>
        </is>
      </c>
      <c r="G4466" t="inlineStr">
        <is>
          <t>TORSBY</t>
        </is>
      </c>
      <c r="I4466" t="n">
        <v>0.7</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48075-2025</t>
        </is>
      </c>
      <c r="B4467" t="inlineStr">
        <is>
          <t>avverkningsanmälan</t>
        </is>
      </c>
      <c r="C4467" t="inlineStr">
        <is>
          <t>Föryngringsavverkning</t>
        </is>
      </c>
      <c r="D4467" s="1" t="n">
        <v>45932</v>
      </c>
      <c r="E4467" s="1" t="n">
        <v>46307</v>
      </c>
      <c r="F4467" t="inlineStr">
        <is>
          <t>VÄRMLANDS LÄN</t>
        </is>
      </c>
      <c r="G4467" t="inlineStr">
        <is>
          <t>ARVIKA</t>
        </is>
      </c>
      <c r="I4467" t="n">
        <v>1.3</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47598-2025</t>
        </is>
      </c>
      <c r="B4468" t="inlineStr">
        <is>
          <t>avverkningsanmälan</t>
        </is>
      </c>
      <c r="C4468" t="inlineStr">
        <is>
          <t>Föryngringsavverkning</t>
        </is>
      </c>
      <c r="D4468" s="1" t="n">
        <v>45931</v>
      </c>
      <c r="E4468" s="1" t="n">
        <v>46307</v>
      </c>
      <c r="F4468" t="inlineStr">
        <is>
          <t>VÄRMLANDS LÄN</t>
        </is>
      </c>
      <c r="G4468" t="inlineStr">
        <is>
          <t>SUNNE</t>
        </is>
      </c>
      <c r="I4468" t="n">
        <v>1.7</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16798-2025</t>
        </is>
      </c>
      <c r="B4469" t="inlineStr">
        <is>
          <t>avverkningsanmälan</t>
        </is>
      </c>
      <c r="C4469" t="inlineStr">
        <is>
          <t>Föryngringsavverkning</t>
        </is>
      </c>
      <c r="D4469" s="1" t="n">
        <v>45754</v>
      </c>
      <c r="E4469" s="1" t="n">
        <v>46307</v>
      </c>
      <c r="F4469" t="inlineStr">
        <is>
          <t>VÄRMLANDS LÄN</t>
        </is>
      </c>
      <c r="G4469" t="inlineStr">
        <is>
          <t>HAGFORS</t>
        </is>
      </c>
      <c r="H4469" t="inlineStr">
        <is>
          <t>Bergvik skog väst AB</t>
        </is>
      </c>
      <c r="I4469" t="n">
        <v>1.7</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53368-2024</t>
        </is>
      </c>
      <c r="B4470" t="inlineStr">
        <is>
          <t>avverkningsanmälan</t>
        </is>
      </c>
      <c r="C4470" t="inlineStr">
        <is>
          <t>Avverkning för annat ändamål</t>
        </is>
      </c>
      <c r="D4470" s="1" t="n">
        <v>45614</v>
      </c>
      <c r="E4470" s="1" t="n">
        <v>46307</v>
      </c>
      <c r="F4470" t="inlineStr">
        <is>
          <t>VÄRMLANDS LÄN</t>
        </is>
      </c>
      <c r="G4470" t="inlineStr">
        <is>
          <t>TORSBY</t>
        </is>
      </c>
      <c r="I4470" t="n">
        <v>0.5</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39997-2024</t>
        </is>
      </c>
      <c r="B4471" t="inlineStr">
        <is>
          <t>avverkningsanmälan</t>
        </is>
      </c>
      <c r="C4471" t="inlineStr">
        <is>
          <t>Föryngringsavverkning</t>
        </is>
      </c>
      <c r="D4471" s="1" t="n">
        <v>45553</v>
      </c>
      <c r="E4471" s="1" t="n">
        <v>46307</v>
      </c>
      <c r="F4471" t="inlineStr">
        <is>
          <t>VÄRMLANDS LÄN</t>
        </is>
      </c>
      <c r="G4471" t="inlineStr">
        <is>
          <t>KRISTINEHAMN</t>
        </is>
      </c>
      <c r="I4471" t="n">
        <v>2.5</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56342-2024</t>
        </is>
      </c>
      <c r="B4472" t="inlineStr">
        <is>
          <t>avverkningsanmälan</t>
        </is>
      </c>
      <c r="C4472" t="inlineStr">
        <is>
          <t>Föryngringsavverkning</t>
        </is>
      </c>
      <c r="D4472" s="1" t="n">
        <v>45624</v>
      </c>
      <c r="E4472" s="1" t="n">
        <v>46307</v>
      </c>
      <c r="F4472" t="inlineStr">
        <is>
          <t>VÄRMLANDS LÄN</t>
        </is>
      </c>
      <c r="G4472" t="inlineStr">
        <is>
          <t>ÅRJÄNG</t>
        </is>
      </c>
      <c r="I4472" t="n">
        <v>1.4</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47927-2025</t>
        </is>
      </c>
      <c r="B4473" t="inlineStr">
        <is>
          <t>avverkningsanmälan</t>
        </is>
      </c>
      <c r="C4473" t="inlineStr">
        <is>
          <t>Föryngringsavverkning</t>
        </is>
      </c>
      <c r="D4473" s="1" t="n">
        <v>45932</v>
      </c>
      <c r="E4473" s="1" t="n">
        <v>46307</v>
      </c>
      <c r="F4473" t="inlineStr">
        <is>
          <t>VÄRMLANDS LÄN</t>
        </is>
      </c>
      <c r="G4473" t="inlineStr">
        <is>
          <t>TORSBY</t>
        </is>
      </c>
      <c r="I4473" t="n">
        <v>0.6</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45012-2024</t>
        </is>
      </c>
      <c r="B4474" t="inlineStr">
        <is>
          <t>avverkningsanmälan</t>
        </is>
      </c>
      <c r="C4474" t="inlineStr">
        <is>
          <t>Föryngringsavverkning</t>
        </is>
      </c>
      <c r="D4474" s="1" t="n">
        <v>45575</v>
      </c>
      <c r="E4474" s="1" t="n">
        <v>46307</v>
      </c>
      <c r="F4474" t="inlineStr">
        <is>
          <t>VÄRMLANDS LÄN</t>
        </is>
      </c>
      <c r="G4474" t="inlineStr">
        <is>
          <t>KRISTINEHAMN</t>
        </is>
      </c>
      <c r="I4474" t="n">
        <v>1.5</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48607-2024</t>
        </is>
      </c>
      <c r="B4475" t="inlineStr">
        <is>
          <t>avverkningsanmälan</t>
        </is>
      </c>
      <c r="C4475" t="inlineStr">
        <is>
          <t>Föryngringsavverkning</t>
        </is>
      </c>
      <c r="D4475" s="1" t="n">
        <v>45593</v>
      </c>
      <c r="E4475" s="1" t="n">
        <v>46307</v>
      </c>
      <c r="F4475" t="inlineStr">
        <is>
          <t>VÄRMLANDS LÄN</t>
        </is>
      </c>
      <c r="G4475" t="inlineStr">
        <is>
          <t>ARVIKA</t>
        </is>
      </c>
      <c r="I4475" t="n">
        <v>2.6</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56347-2024</t>
        </is>
      </c>
      <c r="B4476" t="inlineStr">
        <is>
          <t>avverkningsanmälan</t>
        </is>
      </c>
      <c r="C4476" t="inlineStr">
        <is>
          <t>Föryngringsavverkning</t>
        </is>
      </c>
      <c r="D4476" s="1" t="n">
        <v>45624</v>
      </c>
      <c r="E4476" s="1" t="n">
        <v>46307</v>
      </c>
      <c r="F4476" t="inlineStr">
        <is>
          <t>VÄRMLANDS LÄN</t>
        </is>
      </c>
      <c r="G4476" t="inlineStr">
        <is>
          <t>ÅRJÄNG</t>
        </is>
      </c>
      <c r="I4476" t="n">
        <v>4.7</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15412-2022</t>
        </is>
      </c>
      <c r="B4477" t="inlineStr">
        <is>
          <t>avverkningsanmälan</t>
        </is>
      </c>
      <c r="C4477" t="inlineStr">
        <is>
          <t>Föryngringsavverkning</t>
        </is>
      </c>
      <c r="D4477" s="1" t="n">
        <v>44659</v>
      </c>
      <c r="E4477" s="1" t="n">
        <v>46307</v>
      </c>
      <c r="F4477" t="inlineStr">
        <is>
          <t>VÄRMLANDS LÄN</t>
        </is>
      </c>
      <c r="G4477" t="inlineStr">
        <is>
          <t>SÄFFLE</t>
        </is>
      </c>
      <c r="I4477" t="n">
        <v>1.9</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22332-2024</t>
        </is>
      </c>
      <c r="B4478" t="inlineStr">
        <is>
          <t>avverkningsanmälan</t>
        </is>
      </c>
      <c r="C4478" t="inlineStr">
        <is>
          <t>Föryngringsavverkning</t>
        </is>
      </c>
      <c r="D4478" s="1" t="n">
        <v>45446</v>
      </c>
      <c r="E4478" s="1" t="n">
        <v>46307</v>
      </c>
      <c r="F4478" t="inlineStr">
        <is>
          <t>VÄRMLANDS LÄN</t>
        </is>
      </c>
      <c r="G4478" t="inlineStr">
        <is>
          <t>HAGFORS</t>
        </is>
      </c>
      <c r="I4478" t="n">
        <v>1.2</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31624-2024</t>
        </is>
      </c>
      <c r="B4479" t="inlineStr">
        <is>
          <t>avverkningsanmälan</t>
        </is>
      </c>
      <c r="C4479" t="inlineStr">
        <is>
          <t>Föryngringsavverkning</t>
        </is>
      </c>
      <c r="D4479" s="1" t="n">
        <v>45506</v>
      </c>
      <c r="E4479" s="1" t="n">
        <v>46307</v>
      </c>
      <c r="F4479" t="inlineStr">
        <is>
          <t>VÄRMLANDS LÄN</t>
        </is>
      </c>
      <c r="G4479" t="inlineStr">
        <is>
          <t>SÄFFLE</t>
        </is>
      </c>
      <c r="H4479" t="inlineStr">
        <is>
          <t>Kyrkan</t>
        </is>
      </c>
      <c r="I4479" t="n">
        <v>2.4</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31657-2024</t>
        </is>
      </c>
      <c r="B4480" t="inlineStr">
        <is>
          <t>avverkningsanmälan</t>
        </is>
      </c>
      <c r="C4480" t="inlineStr">
        <is>
          <t>Föryngringsavverkning</t>
        </is>
      </c>
      <c r="D4480" s="1" t="n">
        <v>45506</v>
      </c>
      <c r="E4480" s="1" t="n">
        <v>46307</v>
      </c>
      <c r="F4480" t="inlineStr">
        <is>
          <t>VÄRMLANDS LÄN</t>
        </is>
      </c>
      <c r="G4480" t="inlineStr">
        <is>
          <t>HAGFORS</t>
        </is>
      </c>
      <c r="I4480" t="n">
        <v>1.9</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22634-2023</t>
        </is>
      </c>
      <c r="B4481" t="inlineStr">
        <is>
          <t>avverkningsanmälan</t>
        </is>
      </c>
      <c r="C4481" t="inlineStr">
        <is>
          <t>Avverkning för annat ändamål</t>
        </is>
      </c>
      <c r="D4481" s="1" t="n">
        <v>45071</v>
      </c>
      <c r="E4481" s="1" t="n">
        <v>46307</v>
      </c>
      <c r="F4481" t="inlineStr">
        <is>
          <t>VÄRMLANDS LÄN</t>
        </is>
      </c>
      <c r="G4481" t="inlineStr">
        <is>
          <t>TORSBY</t>
        </is>
      </c>
      <c r="H4481" t="inlineStr">
        <is>
          <t>Bergvik skog väst AB</t>
        </is>
      </c>
      <c r="I4481" t="n">
        <v>0.2</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24434-2025</t>
        </is>
      </c>
      <c r="B4482" t="inlineStr">
        <is>
          <t>avverkningsanmälan</t>
        </is>
      </c>
      <c r="C4482" t="inlineStr">
        <is>
          <t>Avverkning för att bevara och utveckla /försöksver</t>
        </is>
      </c>
      <c r="D4482" s="1" t="n">
        <v>45797</v>
      </c>
      <c r="E4482" s="1" t="n">
        <v>46307</v>
      </c>
      <c r="F4482" t="inlineStr">
        <is>
          <t>VÄRMLANDS LÄN</t>
        </is>
      </c>
      <c r="G4482" t="inlineStr">
        <is>
          <t>HAGFORS</t>
        </is>
      </c>
      <c r="I4482" t="n">
        <v>2.2</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14988-2024</t>
        </is>
      </c>
      <c r="B4483" t="inlineStr">
        <is>
          <t>avverkningsanmälan</t>
        </is>
      </c>
      <c r="C4483" t="inlineStr">
        <is>
          <t>Föryngringsavverkning</t>
        </is>
      </c>
      <c r="D4483" s="1" t="n">
        <v>45399</v>
      </c>
      <c r="E4483" s="1" t="n">
        <v>46307</v>
      </c>
      <c r="F4483" t="inlineStr">
        <is>
          <t>VÄRMLANDS LÄN</t>
        </is>
      </c>
      <c r="G4483" t="inlineStr">
        <is>
          <t>FORSHAGA</t>
        </is>
      </c>
      <c r="I4483" t="n">
        <v>2.1</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15721-2024</t>
        </is>
      </c>
      <c r="B4484" t="inlineStr">
        <is>
          <t>avverkningsanmälan</t>
        </is>
      </c>
      <c r="C4484" t="inlineStr">
        <is>
          <t>Föryngringsavverkning</t>
        </is>
      </c>
      <c r="D4484" s="1" t="n">
        <v>45404</v>
      </c>
      <c r="E4484" s="1" t="n">
        <v>46307</v>
      </c>
      <c r="F4484" t="inlineStr">
        <is>
          <t>VÄRMLANDS LÄN</t>
        </is>
      </c>
      <c r="G4484" t="inlineStr">
        <is>
          <t>KIL</t>
        </is>
      </c>
      <c r="I4484" t="n">
        <v>3.5</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13524-2025</t>
        </is>
      </c>
      <c r="B4485" t="inlineStr">
        <is>
          <t>avverkningsanmälan</t>
        </is>
      </c>
      <c r="C4485" t="inlineStr">
        <is>
          <t>Föryngringsavverkning</t>
        </is>
      </c>
      <c r="D4485" s="1" t="n">
        <v>45736</v>
      </c>
      <c r="E4485" s="1" t="n">
        <v>46307</v>
      </c>
      <c r="F4485" t="inlineStr">
        <is>
          <t>VÄRMLANDS LÄN</t>
        </is>
      </c>
      <c r="G4485" t="inlineStr">
        <is>
          <t>HAGFORS</t>
        </is>
      </c>
      <c r="I4485" t="n">
        <v>1.9</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57469-2024</t>
        </is>
      </c>
      <c r="B4486" t="inlineStr">
        <is>
          <t>avverkningsanmälan</t>
        </is>
      </c>
      <c r="C4486" t="inlineStr">
        <is>
          <t>Föryngringsavverkning</t>
        </is>
      </c>
      <c r="D4486" s="1" t="n">
        <v>45630</v>
      </c>
      <c r="E4486" s="1" t="n">
        <v>46307</v>
      </c>
      <c r="F4486" t="inlineStr">
        <is>
          <t>VÄRMLANDS LÄN</t>
        </is>
      </c>
      <c r="G4486" t="inlineStr">
        <is>
          <t>TORSBY</t>
        </is>
      </c>
      <c r="H4486" t="inlineStr">
        <is>
          <t>Bergvik skog väst AB</t>
        </is>
      </c>
      <c r="I4486" t="n">
        <v>12.8</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47507-2025</t>
        </is>
      </c>
      <c r="B4487" t="inlineStr">
        <is>
          <t>avverkningsanmälan</t>
        </is>
      </c>
      <c r="C4487" t="inlineStr">
        <is>
          <t>Föryngringsavverkning</t>
        </is>
      </c>
      <c r="D4487" s="1" t="n">
        <v>45930</v>
      </c>
      <c r="E4487" s="1" t="n">
        <v>46307</v>
      </c>
      <c r="F4487" t="inlineStr">
        <is>
          <t>VÄRMLANDS LÄN</t>
        </is>
      </c>
      <c r="G4487" t="inlineStr">
        <is>
          <t>GRUMS</t>
        </is>
      </c>
      <c r="I4487" t="n">
        <v>2.9</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47704-2025</t>
        </is>
      </c>
      <c r="B4488" t="inlineStr">
        <is>
          <t>avverkningsanmälan</t>
        </is>
      </c>
      <c r="C4488" t="inlineStr">
        <is>
          <t>Föryngringsavverkning</t>
        </is>
      </c>
      <c r="D4488" s="1" t="n">
        <v>45931</v>
      </c>
      <c r="E4488" s="1" t="n">
        <v>46307</v>
      </c>
      <c r="F4488" t="inlineStr">
        <is>
          <t>VÄRMLANDS LÄN</t>
        </is>
      </c>
      <c r="G4488" t="inlineStr">
        <is>
          <t>KIL</t>
        </is>
      </c>
      <c r="I4488" t="n">
        <v>0.5</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4606-2024</t>
        </is>
      </c>
      <c r="B4489" t="inlineStr">
        <is>
          <t>avverkningsanmälan</t>
        </is>
      </c>
      <c r="C4489" t="inlineStr">
        <is>
          <t>Föryngringsavverkning</t>
        </is>
      </c>
      <c r="D4489" s="1" t="n">
        <v>45328</v>
      </c>
      <c r="E4489" s="1" t="n">
        <v>46307</v>
      </c>
      <c r="F4489" t="inlineStr">
        <is>
          <t>VÄRMLANDS LÄN</t>
        </is>
      </c>
      <c r="G4489" t="inlineStr">
        <is>
          <t>ÅRJÄNG</t>
        </is>
      </c>
      <c r="I4489" t="n">
        <v>3.9</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36287-2023</t>
        </is>
      </c>
      <c r="B4490" t="inlineStr">
        <is>
          <t>avverkningsanmälan</t>
        </is>
      </c>
      <c r="C4490" t="inlineStr">
        <is>
          <t>Föryngringsavverkning</t>
        </is>
      </c>
      <c r="D4490" s="1" t="n">
        <v>45152</v>
      </c>
      <c r="E4490" s="1" t="n">
        <v>46307</v>
      </c>
      <c r="F4490" t="inlineStr">
        <is>
          <t>VÄRMLANDS LÄN</t>
        </is>
      </c>
      <c r="G4490" t="inlineStr">
        <is>
          <t>EDA</t>
        </is>
      </c>
      <c r="I4490" t="n">
        <v>3.2</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36295-2023</t>
        </is>
      </c>
      <c r="B4491" t="inlineStr">
        <is>
          <t>avverkningsanmälan</t>
        </is>
      </c>
      <c r="C4491" t="inlineStr">
        <is>
          <t>Föryngringsavverkning</t>
        </is>
      </c>
      <c r="D4491" s="1" t="n">
        <v>45152</v>
      </c>
      <c r="E4491" s="1" t="n">
        <v>46307</v>
      </c>
      <c r="F4491" t="inlineStr">
        <is>
          <t>VÄRMLANDS LÄN</t>
        </is>
      </c>
      <c r="G4491" t="inlineStr">
        <is>
          <t>EDA</t>
        </is>
      </c>
      <c r="I4491" t="n">
        <v>1</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59632-2024</t>
        </is>
      </c>
      <c r="B4492" t="inlineStr">
        <is>
          <t>avverkningsanmälan</t>
        </is>
      </c>
      <c r="C4492" t="inlineStr">
        <is>
          <t>Föryngringsavverkning</t>
        </is>
      </c>
      <c r="D4492" s="1" t="n">
        <v>45638</v>
      </c>
      <c r="E4492" s="1" t="n">
        <v>46307</v>
      </c>
      <c r="F4492" t="inlineStr">
        <is>
          <t>VÄRMLANDS LÄN</t>
        </is>
      </c>
      <c r="G4492" t="inlineStr">
        <is>
          <t>SÄFFLE</t>
        </is>
      </c>
      <c r="I4492" t="n">
        <v>1.4</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2699-2022</t>
        </is>
      </c>
      <c r="B4493" t="inlineStr">
        <is>
          <t>avverkningsanmälan</t>
        </is>
      </c>
      <c r="C4493" t="inlineStr">
        <is>
          <t>Föryngringsavverkning</t>
        </is>
      </c>
      <c r="D4493" s="1" t="n">
        <v>44580</v>
      </c>
      <c r="E4493" s="1" t="n">
        <v>46307</v>
      </c>
      <c r="F4493" t="inlineStr">
        <is>
          <t>VÄRMLANDS LÄN</t>
        </is>
      </c>
      <c r="G4493" t="inlineStr">
        <is>
          <t>TORSBY</t>
        </is>
      </c>
      <c r="I4493" t="n">
        <v>0.4</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53332-2023</t>
        </is>
      </c>
      <c r="B4494" t="inlineStr">
        <is>
          <t>avverkningsanmälan</t>
        </is>
      </c>
      <c r="C4494" t="inlineStr">
        <is>
          <t>Föryngringsavverkning</t>
        </is>
      </c>
      <c r="D4494" s="1" t="n">
        <v>45229</v>
      </c>
      <c r="E4494" s="1" t="n">
        <v>46307</v>
      </c>
      <c r="F4494" t="inlineStr">
        <is>
          <t>VÄRMLANDS LÄN</t>
        </is>
      </c>
      <c r="G4494" t="inlineStr">
        <is>
          <t>ÅRJÄNG</t>
        </is>
      </c>
      <c r="I4494" t="n">
        <v>1.9</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2843-2022</t>
        </is>
      </c>
      <c r="B4495" t="inlineStr">
        <is>
          <t>avverkningsanmälan</t>
        </is>
      </c>
      <c r="C4495" t="inlineStr">
        <is>
          <t>Föryngringsavverkning</t>
        </is>
      </c>
      <c r="D4495" s="1" t="n">
        <v>44581</v>
      </c>
      <c r="E4495" s="1" t="n">
        <v>46307</v>
      </c>
      <c r="F4495" t="inlineStr">
        <is>
          <t>VÄRMLANDS LÄN</t>
        </is>
      </c>
      <c r="G4495" t="inlineStr">
        <is>
          <t>FORSHAGA</t>
        </is>
      </c>
      <c r="I4495" t="n">
        <v>2.7</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2862-2022</t>
        </is>
      </c>
      <c r="B4496" t="inlineStr">
        <is>
          <t>avverkningsanmälan</t>
        </is>
      </c>
      <c r="C4496" t="inlineStr">
        <is>
          <t>Föryngringsavverkning</t>
        </is>
      </c>
      <c r="D4496" s="1" t="n">
        <v>44581</v>
      </c>
      <c r="E4496" s="1" t="n">
        <v>46307</v>
      </c>
      <c r="F4496" t="inlineStr">
        <is>
          <t>VÄRMLANDS LÄN</t>
        </is>
      </c>
      <c r="G4496" t="inlineStr">
        <is>
          <t>SÄFFLE</t>
        </is>
      </c>
      <c r="I4496" t="n">
        <v>0.9</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24655-2025</t>
        </is>
      </c>
      <c r="B4497" t="inlineStr">
        <is>
          <t>avverkningsanmälan</t>
        </is>
      </c>
      <c r="C4497" t="inlineStr">
        <is>
          <t>Föryngringsavverkning</t>
        </is>
      </c>
      <c r="D4497" s="1" t="n">
        <v>45798</v>
      </c>
      <c r="E4497" s="1" t="n">
        <v>46307</v>
      </c>
      <c r="F4497" t="inlineStr">
        <is>
          <t>VÄRMLANDS LÄN</t>
        </is>
      </c>
      <c r="G4497" t="inlineStr">
        <is>
          <t>KRISTINEHAMN</t>
        </is>
      </c>
      <c r="I4497" t="n">
        <v>5.2</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50236-2024</t>
        </is>
      </c>
      <c r="B4498" t="inlineStr">
        <is>
          <t>avverkningsanmälan</t>
        </is>
      </c>
      <c r="C4498" t="inlineStr">
        <is>
          <t>Avverkning för annat ändamål</t>
        </is>
      </c>
      <c r="D4498" s="1" t="n">
        <v>45600</v>
      </c>
      <c r="E4498" s="1" t="n">
        <v>46307</v>
      </c>
      <c r="F4498" t="inlineStr">
        <is>
          <t>VÄRMLANDS LÄN</t>
        </is>
      </c>
      <c r="G4498" t="inlineStr">
        <is>
          <t>KARLSTAD</t>
        </is>
      </c>
      <c r="I4498" t="n">
        <v>5.3</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13505-2022</t>
        </is>
      </c>
      <c r="B4499" t="inlineStr">
        <is>
          <t>avverkningsanmälan</t>
        </is>
      </c>
      <c r="C4499" t="inlineStr">
        <is>
          <t>Föryngringsavverkning</t>
        </is>
      </c>
      <c r="D4499" s="1" t="n">
        <v>44648</v>
      </c>
      <c r="E4499" s="1" t="n">
        <v>46307</v>
      </c>
      <c r="F4499" t="inlineStr">
        <is>
          <t>VÄRMLANDS LÄN</t>
        </is>
      </c>
      <c r="G4499" t="inlineStr">
        <is>
          <t>KRISTINEHAMN</t>
        </is>
      </c>
      <c r="I4499" t="n">
        <v>0.5</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55495-2024</t>
        </is>
      </c>
      <c r="B4500" t="inlineStr">
        <is>
          <t>avverkningsanmälan</t>
        </is>
      </c>
      <c r="C4500" t="inlineStr">
        <is>
          <t>Föryngringsavverkning</t>
        </is>
      </c>
      <c r="D4500" s="1" t="n">
        <v>45622</v>
      </c>
      <c r="E4500" s="1" t="n">
        <v>46307</v>
      </c>
      <c r="F4500" t="inlineStr">
        <is>
          <t>VÄRMLANDS LÄN</t>
        </is>
      </c>
      <c r="G4500" t="inlineStr">
        <is>
          <t>SUNNE</t>
        </is>
      </c>
      <c r="I4500" t="n">
        <v>3</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47572-2025</t>
        </is>
      </c>
      <c r="B4501" t="inlineStr">
        <is>
          <t>avverkningsanmälan</t>
        </is>
      </c>
      <c r="C4501" t="inlineStr">
        <is>
          <t>Föryngringsavverkning</t>
        </is>
      </c>
      <c r="D4501" s="1" t="n">
        <v>45931</v>
      </c>
      <c r="E4501" s="1" t="n">
        <v>46307</v>
      </c>
      <c r="F4501" t="inlineStr">
        <is>
          <t>VÄRMLANDS LÄN</t>
        </is>
      </c>
      <c r="G4501" t="inlineStr">
        <is>
          <t>ÅRJÄNG</t>
        </is>
      </c>
      <c r="I4501" t="n">
        <v>0.7</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39813-2025</t>
        </is>
      </c>
      <c r="B4502" t="inlineStr">
        <is>
          <t>avverkningsanmälan</t>
        </is>
      </c>
      <c r="C4502" t="inlineStr">
        <is>
          <t>Föryngringsavverkning</t>
        </is>
      </c>
      <c r="D4502" s="1" t="n">
        <v>45891</v>
      </c>
      <c r="E4502" s="1" t="n">
        <v>46307</v>
      </c>
      <c r="F4502" t="inlineStr">
        <is>
          <t>VÄRMLANDS LÄN</t>
        </is>
      </c>
      <c r="G4502" t="inlineStr">
        <is>
          <t>SUNNE</t>
        </is>
      </c>
      <c r="H4502" t="inlineStr">
        <is>
          <t>Bergvik skog väst AB</t>
        </is>
      </c>
      <c r="I4502" t="n">
        <v>4.6</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55504-2024</t>
        </is>
      </c>
      <c r="B4503" t="inlineStr">
        <is>
          <t>avverkningsanmälan</t>
        </is>
      </c>
      <c r="C4503" t="inlineStr">
        <is>
          <t>Föryngringsavverkning</t>
        </is>
      </c>
      <c r="D4503" s="1" t="n">
        <v>45621</v>
      </c>
      <c r="E4503" s="1" t="n">
        <v>46307</v>
      </c>
      <c r="F4503" t="inlineStr">
        <is>
          <t>VÄRMLANDS LÄN</t>
        </is>
      </c>
      <c r="G4503" t="inlineStr">
        <is>
          <t>SUNNE</t>
        </is>
      </c>
      <c r="I4503" t="n">
        <v>3.6</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19166-2023</t>
        </is>
      </c>
      <c r="B4504" t="inlineStr">
        <is>
          <t>avverkningsanmälan</t>
        </is>
      </c>
      <c r="C4504" t="inlineStr">
        <is>
          <t>Avverkning för att bevara och utveckla /försöksver</t>
        </is>
      </c>
      <c r="D4504" s="1" t="n">
        <v>45044</v>
      </c>
      <c r="E4504" s="1" t="n">
        <v>46307</v>
      </c>
      <c r="F4504" t="inlineStr">
        <is>
          <t>VÄRMLANDS LÄN</t>
        </is>
      </c>
      <c r="G4504" t="inlineStr">
        <is>
          <t>KARLSTAD</t>
        </is>
      </c>
      <c r="H4504" t="inlineStr">
        <is>
          <t>Övriga statliga verk och myndigheter</t>
        </is>
      </c>
      <c r="I4504" t="n">
        <v>2.4</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43650-2024</t>
        </is>
      </c>
      <c r="B4505" t="inlineStr">
        <is>
          <t>avverkningsanmälan</t>
        </is>
      </c>
      <c r="C4505" t="inlineStr">
        <is>
          <t>Föryngringsavverkning</t>
        </is>
      </c>
      <c r="D4505" s="1" t="n">
        <v>45569</v>
      </c>
      <c r="E4505" s="1" t="n">
        <v>46307</v>
      </c>
      <c r="F4505" t="inlineStr">
        <is>
          <t>VÄRMLANDS LÄN</t>
        </is>
      </c>
      <c r="G4505" t="inlineStr">
        <is>
          <t>ÅRJÄNG</t>
        </is>
      </c>
      <c r="I4505" t="n">
        <v>1.4</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17396-2022</t>
        </is>
      </c>
      <c r="B4506" t="inlineStr">
        <is>
          <t>avverkningsanmälan</t>
        </is>
      </c>
      <c r="C4506" t="inlineStr">
        <is>
          <t>Föryngringsavverkning</t>
        </is>
      </c>
      <c r="D4506" s="1" t="n">
        <v>44678</v>
      </c>
      <c r="E4506" s="1" t="n">
        <v>46307</v>
      </c>
      <c r="F4506" t="inlineStr">
        <is>
          <t>VÄRMLANDS LÄN</t>
        </is>
      </c>
      <c r="G4506" t="inlineStr">
        <is>
          <t>SÄFFLE</t>
        </is>
      </c>
      <c r="I4506" t="n">
        <v>2.2</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20659-2023</t>
        </is>
      </c>
      <c r="B4507" t="inlineStr">
        <is>
          <t>avverkningsanmälan</t>
        </is>
      </c>
      <c r="C4507" t="inlineStr">
        <is>
          <t>Föryngringsavverkning</t>
        </is>
      </c>
      <c r="D4507" s="1" t="n">
        <v>45058</v>
      </c>
      <c r="E4507" s="1" t="n">
        <v>46307</v>
      </c>
      <c r="F4507" t="inlineStr">
        <is>
          <t>VÄRMLANDS LÄN</t>
        </is>
      </c>
      <c r="G4507" t="inlineStr">
        <is>
          <t>EDA</t>
        </is>
      </c>
      <c r="I4507" t="n">
        <v>0.9</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47623-2025</t>
        </is>
      </c>
      <c r="B4508" t="inlineStr">
        <is>
          <t>avverkningsanmälan</t>
        </is>
      </c>
      <c r="C4508" t="inlineStr">
        <is>
          <t>Föryngringsavverkning</t>
        </is>
      </c>
      <c r="D4508" s="1" t="n">
        <v>45931</v>
      </c>
      <c r="E4508" s="1" t="n">
        <v>46307</v>
      </c>
      <c r="F4508" t="inlineStr">
        <is>
          <t>VÄRMLANDS LÄN</t>
        </is>
      </c>
      <c r="G4508" t="inlineStr">
        <is>
          <t>ÅRJÄNG</t>
        </is>
      </c>
      <c r="H4508" t="inlineStr">
        <is>
          <t>Bergvik skog väst AB</t>
        </is>
      </c>
      <c r="I4508" t="n">
        <v>0.4</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45665-2023</t>
        </is>
      </c>
      <c r="B4509" t="inlineStr">
        <is>
          <t>avverkningsanmälan</t>
        </is>
      </c>
      <c r="C4509" t="inlineStr">
        <is>
          <t>Avverkning för annat ändamål</t>
        </is>
      </c>
      <c r="D4509" s="1" t="n">
        <v>45194</v>
      </c>
      <c r="E4509" s="1" t="n">
        <v>46307</v>
      </c>
      <c r="F4509" t="inlineStr">
        <is>
          <t>VÄRMLANDS LÄN</t>
        </is>
      </c>
      <c r="G4509" t="inlineStr">
        <is>
          <t>SUNNE</t>
        </is>
      </c>
      <c r="I4509" t="n">
        <v>0.9</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20968-2024</t>
        </is>
      </c>
      <c r="B4510" t="inlineStr">
        <is>
          <t>avverkningsanmälan</t>
        </is>
      </c>
      <c r="C4510" t="inlineStr">
        <is>
          <t>Föryngringsavverkning</t>
        </is>
      </c>
      <c r="D4510" s="1" t="n">
        <v>45439</v>
      </c>
      <c r="E4510" s="1" t="n">
        <v>46307</v>
      </c>
      <c r="F4510" t="inlineStr">
        <is>
          <t>VÄRMLANDS LÄN</t>
        </is>
      </c>
      <c r="G4510" t="inlineStr">
        <is>
          <t>TORSBY</t>
        </is>
      </c>
      <c r="I4510" t="n">
        <v>0.6</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64936-2023</t>
        </is>
      </c>
      <c r="B4511" t="inlineStr">
        <is>
          <t>avverkningsanmälan</t>
        </is>
      </c>
      <c r="C4511" t="inlineStr">
        <is>
          <t>Föryngringsavverkning</t>
        </is>
      </c>
      <c r="D4511" s="1" t="n">
        <v>45282</v>
      </c>
      <c r="E4511" s="1" t="n">
        <v>46307</v>
      </c>
      <c r="F4511" t="inlineStr">
        <is>
          <t>VÄRMLANDS LÄN</t>
        </is>
      </c>
      <c r="G4511" t="inlineStr">
        <is>
          <t>HAGFORS</t>
        </is>
      </c>
      <c r="I4511" t="n">
        <v>3.9</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24438-2025</t>
        </is>
      </c>
      <c r="B4512" t="inlineStr">
        <is>
          <t>avverkningsanmälan</t>
        </is>
      </c>
      <c r="C4512" t="inlineStr">
        <is>
          <t>Avverkning för att bevara och utveckla /försöksver</t>
        </is>
      </c>
      <c r="D4512" s="1" t="n">
        <v>45797</v>
      </c>
      <c r="E4512" s="1" t="n">
        <v>46307</v>
      </c>
      <c r="F4512" t="inlineStr">
        <is>
          <t>VÄRMLANDS LÄN</t>
        </is>
      </c>
      <c r="G4512" t="inlineStr">
        <is>
          <t>HAGFORS</t>
        </is>
      </c>
      <c r="I4512" t="n">
        <v>0.9</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12151-2024</t>
        </is>
      </c>
      <c r="B4513" t="inlineStr">
        <is>
          <t>avverkningsanmälan</t>
        </is>
      </c>
      <c r="C4513" t="inlineStr">
        <is>
          <t>Föryngringsavverkning</t>
        </is>
      </c>
      <c r="D4513" s="1" t="n">
        <v>45377</v>
      </c>
      <c r="E4513" s="1" t="n">
        <v>46307</v>
      </c>
      <c r="F4513" t="inlineStr">
        <is>
          <t>VÄRMLANDS LÄN</t>
        </is>
      </c>
      <c r="G4513" t="inlineStr">
        <is>
          <t>ARVIKA</t>
        </is>
      </c>
      <c r="I4513" t="n">
        <v>3.7</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47786-2025</t>
        </is>
      </c>
      <c r="B4514" t="inlineStr">
        <is>
          <t>avverkningsanmälan</t>
        </is>
      </c>
      <c r="C4514" t="inlineStr">
        <is>
          <t>Föryngringsavverkning</t>
        </is>
      </c>
      <c r="D4514" s="1" t="n">
        <v>45931</v>
      </c>
      <c r="E4514" s="1" t="n">
        <v>46307</v>
      </c>
      <c r="F4514" t="inlineStr">
        <is>
          <t>VÄRMLANDS LÄN</t>
        </is>
      </c>
      <c r="G4514" t="inlineStr">
        <is>
          <t>KIL</t>
        </is>
      </c>
      <c r="I4514" t="n">
        <v>0.3</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23945-2023</t>
        </is>
      </c>
      <c r="B4515" t="inlineStr">
        <is>
          <t>avverkningsanmälan</t>
        </is>
      </c>
      <c r="C4515" t="inlineStr">
        <is>
          <t>Föryngringsavverkning</t>
        </is>
      </c>
      <c r="D4515" s="1" t="n">
        <v>45075</v>
      </c>
      <c r="E4515" s="1" t="n">
        <v>46307</v>
      </c>
      <c r="F4515" t="inlineStr">
        <is>
          <t>VÄRMLANDS LÄN</t>
        </is>
      </c>
      <c r="G4515" t="inlineStr">
        <is>
          <t>ÅRJÄNG</t>
        </is>
      </c>
      <c r="I4515" t="n">
        <v>1.7</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41631-2024</t>
        </is>
      </c>
      <c r="B4516" t="inlineStr">
        <is>
          <t>avverkningsanmälan</t>
        </is>
      </c>
      <c r="C4516" t="inlineStr">
        <is>
          <t>Föryngringsavverkning</t>
        </is>
      </c>
      <c r="D4516" s="1" t="n">
        <v>45560</v>
      </c>
      <c r="E4516" s="1" t="n">
        <v>46307</v>
      </c>
      <c r="F4516" t="inlineStr">
        <is>
          <t>VÄRMLANDS LÄN</t>
        </is>
      </c>
      <c r="G4516" t="inlineStr">
        <is>
          <t>TORSBY</t>
        </is>
      </c>
      <c r="H4516" t="inlineStr">
        <is>
          <t>Bergvik skog väst AB</t>
        </is>
      </c>
      <c r="I4516" t="n">
        <v>16.3</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35799-2022</t>
        </is>
      </c>
      <c r="B4517" t="inlineStr">
        <is>
          <t>avverkningsanmälan</t>
        </is>
      </c>
      <c r="C4517" t="inlineStr">
        <is>
          <t>Föryngringsavverkning</t>
        </is>
      </c>
      <c r="D4517" s="1" t="n">
        <v>44801</v>
      </c>
      <c r="E4517" s="1" t="n">
        <v>46307</v>
      </c>
      <c r="F4517" t="inlineStr">
        <is>
          <t>VÄRMLANDS LÄN</t>
        </is>
      </c>
      <c r="G4517" t="inlineStr">
        <is>
          <t>FILIPSTAD</t>
        </is>
      </c>
      <c r="I4517" t="n">
        <v>2.4</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32541-2023</t>
        </is>
      </c>
      <c r="B4518" t="inlineStr">
        <is>
          <t>avverkningsanmälan</t>
        </is>
      </c>
      <c r="C4518" t="inlineStr">
        <is>
          <t>Föryngringsavverkning</t>
        </is>
      </c>
      <c r="D4518" s="1" t="n">
        <v>45121</v>
      </c>
      <c r="E4518" s="1" t="n">
        <v>46307</v>
      </c>
      <c r="F4518" t="inlineStr">
        <is>
          <t>VÄRMLANDS LÄN</t>
        </is>
      </c>
      <c r="G4518" t="inlineStr">
        <is>
          <t>ÅRJÄNG</t>
        </is>
      </c>
      <c r="I4518" t="n">
        <v>0.4</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7504-2022</t>
        </is>
      </c>
      <c r="B4519" t="inlineStr">
        <is>
          <t>avverkningsanmälan</t>
        </is>
      </c>
      <c r="C4519" t="inlineStr">
        <is>
          <t>Föryngringsavverkning</t>
        </is>
      </c>
      <c r="D4519" s="1" t="n">
        <v>44607</v>
      </c>
      <c r="E4519" s="1" t="n">
        <v>46307</v>
      </c>
      <c r="F4519" t="inlineStr">
        <is>
          <t>VÄRMLANDS LÄN</t>
        </is>
      </c>
      <c r="G4519" t="inlineStr">
        <is>
          <t>SÄFFLE</t>
        </is>
      </c>
      <c r="I4519" t="n">
        <v>2</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11704-2025</t>
        </is>
      </c>
      <c r="B4520" t="inlineStr">
        <is>
          <t>avverkningsanmälan</t>
        </is>
      </c>
      <c r="C4520" t="inlineStr">
        <is>
          <t>Föryngringsavverkning</t>
        </is>
      </c>
      <c r="D4520" s="1" t="n">
        <v>45727</v>
      </c>
      <c r="E4520" s="1" t="n">
        <v>46307</v>
      </c>
      <c r="F4520" t="inlineStr">
        <is>
          <t>VÄRMLANDS LÄN</t>
        </is>
      </c>
      <c r="G4520" t="inlineStr">
        <is>
          <t>ÅRJÄNG</t>
        </is>
      </c>
      <c r="I4520" t="n">
        <v>1.8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21542-2024</t>
        </is>
      </c>
      <c r="B4521" t="inlineStr">
        <is>
          <t>avverkningsanmälan</t>
        </is>
      </c>
      <c r="C4521" t="inlineStr">
        <is>
          <t>Föryngringsavverkning</t>
        </is>
      </c>
      <c r="D4521" s="1" t="n">
        <v>45441</v>
      </c>
      <c r="E4521" s="1" t="n">
        <v>46307</v>
      </c>
      <c r="F4521" t="inlineStr">
        <is>
          <t>VÄRMLANDS LÄN</t>
        </is>
      </c>
      <c r="G4521" t="inlineStr">
        <is>
          <t>TORSBY</t>
        </is>
      </c>
      <c r="I4521" t="n">
        <v>3.7</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7056-2023</t>
        </is>
      </c>
      <c r="B4522" t="inlineStr">
        <is>
          <t>avverkningsanmälan</t>
        </is>
      </c>
      <c r="C4522" t="inlineStr">
        <is>
          <t>Föryngringsavverkning</t>
        </is>
      </c>
      <c r="D4522" s="1" t="n">
        <v>44969</v>
      </c>
      <c r="E4522" s="1" t="n">
        <v>46307</v>
      </c>
      <c r="F4522" t="inlineStr">
        <is>
          <t>VÄRMLANDS LÄN</t>
        </is>
      </c>
      <c r="G4522" t="inlineStr">
        <is>
          <t>SUNNE</t>
        </is>
      </c>
      <c r="I4522" t="n">
        <v>2.7</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19425-2024</t>
        </is>
      </c>
      <c r="B4523" t="inlineStr">
        <is>
          <t>avverkningsanmälan</t>
        </is>
      </c>
      <c r="C4523" t="inlineStr">
        <is>
          <t>Föryngringsavverkning</t>
        </is>
      </c>
      <c r="D4523" s="1" t="n">
        <v>45429</v>
      </c>
      <c r="E4523" s="1" t="n">
        <v>46307</v>
      </c>
      <c r="F4523" t="inlineStr">
        <is>
          <t>VÄRMLANDS LÄN</t>
        </is>
      </c>
      <c r="G4523" t="inlineStr">
        <is>
          <t>ARVIKA</t>
        </is>
      </c>
      <c r="I4523" t="n">
        <v>3</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50526-2023</t>
        </is>
      </c>
      <c r="B4524" t="inlineStr">
        <is>
          <t>avverkningsanmälan</t>
        </is>
      </c>
      <c r="C4524" t="inlineStr">
        <is>
          <t>Föryngringsavverkning</t>
        </is>
      </c>
      <c r="D4524" s="1" t="n">
        <v>45217</v>
      </c>
      <c r="E4524" s="1" t="n">
        <v>46307</v>
      </c>
      <c r="F4524" t="inlineStr">
        <is>
          <t>VÄRMLANDS LÄN</t>
        </is>
      </c>
      <c r="G4524" t="inlineStr">
        <is>
          <t>KARLSTAD</t>
        </is>
      </c>
      <c r="I4524" t="n">
        <v>1.6</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48499-2025</t>
        </is>
      </c>
      <c r="B4525" t="inlineStr">
        <is>
          <t>avverkningsanmälan</t>
        </is>
      </c>
      <c r="C4525" t="inlineStr">
        <is>
          <t>Föryngringsavverkning</t>
        </is>
      </c>
      <c r="D4525" s="1" t="n">
        <v>45936</v>
      </c>
      <c r="E4525" s="1" t="n">
        <v>46307</v>
      </c>
      <c r="F4525" t="inlineStr">
        <is>
          <t>VÄRMLANDS LÄN</t>
        </is>
      </c>
      <c r="G4525" t="inlineStr">
        <is>
          <t>TORSBY</t>
        </is>
      </c>
      <c r="H4525" t="inlineStr">
        <is>
          <t>Bergvik skog väst AB</t>
        </is>
      </c>
      <c r="I4525" t="n">
        <v>2.4</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58456-2022</t>
        </is>
      </c>
      <c r="B4526" t="inlineStr">
        <is>
          <t>avverkningsanmälan</t>
        </is>
      </c>
      <c r="C4526" t="inlineStr">
        <is>
          <t>Föryngringsavverkning</t>
        </is>
      </c>
      <c r="D4526" s="1" t="n">
        <v>44902</v>
      </c>
      <c r="E4526" s="1" t="n">
        <v>46307</v>
      </c>
      <c r="F4526" t="inlineStr">
        <is>
          <t>VÄRMLANDS LÄN</t>
        </is>
      </c>
      <c r="G4526" t="inlineStr">
        <is>
          <t>KARLSTAD</t>
        </is>
      </c>
      <c r="I4526" t="n">
        <v>1.3</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17750-2023</t>
        </is>
      </c>
      <c r="B4527" t="inlineStr">
        <is>
          <t>avverkningsanmälan</t>
        </is>
      </c>
      <c r="C4527" t="inlineStr">
        <is>
          <t>Föryngringsavverkning</t>
        </is>
      </c>
      <c r="D4527" s="1" t="n">
        <v>45037</v>
      </c>
      <c r="E4527" s="1" t="n">
        <v>46307</v>
      </c>
      <c r="F4527" t="inlineStr">
        <is>
          <t>VÄRMLANDS LÄN</t>
        </is>
      </c>
      <c r="G4527" t="inlineStr">
        <is>
          <t>HAGFORS</t>
        </is>
      </c>
      <c r="I4527" t="n">
        <v>1.7</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48134-2025</t>
        </is>
      </c>
      <c r="B4528" t="inlineStr">
        <is>
          <t>avverkningsanmälan</t>
        </is>
      </c>
      <c r="C4528" t="inlineStr">
        <is>
          <t>Föryngringsavverkning</t>
        </is>
      </c>
      <c r="D4528" s="1" t="n">
        <v>45933</v>
      </c>
      <c r="E4528" s="1" t="n">
        <v>46307</v>
      </c>
      <c r="F4528" t="inlineStr">
        <is>
          <t>VÄRMLANDS LÄN</t>
        </is>
      </c>
      <c r="G4528" t="inlineStr">
        <is>
          <t>HAGFORS</t>
        </is>
      </c>
      <c r="H4528" t="inlineStr">
        <is>
          <t>Bergvik skog väst AB</t>
        </is>
      </c>
      <c r="I4528" t="n">
        <v>2.3</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47713-2024</t>
        </is>
      </c>
      <c r="B4529" t="inlineStr">
        <is>
          <t>avverkningsanmälan</t>
        </is>
      </c>
      <c r="C4529" t="inlineStr">
        <is>
          <t>Avverkning för att bevara och utveckla /försöksver</t>
        </is>
      </c>
      <c r="D4529" s="1" t="n">
        <v>45588</v>
      </c>
      <c r="E4529" s="1" t="n">
        <v>46307</v>
      </c>
      <c r="F4529" t="inlineStr">
        <is>
          <t>VÄRMLANDS LÄN</t>
        </is>
      </c>
      <c r="G4529" t="inlineStr">
        <is>
          <t>STORFORS</t>
        </is>
      </c>
      <c r="I4529" t="n">
        <v>2.5</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57179-2023</t>
        </is>
      </c>
      <c r="B4530" t="inlineStr">
        <is>
          <t>avverkningsanmälan</t>
        </is>
      </c>
      <c r="C4530" t="inlineStr">
        <is>
          <t>Föryngringsavverkning</t>
        </is>
      </c>
      <c r="D4530" s="1" t="n">
        <v>45239</v>
      </c>
      <c r="E4530" s="1" t="n">
        <v>46307</v>
      </c>
      <c r="F4530" t="inlineStr">
        <is>
          <t>VÄRMLANDS LÄN</t>
        </is>
      </c>
      <c r="G4530" t="inlineStr">
        <is>
          <t>SÄFFLE</t>
        </is>
      </c>
      <c r="I4530" t="n">
        <v>2.3</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47732-2024</t>
        </is>
      </c>
      <c r="B4531" t="inlineStr">
        <is>
          <t>avverkningsanmälan</t>
        </is>
      </c>
      <c r="C4531" t="inlineStr">
        <is>
          <t>Föryngringsavverkning</t>
        </is>
      </c>
      <c r="D4531" s="1" t="n">
        <v>45588</v>
      </c>
      <c r="E4531" s="1" t="n">
        <v>46307</v>
      </c>
      <c r="F4531" t="inlineStr">
        <is>
          <t>VÄRMLANDS LÄN</t>
        </is>
      </c>
      <c r="G4531" t="inlineStr">
        <is>
          <t>STORFORS</t>
        </is>
      </c>
      <c r="I4531" t="n">
        <v>3.3</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10411-2025</t>
        </is>
      </c>
      <c r="B4532" t="inlineStr">
        <is>
          <t>avverkningsanmälan</t>
        </is>
      </c>
      <c r="C4532" t="inlineStr">
        <is>
          <t>Föryngringsavverkning</t>
        </is>
      </c>
      <c r="D4532" s="1" t="n">
        <v>45720</v>
      </c>
      <c r="E4532" s="1" t="n">
        <v>46307</v>
      </c>
      <c r="F4532" t="inlineStr">
        <is>
          <t>VÄRMLANDS LÄN</t>
        </is>
      </c>
      <c r="G4532" t="inlineStr">
        <is>
          <t>ARVIKA</t>
        </is>
      </c>
      <c r="H4532" t="inlineStr">
        <is>
          <t>Bergvik skog väst AB</t>
        </is>
      </c>
      <c r="I4532" t="n">
        <v>0.8</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24251-2025</t>
        </is>
      </c>
      <c r="B4533" t="inlineStr">
        <is>
          <t>avverkningsanmälan</t>
        </is>
      </c>
      <c r="C4533" t="inlineStr">
        <is>
          <t>Föryngringsavverkning</t>
        </is>
      </c>
      <c r="D4533" s="1" t="n">
        <v>45797</v>
      </c>
      <c r="E4533" s="1" t="n">
        <v>46307</v>
      </c>
      <c r="F4533" t="inlineStr">
        <is>
          <t>VÄRMLANDS LÄN</t>
        </is>
      </c>
      <c r="G4533" t="inlineStr">
        <is>
          <t>TORSBY</t>
        </is>
      </c>
      <c r="I4533" t="n">
        <v>5.1</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24252-2025</t>
        </is>
      </c>
      <c r="B4534" t="inlineStr">
        <is>
          <t>avverkningsanmälan</t>
        </is>
      </c>
      <c r="C4534" t="inlineStr">
        <is>
          <t>Föryngringsavverkning</t>
        </is>
      </c>
      <c r="D4534" s="1" t="n">
        <v>45797</v>
      </c>
      <c r="E4534" s="1" t="n">
        <v>46307</v>
      </c>
      <c r="F4534" t="inlineStr">
        <is>
          <t>VÄRMLANDS LÄN</t>
        </is>
      </c>
      <c r="G4534" t="inlineStr">
        <is>
          <t>ÅRJÄNG</t>
        </is>
      </c>
      <c r="I4534" t="n">
        <v>0.7</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45672-2024</t>
        </is>
      </c>
      <c r="B4535" t="inlineStr">
        <is>
          <t>avverkningsanmälan</t>
        </is>
      </c>
      <c r="C4535" t="inlineStr">
        <is>
          <t>Föryngringsavverkning</t>
        </is>
      </c>
      <c r="D4535" s="1" t="n">
        <v>45579</v>
      </c>
      <c r="E4535" s="1" t="n">
        <v>46307</v>
      </c>
      <c r="F4535" t="inlineStr">
        <is>
          <t>VÄRMLANDS LÄN</t>
        </is>
      </c>
      <c r="G4535" t="inlineStr">
        <is>
          <t>KIL</t>
        </is>
      </c>
      <c r="I4535" t="n">
        <v>1.1</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48375-2025</t>
        </is>
      </c>
      <c r="B4536" t="inlineStr">
        <is>
          <t>avverkningsanmälan</t>
        </is>
      </c>
      <c r="C4536" t="inlineStr">
        <is>
          <t>Föryngringsavverkning</t>
        </is>
      </c>
      <c r="D4536" s="1" t="n">
        <v>45933</v>
      </c>
      <c r="E4536" s="1" t="n">
        <v>46307</v>
      </c>
      <c r="F4536" t="inlineStr">
        <is>
          <t>VÄRMLANDS LÄN</t>
        </is>
      </c>
      <c r="G4536" t="inlineStr">
        <is>
          <t>TORSBY</t>
        </is>
      </c>
      <c r="I4536" t="n">
        <v>2.5</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14509-2022</t>
        </is>
      </c>
      <c r="B4537" t="inlineStr">
        <is>
          <t>avverkningsanmälan</t>
        </is>
      </c>
      <c r="C4537" t="inlineStr">
        <is>
          <t>Avverkning för annat ändamål</t>
        </is>
      </c>
      <c r="D4537" s="1" t="n">
        <v>44655</v>
      </c>
      <c r="E4537" s="1" t="n">
        <v>46307</v>
      </c>
      <c r="F4537" t="inlineStr">
        <is>
          <t>VÄRMLANDS LÄN</t>
        </is>
      </c>
      <c r="G4537" t="inlineStr">
        <is>
          <t>ÅRJÄNG</t>
        </is>
      </c>
      <c r="I4537" t="n">
        <v>0.2</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61279-2022</t>
        </is>
      </c>
      <c r="B4538" t="inlineStr">
        <is>
          <t>avverkningsanmälan</t>
        </is>
      </c>
      <c r="C4538" t="inlineStr">
        <is>
          <t>Föryngringsavverkning</t>
        </is>
      </c>
      <c r="D4538" s="1" t="n">
        <v>44915</v>
      </c>
      <c r="E4538" s="1" t="n">
        <v>46307</v>
      </c>
      <c r="F4538" t="inlineStr">
        <is>
          <t>VÄRMLANDS LÄN</t>
        </is>
      </c>
      <c r="G4538" t="inlineStr">
        <is>
          <t>EDA</t>
        </is>
      </c>
      <c r="I4538" t="n">
        <v>2.8</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61282-2022</t>
        </is>
      </c>
      <c r="B4539" t="inlineStr">
        <is>
          <t>avverkningsanmälan</t>
        </is>
      </c>
      <c r="C4539" t="inlineStr">
        <is>
          <t>Föryngringsavverkning</t>
        </is>
      </c>
      <c r="D4539" s="1" t="n">
        <v>44915</v>
      </c>
      <c r="E4539" s="1" t="n">
        <v>46307</v>
      </c>
      <c r="F4539" t="inlineStr">
        <is>
          <t>VÄRMLANDS LÄN</t>
        </is>
      </c>
      <c r="G4539" t="inlineStr">
        <is>
          <t>EDA</t>
        </is>
      </c>
      <c r="I4539" t="n">
        <v>3.3</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48379-2025</t>
        </is>
      </c>
      <c r="B4540" t="inlineStr">
        <is>
          <t>avverkningsanmälan</t>
        </is>
      </c>
      <c r="C4540" t="inlineStr">
        <is>
          <t>Föryngringsavverkning</t>
        </is>
      </c>
      <c r="D4540" s="1" t="n">
        <v>45933</v>
      </c>
      <c r="E4540" s="1" t="n">
        <v>46307</v>
      </c>
      <c r="F4540" t="inlineStr">
        <is>
          <t>VÄRMLANDS LÄN</t>
        </is>
      </c>
      <c r="G4540" t="inlineStr">
        <is>
          <t>KRISTINEHAMN</t>
        </is>
      </c>
      <c r="I4540" t="n">
        <v>1</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24597-2025</t>
        </is>
      </c>
      <c r="B4541" t="inlineStr">
        <is>
          <t>avverkningsanmälan</t>
        </is>
      </c>
      <c r="C4541" t="inlineStr">
        <is>
          <t>Föryngringsavverkning</t>
        </is>
      </c>
      <c r="D4541" s="1" t="n">
        <v>45798</v>
      </c>
      <c r="E4541" s="1" t="n">
        <v>46307</v>
      </c>
      <c r="F4541" t="inlineStr">
        <is>
          <t>VÄRMLANDS LÄN</t>
        </is>
      </c>
      <c r="G4541" t="inlineStr">
        <is>
          <t>TORSBY</t>
        </is>
      </c>
      <c r="H4541" t="inlineStr">
        <is>
          <t>Övriga statliga verk och myndigheter</t>
        </is>
      </c>
      <c r="I4541" t="n">
        <v>4</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21069-2022</t>
        </is>
      </c>
      <c r="B4542" t="inlineStr">
        <is>
          <t>avverkningsanmälan</t>
        </is>
      </c>
      <c r="C4542" t="inlineStr">
        <is>
          <t>Föryngringsavverkning</t>
        </is>
      </c>
      <c r="D4542" s="1" t="n">
        <v>44704</v>
      </c>
      <c r="E4542" s="1" t="n">
        <v>46307</v>
      </c>
      <c r="F4542" t="inlineStr">
        <is>
          <t>VÄRMLANDS LÄN</t>
        </is>
      </c>
      <c r="G4542" t="inlineStr">
        <is>
          <t>ARVIKA</t>
        </is>
      </c>
      <c r="H4542" t="inlineStr">
        <is>
          <t>Bergvik skog väst AB</t>
        </is>
      </c>
      <c r="I4542" t="n">
        <v>1.8</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35533-2023</t>
        </is>
      </c>
      <c r="B4543" t="inlineStr">
        <is>
          <t>avverkningsanmälan</t>
        </is>
      </c>
      <c r="C4543" t="inlineStr">
        <is>
          <t>Föryngringsavverkning</t>
        </is>
      </c>
      <c r="D4543" s="1" t="n">
        <v>45146</v>
      </c>
      <c r="E4543" s="1" t="n">
        <v>46307</v>
      </c>
      <c r="F4543" t="inlineStr">
        <is>
          <t>VÄRMLANDS LÄN</t>
        </is>
      </c>
      <c r="G4543" t="inlineStr">
        <is>
          <t>SÄFFLE</t>
        </is>
      </c>
      <c r="I4543" t="n">
        <v>6.6</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41201-2024</t>
        </is>
      </c>
      <c r="B4544" t="inlineStr">
        <is>
          <t>avverkningsanmälan</t>
        </is>
      </c>
      <c r="C4544" t="inlineStr">
        <is>
          <t>Föryngringsavverkning</t>
        </is>
      </c>
      <c r="D4544" s="1" t="n">
        <v>45559</v>
      </c>
      <c r="E4544" s="1" t="n">
        <v>46307</v>
      </c>
      <c r="F4544" t="inlineStr">
        <is>
          <t>VÄRMLANDS LÄN</t>
        </is>
      </c>
      <c r="G4544" t="inlineStr">
        <is>
          <t>ÅRJÄNG</t>
        </is>
      </c>
      <c r="I4544" t="n">
        <v>4.1</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24648-2022</t>
        </is>
      </c>
      <c r="B4545" t="inlineStr">
        <is>
          <t>avverkningsanmälan</t>
        </is>
      </c>
      <c r="C4545" t="inlineStr">
        <is>
          <t>Föryngringsavverkning</t>
        </is>
      </c>
      <c r="D4545" s="1" t="n">
        <v>44727</v>
      </c>
      <c r="E4545" s="1" t="n">
        <v>46307</v>
      </c>
      <c r="F4545" t="inlineStr">
        <is>
          <t>VÄRMLANDS LÄN</t>
        </is>
      </c>
      <c r="G4545" t="inlineStr">
        <is>
          <t>KARLSTAD</t>
        </is>
      </c>
      <c r="I4545" t="n">
        <v>1.2</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47648-2023</t>
        </is>
      </c>
      <c r="B4546" t="inlineStr">
        <is>
          <t>avverkningsanmälan</t>
        </is>
      </c>
      <c r="C4546" t="inlineStr">
        <is>
          <t>Föryngringsavverkning</t>
        </is>
      </c>
      <c r="D4546" s="1" t="n">
        <v>45198</v>
      </c>
      <c r="E4546" s="1" t="n">
        <v>46307</v>
      </c>
      <c r="F4546" t="inlineStr">
        <is>
          <t>VÄRMLANDS LÄN</t>
        </is>
      </c>
      <c r="G4546" t="inlineStr">
        <is>
          <t>KRISTINEHAMN</t>
        </is>
      </c>
      <c r="I4546" t="n">
        <v>1.6</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31032-2024</t>
        </is>
      </c>
      <c r="B4547" t="inlineStr">
        <is>
          <t>avverkningsanmälan</t>
        </is>
      </c>
      <c r="C4547" t="inlineStr">
        <is>
          <t>Föryngringsavverkning</t>
        </is>
      </c>
      <c r="D4547" s="1" t="n">
        <v>45501</v>
      </c>
      <c r="E4547" s="1" t="n">
        <v>46307</v>
      </c>
      <c r="F4547" t="inlineStr">
        <is>
          <t>VÄRMLANDS LÄN</t>
        </is>
      </c>
      <c r="G4547" t="inlineStr">
        <is>
          <t>KIL</t>
        </is>
      </c>
      <c r="I4547" t="n">
        <v>1.9</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31033-2024</t>
        </is>
      </c>
      <c r="B4548" t="inlineStr">
        <is>
          <t>avverkningsanmälan</t>
        </is>
      </c>
      <c r="C4548" t="inlineStr">
        <is>
          <t>Föryngringsavverkning</t>
        </is>
      </c>
      <c r="D4548" s="1" t="n">
        <v>45501</v>
      </c>
      <c r="E4548" s="1" t="n">
        <v>46307</v>
      </c>
      <c r="F4548" t="inlineStr">
        <is>
          <t>VÄRMLANDS LÄN</t>
        </is>
      </c>
      <c r="G4548" t="inlineStr">
        <is>
          <t>KIL</t>
        </is>
      </c>
      <c r="I4548" t="n">
        <v>1.9</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2708-2023</t>
        </is>
      </c>
      <c r="B4549" t="inlineStr">
        <is>
          <t>avverkningsanmälan</t>
        </is>
      </c>
      <c r="C4549" t="inlineStr">
        <is>
          <t>Föryngringsavverkning</t>
        </is>
      </c>
      <c r="D4549" s="1" t="n">
        <v>44942</v>
      </c>
      <c r="E4549" s="1" t="n">
        <v>46307</v>
      </c>
      <c r="F4549" t="inlineStr">
        <is>
          <t>VÄRMLANDS LÄN</t>
        </is>
      </c>
      <c r="G4549" t="inlineStr">
        <is>
          <t>KIL</t>
        </is>
      </c>
      <c r="I4549" t="n">
        <v>0.6</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5289-2022</t>
        </is>
      </c>
      <c r="B4550" t="inlineStr">
        <is>
          <t>avverkningsanmälan</t>
        </is>
      </c>
      <c r="C4550" t="inlineStr">
        <is>
          <t>Föryngringsavverkning</t>
        </is>
      </c>
      <c r="D4550" s="1" t="n">
        <v>44594</v>
      </c>
      <c r="E4550" s="1" t="n">
        <v>46307</v>
      </c>
      <c r="F4550" t="inlineStr">
        <is>
          <t>VÄRMLANDS LÄN</t>
        </is>
      </c>
      <c r="G4550" t="inlineStr">
        <is>
          <t>TORSBY</t>
        </is>
      </c>
      <c r="I4550" t="n">
        <v>0.8</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8621-2025</t>
        </is>
      </c>
      <c r="B4551" t="inlineStr">
        <is>
          <t>avverkningsanmälan</t>
        </is>
      </c>
      <c r="C4551" t="inlineStr">
        <is>
          <t>Föryngringsavverkning</t>
        </is>
      </c>
      <c r="D4551" s="1" t="n">
        <v>45711</v>
      </c>
      <c r="E4551" s="1" t="n">
        <v>46307</v>
      </c>
      <c r="F4551" t="inlineStr">
        <is>
          <t>VÄRMLANDS LÄN</t>
        </is>
      </c>
      <c r="G4551" t="inlineStr">
        <is>
          <t>SÄFFLE</t>
        </is>
      </c>
      <c r="I4551" t="n">
        <v>0.7</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10249-2025</t>
        </is>
      </c>
      <c r="B4552" t="inlineStr">
        <is>
          <t>avverkningsanmälan</t>
        </is>
      </c>
      <c r="C4552" t="inlineStr">
        <is>
          <t>Föryngringsavverkning</t>
        </is>
      </c>
      <c r="D4552" s="1" t="n">
        <v>45720</v>
      </c>
      <c r="E4552" s="1" t="n">
        <v>46307</v>
      </c>
      <c r="F4552" t="inlineStr">
        <is>
          <t>VÄRMLANDS LÄN</t>
        </is>
      </c>
      <c r="G4552" t="inlineStr">
        <is>
          <t>ARVIKA</t>
        </is>
      </c>
      <c r="I4552" t="n">
        <v>8.800000000000001</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56572-2024</t>
        </is>
      </c>
      <c r="B4553" t="inlineStr">
        <is>
          <t>avverkningsanmälan</t>
        </is>
      </c>
      <c r="C4553" t="inlineStr">
        <is>
          <t>Föryngringsavverkning</t>
        </is>
      </c>
      <c r="D4553" s="1" t="n">
        <v>45625</v>
      </c>
      <c r="E4553" s="1" t="n">
        <v>46307</v>
      </c>
      <c r="F4553" t="inlineStr">
        <is>
          <t>VÄRMLANDS LÄN</t>
        </is>
      </c>
      <c r="G4553" t="inlineStr">
        <is>
          <t>KRISTINEHAMN</t>
        </is>
      </c>
      <c r="I4553" t="n">
        <v>2.7</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10562-2022</t>
        </is>
      </c>
      <c r="B4554" t="inlineStr">
        <is>
          <t>avverkningsanmälan</t>
        </is>
      </c>
      <c r="C4554" t="inlineStr">
        <is>
          <t>Föryngringsavverkning</t>
        </is>
      </c>
      <c r="D4554" s="1" t="n">
        <v>44623</v>
      </c>
      <c r="E4554" s="1" t="n">
        <v>46307</v>
      </c>
      <c r="F4554" t="inlineStr">
        <is>
          <t>VÄRMLANDS LÄN</t>
        </is>
      </c>
      <c r="G4554" t="inlineStr">
        <is>
          <t>SUNNE</t>
        </is>
      </c>
      <c r="I4554" t="n">
        <v>0.7</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38979-2023</t>
        </is>
      </c>
      <c r="B4555" t="inlineStr">
        <is>
          <t>avverkningsanmälan</t>
        </is>
      </c>
      <c r="C4555" t="inlineStr">
        <is>
          <t>Föryngringsavverkning</t>
        </is>
      </c>
      <c r="D4555" s="1" t="n">
        <v>45163</v>
      </c>
      <c r="E4555" s="1" t="n">
        <v>46307</v>
      </c>
      <c r="F4555" t="inlineStr">
        <is>
          <t>VÄRMLANDS LÄN</t>
        </is>
      </c>
      <c r="G4555" t="inlineStr">
        <is>
          <t>TORSBY</t>
        </is>
      </c>
      <c r="I4555" t="n">
        <v>2.3</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24878-2025</t>
        </is>
      </c>
      <c r="B4556" t="inlineStr">
        <is>
          <t>avverkningsanmälan</t>
        </is>
      </c>
      <c r="C4556" t="inlineStr">
        <is>
          <t>Föryngringsavverkning</t>
        </is>
      </c>
      <c r="D4556" s="1" t="n">
        <v>45799</v>
      </c>
      <c r="E4556" s="1" t="n">
        <v>46307</v>
      </c>
      <c r="F4556" t="inlineStr">
        <is>
          <t>VÄRMLANDS LÄN</t>
        </is>
      </c>
      <c r="G4556" t="inlineStr">
        <is>
          <t>SUNNE</t>
        </is>
      </c>
      <c r="I4556" t="n">
        <v>1.6</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48103-2025</t>
        </is>
      </c>
      <c r="B4557" t="inlineStr">
        <is>
          <t>avverkningsanmälan</t>
        </is>
      </c>
      <c r="C4557" t="inlineStr">
        <is>
          <t>Avverkning för annat ändamål</t>
        </is>
      </c>
      <c r="D4557" s="1" t="n">
        <v>45933</v>
      </c>
      <c r="E4557" s="1" t="n">
        <v>46307</v>
      </c>
      <c r="F4557" t="inlineStr">
        <is>
          <t>VÄRMLANDS LÄN</t>
        </is>
      </c>
      <c r="G4557" t="inlineStr">
        <is>
          <t>FILIPSTAD</t>
        </is>
      </c>
      <c r="H4557" t="inlineStr">
        <is>
          <t>Bergvik skog väst AB</t>
        </is>
      </c>
      <c r="I4557" t="n">
        <v>6.3</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42441-2023</t>
        </is>
      </c>
      <c r="B4558" t="inlineStr">
        <is>
          <t>avverkningsanmälan</t>
        </is>
      </c>
      <c r="C4558" t="inlineStr">
        <is>
          <t>Föryngringsavverkning</t>
        </is>
      </c>
      <c r="D4558" s="1" t="n">
        <v>45180</v>
      </c>
      <c r="E4558" s="1" t="n">
        <v>46307</v>
      </c>
      <c r="F4558" t="inlineStr">
        <is>
          <t>VÄRMLANDS LÄN</t>
        </is>
      </c>
      <c r="G4558" t="inlineStr">
        <is>
          <t>ARVIKA</t>
        </is>
      </c>
      <c r="I4558" t="n">
        <v>1</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5763-2023</t>
        </is>
      </c>
      <c r="B4559" t="inlineStr">
        <is>
          <t>avverkningsanmälan</t>
        </is>
      </c>
      <c r="C4559" t="inlineStr">
        <is>
          <t>Föryngringsavverkning</t>
        </is>
      </c>
      <c r="D4559" s="1" t="n">
        <v>44963</v>
      </c>
      <c r="E4559" s="1" t="n">
        <v>46307</v>
      </c>
      <c r="F4559" t="inlineStr">
        <is>
          <t>VÄRMLANDS LÄN</t>
        </is>
      </c>
      <c r="G4559" t="inlineStr">
        <is>
          <t>TORSBY</t>
        </is>
      </c>
      <c r="I4559" t="n">
        <v>1.2</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5810-2023</t>
        </is>
      </c>
      <c r="B4560" t="inlineStr">
        <is>
          <t>avverkningsanmälan</t>
        </is>
      </c>
      <c r="C4560" t="inlineStr">
        <is>
          <t>Föryngringsavverkning</t>
        </is>
      </c>
      <c r="D4560" s="1" t="n">
        <v>44963</v>
      </c>
      <c r="E4560" s="1" t="n">
        <v>46307</v>
      </c>
      <c r="F4560" t="inlineStr">
        <is>
          <t>VÄRMLANDS LÄN</t>
        </is>
      </c>
      <c r="G4560" t="inlineStr">
        <is>
          <t>GRUMS</t>
        </is>
      </c>
      <c r="I4560" t="n">
        <v>1.8</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24970-2025</t>
        </is>
      </c>
      <c r="B4561" t="inlineStr">
        <is>
          <t>avverkningsanmälan</t>
        </is>
      </c>
      <c r="C4561" t="inlineStr">
        <is>
          <t>Föryngringsavverkning</t>
        </is>
      </c>
      <c r="D4561" s="1" t="n">
        <v>45799</v>
      </c>
      <c r="E4561" s="1" t="n">
        <v>46307</v>
      </c>
      <c r="F4561" t="inlineStr">
        <is>
          <t>VÄRMLANDS LÄN</t>
        </is>
      </c>
      <c r="G4561" t="inlineStr">
        <is>
          <t>KRISTINEHAMN</t>
        </is>
      </c>
      <c r="H4561" t="inlineStr">
        <is>
          <t>Sveaskog</t>
        </is>
      </c>
      <c r="I4561" t="n">
        <v>0.8</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48427-2025</t>
        </is>
      </c>
      <c r="B4562" t="inlineStr">
        <is>
          <t>avverkningsanmälan</t>
        </is>
      </c>
      <c r="C4562" t="inlineStr">
        <is>
          <t>Föryngringsavverkning</t>
        </is>
      </c>
      <c r="D4562" s="1" t="n">
        <v>45934</v>
      </c>
      <c r="E4562" s="1" t="n">
        <v>46307</v>
      </c>
      <c r="F4562" t="inlineStr">
        <is>
          <t>VÄRMLANDS LÄN</t>
        </is>
      </c>
      <c r="G4562" t="inlineStr">
        <is>
          <t>KIL</t>
        </is>
      </c>
      <c r="I4562" t="n">
        <v>3.5</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49222-2023</t>
        </is>
      </c>
      <c r="B4563" t="inlineStr">
        <is>
          <t>avverkningsanmälan</t>
        </is>
      </c>
      <c r="C4563" t="inlineStr">
        <is>
          <t>Föryngringsavverkning</t>
        </is>
      </c>
      <c r="D4563" s="1" t="n">
        <v>45210</v>
      </c>
      <c r="E4563" s="1" t="n">
        <v>46307</v>
      </c>
      <c r="F4563" t="inlineStr">
        <is>
          <t>VÄRMLANDS LÄN</t>
        </is>
      </c>
      <c r="G4563" t="inlineStr">
        <is>
          <t>EDA</t>
        </is>
      </c>
      <c r="I4563" t="n">
        <v>3.4</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24983-2025</t>
        </is>
      </c>
      <c r="B4564" t="inlineStr">
        <is>
          <t>avverkningsanmälan</t>
        </is>
      </c>
      <c r="C4564" t="inlineStr">
        <is>
          <t>Föryngringsavverkning</t>
        </is>
      </c>
      <c r="D4564" s="1" t="n">
        <v>45799</v>
      </c>
      <c r="E4564" s="1" t="n">
        <v>46307</v>
      </c>
      <c r="F4564" t="inlineStr">
        <is>
          <t>VÄRMLANDS LÄN</t>
        </is>
      </c>
      <c r="G4564" t="inlineStr">
        <is>
          <t>ÅRJÄNG</t>
        </is>
      </c>
      <c r="I4564" t="n">
        <v>1.5</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60991-2024</t>
        </is>
      </c>
      <c r="B4565" t="inlineStr">
        <is>
          <t>avverkningsanmälan</t>
        </is>
      </c>
      <c r="C4565" t="inlineStr">
        <is>
          <t>Föryngringsavverkning</t>
        </is>
      </c>
      <c r="D4565" s="1" t="n">
        <v>45645</v>
      </c>
      <c r="E4565" s="1" t="n">
        <v>46307</v>
      </c>
      <c r="F4565" t="inlineStr">
        <is>
          <t>VÄRMLANDS LÄN</t>
        </is>
      </c>
      <c r="G4565" t="inlineStr">
        <is>
          <t>HAGFORS</t>
        </is>
      </c>
      <c r="I4565" t="n">
        <v>4.1</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60999-2024</t>
        </is>
      </c>
      <c r="B4566" t="inlineStr">
        <is>
          <t>avverkningsanmälan</t>
        </is>
      </c>
      <c r="C4566" t="inlineStr">
        <is>
          <t>Föryngringsavverkning</t>
        </is>
      </c>
      <c r="D4566" s="1" t="n">
        <v>45645</v>
      </c>
      <c r="E4566" s="1" t="n">
        <v>46307</v>
      </c>
      <c r="F4566" t="inlineStr">
        <is>
          <t>VÄRMLANDS LÄN</t>
        </is>
      </c>
      <c r="G4566" t="inlineStr">
        <is>
          <t>SUNNE</t>
        </is>
      </c>
      <c r="I4566" t="n">
        <v>1.2</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15886-2022</t>
        </is>
      </c>
      <c r="B4567" t="inlineStr">
        <is>
          <t>avverkningsanmälan</t>
        </is>
      </c>
      <c r="C4567" t="inlineStr">
        <is>
          <t>Föryngringsavverkning</t>
        </is>
      </c>
      <c r="D4567" s="1" t="n">
        <v>44664</v>
      </c>
      <c r="E4567" s="1" t="n">
        <v>46307</v>
      </c>
      <c r="F4567" t="inlineStr">
        <is>
          <t>VÄRMLANDS LÄN</t>
        </is>
      </c>
      <c r="G4567" t="inlineStr">
        <is>
          <t>HAGFORS</t>
        </is>
      </c>
      <c r="I4567" t="n">
        <v>3.1</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15903-2022</t>
        </is>
      </c>
      <c r="B4568" t="inlineStr">
        <is>
          <t>avverkningsanmälan</t>
        </is>
      </c>
      <c r="C4568" t="inlineStr">
        <is>
          <t>Föryngringsavverkning</t>
        </is>
      </c>
      <c r="D4568" s="1" t="n">
        <v>44664</v>
      </c>
      <c r="E4568" s="1" t="n">
        <v>46307</v>
      </c>
      <c r="F4568" t="inlineStr">
        <is>
          <t>VÄRMLANDS LÄN</t>
        </is>
      </c>
      <c r="G4568" t="inlineStr">
        <is>
          <t>ÅRJÄNG</t>
        </is>
      </c>
      <c r="I4568" t="n">
        <v>5</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20369-2024</t>
        </is>
      </c>
      <c r="B4569" t="inlineStr">
        <is>
          <t>avverkningsanmälan</t>
        </is>
      </c>
      <c r="C4569" t="inlineStr">
        <is>
          <t>Föryngringsavverkning</t>
        </is>
      </c>
      <c r="D4569" s="1" t="n">
        <v>45435</v>
      </c>
      <c r="E4569" s="1" t="n">
        <v>46307</v>
      </c>
      <c r="F4569" t="inlineStr">
        <is>
          <t>VÄRMLANDS LÄN</t>
        </is>
      </c>
      <c r="G4569" t="inlineStr">
        <is>
          <t>GRUMS</t>
        </is>
      </c>
      <c r="I4569" t="n">
        <v>1.4</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11601-2025</t>
        </is>
      </c>
      <c r="B4570" t="inlineStr">
        <is>
          <t>avverkningsanmälan</t>
        </is>
      </c>
      <c r="C4570" t="inlineStr">
        <is>
          <t>Föryngringsavverkning</t>
        </is>
      </c>
      <c r="D4570" s="1" t="n">
        <v>45727</v>
      </c>
      <c r="E4570" s="1" t="n">
        <v>46307</v>
      </c>
      <c r="F4570" t="inlineStr">
        <is>
          <t>VÄRMLANDS LÄN</t>
        </is>
      </c>
      <c r="G4570" t="inlineStr">
        <is>
          <t>GRUMS</t>
        </is>
      </c>
      <c r="I4570" t="n">
        <v>1.8</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1170-2023</t>
        </is>
      </c>
      <c r="B4571" t="inlineStr">
        <is>
          <t>avverkningsanmälan</t>
        </is>
      </c>
      <c r="C4571" t="inlineStr">
        <is>
          <t>Avverkning för annat ändamål</t>
        </is>
      </c>
      <c r="D4571" s="1" t="n">
        <v>44935</v>
      </c>
      <c r="E4571" s="1" t="n">
        <v>46307</v>
      </c>
      <c r="F4571" t="inlineStr">
        <is>
          <t>VÄRMLANDS LÄN</t>
        </is>
      </c>
      <c r="G4571" t="inlineStr">
        <is>
          <t>FILIPSTAD</t>
        </is>
      </c>
      <c r="H4571" t="inlineStr">
        <is>
          <t>Bergvik skog väst AB</t>
        </is>
      </c>
      <c r="I4571" t="n">
        <v>0.7</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50461-2024</t>
        </is>
      </c>
      <c r="B4572" t="inlineStr">
        <is>
          <t>avverkningsanmälan</t>
        </is>
      </c>
      <c r="C4572" t="inlineStr">
        <is>
          <t>Föryngringsavverkning</t>
        </is>
      </c>
      <c r="D4572" s="1" t="n">
        <v>45601</v>
      </c>
      <c r="E4572" s="1" t="n">
        <v>46307</v>
      </c>
      <c r="F4572" t="inlineStr">
        <is>
          <t>VÄRMLANDS LÄN</t>
        </is>
      </c>
      <c r="G4572" t="inlineStr">
        <is>
          <t>KIL</t>
        </is>
      </c>
      <c r="I4572" t="n">
        <v>1.6</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25186-2025</t>
        </is>
      </c>
      <c r="B4573" t="inlineStr">
        <is>
          <t>avverkningsanmälan</t>
        </is>
      </c>
      <c r="C4573" t="inlineStr">
        <is>
          <t>Föryngringsavverkning</t>
        </is>
      </c>
      <c r="D4573" s="1" t="n">
        <v>45800</v>
      </c>
      <c r="E4573" s="1" t="n">
        <v>46307</v>
      </c>
      <c r="F4573" t="inlineStr">
        <is>
          <t>VÄRMLANDS LÄN</t>
        </is>
      </c>
      <c r="G4573" t="inlineStr">
        <is>
          <t>TORSBY</t>
        </is>
      </c>
      <c r="H4573" t="inlineStr">
        <is>
          <t>Kyrkan</t>
        </is>
      </c>
      <c r="I4573" t="n">
        <v>10.2</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11697-2022</t>
        </is>
      </c>
      <c r="B4574" t="inlineStr">
        <is>
          <t>avverkningsanmälan</t>
        </is>
      </c>
      <c r="C4574" t="inlineStr">
        <is>
          <t>Föryngringsavverkning</t>
        </is>
      </c>
      <c r="D4574" s="1" t="n">
        <v>44634</v>
      </c>
      <c r="E4574" s="1" t="n">
        <v>46307</v>
      </c>
      <c r="F4574" t="inlineStr">
        <is>
          <t>VÄRMLANDS LÄN</t>
        </is>
      </c>
      <c r="G4574" t="inlineStr">
        <is>
          <t>KARLSTAD</t>
        </is>
      </c>
      <c r="I4574" t="n">
        <v>3.8</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59384-2023</t>
        </is>
      </c>
      <c r="B4575" t="inlineStr">
        <is>
          <t>avverkningsanmälan</t>
        </is>
      </c>
      <c r="C4575" t="inlineStr">
        <is>
          <t>Föryngringsavverkning</t>
        </is>
      </c>
      <c r="D4575" s="1" t="n">
        <v>45253</v>
      </c>
      <c r="E4575" s="1" t="n">
        <v>46307</v>
      </c>
      <c r="F4575" t="inlineStr">
        <is>
          <t>VÄRMLANDS LÄN</t>
        </is>
      </c>
      <c r="G4575" t="inlineStr">
        <is>
          <t>ÅRJÄNG</t>
        </is>
      </c>
      <c r="I4575" t="n">
        <v>1.7</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42894-2023</t>
        </is>
      </c>
      <c r="B4576" t="inlineStr">
        <is>
          <t>avverkningsanmälan</t>
        </is>
      </c>
      <c r="C4576" t="inlineStr">
        <is>
          <t>Föryngringsavverkning</t>
        </is>
      </c>
      <c r="D4576" s="1" t="n">
        <v>45182</v>
      </c>
      <c r="E4576" s="1" t="n">
        <v>46307</v>
      </c>
      <c r="F4576" t="inlineStr">
        <is>
          <t>VÄRMLANDS LÄN</t>
        </is>
      </c>
      <c r="G4576" t="inlineStr">
        <is>
          <t>ARVIKA</t>
        </is>
      </c>
      <c r="I4576" t="n">
        <v>4.5</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10733-2025</t>
        </is>
      </c>
      <c r="B4577" t="inlineStr">
        <is>
          <t>avverkningsanmälan</t>
        </is>
      </c>
      <c r="C4577" t="inlineStr">
        <is>
          <t>Föryngringsavverkning</t>
        </is>
      </c>
      <c r="D4577" s="1" t="n">
        <v>45722</v>
      </c>
      <c r="E4577" s="1" t="n">
        <v>46307</v>
      </c>
      <c r="F4577" t="inlineStr">
        <is>
          <t>VÄRMLANDS LÄN</t>
        </is>
      </c>
      <c r="G4577" t="inlineStr">
        <is>
          <t>EDA</t>
        </is>
      </c>
      <c r="I4577" t="n">
        <v>2</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24895-2025</t>
        </is>
      </c>
      <c r="B4578" t="inlineStr">
        <is>
          <t>avverkningsanmälan</t>
        </is>
      </c>
      <c r="C4578" t="inlineStr">
        <is>
          <t>Föryngringsavverkning</t>
        </is>
      </c>
      <c r="D4578" s="1" t="n">
        <v>45799</v>
      </c>
      <c r="E4578" s="1" t="n">
        <v>46307</v>
      </c>
      <c r="F4578" t="inlineStr">
        <is>
          <t>VÄRMLANDS LÄN</t>
        </is>
      </c>
      <c r="G4578" t="inlineStr">
        <is>
          <t>HAGFORS</t>
        </is>
      </c>
      <c r="I4578" t="n">
        <v>2.3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64641-2023</t>
        </is>
      </c>
      <c r="B4579" t="inlineStr">
        <is>
          <t>avverkningsanmälan</t>
        </is>
      </c>
      <c r="C4579" t="inlineStr">
        <is>
          <t>Föryngringsavverkning</t>
        </is>
      </c>
      <c r="D4579" s="1" t="n">
        <v>45281</v>
      </c>
      <c r="E4579" s="1" t="n">
        <v>46307</v>
      </c>
      <c r="F4579" t="inlineStr">
        <is>
          <t>VÄRMLANDS LÄN</t>
        </is>
      </c>
      <c r="G4579" t="inlineStr">
        <is>
          <t>TORSBY</t>
        </is>
      </c>
      <c r="H4579" t="inlineStr">
        <is>
          <t>Bergvik skog väst AB</t>
        </is>
      </c>
      <c r="I4579" t="n">
        <v>2.8</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49337-2023</t>
        </is>
      </c>
      <c r="B4580" t="inlineStr">
        <is>
          <t>avverkningsanmälan</t>
        </is>
      </c>
      <c r="C4580" t="inlineStr">
        <is>
          <t>Föryngringsavverkning</t>
        </is>
      </c>
      <c r="D4580" s="1" t="n">
        <v>45210</v>
      </c>
      <c r="E4580" s="1" t="n">
        <v>46307</v>
      </c>
      <c r="F4580" t="inlineStr">
        <is>
          <t>VÄRMLANDS LÄN</t>
        </is>
      </c>
      <c r="G4580" t="inlineStr">
        <is>
          <t>ARVIKA</t>
        </is>
      </c>
      <c r="I4580" t="n">
        <v>1.1</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58688-2023</t>
        </is>
      </c>
      <c r="B4581" t="inlineStr">
        <is>
          <t>avverkningsanmälan</t>
        </is>
      </c>
      <c r="C4581" t="inlineStr">
        <is>
          <t>Föryngringsavverkning</t>
        </is>
      </c>
      <c r="D4581" s="1" t="n">
        <v>45251</v>
      </c>
      <c r="E4581" s="1" t="n">
        <v>46307</v>
      </c>
      <c r="F4581" t="inlineStr">
        <is>
          <t>VÄRMLANDS LÄN</t>
        </is>
      </c>
      <c r="G4581" t="inlineStr">
        <is>
          <t>FORSHAGA</t>
        </is>
      </c>
      <c r="I4581" t="n">
        <v>1</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37666-2023</t>
        </is>
      </c>
      <c r="B4582" t="inlineStr">
        <is>
          <t>avverkningsanmälan</t>
        </is>
      </c>
      <c r="C4582" t="inlineStr">
        <is>
          <t>Föryngringsavverkning</t>
        </is>
      </c>
      <c r="D4582" s="1" t="n">
        <v>45159</v>
      </c>
      <c r="E4582" s="1" t="n">
        <v>46307</v>
      </c>
      <c r="F4582" t="inlineStr">
        <is>
          <t>VÄRMLANDS LÄN</t>
        </is>
      </c>
      <c r="G4582" t="inlineStr">
        <is>
          <t>SUNNE</t>
        </is>
      </c>
      <c r="I4582" t="n">
        <v>0.6</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7069-2022</t>
        </is>
      </c>
      <c r="B4583" t="inlineStr">
        <is>
          <t>avverkningsanmälan</t>
        </is>
      </c>
      <c r="C4583" t="inlineStr">
        <is>
          <t>Föryngringsavverkning</t>
        </is>
      </c>
      <c r="D4583" s="1" t="n">
        <v>44603</v>
      </c>
      <c r="E4583" s="1" t="n">
        <v>46307</v>
      </c>
      <c r="F4583" t="inlineStr">
        <is>
          <t>VÄRMLANDS LÄN</t>
        </is>
      </c>
      <c r="G4583" t="inlineStr">
        <is>
          <t>TORSBY</t>
        </is>
      </c>
      <c r="I4583" t="n">
        <v>1.6</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18471-2022</t>
        </is>
      </c>
      <c r="B4584" t="inlineStr">
        <is>
          <t>avverkningsanmälan</t>
        </is>
      </c>
      <c r="C4584" t="inlineStr">
        <is>
          <t>Föryngringsavverkning</t>
        </is>
      </c>
      <c r="D4584" s="1" t="n">
        <v>44686</v>
      </c>
      <c r="E4584" s="1" t="n">
        <v>46307</v>
      </c>
      <c r="F4584" t="inlineStr">
        <is>
          <t>VÄRMLANDS LÄN</t>
        </is>
      </c>
      <c r="G4584" t="inlineStr">
        <is>
          <t>KARLSTAD</t>
        </is>
      </c>
      <c r="I4584" t="n">
        <v>2</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10634-2024</t>
        </is>
      </c>
      <c r="B4585" t="inlineStr">
        <is>
          <t>avverkningsanmälan</t>
        </is>
      </c>
      <c r="C4585" t="inlineStr">
        <is>
          <t>Föryngringsavverkning</t>
        </is>
      </c>
      <c r="D4585" s="1" t="n">
        <v>45367</v>
      </c>
      <c r="E4585" s="1" t="n">
        <v>46307</v>
      </c>
      <c r="F4585" t="inlineStr">
        <is>
          <t>VÄRMLANDS LÄN</t>
        </is>
      </c>
      <c r="G4585" t="inlineStr">
        <is>
          <t>KIL</t>
        </is>
      </c>
      <c r="I4585" t="n">
        <v>1.6</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54822-2023</t>
        </is>
      </c>
      <c r="B4586" t="inlineStr">
        <is>
          <t>avverkningsanmälan</t>
        </is>
      </c>
      <c r="C4586" t="inlineStr">
        <is>
          <t>Föryngringsavverkning</t>
        </is>
      </c>
      <c r="D4586" s="1" t="n">
        <v>45229</v>
      </c>
      <c r="E4586" s="1" t="n">
        <v>46307</v>
      </c>
      <c r="F4586" t="inlineStr">
        <is>
          <t>VÄRMLANDS LÄN</t>
        </is>
      </c>
      <c r="G4586" t="inlineStr">
        <is>
          <t>TORSBY</t>
        </is>
      </c>
      <c r="H4586" t="inlineStr">
        <is>
          <t>Övriga Aktiebolag</t>
        </is>
      </c>
      <c r="I4586" t="n">
        <v>9</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37765-2023</t>
        </is>
      </c>
      <c r="B4587" t="inlineStr">
        <is>
          <t>avverkningsanmälan</t>
        </is>
      </c>
      <c r="C4587" t="inlineStr">
        <is>
          <t>Föryngringsavverkning</t>
        </is>
      </c>
      <c r="D4587" s="1" t="n">
        <v>45159</v>
      </c>
      <c r="E4587" s="1" t="n">
        <v>46307</v>
      </c>
      <c r="F4587" t="inlineStr">
        <is>
          <t>VÄRMLANDS LÄN</t>
        </is>
      </c>
      <c r="G4587" t="inlineStr">
        <is>
          <t>ÅRJÄNG</t>
        </is>
      </c>
      <c r="I4587" t="n">
        <v>4.6</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23948-2022</t>
        </is>
      </c>
      <c r="B4588" t="inlineStr">
        <is>
          <t>avverkningsanmälan</t>
        </is>
      </c>
      <c r="C4588" t="inlineStr">
        <is>
          <t>Föryngringsavverkning</t>
        </is>
      </c>
      <c r="D4588" s="1" t="n">
        <v>44722</v>
      </c>
      <c r="E4588" s="1" t="n">
        <v>46307</v>
      </c>
      <c r="F4588" t="inlineStr">
        <is>
          <t>VÄRMLANDS LÄN</t>
        </is>
      </c>
      <c r="G4588" t="inlineStr">
        <is>
          <t>KRISTINEHAMN</t>
        </is>
      </c>
      <c r="I4588" t="n">
        <v>3.7</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48520-2025</t>
        </is>
      </c>
      <c r="B4589" t="inlineStr">
        <is>
          <t>avverkningsanmälan</t>
        </is>
      </c>
      <c r="C4589" t="inlineStr">
        <is>
          <t>Föryngringsavverkning</t>
        </is>
      </c>
      <c r="D4589" s="1" t="n">
        <v>45936</v>
      </c>
      <c r="E4589" s="1" t="n">
        <v>46307</v>
      </c>
      <c r="F4589" t="inlineStr">
        <is>
          <t>VÄRMLANDS LÄN</t>
        </is>
      </c>
      <c r="G4589" t="inlineStr">
        <is>
          <t>KARLSTAD</t>
        </is>
      </c>
      <c r="I4589" t="n">
        <v>0.7</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48150-2025</t>
        </is>
      </c>
      <c r="B4590" t="inlineStr">
        <is>
          <t>avverkningsanmälan</t>
        </is>
      </c>
      <c r="C4590" t="inlineStr">
        <is>
          <t>Föryngringsavverkning</t>
        </is>
      </c>
      <c r="D4590" s="1" t="n">
        <v>45933</v>
      </c>
      <c r="E4590" s="1" t="n">
        <v>46307</v>
      </c>
      <c r="F4590" t="inlineStr">
        <is>
          <t>VÄRMLANDS LÄN</t>
        </is>
      </c>
      <c r="G4590" t="inlineStr">
        <is>
          <t>HAGFORS</t>
        </is>
      </c>
      <c r="H4590" t="inlineStr">
        <is>
          <t>Bergvik skog väst AB</t>
        </is>
      </c>
      <c r="I4590" t="n">
        <v>4.9</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44421-2023</t>
        </is>
      </c>
      <c r="B4591" t="inlineStr">
        <is>
          <t>avverkningsanmälan</t>
        </is>
      </c>
      <c r="C4591" t="inlineStr">
        <is>
          <t>Föryngringsavverkning</t>
        </is>
      </c>
      <c r="D4591" s="1" t="n">
        <v>45189</v>
      </c>
      <c r="E4591" s="1" t="n">
        <v>46307</v>
      </c>
      <c r="F4591" t="inlineStr">
        <is>
          <t>VÄRMLANDS LÄN</t>
        </is>
      </c>
      <c r="G4591" t="inlineStr">
        <is>
          <t>SUNNE</t>
        </is>
      </c>
      <c r="I4591" t="n">
        <v>1.2</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44422-2023</t>
        </is>
      </c>
      <c r="B4592" t="inlineStr">
        <is>
          <t>avverkningsanmälan</t>
        </is>
      </c>
      <c r="C4592" t="inlineStr">
        <is>
          <t>Föryngringsavverkning</t>
        </is>
      </c>
      <c r="D4592" s="1" t="n">
        <v>45189</v>
      </c>
      <c r="E4592" s="1" t="n">
        <v>46307</v>
      </c>
      <c r="F4592" t="inlineStr">
        <is>
          <t>VÄRMLANDS LÄN</t>
        </is>
      </c>
      <c r="G4592" t="inlineStr">
        <is>
          <t>SUNNE</t>
        </is>
      </c>
      <c r="I4592" t="n">
        <v>1</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44433-2023</t>
        </is>
      </c>
      <c r="B4593" t="inlineStr">
        <is>
          <t>avverkningsanmälan</t>
        </is>
      </c>
      <c r="C4593" t="inlineStr">
        <is>
          <t>Föryngringsavverkning</t>
        </is>
      </c>
      <c r="D4593" s="1" t="n">
        <v>45183</v>
      </c>
      <c r="E4593" s="1" t="n">
        <v>46307</v>
      </c>
      <c r="F4593" t="inlineStr">
        <is>
          <t>VÄRMLANDS LÄN</t>
        </is>
      </c>
      <c r="G4593" t="inlineStr">
        <is>
          <t>SUNNE</t>
        </is>
      </c>
      <c r="I4593" t="n">
        <v>0.9</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22505-2023</t>
        </is>
      </c>
      <c r="B4594" t="inlineStr">
        <is>
          <t>avverkningsanmälan</t>
        </is>
      </c>
      <c r="C4594" t="inlineStr">
        <is>
          <t>Föryngringsavverkning</t>
        </is>
      </c>
      <c r="D4594" s="1" t="n">
        <v>45071</v>
      </c>
      <c r="E4594" s="1" t="n">
        <v>46307</v>
      </c>
      <c r="F4594" t="inlineStr">
        <is>
          <t>VÄRMLANDS LÄN</t>
        </is>
      </c>
      <c r="G4594" t="inlineStr">
        <is>
          <t>KARLSTAD</t>
        </is>
      </c>
      <c r="I4594" t="n">
        <v>1.5</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24793-2025</t>
        </is>
      </c>
      <c r="B4595" t="inlineStr">
        <is>
          <t>avverkningsanmälan</t>
        </is>
      </c>
      <c r="C4595" t="inlineStr">
        <is>
          <t>Föryngringsavverkning</t>
        </is>
      </c>
      <c r="D4595" s="1" t="n">
        <v>45799</v>
      </c>
      <c r="E4595" s="1" t="n">
        <v>46307</v>
      </c>
      <c r="F4595" t="inlineStr">
        <is>
          <t>VÄRMLANDS LÄN</t>
        </is>
      </c>
      <c r="G4595" t="inlineStr">
        <is>
          <t>HAGFORS</t>
        </is>
      </c>
      <c r="I4595" t="n">
        <v>2</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44497-2023</t>
        </is>
      </c>
      <c r="B4596" t="inlineStr">
        <is>
          <t>avverkningsanmälan</t>
        </is>
      </c>
      <c r="C4596" t="inlineStr">
        <is>
          <t>Föryngringsavverkning</t>
        </is>
      </c>
      <c r="D4596" s="1" t="n">
        <v>45189</v>
      </c>
      <c r="E4596" s="1" t="n">
        <v>46307</v>
      </c>
      <c r="F4596" t="inlineStr">
        <is>
          <t>VÄRMLANDS LÄN</t>
        </is>
      </c>
      <c r="G4596" t="inlineStr">
        <is>
          <t>TORSBY</t>
        </is>
      </c>
      <c r="I4596" t="n">
        <v>7.6</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55903-2024</t>
        </is>
      </c>
      <c r="B4597" t="inlineStr">
        <is>
          <t>avverkningsanmälan</t>
        </is>
      </c>
      <c r="C4597" t="inlineStr">
        <is>
          <t>Föryngringsavverkning</t>
        </is>
      </c>
      <c r="D4597" s="1" t="n">
        <v>45623</v>
      </c>
      <c r="E4597" s="1" t="n">
        <v>46307</v>
      </c>
      <c r="F4597" t="inlineStr">
        <is>
          <t>VÄRMLANDS LÄN</t>
        </is>
      </c>
      <c r="G4597" t="inlineStr">
        <is>
          <t>EDA</t>
        </is>
      </c>
      <c r="I4597" t="n">
        <v>1</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39039-2024</t>
        </is>
      </c>
      <c r="B4598" t="inlineStr">
        <is>
          <t>avverkningsanmälan</t>
        </is>
      </c>
      <c r="C4598" t="inlineStr">
        <is>
          <t>Föryngringsavverkning</t>
        </is>
      </c>
      <c r="D4598" s="1" t="n">
        <v>45548</v>
      </c>
      <c r="E4598" s="1" t="n">
        <v>46307</v>
      </c>
      <c r="F4598" t="inlineStr">
        <is>
          <t>VÄRMLANDS LÄN</t>
        </is>
      </c>
      <c r="G4598" t="inlineStr">
        <is>
          <t>KIL</t>
        </is>
      </c>
      <c r="H4598" t="inlineStr">
        <is>
          <t>Kyrkan</t>
        </is>
      </c>
      <c r="I4598" t="n">
        <v>2.8</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39040-2024</t>
        </is>
      </c>
      <c r="B4599" t="inlineStr">
        <is>
          <t>avverkningsanmälan</t>
        </is>
      </c>
      <c r="C4599" t="inlineStr">
        <is>
          <t>Föryngringsavverkning</t>
        </is>
      </c>
      <c r="D4599" s="1" t="n">
        <v>45548</v>
      </c>
      <c r="E4599" s="1" t="n">
        <v>46307</v>
      </c>
      <c r="F4599" t="inlineStr">
        <is>
          <t>VÄRMLANDS LÄN</t>
        </is>
      </c>
      <c r="G4599" t="inlineStr">
        <is>
          <t>SUNNE</t>
        </is>
      </c>
      <c r="I4599" t="n">
        <v>5.6</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25031-2025</t>
        </is>
      </c>
      <c r="B4600" t="inlineStr">
        <is>
          <t>avverkningsanmälan</t>
        </is>
      </c>
      <c r="C4600" t="inlineStr">
        <is>
          <t>Föryngringsavverkning</t>
        </is>
      </c>
      <c r="D4600" s="1" t="n">
        <v>45799</v>
      </c>
      <c r="E4600" s="1" t="n">
        <v>46307</v>
      </c>
      <c r="F4600" t="inlineStr">
        <is>
          <t>VÄRMLANDS LÄN</t>
        </is>
      </c>
      <c r="G4600" t="inlineStr">
        <is>
          <t>HAGFORS</t>
        </is>
      </c>
      <c r="H4600" t="inlineStr">
        <is>
          <t>Bergvik skog väst AB</t>
        </is>
      </c>
      <c r="I4600" t="n">
        <v>4</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48108-2025</t>
        </is>
      </c>
      <c r="B4601" t="inlineStr">
        <is>
          <t>avverkningsanmälan</t>
        </is>
      </c>
      <c r="C4601" t="inlineStr">
        <is>
          <t>Föryngringsavverkning</t>
        </is>
      </c>
      <c r="D4601" s="1" t="n">
        <v>45933</v>
      </c>
      <c r="E4601" s="1" t="n">
        <v>46307</v>
      </c>
      <c r="F4601" t="inlineStr">
        <is>
          <t>VÄRMLANDS LÄN</t>
        </is>
      </c>
      <c r="G4601" t="inlineStr">
        <is>
          <t>HAGFORS</t>
        </is>
      </c>
      <c r="H4601" t="inlineStr">
        <is>
          <t>Bergvik skog väst AB</t>
        </is>
      </c>
      <c r="I4601" t="n">
        <v>5.6</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15718-2023</t>
        </is>
      </c>
      <c r="B4602" t="inlineStr">
        <is>
          <t>avverkningsanmälan</t>
        </is>
      </c>
      <c r="C4602" t="inlineStr">
        <is>
          <t>Föryngringsavverkning</t>
        </is>
      </c>
      <c r="D4602" s="1" t="n">
        <v>45021</v>
      </c>
      <c r="E4602" s="1" t="n">
        <v>46307</v>
      </c>
      <c r="F4602" t="inlineStr">
        <is>
          <t>VÄRMLANDS LÄN</t>
        </is>
      </c>
      <c r="G4602" t="inlineStr">
        <is>
          <t>ÅRJÄNG</t>
        </is>
      </c>
      <c r="I4602" t="n">
        <v>2.9</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61216-2024</t>
        </is>
      </c>
      <c r="B4603" t="inlineStr">
        <is>
          <t>avverkningsanmälan</t>
        </is>
      </c>
      <c r="C4603" t="inlineStr">
        <is>
          <t>Föryngringsavverkning</t>
        </is>
      </c>
      <c r="D4603" s="1" t="n">
        <v>45644</v>
      </c>
      <c r="E4603" s="1" t="n">
        <v>46307</v>
      </c>
      <c r="F4603" t="inlineStr">
        <is>
          <t>VÄRMLANDS LÄN</t>
        </is>
      </c>
      <c r="G4603" t="inlineStr">
        <is>
          <t>SUNNE</t>
        </is>
      </c>
      <c r="I4603" t="n">
        <v>9.800000000000001</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61226-2024</t>
        </is>
      </c>
      <c r="B4604" t="inlineStr">
        <is>
          <t>avverkningsanmälan</t>
        </is>
      </c>
      <c r="C4604" t="inlineStr">
        <is>
          <t>Föryngringsavverkning</t>
        </is>
      </c>
      <c r="D4604" s="1" t="n">
        <v>45645</v>
      </c>
      <c r="E4604" s="1" t="n">
        <v>46307</v>
      </c>
      <c r="F4604" t="inlineStr">
        <is>
          <t>VÄRMLANDS LÄN</t>
        </is>
      </c>
      <c r="G4604" t="inlineStr">
        <is>
          <t>ÅRJÄNG</t>
        </is>
      </c>
      <c r="I4604" t="n">
        <v>0.8</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1528-2025</t>
        </is>
      </c>
      <c r="B4605" t="inlineStr">
        <is>
          <t>avverkningsanmälan</t>
        </is>
      </c>
      <c r="C4605" t="inlineStr">
        <is>
          <t>Föryngringsavverkning</t>
        </is>
      </c>
      <c r="D4605" s="1" t="n">
        <v>45670</v>
      </c>
      <c r="E4605" s="1" t="n">
        <v>46307</v>
      </c>
      <c r="F4605" t="inlineStr">
        <is>
          <t>VÄRMLANDS LÄN</t>
        </is>
      </c>
      <c r="G4605" t="inlineStr">
        <is>
          <t>TORSBY</t>
        </is>
      </c>
      <c r="I4605" t="n">
        <v>7.4</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25079-2025</t>
        </is>
      </c>
      <c r="B4606" t="inlineStr">
        <is>
          <t>avverkningsanmälan</t>
        </is>
      </c>
      <c r="C4606" t="inlineStr">
        <is>
          <t>Föryngringsavverkning</t>
        </is>
      </c>
      <c r="D4606" s="1" t="n">
        <v>45799</v>
      </c>
      <c r="E4606" s="1" t="n">
        <v>46307</v>
      </c>
      <c r="F4606" t="inlineStr">
        <is>
          <t>VÄRMLANDS LÄN</t>
        </is>
      </c>
      <c r="G4606" t="inlineStr">
        <is>
          <t>ARVIKA</t>
        </is>
      </c>
      <c r="I4606" t="n">
        <v>0.8</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15-2025</t>
        </is>
      </c>
      <c r="B4607" t="inlineStr">
        <is>
          <t>avverkningsanmälan</t>
        </is>
      </c>
      <c r="C4607" t="inlineStr">
        <is>
          <t>Föryngringsavverkning</t>
        </is>
      </c>
      <c r="D4607" s="1" t="n">
        <v>45658</v>
      </c>
      <c r="E4607" s="1" t="n">
        <v>46307</v>
      </c>
      <c r="F4607" t="inlineStr">
        <is>
          <t>VÄRMLANDS LÄN</t>
        </is>
      </c>
      <c r="G4607" t="inlineStr">
        <is>
          <t>FILIPSTAD</t>
        </is>
      </c>
      <c r="I4607" t="n">
        <v>2.5</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2061-2025</t>
        </is>
      </c>
      <c r="B4608" t="inlineStr">
        <is>
          <t>avverkningsanmälan</t>
        </is>
      </c>
      <c r="C4608" t="inlineStr">
        <is>
          <t>Föryngringsavverkning</t>
        </is>
      </c>
      <c r="D4608" s="1" t="n">
        <v>45672</v>
      </c>
      <c r="E4608" s="1" t="n">
        <v>46307</v>
      </c>
      <c r="F4608" t="inlineStr">
        <is>
          <t>VÄRMLANDS LÄN</t>
        </is>
      </c>
      <c r="G4608" t="inlineStr">
        <is>
          <t>KARLSTAD</t>
        </is>
      </c>
      <c r="H4608" t="inlineStr">
        <is>
          <t>Övriga statliga verk och myndigheter</t>
        </is>
      </c>
      <c r="I4608" t="n">
        <v>2</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1329-2022</t>
        </is>
      </c>
      <c r="B4609" t="inlineStr">
        <is>
          <t>avverkningsanmälan</t>
        </is>
      </c>
      <c r="C4609" t="inlineStr">
        <is>
          <t>Föryngringsavverkning</t>
        </is>
      </c>
      <c r="D4609" s="1" t="n">
        <v>44572</v>
      </c>
      <c r="E4609" s="1" t="n">
        <v>46307</v>
      </c>
      <c r="F4609" t="inlineStr">
        <is>
          <t>VÄRMLANDS LÄN</t>
        </is>
      </c>
      <c r="G4609" t="inlineStr">
        <is>
          <t>ARVIKA</t>
        </is>
      </c>
      <c r="I4609" t="n">
        <v>3.5</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3226-2025</t>
        </is>
      </c>
      <c r="B4610" t="inlineStr">
        <is>
          <t>avverkningsanmälan</t>
        </is>
      </c>
      <c r="C4610" t="inlineStr">
        <is>
          <t>Föryngringsavverkning</t>
        </is>
      </c>
      <c r="D4610" s="1" t="n">
        <v>45679</v>
      </c>
      <c r="E4610" s="1" t="n">
        <v>46307</v>
      </c>
      <c r="F4610" t="inlineStr">
        <is>
          <t>VÄRMLANDS LÄN</t>
        </is>
      </c>
      <c r="G4610" t="inlineStr">
        <is>
          <t>TORSBY</t>
        </is>
      </c>
      <c r="I4610" t="n">
        <v>3.3</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4976-2024</t>
        </is>
      </c>
      <c r="B4611" t="inlineStr">
        <is>
          <t>avverkningsanmälan</t>
        </is>
      </c>
      <c r="C4611" t="inlineStr">
        <is>
          <t>Föryngringsavverkning</t>
        </is>
      </c>
      <c r="D4611" s="1" t="n">
        <v>45329</v>
      </c>
      <c r="E4611" s="1" t="n">
        <v>46307</v>
      </c>
      <c r="F4611" t="inlineStr">
        <is>
          <t>VÄRMLANDS LÄN</t>
        </is>
      </c>
      <c r="G4611" t="inlineStr">
        <is>
          <t>GRUMS</t>
        </is>
      </c>
      <c r="I4611" t="n">
        <v>5.1</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24820-2025</t>
        </is>
      </c>
      <c r="B4612" t="inlineStr">
        <is>
          <t>avverkningsanmälan</t>
        </is>
      </c>
      <c r="C4612" t="inlineStr">
        <is>
          <t>Föryngringsavverkning</t>
        </is>
      </c>
      <c r="D4612" s="1" t="n">
        <v>45799</v>
      </c>
      <c r="E4612" s="1" t="n">
        <v>46307</v>
      </c>
      <c r="F4612" t="inlineStr">
        <is>
          <t>VÄRMLANDS LÄN</t>
        </is>
      </c>
      <c r="G4612" t="inlineStr">
        <is>
          <t>STORFORS</t>
        </is>
      </c>
      <c r="H4612" t="inlineStr">
        <is>
          <t>Bergvik skog väst AB</t>
        </is>
      </c>
      <c r="I4612" t="n">
        <v>6.6</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48675-2025</t>
        </is>
      </c>
      <c r="B4613" t="inlineStr">
        <is>
          <t>avverkningsanmälan</t>
        </is>
      </c>
      <c r="C4613" t="inlineStr">
        <is>
          <t>Föryngringsavverkning</t>
        </is>
      </c>
      <c r="D4613" s="1" t="n">
        <v>45936</v>
      </c>
      <c r="E4613" s="1" t="n">
        <v>46307</v>
      </c>
      <c r="F4613" t="inlineStr">
        <is>
          <t>VÄRMLANDS LÄN</t>
        </is>
      </c>
      <c r="G4613" t="inlineStr">
        <is>
          <t>EDA</t>
        </is>
      </c>
      <c r="H4613" t="inlineStr">
        <is>
          <t>Bergvik skog väst AB</t>
        </is>
      </c>
      <c r="I4613" t="n">
        <v>9.699999999999999</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57-2025</t>
        </is>
      </c>
      <c r="B4614" t="inlineStr">
        <is>
          <t>avverkningsanmälan</t>
        </is>
      </c>
      <c r="C4614" t="inlineStr">
        <is>
          <t>Föryngringsavverkning</t>
        </is>
      </c>
      <c r="D4614" s="1" t="n">
        <v>45659</v>
      </c>
      <c r="E4614" s="1" t="n">
        <v>46307</v>
      </c>
      <c r="F4614" t="inlineStr">
        <is>
          <t>VÄRMLANDS LÄN</t>
        </is>
      </c>
      <c r="G4614" t="inlineStr">
        <is>
          <t>HAGFORS</t>
        </is>
      </c>
      <c r="I4614" t="n">
        <v>2.8</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48517-2025</t>
        </is>
      </c>
      <c r="B4615" t="inlineStr">
        <is>
          <t>avverkningsanmälan</t>
        </is>
      </c>
      <c r="C4615" t="inlineStr">
        <is>
          <t>Föryngringsavverkning</t>
        </is>
      </c>
      <c r="D4615" s="1" t="n">
        <v>45936</v>
      </c>
      <c r="E4615" s="1" t="n">
        <v>46307</v>
      </c>
      <c r="F4615" t="inlineStr">
        <is>
          <t>VÄRMLANDS LÄN</t>
        </is>
      </c>
      <c r="G4615" t="inlineStr">
        <is>
          <t>KARLSTAD</t>
        </is>
      </c>
      <c r="I4615" t="n">
        <v>1.2</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25136-2025</t>
        </is>
      </c>
      <c r="B4616" t="inlineStr">
        <is>
          <t>avverkningsanmälan</t>
        </is>
      </c>
      <c r="C4616" t="inlineStr">
        <is>
          <t>Föryngringsavverkning</t>
        </is>
      </c>
      <c r="D4616" s="1" t="n">
        <v>45800</v>
      </c>
      <c r="E4616" s="1" t="n">
        <v>46307</v>
      </c>
      <c r="F4616" t="inlineStr">
        <is>
          <t>VÄRMLANDS LÄN</t>
        </is>
      </c>
      <c r="G4616" t="inlineStr">
        <is>
          <t>ARVIKA</t>
        </is>
      </c>
      <c r="H4616" t="inlineStr">
        <is>
          <t>Bergvik skog väst AB</t>
        </is>
      </c>
      <c r="I4616" t="n">
        <v>2.4</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3950-2022</t>
        </is>
      </c>
      <c r="B4617" t="inlineStr">
        <is>
          <t>avverkningsanmälan</t>
        </is>
      </c>
      <c r="C4617" t="inlineStr">
        <is>
          <t>Avverkning för annat ändamål</t>
        </is>
      </c>
      <c r="D4617" s="1" t="n">
        <v>44587</v>
      </c>
      <c r="E4617" s="1" t="n">
        <v>46307</v>
      </c>
      <c r="F4617" t="inlineStr">
        <is>
          <t>VÄRMLANDS LÄN</t>
        </is>
      </c>
      <c r="G4617" t="inlineStr">
        <is>
          <t>SÄFFLE</t>
        </is>
      </c>
      <c r="I4617" t="n">
        <v>0.9</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11190-2024</t>
        </is>
      </c>
      <c r="B4618" t="inlineStr">
        <is>
          <t>avverkningsanmälan</t>
        </is>
      </c>
      <c r="C4618" t="inlineStr">
        <is>
          <t>Föryngringsavverkning</t>
        </is>
      </c>
      <c r="D4618" s="1" t="n">
        <v>45371</v>
      </c>
      <c r="E4618" s="1" t="n">
        <v>46307</v>
      </c>
      <c r="F4618" t="inlineStr">
        <is>
          <t>VÄRMLANDS LÄN</t>
        </is>
      </c>
      <c r="G4618" t="inlineStr">
        <is>
          <t>KARLSTAD</t>
        </is>
      </c>
      <c r="I4618" t="n">
        <v>2.5</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11194-2024</t>
        </is>
      </c>
      <c r="B4619" t="inlineStr">
        <is>
          <t>avverkningsanmälan</t>
        </is>
      </c>
      <c r="C4619" t="inlineStr">
        <is>
          <t>Föryngringsavverkning</t>
        </is>
      </c>
      <c r="D4619" s="1" t="n">
        <v>45371</v>
      </c>
      <c r="E4619" s="1" t="n">
        <v>46307</v>
      </c>
      <c r="F4619" t="inlineStr">
        <is>
          <t>VÄRMLANDS LÄN</t>
        </is>
      </c>
      <c r="G4619" t="inlineStr">
        <is>
          <t>KARLSTAD</t>
        </is>
      </c>
      <c r="I4619" t="n">
        <v>1</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24757-2025</t>
        </is>
      </c>
      <c r="B4620" t="inlineStr">
        <is>
          <t>avverkningsanmälan</t>
        </is>
      </c>
      <c r="C4620" t="inlineStr">
        <is>
          <t>Föryngringsavverkning</t>
        </is>
      </c>
      <c r="D4620" s="1" t="n">
        <v>45799</v>
      </c>
      <c r="E4620" s="1" t="n">
        <v>46307</v>
      </c>
      <c r="F4620" t="inlineStr">
        <is>
          <t>VÄRMLANDS LÄN</t>
        </is>
      </c>
      <c r="G4620" t="inlineStr">
        <is>
          <t>TORSBY</t>
        </is>
      </c>
      <c r="I4620" t="n">
        <v>2.1</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43732-2022</t>
        </is>
      </c>
      <c r="B4621" t="inlineStr">
        <is>
          <t>avverkningsanmälan</t>
        </is>
      </c>
      <c r="C4621" t="inlineStr">
        <is>
          <t>Föryngringsavverkning</t>
        </is>
      </c>
      <c r="D4621" s="1" t="n">
        <v>44837</v>
      </c>
      <c r="E4621" s="1" t="n">
        <v>46307</v>
      </c>
      <c r="F4621" t="inlineStr">
        <is>
          <t>VÄRMLANDS LÄN</t>
        </is>
      </c>
      <c r="G4621" t="inlineStr">
        <is>
          <t>TORSBY</t>
        </is>
      </c>
      <c r="I4621" t="n">
        <v>1.3</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25163-2025</t>
        </is>
      </c>
      <c r="B4622" t="inlineStr">
        <is>
          <t>avverkningsanmälan</t>
        </is>
      </c>
      <c r="C4622" t="inlineStr">
        <is>
          <t>Föryngringsavverkning</t>
        </is>
      </c>
      <c r="D4622" s="1" t="n">
        <v>45800</v>
      </c>
      <c r="E4622" s="1" t="n">
        <v>46307</v>
      </c>
      <c r="F4622" t="inlineStr">
        <is>
          <t>VÄRMLANDS LÄN</t>
        </is>
      </c>
      <c r="G4622" t="inlineStr">
        <is>
          <t>KARLSTAD</t>
        </is>
      </c>
      <c r="I4622" t="n">
        <v>1.2</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48502-2025</t>
        </is>
      </c>
      <c r="B4623" t="inlineStr">
        <is>
          <t>avverkningsanmälan</t>
        </is>
      </c>
      <c r="C4623" t="inlineStr">
        <is>
          <t>Föryngringsavverkning</t>
        </is>
      </c>
      <c r="D4623" s="1" t="n">
        <v>45936</v>
      </c>
      <c r="E4623" s="1" t="n">
        <v>46307</v>
      </c>
      <c r="F4623" t="inlineStr">
        <is>
          <t>VÄRMLANDS LÄN</t>
        </is>
      </c>
      <c r="G4623" t="inlineStr">
        <is>
          <t>KARLSTAD</t>
        </is>
      </c>
      <c r="I4623" t="n">
        <v>1</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7360-2022</t>
        </is>
      </c>
      <c r="B4624" t="inlineStr">
        <is>
          <t>avverkningsanmälan</t>
        </is>
      </c>
      <c r="C4624" t="inlineStr">
        <is>
          <t>Föryngringsavverkning</t>
        </is>
      </c>
      <c r="D4624" s="1" t="n">
        <v>44606</v>
      </c>
      <c r="E4624" s="1" t="n">
        <v>46307</v>
      </c>
      <c r="F4624" t="inlineStr">
        <is>
          <t>VÄRMLANDS LÄN</t>
        </is>
      </c>
      <c r="G4624" t="inlineStr">
        <is>
          <t>SUNNE</t>
        </is>
      </c>
      <c r="I4624" t="n">
        <v>1.3</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7410-2022</t>
        </is>
      </c>
      <c r="B4625" t="inlineStr">
        <is>
          <t>avverkningsanmälan</t>
        </is>
      </c>
      <c r="C4625" t="inlineStr">
        <is>
          <t>Föryngringsavverkning</t>
        </is>
      </c>
      <c r="D4625" s="1" t="n">
        <v>44606</v>
      </c>
      <c r="E4625" s="1" t="n">
        <v>46307</v>
      </c>
      <c r="F4625" t="inlineStr">
        <is>
          <t>VÄRMLANDS LÄN</t>
        </is>
      </c>
      <c r="G4625" t="inlineStr">
        <is>
          <t>SÄFFLE</t>
        </is>
      </c>
      <c r="I4625" t="n">
        <v>4.3</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48911-2024</t>
        </is>
      </c>
      <c r="B4626" t="inlineStr">
        <is>
          <t>avverkningsanmälan</t>
        </is>
      </c>
      <c r="C4626" t="inlineStr">
        <is>
          <t>Föryngringsavverkning</t>
        </is>
      </c>
      <c r="D4626" s="1" t="n">
        <v>45594</v>
      </c>
      <c r="E4626" s="1" t="n">
        <v>46307</v>
      </c>
      <c r="F4626" t="inlineStr">
        <is>
          <t>VÄRMLANDS LÄN</t>
        </is>
      </c>
      <c r="G4626" t="inlineStr">
        <is>
          <t>ÅRJÄNG</t>
        </is>
      </c>
      <c r="I4626" t="n">
        <v>2.3</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27573-2023</t>
        </is>
      </c>
      <c r="B4627" t="inlineStr">
        <is>
          <t>avverkningsanmälan</t>
        </is>
      </c>
      <c r="C4627" t="inlineStr">
        <is>
          <t>Föryngringsavverkning</t>
        </is>
      </c>
      <c r="D4627" s="1" t="n">
        <v>45093</v>
      </c>
      <c r="E4627" s="1" t="n">
        <v>46307</v>
      </c>
      <c r="F4627" t="inlineStr">
        <is>
          <t>VÄRMLANDS LÄN</t>
        </is>
      </c>
      <c r="G4627" t="inlineStr">
        <is>
          <t>SUNNE</t>
        </is>
      </c>
      <c r="I4627" t="n">
        <v>1.4</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3085-2024</t>
        </is>
      </c>
      <c r="B4628" t="inlineStr">
        <is>
          <t>avverkningsanmälan</t>
        </is>
      </c>
      <c r="C4628" t="inlineStr">
        <is>
          <t>Föryngringsavverkning</t>
        </is>
      </c>
      <c r="D4628" s="1" t="n">
        <v>45316</v>
      </c>
      <c r="E4628" s="1" t="n">
        <v>46307</v>
      </c>
      <c r="F4628" t="inlineStr">
        <is>
          <t>VÄRMLANDS LÄN</t>
        </is>
      </c>
      <c r="G4628" t="inlineStr">
        <is>
          <t>SUNNE</t>
        </is>
      </c>
      <c r="H4628" t="inlineStr">
        <is>
          <t>Kommuner</t>
        </is>
      </c>
      <c r="I4628" t="n">
        <v>0.4</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4798-2022</t>
        </is>
      </c>
      <c r="B4629" t="inlineStr">
        <is>
          <t>avverkningsanmälan</t>
        </is>
      </c>
      <c r="C4629" t="inlineStr">
        <is>
          <t>Föryngringsavverkning</t>
        </is>
      </c>
      <c r="D4629" s="1" t="n">
        <v>44592</v>
      </c>
      <c r="E4629" s="1" t="n">
        <v>46307</v>
      </c>
      <c r="F4629" t="inlineStr">
        <is>
          <t>VÄRMLANDS LÄN</t>
        </is>
      </c>
      <c r="G4629" t="inlineStr">
        <is>
          <t>ÅRJÄNG</t>
        </is>
      </c>
      <c r="I4629" t="n">
        <v>4.1</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47619-2024</t>
        </is>
      </c>
      <c r="B4630" t="inlineStr">
        <is>
          <t>avverkningsanmälan</t>
        </is>
      </c>
      <c r="C4630" t="inlineStr">
        <is>
          <t>Föryngringsavverkning</t>
        </is>
      </c>
      <c r="D4630" s="1" t="n">
        <v>45588</v>
      </c>
      <c r="E4630" s="1" t="n">
        <v>46307</v>
      </c>
      <c r="F4630" t="inlineStr">
        <is>
          <t>VÄRMLANDS LÄN</t>
        </is>
      </c>
      <c r="G4630" t="inlineStr">
        <is>
          <t>TORSBY</t>
        </is>
      </c>
      <c r="I4630" t="n">
        <v>1.1</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14382-2023</t>
        </is>
      </c>
      <c r="B4631" t="inlineStr">
        <is>
          <t>avverkningsanmälan</t>
        </is>
      </c>
      <c r="C4631" t="inlineStr">
        <is>
          <t>Avverkning för annat ändamål</t>
        </is>
      </c>
      <c r="D4631" s="1" t="n">
        <v>45012</v>
      </c>
      <c r="E4631" s="1" t="n">
        <v>46307</v>
      </c>
      <c r="F4631" t="inlineStr">
        <is>
          <t>VÄRMLANDS LÄN</t>
        </is>
      </c>
      <c r="G4631" t="inlineStr">
        <is>
          <t>FORSHAGA</t>
        </is>
      </c>
      <c r="H4631" t="inlineStr">
        <is>
          <t>Bergvik skog väst AB</t>
        </is>
      </c>
      <c r="I4631" t="n">
        <v>2</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8205-2025</t>
        </is>
      </c>
      <c r="B4632" t="inlineStr">
        <is>
          <t>avverkningsanmälan</t>
        </is>
      </c>
      <c r="C4632" t="inlineStr">
        <is>
          <t>Föryngringsavverkning</t>
        </is>
      </c>
      <c r="D4632" s="1" t="n">
        <v>45707</v>
      </c>
      <c r="E4632" s="1" t="n">
        <v>46307</v>
      </c>
      <c r="F4632" t="inlineStr">
        <is>
          <t>VÄRMLANDS LÄN</t>
        </is>
      </c>
      <c r="G4632" t="inlineStr">
        <is>
          <t>SÄFFLE</t>
        </is>
      </c>
      <c r="I4632" t="n">
        <v>1.2</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8215-2025</t>
        </is>
      </c>
      <c r="B4633" t="inlineStr">
        <is>
          <t>avverkningsanmälan</t>
        </is>
      </c>
      <c r="C4633" t="inlineStr">
        <is>
          <t>Föryngringsavverkning</t>
        </is>
      </c>
      <c r="D4633" s="1" t="n">
        <v>45708</v>
      </c>
      <c r="E4633" s="1" t="n">
        <v>46307</v>
      </c>
      <c r="F4633" t="inlineStr">
        <is>
          <t>VÄRMLANDS LÄN</t>
        </is>
      </c>
      <c r="G4633" t="inlineStr">
        <is>
          <t>ÅRJÄNG</t>
        </is>
      </c>
      <c r="I4633" t="n">
        <v>1.9</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8230-2025</t>
        </is>
      </c>
      <c r="B4634" t="inlineStr">
        <is>
          <t>avverkningsanmälan</t>
        </is>
      </c>
      <c r="C4634" t="inlineStr">
        <is>
          <t>Föryngringsavverkning</t>
        </is>
      </c>
      <c r="D4634" s="1" t="n">
        <v>45708</v>
      </c>
      <c r="E4634" s="1" t="n">
        <v>46307</v>
      </c>
      <c r="F4634" t="inlineStr">
        <is>
          <t>VÄRMLANDS LÄN</t>
        </is>
      </c>
      <c r="G4634" t="inlineStr">
        <is>
          <t>ÅRJÄNG</t>
        </is>
      </c>
      <c r="I4634" t="n">
        <v>2.5</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54652-2024</t>
        </is>
      </c>
      <c r="B4635" t="inlineStr">
        <is>
          <t>avverkningsanmälan</t>
        </is>
      </c>
      <c r="C4635" t="inlineStr">
        <is>
          <t>Föryngringsavverkning</t>
        </is>
      </c>
      <c r="D4635" s="1" t="n">
        <v>45618</v>
      </c>
      <c r="E4635" s="1" t="n">
        <v>46307</v>
      </c>
      <c r="F4635" t="inlineStr">
        <is>
          <t>VÄRMLANDS LÄN</t>
        </is>
      </c>
      <c r="G4635" t="inlineStr">
        <is>
          <t>ARVIKA</t>
        </is>
      </c>
      <c r="I4635" t="n">
        <v>1.2</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48214-2025</t>
        </is>
      </c>
      <c r="B4636" t="inlineStr">
        <is>
          <t>avverkningsanmälan</t>
        </is>
      </c>
      <c r="C4636" t="inlineStr">
        <is>
          <t>Föryngringsavverkning</t>
        </is>
      </c>
      <c r="D4636" s="1" t="n">
        <v>45933</v>
      </c>
      <c r="E4636" s="1" t="n">
        <v>46307</v>
      </c>
      <c r="F4636" t="inlineStr">
        <is>
          <t>VÄRMLANDS LÄN</t>
        </is>
      </c>
      <c r="G4636" t="inlineStr">
        <is>
          <t>TORSBY</t>
        </is>
      </c>
      <c r="I4636" t="n">
        <v>0.6</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61463-2022</t>
        </is>
      </c>
      <c r="B4637" t="inlineStr">
        <is>
          <t>avverkningsanmälan</t>
        </is>
      </c>
      <c r="C4637" t="inlineStr">
        <is>
          <t>Föryngringsavverkning</t>
        </is>
      </c>
      <c r="D4637" s="1" t="n">
        <v>44916</v>
      </c>
      <c r="E4637" s="1" t="n">
        <v>46307</v>
      </c>
      <c r="F4637" t="inlineStr">
        <is>
          <t>VÄRMLANDS LÄN</t>
        </is>
      </c>
      <c r="G4637" t="inlineStr">
        <is>
          <t>FORSHAGA</t>
        </is>
      </c>
      <c r="I4637" t="n">
        <v>1.6</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15255-2022</t>
        </is>
      </c>
      <c r="B4638" t="inlineStr">
        <is>
          <t>avverkningsanmälan</t>
        </is>
      </c>
      <c r="C4638" t="inlineStr">
        <is>
          <t>Föryngringsavverkning</t>
        </is>
      </c>
      <c r="D4638" s="1" t="n">
        <v>44659</v>
      </c>
      <c r="E4638" s="1" t="n">
        <v>46307</v>
      </c>
      <c r="F4638" t="inlineStr">
        <is>
          <t>VÄRMLANDS LÄN</t>
        </is>
      </c>
      <c r="G4638" t="inlineStr">
        <is>
          <t>SUNNE</t>
        </is>
      </c>
      <c r="I4638" t="n">
        <v>16.4</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15258-2022</t>
        </is>
      </c>
      <c r="B4639" t="inlineStr">
        <is>
          <t>avverkningsanmälan</t>
        </is>
      </c>
      <c r="C4639" t="inlineStr">
        <is>
          <t>Föryngringsavverkning</t>
        </is>
      </c>
      <c r="D4639" s="1" t="n">
        <v>44659</v>
      </c>
      <c r="E4639" s="1" t="n">
        <v>46307</v>
      </c>
      <c r="F4639" t="inlineStr">
        <is>
          <t>VÄRMLANDS LÄN</t>
        </is>
      </c>
      <c r="G4639" t="inlineStr">
        <is>
          <t>EDA</t>
        </is>
      </c>
      <c r="I4639" t="n">
        <v>1.2</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41563-2023</t>
        </is>
      </c>
      <c r="B4640" t="inlineStr">
        <is>
          <t>avverkningsanmälan</t>
        </is>
      </c>
      <c r="C4640" t="inlineStr">
        <is>
          <t>Föryngringsavverkning</t>
        </is>
      </c>
      <c r="D4640" s="1" t="n">
        <v>45175</v>
      </c>
      <c r="E4640" s="1" t="n">
        <v>46307</v>
      </c>
      <c r="F4640" t="inlineStr">
        <is>
          <t>VÄRMLANDS LÄN</t>
        </is>
      </c>
      <c r="G4640" t="inlineStr">
        <is>
          <t>KARLSTAD</t>
        </is>
      </c>
      <c r="H4640" t="inlineStr">
        <is>
          <t>Övriga Aktiebolag</t>
        </is>
      </c>
      <c r="I4640" t="n">
        <v>1.6</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46967-2023</t>
        </is>
      </c>
      <c r="B4641" t="inlineStr">
        <is>
          <t>avverkningsanmälan</t>
        </is>
      </c>
      <c r="C4641" t="inlineStr">
        <is>
          <t>Föryngringsavverkning</t>
        </is>
      </c>
      <c r="D4641" s="1" t="n">
        <v>45201</v>
      </c>
      <c r="E4641" s="1" t="n">
        <v>46307</v>
      </c>
      <c r="F4641" t="inlineStr">
        <is>
          <t>VÄRMLANDS LÄN</t>
        </is>
      </c>
      <c r="G4641" t="inlineStr">
        <is>
          <t>KARLSTAD</t>
        </is>
      </c>
      <c r="I4641" t="n">
        <v>2.2</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39018-2025</t>
        </is>
      </c>
      <c r="B4642" t="inlineStr">
        <is>
          <t>avverkningsanmälan</t>
        </is>
      </c>
      <c r="C4642" t="inlineStr">
        <is>
          <t>Föryngringsavverkning</t>
        </is>
      </c>
      <c r="D4642" s="1" t="n">
        <v>45888</v>
      </c>
      <c r="E4642" s="1" t="n">
        <v>46307</v>
      </c>
      <c r="F4642" t="inlineStr">
        <is>
          <t>VÄRMLANDS LÄN</t>
        </is>
      </c>
      <c r="G4642" t="inlineStr">
        <is>
          <t>EDA</t>
        </is>
      </c>
      <c r="I4642" t="n">
        <v>0.5</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48682-2025</t>
        </is>
      </c>
      <c r="B4643" t="inlineStr">
        <is>
          <t>avverkningsanmälan</t>
        </is>
      </c>
      <c r="C4643" t="inlineStr">
        <is>
          <t>Föryngringsavverkning</t>
        </is>
      </c>
      <c r="D4643" s="1" t="n">
        <v>45936</v>
      </c>
      <c r="E4643" s="1" t="n">
        <v>46307</v>
      </c>
      <c r="F4643" t="inlineStr">
        <is>
          <t>VÄRMLANDS LÄN</t>
        </is>
      </c>
      <c r="G4643" t="inlineStr">
        <is>
          <t>EDA</t>
        </is>
      </c>
      <c r="H4643" t="inlineStr">
        <is>
          <t>Bergvik skog väst AB</t>
        </is>
      </c>
      <c r="I4643" t="n">
        <v>3.9</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48320-2025</t>
        </is>
      </c>
      <c r="B4644" t="inlineStr">
        <is>
          <t>avverkningsanmälan</t>
        </is>
      </c>
      <c r="C4644" t="inlineStr">
        <is>
          <t>Föryngringsavverkning</t>
        </is>
      </c>
      <c r="D4644" s="1" t="n">
        <v>45933</v>
      </c>
      <c r="E4644" s="1" t="n">
        <v>46307</v>
      </c>
      <c r="F4644" t="inlineStr">
        <is>
          <t>VÄRMLANDS LÄN</t>
        </is>
      </c>
      <c r="G4644" t="inlineStr">
        <is>
          <t>ARVIKA</t>
        </is>
      </c>
      <c r="I4644" t="n">
        <v>1.5</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44869-2023</t>
        </is>
      </c>
      <c r="B4645" t="inlineStr">
        <is>
          <t>avverkningsanmälan</t>
        </is>
      </c>
      <c r="C4645" t="inlineStr">
        <is>
          <t>Föryngringsavverkning</t>
        </is>
      </c>
      <c r="D4645" s="1" t="n">
        <v>45190</v>
      </c>
      <c r="E4645" s="1" t="n">
        <v>46307</v>
      </c>
      <c r="F4645" t="inlineStr">
        <is>
          <t>VÄRMLANDS LÄN</t>
        </is>
      </c>
      <c r="G4645" t="inlineStr">
        <is>
          <t>SUNNE</t>
        </is>
      </c>
      <c r="I4645" t="n">
        <v>0.9</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5448-2022</t>
        </is>
      </c>
      <c r="B4646" t="inlineStr">
        <is>
          <t>avverkningsanmälan</t>
        </is>
      </c>
      <c r="C4646" t="inlineStr">
        <is>
          <t>Föryngringsavverkning</t>
        </is>
      </c>
      <c r="D4646" s="1" t="n">
        <v>44594</v>
      </c>
      <c r="E4646" s="1" t="n">
        <v>46307</v>
      </c>
      <c r="F4646" t="inlineStr">
        <is>
          <t>VÄRMLANDS LÄN</t>
        </is>
      </c>
      <c r="G4646" t="inlineStr">
        <is>
          <t>KARLSTAD</t>
        </is>
      </c>
      <c r="I4646" t="n">
        <v>6.1</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50914-2024</t>
        </is>
      </c>
      <c r="B4647" t="inlineStr">
        <is>
          <t>avverkningsanmälan</t>
        </is>
      </c>
      <c r="C4647" t="inlineStr">
        <is>
          <t>Föryngringsavverkning</t>
        </is>
      </c>
      <c r="D4647" s="1" t="n">
        <v>45602</v>
      </c>
      <c r="E4647" s="1" t="n">
        <v>46307</v>
      </c>
      <c r="F4647" t="inlineStr">
        <is>
          <t>VÄRMLANDS LÄN</t>
        </is>
      </c>
      <c r="G4647" t="inlineStr">
        <is>
          <t>ARVIKA</t>
        </is>
      </c>
      <c r="I4647" t="n">
        <v>1</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25050-2025</t>
        </is>
      </c>
      <c r="B4648" t="inlineStr">
        <is>
          <t>avverkningsanmälan</t>
        </is>
      </c>
      <c r="C4648" t="inlineStr">
        <is>
          <t>Föryngringsavverkning</t>
        </is>
      </c>
      <c r="D4648" s="1" t="n">
        <v>45799</v>
      </c>
      <c r="E4648" s="1" t="n">
        <v>46307</v>
      </c>
      <c r="F4648" t="inlineStr">
        <is>
          <t>VÄRMLANDS LÄN</t>
        </is>
      </c>
      <c r="G4648" t="inlineStr">
        <is>
          <t>TORSBY</t>
        </is>
      </c>
      <c r="H4648" t="inlineStr">
        <is>
          <t>Bergvik skog väst AB</t>
        </is>
      </c>
      <c r="I4648" t="n">
        <v>39.7</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40346-2024</t>
        </is>
      </c>
      <c r="B4649" t="inlineStr">
        <is>
          <t>avverkningsanmälan</t>
        </is>
      </c>
      <c r="C4649" t="inlineStr">
        <is>
          <t>Föryngringsavverkning</t>
        </is>
      </c>
      <c r="D4649" s="1" t="n">
        <v>45555</v>
      </c>
      <c r="E4649" s="1" t="n">
        <v>46307</v>
      </c>
      <c r="F4649" t="inlineStr">
        <is>
          <t>VÄRMLANDS LÄN</t>
        </is>
      </c>
      <c r="G4649" t="inlineStr">
        <is>
          <t>ÅRJÄNG</t>
        </is>
      </c>
      <c r="I4649" t="n">
        <v>2.5</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46445-2024</t>
        </is>
      </c>
      <c r="B4650" t="inlineStr">
        <is>
          <t>avverkningsanmälan</t>
        </is>
      </c>
      <c r="C4650" t="inlineStr">
        <is>
          <t>Föryngringsavverkning</t>
        </is>
      </c>
      <c r="D4650" s="1" t="n">
        <v>45582</v>
      </c>
      <c r="E4650" s="1" t="n">
        <v>46307</v>
      </c>
      <c r="F4650" t="inlineStr">
        <is>
          <t>VÄRMLANDS LÄN</t>
        </is>
      </c>
      <c r="G4650" t="inlineStr">
        <is>
          <t>KIL</t>
        </is>
      </c>
      <c r="I4650" t="n">
        <v>0.6</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25027-2025</t>
        </is>
      </c>
      <c r="B4651" t="inlineStr">
        <is>
          <t>avverkningsanmälan</t>
        </is>
      </c>
      <c r="C4651" t="inlineStr">
        <is>
          <t>Föryngringsavverkning</t>
        </is>
      </c>
      <c r="D4651" s="1" t="n">
        <v>45799</v>
      </c>
      <c r="E4651" s="1" t="n">
        <v>46307</v>
      </c>
      <c r="F4651" t="inlineStr">
        <is>
          <t>VÄRMLANDS LÄN</t>
        </is>
      </c>
      <c r="G4651" t="inlineStr">
        <is>
          <t>SÄFFLE</t>
        </is>
      </c>
      <c r="I4651" t="n">
        <v>4.1</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12319-2022</t>
        </is>
      </c>
      <c r="B4652" t="inlineStr">
        <is>
          <t>avverkningsanmälan</t>
        </is>
      </c>
      <c r="C4652" t="inlineStr">
        <is>
          <t>Föryngringsavverkning</t>
        </is>
      </c>
      <c r="D4652" s="1" t="n">
        <v>44637</v>
      </c>
      <c r="E4652" s="1" t="n">
        <v>46307</v>
      </c>
      <c r="F4652" t="inlineStr">
        <is>
          <t>VÄRMLANDS LÄN</t>
        </is>
      </c>
      <c r="G4652" t="inlineStr">
        <is>
          <t>KRISTINEHAMN</t>
        </is>
      </c>
      <c r="I4652" t="n">
        <v>1.1</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25078-2025</t>
        </is>
      </c>
      <c r="B4653" t="inlineStr">
        <is>
          <t>avverkningsanmälan</t>
        </is>
      </c>
      <c r="C4653" t="inlineStr">
        <is>
          <t>Föryngringsavverkning</t>
        </is>
      </c>
      <c r="D4653" s="1" t="n">
        <v>45799</v>
      </c>
      <c r="E4653" s="1" t="n">
        <v>46307</v>
      </c>
      <c r="F4653" t="inlineStr">
        <is>
          <t>VÄRMLANDS LÄN</t>
        </is>
      </c>
      <c r="G4653" t="inlineStr">
        <is>
          <t>ARVIKA</t>
        </is>
      </c>
      <c r="I4653" t="n">
        <v>3.1</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55899-2024</t>
        </is>
      </c>
      <c r="B4654" t="inlineStr">
        <is>
          <t>avverkningsanmälan</t>
        </is>
      </c>
      <c r="C4654" t="inlineStr">
        <is>
          <t>Föryngringsavverkning</t>
        </is>
      </c>
      <c r="D4654" s="1" t="n">
        <v>45623</v>
      </c>
      <c r="E4654" s="1" t="n">
        <v>46307</v>
      </c>
      <c r="F4654" t="inlineStr">
        <is>
          <t>VÄRMLANDS LÄN</t>
        </is>
      </c>
      <c r="G4654" t="inlineStr">
        <is>
          <t>EDA</t>
        </is>
      </c>
      <c r="I4654" t="n">
        <v>1.3</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13635-2024</t>
        </is>
      </c>
      <c r="B4655" t="inlineStr">
        <is>
          <t>avverkningsanmälan</t>
        </is>
      </c>
      <c r="C4655" t="inlineStr">
        <is>
          <t>Föryngringsavverkning</t>
        </is>
      </c>
      <c r="D4655" s="1" t="n">
        <v>45390</v>
      </c>
      <c r="E4655" s="1" t="n">
        <v>46307</v>
      </c>
      <c r="F4655" t="inlineStr">
        <is>
          <t>VÄRMLANDS LÄN</t>
        </is>
      </c>
      <c r="G4655" t="inlineStr">
        <is>
          <t>HAGFORS</t>
        </is>
      </c>
      <c r="I4655" t="n">
        <v>1</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36438-2022</t>
        </is>
      </c>
      <c r="B4656" t="inlineStr">
        <is>
          <t>avverkningsanmälan</t>
        </is>
      </c>
      <c r="C4656" t="inlineStr">
        <is>
          <t>Föryngringsavverkning</t>
        </is>
      </c>
      <c r="D4656" s="1" t="n">
        <v>44804</v>
      </c>
      <c r="E4656" s="1" t="n">
        <v>46307</v>
      </c>
      <c r="F4656" t="inlineStr">
        <is>
          <t>VÄRMLANDS LÄN</t>
        </is>
      </c>
      <c r="G4656" t="inlineStr">
        <is>
          <t>EDA</t>
        </is>
      </c>
      <c r="I4656" t="n">
        <v>1.3</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25183-2025</t>
        </is>
      </c>
      <c r="B4657" t="inlineStr">
        <is>
          <t>avverkningsanmälan</t>
        </is>
      </c>
      <c r="C4657" t="inlineStr">
        <is>
          <t>Föryngringsavverkning</t>
        </is>
      </c>
      <c r="D4657" s="1" t="n">
        <v>45800</v>
      </c>
      <c r="E4657" s="1" t="n">
        <v>46307</v>
      </c>
      <c r="F4657" t="inlineStr">
        <is>
          <t>VÄRMLANDS LÄN</t>
        </is>
      </c>
      <c r="G4657" t="inlineStr">
        <is>
          <t>SÄFFLE</t>
        </is>
      </c>
      <c r="I4657" t="n">
        <v>16.1</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48814-2023</t>
        </is>
      </c>
      <c r="B4658" t="inlineStr">
        <is>
          <t>avverkningsanmälan</t>
        </is>
      </c>
      <c r="C4658" t="inlineStr">
        <is>
          <t>Föryngringsavverkning</t>
        </is>
      </c>
      <c r="D4658" s="1" t="n">
        <v>45209</v>
      </c>
      <c r="E4658" s="1" t="n">
        <v>46307</v>
      </c>
      <c r="F4658" t="inlineStr">
        <is>
          <t>VÄRMLANDS LÄN</t>
        </is>
      </c>
      <c r="G4658" t="inlineStr">
        <is>
          <t>SUNNE</t>
        </is>
      </c>
      <c r="I4658" t="n">
        <v>7.7</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12113-2022</t>
        </is>
      </c>
      <c r="B4659" t="inlineStr">
        <is>
          <t>avverkningsanmälan</t>
        </is>
      </c>
      <c r="C4659" t="inlineStr">
        <is>
          <t>Föryngringsavverkning</t>
        </is>
      </c>
      <c r="D4659" s="1" t="n">
        <v>44636</v>
      </c>
      <c r="E4659" s="1" t="n">
        <v>46307</v>
      </c>
      <c r="F4659" t="inlineStr">
        <is>
          <t>VÄRMLANDS LÄN</t>
        </is>
      </c>
      <c r="G4659" t="inlineStr">
        <is>
          <t>EDA</t>
        </is>
      </c>
      <c r="I4659" t="n">
        <v>1.4</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62090-2024</t>
        </is>
      </c>
      <c r="B4660" t="inlineStr">
        <is>
          <t>avverkningsanmälan</t>
        </is>
      </c>
      <c r="C4660" t="inlineStr">
        <is>
          <t>Föryngringsavverkning</t>
        </is>
      </c>
      <c r="D4660" s="1" t="n">
        <v>45656</v>
      </c>
      <c r="E4660" s="1" t="n">
        <v>46307</v>
      </c>
      <c r="F4660" t="inlineStr">
        <is>
          <t>VÄRMLANDS LÄN</t>
        </is>
      </c>
      <c r="G4660" t="inlineStr">
        <is>
          <t>TORSBY</t>
        </is>
      </c>
      <c r="I4660" t="n">
        <v>2.8</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62092-2024</t>
        </is>
      </c>
      <c r="B4661" t="inlineStr">
        <is>
          <t>avverkningsanmälan</t>
        </is>
      </c>
      <c r="C4661" t="inlineStr">
        <is>
          <t>Föryngringsavverkning</t>
        </is>
      </c>
      <c r="D4661" s="1" t="n">
        <v>45656</v>
      </c>
      <c r="E4661" s="1" t="n">
        <v>46307</v>
      </c>
      <c r="F4661" t="inlineStr">
        <is>
          <t>VÄRMLANDS LÄN</t>
        </is>
      </c>
      <c r="G4661" t="inlineStr">
        <is>
          <t>TORSBY</t>
        </is>
      </c>
      <c r="I4661" t="n">
        <v>3.7</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48138-2025</t>
        </is>
      </c>
      <c r="B4662" t="inlineStr">
        <is>
          <t>avverkningsanmälan</t>
        </is>
      </c>
      <c r="C4662" t="inlineStr">
        <is>
          <t>Föryngringsavverkning</t>
        </is>
      </c>
      <c r="D4662" s="1" t="n">
        <v>45933</v>
      </c>
      <c r="E4662" s="1" t="n">
        <v>46307</v>
      </c>
      <c r="F4662" t="inlineStr">
        <is>
          <t>VÄRMLANDS LÄN</t>
        </is>
      </c>
      <c r="G4662" t="inlineStr">
        <is>
          <t>HAGFORS</t>
        </is>
      </c>
      <c r="H4662" t="inlineStr">
        <is>
          <t>Bergvik skog väst AB</t>
        </is>
      </c>
      <c r="I4662" t="n">
        <v>9.699999999999999</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48176-2025</t>
        </is>
      </c>
      <c r="B4663" t="inlineStr">
        <is>
          <t>avverkningsanmälan</t>
        </is>
      </c>
      <c r="C4663" t="inlineStr">
        <is>
          <t>Föryngringsavverkning</t>
        </is>
      </c>
      <c r="D4663" s="1" t="n">
        <v>45933</v>
      </c>
      <c r="E4663" s="1" t="n">
        <v>46307</v>
      </c>
      <c r="F4663" t="inlineStr">
        <is>
          <t>VÄRMLANDS LÄN</t>
        </is>
      </c>
      <c r="G4663" t="inlineStr">
        <is>
          <t>HAGFORS</t>
        </is>
      </c>
      <c r="H4663" t="inlineStr">
        <is>
          <t>Bergvik skog väst AB</t>
        </is>
      </c>
      <c r="I4663" t="n">
        <v>3</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52940-2024</t>
        </is>
      </c>
      <c r="B4664" t="inlineStr">
        <is>
          <t>avverkningsanmälan</t>
        </is>
      </c>
      <c r="C4664" t="inlineStr">
        <is>
          <t>Föryngringsavverkning</t>
        </is>
      </c>
      <c r="D4664" s="1" t="n">
        <v>45610</v>
      </c>
      <c r="E4664" s="1" t="n">
        <v>46307</v>
      </c>
      <c r="F4664" t="inlineStr">
        <is>
          <t>VÄRMLANDS LÄN</t>
        </is>
      </c>
      <c r="G4664" t="inlineStr">
        <is>
          <t>TORSBY</t>
        </is>
      </c>
      <c r="I4664" t="n">
        <v>3.7</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18948-2024</t>
        </is>
      </c>
      <c r="B4665" t="inlineStr">
        <is>
          <t>avverkningsanmälan</t>
        </is>
      </c>
      <c r="C4665" t="inlineStr">
        <is>
          <t>Föryngringsavverkning</t>
        </is>
      </c>
      <c r="D4665" s="1" t="n">
        <v>45427</v>
      </c>
      <c r="E4665" s="1" t="n">
        <v>46307</v>
      </c>
      <c r="F4665" t="inlineStr">
        <is>
          <t>VÄRMLANDS LÄN</t>
        </is>
      </c>
      <c r="G4665" t="inlineStr">
        <is>
          <t>KIL</t>
        </is>
      </c>
      <c r="I4665" t="n">
        <v>1.5</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47261-2024</t>
        </is>
      </c>
      <c r="B4666" t="inlineStr">
        <is>
          <t>avverkningsanmälan</t>
        </is>
      </c>
      <c r="C4666" t="inlineStr">
        <is>
          <t>Föryngringsavverkning</t>
        </is>
      </c>
      <c r="D4666" s="1" t="n">
        <v>45586</v>
      </c>
      <c r="E4666" s="1" t="n">
        <v>46307</v>
      </c>
      <c r="F4666" t="inlineStr">
        <is>
          <t>VÄRMLANDS LÄN</t>
        </is>
      </c>
      <c r="G4666" t="inlineStr">
        <is>
          <t>FILIPSTAD</t>
        </is>
      </c>
      <c r="H4666" t="inlineStr">
        <is>
          <t>Bergvik skog väst AB</t>
        </is>
      </c>
      <c r="I4666" t="n">
        <v>3.3</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44860-2022</t>
        </is>
      </c>
      <c r="B4667" t="inlineStr">
        <is>
          <t>avverkningsanmälan</t>
        </is>
      </c>
      <c r="C4667" t="inlineStr">
        <is>
          <t>Föryngringsavverkning</t>
        </is>
      </c>
      <c r="D4667" s="1" t="n">
        <v>44841</v>
      </c>
      <c r="E4667" s="1" t="n">
        <v>46307</v>
      </c>
      <c r="F4667" t="inlineStr">
        <is>
          <t>VÄRMLANDS LÄN</t>
        </is>
      </c>
      <c r="G4667" t="inlineStr">
        <is>
          <t>SUNNE</t>
        </is>
      </c>
      <c r="I4667" t="n">
        <v>2.4</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37934-2024</t>
        </is>
      </c>
      <c r="B4668" t="inlineStr">
        <is>
          <t>avverkningsanmälan</t>
        </is>
      </c>
      <c r="C4668" t="inlineStr">
        <is>
          <t>Avverkning för annat ändamål</t>
        </is>
      </c>
      <c r="D4668" s="1" t="n">
        <v>45544</v>
      </c>
      <c r="E4668" s="1" t="n">
        <v>46307</v>
      </c>
      <c r="F4668" t="inlineStr">
        <is>
          <t>VÄRMLANDS LÄN</t>
        </is>
      </c>
      <c r="G4668" t="inlineStr">
        <is>
          <t>HAMMARÖ</t>
        </is>
      </c>
      <c r="I4668" t="n">
        <v>1.3</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38009-2024</t>
        </is>
      </c>
      <c r="B4669" t="inlineStr">
        <is>
          <t>avverkningsanmälan</t>
        </is>
      </c>
      <c r="C4669" t="inlineStr">
        <is>
          <t>Föryngringsavverkning</t>
        </is>
      </c>
      <c r="D4669" s="1" t="n">
        <v>45544</v>
      </c>
      <c r="E4669" s="1" t="n">
        <v>46307</v>
      </c>
      <c r="F4669" t="inlineStr">
        <is>
          <t>VÄRMLANDS LÄN</t>
        </is>
      </c>
      <c r="G4669" t="inlineStr">
        <is>
          <t>ARVIKA</t>
        </is>
      </c>
      <c r="H4669" t="inlineStr">
        <is>
          <t>Bergvik skog väst AB</t>
        </is>
      </c>
      <c r="I4669" t="n">
        <v>1</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39504-2022</t>
        </is>
      </c>
      <c r="B4670" t="inlineStr">
        <is>
          <t>avverkningsanmälan</t>
        </is>
      </c>
      <c r="C4670" t="inlineStr">
        <is>
          <t>Föryngringsavverkning</t>
        </is>
      </c>
      <c r="D4670" s="1" t="n">
        <v>44818</v>
      </c>
      <c r="E4670" s="1" t="n">
        <v>46307</v>
      </c>
      <c r="F4670" t="inlineStr">
        <is>
          <t>VÄRMLANDS LÄN</t>
        </is>
      </c>
      <c r="G4670" t="inlineStr">
        <is>
          <t>KARLSTAD</t>
        </is>
      </c>
      <c r="I4670" t="n">
        <v>2.5</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55153-2024</t>
        </is>
      </c>
      <c r="B4671" t="inlineStr">
        <is>
          <t>avverkningsanmälan</t>
        </is>
      </c>
      <c r="C4671" t="inlineStr">
        <is>
          <t>Föryngringsavverkning</t>
        </is>
      </c>
      <c r="D4671" s="1" t="n">
        <v>45621</v>
      </c>
      <c r="E4671" s="1" t="n">
        <v>46307</v>
      </c>
      <c r="F4671" t="inlineStr">
        <is>
          <t>VÄRMLANDS LÄN</t>
        </is>
      </c>
      <c r="G4671" t="inlineStr">
        <is>
          <t>SUNNE</t>
        </is>
      </c>
      <c r="I4671" t="n">
        <v>0.6</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50872-2024</t>
        </is>
      </c>
      <c r="B4672" t="inlineStr">
        <is>
          <t>avverkningsanmälan</t>
        </is>
      </c>
      <c r="C4672" t="inlineStr">
        <is>
          <t>Föryngringsavverkning</t>
        </is>
      </c>
      <c r="D4672" s="1" t="n">
        <v>45602</v>
      </c>
      <c r="E4672" s="1" t="n">
        <v>46307</v>
      </c>
      <c r="F4672" t="inlineStr">
        <is>
          <t>VÄRMLANDS LÄN</t>
        </is>
      </c>
      <c r="G4672" t="inlineStr">
        <is>
          <t>SUNNE</t>
        </is>
      </c>
      <c r="I4672" t="n">
        <v>1.6</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25484-2025</t>
        </is>
      </c>
      <c r="B4673" t="inlineStr">
        <is>
          <t>avverkningsanmälan</t>
        </is>
      </c>
      <c r="C4673" t="inlineStr">
        <is>
          <t>Föryngringsavverkning</t>
        </is>
      </c>
      <c r="D4673" s="1" t="n">
        <v>45802</v>
      </c>
      <c r="E4673" s="1" t="n">
        <v>46307</v>
      </c>
      <c r="F4673" t="inlineStr">
        <is>
          <t>VÄRMLANDS LÄN</t>
        </is>
      </c>
      <c r="G4673" t="inlineStr">
        <is>
          <t>KRISTINEHAMN</t>
        </is>
      </c>
      <c r="H4673" t="inlineStr">
        <is>
          <t>Naturvårdsverket</t>
        </is>
      </c>
      <c r="I4673" t="n">
        <v>4.5</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53596-2024</t>
        </is>
      </c>
      <c r="B4674" t="inlineStr">
        <is>
          <t>avverkningsanmälan</t>
        </is>
      </c>
      <c r="C4674" t="inlineStr">
        <is>
          <t>Föryngringsavverkning</t>
        </is>
      </c>
      <c r="D4674" s="1" t="n">
        <v>45614</v>
      </c>
      <c r="E4674" s="1" t="n">
        <v>46307</v>
      </c>
      <c r="F4674" t="inlineStr">
        <is>
          <t>VÄRMLANDS LÄN</t>
        </is>
      </c>
      <c r="G4674" t="inlineStr">
        <is>
          <t>FORSHAGA</t>
        </is>
      </c>
      <c r="I4674" t="n">
        <v>1.4</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12175-2024</t>
        </is>
      </c>
      <c r="B4675" t="inlineStr">
        <is>
          <t>avverkningsanmälan</t>
        </is>
      </c>
      <c r="C4675" t="inlineStr">
        <is>
          <t>Föryngringsavverkning</t>
        </is>
      </c>
      <c r="D4675" s="1" t="n">
        <v>45377</v>
      </c>
      <c r="E4675" s="1" t="n">
        <v>46307</v>
      </c>
      <c r="F4675" t="inlineStr">
        <is>
          <t>VÄRMLANDS LÄN</t>
        </is>
      </c>
      <c r="G4675" t="inlineStr">
        <is>
          <t>GRUMS</t>
        </is>
      </c>
      <c r="I4675" t="n">
        <v>5.6</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25489-2025</t>
        </is>
      </c>
      <c r="B4676" t="inlineStr">
        <is>
          <t>avverkningsanmälan</t>
        </is>
      </c>
      <c r="C4676" t="inlineStr">
        <is>
          <t>Föryngringsavverkning</t>
        </is>
      </c>
      <c r="D4676" s="1" t="n">
        <v>45803</v>
      </c>
      <c r="E4676" s="1" t="n">
        <v>46307</v>
      </c>
      <c r="F4676" t="inlineStr">
        <is>
          <t>VÄRMLANDS LÄN</t>
        </is>
      </c>
      <c r="G4676" t="inlineStr">
        <is>
          <t>ARVIKA</t>
        </is>
      </c>
      <c r="I4676" t="n">
        <v>1.9</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25807-2025</t>
        </is>
      </c>
      <c r="B4677" t="inlineStr">
        <is>
          <t>avverkningsanmälan</t>
        </is>
      </c>
      <c r="C4677" t="inlineStr">
        <is>
          <t>Föryngringsavverkning</t>
        </is>
      </c>
      <c r="D4677" s="1" t="n">
        <v>45804</v>
      </c>
      <c r="E4677" s="1" t="n">
        <v>46307</v>
      </c>
      <c r="F4677" t="inlineStr">
        <is>
          <t>VÄRMLANDS LÄN</t>
        </is>
      </c>
      <c r="G4677" t="inlineStr">
        <is>
          <t>TORSBY</t>
        </is>
      </c>
      <c r="I4677" t="n">
        <v>3.2</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23332-2024</t>
        </is>
      </c>
      <c r="B4678" t="inlineStr">
        <is>
          <t>avverkningsanmälan</t>
        </is>
      </c>
      <c r="C4678" t="inlineStr">
        <is>
          <t>Föryngringsavverkning</t>
        </is>
      </c>
      <c r="D4678" s="1" t="n">
        <v>45453</v>
      </c>
      <c r="E4678" s="1" t="n">
        <v>46307</v>
      </c>
      <c r="F4678" t="inlineStr">
        <is>
          <t>VÄRMLANDS LÄN</t>
        </is>
      </c>
      <c r="G4678" t="inlineStr">
        <is>
          <t>KRISTINEHAMN</t>
        </is>
      </c>
      <c r="I4678" t="n">
        <v>0.6</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48225-2025</t>
        </is>
      </c>
      <c r="B4679" t="inlineStr">
        <is>
          <t>avverkningsanmälan</t>
        </is>
      </c>
      <c r="C4679" t="inlineStr">
        <is>
          <t>Föryngringsavverkning</t>
        </is>
      </c>
      <c r="D4679" s="1" t="n">
        <v>45933</v>
      </c>
      <c r="E4679" s="1" t="n">
        <v>46307</v>
      </c>
      <c r="F4679" t="inlineStr">
        <is>
          <t>VÄRMLANDS LÄN</t>
        </is>
      </c>
      <c r="G4679" t="inlineStr">
        <is>
          <t>ÅRJÄNG</t>
        </is>
      </c>
      <c r="I4679" t="n">
        <v>1.5</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21608-2023</t>
        </is>
      </c>
      <c r="B4680" t="inlineStr">
        <is>
          <t>avverkningsanmälan</t>
        </is>
      </c>
      <c r="C4680" t="inlineStr">
        <is>
          <t>Föryngringsavverkning</t>
        </is>
      </c>
      <c r="D4680" s="1" t="n">
        <v>45063</v>
      </c>
      <c r="E4680" s="1" t="n">
        <v>46307</v>
      </c>
      <c r="F4680" t="inlineStr">
        <is>
          <t>VÄRMLANDS LÄN</t>
        </is>
      </c>
      <c r="G4680" t="inlineStr">
        <is>
          <t>FILIPSTAD</t>
        </is>
      </c>
      <c r="I4680" t="n">
        <v>1</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10145-2023</t>
        </is>
      </c>
      <c r="B4681" t="inlineStr">
        <is>
          <t>avverkningsanmälan</t>
        </is>
      </c>
      <c r="C4681" t="inlineStr">
        <is>
          <t>Föryngringsavverkning</t>
        </is>
      </c>
      <c r="D4681" s="1" t="n">
        <v>44986</v>
      </c>
      <c r="E4681" s="1" t="n">
        <v>46307</v>
      </c>
      <c r="F4681" t="inlineStr">
        <is>
          <t>VÄRMLANDS LÄN</t>
        </is>
      </c>
      <c r="G4681" t="inlineStr">
        <is>
          <t>EDA</t>
        </is>
      </c>
      <c r="I4681" t="n">
        <v>2.9</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10218-2023</t>
        </is>
      </c>
      <c r="B4682" t="inlineStr">
        <is>
          <t>avverkningsanmälan</t>
        </is>
      </c>
      <c r="C4682" t="inlineStr">
        <is>
          <t>Avverkning för att bevara och utveckla /försöksver</t>
        </is>
      </c>
      <c r="D4682" s="1" t="n">
        <v>44986</v>
      </c>
      <c r="E4682" s="1" t="n">
        <v>46307</v>
      </c>
      <c r="F4682" t="inlineStr">
        <is>
          <t>VÄRMLANDS LÄN</t>
        </is>
      </c>
      <c r="G4682" t="inlineStr">
        <is>
          <t>TORSBY</t>
        </is>
      </c>
      <c r="I4682" t="n">
        <v>0.6</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10240-2023</t>
        </is>
      </c>
      <c r="B4683" t="inlineStr">
        <is>
          <t>avverkningsanmälan</t>
        </is>
      </c>
      <c r="C4683" t="inlineStr">
        <is>
          <t>Föryngringsavverkning</t>
        </is>
      </c>
      <c r="D4683" s="1" t="n">
        <v>44980</v>
      </c>
      <c r="E4683" s="1" t="n">
        <v>46307</v>
      </c>
      <c r="F4683" t="inlineStr">
        <is>
          <t>VÄRMLANDS LÄN</t>
        </is>
      </c>
      <c r="G4683" t="inlineStr">
        <is>
          <t>SÄFFLE</t>
        </is>
      </c>
      <c r="I4683" t="n">
        <v>4.9</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48589-2025</t>
        </is>
      </c>
      <c r="B4684" t="inlineStr">
        <is>
          <t>avverkningsanmälan</t>
        </is>
      </c>
      <c r="C4684" t="inlineStr">
        <is>
          <t>Föryngringsavverkning</t>
        </is>
      </c>
      <c r="D4684" s="1" t="n">
        <v>45936</v>
      </c>
      <c r="E4684" s="1" t="n">
        <v>46307</v>
      </c>
      <c r="F4684" t="inlineStr">
        <is>
          <t>VÄRMLANDS LÄN</t>
        </is>
      </c>
      <c r="G4684" t="inlineStr">
        <is>
          <t>ARVIKA</t>
        </is>
      </c>
      <c r="H4684" t="inlineStr">
        <is>
          <t>Bergvik skog väst AB</t>
        </is>
      </c>
      <c r="I4684" t="n">
        <v>3.5</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8512-2023</t>
        </is>
      </c>
      <c r="B4685" t="inlineStr">
        <is>
          <t>avverkningsanmälan</t>
        </is>
      </c>
      <c r="C4685" t="inlineStr">
        <is>
          <t>Föryngringsavverkning</t>
        </is>
      </c>
      <c r="D4685" s="1" t="n">
        <v>44977</v>
      </c>
      <c r="E4685" s="1" t="n">
        <v>46307</v>
      </c>
      <c r="F4685" t="inlineStr">
        <is>
          <t>VÄRMLANDS LÄN</t>
        </is>
      </c>
      <c r="G4685" t="inlineStr">
        <is>
          <t>ARVIKA</t>
        </is>
      </c>
      <c r="I4685" t="n">
        <v>2.5</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39096-2023</t>
        </is>
      </c>
      <c r="B4686" t="inlineStr">
        <is>
          <t>avverkningsanmälan</t>
        </is>
      </c>
      <c r="C4686" t="inlineStr">
        <is>
          <t>Föryngringsavverkning</t>
        </is>
      </c>
      <c r="D4686" s="1" t="n">
        <v>45164</v>
      </c>
      <c r="E4686" s="1" t="n">
        <v>46307</v>
      </c>
      <c r="F4686" t="inlineStr">
        <is>
          <t>VÄRMLANDS LÄN</t>
        </is>
      </c>
      <c r="G4686" t="inlineStr">
        <is>
          <t>ÅRJÄNG</t>
        </is>
      </c>
      <c r="I4686" t="n">
        <v>5.1</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7299-2023</t>
        </is>
      </c>
      <c r="B4687" t="inlineStr">
        <is>
          <t>avverkningsanmälan</t>
        </is>
      </c>
      <c r="C4687" t="inlineStr">
        <is>
          <t>Föryngringsavverkning</t>
        </is>
      </c>
      <c r="D4687" s="1" t="n">
        <v>44970</v>
      </c>
      <c r="E4687" s="1" t="n">
        <v>46307</v>
      </c>
      <c r="F4687" t="inlineStr">
        <is>
          <t>VÄRMLANDS LÄN</t>
        </is>
      </c>
      <c r="G4687" t="inlineStr">
        <is>
          <t>FORSHAGA</t>
        </is>
      </c>
      <c r="I4687" t="n">
        <v>0.3</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59436-2024</t>
        </is>
      </c>
      <c r="B4688" t="inlineStr">
        <is>
          <t>avverkningsanmälan</t>
        </is>
      </c>
      <c r="C4688" t="inlineStr">
        <is>
          <t>Föryngringsavverkning</t>
        </is>
      </c>
      <c r="D4688" s="1" t="n">
        <v>45638</v>
      </c>
      <c r="E4688" s="1" t="n">
        <v>46307</v>
      </c>
      <c r="F4688" t="inlineStr">
        <is>
          <t>VÄRMLANDS LÄN</t>
        </is>
      </c>
      <c r="G4688" t="inlineStr">
        <is>
          <t>FILIPSTAD</t>
        </is>
      </c>
      <c r="H4688" t="inlineStr">
        <is>
          <t>Kyrkan</t>
        </is>
      </c>
      <c r="I4688" t="n">
        <v>3.7</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25653-2025</t>
        </is>
      </c>
      <c r="B4689" t="inlineStr">
        <is>
          <t>avverkningsanmälan</t>
        </is>
      </c>
      <c r="C4689" t="inlineStr">
        <is>
          <t>Föryngringsavverkning</t>
        </is>
      </c>
      <c r="D4689" s="1" t="n">
        <v>45803</v>
      </c>
      <c r="E4689" s="1" t="n">
        <v>46307</v>
      </c>
      <c r="F4689" t="inlineStr">
        <is>
          <t>VÄRMLANDS LÄN</t>
        </is>
      </c>
      <c r="G4689" t="inlineStr">
        <is>
          <t>TORSBY</t>
        </is>
      </c>
      <c r="H4689" t="inlineStr">
        <is>
          <t>Bergvik skog väst AB</t>
        </is>
      </c>
      <c r="I4689" t="n">
        <v>6.1</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58399-2022</t>
        </is>
      </c>
      <c r="B4690" t="inlineStr">
        <is>
          <t>avverkningsanmälan</t>
        </is>
      </c>
      <c r="C4690" t="inlineStr">
        <is>
          <t>Föryngringsavverkning</t>
        </is>
      </c>
      <c r="D4690" s="1" t="n">
        <v>44901</v>
      </c>
      <c r="E4690" s="1" t="n">
        <v>46307</v>
      </c>
      <c r="F4690" t="inlineStr">
        <is>
          <t>VÄRMLANDS LÄN</t>
        </is>
      </c>
      <c r="G4690" t="inlineStr">
        <is>
          <t>ARVIKA</t>
        </is>
      </c>
      <c r="I4690" t="n">
        <v>1.3</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25728-2025</t>
        </is>
      </c>
      <c r="B4691" t="inlineStr">
        <is>
          <t>avverkningsanmälan</t>
        </is>
      </c>
      <c r="C4691" t="inlineStr">
        <is>
          <t>Föryngringsavverkning</t>
        </is>
      </c>
      <c r="D4691" s="1" t="n">
        <v>45803</v>
      </c>
      <c r="E4691" s="1" t="n">
        <v>46307</v>
      </c>
      <c r="F4691" t="inlineStr">
        <is>
          <t>VÄRMLANDS LÄN</t>
        </is>
      </c>
      <c r="G4691" t="inlineStr">
        <is>
          <t>EDA</t>
        </is>
      </c>
      <c r="I4691" t="n">
        <v>0.5</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23878-2023</t>
        </is>
      </c>
      <c r="B4692" t="inlineStr">
        <is>
          <t>avverkningsanmälan</t>
        </is>
      </c>
      <c r="C4692" t="inlineStr">
        <is>
          <t>Föryngringsavverkning</t>
        </is>
      </c>
      <c r="D4692" s="1" t="n">
        <v>45078</v>
      </c>
      <c r="E4692" s="1" t="n">
        <v>46307</v>
      </c>
      <c r="F4692" t="inlineStr">
        <is>
          <t>VÄRMLANDS LÄN</t>
        </is>
      </c>
      <c r="G4692" t="inlineStr">
        <is>
          <t>ÅRJÄNG</t>
        </is>
      </c>
      <c r="I4692" t="n">
        <v>2.5</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10589-2024</t>
        </is>
      </c>
      <c r="B4693" t="inlineStr">
        <is>
          <t>avverkningsanmälan</t>
        </is>
      </c>
      <c r="C4693" t="inlineStr">
        <is>
          <t>Föryngringsavverkning</t>
        </is>
      </c>
      <c r="D4693" s="1" t="n">
        <v>45366</v>
      </c>
      <c r="E4693" s="1" t="n">
        <v>46307</v>
      </c>
      <c r="F4693" t="inlineStr">
        <is>
          <t>VÄRMLANDS LÄN</t>
        </is>
      </c>
      <c r="G4693" t="inlineStr">
        <is>
          <t>TORSBY</t>
        </is>
      </c>
      <c r="I4693" t="n">
        <v>0.5</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30869-2024</t>
        </is>
      </c>
      <c r="B4694" t="inlineStr">
        <is>
          <t>avverkningsanmälan</t>
        </is>
      </c>
      <c r="C4694" t="inlineStr">
        <is>
          <t>Föryngringsavverkning</t>
        </is>
      </c>
      <c r="D4694" s="1" t="n">
        <v>45497</v>
      </c>
      <c r="E4694" s="1" t="n">
        <v>46307</v>
      </c>
      <c r="F4694" t="inlineStr">
        <is>
          <t>VÄRMLANDS LÄN</t>
        </is>
      </c>
      <c r="G4694" t="inlineStr">
        <is>
          <t>ARVIKA</t>
        </is>
      </c>
      <c r="I4694" t="n">
        <v>0.7</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19737-2022</t>
        </is>
      </c>
      <c r="B4695" t="inlineStr">
        <is>
          <t>avverkningsanmälan</t>
        </is>
      </c>
      <c r="C4695" t="inlineStr">
        <is>
          <t>Föryngringsavverkning</t>
        </is>
      </c>
      <c r="D4695" s="1" t="n">
        <v>44694</v>
      </c>
      <c r="E4695" s="1" t="n">
        <v>46307</v>
      </c>
      <c r="F4695" t="inlineStr">
        <is>
          <t>VÄRMLANDS LÄN</t>
        </is>
      </c>
      <c r="G4695" t="inlineStr">
        <is>
          <t>SUNNE</t>
        </is>
      </c>
      <c r="I4695" t="n">
        <v>3.1</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12272-2024</t>
        </is>
      </c>
      <c r="B4696" t="inlineStr">
        <is>
          <t>avverkningsanmälan</t>
        </is>
      </c>
      <c r="C4696" t="inlineStr">
        <is>
          <t>Föryngringsavverkning</t>
        </is>
      </c>
      <c r="D4696" s="1" t="n">
        <v>45378</v>
      </c>
      <c r="E4696" s="1" t="n">
        <v>46307</v>
      </c>
      <c r="F4696" t="inlineStr">
        <is>
          <t>VÄRMLANDS LÄN</t>
        </is>
      </c>
      <c r="G4696" t="inlineStr">
        <is>
          <t>KIL</t>
        </is>
      </c>
      <c r="I4696" t="n">
        <v>0.6</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9057-2022</t>
        </is>
      </c>
      <c r="B4697" t="inlineStr">
        <is>
          <t>avverkningsanmälan</t>
        </is>
      </c>
      <c r="C4697" t="inlineStr">
        <is>
          <t>Föryngringsavverkning</t>
        </is>
      </c>
      <c r="D4697" s="1" t="n">
        <v>44615</v>
      </c>
      <c r="E4697" s="1" t="n">
        <v>46307</v>
      </c>
      <c r="F4697" t="inlineStr">
        <is>
          <t>VÄRMLANDS LÄN</t>
        </is>
      </c>
      <c r="G4697" t="inlineStr">
        <is>
          <t>TORSBY</t>
        </is>
      </c>
      <c r="I4697" t="n">
        <v>2.9</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12281-2024</t>
        </is>
      </c>
      <c r="B4698" t="inlineStr">
        <is>
          <t>avverkningsanmälan</t>
        </is>
      </c>
      <c r="C4698" t="inlineStr">
        <is>
          <t>Föryngringsavverkning</t>
        </is>
      </c>
      <c r="D4698" s="1" t="n">
        <v>45378</v>
      </c>
      <c r="E4698" s="1" t="n">
        <v>46307</v>
      </c>
      <c r="F4698" t="inlineStr">
        <is>
          <t>VÄRMLANDS LÄN</t>
        </is>
      </c>
      <c r="G4698" t="inlineStr">
        <is>
          <t>KIL</t>
        </is>
      </c>
      <c r="I4698" t="n">
        <v>0.7</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7491-2022</t>
        </is>
      </c>
      <c r="B4699" t="inlineStr">
        <is>
          <t>avverkningsanmälan</t>
        </is>
      </c>
      <c r="C4699" t="inlineStr">
        <is>
          <t>Föryngringsavverkning</t>
        </is>
      </c>
      <c r="D4699" s="1" t="n">
        <v>44607</v>
      </c>
      <c r="E4699" s="1" t="n">
        <v>46307</v>
      </c>
      <c r="F4699" t="inlineStr">
        <is>
          <t>VÄRMLANDS LÄN</t>
        </is>
      </c>
      <c r="G4699" t="inlineStr">
        <is>
          <t>KARLSTAD</t>
        </is>
      </c>
      <c r="I4699" t="n">
        <v>1.5</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39178-2023</t>
        </is>
      </c>
      <c r="B4700" t="inlineStr">
        <is>
          <t>avverkningsanmälan</t>
        </is>
      </c>
      <c r="C4700" t="inlineStr">
        <is>
          <t>Föryngringsavverkning</t>
        </is>
      </c>
      <c r="D4700" s="1" t="n">
        <v>45166</v>
      </c>
      <c r="E4700" s="1" t="n">
        <v>46307</v>
      </c>
      <c r="F4700" t="inlineStr">
        <is>
          <t>VÄRMLANDS LÄN</t>
        </is>
      </c>
      <c r="G4700" t="inlineStr">
        <is>
          <t>ÅRJÄNG</t>
        </is>
      </c>
      <c r="I4700" t="n">
        <v>2.1</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11146-2022</t>
        </is>
      </c>
      <c r="B4701" t="inlineStr">
        <is>
          <t>avverkningsanmälan</t>
        </is>
      </c>
      <c r="C4701" t="inlineStr">
        <is>
          <t>Föryngringsavverkning</t>
        </is>
      </c>
      <c r="D4701" s="1" t="n">
        <v>44629</v>
      </c>
      <c r="E4701" s="1" t="n">
        <v>46307</v>
      </c>
      <c r="F4701" t="inlineStr">
        <is>
          <t>VÄRMLANDS LÄN</t>
        </is>
      </c>
      <c r="G4701" t="inlineStr">
        <is>
          <t>EDA</t>
        </is>
      </c>
      <c r="I4701" t="n">
        <v>0.9</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25893-2025</t>
        </is>
      </c>
      <c r="B4702" t="inlineStr">
        <is>
          <t>avverkningsanmälan</t>
        </is>
      </c>
      <c r="C4702" t="inlineStr">
        <is>
          <t>Föryngringsavverkning</t>
        </is>
      </c>
      <c r="D4702" s="1" t="n">
        <v>45804</v>
      </c>
      <c r="E4702" s="1" t="n">
        <v>46307</v>
      </c>
      <c r="F4702" t="inlineStr">
        <is>
          <t>VÄRMLANDS LÄN</t>
        </is>
      </c>
      <c r="G4702" t="inlineStr">
        <is>
          <t>ARVIKA</t>
        </is>
      </c>
      <c r="I4702" t="n">
        <v>2.6</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20345-2022</t>
        </is>
      </c>
      <c r="B4703" t="inlineStr">
        <is>
          <t>avverkningsanmälan</t>
        </is>
      </c>
      <c r="C4703" t="inlineStr">
        <is>
          <t>Föryngringsavverkning</t>
        </is>
      </c>
      <c r="D4703" s="1" t="n">
        <v>44699</v>
      </c>
      <c r="E4703" s="1" t="n">
        <v>46307</v>
      </c>
      <c r="F4703" t="inlineStr">
        <is>
          <t>VÄRMLANDS LÄN</t>
        </is>
      </c>
      <c r="G4703" t="inlineStr">
        <is>
          <t>ARVIKA</t>
        </is>
      </c>
      <c r="I4703" t="n">
        <v>7.5</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25917-2025</t>
        </is>
      </c>
      <c r="B4704" t="inlineStr">
        <is>
          <t>avverkningsanmälan</t>
        </is>
      </c>
      <c r="C4704" t="inlineStr">
        <is>
          <t>Föryngringsavverkning</t>
        </is>
      </c>
      <c r="D4704" s="1" t="n">
        <v>45804</v>
      </c>
      <c r="E4704" s="1" t="n">
        <v>46307</v>
      </c>
      <c r="F4704" t="inlineStr">
        <is>
          <t>VÄRMLANDS LÄN</t>
        </is>
      </c>
      <c r="G4704" t="inlineStr">
        <is>
          <t>TORSBY</t>
        </is>
      </c>
      <c r="I4704" t="n">
        <v>3.2</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43137-2024</t>
        </is>
      </c>
      <c r="B4705" t="inlineStr">
        <is>
          <t>avverkningsanmälan</t>
        </is>
      </c>
      <c r="C4705" t="inlineStr">
        <is>
          <t>Föryngringsavverkning</t>
        </is>
      </c>
      <c r="D4705" s="1" t="n">
        <v>45567</v>
      </c>
      <c r="E4705" s="1" t="n">
        <v>46307</v>
      </c>
      <c r="F4705" t="inlineStr">
        <is>
          <t>VÄRMLANDS LÄN</t>
        </is>
      </c>
      <c r="G4705" t="inlineStr">
        <is>
          <t>TORSBY</t>
        </is>
      </c>
      <c r="I4705" t="n">
        <v>1.6</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42632-2023</t>
        </is>
      </c>
      <c r="B4706" t="inlineStr">
        <is>
          <t>avverkningsanmälan</t>
        </is>
      </c>
      <c r="C4706" t="inlineStr">
        <is>
          <t>Föryngringsavverkning</t>
        </is>
      </c>
      <c r="D4706" s="1" t="n">
        <v>45181</v>
      </c>
      <c r="E4706" s="1" t="n">
        <v>46307</v>
      </c>
      <c r="F4706" t="inlineStr">
        <is>
          <t>VÄRMLANDS LÄN</t>
        </is>
      </c>
      <c r="G4706" t="inlineStr">
        <is>
          <t>TORSBY</t>
        </is>
      </c>
      <c r="I4706" t="n">
        <v>5.8</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42635-2023</t>
        </is>
      </c>
      <c r="B4707" t="inlineStr">
        <is>
          <t>avverkningsanmälan</t>
        </is>
      </c>
      <c r="C4707" t="inlineStr">
        <is>
          <t>Föryngringsavverkning</t>
        </is>
      </c>
      <c r="D4707" s="1" t="n">
        <v>45181</v>
      </c>
      <c r="E4707" s="1" t="n">
        <v>46307</v>
      </c>
      <c r="F4707" t="inlineStr">
        <is>
          <t>VÄRMLANDS LÄN</t>
        </is>
      </c>
      <c r="G4707" t="inlineStr">
        <is>
          <t>TORSBY</t>
        </is>
      </c>
      <c r="I4707" t="n">
        <v>16.1</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5332-2025</t>
        </is>
      </c>
      <c r="B4708" t="inlineStr">
        <is>
          <t>avverkningsanmälan</t>
        </is>
      </c>
      <c r="C4708" t="inlineStr">
        <is>
          <t>Föryngringsavverkning</t>
        </is>
      </c>
      <c r="D4708" s="1" t="n">
        <v>45692</v>
      </c>
      <c r="E4708" s="1" t="n">
        <v>46307</v>
      </c>
      <c r="F4708" t="inlineStr">
        <is>
          <t>VÄRMLANDS LÄN</t>
        </is>
      </c>
      <c r="G4708" t="inlineStr">
        <is>
          <t>ÅRJÄNG</t>
        </is>
      </c>
      <c r="I4708" t="n">
        <v>0.9</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25462-2025</t>
        </is>
      </c>
      <c r="B4709" t="inlineStr">
        <is>
          <t>avverkningsanmälan</t>
        </is>
      </c>
      <c r="C4709" t="inlineStr">
        <is>
          <t>Föryngringsavverkning</t>
        </is>
      </c>
      <c r="D4709" s="1" t="n">
        <v>45802</v>
      </c>
      <c r="E4709" s="1" t="n">
        <v>46307</v>
      </c>
      <c r="F4709" t="inlineStr">
        <is>
          <t>VÄRMLANDS LÄN</t>
        </is>
      </c>
      <c r="G4709" t="inlineStr">
        <is>
          <t>FORSHAGA</t>
        </is>
      </c>
      <c r="H4709" t="inlineStr">
        <is>
          <t>Bergvik skog väst AB</t>
        </is>
      </c>
      <c r="I4709" t="n">
        <v>0.8</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25464-2025</t>
        </is>
      </c>
      <c r="B4710" t="inlineStr">
        <is>
          <t>avverkningsanmälan</t>
        </is>
      </c>
      <c r="C4710" t="inlineStr">
        <is>
          <t>Föryngringsavverkning</t>
        </is>
      </c>
      <c r="D4710" s="1" t="n">
        <v>45802</v>
      </c>
      <c r="E4710" s="1" t="n">
        <v>46307</v>
      </c>
      <c r="F4710" t="inlineStr">
        <is>
          <t>VÄRMLANDS LÄN</t>
        </is>
      </c>
      <c r="G4710" t="inlineStr">
        <is>
          <t>TORSBY</t>
        </is>
      </c>
      <c r="I4710" t="n">
        <v>2.1</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25465-2025</t>
        </is>
      </c>
      <c r="B4711" t="inlineStr">
        <is>
          <t>avverkningsanmälan</t>
        </is>
      </c>
      <c r="C4711" t="inlineStr">
        <is>
          <t>Föryngringsavverkning</t>
        </is>
      </c>
      <c r="D4711" s="1" t="n">
        <v>45802</v>
      </c>
      <c r="E4711" s="1" t="n">
        <v>46307</v>
      </c>
      <c r="F4711" t="inlineStr">
        <is>
          <t>VÄRMLANDS LÄN</t>
        </is>
      </c>
      <c r="G4711" t="inlineStr">
        <is>
          <t>TORSBY</t>
        </is>
      </c>
      <c r="I4711" t="n">
        <v>2.4</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19996-2022</t>
        </is>
      </c>
      <c r="B4712" t="inlineStr">
        <is>
          <t>avverkningsanmälan</t>
        </is>
      </c>
      <c r="C4712" t="inlineStr">
        <is>
          <t>Föryngringsavverkning</t>
        </is>
      </c>
      <c r="D4712" s="1" t="n">
        <v>44697</v>
      </c>
      <c r="E4712" s="1" t="n">
        <v>46307</v>
      </c>
      <c r="F4712" t="inlineStr">
        <is>
          <t>VÄRMLANDS LÄN</t>
        </is>
      </c>
      <c r="G4712" t="inlineStr">
        <is>
          <t>FORSHAGA</t>
        </is>
      </c>
      <c r="I4712" t="n">
        <v>1.7</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24488-2023</t>
        </is>
      </c>
      <c r="B4713" t="inlineStr">
        <is>
          <t>avverkningsanmälan</t>
        </is>
      </c>
      <c r="C4713" t="inlineStr">
        <is>
          <t>Föryngringsavverkning</t>
        </is>
      </c>
      <c r="D4713" s="1" t="n">
        <v>45077</v>
      </c>
      <c r="E4713" s="1" t="n">
        <v>46307</v>
      </c>
      <c r="F4713" t="inlineStr">
        <is>
          <t>VÄRMLANDS LÄN</t>
        </is>
      </c>
      <c r="G4713" t="inlineStr">
        <is>
          <t>KARLSTAD</t>
        </is>
      </c>
      <c r="I4713" t="n">
        <v>1.6</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52574-2024</t>
        </is>
      </c>
      <c r="B4714" t="inlineStr">
        <is>
          <t>avverkningsanmälan</t>
        </is>
      </c>
      <c r="C4714" t="inlineStr">
        <is>
          <t>Föryngringsavverkning</t>
        </is>
      </c>
      <c r="D4714" s="1" t="n">
        <v>45609</v>
      </c>
      <c r="E4714" s="1" t="n">
        <v>46307</v>
      </c>
      <c r="F4714" t="inlineStr">
        <is>
          <t>VÄRMLANDS LÄN</t>
        </is>
      </c>
      <c r="G4714" t="inlineStr">
        <is>
          <t>ÅRJÄNG</t>
        </is>
      </c>
      <c r="I4714" t="n">
        <v>0.2</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49159-2025</t>
        </is>
      </c>
      <c r="B4715" t="inlineStr">
        <is>
          <t>avverkningsanmälan</t>
        </is>
      </c>
      <c r="C4715" t="inlineStr">
        <is>
          <t>Avverkning för annat ändamål</t>
        </is>
      </c>
      <c r="D4715" s="1" t="n">
        <v>45938</v>
      </c>
      <c r="E4715" s="1" t="n">
        <v>46307</v>
      </c>
      <c r="F4715" t="inlineStr">
        <is>
          <t>VÄRMLANDS LÄN</t>
        </is>
      </c>
      <c r="G4715" t="inlineStr">
        <is>
          <t>TORSBY</t>
        </is>
      </c>
      <c r="H4715" t="inlineStr">
        <is>
          <t>Bergvik skog väst AB</t>
        </is>
      </c>
      <c r="I4715" t="n">
        <v>1.3</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25443-2025</t>
        </is>
      </c>
      <c r="B4716" t="inlineStr">
        <is>
          <t>avverkningsanmälan</t>
        </is>
      </c>
      <c r="C4716" t="inlineStr">
        <is>
          <t>Föryngringsavverkning</t>
        </is>
      </c>
      <c r="D4716" s="1" t="n">
        <v>45801</v>
      </c>
      <c r="E4716" s="1" t="n">
        <v>46307</v>
      </c>
      <c r="F4716" t="inlineStr">
        <is>
          <t>VÄRMLANDS LÄN</t>
        </is>
      </c>
      <c r="G4716" t="inlineStr">
        <is>
          <t>TORSBY</t>
        </is>
      </c>
      <c r="I4716" t="n">
        <v>3.2</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27979-2022</t>
        </is>
      </c>
      <c r="B4717" t="inlineStr">
        <is>
          <t>avverkningsanmälan</t>
        </is>
      </c>
      <c r="C4717" t="inlineStr">
        <is>
          <t>Föryngringsavverkning</t>
        </is>
      </c>
      <c r="D4717" s="1" t="n">
        <v>44745</v>
      </c>
      <c r="E4717" s="1" t="n">
        <v>46307</v>
      </c>
      <c r="F4717" t="inlineStr">
        <is>
          <t>VÄRMLANDS LÄN</t>
        </is>
      </c>
      <c r="G4717" t="inlineStr">
        <is>
          <t>SÄFFLE</t>
        </is>
      </c>
      <c r="I4717" t="n">
        <v>1.1</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55616-2023</t>
        </is>
      </c>
      <c r="B4718" t="inlineStr">
        <is>
          <t>avverkningsanmälan</t>
        </is>
      </c>
      <c r="C4718" t="inlineStr">
        <is>
          <t>Föryngringsavverkning</t>
        </is>
      </c>
      <c r="D4718" s="1" t="n">
        <v>45238</v>
      </c>
      <c r="E4718" s="1" t="n">
        <v>46307</v>
      </c>
      <c r="F4718" t="inlineStr">
        <is>
          <t>VÄRMLANDS LÄN</t>
        </is>
      </c>
      <c r="G4718" t="inlineStr">
        <is>
          <t>SÄFFLE</t>
        </is>
      </c>
      <c r="I4718" t="n">
        <v>2.7</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3656-2022</t>
        </is>
      </c>
      <c r="B4719" t="inlineStr">
        <is>
          <t>avverkningsanmälan</t>
        </is>
      </c>
      <c r="C4719" t="inlineStr">
        <is>
          <t>Föryngringsavverkning</t>
        </is>
      </c>
      <c r="D4719" s="1" t="n">
        <v>44586</v>
      </c>
      <c r="E4719" s="1" t="n">
        <v>46307</v>
      </c>
      <c r="F4719" t="inlineStr">
        <is>
          <t>VÄRMLANDS LÄN</t>
        </is>
      </c>
      <c r="G4719" t="inlineStr">
        <is>
          <t>ÅRJÄNG</t>
        </is>
      </c>
      <c r="I4719" t="n">
        <v>11.7</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7586-2025</t>
        </is>
      </c>
      <c r="B4720" t="inlineStr">
        <is>
          <t>avverkningsanmälan</t>
        </is>
      </c>
      <c r="C4720" t="inlineStr">
        <is>
          <t>Föryngringsavverkning</t>
        </is>
      </c>
      <c r="D4720" s="1" t="n">
        <v>45705</v>
      </c>
      <c r="E4720" s="1" t="n">
        <v>46307</v>
      </c>
      <c r="F4720" t="inlineStr">
        <is>
          <t>VÄRMLANDS LÄN</t>
        </is>
      </c>
      <c r="G4720" t="inlineStr">
        <is>
          <t>KIL</t>
        </is>
      </c>
      <c r="I4720" t="n">
        <v>0.7</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55346-2023</t>
        </is>
      </c>
      <c r="B4721" t="inlineStr">
        <is>
          <t>avverkningsanmälan</t>
        </is>
      </c>
      <c r="C4721" t="inlineStr">
        <is>
          <t>Föryngringsavverkning</t>
        </is>
      </c>
      <c r="D4721" s="1" t="n">
        <v>45238</v>
      </c>
      <c r="E4721" s="1" t="n">
        <v>46307</v>
      </c>
      <c r="F4721" t="inlineStr">
        <is>
          <t>VÄRMLANDS LÄN</t>
        </is>
      </c>
      <c r="G4721" t="inlineStr">
        <is>
          <t>KARLSTAD</t>
        </is>
      </c>
      <c r="I4721" t="n">
        <v>0.9</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4022-2025</t>
        </is>
      </c>
      <c r="B4722" t="inlineStr">
        <is>
          <t>avverkningsanmälan</t>
        </is>
      </c>
      <c r="C4722" t="inlineStr">
        <is>
          <t>Föryngringsavverkning</t>
        </is>
      </c>
      <c r="D4722" s="1" t="n">
        <v>45684</v>
      </c>
      <c r="E4722" s="1" t="n">
        <v>46307</v>
      </c>
      <c r="F4722" t="inlineStr">
        <is>
          <t>VÄRMLANDS LÄN</t>
        </is>
      </c>
      <c r="G4722" t="inlineStr">
        <is>
          <t>SUNNE</t>
        </is>
      </c>
      <c r="I4722" t="n">
        <v>0.9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6323-2022</t>
        </is>
      </c>
      <c r="B4723" t="inlineStr">
        <is>
          <t>avverkningsanmälan</t>
        </is>
      </c>
      <c r="C4723" t="inlineStr">
        <is>
          <t>Föryngringsavverkning</t>
        </is>
      </c>
      <c r="D4723" s="1" t="n">
        <v>44600</v>
      </c>
      <c r="E4723" s="1" t="n">
        <v>46307</v>
      </c>
      <c r="F4723" t="inlineStr">
        <is>
          <t>VÄRMLANDS LÄN</t>
        </is>
      </c>
      <c r="G4723" t="inlineStr">
        <is>
          <t>KARLSTAD</t>
        </is>
      </c>
      <c r="I4723" t="n">
        <v>2.1</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7313-2022</t>
        </is>
      </c>
      <c r="B4724" t="inlineStr">
        <is>
          <t>avverkningsanmälan</t>
        </is>
      </c>
      <c r="C4724" t="inlineStr">
        <is>
          <t>Föryngringsavverkning</t>
        </is>
      </c>
      <c r="D4724" s="1" t="n">
        <v>44606</v>
      </c>
      <c r="E4724" s="1" t="n">
        <v>46307</v>
      </c>
      <c r="F4724" t="inlineStr">
        <is>
          <t>VÄRMLANDS LÄN</t>
        </is>
      </c>
      <c r="G4724" t="inlineStr">
        <is>
          <t>ARVIKA</t>
        </is>
      </c>
      <c r="I4724" t="n">
        <v>2.6</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25803-2025</t>
        </is>
      </c>
      <c r="B4725" t="inlineStr">
        <is>
          <t>avverkningsanmälan</t>
        </is>
      </c>
      <c r="C4725" t="inlineStr">
        <is>
          <t>Föryngringsavverkning</t>
        </is>
      </c>
      <c r="D4725" s="1" t="n">
        <v>45804</v>
      </c>
      <c r="E4725" s="1" t="n">
        <v>46307</v>
      </c>
      <c r="F4725" t="inlineStr">
        <is>
          <t>VÄRMLANDS LÄN</t>
        </is>
      </c>
      <c r="G4725" t="inlineStr">
        <is>
          <t>TORSBY</t>
        </is>
      </c>
      <c r="I4725" t="n">
        <v>2.3</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11392-2024</t>
        </is>
      </c>
      <c r="B4726" t="inlineStr">
        <is>
          <t>avverkningsanmälan</t>
        </is>
      </c>
      <c r="C4726" t="inlineStr">
        <is>
          <t>Föryngringsavverkning</t>
        </is>
      </c>
      <c r="D4726" s="1" t="n">
        <v>45372</v>
      </c>
      <c r="E4726" s="1" t="n">
        <v>46307</v>
      </c>
      <c r="F4726" t="inlineStr">
        <is>
          <t>VÄRMLANDS LÄN</t>
        </is>
      </c>
      <c r="G4726" t="inlineStr">
        <is>
          <t>ÅRJÄNG</t>
        </is>
      </c>
      <c r="I4726" t="n">
        <v>3.6</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25915-2025</t>
        </is>
      </c>
      <c r="B4727" t="inlineStr">
        <is>
          <t>avverkningsanmälan</t>
        </is>
      </c>
      <c r="C4727" t="inlineStr">
        <is>
          <t>Föryngringsavverkning</t>
        </is>
      </c>
      <c r="D4727" s="1" t="n">
        <v>45804</v>
      </c>
      <c r="E4727" s="1" t="n">
        <v>46307</v>
      </c>
      <c r="F4727" t="inlineStr">
        <is>
          <t>VÄRMLANDS LÄN</t>
        </is>
      </c>
      <c r="G4727" t="inlineStr">
        <is>
          <t>TORSBY</t>
        </is>
      </c>
      <c r="I4727" t="n">
        <v>0.8</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29792-2022</t>
        </is>
      </c>
      <c r="B4728" t="inlineStr">
        <is>
          <t>avverkningsanmälan</t>
        </is>
      </c>
      <c r="C4728" t="inlineStr">
        <is>
          <t>Föryngringsavverkning</t>
        </is>
      </c>
      <c r="D4728" s="1" t="n">
        <v>44755</v>
      </c>
      <c r="E4728" s="1" t="n">
        <v>46307</v>
      </c>
      <c r="F4728" t="inlineStr">
        <is>
          <t>VÄRMLANDS LÄN</t>
        </is>
      </c>
      <c r="G4728" t="inlineStr">
        <is>
          <t>ÅRJÄNG</t>
        </is>
      </c>
      <c r="I4728" t="n">
        <v>1.9</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70461-2021</t>
        </is>
      </c>
      <c r="B4729" t="inlineStr">
        <is>
          <t>avverkningsanmälan</t>
        </is>
      </c>
      <c r="C4729" t="inlineStr">
        <is>
          <t>Föryngringsavverkning</t>
        </is>
      </c>
      <c r="D4729" s="1" t="n">
        <v>44536</v>
      </c>
      <c r="E4729" s="1" t="n">
        <v>46307</v>
      </c>
      <c r="F4729" t="inlineStr">
        <is>
          <t>VÄRMLANDS LÄN</t>
        </is>
      </c>
      <c r="G4729" t="inlineStr">
        <is>
          <t>ÅRJÄNG</t>
        </is>
      </c>
      <c r="I4729" t="n">
        <v>3.8</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20113-2023</t>
        </is>
      </c>
      <c r="B4730" t="inlineStr">
        <is>
          <t>avverkningsanmälan</t>
        </is>
      </c>
      <c r="C4730" t="inlineStr">
        <is>
          <t>Föryngringsavverkning</t>
        </is>
      </c>
      <c r="D4730" s="1" t="n">
        <v>45055</v>
      </c>
      <c r="E4730" s="1" t="n">
        <v>46307</v>
      </c>
      <c r="F4730" t="inlineStr">
        <is>
          <t>VÄRMLANDS LÄN</t>
        </is>
      </c>
      <c r="G4730" t="inlineStr">
        <is>
          <t>HAGFORS</t>
        </is>
      </c>
      <c r="I4730" t="n">
        <v>2</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49146-2025</t>
        </is>
      </c>
      <c r="B4731" t="inlineStr">
        <is>
          <t>avverkningsanmälan</t>
        </is>
      </c>
      <c r="C4731" t="inlineStr">
        <is>
          <t>Föryngringsavverkning</t>
        </is>
      </c>
      <c r="D4731" s="1" t="n">
        <v>45938</v>
      </c>
      <c r="E4731" s="1" t="n">
        <v>46307</v>
      </c>
      <c r="F4731" t="inlineStr">
        <is>
          <t>VÄRMLANDS LÄN</t>
        </is>
      </c>
      <c r="G4731" t="inlineStr">
        <is>
          <t>HAGFORS</t>
        </is>
      </c>
      <c r="H4731" t="inlineStr">
        <is>
          <t>Bergvik skog väst AB</t>
        </is>
      </c>
      <c r="I4731" t="n">
        <v>6.5</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49203-2025</t>
        </is>
      </c>
      <c r="B4732" t="inlineStr">
        <is>
          <t>avverkningsanmälan</t>
        </is>
      </c>
      <c r="C4732" t="inlineStr">
        <is>
          <t>Avverkning för annat ändamål</t>
        </is>
      </c>
      <c r="D4732" s="1" t="n">
        <v>45938</v>
      </c>
      <c r="E4732" s="1" t="n">
        <v>46307</v>
      </c>
      <c r="F4732" t="inlineStr">
        <is>
          <t>VÄRMLANDS LÄN</t>
        </is>
      </c>
      <c r="G4732" t="inlineStr">
        <is>
          <t>TORSBY</t>
        </is>
      </c>
      <c r="H4732" t="inlineStr">
        <is>
          <t>Bergvik skog väst AB</t>
        </is>
      </c>
      <c r="I4732" t="n">
        <v>10</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49206-2025</t>
        </is>
      </c>
      <c r="B4733" t="inlineStr">
        <is>
          <t>avverkningsanmälan</t>
        </is>
      </c>
      <c r="C4733" t="inlineStr">
        <is>
          <t>Föryngringsavverkning</t>
        </is>
      </c>
      <c r="D4733" s="1" t="n">
        <v>45938</v>
      </c>
      <c r="E4733" s="1" t="n">
        <v>46307</v>
      </c>
      <c r="F4733" t="inlineStr">
        <is>
          <t>VÄRMLANDS LÄN</t>
        </is>
      </c>
      <c r="G4733" t="inlineStr">
        <is>
          <t>SUNNE</t>
        </is>
      </c>
      <c r="H4733" t="inlineStr">
        <is>
          <t>Övriga statliga verk och myndigheter</t>
        </is>
      </c>
      <c r="I4733" t="n">
        <v>3</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33823-2025</t>
        </is>
      </c>
      <c r="B4734" t="inlineStr">
        <is>
          <t>avverkningsanmälan</t>
        </is>
      </c>
      <c r="C4734" t="inlineStr">
        <is>
          <t>Föryngringsavverkning</t>
        </is>
      </c>
      <c r="D4734" s="1" t="n">
        <v>45842</v>
      </c>
      <c r="E4734" s="1" t="n">
        <v>46307</v>
      </c>
      <c r="F4734" t="inlineStr">
        <is>
          <t>VÄRMLANDS LÄN</t>
        </is>
      </c>
      <c r="G4734" t="inlineStr">
        <is>
          <t>HAGFORS</t>
        </is>
      </c>
      <c r="I4734" t="n">
        <v>0.8</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25862-2025</t>
        </is>
      </c>
      <c r="B4735" t="inlineStr">
        <is>
          <t>avverkningsanmälan</t>
        </is>
      </c>
      <c r="C4735" t="inlineStr">
        <is>
          <t>Föryngringsavverkning</t>
        </is>
      </c>
      <c r="D4735" s="1" t="n">
        <v>45804</v>
      </c>
      <c r="E4735" s="1" t="n">
        <v>46307</v>
      </c>
      <c r="F4735" t="inlineStr">
        <is>
          <t>VÄRMLANDS LÄN</t>
        </is>
      </c>
      <c r="G4735" t="inlineStr">
        <is>
          <t>ARVIKA</t>
        </is>
      </c>
      <c r="H4735" t="inlineStr">
        <is>
          <t>Bergvik skog väst AB</t>
        </is>
      </c>
      <c r="I4735" t="n">
        <v>2.2</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45081-2023</t>
        </is>
      </c>
      <c r="B4736" t="inlineStr">
        <is>
          <t>avverkningsanmälan</t>
        </is>
      </c>
      <c r="C4736" t="inlineStr">
        <is>
          <t>Föryngringsavverkning</t>
        </is>
      </c>
      <c r="D4736" s="1" t="n">
        <v>45191</v>
      </c>
      <c r="E4736" s="1" t="n">
        <v>46307</v>
      </c>
      <c r="F4736" t="inlineStr">
        <is>
          <t>VÄRMLANDS LÄN</t>
        </is>
      </c>
      <c r="G4736" t="inlineStr">
        <is>
          <t>ARVIKA</t>
        </is>
      </c>
      <c r="I4736" t="n">
        <v>4.2</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25487-2025</t>
        </is>
      </c>
      <c r="B4737" t="inlineStr">
        <is>
          <t>avverkningsanmälan</t>
        </is>
      </c>
      <c r="C4737" t="inlineStr">
        <is>
          <t>Föryngringsavverkning</t>
        </is>
      </c>
      <c r="D4737" s="1" t="n">
        <v>45803</v>
      </c>
      <c r="E4737" s="1" t="n">
        <v>46307</v>
      </c>
      <c r="F4737" t="inlineStr">
        <is>
          <t>VÄRMLANDS LÄN</t>
        </is>
      </c>
      <c r="G4737" t="inlineStr">
        <is>
          <t>ARVIKA</t>
        </is>
      </c>
      <c r="I4737" t="n">
        <v>1.8</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30346-2022</t>
        </is>
      </c>
      <c r="B4738" t="inlineStr">
        <is>
          <t>avverkningsanmälan</t>
        </is>
      </c>
      <c r="C4738" t="inlineStr">
        <is>
          <t>Föryngringsavverkning</t>
        </is>
      </c>
      <c r="D4738" s="1" t="n">
        <v>44760</v>
      </c>
      <c r="E4738" s="1" t="n">
        <v>46307</v>
      </c>
      <c r="F4738" t="inlineStr">
        <is>
          <t>VÄRMLANDS LÄN</t>
        </is>
      </c>
      <c r="G4738" t="inlineStr">
        <is>
          <t>ÅRJÄNG</t>
        </is>
      </c>
      <c r="I4738" t="n">
        <v>6</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26048-2023</t>
        </is>
      </c>
      <c r="B4739" t="inlineStr">
        <is>
          <t>avverkningsanmälan</t>
        </is>
      </c>
      <c r="C4739" t="inlineStr">
        <is>
          <t>Föryngringsavverkning</t>
        </is>
      </c>
      <c r="D4739" s="1" t="n">
        <v>45091</v>
      </c>
      <c r="E4739" s="1" t="n">
        <v>46307</v>
      </c>
      <c r="F4739" t="inlineStr">
        <is>
          <t>VÄRMLANDS LÄN</t>
        </is>
      </c>
      <c r="G4739" t="inlineStr">
        <is>
          <t>EDA</t>
        </is>
      </c>
      <c r="I4739" t="n">
        <v>1.6</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38707-2023</t>
        </is>
      </c>
      <c r="B4740" t="inlineStr">
        <is>
          <t>avverkningsanmälan</t>
        </is>
      </c>
      <c r="C4740" t="inlineStr">
        <is>
          <t>Föryngringsavverkning</t>
        </is>
      </c>
      <c r="D4740" s="1" t="n">
        <v>45163</v>
      </c>
      <c r="E4740" s="1" t="n">
        <v>46307</v>
      </c>
      <c r="F4740" t="inlineStr">
        <is>
          <t>VÄRMLANDS LÄN</t>
        </is>
      </c>
      <c r="G4740" t="inlineStr">
        <is>
          <t>ÅRJÄNG</t>
        </is>
      </c>
      <c r="I4740" t="n">
        <v>2.8</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39454-2024</t>
        </is>
      </c>
      <c r="B4741" t="inlineStr">
        <is>
          <t>avverkningsanmälan</t>
        </is>
      </c>
      <c r="C4741" t="inlineStr">
        <is>
          <t>Föryngringsavverkning</t>
        </is>
      </c>
      <c r="D4741" s="1" t="n">
        <v>45551</v>
      </c>
      <c r="E4741" s="1" t="n">
        <v>46307</v>
      </c>
      <c r="F4741" t="inlineStr">
        <is>
          <t>VÄRMLANDS LÄN</t>
        </is>
      </c>
      <c r="G4741" t="inlineStr">
        <is>
          <t>SUNNE</t>
        </is>
      </c>
      <c r="I4741" t="n">
        <v>0.6</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40033-2023</t>
        </is>
      </c>
      <c r="B4742" t="inlineStr">
        <is>
          <t>avverkningsanmälan</t>
        </is>
      </c>
      <c r="C4742" t="inlineStr">
        <is>
          <t>Föryngringsavverkning</t>
        </is>
      </c>
      <c r="D4742" s="1" t="n">
        <v>45168</v>
      </c>
      <c r="E4742" s="1" t="n">
        <v>46307</v>
      </c>
      <c r="F4742" t="inlineStr">
        <is>
          <t>VÄRMLANDS LÄN</t>
        </is>
      </c>
      <c r="G4742" t="inlineStr">
        <is>
          <t>ARVIKA</t>
        </is>
      </c>
      <c r="I4742" t="n">
        <v>0.7</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12588-2023</t>
        </is>
      </c>
      <c r="B4743" t="inlineStr">
        <is>
          <t>avverkningsanmälan</t>
        </is>
      </c>
      <c r="C4743" t="inlineStr">
        <is>
          <t>Föryngringsavverkning</t>
        </is>
      </c>
      <c r="D4743" s="1" t="n">
        <v>45000</v>
      </c>
      <c r="E4743" s="1" t="n">
        <v>46307</v>
      </c>
      <c r="F4743" t="inlineStr">
        <is>
          <t>VÄRMLANDS LÄN</t>
        </is>
      </c>
      <c r="G4743" t="inlineStr">
        <is>
          <t>MUNKFORS</t>
        </is>
      </c>
      <c r="H4743" t="inlineStr">
        <is>
          <t>Bergvik skog väst AB</t>
        </is>
      </c>
      <c r="I4743" t="n">
        <v>2.5</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30527-2022</t>
        </is>
      </c>
      <c r="B4744" t="inlineStr">
        <is>
          <t>avverkningsanmälan</t>
        </is>
      </c>
      <c r="C4744" t="inlineStr">
        <is>
          <t>Föryngringsavverkning</t>
        </is>
      </c>
      <c r="D4744" s="1" t="n">
        <v>44762</v>
      </c>
      <c r="E4744" s="1" t="n">
        <v>46307</v>
      </c>
      <c r="F4744" t="inlineStr">
        <is>
          <t>VÄRMLANDS LÄN</t>
        </is>
      </c>
      <c r="G4744" t="inlineStr">
        <is>
          <t>GRUMS</t>
        </is>
      </c>
      <c r="I4744" t="n">
        <v>3.1</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18585-2025</t>
        </is>
      </c>
      <c r="B4745" t="inlineStr">
        <is>
          <t>avverkningsanmälan</t>
        </is>
      </c>
      <c r="C4745" t="inlineStr">
        <is>
          <t>Föryngringsavverkning</t>
        </is>
      </c>
      <c r="D4745" s="1" t="n">
        <v>45763</v>
      </c>
      <c r="E4745" s="1" t="n">
        <v>46307</v>
      </c>
      <c r="F4745" t="inlineStr">
        <is>
          <t>VÄRMLANDS LÄN</t>
        </is>
      </c>
      <c r="G4745" t="inlineStr">
        <is>
          <t>HAGFORS</t>
        </is>
      </c>
      <c r="H4745" t="inlineStr">
        <is>
          <t>Kyrkan</t>
        </is>
      </c>
      <c r="I4745" t="n">
        <v>7.9</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26250-2025</t>
        </is>
      </c>
      <c r="B4746" t="inlineStr">
        <is>
          <t>avverkningsanmälan</t>
        </is>
      </c>
      <c r="C4746" t="inlineStr">
        <is>
          <t>Föryngringsavverkning</t>
        </is>
      </c>
      <c r="D4746" s="1" t="n">
        <v>45805</v>
      </c>
      <c r="E4746" s="1" t="n">
        <v>46307</v>
      </c>
      <c r="F4746" t="inlineStr">
        <is>
          <t>VÄRMLANDS LÄN</t>
        </is>
      </c>
      <c r="G4746" t="inlineStr">
        <is>
          <t>SUNNE</t>
        </is>
      </c>
      <c r="I4746" t="n">
        <v>1.5</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21828-2024</t>
        </is>
      </c>
      <c r="B4747" t="inlineStr">
        <is>
          <t>avverkningsanmälan</t>
        </is>
      </c>
      <c r="C4747" t="inlineStr">
        <is>
          <t>Föryngringsavverkning</t>
        </is>
      </c>
      <c r="D4747" s="1" t="n">
        <v>45442</v>
      </c>
      <c r="E4747" s="1" t="n">
        <v>46307</v>
      </c>
      <c r="F4747" t="inlineStr">
        <is>
          <t>VÄRMLANDS LÄN</t>
        </is>
      </c>
      <c r="G4747" t="inlineStr">
        <is>
          <t>TORSBY</t>
        </is>
      </c>
      <c r="I4747" t="n">
        <v>0.7</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45399-2023</t>
        </is>
      </c>
      <c r="B4748" t="inlineStr">
        <is>
          <t>avverkningsanmälan</t>
        </is>
      </c>
      <c r="C4748" t="inlineStr">
        <is>
          <t>Föryngringsavverkning</t>
        </is>
      </c>
      <c r="D4748" s="1" t="n">
        <v>45194</v>
      </c>
      <c r="E4748" s="1" t="n">
        <v>46307</v>
      </c>
      <c r="F4748" t="inlineStr">
        <is>
          <t>VÄRMLANDS LÄN</t>
        </is>
      </c>
      <c r="G4748" t="inlineStr">
        <is>
          <t>TORSBY</t>
        </is>
      </c>
      <c r="I4748" t="n">
        <v>2.4</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45405-2023</t>
        </is>
      </c>
      <c r="B4749" t="inlineStr">
        <is>
          <t>avverkningsanmälan</t>
        </is>
      </c>
      <c r="C4749" t="inlineStr">
        <is>
          <t>Föryngringsavverkning</t>
        </is>
      </c>
      <c r="D4749" s="1" t="n">
        <v>45194</v>
      </c>
      <c r="E4749" s="1" t="n">
        <v>46307</v>
      </c>
      <c r="F4749" t="inlineStr">
        <is>
          <t>VÄRMLANDS LÄN</t>
        </is>
      </c>
      <c r="G4749" t="inlineStr">
        <is>
          <t>ARVIKA</t>
        </is>
      </c>
      <c r="I4749" t="n">
        <v>2.7</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48185-2024</t>
        </is>
      </c>
      <c r="B4750" t="inlineStr">
        <is>
          <t>avverkningsanmälan</t>
        </is>
      </c>
      <c r="C4750" t="inlineStr">
        <is>
          <t>Föryngringsavverkning</t>
        </is>
      </c>
      <c r="D4750" s="1" t="n">
        <v>45589</v>
      </c>
      <c r="E4750" s="1" t="n">
        <v>46307</v>
      </c>
      <c r="F4750" t="inlineStr">
        <is>
          <t>VÄRMLANDS LÄN</t>
        </is>
      </c>
      <c r="G4750" t="inlineStr">
        <is>
          <t>TORSBY</t>
        </is>
      </c>
      <c r="I4750" t="n">
        <v>4.8</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10126-2023</t>
        </is>
      </c>
      <c r="B4751" t="inlineStr">
        <is>
          <t>avverkningsanmälan</t>
        </is>
      </c>
      <c r="C4751" t="inlineStr">
        <is>
          <t>Föryngringsavverkning</t>
        </is>
      </c>
      <c r="D4751" s="1" t="n">
        <v>44980</v>
      </c>
      <c r="E4751" s="1" t="n">
        <v>46307</v>
      </c>
      <c r="F4751" t="inlineStr">
        <is>
          <t>VÄRMLANDS LÄN</t>
        </is>
      </c>
      <c r="G4751" t="inlineStr">
        <is>
          <t>ÅRJÄNG</t>
        </is>
      </c>
      <c r="I4751" t="n">
        <v>2</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22943-2023</t>
        </is>
      </c>
      <c r="B4752" t="inlineStr">
        <is>
          <t>avverkningsanmälan</t>
        </is>
      </c>
      <c r="C4752" t="inlineStr">
        <is>
          <t>Föryngringsavverkning</t>
        </is>
      </c>
      <c r="D4752" s="1" t="n">
        <v>45072</v>
      </c>
      <c r="E4752" s="1" t="n">
        <v>46307</v>
      </c>
      <c r="F4752" t="inlineStr">
        <is>
          <t>VÄRMLANDS LÄN</t>
        </is>
      </c>
      <c r="G4752" t="inlineStr">
        <is>
          <t>TORSBY</t>
        </is>
      </c>
      <c r="I4752" t="n">
        <v>0.5</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26167-2023</t>
        </is>
      </c>
      <c r="B4753" t="inlineStr">
        <is>
          <t>avverkningsanmälan</t>
        </is>
      </c>
      <c r="C4753" t="inlineStr">
        <is>
          <t>Avverkning för annat ändamål</t>
        </is>
      </c>
      <c r="D4753" s="1" t="n">
        <v>45091</v>
      </c>
      <c r="E4753" s="1" t="n">
        <v>46307</v>
      </c>
      <c r="F4753" t="inlineStr">
        <is>
          <t>VÄRMLANDS LÄN</t>
        </is>
      </c>
      <c r="G4753" t="inlineStr">
        <is>
          <t>EDA</t>
        </is>
      </c>
      <c r="I4753" t="n">
        <v>6.1</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26174-2023</t>
        </is>
      </c>
      <c r="B4754" t="inlineStr">
        <is>
          <t>avverkningsanmälan</t>
        </is>
      </c>
      <c r="C4754" t="inlineStr">
        <is>
          <t>Avverkning för annat ändamål</t>
        </is>
      </c>
      <c r="D4754" s="1" t="n">
        <v>45091</v>
      </c>
      <c r="E4754" s="1" t="n">
        <v>46307</v>
      </c>
      <c r="F4754" t="inlineStr">
        <is>
          <t>VÄRMLANDS LÄN</t>
        </is>
      </c>
      <c r="G4754" t="inlineStr">
        <is>
          <t>EDA</t>
        </is>
      </c>
      <c r="I4754" t="n">
        <v>3.3</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18700-2024</t>
        </is>
      </c>
      <c r="B4755" t="inlineStr">
        <is>
          <t>avverkningsanmälan</t>
        </is>
      </c>
      <c r="C4755" t="inlineStr">
        <is>
          <t>Föryngringsavverkning</t>
        </is>
      </c>
      <c r="D4755" s="1" t="n">
        <v>45426</v>
      </c>
      <c r="E4755" s="1" t="n">
        <v>46307</v>
      </c>
      <c r="F4755" t="inlineStr">
        <is>
          <t>VÄRMLANDS LÄN</t>
        </is>
      </c>
      <c r="G4755" t="inlineStr">
        <is>
          <t>SÄFFLE</t>
        </is>
      </c>
      <c r="I4755" t="n">
        <v>10.8</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22301-2023</t>
        </is>
      </c>
      <c r="B4756" t="inlineStr">
        <is>
          <t>avverkningsanmälan</t>
        </is>
      </c>
      <c r="C4756" t="inlineStr">
        <is>
          <t>Föryngringsavverkning</t>
        </is>
      </c>
      <c r="D4756" s="1" t="n">
        <v>45070</v>
      </c>
      <c r="E4756" s="1" t="n">
        <v>46307</v>
      </c>
      <c r="F4756" t="inlineStr">
        <is>
          <t>VÄRMLANDS LÄN</t>
        </is>
      </c>
      <c r="G4756" t="inlineStr">
        <is>
          <t>TORSBY</t>
        </is>
      </c>
      <c r="I4756" t="n">
        <v>1</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48769-2025</t>
        </is>
      </c>
      <c r="B4757" t="inlineStr">
        <is>
          <t>avverkningsanmälan</t>
        </is>
      </c>
      <c r="C4757" t="inlineStr">
        <is>
          <t>Föryngringsavverkning</t>
        </is>
      </c>
      <c r="D4757" s="1" t="n">
        <v>45936</v>
      </c>
      <c r="E4757" s="1" t="n">
        <v>46307</v>
      </c>
      <c r="F4757" t="inlineStr">
        <is>
          <t>VÄRMLANDS LÄN</t>
        </is>
      </c>
      <c r="G4757" t="inlineStr">
        <is>
          <t>EDA</t>
        </is>
      </c>
      <c r="I4757" t="n">
        <v>5.3</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45520-2023</t>
        </is>
      </c>
      <c r="B4758" t="inlineStr">
        <is>
          <t>avverkningsanmälan</t>
        </is>
      </c>
      <c r="C4758" t="inlineStr">
        <is>
          <t>Avverkning för annat ändamål</t>
        </is>
      </c>
      <c r="D4758" s="1" t="n">
        <v>45194</v>
      </c>
      <c r="E4758" s="1" t="n">
        <v>46307</v>
      </c>
      <c r="F4758" t="inlineStr">
        <is>
          <t>VÄRMLANDS LÄN</t>
        </is>
      </c>
      <c r="G4758" t="inlineStr">
        <is>
          <t>ARVIKA</t>
        </is>
      </c>
      <c r="I4758" t="n">
        <v>0.4</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26231-2025</t>
        </is>
      </c>
      <c r="B4759" t="inlineStr">
        <is>
          <t>avverkningsanmälan</t>
        </is>
      </c>
      <c r="C4759" t="inlineStr">
        <is>
          <t>Avverkning för annat ändamål</t>
        </is>
      </c>
      <c r="D4759" s="1" t="n">
        <v>45805</v>
      </c>
      <c r="E4759" s="1" t="n">
        <v>46307</v>
      </c>
      <c r="F4759" t="inlineStr">
        <is>
          <t>VÄRMLANDS LÄN</t>
        </is>
      </c>
      <c r="G4759" t="inlineStr">
        <is>
          <t>TORSBY</t>
        </is>
      </c>
      <c r="I4759" t="n">
        <v>0.5</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58392-2022</t>
        </is>
      </c>
      <c r="B4760" t="inlineStr">
        <is>
          <t>avverkningsanmälan</t>
        </is>
      </c>
      <c r="C4760" t="inlineStr">
        <is>
          <t>Föryngringsavverkning</t>
        </is>
      </c>
      <c r="D4760" s="1" t="n">
        <v>44901</v>
      </c>
      <c r="E4760" s="1" t="n">
        <v>46307</v>
      </c>
      <c r="F4760" t="inlineStr">
        <is>
          <t>VÄRMLANDS LÄN</t>
        </is>
      </c>
      <c r="G4760" t="inlineStr">
        <is>
          <t>EDA</t>
        </is>
      </c>
      <c r="I4760" t="n">
        <v>3.4</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34889-2022</t>
        </is>
      </c>
      <c r="B4761" t="inlineStr">
        <is>
          <t>avverkningsanmälan</t>
        </is>
      </c>
      <c r="C4761" t="inlineStr">
        <is>
          <t>Föryngringsavverkning</t>
        </is>
      </c>
      <c r="D4761" s="1" t="n">
        <v>44796</v>
      </c>
      <c r="E4761" s="1" t="n">
        <v>46307</v>
      </c>
      <c r="F4761" t="inlineStr">
        <is>
          <t>VÄRMLANDS LÄN</t>
        </is>
      </c>
      <c r="G4761" t="inlineStr">
        <is>
          <t>ÅRJÄNG</t>
        </is>
      </c>
      <c r="I4761" t="n">
        <v>0.8</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26121-2025</t>
        </is>
      </c>
      <c r="B4762" t="inlineStr">
        <is>
          <t>avverkningsanmälan</t>
        </is>
      </c>
      <c r="C4762" t="inlineStr">
        <is>
          <t>Föryngringsavverkning</t>
        </is>
      </c>
      <c r="D4762" s="1" t="n">
        <v>45805</v>
      </c>
      <c r="E4762" s="1" t="n">
        <v>46307</v>
      </c>
      <c r="F4762" t="inlineStr">
        <is>
          <t>VÄRMLANDS LÄN</t>
        </is>
      </c>
      <c r="G4762" t="inlineStr">
        <is>
          <t>SUNNE</t>
        </is>
      </c>
      <c r="I4762" t="n">
        <v>1</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10581-2023</t>
        </is>
      </c>
      <c r="B4763" t="inlineStr">
        <is>
          <t>avverkningsanmälan</t>
        </is>
      </c>
      <c r="C4763" t="inlineStr">
        <is>
          <t>Föryngringsavverkning</t>
        </is>
      </c>
      <c r="D4763" s="1" t="n">
        <v>44988</v>
      </c>
      <c r="E4763" s="1" t="n">
        <v>46307</v>
      </c>
      <c r="F4763" t="inlineStr">
        <is>
          <t>VÄRMLANDS LÄN</t>
        </is>
      </c>
      <c r="G4763" t="inlineStr">
        <is>
          <t>ARVIKA</t>
        </is>
      </c>
      <c r="I4763" t="n">
        <v>0.9</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13728-2023</t>
        </is>
      </c>
      <c r="B4764" t="inlineStr">
        <is>
          <t>avverkningsanmälan</t>
        </is>
      </c>
      <c r="C4764" t="inlineStr">
        <is>
          <t>Föryngringsavverkning</t>
        </is>
      </c>
      <c r="D4764" s="1" t="n">
        <v>45007</v>
      </c>
      <c r="E4764" s="1" t="n">
        <v>46307</v>
      </c>
      <c r="F4764" t="inlineStr">
        <is>
          <t>VÄRMLANDS LÄN</t>
        </is>
      </c>
      <c r="G4764" t="inlineStr">
        <is>
          <t>SUNNE</t>
        </is>
      </c>
      <c r="I4764" t="n">
        <v>3.7</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13809-2023</t>
        </is>
      </c>
      <c r="B4765" t="inlineStr">
        <is>
          <t>avverkningsanmälan</t>
        </is>
      </c>
      <c r="C4765" t="inlineStr">
        <is>
          <t>Föryngringsavverkning</t>
        </is>
      </c>
      <c r="D4765" s="1" t="n">
        <v>45007</v>
      </c>
      <c r="E4765" s="1" t="n">
        <v>46307</v>
      </c>
      <c r="F4765" t="inlineStr">
        <is>
          <t>VÄRMLANDS LÄN</t>
        </is>
      </c>
      <c r="G4765" t="inlineStr">
        <is>
          <t>ARVIKA</t>
        </is>
      </c>
      <c r="I4765" t="n">
        <v>8.699999999999999</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14310-2022</t>
        </is>
      </c>
      <c r="B4766" t="inlineStr">
        <is>
          <t>avverkningsanmälan</t>
        </is>
      </c>
      <c r="C4766" t="inlineStr">
        <is>
          <t>Föryngringsavverkning</t>
        </is>
      </c>
      <c r="D4766" s="1" t="n">
        <v>44652</v>
      </c>
      <c r="E4766" s="1" t="n">
        <v>46307</v>
      </c>
      <c r="F4766" t="inlineStr">
        <is>
          <t>VÄRMLANDS LÄN</t>
        </is>
      </c>
      <c r="G4766" t="inlineStr">
        <is>
          <t>ÅRJÄNG</t>
        </is>
      </c>
      <c r="I4766" t="n">
        <v>2.5</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26370-2025</t>
        </is>
      </c>
      <c r="B4767" t="inlineStr">
        <is>
          <t>avverkningsanmälan</t>
        </is>
      </c>
      <c r="C4767" t="inlineStr">
        <is>
          <t>Föryngringsavverkning</t>
        </is>
      </c>
      <c r="D4767" s="1" t="n">
        <v>45806</v>
      </c>
      <c r="E4767" s="1" t="n">
        <v>46307</v>
      </c>
      <c r="F4767" t="inlineStr">
        <is>
          <t>VÄRMLANDS LÄN</t>
        </is>
      </c>
      <c r="G4767" t="inlineStr">
        <is>
          <t>SUNNE</t>
        </is>
      </c>
      <c r="I4767" t="n">
        <v>1</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49315-2025</t>
        </is>
      </c>
      <c r="B4768" t="inlineStr">
        <is>
          <t>avverkningsanmälan</t>
        </is>
      </c>
      <c r="C4768" t="inlineStr">
        <is>
          <t>Föryngringsavverkning</t>
        </is>
      </c>
      <c r="D4768" s="1" t="n">
        <v>45938</v>
      </c>
      <c r="E4768" s="1" t="n">
        <v>46307</v>
      </c>
      <c r="F4768" t="inlineStr">
        <is>
          <t>VÄRMLANDS LÄN</t>
        </is>
      </c>
      <c r="G4768" t="inlineStr">
        <is>
          <t>SÄFFLE</t>
        </is>
      </c>
      <c r="I4768" t="n">
        <v>1</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49344-2025</t>
        </is>
      </c>
      <c r="B4769" t="inlineStr">
        <is>
          <t>avverkningsanmälan</t>
        </is>
      </c>
      <c r="C4769" t="inlineStr">
        <is>
          <t>Föryngringsavverkning</t>
        </is>
      </c>
      <c r="D4769" s="1" t="n">
        <v>45938</v>
      </c>
      <c r="E4769" s="1" t="n">
        <v>46307</v>
      </c>
      <c r="F4769" t="inlineStr">
        <is>
          <t>VÄRMLANDS LÄN</t>
        </is>
      </c>
      <c r="G4769" t="inlineStr">
        <is>
          <t>TORSBY</t>
        </is>
      </c>
      <c r="I4769" t="n">
        <v>1.3</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39597-2023</t>
        </is>
      </c>
      <c r="B4770" t="inlineStr">
        <is>
          <t>avverkningsanmälan</t>
        </is>
      </c>
      <c r="C4770" t="inlineStr">
        <is>
          <t>Föryngringsavverkning</t>
        </is>
      </c>
      <c r="D4770" s="1" t="n">
        <v>45163</v>
      </c>
      <c r="E4770" s="1" t="n">
        <v>46307</v>
      </c>
      <c r="F4770" t="inlineStr">
        <is>
          <t>VÄRMLANDS LÄN</t>
        </is>
      </c>
      <c r="G4770" t="inlineStr">
        <is>
          <t>ARVIKA</t>
        </is>
      </c>
      <c r="I4770" t="n">
        <v>1.8</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8942-2022</t>
        </is>
      </c>
      <c r="B4771" t="inlineStr">
        <is>
          <t>avverkningsanmälan</t>
        </is>
      </c>
      <c r="C4771" t="inlineStr">
        <is>
          <t>Föryngringsavverkning</t>
        </is>
      </c>
      <c r="D4771" s="1" t="n">
        <v>44614</v>
      </c>
      <c r="E4771" s="1" t="n">
        <v>46307</v>
      </c>
      <c r="F4771" t="inlineStr">
        <is>
          <t>VÄRMLANDS LÄN</t>
        </is>
      </c>
      <c r="G4771" t="inlineStr">
        <is>
          <t>EDA</t>
        </is>
      </c>
      <c r="I4771" t="n">
        <v>2.1</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45643-2023</t>
        </is>
      </c>
      <c r="B4772" t="inlineStr">
        <is>
          <t>avverkningsanmälan</t>
        </is>
      </c>
      <c r="C4772" t="inlineStr">
        <is>
          <t>Föryngringsavverkning</t>
        </is>
      </c>
      <c r="D4772" s="1" t="n">
        <v>45194</v>
      </c>
      <c r="E4772" s="1" t="n">
        <v>46307</v>
      </c>
      <c r="F4772" t="inlineStr">
        <is>
          <t>VÄRMLANDS LÄN</t>
        </is>
      </c>
      <c r="G4772" t="inlineStr">
        <is>
          <t>ÅRJÄNG</t>
        </is>
      </c>
      <c r="I4772" t="n">
        <v>1.2</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30254-2023</t>
        </is>
      </c>
      <c r="B4773" t="inlineStr">
        <is>
          <t>avverkningsanmälan</t>
        </is>
      </c>
      <c r="C4773" t="inlineStr">
        <is>
          <t>Föryngringsavverkning</t>
        </is>
      </c>
      <c r="D4773" s="1" t="n">
        <v>45110</v>
      </c>
      <c r="E4773" s="1" t="n">
        <v>46307</v>
      </c>
      <c r="F4773" t="inlineStr">
        <is>
          <t>VÄRMLANDS LÄN</t>
        </is>
      </c>
      <c r="G4773" t="inlineStr">
        <is>
          <t>EDA</t>
        </is>
      </c>
      <c r="I4773" t="n">
        <v>0.7</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24965-2023</t>
        </is>
      </c>
      <c r="B4774" t="inlineStr">
        <is>
          <t>avverkningsanmälan</t>
        </is>
      </c>
      <c r="C4774" t="inlineStr">
        <is>
          <t>Föryngringsavverkning</t>
        </is>
      </c>
      <c r="D4774" s="1" t="n">
        <v>45085</v>
      </c>
      <c r="E4774" s="1" t="n">
        <v>46307</v>
      </c>
      <c r="F4774" t="inlineStr">
        <is>
          <t>VÄRMLANDS LÄN</t>
        </is>
      </c>
      <c r="G4774" t="inlineStr">
        <is>
          <t>TORSBY</t>
        </is>
      </c>
      <c r="I4774" t="n">
        <v>0.7</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24969-2023</t>
        </is>
      </c>
      <c r="B4775" t="inlineStr">
        <is>
          <t>avverkningsanmälan</t>
        </is>
      </c>
      <c r="C4775" t="inlineStr">
        <is>
          <t>Föryngringsavverkning</t>
        </is>
      </c>
      <c r="D4775" s="1" t="n">
        <v>45085</v>
      </c>
      <c r="E4775" s="1" t="n">
        <v>46307</v>
      </c>
      <c r="F4775" t="inlineStr">
        <is>
          <t>VÄRMLANDS LÄN</t>
        </is>
      </c>
      <c r="G4775" t="inlineStr">
        <is>
          <t>TORSBY</t>
        </is>
      </c>
      <c r="I4775" t="n">
        <v>0.2</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26123-2025</t>
        </is>
      </c>
      <c r="B4776" t="inlineStr">
        <is>
          <t>avverkningsanmälan</t>
        </is>
      </c>
      <c r="C4776" t="inlineStr">
        <is>
          <t>Avverkning för annat ändamål</t>
        </is>
      </c>
      <c r="D4776" s="1" t="n">
        <v>45805</v>
      </c>
      <c r="E4776" s="1" t="n">
        <v>46307</v>
      </c>
      <c r="F4776" t="inlineStr">
        <is>
          <t>VÄRMLANDS LÄN</t>
        </is>
      </c>
      <c r="G4776" t="inlineStr">
        <is>
          <t>FILIPSTAD</t>
        </is>
      </c>
      <c r="I4776" t="n">
        <v>1.3</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15126-2024</t>
        </is>
      </c>
      <c r="B4777" t="inlineStr">
        <is>
          <t>avverkningsanmälan</t>
        </is>
      </c>
      <c r="C4777" t="inlineStr">
        <is>
          <t>Föryngringsavverkning</t>
        </is>
      </c>
      <c r="D4777" s="1" t="n">
        <v>45399</v>
      </c>
      <c r="E4777" s="1" t="n">
        <v>46307</v>
      </c>
      <c r="F4777" t="inlineStr">
        <is>
          <t>VÄRMLANDS LÄN</t>
        </is>
      </c>
      <c r="G4777" t="inlineStr">
        <is>
          <t>TORSBY</t>
        </is>
      </c>
      <c r="I4777" t="n">
        <v>1.8</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15127-2024</t>
        </is>
      </c>
      <c r="B4778" t="inlineStr">
        <is>
          <t>avverkningsanmälan</t>
        </is>
      </c>
      <c r="C4778" t="inlineStr">
        <is>
          <t>Föryngringsavverkning</t>
        </is>
      </c>
      <c r="D4778" s="1" t="n">
        <v>45399</v>
      </c>
      <c r="E4778" s="1" t="n">
        <v>46307</v>
      </c>
      <c r="F4778" t="inlineStr">
        <is>
          <t>VÄRMLANDS LÄN</t>
        </is>
      </c>
      <c r="G4778" t="inlineStr">
        <is>
          <t>TORSBY</t>
        </is>
      </c>
      <c r="I4778" t="n">
        <v>1</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26181-2025</t>
        </is>
      </c>
      <c r="B4779" t="inlineStr">
        <is>
          <t>avverkningsanmälan</t>
        </is>
      </c>
      <c r="C4779" t="inlineStr">
        <is>
          <t>Föryngringsavverkning</t>
        </is>
      </c>
      <c r="D4779" s="1" t="n">
        <v>45805</v>
      </c>
      <c r="E4779" s="1" t="n">
        <v>46307</v>
      </c>
      <c r="F4779" t="inlineStr">
        <is>
          <t>VÄRMLANDS LÄN</t>
        </is>
      </c>
      <c r="G4779" t="inlineStr">
        <is>
          <t>KRISTINEHAMN</t>
        </is>
      </c>
      <c r="H4779" t="inlineStr">
        <is>
          <t>Sveaskog</t>
        </is>
      </c>
      <c r="I4779" t="n">
        <v>2.2</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26192-2025</t>
        </is>
      </c>
      <c r="B4780" t="inlineStr">
        <is>
          <t>avverkningsanmälan</t>
        </is>
      </c>
      <c r="C4780" t="inlineStr">
        <is>
          <t>Föryngringsavverkning</t>
        </is>
      </c>
      <c r="D4780" s="1" t="n">
        <v>45805</v>
      </c>
      <c r="E4780" s="1" t="n">
        <v>46307</v>
      </c>
      <c r="F4780" t="inlineStr">
        <is>
          <t>VÄRMLANDS LÄN</t>
        </is>
      </c>
      <c r="G4780" t="inlineStr">
        <is>
          <t>KRISTINEHAMN</t>
        </is>
      </c>
      <c r="H4780" t="inlineStr">
        <is>
          <t>Sveaskog</t>
        </is>
      </c>
      <c r="I4780" t="n">
        <v>3.3</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10136-2024</t>
        </is>
      </c>
      <c r="B4781" t="inlineStr">
        <is>
          <t>avverkningsanmälan</t>
        </is>
      </c>
      <c r="C4781" t="inlineStr">
        <is>
          <t>Föryngringsavverkning</t>
        </is>
      </c>
      <c r="D4781" s="1" t="n">
        <v>45364</v>
      </c>
      <c r="E4781" s="1" t="n">
        <v>46307</v>
      </c>
      <c r="F4781" t="inlineStr">
        <is>
          <t>VÄRMLANDS LÄN</t>
        </is>
      </c>
      <c r="G4781" t="inlineStr">
        <is>
          <t>FILIPSTAD</t>
        </is>
      </c>
      <c r="I4781" t="n">
        <v>6.4</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24620-2024</t>
        </is>
      </c>
      <c r="B4782" t="inlineStr">
        <is>
          <t>avverkningsanmälan</t>
        </is>
      </c>
      <c r="C4782" t="inlineStr">
        <is>
          <t>Föryngringsavverkning</t>
        </is>
      </c>
      <c r="D4782" s="1" t="n">
        <v>45460</v>
      </c>
      <c r="E4782" s="1" t="n">
        <v>46307</v>
      </c>
      <c r="F4782" t="inlineStr">
        <is>
          <t>VÄRMLANDS LÄN</t>
        </is>
      </c>
      <c r="G4782" t="inlineStr">
        <is>
          <t>ARVIKA</t>
        </is>
      </c>
      <c r="I4782" t="n">
        <v>2</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46379-2023</t>
        </is>
      </c>
      <c r="B4783" t="inlineStr">
        <is>
          <t>avverkningsanmälan</t>
        </is>
      </c>
      <c r="C4783" t="inlineStr">
        <is>
          <t>Föryngringsavverkning</t>
        </is>
      </c>
      <c r="D4783" s="1" t="n">
        <v>45197</v>
      </c>
      <c r="E4783" s="1" t="n">
        <v>46307</v>
      </c>
      <c r="F4783" t="inlineStr">
        <is>
          <t>VÄRMLANDS LÄN</t>
        </is>
      </c>
      <c r="G4783" t="inlineStr">
        <is>
          <t>ARVIKA</t>
        </is>
      </c>
      <c r="H4783" t="inlineStr">
        <is>
          <t>Kyrkan</t>
        </is>
      </c>
      <c r="I4783" t="n">
        <v>1</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49066-2025</t>
        </is>
      </c>
      <c r="B4784" t="inlineStr">
        <is>
          <t>avverkningsanmälan</t>
        </is>
      </c>
      <c r="C4784" t="inlineStr">
        <is>
          <t>Föryngringsavverkning</t>
        </is>
      </c>
      <c r="D4784" s="1" t="n">
        <v>45937</v>
      </c>
      <c r="E4784" s="1" t="n">
        <v>46307</v>
      </c>
      <c r="F4784" t="inlineStr">
        <is>
          <t>VÄRMLANDS LÄN</t>
        </is>
      </c>
      <c r="G4784" t="inlineStr">
        <is>
          <t>SUNNE</t>
        </is>
      </c>
      <c r="I4784" t="n">
        <v>9.800000000000001</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29852-2022</t>
        </is>
      </c>
      <c r="B4785" t="inlineStr">
        <is>
          <t>avverkningsanmälan</t>
        </is>
      </c>
      <c r="C4785" t="inlineStr">
        <is>
          <t>Föryngringsavverkning</t>
        </is>
      </c>
      <c r="D4785" s="1" t="n">
        <v>44756</v>
      </c>
      <c r="E4785" s="1" t="n">
        <v>46307</v>
      </c>
      <c r="F4785" t="inlineStr">
        <is>
          <t>VÄRMLANDS LÄN</t>
        </is>
      </c>
      <c r="G4785" t="inlineStr">
        <is>
          <t>FORSHAGA</t>
        </is>
      </c>
      <c r="I4785" t="n">
        <v>5.9</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5236-2023</t>
        </is>
      </c>
      <c r="B4786" t="inlineStr">
        <is>
          <t>avverkningsanmälan</t>
        </is>
      </c>
      <c r="C4786" t="inlineStr">
        <is>
          <t>Föryngringsavverkning</t>
        </is>
      </c>
      <c r="D4786" s="1" t="n">
        <v>44956</v>
      </c>
      <c r="E4786" s="1" t="n">
        <v>46307</v>
      </c>
      <c r="F4786" t="inlineStr">
        <is>
          <t>VÄRMLANDS LÄN</t>
        </is>
      </c>
      <c r="G4786" t="inlineStr">
        <is>
          <t>GRUMS</t>
        </is>
      </c>
      <c r="I4786" t="n">
        <v>1</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8892-2023</t>
        </is>
      </c>
      <c r="B4787" t="inlineStr">
        <is>
          <t>avverkningsanmälan</t>
        </is>
      </c>
      <c r="C4787" t="inlineStr">
        <is>
          <t>Föryngringsavverkning</t>
        </is>
      </c>
      <c r="D4787" s="1" t="n">
        <v>44979</v>
      </c>
      <c r="E4787" s="1" t="n">
        <v>46307</v>
      </c>
      <c r="F4787" t="inlineStr">
        <is>
          <t>VÄRMLANDS LÄN</t>
        </is>
      </c>
      <c r="G4787" t="inlineStr">
        <is>
          <t>KARLSTAD</t>
        </is>
      </c>
      <c r="H4787" t="inlineStr">
        <is>
          <t>Kyrkan</t>
        </is>
      </c>
      <c r="I4787" t="n">
        <v>1.7</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48776-2025</t>
        </is>
      </c>
      <c r="B4788" t="inlineStr">
        <is>
          <t>avverkningsanmälan</t>
        </is>
      </c>
      <c r="C4788" t="inlineStr">
        <is>
          <t>Föryngringsavverkning</t>
        </is>
      </c>
      <c r="D4788" s="1" t="n">
        <v>45937</v>
      </c>
      <c r="E4788" s="1" t="n">
        <v>46307</v>
      </c>
      <c r="F4788" t="inlineStr">
        <is>
          <t>VÄRMLANDS LÄN</t>
        </is>
      </c>
      <c r="G4788" t="inlineStr">
        <is>
          <t>KARLSTAD</t>
        </is>
      </c>
      <c r="I4788" t="n">
        <v>0.5</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26116-2025</t>
        </is>
      </c>
      <c r="B4789" t="inlineStr">
        <is>
          <t>avverkningsanmälan</t>
        </is>
      </c>
      <c r="C4789" t="inlineStr">
        <is>
          <t>Avverkning för annat ändamål</t>
        </is>
      </c>
      <c r="D4789" s="1" t="n">
        <v>45805</v>
      </c>
      <c r="E4789" s="1" t="n">
        <v>46307</v>
      </c>
      <c r="F4789" t="inlineStr">
        <is>
          <t>VÄRMLANDS LÄN</t>
        </is>
      </c>
      <c r="G4789" t="inlineStr">
        <is>
          <t>FILIPSTAD</t>
        </is>
      </c>
      <c r="I4789" t="n">
        <v>1.2</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26237-2025</t>
        </is>
      </c>
      <c r="B4790" t="inlineStr">
        <is>
          <t>avverkningsanmälan</t>
        </is>
      </c>
      <c r="C4790" t="inlineStr">
        <is>
          <t>Föryngringsavverkning</t>
        </is>
      </c>
      <c r="D4790" s="1" t="n">
        <v>45805</v>
      </c>
      <c r="E4790" s="1" t="n">
        <v>46307</v>
      </c>
      <c r="F4790" t="inlineStr">
        <is>
          <t>VÄRMLANDS LÄN</t>
        </is>
      </c>
      <c r="G4790" t="inlineStr">
        <is>
          <t>EDA</t>
        </is>
      </c>
      <c r="H4790" t="inlineStr">
        <is>
          <t>Bergvik skog väst AB</t>
        </is>
      </c>
      <c r="I4790" t="n">
        <v>6.2</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47651-2024</t>
        </is>
      </c>
      <c r="B4791" t="inlineStr">
        <is>
          <t>avverkningsanmälan</t>
        </is>
      </c>
      <c r="C4791" t="inlineStr">
        <is>
          <t>Föryngringsavverkning</t>
        </is>
      </c>
      <c r="D4791" s="1" t="n">
        <v>45588</v>
      </c>
      <c r="E4791" s="1" t="n">
        <v>46307</v>
      </c>
      <c r="F4791" t="inlineStr">
        <is>
          <t>VÄRMLANDS LÄN</t>
        </is>
      </c>
      <c r="G4791" t="inlineStr">
        <is>
          <t>TORSBY</t>
        </is>
      </c>
      <c r="I4791" t="n">
        <v>0.6</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18682-2024</t>
        </is>
      </c>
      <c r="B4792" t="inlineStr">
        <is>
          <t>avverkningsanmälan</t>
        </is>
      </c>
      <c r="C4792" t="inlineStr">
        <is>
          <t>Föryngringsavverkning</t>
        </is>
      </c>
      <c r="D4792" s="1" t="n">
        <v>45426</v>
      </c>
      <c r="E4792" s="1" t="n">
        <v>46307</v>
      </c>
      <c r="F4792" t="inlineStr">
        <is>
          <t>VÄRMLANDS LÄN</t>
        </is>
      </c>
      <c r="G4792" t="inlineStr">
        <is>
          <t>TORSBY</t>
        </is>
      </c>
      <c r="I4792" t="n">
        <v>1.5</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26258-2025</t>
        </is>
      </c>
      <c r="B4793" t="inlineStr">
        <is>
          <t>avverkningsanmälan</t>
        </is>
      </c>
      <c r="C4793" t="inlineStr">
        <is>
          <t>Föryngringsavverkning</t>
        </is>
      </c>
      <c r="D4793" s="1" t="n">
        <v>45805</v>
      </c>
      <c r="E4793" s="1" t="n">
        <v>46307</v>
      </c>
      <c r="F4793" t="inlineStr">
        <is>
          <t>VÄRMLANDS LÄN</t>
        </is>
      </c>
      <c r="G4793" t="inlineStr">
        <is>
          <t>ÅRJÄNG</t>
        </is>
      </c>
      <c r="I4793" t="n">
        <v>2.3</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18954-2023</t>
        </is>
      </c>
      <c r="B4794" t="inlineStr">
        <is>
          <t>avverkningsanmälan</t>
        </is>
      </c>
      <c r="C4794" t="inlineStr">
        <is>
          <t>Föryngringsavverkning</t>
        </is>
      </c>
      <c r="D4794" s="1" t="n">
        <v>45044</v>
      </c>
      <c r="E4794" s="1" t="n">
        <v>46307</v>
      </c>
      <c r="F4794" t="inlineStr">
        <is>
          <t>VÄRMLANDS LÄN</t>
        </is>
      </c>
      <c r="G4794" t="inlineStr">
        <is>
          <t>KRISTINEHAMN</t>
        </is>
      </c>
      <c r="I4794" t="n">
        <v>1.3</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5319-2025</t>
        </is>
      </c>
      <c r="B4795" t="inlineStr">
        <is>
          <t>avverkningsanmälan</t>
        </is>
      </c>
      <c r="C4795" t="inlineStr">
        <is>
          <t>Föryngringsavverkning</t>
        </is>
      </c>
      <c r="D4795" s="1" t="n">
        <v>45692</v>
      </c>
      <c r="E4795" s="1" t="n">
        <v>46307</v>
      </c>
      <c r="F4795" t="inlineStr">
        <is>
          <t>VÄRMLANDS LÄN</t>
        </is>
      </c>
      <c r="G4795" t="inlineStr">
        <is>
          <t>ÅRJÄNG</t>
        </is>
      </c>
      <c r="I4795" t="n">
        <v>1.8</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26487-2025</t>
        </is>
      </c>
      <c r="B4796" t="inlineStr">
        <is>
          <t>avverkningsanmälan</t>
        </is>
      </c>
      <c r="C4796" t="inlineStr">
        <is>
          <t>Föryngringsavverkning</t>
        </is>
      </c>
      <c r="D4796" s="1" t="n">
        <v>45807</v>
      </c>
      <c r="E4796" s="1" t="n">
        <v>46307</v>
      </c>
      <c r="F4796" t="inlineStr">
        <is>
          <t>VÄRMLANDS LÄN</t>
        </is>
      </c>
      <c r="G4796" t="inlineStr">
        <is>
          <t>TORSBY</t>
        </is>
      </c>
      <c r="I4796" t="n">
        <v>1.2</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15710-2024</t>
        </is>
      </c>
      <c r="B4797" t="inlineStr">
        <is>
          <t>avverkningsanmälan</t>
        </is>
      </c>
      <c r="C4797" t="inlineStr">
        <is>
          <t>Föryngringsavverkning</t>
        </is>
      </c>
      <c r="D4797" s="1" t="n">
        <v>45404</v>
      </c>
      <c r="E4797" s="1" t="n">
        <v>46307</v>
      </c>
      <c r="F4797" t="inlineStr">
        <is>
          <t>VÄRMLANDS LÄN</t>
        </is>
      </c>
      <c r="G4797" t="inlineStr">
        <is>
          <t>SUNNE</t>
        </is>
      </c>
      <c r="I4797" t="n">
        <v>14.4</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30002-2024</t>
        </is>
      </c>
      <c r="B4798" t="inlineStr">
        <is>
          <t>avverkningsanmälan</t>
        </is>
      </c>
      <c r="C4798" t="inlineStr">
        <is>
          <t>Föryngringsavverkning</t>
        </is>
      </c>
      <c r="D4798" s="1" t="n">
        <v>45488</v>
      </c>
      <c r="E4798" s="1" t="n">
        <v>46307</v>
      </c>
      <c r="F4798" t="inlineStr">
        <is>
          <t>VÄRMLANDS LÄN</t>
        </is>
      </c>
      <c r="G4798" t="inlineStr">
        <is>
          <t>TORSBY</t>
        </is>
      </c>
      <c r="H4798" t="inlineStr">
        <is>
          <t>Kommuner</t>
        </is>
      </c>
      <c r="I4798" t="n">
        <v>3.1</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31077-2024</t>
        </is>
      </c>
      <c r="B4799" t="inlineStr">
        <is>
          <t>avverkningsanmälan</t>
        </is>
      </c>
      <c r="C4799" t="inlineStr">
        <is>
          <t>Föryngringsavverkning</t>
        </is>
      </c>
      <c r="D4799" s="1" t="n">
        <v>45502</v>
      </c>
      <c r="E4799" s="1" t="n">
        <v>46307</v>
      </c>
      <c r="F4799" t="inlineStr">
        <is>
          <t>VÄRMLANDS LÄN</t>
        </is>
      </c>
      <c r="G4799" t="inlineStr">
        <is>
          <t>EDA</t>
        </is>
      </c>
      <c r="I4799" t="n">
        <v>3.7</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12840-2025</t>
        </is>
      </c>
      <c r="B4800" t="inlineStr">
        <is>
          <t>avverkningsanmälan</t>
        </is>
      </c>
      <c r="C4800" t="inlineStr">
        <is>
          <t>Avverkning för annat ändamål</t>
        </is>
      </c>
      <c r="D4800" s="1" t="n">
        <v>45733</v>
      </c>
      <c r="E4800" s="1" t="n">
        <v>46307</v>
      </c>
      <c r="F4800" t="inlineStr">
        <is>
          <t>VÄRMLANDS LÄN</t>
        </is>
      </c>
      <c r="G4800" t="inlineStr">
        <is>
          <t>ÅRJÄNG</t>
        </is>
      </c>
      <c r="I4800" t="n">
        <v>2.2</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41368-2024</t>
        </is>
      </c>
      <c r="B4801" t="inlineStr">
        <is>
          <t>avverkningsanmälan</t>
        </is>
      </c>
      <c r="C4801" t="inlineStr">
        <is>
          <t>Föryngringsavverkning</t>
        </is>
      </c>
      <c r="D4801" s="1" t="n">
        <v>45559</v>
      </c>
      <c r="E4801" s="1" t="n">
        <v>46307</v>
      </c>
      <c r="F4801" t="inlineStr">
        <is>
          <t>VÄRMLANDS LÄN</t>
        </is>
      </c>
      <c r="G4801" t="inlineStr">
        <is>
          <t>SÄFFLE</t>
        </is>
      </c>
      <c r="I4801" t="n">
        <v>0.8</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34335-2024</t>
        </is>
      </c>
      <c r="B4802" t="inlineStr">
        <is>
          <t>avverkningsanmälan</t>
        </is>
      </c>
      <c r="C4802" t="inlineStr">
        <is>
          <t>Föryngringsavverkning</t>
        </is>
      </c>
      <c r="D4802" s="1" t="n">
        <v>45524</v>
      </c>
      <c r="E4802" s="1" t="n">
        <v>46307</v>
      </c>
      <c r="F4802" t="inlineStr">
        <is>
          <t>VÄRMLANDS LÄN</t>
        </is>
      </c>
      <c r="G4802" t="inlineStr">
        <is>
          <t>KARLSTAD</t>
        </is>
      </c>
      <c r="I4802" t="n">
        <v>1.8</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49107-2025</t>
        </is>
      </c>
      <c r="B4803" t="inlineStr">
        <is>
          <t>avverkningsanmälan</t>
        </is>
      </c>
      <c r="C4803" t="inlineStr">
        <is>
          <t>Avverkning för annat ändamål</t>
        </is>
      </c>
      <c r="D4803" s="1" t="n">
        <v>45937</v>
      </c>
      <c r="E4803" s="1" t="n">
        <v>46307</v>
      </c>
      <c r="F4803" t="inlineStr">
        <is>
          <t>VÄRMLANDS LÄN</t>
        </is>
      </c>
      <c r="G4803" t="inlineStr">
        <is>
          <t>TORSBY</t>
        </is>
      </c>
      <c r="I4803" t="n">
        <v>0.6</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49311-2025</t>
        </is>
      </c>
      <c r="B4804" t="inlineStr">
        <is>
          <t>avverkningsanmälan</t>
        </is>
      </c>
      <c r="C4804" t="inlineStr">
        <is>
          <t>Avverkning för annat ändamål</t>
        </is>
      </c>
      <c r="D4804" s="1" t="n">
        <v>45938</v>
      </c>
      <c r="E4804" s="1" t="n">
        <v>46307</v>
      </c>
      <c r="F4804" t="inlineStr">
        <is>
          <t>VÄRMLANDS LÄN</t>
        </is>
      </c>
      <c r="G4804" t="inlineStr">
        <is>
          <t>TORSBY</t>
        </is>
      </c>
      <c r="H4804" t="inlineStr">
        <is>
          <t>Bergvik skog väst AB</t>
        </is>
      </c>
      <c r="I4804" t="n">
        <v>2.4</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9179-2025</t>
        </is>
      </c>
      <c r="B4805" t="inlineStr">
        <is>
          <t>avverkningsanmälan</t>
        </is>
      </c>
      <c r="C4805" t="inlineStr">
        <is>
          <t>Föryngringsavverkning</t>
        </is>
      </c>
      <c r="D4805" s="1" t="n">
        <v>45714</v>
      </c>
      <c r="E4805" s="1" t="n">
        <v>46307</v>
      </c>
      <c r="F4805" t="inlineStr">
        <is>
          <t>VÄRMLANDS LÄN</t>
        </is>
      </c>
      <c r="G4805" t="inlineStr">
        <is>
          <t>EDA</t>
        </is>
      </c>
      <c r="I4805" t="n">
        <v>1.2</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53388-2024</t>
        </is>
      </c>
      <c r="B4806" t="inlineStr">
        <is>
          <t>avverkningsanmälan</t>
        </is>
      </c>
      <c r="C4806" t="inlineStr">
        <is>
          <t>Föryngringsavverkning</t>
        </is>
      </c>
      <c r="D4806" s="1" t="n">
        <v>45614</v>
      </c>
      <c r="E4806" s="1" t="n">
        <v>46307</v>
      </c>
      <c r="F4806" t="inlineStr">
        <is>
          <t>VÄRMLANDS LÄN</t>
        </is>
      </c>
      <c r="G4806" t="inlineStr">
        <is>
          <t>STORFORS</t>
        </is>
      </c>
      <c r="I4806" t="n">
        <v>1.3</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55045-2024</t>
        </is>
      </c>
      <c r="B4807" t="inlineStr">
        <is>
          <t>avverkningsanmälan</t>
        </is>
      </c>
      <c r="C4807" t="inlineStr">
        <is>
          <t>Föryngringsavverkning</t>
        </is>
      </c>
      <c r="D4807" s="1" t="n">
        <v>45621</v>
      </c>
      <c r="E4807" s="1" t="n">
        <v>46307</v>
      </c>
      <c r="F4807" t="inlineStr">
        <is>
          <t>VÄRMLANDS LÄN</t>
        </is>
      </c>
      <c r="G4807" t="inlineStr">
        <is>
          <t>SÄFFLE</t>
        </is>
      </c>
      <c r="I4807" t="n">
        <v>3.5</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55071-2024</t>
        </is>
      </c>
      <c r="B4808" t="inlineStr">
        <is>
          <t>avverkningsanmälan</t>
        </is>
      </c>
      <c r="C4808" t="inlineStr">
        <is>
          <t>Föryngringsavverkning</t>
        </is>
      </c>
      <c r="D4808" s="1" t="n">
        <v>45621</v>
      </c>
      <c r="E4808" s="1" t="n">
        <v>46307</v>
      </c>
      <c r="F4808" t="inlineStr">
        <is>
          <t>VÄRMLANDS LÄN</t>
        </is>
      </c>
      <c r="G4808" t="inlineStr">
        <is>
          <t>ÅRJÄNG</t>
        </is>
      </c>
      <c r="I4808" t="n">
        <v>0.7</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49313-2025</t>
        </is>
      </c>
      <c r="B4809" t="inlineStr">
        <is>
          <t>avverkningsanmälan</t>
        </is>
      </c>
      <c r="C4809" t="inlineStr">
        <is>
          <t>Avverkning för annat ändamål</t>
        </is>
      </c>
      <c r="D4809" s="1" t="n">
        <v>45938</v>
      </c>
      <c r="E4809" s="1" t="n">
        <v>46307</v>
      </c>
      <c r="F4809" t="inlineStr">
        <is>
          <t>VÄRMLANDS LÄN</t>
        </is>
      </c>
      <c r="G4809" t="inlineStr">
        <is>
          <t>TORSBY</t>
        </is>
      </c>
      <c r="H4809" t="inlineStr">
        <is>
          <t>Bergvik skog väst AB</t>
        </is>
      </c>
      <c r="I4809" t="n">
        <v>0.5</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19069-2025</t>
        </is>
      </c>
      <c r="B4810" t="inlineStr">
        <is>
          <t>avverkningsanmälan</t>
        </is>
      </c>
      <c r="C4810" t="inlineStr">
        <is>
          <t>Föryngringsavverkning</t>
        </is>
      </c>
      <c r="D4810" s="1" t="n">
        <v>45765</v>
      </c>
      <c r="E4810" s="1" t="n">
        <v>46307</v>
      </c>
      <c r="F4810" t="inlineStr">
        <is>
          <t>VÄRMLANDS LÄN</t>
        </is>
      </c>
      <c r="G4810" t="inlineStr">
        <is>
          <t>FORSHAGA</t>
        </is>
      </c>
      <c r="I4810" t="n">
        <v>4.8</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53793-2024</t>
        </is>
      </c>
      <c r="B4811" t="inlineStr">
        <is>
          <t>avverkningsanmälan</t>
        </is>
      </c>
      <c r="C4811" t="inlineStr">
        <is>
          <t>Föryngringsavverkning</t>
        </is>
      </c>
      <c r="D4811" s="1" t="n">
        <v>45615</v>
      </c>
      <c r="E4811" s="1" t="n">
        <v>46307</v>
      </c>
      <c r="F4811" t="inlineStr">
        <is>
          <t>VÄRMLANDS LÄN</t>
        </is>
      </c>
      <c r="G4811" t="inlineStr">
        <is>
          <t>ÅRJÄNG</t>
        </is>
      </c>
      <c r="I4811" t="n">
        <v>4.9</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49117-2025</t>
        </is>
      </c>
      <c r="B4812" t="inlineStr">
        <is>
          <t>avverkningsanmälan</t>
        </is>
      </c>
      <c r="C4812" t="inlineStr">
        <is>
          <t>Föryngringsavverkning</t>
        </is>
      </c>
      <c r="D4812" s="1" t="n">
        <v>45937</v>
      </c>
      <c r="E4812" s="1" t="n">
        <v>46307</v>
      </c>
      <c r="F4812" t="inlineStr">
        <is>
          <t>VÄRMLANDS LÄN</t>
        </is>
      </c>
      <c r="G4812" t="inlineStr">
        <is>
          <t>SÄFFLE</t>
        </is>
      </c>
      <c r="I4812" t="n">
        <v>7.7</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8146-2024</t>
        </is>
      </c>
      <c r="B4813" t="inlineStr">
        <is>
          <t>avverkningsanmälan</t>
        </is>
      </c>
      <c r="C4813" t="inlineStr">
        <is>
          <t>Föryngringsavverkning</t>
        </is>
      </c>
      <c r="D4813" s="1" t="n">
        <v>45351</v>
      </c>
      <c r="E4813" s="1" t="n">
        <v>46307</v>
      </c>
      <c r="F4813" t="inlineStr">
        <is>
          <t>VÄRMLANDS LÄN</t>
        </is>
      </c>
      <c r="G4813" t="inlineStr">
        <is>
          <t>ÅRJÄNG</t>
        </is>
      </c>
      <c r="I4813" t="n">
        <v>1.7</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26812-2025</t>
        </is>
      </c>
      <c r="B4814" t="inlineStr">
        <is>
          <t>avverkningsanmälan</t>
        </is>
      </c>
      <c r="C4814" t="inlineStr">
        <is>
          <t>Föryngringsavverkning</t>
        </is>
      </c>
      <c r="D4814" s="1" t="n">
        <v>45810</v>
      </c>
      <c r="E4814" s="1" t="n">
        <v>46307</v>
      </c>
      <c r="F4814" t="inlineStr">
        <is>
          <t>VÄRMLANDS LÄN</t>
        </is>
      </c>
      <c r="G4814" t="inlineStr">
        <is>
          <t>FILIPSTAD</t>
        </is>
      </c>
      <c r="H4814" t="inlineStr">
        <is>
          <t>Bergvik skog väst AB</t>
        </is>
      </c>
      <c r="I4814" t="n">
        <v>5.8</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39768-2024</t>
        </is>
      </c>
      <c r="B4815" t="inlineStr">
        <is>
          <t>avverkningsanmälan</t>
        </is>
      </c>
      <c r="C4815" t="inlineStr">
        <is>
          <t>Föryngringsavverkning</t>
        </is>
      </c>
      <c r="D4815" s="1" t="n">
        <v>45552</v>
      </c>
      <c r="E4815" s="1" t="n">
        <v>46307</v>
      </c>
      <c r="F4815" t="inlineStr">
        <is>
          <t>VÄRMLANDS LÄN</t>
        </is>
      </c>
      <c r="G4815" t="inlineStr">
        <is>
          <t>TORSBY</t>
        </is>
      </c>
      <c r="I4815" t="n">
        <v>3.1</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2503-2024</t>
        </is>
      </c>
      <c r="B4816" t="inlineStr">
        <is>
          <t>avverkningsanmälan</t>
        </is>
      </c>
      <c r="C4816" t="inlineStr">
        <is>
          <t>Föryngringsavverkning</t>
        </is>
      </c>
      <c r="D4816" s="1" t="n">
        <v>45313</v>
      </c>
      <c r="E4816" s="1" t="n">
        <v>46307</v>
      </c>
      <c r="F4816" t="inlineStr">
        <is>
          <t>VÄRMLANDS LÄN</t>
        </is>
      </c>
      <c r="G4816" t="inlineStr">
        <is>
          <t>SÄFFLE</t>
        </is>
      </c>
      <c r="I4816" t="n">
        <v>3</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56146-2024</t>
        </is>
      </c>
      <c r="B4817" t="inlineStr">
        <is>
          <t>avverkningsanmälan</t>
        </is>
      </c>
      <c r="C4817" t="inlineStr">
        <is>
          <t>Föryngringsavverkning</t>
        </is>
      </c>
      <c r="D4817" s="1" t="n">
        <v>45624</v>
      </c>
      <c r="E4817" s="1" t="n">
        <v>46307</v>
      </c>
      <c r="F4817" t="inlineStr">
        <is>
          <t>VÄRMLANDS LÄN</t>
        </is>
      </c>
      <c r="G4817" t="inlineStr">
        <is>
          <t>EDA</t>
        </is>
      </c>
      <c r="I4817" t="n">
        <v>1.4</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31985-2023</t>
        </is>
      </c>
      <c r="B4818" t="inlineStr">
        <is>
          <t>avverkningsanmälan</t>
        </is>
      </c>
      <c r="C4818" t="inlineStr">
        <is>
          <t>Föryngringsavverkning</t>
        </is>
      </c>
      <c r="D4818" s="1" t="n">
        <v>45107</v>
      </c>
      <c r="E4818" s="1" t="n">
        <v>46307</v>
      </c>
      <c r="F4818" t="inlineStr">
        <is>
          <t>VÄRMLANDS LÄN</t>
        </is>
      </c>
      <c r="G4818" t="inlineStr">
        <is>
          <t>SÄFFLE</t>
        </is>
      </c>
      <c r="I4818" t="n">
        <v>1.3</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2524-2024</t>
        </is>
      </c>
      <c r="B4819" t="inlineStr">
        <is>
          <t>avverkningsanmälan</t>
        </is>
      </c>
      <c r="C4819" t="inlineStr">
        <is>
          <t>Föryngringsavverkning</t>
        </is>
      </c>
      <c r="D4819" s="1" t="n">
        <v>45313</v>
      </c>
      <c r="E4819" s="1" t="n">
        <v>46307</v>
      </c>
      <c r="F4819" t="inlineStr">
        <is>
          <t>VÄRMLANDS LÄN</t>
        </is>
      </c>
      <c r="G4819" t="inlineStr">
        <is>
          <t>KRISTINEHAMN</t>
        </is>
      </c>
      <c r="I4819" t="n">
        <v>5.7</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49167-2025</t>
        </is>
      </c>
      <c r="B4820" t="inlineStr">
        <is>
          <t>avverkningsanmälan</t>
        </is>
      </c>
      <c r="C4820" t="inlineStr">
        <is>
          <t>Föryngringsavverkning</t>
        </is>
      </c>
      <c r="D4820" s="1" t="n">
        <v>45938</v>
      </c>
      <c r="E4820" s="1" t="n">
        <v>46307</v>
      </c>
      <c r="F4820" t="inlineStr">
        <is>
          <t>VÄRMLANDS LÄN</t>
        </is>
      </c>
      <c r="G4820" t="inlineStr">
        <is>
          <t>TORSBY</t>
        </is>
      </c>
      <c r="I4820" t="n">
        <v>1.6</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14119-2024</t>
        </is>
      </c>
      <c r="B4821" t="inlineStr">
        <is>
          <t>avverkningsanmälan</t>
        </is>
      </c>
      <c r="C4821" t="inlineStr">
        <is>
          <t>Föryngringsavverkning</t>
        </is>
      </c>
      <c r="D4821" s="1" t="n">
        <v>45392</v>
      </c>
      <c r="E4821" s="1" t="n">
        <v>46307</v>
      </c>
      <c r="F4821" t="inlineStr">
        <is>
          <t>VÄRMLANDS LÄN</t>
        </is>
      </c>
      <c r="G4821" t="inlineStr">
        <is>
          <t>SUNNE</t>
        </is>
      </c>
      <c r="I4821" t="n">
        <v>2.7</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14774-2024</t>
        </is>
      </c>
      <c r="B4822" t="inlineStr">
        <is>
          <t>avverkningsanmälan</t>
        </is>
      </c>
      <c r="C4822" t="inlineStr">
        <is>
          <t>Föryngringsavverkning</t>
        </is>
      </c>
      <c r="D4822" s="1" t="n">
        <v>45397</v>
      </c>
      <c r="E4822" s="1" t="n">
        <v>46307</v>
      </c>
      <c r="F4822" t="inlineStr">
        <is>
          <t>VÄRMLANDS LÄN</t>
        </is>
      </c>
      <c r="G4822" t="inlineStr">
        <is>
          <t>ARVIKA</t>
        </is>
      </c>
      <c r="I4822" t="n">
        <v>2.3</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19292-2023</t>
        </is>
      </c>
      <c r="B4823" t="inlineStr">
        <is>
          <t>avverkningsanmälan</t>
        </is>
      </c>
      <c r="C4823" t="inlineStr">
        <is>
          <t>Föryngringsavverkning</t>
        </is>
      </c>
      <c r="D4823" s="1" t="n">
        <v>45049</v>
      </c>
      <c r="E4823" s="1" t="n">
        <v>46307</v>
      </c>
      <c r="F4823" t="inlineStr">
        <is>
          <t>VÄRMLANDS LÄN</t>
        </is>
      </c>
      <c r="G4823" t="inlineStr">
        <is>
          <t>KARLSTAD</t>
        </is>
      </c>
      <c r="I4823" t="n">
        <v>2.2</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17505-2022</t>
        </is>
      </c>
      <c r="B4824" t="inlineStr">
        <is>
          <t>avverkningsanmälan</t>
        </is>
      </c>
      <c r="C4824" t="inlineStr">
        <is>
          <t>Föryngringsavverkning</t>
        </is>
      </c>
      <c r="D4824" s="1" t="n">
        <v>44679</v>
      </c>
      <c r="E4824" s="1" t="n">
        <v>46307</v>
      </c>
      <c r="F4824" t="inlineStr">
        <is>
          <t>VÄRMLANDS LÄN</t>
        </is>
      </c>
      <c r="G4824" t="inlineStr">
        <is>
          <t>SÄFFLE</t>
        </is>
      </c>
      <c r="I4824" t="n">
        <v>13</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26877-2025</t>
        </is>
      </c>
      <c r="B4825" t="inlineStr">
        <is>
          <t>avverkningsanmälan</t>
        </is>
      </c>
      <c r="C4825" t="inlineStr">
        <is>
          <t>Föryngringsavverkning</t>
        </is>
      </c>
      <c r="D4825" s="1" t="n">
        <v>45809</v>
      </c>
      <c r="E4825" s="1" t="n">
        <v>46307</v>
      </c>
      <c r="F4825" t="inlineStr">
        <is>
          <t>VÄRMLANDS LÄN</t>
        </is>
      </c>
      <c r="G4825" t="inlineStr">
        <is>
          <t>SUNNE</t>
        </is>
      </c>
      <c r="I4825" t="n">
        <v>4.1</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10260-2025</t>
        </is>
      </c>
      <c r="B4826" t="inlineStr">
        <is>
          <t>avverkningsanmälan</t>
        </is>
      </c>
      <c r="C4826" t="inlineStr">
        <is>
          <t>Föryngringsavverkning</t>
        </is>
      </c>
      <c r="D4826" s="1" t="n">
        <v>45720</v>
      </c>
      <c r="E4826" s="1" t="n">
        <v>46307</v>
      </c>
      <c r="F4826" t="inlineStr">
        <is>
          <t>VÄRMLANDS LÄN</t>
        </is>
      </c>
      <c r="G4826" t="inlineStr">
        <is>
          <t>KARLSTAD</t>
        </is>
      </c>
      <c r="I4826" t="n">
        <v>1.9</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12141-2023</t>
        </is>
      </c>
      <c r="B4827" t="inlineStr">
        <is>
          <t>avverkningsanmälan</t>
        </is>
      </c>
      <c r="C4827" t="inlineStr">
        <is>
          <t>Föryngringsavverkning</t>
        </is>
      </c>
      <c r="D4827" s="1" t="n">
        <v>44998</v>
      </c>
      <c r="E4827" s="1" t="n">
        <v>46307</v>
      </c>
      <c r="F4827" t="inlineStr">
        <is>
          <t>VÄRMLANDS LÄN</t>
        </is>
      </c>
      <c r="G4827" t="inlineStr">
        <is>
          <t>EDA</t>
        </is>
      </c>
      <c r="I4827" t="n">
        <v>0.6</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11765-2025</t>
        </is>
      </c>
      <c r="B4828" t="inlineStr">
        <is>
          <t>avverkningsanmälan</t>
        </is>
      </c>
      <c r="C4828" t="inlineStr">
        <is>
          <t>Föryngringsavverkning</t>
        </is>
      </c>
      <c r="D4828" s="1" t="n">
        <v>45727</v>
      </c>
      <c r="E4828" s="1" t="n">
        <v>46307</v>
      </c>
      <c r="F4828" t="inlineStr">
        <is>
          <t>VÄRMLANDS LÄN</t>
        </is>
      </c>
      <c r="G4828" t="inlineStr">
        <is>
          <t>FORSHAGA</t>
        </is>
      </c>
      <c r="H4828" t="inlineStr">
        <is>
          <t>Bergvik skog väst AB</t>
        </is>
      </c>
      <c r="I4828" t="n">
        <v>1.3</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27218-2023</t>
        </is>
      </c>
      <c r="B4829" t="inlineStr">
        <is>
          <t>avverkningsanmälan</t>
        </is>
      </c>
      <c r="C4829" t="inlineStr">
        <is>
          <t>Föryngringsavverkning</t>
        </is>
      </c>
      <c r="D4829" s="1" t="n">
        <v>45096</v>
      </c>
      <c r="E4829" s="1" t="n">
        <v>46307</v>
      </c>
      <c r="F4829" t="inlineStr">
        <is>
          <t>VÄRMLANDS LÄN</t>
        </is>
      </c>
      <c r="G4829" t="inlineStr">
        <is>
          <t>GRUMS</t>
        </is>
      </c>
      <c r="I4829" t="n">
        <v>1.2</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28545-2024</t>
        </is>
      </c>
      <c r="B4830" t="inlineStr">
        <is>
          <t>avverkningsanmälan</t>
        </is>
      </c>
      <c r="C4830" t="inlineStr">
        <is>
          <t>Föryngringsavverkning</t>
        </is>
      </c>
      <c r="D4830" s="1" t="n">
        <v>45478</v>
      </c>
      <c r="E4830" s="1" t="n">
        <v>46307</v>
      </c>
      <c r="F4830" t="inlineStr">
        <is>
          <t>VÄRMLANDS LÄN</t>
        </is>
      </c>
      <c r="G4830" t="inlineStr">
        <is>
          <t>TORSBY</t>
        </is>
      </c>
      <c r="H4830" t="inlineStr">
        <is>
          <t>Bergvik skog väst AB</t>
        </is>
      </c>
      <c r="I4830" t="n">
        <v>1.1</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53535-2024</t>
        </is>
      </c>
      <c r="B4831" t="inlineStr">
        <is>
          <t>avverkningsanmälan</t>
        </is>
      </c>
      <c r="C4831" t="inlineStr">
        <is>
          <t>Föryngringsavverkning</t>
        </is>
      </c>
      <c r="D4831" s="1" t="n">
        <v>45614</v>
      </c>
      <c r="E4831" s="1" t="n">
        <v>46307</v>
      </c>
      <c r="F4831" t="inlineStr">
        <is>
          <t>VÄRMLANDS LÄN</t>
        </is>
      </c>
      <c r="G4831" t="inlineStr">
        <is>
          <t>SUNNE</t>
        </is>
      </c>
      <c r="I4831" t="n">
        <v>3</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37109-2024</t>
        </is>
      </c>
      <c r="B4832" t="inlineStr">
        <is>
          <t>avverkningsanmälan</t>
        </is>
      </c>
      <c r="C4832" t="inlineStr">
        <is>
          <t>Föryngringsavverkning</t>
        </is>
      </c>
      <c r="D4832" s="1" t="n">
        <v>45539</v>
      </c>
      <c r="E4832" s="1" t="n">
        <v>46307</v>
      </c>
      <c r="F4832" t="inlineStr">
        <is>
          <t>VÄRMLANDS LÄN</t>
        </is>
      </c>
      <c r="G4832" t="inlineStr">
        <is>
          <t>ARVIKA</t>
        </is>
      </c>
      <c r="I4832" t="n">
        <v>1</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33672-2024</t>
        </is>
      </c>
      <c r="B4833" t="inlineStr">
        <is>
          <t>avverkningsanmälan</t>
        </is>
      </c>
      <c r="C4833" t="inlineStr">
        <is>
          <t>Föryngringsavverkning</t>
        </is>
      </c>
      <c r="D4833" s="1" t="n">
        <v>45520</v>
      </c>
      <c r="E4833" s="1" t="n">
        <v>46307</v>
      </c>
      <c r="F4833" t="inlineStr">
        <is>
          <t>VÄRMLANDS LÄN</t>
        </is>
      </c>
      <c r="G4833" t="inlineStr">
        <is>
          <t>SÄFFLE</t>
        </is>
      </c>
      <c r="I4833" t="n">
        <v>1.6</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44556-2023</t>
        </is>
      </c>
      <c r="B4834" t="inlineStr">
        <is>
          <t>avverkningsanmälan</t>
        </is>
      </c>
      <c r="C4834" t="inlineStr">
        <is>
          <t>Föryngringsavverkning</t>
        </is>
      </c>
      <c r="D4834" s="1" t="n">
        <v>45189</v>
      </c>
      <c r="E4834" s="1" t="n">
        <v>46307</v>
      </c>
      <c r="F4834" t="inlineStr">
        <is>
          <t>VÄRMLANDS LÄN</t>
        </is>
      </c>
      <c r="G4834" t="inlineStr">
        <is>
          <t>ÅRJÄNG</t>
        </is>
      </c>
      <c r="I4834" t="n">
        <v>1.3</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3672-2024</t>
        </is>
      </c>
      <c r="B4835" t="inlineStr">
        <is>
          <t>avverkningsanmälan</t>
        </is>
      </c>
      <c r="C4835" t="inlineStr">
        <is>
          <t>Föryngringsavverkning</t>
        </is>
      </c>
      <c r="D4835" s="1" t="n">
        <v>45321</v>
      </c>
      <c r="E4835" s="1" t="n">
        <v>46307</v>
      </c>
      <c r="F4835" t="inlineStr">
        <is>
          <t>VÄRMLANDS LÄN</t>
        </is>
      </c>
      <c r="G4835" t="inlineStr">
        <is>
          <t>TORSBY</t>
        </is>
      </c>
      <c r="I4835" t="n">
        <v>1.5</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6490-2023</t>
        </is>
      </c>
      <c r="B4836" t="inlineStr">
        <is>
          <t>avverkningsanmälan</t>
        </is>
      </c>
      <c r="C4836" t="inlineStr">
        <is>
          <t>Avverkning för annat ändamål</t>
        </is>
      </c>
      <c r="D4836" s="1" t="n">
        <v>44966</v>
      </c>
      <c r="E4836" s="1" t="n">
        <v>46307</v>
      </c>
      <c r="F4836" t="inlineStr">
        <is>
          <t>VÄRMLANDS LÄN</t>
        </is>
      </c>
      <c r="G4836" t="inlineStr">
        <is>
          <t>EDA</t>
        </is>
      </c>
      <c r="H4836" t="inlineStr">
        <is>
          <t>Övriga statliga verk och myndigheter</t>
        </is>
      </c>
      <c r="I4836" t="n">
        <v>4.4</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11222-2024</t>
        </is>
      </c>
      <c r="B4837" t="inlineStr">
        <is>
          <t>avverkningsanmälan</t>
        </is>
      </c>
      <c r="C4837" t="inlineStr">
        <is>
          <t>Föryngringsavverkning</t>
        </is>
      </c>
      <c r="D4837" s="1" t="n">
        <v>45371</v>
      </c>
      <c r="E4837" s="1" t="n">
        <v>46307</v>
      </c>
      <c r="F4837" t="inlineStr">
        <is>
          <t>VÄRMLANDS LÄN</t>
        </is>
      </c>
      <c r="G4837" t="inlineStr">
        <is>
          <t>TORSBY</t>
        </is>
      </c>
      <c r="I4837" t="n">
        <v>1.6</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32601-2023</t>
        </is>
      </c>
      <c r="B4838" t="inlineStr">
        <is>
          <t>avverkningsanmälan</t>
        </is>
      </c>
      <c r="C4838" t="inlineStr">
        <is>
          <t>Föryngringsavverkning</t>
        </is>
      </c>
      <c r="D4838" s="1" t="n">
        <v>45121</v>
      </c>
      <c r="E4838" s="1" t="n">
        <v>46307</v>
      </c>
      <c r="F4838" t="inlineStr">
        <is>
          <t>VÄRMLANDS LÄN</t>
        </is>
      </c>
      <c r="G4838" t="inlineStr">
        <is>
          <t>ARVIKA</t>
        </is>
      </c>
      <c r="I4838" t="n">
        <v>3.7</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21295-2023</t>
        </is>
      </c>
      <c r="B4839" t="inlineStr">
        <is>
          <t>avverkningsanmälan</t>
        </is>
      </c>
      <c r="C4839" t="inlineStr">
        <is>
          <t>Föryngringsavverkning</t>
        </is>
      </c>
      <c r="D4839" s="1" t="n">
        <v>45062</v>
      </c>
      <c r="E4839" s="1" t="n">
        <v>46307</v>
      </c>
      <c r="F4839" t="inlineStr">
        <is>
          <t>VÄRMLANDS LÄN</t>
        </is>
      </c>
      <c r="G4839" t="inlineStr">
        <is>
          <t>FORSHAGA</t>
        </is>
      </c>
      <c r="H4839" t="inlineStr">
        <is>
          <t>Bergvik skog väst AB</t>
        </is>
      </c>
      <c r="I4839" t="n">
        <v>0.3</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50225-2024</t>
        </is>
      </c>
      <c r="B4840" t="inlineStr">
        <is>
          <t>avverkningsanmälan</t>
        </is>
      </c>
      <c r="C4840" t="inlineStr">
        <is>
          <t>Föryngringsavverkning</t>
        </is>
      </c>
      <c r="D4840" s="1" t="n">
        <v>45600</v>
      </c>
      <c r="E4840" s="1" t="n">
        <v>46307</v>
      </c>
      <c r="F4840" t="inlineStr">
        <is>
          <t>VÄRMLANDS LÄN</t>
        </is>
      </c>
      <c r="G4840" t="inlineStr">
        <is>
          <t>EDA</t>
        </is>
      </c>
      <c r="I4840" t="n">
        <v>2</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38474-2024</t>
        </is>
      </c>
      <c r="B4841" t="inlineStr">
        <is>
          <t>avverkningsanmälan</t>
        </is>
      </c>
      <c r="C4841" t="inlineStr">
        <is>
          <t>Föryngringsavverkning</t>
        </is>
      </c>
      <c r="D4841" s="1" t="n">
        <v>45546</v>
      </c>
      <c r="E4841" s="1" t="n">
        <v>46307</v>
      </c>
      <c r="F4841" t="inlineStr">
        <is>
          <t>VÄRMLANDS LÄN</t>
        </is>
      </c>
      <c r="G4841" t="inlineStr">
        <is>
          <t>HAGFORS</t>
        </is>
      </c>
      <c r="I4841" t="n">
        <v>1.5</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41514-2024</t>
        </is>
      </c>
      <c r="B4842" t="inlineStr">
        <is>
          <t>avverkningsanmälan</t>
        </is>
      </c>
      <c r="C4842" t="inlineStr">
        <is>
          <t>Avverkning för annat ändamål</t>
        </is>
      </c>
      <c r="D4842" s="1" t="n">
        <v>45560</v>
      </c>
      <c r="E4842" s="1" t="n">
        <v>46307</v>
      </c>
      <c r="F4842" t="inlineStr">
        <is>
          <t>VÄRMLANDS LÄN</t>
        </is>
      </c>
      <c r="G4842" t="inlineStr">
        <is>
          <t>KARLSTAD</t>
        </is>
      </c>
      <c r="I4842" t="n">
        <v>1.3</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20244-2023</t>
        </is>
      </c>
      <c r="B4843" t="inlineStr">
        <is>
          <t>avverkningsanmälan</t>
        </is>
      </c>
      <c r="C4843" t="inlineStr">
        <is>
          <t>Föryngringsavverkning</t>
        </is>
      </c>
      <c r="D4843" s="1" t="n">
        <v>45055</v>
      </c>
      <c r="E4843" s="1" t="n">
        <v>46307</v>
      </c>
      <c r="F4843" t="inlineStr">
        <is>
          <t>VÄRMLANDS LÄN</t>
        </is>
      </c>
      <c r="G4843" t="inlineStr">
        <is>
          <t>FORSHAGA</t>
        </is>
      </c>
      <c r="I4843" t="n">
        <v>1.7</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5361-2022</t>
        </is>
      </c>
      <c r="B4844" t="inlineStr">
        <is>
          <t>avverkningsanmälan</t>
        </is>
      </c>
      <c r="C4844" t="inlineStr">
        <is>
          <t>Föryngringsavverkning</t>
        </is>
      </c>
      <c r="D4844" s="1" t="n">
        <v>44594</v>
      </c>
      <c r="E4844" s="1" t="n">
        <v>46307</v>
      </c>
      <c r="F4844" t="inlineStr">
        <is>
          <t>VÄRMLANDS LÄN</t>
        </is>
      </c>
      <c r="G4844" t="inlineStr">
        <is>
          <t>SUNNE</t>
        </is>
      </c>
      <c r="I4844" t="n">
        <v>3.2</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49220-2025</t>
        </is>
      </c>
      <c r="B4845" t="inlineStr">
        <is>
          <t>avverkningsanmälan</t>
        </is>
      </c>
      <c r="C4845" t="inlineStr">
        <is>
          <t>Föryngringsavverkning</t>
        </is>
      </c>
      <c r="D4845" s="1" t="n">
        <v>45938</v>
      </c>
      <c r="E4845" s="1" t="n">
        <v>46307</v>
      </c>
      <c r="F4845" t="inlineStr">
        <is>
          <t>VÄRMLANDS LÄN</t>
        </is>
      </c>
      <c r="G4845" t="inlineStr">
        <is>
          <t>HAGFORS</t>
        </is>
      </c>
      <c r="I4845" t="n">
        <v>8.300000000000001</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12442-2022</t>
        </is>
      </c>
      <c r="B4846" t="inlineStr">
        <is>
          <t>avverkningsanmälan</t>
        </is>
      </c>
      <c r="C4846" t="inlineStr">
        <is>
          <t>Föryngringsavverkning</t>
        </is>
      </c>
      <c r="D4846" s="1" t="n">
        <v>44638</v>
      </c>
      <c r="E4846" s="1" t="n">
        <v>46307</v>
      </c>
      <c r="F4846" t="inlineStr">
        <is>
          <t>VÄRMLANDS LÄN</t>
        </is>
      </c>
      <c r="G4846" t="inlineStr">
        <is>
          <t>SUNNE</t>
        </is>
      </c>
      <c r="I4846" t="n">
        <v>2.3</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26463-2025</t>
        </is>
      </c>
      <c r="B4847" t="inlineStr">
        <is>
          <t>avverkningsanmälan</t>
        </is>
      </c>
      <c r="C4847" t="inlineStr">
        <is>
          <t>Avverkning för att bevara och utveckla /försöksver</t>
        </is>
      </c>
      <c r="D4847" s="1" t="n">
        <v>45807</v>
      </c>
      <c r="E4847" s="1" t="n">
        <v>46307</v>
      </c>
      <c r="F4847" t="inlineStr">
        <is>
          <t>VÄRMLANDS LÄN</t>
        </is>
      </c>
      <c r="G4847" t="inlineStr">
        <is>
          <t>HAGFORS</t>
        </is>
      </c>
      <c r="H4847" t="inlineStr">
        <is>
          <t>Bergvik skog väst AB</t>
        </is>
      </c>
      <c r="I4847" t="n">
        <v>0.6</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54112-2023</t>
        </is>
      </c>
      <c r="B4848" t="inlineStr">
        <is>
          <t>avverkningsanmälan</t>
        </is>
      </c>
      <c r="C4848" t="inlineStr">
        <is>
          <t>Föryngringsavverkning</t>
        </is>
      </c>
      <c r="D4848" s="1" t="n">
        <v>45232</v>
      </c>
      <c r="E4848" s="1" t="n">
        <v>46307</v>
      </c>
      <c r="F4848" t="inlineStr">
        <is>
          <t>VÄRMLANDS LÄN</t>
        </is>
      </c>
      <c r="G4848" t="inlineStr">
        <is>
          <t>HAGFORS</t>
        </is>
      </c>
      <c r="I4848" t="n">
        <v>2.1</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26728-2025</t>
        </is>
      </c>
      <c r="B4849" t="inlineStr">
        <is>
          <t>avverkningsanmälan</t>
        </is>
      </c>
      <c r="C4849" t="inlineStr">
        <is>
          <t>Föryngringsavverkning</t>
        </is>
      </c>
      <c r="D4849" s="1" t="n">
        <v>45810</v>
      </c>
      <c r="E4849" s="1" t="n">
        <v>46307</v>
      </c>
      <c r="F4849" t="inlineStr">
        <is>
          <t>VÄRMLANDS LÄN</t>
        </is>
      </c>
      <c r="G4849" t="inlineStr">
        <is>
          <t>ÅRJÄNG</t>
        </is>
      </c>
      <c r="I4849" t="n">
        <v>1.4</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26843-2024</t>
        </is>
      </c>
      <c r="B4850" t="inlineStr">
        <is>
          <t>avverkningsanmälan</t>
        </is>
      </c>
      <c r="C4850" t="inlineStr">
        <is>
          <t>Föryngringsavverkning</t>
        </is>
      </c>
      <c r="D4850" s="1" t="n">
        <v>45470</v>
      </c>
      <c r="E4850" s="1" t="n">
        <v>46307</v>
      </c>
      <c r="F4850" t="inlineStr">
        <is>
          <t>VÄRMLANDS LÄN</t>
        </is>
      </c>
      <c r="G4850" t="inlineStr">
        <is>
          <t>FILIPSTAD</t>
        </is>
      </c>
      <c r="I4850" t="n">
        <v>3.8</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26876-2024</t>
        </is>
      </c>
      <c r="B4851" t="inlineStr">
        <is>
          <t>avverkningsanmälan</t>
        </is>
      </c>
      <c r="C4851" t="inlineStr">
        <is>
          <t>Föryngringsavverkning</t>
        </is>
      </c>
      <c r="D4851" s="1" t="n">
        <v>45470</v>
      </c>
      <c r="E4851" s="1" t="n">
        <v>46307</v>
      </c>
      <c r="F4851" t="inlineStr">
        <is>
          <t>VÄRMLANDS LÄN</t>
        </is>
      </c>
      <c r="G4851" t="inlineStr">
        <is>
          <t>TORSBY</t>
        </is>
      </c>
      <c r="I4851" t="n">
        <v>3.9</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56724-2023</t>
        </is>
      </c>
      <c r="B4852" t="inlineStr">
        <is>
          <t>avverkningsanmälan</t>
        </is>
      </c>
      <c r="C4852" t="inlineStr">
        <is>
          <t>Föryngringsavverkning</t>
        </is>
      </c>
      <c r="D4852" s="1" t="n">
        <v>45244</v>
      </c>
      <c r="E4852" s="1" t="n">
        <v>46307</v>
      </c>
      <c r="F4852" t="inlineStr">
        <is>
          <t>VÄRMLANDS LÄN</t>
        </is>
      </c>
      <c r="G4852" t="inlineStr">
        <is>
          <t>TORSBY</t>
        </is>
      </c>
      <c r="I4852" t="n">
        <v>1</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52383-2024</t>
        </is>
      </c>
      <c r="B4853" t="inlineStr">
        <is>
          <t>avverkningsanmälan</t>
        </is>
      </c>
      <c r="C4853" t="inlineStr">
        <is>
          <t>Föryngringsavverkning</t>
        </is>
      </c>
      <c r="D4853" s="1" t="n">
        <v>45608</v>
      </c>
      <c r="E4853" s="1" t="n">
        <v>46307</v>
      </c>
      <c r="F4853" t="inlineStr">
        <is>
          <t>VÄRMLANDS LÄN</t>
        </is>
      </c>
      <c r="G4853" t="inlineStr">
        <is>
          <t>HAGFORS</t>
        </is>
      </c>
      <c r="I4853" t="n">
        <v>2.7</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16755-2025</t>
        </is>
      </c>
      <c r="B4854" t="inlineStr">
        <is>
          <t>avverkningsanmälan</t>
        </is>
      </c>
      <c r="C4854" t="inlineStr">
        <is>
          <t>Föryngringsavverkning</t>
        </is>
      </c>
      <c r="D4854" s="1" t="n">
        <v>45754</v>
      </c>
      <c r="E4854" s="1" t="n">
        <v>46307</v>
      </c>
      <c r="F4854" t="inlineStr">
        <is>
          <t>VÄRMLANDS LÄN</t>
        </is>
      </c>
      <c r="G4854" t="inlineStr">
        <is>
          <t>HAGFORS</t>
        </is>
      </c>
      <c r="H4854" t="inlineStr">
        <is>
          <t>Bergvik skog väst AB</t>
        </is>
      </c>
      <c r="I4854" t="n">
        <v>7.7</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32627-2023</t>
        </is>
      </c>
      <c r="B4855" t="inlineStr">
        <is>
          <t>avverkningsanmälan</t>
        </is>
      </c>
      <c r="C4855" t="inlineStr">
        <is>
          <t>Föryngringsavverkning</t>
        </is>
      </c>
      <c r="D4855" s="1" t="n">
        <v>45121</v>
      </c>
      <c r="E4855" s="1" t="n">
        <v>46307</v>
      </c>
      <c r="F4855" t="inlineStr">
        <is>
          <t>VÄRMLANDS LÄN</t>
        </is>
      </c>
      <c r="G4855" t="inlineStr">
        <is>
          <t>HAGFORS</t>
        </is>
      </c>
      <c r="I4855" t="n">
        <v>0.5</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20847-2023</t>
        </is>
      </c>
      <c r="B4856" t="inlineStr">
        <is>
          <t>avverkningsanmälan</t>
        </is>
      </c>
      <c r="C4856" t="inlineStr">
        <is>
          <t>Föryngringsavverkning</t>
        </is>
      </c>
      <c r="D4856" s="1" t="n">
        <v>45056</v>
      </c>
      <c r="E4856" s="1" t="n">
        <v>46307</v>
      </c>
      <c r="F4856" t="inlineStr">
        <is>
          <t>VÄRMLANDS LÄN</t>
        </is>
      </c>
      <c r="G4856" t="inlineStr">
        <is>
          <t>TORSBY</t>
        </is>
      </c>
      <c r="I4856" t="n">
        <v>13.9</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49913-2024</t>
        </is>
      </c>
      <c r="B4857" t="inlineStr">
        <is>
          <t>avverkningsanmälan</t>
        </is>
      </c>
      <c r="C4857" t="inlineStr">
        <is>
          <t>Föryngringsavverkning</t>
        </is>
      </c>
      <c r="D4857" s="1" t="n">
        <v>45597</v>
      </c>
      <c r="E4857" s="1" t="n">
        <v>46307</v>
      </c>
      <c r="F4857" t="inlineStr">
        <is>
          <t>VÄRMLANDS LÄN</t>
        </is>
      </c>
      <c r="G4857" t="inlineStr">
        <is>
          <t>ARVIKA</t>
        </is>
      </c>
      <c r="I4857" t="n">
        <v>3.1</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9763-2025</t>
        </is>
      </c>
      <c r="B4858" t="inlineStr">
        <is>
          <t>avverkningsanmälan</t>
        </is>
      </c>
      <c r="C4858" t="inlineStr">
        <is>
          <t>Föryngringsavverkning</t>
        </is>
      </c>
      <c r="D4858" s="1" t="n">
        <v>45716</v>
      </c>
      <c r="E4858" s="1" t="n">
        <v>46307</v>
      </c>
      <c r="F4858" t="inlineStr">
        <is>
          <t>VÄRMLANDS LÄN</t>
        </is>
      </c>
      <c r="G4858" t="inlineStr">
        <is>
          <t>HAGFORS</t>
        </is>
      </c>
      <c r="I4858" t="n">
        <v>2</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5017-2022</t>
        </is>
      </c>
      <c r="B4859" t="inlineStr">
        <is>
          <t>avverkningsanmälan</t>
        </is>
      </c>
      <c r="C4859" t="inlineStr">
        <is>
          <t>Föryngringsavverkning</t>
        </is>
      </c>
      <c r="D4859" s="1" t="n">
        <v>44593</v>
      </c>
      <c r="E4859" s="1" t="n">
        <v>46307</v>
      </c>
      <c r="F4859" t="inlineStr">
        <is>
          <t>VÄRMLANDS LÄN</t>
        </is>
      </c>
      <c r="G4859" t="inlineStr">
        <is>
          <t>KARLSTAD</t>
        </is>
      </c>
      <c r="I4859" t="n">
        <v>0.6</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37139-2022</t>
        </is>
      </c>
      <c r="B4860" t="inlineStr">
        <is>
          <t>avverkningsanmälan</t>
        </is>
      </c>
      <c r="C4860" t="inlineStr">
        <is>
          <t>Föryngringsavverkning</t>
        </is>
      </c>
      <c r="D4860" s="1" t="n">
        <v>44806</v>
      </c>
      <c r="E4860" s="1" t="n">
        <v>46307</v>
      </c>
      <c r="F4860" t="inlineStr">
        <is>
          <t>VÄRMLANDS LÄN</t>
        </is>
      </c>
      <c r="G4860" t="inlineStr">
        <is>
          <t>ARVIKA</t>
        </is>
      </c>
      <c r="I4860" t="n">
        <v>1.7</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22566-2025</t>
        </is>
      </c>
      <c r="B4861" t="inlineStr">
        <is>
          <t>avverkningsanmälan</t>
        </is>
      </c>
      <c r="C4861" t="inlineStr">
        <is>
          <t>Föryngringsavverkning</t>
        </is>
      </c>
      <c r="D4861" s="1" t="n">
        <v>45789</v>
      </c>
      <c r="E4861" s="1" t="n">
        <v>46307</v>
      </c>
      <c r="F4861" t="inlineStr">
        <is>
          <t>VÄRMLANDS LÄN</t>
        </is>
      </c>
      <c r="G4861" t="inlineStr">
        <is>
          <t>KIL</t>
        </is>
      </c>
      <c r="I4861" t="n">
        <v>1.2</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25005-2023</t>
        </is>
      </c>
      <c r="B4862" t="inlineStr">
        <is>
          <t>avverkningsanmälan</t>
        </is>
      </c>
      <c r="C4862" t="inlineStr">
        <is>
          <t>Föryngringsavverkning</t>
        </is>
      </c>
      <c r="D4862" s="1" t="n">
        <v>45085</v>
      </c>
      <c r="E4862" s="1" t="n">
        <v>46307</v>
      </c>
      <c r="F4862" t="inlineStr">
        <is>
          <t>VÄRMLANDS LÄN</t>
        </is>
      </c>
      <c r="G4862" t="inlineStr">
        <is>
          <t>SUNNE</t>
        </is>
      </c>
      <c r="I4862" t="n">
        <v>3.2</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19072-2025</t>
        </is>
      </c>
      <c r="B4863" t="inlineStr">
        <is>
          <t>avverkningsanmälan</t>
        </is>
      </c>
      <c r="C4863" t="inlineStr">
        <is>
          <t>Föryngringsavverkning</t>
        </is>
      </c>
      <c r="D4863" s="1" t="n">
        <v>45765</v>
      </c>
      <c r="E4863" s="1" t="n">
        <v>46307</v>
      </c>
      <c r="F4863" t="inlineStr">
        <is>
          <t>VÄRMLANDS LÄN</t>
        </is>
      </c>
      <c r="G4863" t="inlineStr">
        <is>
          <t>HAGFORS</t>
        </is>
      </c>
      <c r="I4863" t="n">
        <v>1.7</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52924-2023</t>
        </is>
      </c>
      <c r="B4864" t="inlineStr">
        <is>
          <t>avverkningsanmälan</t>
        </is>
      </c>
      <c r="C4864" t="inlineStr">
        <is>
          <t>Föryngringsavverkning</t>
        </is>
      </c>
      <c r="D4864" s="1" t="n">
        <v>45226</v>
      </c>
      <c r="E4864" s="1" t="n">
        <v>46307</v>
      </c>
      <c r="F4864" t="inlineStr">
        <is>
          <t>VÄRMLANDS LÄN</t>
        </is>
      </c>
      <c r="G4864" t="inlineStr">
        <is>
          <t>HAGFORS</t>
        </is>
      </c>
      <c r="H4864" t="inlineStr">
        <is>
          <t>Bergvik skog väst AB</t>
        </is>
      </c>
      <c r="I4864" t="n">
        <v>1.8</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21188-2023</t>
        </is>
      </c>
      <c r="B4865" t="inlineStr">
        <is>
          <t>avverkningsanmälan</t>
        </is>
      </c>
      <c r="C4865" t="inlineStr">
        <is>
          <t>Föryngringsavverkning</t>
        </is>
      </c>
      <c r="D4865" s="1" t="n">
        <v>45057</v>
      </c>
      <c r="E4865" s="1" t="n">
        <v>46307</v>
      </c>
      <c r="F4865" t="inlineStr">
        <is>
          <t>VÄRMLANDS LÄN</t>
        </is>
      </c>
      <c r="G4865" t="inlineStr">
        <is>
          <t>ARVIKA</t>
        </is>
      </c>
      <c r="I4865" t="n">
        <v>9.699999999999999</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13094-2024</t>
        </is>
      </c>
      <c r="B4866" t="inlineStr">
        <is>
          <t>avverkningsanmälan</t>
        </is>
      </c>
      <c r="C4866" t="inlineStr">
        <is>
          <t>Föryngringsavverkning</t>
        </is>
      </c>
      <c r="D4866" s="1" t="n">
        <v>45385</v>
      </c>
      <c r="E4866" s="1" t="n">
        <v>46307</v>
      </c>
      <c r="F4866" t="inlineStr">
        <is>
          <t>VÄRMLANDS LÄN</t>
        </is>
      </c>
      <c r="G4866" t="inlineStr">
        <is>
          <t>HAGFORS</t>
        </is>
      </c>
      <c r="I4866" t="n">
        <v>0.6</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26875-2025</t>
        </is>
      </c>
      <c r="B4867" t="inlineStr">
        <is>
          <t>avverkningsanmälan</t>
        </is>
      </c>
      <c r="C4867" t="inlineStr">
        <is>
          <t>Föryngringsavverkning</t>
        </is>
      </c>
      <c r="D4867" s="1" t="n">
        <v>45809</v>
      </c>
      <c r="E4867" s="1" t="n">
        <v>46307</v>
      </c>
      <c r="F4867" t="inlineStr">
        <is>
          <t>VÄRMLANDS LÄN</t>
        </is>
      </c>
      <c r="G4867" t="inlineStr">
        <is>
          <t>SUNNE</t>
        </is>
      </c>
      <c r="I4867" t="n">
        <v>8</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60975-2022</t>
        </is>
      </c>
      <c r="B4868" t="inlineStr">
        <is>
          <t>avverkningsanmälan</t>
        </is>
      </c>
      <c r="C4868" t="inlineStr">
        <is>
          <t>Föryngringsavverkning</t>
        </is>
      </c>
      <c r="D4868" s="1" t="n">
        <v>44914</v>
      </c>
      <c r="E4868" s="1" t="n">
        <v>46307</v>
      </c>
      <c r="F4868" t="inlineStr">
        <is>
          <t>VÄRMLANDS LÄN</t>
        </is>
      </c>
      <c r="G4868" t="inlineStr">
        <is>
          <t>ÅRJÄNG</t>
        </is>
      </c>
      <c r="I4868" t="n">
        <v>1.3</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8922-2025</t>
        </is>
      </c>
      <c r="B4869" t="inlineStr">
        <is>
          <t>avverkningsanmälan</t>
        </is>
      </c>
      <c r="C4869" t="inlineStr">
        <is>
          <t>Föryngringsavverkning</t>
        </is>
      </c>
      <c r="D4869" s="1" t="n">
        <v>45713</v>
      </c>
      <c r="E4869" s="1" t="n">
        <v>46307</v>
      </c>
      <c r="F4869" t="inlineStr">
        <is>
          <t>VÄRMLANDS LÄN</t>
        </is>
      </c>
      <c r="G4869" t="inlineStr">
        <is>
          <t>HAGFORS</t>
        </is>
      </c>
      <c r="H4869" t="inlineStr">
        <is>
          <t>Bergvik skog väst AB</t>
        </is>
      </c>
      <c r="I4869" t="n">
        <v>1.5</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39156-2024</t>
        </is>
      </c>
      <c r="B4870" t="inlineStr">
        <is>
          <t>avverkningsanmälan</t>
        </is>
      </c>
      <c r="C4870" t="inlineStr">
        <is>
          <t>Föryngringsavverkning</t>
        </is>
      </c>
      <c r="D4870" s="1" t="n">
        <v>45548</v>
      </c>
      <c r="E4870" s="1" t="n">
        <v>46307</v>
      </c>
      <c r="F4870" t="inlineStr">
        <is>
          <t>VÄRMLANDS LÄN</t>
        </is>
      </c>
      <c r="G4870" t="inlineStr">
        <is>
          <t>ÅRJÄNG</t>
        </is>
      </c>
      <c r="I4870" t="n">
        <v>0.8</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11700-2022</t>
        </is>
      </c>
      <c r="B4871" t="inlineStr">
        <is>
          <t>avverkningsanmälan</t>
        </is>
      </c>
      <c r="C4871" t="inlineStr">
        <is>
          <t>Föryngringsavverkning</t>
        </is>
      </c>
      <c r="D4871" s="1" t="n">
        <v>44634</v>
      </c>
      <c r="E4871" s="1" t="n">
        <v>46307</v>
      </c>
      <c r="F4871" t="inlineStr">
        <is>
          <t>VÄRMLANDS LÄN</t>
        </is>
      </c>
      <c r="G4871" t="inlineStr">
        <is>
          <t>KARLSTAD</t>
        </is>
      </c>
      <c r="I4871" t="n">
        <v>3.4</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26479-2025</t>
        </is>
      </c>
      <c r="B4872" t="inlineStr">
        <is>
          <t>avverkningsanmälan</t>
        </is>
      </c>
      <c r="C4872" t="inlineStr">
        <is>
          <t>Föryngringsavverkning</t>
        </is>
      </c>
      <c r="D4872" s="1" t="n">
        <v>45807</v>
      </c>
      <c r="E4872" s="1" t="n">
        <v>46307</v>
      </c>
      <c r="F4872" t="inlineStr">
        <is>
          <t>VÄRMLANDS LÄN</t>
        </is>
      </c>
      <c r="G4872" t="inlineStr">
        <is>
          <t>TORSBY</t>
        </is>
      </c>
      <c r="I4872" t="n">
        <v>1.5</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26491-2025</t>
        </is>
      </c>
      <c r="B4873" t="inlineStr">
        <is>
          <t>avverkningsanmälan</t>
        </is>
      </c>
      <c r="C4873" t="inlineStr">
        <is>
          <t>Föryngringsavverkning</t>
        </is>
      </c>
      <c r="D4873" s="1" t="n">
        <v>45807</v>
      </c>
      <c r="E4873" s="1" t="n">
        <v>46307</v>
      </c>
      <c r="F4873" t="inlineStr">
        <is>
          <t>VÄRMLANDS LÄN</t>
        </is>
      </c>
      <c r="G4873" t="inlineStr">
        <is>
          <t>TORSBY</t>
        </is>
      </c>
      <c r="I4873" t="n">
        <v>5.3</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26507-2025</t>
        </is>
      </c>
      <c r="B4874" t="inlineStr">
        <is>
          <t>avverkningsanmälan</t>
        </is>
      </c>
      <c r="C4874" t="inlineStr">
        <is>
          <t>Föryngringsavverkning</t>
        </is>
      </c>
      <c r="D4874" s="1" t="n">
        <v>45807</v>
      </c>
      <c r="E4874" s="1" t="n">
        <v>46307</v>
      </c>
      <c r="F4874" t="inlineStr">
        <is>
          <t>VÄRMLANDS LÄN</t>
        </is>
      </c>
      <c r="G4874" t="inlineStr">
        <is>
          <t>TORSBY</t>
        </is>
      </c>
      <c r="I4874" t="n">
        <v>2</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54836-2023</t>
        </is>
      </c>
      <c r="B4875" t="inlineStr">
        <is>
          <t>avverkningsanmälan</t>
        </is>
      </c>
      <c r="C4875" t="inlineStr">
        <is>
          <t>Föryngringsavverkning</t>
        </is>
      </c>
      <c r="D4875" s="1" t="n">
        <v>45229</v>
      </c>
      <c r="E4875" s="1" t="n">
        <v>46307</v>
      </c>
      <c r="F4875" t="inlineStr">
        <is>
          <t>VÄRMLANDS LÄN</t>
        </is>
      </c>
      <c r="G4875" t="inlineStr">
        <is>
          <t>FILIPSTAD</t>
        </is>
      </c>
      <c r="I4875" t="n">
        <v>1.2</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26623-2025</t>
        </is>
      </c>
      <c r="B4876" t="inlineStr">
        <is>
          <t>avverkningsanmälan</t>
        </is>
      </c>
      <c r="C4876" t="inlineStr">
        <is>
          <t>Föryngringsavverkning</t>
        </is>
      </c>
      <c r="D4876" s="1" t="n">
        <v>45810</v>
      </c>
      <c r="E4876" s="1" t="n">
        <v>46307</v>
      </c>
      <c r="F4876" t="inlineStr">
        <is>
          <t>VÄRMLANDS LÄN</t>
        </is>
      </c>
      <c r="G4876" t="inlineStr">
        <is>
          <t>KRISTINEHAMN</t>
        </is>
      </c>
      <c r="I4876" t="n">
        <v>1</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24789-2024</t>
        </is>
      </c>
      <c r="B4877" t="inlineStr">
        <is>
          <t>avverkningsanmälan</t>
        </is>
      </c>
      <c r="C4877" t="inlineStr">
        <is>
          <t>Föryngringsavverkning</t>
        </is>
      </c>
      <c r="D4877" s="1" t="n">
        <v>45460</v>
      </c>
      <c r="E4877" s="1" t="n">
        <v>46307</v>
      </c>
      <c r="F4877" t="inlineStr">
        <is>
          <t>VÄRMLANDS LÄN</t>
        </is>
      </c>
      <c r="G4877" t="inlineStr">
        <is>
          <t>ÅRJÄNG</t>
        </is>
      </c>
      <c r="I4877" t="n">
        <v>1.7</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2173-2025</t>
        </is>
      </c>
      <c r="B4878" t="inlineStr">
        <is>
          <t>avverkningsanmälan</t>
        </is>
      </c>
      <c r="C4878" t="inlineStr">
        <is>
          <t>Föryngringsavverkning</t>
        </is>
      </c>
      <c r="D4878" s="1" t="n">
        <v>45673</v>
      </c>
      <c r="E4878" s="1" t="n">
        <v>46307</v>
      </c>
      <c r="F4878" t="inlineStr">
        <is>
          <t>VÄRMLANDS LÄN</t>
        </is>
      </c>
      <c r="G4878" t="inlineStr">
        <is>
          <t>SUNNE</t>
        </is>
      </c>
      <c r="I4878" t="n">
        <v>3.7</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26876-2025</t>
        </is>
      </c>
      <c r="B4879" t="inlineStr">
        <is>
          <t>avverkningsanmälan</t>
        </is>
      </c>
      <c r="C4879" t="inlineStr">
        <is>
          <t>Föryngringsavverkning</t>
        </is>
      </c>
      <c r="D4879" s="1" t="n">
        <v>45809</v>
      </c>
      <c r="E4879" s="1" t="n">
        <v>46307</v>
      </c>
      <c r="F4879" t="inlineStr">
        <is>
          <t>VÄRMLANDS LÄN</t>
        </is>
      </c>
      <c r="G4879" t="inlineStr">
        <is>
          <t>SUNNE</t>
        </is>
      </c>
      <c r="I4879" t="n">
        <v>2.9</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37422-2023</t>
        </is>
      </c>
      <c r="B4880" t="inlineStr">
        <is>
          <t>avverkningsanmälan</t>
        </is>
      </c>
      <c r="C4880" t="inlineStr">
        <is>
          <t>Föryngringsavverkning</t>
        </is>
      </c>
      <c r="D4880" s="1" t="n">
        <v>45156</v>
      </c>
      <c r="E4880" s="1" t="n">
        <v>46307</v>
      </c>
      <c r="F4880" t="inlineStr">
        <is>
          <t>VÄRMLANDS LÄN</t>
        </is>
      </c>
      <c r="G4880" t="inlineStr">
        <is>
          <t>SÄFFLE</t>
        </is>
      </c>
      <c r="I4880" t="n">
        <v>0.8</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14649-2024</t>
        </is>
      </c>
      <c r="B4881" t="inlineStr">
        <is>
          <t>avverkningsanmälan</t>
        </is>
      </c>
      <c r="C4881" t="inlineStr">
        <is>
          <t>Föryngringsavverkning</t>
        </is>
      </c>
      <c r="D4881" s="1" t="n">
        <v>45397</v>
      </c>
      <c r="E4881" s="1" t="n">
        <v>46307</v>
      </c>
      <c r="F4881" t="inlineStr">
        <is>
          <t>VÄRMLANDS LÄN</t>
        </is>
      </c>
      <c r="G4881" t="inlineStr">
        <is>
          <t>SÄFFLE</t>
        </is>
      </c>
      <c r="I4881" t="n">
        <v>4.4</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43144-2024</t>
        </is>
      </c>
      <c r="B4882" t="inlineStr">
        <is>
          <t>avverkningsanmälan</t>
        </is>
      </c>
      <c r="C4882" t="inlineStr">
        <is>
          <t>Föryngringsavverkning</t>
        </is>
      </c>
      <c r="D4882" s="1" t="n">
        <v>45567</v>
      </c>
      <c r="E4882" s="1" t="n">
        <v>46307</v>
      </c>
      <c r="F4882" t="inlineStr">
        <is>
          <t>VÄRMLANDS LÄN</t>
        </is>
      </c>
      <c r="G4882" t="inlineStr">
        <is>
          <t>TORSBY</t>
        </is>
      </c>
      <c r="I4882" t="n">
        <v>2.3</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12239-2024</t>
        </is>
      </c>
      <c r="B4883" t="inlineStr">
        <is>
          <t>avverkningsanmälan</t>
        </is>
      </c>
      <c r="C4883" t="inlineStr">
        <is>
          <t>Föryngringsavverkning</t>
        </is>
      </c>
      <c r="D4883" s="1" t="n">
        <v>45378</v>
      </c>
      <c r="E4883" s="1" t="n">
        <v>46307</v>
      </c>
      <c r="F4883" t="inlineStr">
        <is>
          <t>VÄRMLANDS LÄN</t>
        </is>
      </c>
      <c r="G4883" t="inlineStr">
        <is>
          <t>EDA</t>
        </is>
      </c>
      <c r="I4883" t="n">
        <v>1.5</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45591-2023</t>
        </is>
      </c>
      <c r="B4884" t="inlineStr">
        <is>
          <t>avverkningsanmälan</t>
        </is>
      </c>
      <c r="C4884" t="inlineStr">
        <is>
          <t>Föryngringsavverkning</t>
        </is>
      </c>
      <c r="D4884" s="1" t="n">
        <v>45194</v>
      </c>
      <c r="E4884" s="1" t="n">
        <v>46307</v>
      </c>
      <c r="F4884" t="inlineStr">
        <is>
          <t>VÄRMLANDS LÄN</t>
        </is>
      </c>
      <c r="G4884" t="inlineStr">
        <is>
          <t>KIL</t>
        </is>
      </c>
      <c r="I4884" t="n">
        <v>11</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30218-2024</t>
        </is>
      </c>
      <c r="B4885" t="inlineStr">
        <is>
          <t>avverkningsanmälan</t>
        </is>
      </c>
      <c r="C4885" t="inlineStr">
        <is>
          <t>Avverkning för annat ändamål</t>
        </is>
      </c>
      <c r="D4885" s="1" t="n">
        <v>45490</v>
      </c>
      <c r="E4885" s="1" t="n">
        <v>46307</v>
      </c>
      <c r="F4885" t="inlineStr">
        <is>
          <t>VÄRMLANDS LÄN</t>
        </is>
      </c>
      <c r="G4885" t="inlineStr">
        <is>
          <t>SUNNE</t>
        </is>
      </c>
      <c r="H4885" t="inlineStr">
        <is>
          <t>Bergvik skog väst AB</t>
        </is>
      </c>
      <c r="I4885" t="n">
        <v>1.1</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51851-2023</t>
        </is>
      </c>
      <c r="B4886" t="inlineStr">
        <is>
          <t>avverkningsanmälan</t>
        </is>
      </c>
      <c r="C4886" t="inlineStr">
        <is>
          <t>Föryngringsavverkning</t>
        </is>
      </c>
      <c r="D4886" s="1" t="n">
        <v>45223</v>
      </c>
      <c r="E4886" s="1" t="n">
        <v>46307</v>
      </c>
      <c r="F4886" t="inlineStr">
        <is>
          <t>VÄRMLANDS LÄN</t>
        </is>
      </c>
      <c r="G4886" t="inlineStr">
        <is>
          <t>SUNNE</t>
        </is>
      </c>
      <c r="I4886" t="n">
        <v>0.6</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24087-2024</t>
        </is>
      </c>
      <c r="B4887" t="inlineStr">
        <is>
          <t>avverkningsanmälan</t>
        </is>
      </c>
      <c r="C4887" t="inlineStr">
        <is>
          <t>Avverkning för annat ändamål</t>
        </is>
      </c>
      <c r="D4887" s="1" t="n">
        <v>45456</v>
      </c>
      <c r="E4887" s="1" t="n">
        <v>46307</v>
      </c>
      <c r="F4887" t="inlineStr">
        <is>
          <t>VÄRMLANDS LÄN</t>
        </is>
      </c>
      <c r="G4887" t="inlineStr">
        <is>
          <t>TORSBY</t>
        </is>
      </c>
      <c r="I4887" t="n">
        <v>1.8</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16033-2024</t>
        </is>
      </c>
      <c r="B4888" t="inlineStr">
        <is>
          <t>avverkningsanmälan</t>
        </is>
      </c>
      <c r="C4888" t="inlineStr">
        <is>
          <t>Föryngringsavverkning</t>
        </is>
      </c>
      <c r="D4888" s="1" t="n">
        <v>45405</v>
      </c>
      <c r="E4888" s="1" t="n">
        <v>46307</v>
      </c>
      <c r="F4888" t="inlineStr">
        <is>
          <t>VÄRMLANDS LÄN</t>
        </is>
      </c>
      <c r="G4888" t="inlineStr">
        <is>
          <t>KARLSTAD</t>
        </is>
      </c>
      <c r="I4888" t="n">
        <v>1.5</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55432-2024</t>
        </is>
      </c>
      <c r="B4889" t="inlineStr">
        <is>
          <t>avverkningsanmälan</t>
        </is>
      </c>
      <c r="C4889" t="inlineStr">
        <is>
          <t>Föryngringsavverkning</t>
        </is>
      </c>
      <c r="D4889" s="1" t="n">
        <v>45622</v>
      </c>
      <c r="E4889" s="1" t="n">
        <v>46307</v>
      </c>
      <c r="F4889" t="inlineStr">
        <is>
          <t>VÄRMLANDS LÄN</t>
        </is>
      </c>
      <c r="G4889" t="inlineStr">
        <is>
          <t>ÅRJÄNG</t>
        </is>
      </c>
      <c r="I4889" t="n">
        <v>6.9</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25956-2025</t>
        </is>
      </c>
      <c r="B4890" t="inlineStr">
        <is>
          <t>avverkningsanmälan</t>
        </is>
      </c>
      <c r="C4890" t="inlineStr">
        <is>
          <t>Föryngringsavverkning</t>
        </is>
      </c>
      <c r="D4890" s="1" t="n">
        <v>45804</v>
      </c>
      <c r="E4890" s="1" t="n">
        <v>46307</v>
      </c>
      <c r="F4890" t="inlineStr">
        <is>
          <t>VÄRMLANDS LÄN</t>
        </is>
      </c>
      <c r="G4890" t="inlineStr">
        <is>
          <t>TORSBY</t>
        </is>
      </c>
      <c r="I4890" t="n">
        <v>3.6</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59755-2023</t>
        </is>
      </c>
      <c r="B4891" t="inlineStr">
        <is>
          <t>avverkningsanmälan</t>
        </is>
      </c>
      <c r="C4891" t="inlineStr">
        <is>
          <t>Föryngringsavverkning</t>
        </is>
      </c>
      <c r="D4891" s="1" t="n">
        <v>45257</v>
      </c>
      <c r="E4891" s="1" t="n">
        <v>46307</v>
      </c>
      <c r="F4891" t="inlineStr">
        <is>
          <t>VÄRMLANDS LÄN</t>
        </is>
      </c>
      <c r="G4891" t="inlineStr">
        <is>
          <t>ARVIKA</t>
        </is>
      </c>
      <c r="I4891" t="n">
        <v>3.1</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49237-2025</t>
        </is>
      </c>
      <c r="B4892" t="inlineStr">
        <is>
          <t>avverkningsanmälan</t>
        </is>
      </c>
      <c r="C4892" t="inlineStr">
        <is>
          <t>Avverkning för annat ändamål</t>
        </is>
      </c>
      <c r="D4892" s="1" t="n">
        <v>45938</v>
      </c>
      <c r="E4892" s="1" t="n">
        <v>46307</v>
      </c>
      <c r="F4892" t="inlineStr">
        <is>
          <t>VÄRMLANDS LÄN</t>
        </is>
      </c>
      <c r="G4892" t="inlineStr">
        <is>
          <t>TORSBY</t>
        </is>
      </c>
      <c r="H4892" t="inlineStr">
        <is>
          <t>Bergvik skog väst AB</t>
        </is>
      </c>
      <c r="I4892" t="n">
        <v>2.1</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49250-2025</t>
        </is>
      </c>
      <c r="B4893" t="inlineStr">
        <is>
          <t>avverkningsanmälan</t>
        </is>
      </c>
      <c r="C4893" t="inlineStr">
        <is>
          <t>Föryngringsavverkning</t>
        </is>
      </c>
      <c r="D4893" s="1" t="n">
        <v>45938</v>
      </c>
      <c r="E4893" s="1" t="n">
        <v>46307</v>
      </c>
      <c r="F4893" t="inlineStr">
        <is>
          <t>VÄRMLANDS LÄN</t>
        </is>
      </c>
      <c r="G4893" t="inlineStr">
        <is>
          <t>TORSBY</t>
        </is>
      </c>
      <c r="I4893" t="n">
        <v>0.9</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26617-2025</t>
        </is>
      </c>
      <c r="B4894" t="inlineStr">
        <is>
          <t>avverkningsanmälan</t>
        </is>
      </c>
      <c r="C4894" t="inlineStr">
        <is>
          <t>Avverkning för annat ändamål</t>
        </is>
      </c>
      <c r="D4894" s="1" t="n">
        <v>45810</v>
      </c>
      <c r="E4894" s="1" t="n">
        <v>46307</v>
      </c>
      <c r="F4894" t="inlineStr">
        <is>
          <t>VÄRMLANDS LÄN</t>
        </is>
      </c>
      <c r="G4894" t="inlineStr">
        <is>
          <t>HAGFORS</t>
        </is>
      </c>
      <c r="H4894" t="inlineStr">
        <is>
          <t>Bergvik skog väst AB</t>
        </is>
      </c>
      <c r="I4894" t="n">
        <v>0.6</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49604-2023</t>
        </is>
      </c>
      <c r="B4895" t="inlineStr">
        <is>
          <t>avverkningsanmälan</t>
        </is>
      </c>
      <c r="C4895" t="inlineStr">
        <is>
          <t>Föryngringsavverkning</t>
        </is>
      </c>
      <c r="D4895" s="1" t="n">
        <v>45207</v>
      </c>
      <c r="E4895" s="1" t="n">
        <v>46307</v>
      </c>
      <c r="F4895" t="inlineStr">
        <is>
          <t>VÄRMLANDS LÄN</t>
        </is>
      </c>
      <c r="G4895" t="inlineStr">
        <is>
          <t>KIL</t>
        </is>
      </c>
      <c r="I4895" t="n">
        <v>0.8</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62947-2023</t>
        </is>
      </c>
      <c r="B4896" t="inlineStr">
        <is>
          <t>avverkningsanmälan</t>
        </is>
      </c>
      <c r="C4896" t="inlineStr">
        <is>
          <t>Föryngringsavverkning</t>
        </is>
      </c>
      <c r="D4896" s="1" t="n">
        <v>45272</v>
      </c>
      <c r="E4896" s="1" t="n">
        <v>46307</v>
      </c>
      <c r="F4896" t="inlineStr">
        <is>
          <t>VÄRMLANDS LÄN</t>
        </is>
      </c>
      <c r="G4896" t="inlineStr">
        <is>
          <t>GRUMS</t>
        </is>
      </c>
      <c r="I4896" t="n">
        <v>1.7</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51265-2024</t>
        </is>
      </c>
      <c r="B4897" t="inlineStr">
        <is>
          <t>avverkningsanmälan</t>
        </is>
      </c>
      <c r="C4897" t="inlineStr">
        <is>
          <t>Föryngringsavverkning</t>
        </is>
      </c>
      <c r="D4897" s="1" t="n">
        <v>45602</v>
      </c>
      <c r="E4897" s="1" t="n">
        <v>46307</v>
      </c>
      <c r="F4897" t="inlineStr">
        <is>
          <t>VÄRMLANDS LÄN</t>
        </is>
      </c>
      <c r="G4897" t="inlineStr">
        <is>
          <t>ÅRJÄNG</t>
        </is>
      </c>
      <c r="I4897" t="n">
        <v>2.5</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4865-2024</t>
        </is>
      </c>
      <c r="B4898" t="inlineStr">
        <is>
          <t>avverkningsanmälan</t>
        </is>
      </c>
      <c r="C4898" t="inlineStr">
        <is>
          <t>Föryngringsavverkning</t>
        </is>
      </c>
      <c r="D4898" s="1" t="n">
        <v>45329</v>
      </c>
      <c r="E4898" s="1" t="n">
        <v>46307</v>
      </c>
      <c r="F4898" t="inlineStr">
        <is>
          <t>VÄRMLANDS LÄN</t>
        </is>
      </c>
      <c r="G4898" t="inlineStr">
        <is>
          <t>ÅRJÄNG</t>
        </is>
      </c>
      <c r="I4898" t="n">
        <v>0.8</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22347-2023</t>
        </is>
      </c>
      <c r="B4899" t="inlineStr">
        <is>
          <t>avverkningsanmälan</t>
        </is>
      </c>
      <c r="C4899" t="inlineStr">
        <is>
          <t>Föryngringsavverkning</t>
        </is>
      </c>
      <c r="D4899" s="1" t="n">
        <v>45070</v>
      </c>
      <c r="E4899" s="1" t="n">
        <v>46307</v>
      </c>
      <c r="F4899" t="inlineStr">
        <is>
          <t>VÄRMLANDS LÄN</t>
        </is>
      </c>
      <c r="G4899" t="inlineStr">
        <is>
          <t>GRUMS</t>
        </is>
      </c>
      <c r="I4899" t="n">
        <v>1.7</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39998-2023</t>
        </is>
      </c>
      <c r="B4900" t="inlineStr">
        <is>
          <t>avverkningsanmälan</t>
        </is>
      </c>
      <c r="C4900" t="inlineStr">
        <is>
          <t>Föryngringsavverkning</t>
        </is>
      </c>
      <c r="D4900" s="1" t="n">
        <v>45168</v>
      </c>
      <c r="E4900" s="1" t="n">
        <v>46307</v>
      </c>
      <c r="F4900" t="inlineStr">
        <is>
          <t>VÄRMLANDS LÄN</t>
        </is>
      </c>
      <c r="G4900" t="inlineStr">
        <is>
          <t>STORFORS</t>
        </is>
      </c>
      <c r="I4900" t="n">
        <v>4.2</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40028-2023</t>
        </is>
      </c>
      <c r="B4901" t="inlineStr">
        <is>
          <t>avverkningsanmälan</t>
        </is>
      </c>
      <c r="C4901" t="inlineStr">
        <is>
          <t>Föryngringsavverkning</t>
        </is>
      </c>
      <c r="D4901" s="1" t="n">
        <v>45168</v>
      </c>
      <c r="E4901" s="1" t="n">
        <v>46307</v>
      </c>
      <c r="F4901" t="inlineStr">
        <is>
          <t>VÄRMLANDS LÄN</t>
        </is>
      </c>
      <c r="G4901" t="inlineStr">
        <is>
          <t>SÄFFLE</t>
        </is>
      </c>
      <c r="I4901" t="n">
        <v>6.2</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26871-2025</t>
        </is>
      </c>
      <c r="B4902" t="inlineStr">
        <is>
          <t>avverkningsanmälan</t>
        </is>
      </c>
      <c r="C4902" t="inlineStr">
        <is>
          <t>Föryngringsavverkning</t>
        </is>
      </c>
      <c r="D4902" s="1" t="n">
        <v>45810</v>
      </c>
      <c r="E4902" s="1" t="n">
        <v>46307</v>
      </c>
      <c r="F4902" t="inlineStr">
        <is>
          <t>VÄRMLANDS LÄN</t>
        </is>
      </c>
      <c r="G4902" t="inlineStr">
        <is>
          <t>KRISTINEHAMN</t>
        </is>
      </c>
      <c r="I4902" t="n">
        <v>0.4</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19543-2025</t>
        </is>
      </c>
      <c r="B4903" t="inlineStr">
        <is>
          <t>avverkningsanmälan</t>
        </is>
      </c>
      <c r="C4903" t="inlineStr">
        <is>
          <t>Föryngringsavverkning</t>
        </is>
      </c>
      <c r="D4903" s="1" t="n">
        <v>45770</v>
      </c>
      <c r="E4903" s="1" t="n">
        <v>46307</v>
      </c>
      <c r="F4903" t="inlineStr">
        <is>
          <t>VÄRMLANDS LÄN</t>
        </is>
      </c>
      <c r="G4903" t="inlineStr">
        <is>
          <t>SUNNE</t>
        </is>
      </c>
      <c r="I4903" t="n">
        <v>2.4</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19575-2025</t>
        </is>
      </c>
      <c r="B4904" t="inlineStr">
        <is>
          <t>avverkningsanmälan</t>
        </is>
      </c>
      <c r="C4904" t="inlineStr">
        <is>
          <t>Föryngringsavverkning</t>
        </is>
      </c>
      <c r="D4904" s="1" t="n">
        <v>45770</v>
      </c>
      <c r="E4904" s="1" t="n">
        <v>46307</v>
      </c>
      <c r="F4904" t="inlineStr">
        <is>
          <t>VÄRMLANDS LÄN</t>
        </is>
      </c>
      <c r="G4904" t="inlineStr">
        <is>
          <t>TORSBY</t>
        </is>
      </c>
      <c r="H4904" t="inlineStr">
        <is>
          <t>Bergvik skog väst AB</t>
        </is>
      </c>
      <c r="I4904" t="n">
        <v>1.8</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28936-2023</t>
        </is>
      </c>
      <c r="B4905" t="inlineStr">
        <is>
          <t>avverkningsanmälan</t>
        </is>
      </c>
      <c r="C4905" t="inlineStr">
        <is>
          <t>Föryngringsavverkning</t>
        </is>
      </c>
      <c r="D4905" s="1" t="n">
        <v>45104</v>
      </c>
      <c r="E4905" s="1" t="n">
        <v>46307</v>
      </c>
      <c r="F4905" t="inlineStr">
        <is>
          <t>VÄRMLANDS LÄN</t>
        </is>
      </c>
      <c r="G4905" t="inlineStr">
        <is>
          <t>EDA</t>
        </is>
      </c>
      <c r="I4905" t="n">
        <v>1.7</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13306-2025</t>
        </is>
      </c>
      <c r="B4906" t="inlineStr">
        <is>
          <t>avverkningsanmälan</t>
        </is>
      </c>
      <c r="C4906" t="inlineStr">
        <is>
          <t>Föryngringsavverkning</t>
        </is>
      </c>
      <c r="D4906" s="1" t="n">
        <v>45735</v>
      </c>
      <c r="E4906" s="1" t="n">
        <v>46307</v>
      </c>
      <c r="F4906" t="inlineStr">
        <is>
          <t>VÄRMLANDS LÄN</t>
        </is>
      </c>
      <c r="G4906" t="inlineStr">
        <is>
          <t>SUNNE</t>
        </is>
      </c>
      <c r="I4906" t="n">
        <v>0.6</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26979-2023</t>
        </is>
      </c>
      <c r="B4907" t="inlineStr">
        <is>
          <t>avverkningsanmälan</t>
        </is>
      </c>
      <c r="C4907" t="inlineStr">
        <is>
          <t>Föryngringsavverkning</t>
        </is>
      </c>
      <c r="D4907" s="1" t="n">
        <v>45091</v>
      </c>
      <c r="E4907" s="1" t="n">
        <v>46307</v>
      </c>
      <c r="F4907" t="inlineStr">
        <is>
          <t>VÄRMLANDS LÄN</t>
        </is>
      </c>
      <c r="G4907" t="inlineStr">
        <is>
          <t>TORSBY</t>
        </is>
      </c>
      <c r="I4907" t="n">
        <v>1.9</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2411-2024</t>
        </is>
      </c>
      <c r="B4908" t="inlineStr">
        <is>
          <t>avverkningsanmälan</t>
        </is>
      </c>
      <c r="C4908" t="inlineStr">
        <is>
          <t>Föryngringsavverkning</t>
        </is>
      </c>
      <c r="D4908" s="1" t="n">
        <v>45310</v>
      </c>
      <c r="E4908" s="1" t="n">
        <v>46307</v>
      </c>
      <c r="F4908" t="inlineStr">
        <is>
          <t>VÄRMLANDS LÄN</t>
        </is>
      </c>
      <c r="G4908" t="inlineStr">
        <is>
          <t>EDA</t>
        </is>
      </c>
      <c r="I4908" t="n">
        <v>3.8</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55401-2024</t>
        </is>
      </c>
      <c r="B4909" t="inlineStr">
        <is>
          <t>avverkningsanmälan</t>
        </is>
      </c>
      <c r="C4909" t="inlineStr">
        <is>
          <t>Föryngringsavverkning</t>
        </is>
      </c>
      <c r="D4909" s="1" t="n">
        <v>45622</v>
      </c>
      <c r="E4909" s="1" t="n">
        <v>46307</v>
      </c>
      <c r="F4909" t="inlineStr">
        <is>
          <t>VÄRMLANDS LÄN</t>
        </is>
      </c>
      <c r="G4909" t="inlineStr">
        <is>
          <t>SUNNE</t>
        </is>
      </c>
      <c r="I4909" t="n">
        <v>1.5</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36420-2023</t>
        </is>
      </c>
      <c r="B4910" t="inlineStr">
        <is>
          <t>avverkningsanmälan</t>
        </is>
      </c>
      <c r="C4910" t="inlineStr">
        <is>
          <t>Föryngringsavverkning</t>
        </is>
      </c>
      <c r="D4910" s="1" t="n">
        <v>45152</v>
      </c>
      <c r="E4910" s="1" t="n">
        <v>46307</v>
      </c>
      <c r="F4910" t="inlineStr">
        <is>
          <t>VÄRMLANDS LÄN</t>
        </is>
      </c>
      <c r="G4910" t="inlineStr">
        <is>
          <t>GRUMS</t>
        </is>
      </c>
      <c r="I4910" t="n">
        <v>1</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4065-2025</t>
        </is>
      </c>
      <c r="B4911" t="inlineStr">
        <is>
          <t>avverkningsanmälan</t>
        </is>
      </c>
      <c r="C4911" t="inlineStr">
        <is>
          <t>Föryngringsavverkning</t>
        </is>
      </c>
      <c r="D4911" s="1" t="n">
        <v>45684</v>
      </c>
      <c r="E4911" s="1" t="n">
        <v>46307</v>
      </c>
      <c r="F4911" t="inlineStr">
        <is>
          <t>VÄRMLANDS LÄN</t>
        </is>
      </c>
      <c r="G4911" t="inlineStr">
        <is>
          <t>ARVIKA</t>
        </is>
      </c>
      <c r="I4911" t="n">
        <v>4.5</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42985-2023</t>
        </is>
      </c>
      <c r="B4912" t="inlineStr">
        <is>
          <t>avverkningsanmälan</t>
        </is>
      </c>
      <c r="C4912" t="inlineStr">
        <is>
          <t>Föryngringsavverkning</t>
        </is>
      </c>
      <c r="D4912" s="1" t="n">
        <v>45182</v>
      </c>
      <c r="E4912" s="1" t="n">
        <v>46307</v>
      </c>
      <c r="F4912" t="inlineStr">
        <is>
          <t>VÄRMLANDS LÄN</t>
        </is>
      </c>
      <c r="G4912" t="inlineStr">
        <is>
          <t>SUNNE</t>
        </is>
      </c>
      <c r="I4912" t="n">
        <v>5.6</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13880-2025</t>
        </is>
      </c>
      <c r="B4913" t="inlineStr">
        <is>
          <t>avverkningsanmälan</t>
        </is>
      </c>
      <c r="C4913" t="inlineStr">
        <is>
          <t>Föryngringsavverkning</t>
        </is>
      </c>
      <c r="D4913" s="1" t="n">
        <v>45737</v>
      </c>
      <c r="E4913" s="1" t="n">
        <v>46307</v>
      </c>
      <c r="F4913" t="inlineStr">
        <is>
          <t>VÄRMLANDS LÄN</t>
        </is>
      </c>
      <c r="G4913" t="inlineStr">
        <is>
          <t>SUNNE</t>
        </is>
      </c>
      <c r="H4913" t="inlineStr">
        <is>
          <t>Kommuner</t>
        </is>
      </c>
      <c r="I4913" t="n">
        <v>2.2</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42997-2023</t>
        </is>
      </c>
      <c r="B4914" t="inlineStr">
        <is>
          <t>avverkningsanmälan</t>
        </is>
      </c>
      <c r="C4914" t="inlineStr">
        <is>
          <t>Föryngringsavverkning</t>
        </is>
      </c>
      <c r="D4914" s="1" t="n">
        <v>45182</v>
      </c>
      <c r="E4914" s="1" t="n">
        <v>46307</v>
      </c>
      <c r="F4914" t="inlineStr">
        <is>
          <t>VÄRMLANDS LÄN</t>
        </is>
      </c>
      <c r="G4914" t="inlineStr">
        <is>
          <t>ARVIKA</t>
        </is>
      </c>
      <c r="I4914" t="n">
        <v>1.5</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11155-2024</t>
        </is>
      </c>
      <c r="B4915" t="inlineStr">
        <is>
          <t>avverkningsanmälan</t>
        </is>
      </c>
      <c r="C4915" t="inlineStr">
        <is>
          <t>Föryngringsavverkning</t>
        </is>
      </c>
      <c r="D4915" s="1" t="n">
        <v>45371</v>
      </c>
      <c r="E4915" s="1" t="n">
        <v>46307</v>
      </c>
      <c r="F4915" t="inlineStr">
        <is>
          <t>VÄRMLANDS LÄN</t>
        </is>
      </c>
      <c r="G4915" t="inlineStr">
        <is>
          <t>ARVIKA</t>
        </is>
      </c>
      <c r="I4915" t="n">
        <v>0.7</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26783-2024</t>
        </is>
      </c>
      <c r="B4916" t="inlineStr">
        <is>
          <t>avverkningsanmälan</t>
        </is>
      </c>
      <c r="C4916" t="inlineStr">
        <is>
          <t>Avverkning för annat ändamål</t>
        </is>
      </c>
      <c r="D4916" s="1" t="n">
        <v>45470</v>
      </c>
      <c r="E4916" s="1" t="n">
        <v>46307</v>
      </c>
      <c r="F4916" t="inlineStr">
        <is>
          <t>VÄRMLANDS LÄN</t>
        </is>
      </c>
      <c r="G4916" t="inlineStr">
        <is>
          <t>ÅRJÄNG</t>
        </is>
      </c>
      <c r="H4916" t="inlineStr">
        <is>
          <t>Övriga Aktiebolag</t>
        </is>
      </c>
      <c r="I4916" t="n">
        <v>1.6</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754-2025</t>
        </is>
      </c>
      <c r="B4917" t="inlineStr">
        <is>
          <t>avverkningsanmälan</t>
        </is>
      </c>
      <c r="C4917" t="inlineStr">
        <is>
          <t>Föryngringsavverkning</t>
        </is>
      </c>
      <c r="D4917" s="1" t="n">
        <v>45665</v>
      </c>
      <c r="E4917" s="1" t="n">
        <v>46307</v>
      </c>
      <c r="F4917" t="inlineStr">
        <is>
          <t>VÄRMLANDS LÄN</t>
        </is>
      </c>
      <c r="G4917" t="inlineStr">
        <is>
          <t>TORSBY</t>
        </is>
      </c>
      <c r="I4917" t="n">
        <v>3</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18718-2023</t>
        </is>
      </c>
      <c r="B4918" t="inlineStr">
        <is>
          <t>avverkningsanmälan</t>
        </is>
      </c>
      <c r="C4918" t="inlineStr">
        <is>
          <t>Föryngringsavverkning</t>
        </is>
      </c>
      <c r="D4918" s="1" t="n">
        <v>45043</v>
      </c>
      <c r="E4918" s="1" t="n">
        <v>46307</v>
      </c>
      <c r="F4918" t="inlineStr">
        <is>
          <t>VÄRMLANDS LÄN</t>
        </is>
      </c>
      <c r="G4918" t="inlineStr">
        <is>
          <t>ÅRJÄNG</t>
        </is>
      </c>
      <c r="I4918" t="n">
        <v>1.8</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56776-2024</t>
        </is>
      </c>
      <c r="B4919" t="inlineStr">
        <is>
          <t>avverkningsanmälan</t>
        </is>
      </c>
      <c r="C4919" t="inlineStr">
        <is>
          <t>Föryngringsavverkning</t>
        </is>
      </c>
      <c r="D4919" s="1" t="n">
        <v>45628</v>
      </c>
      <c r="E4919" s="1" t="n">
        <v>46307</v>
      </c>
      <c r="F4919" t="inlineStr">
        <is>
          <t>VÄRMLANDS LÄN</t>
        </is>
      </c>
      <c r="G4919" t="inlineStr">
        <is>
          <t>MUNKFORS</t>
        </is>
      </c>
      <c r="H4919" t="inlineStr">
        <is>
          <t>Bergvik skog väst AB</t>
        </is>
      </c>
      <c r="I4919" t="n">
        <v>1.5</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27031-2023</t>
        </is>
      </c>
      <c r="B4920" t="inlineStr">
        <is>
          <t>avverkningsanmälan</t>
        </is>
      </c>
      <c r="C4920" t="inlineStr">
        <is>
          <t>Föryngringsavverkning</t>
        </is>
      </c>
      <c r="D4920" s="1" t="n">
        <v>45095</v>
      </c>
      <c r="E4920" s="1" t="n">
        <v>46307</v>
      </c>
      <c r="F4920" t="inlineStr">
        <is>
          <t>VÄRMLANDS LÄN</t>
        </is>
      </c>
      <c r="G4920" t="inlineStr">
        <is>
          <t>SÄFFLE</t>
        </is>
      </c>
      <c r="I4920" t="n">
        <v>1.5</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15973-2024</t>
        </is>
      </c>
      <c r="B4921" t="inlineStr">
        <is>
          <t>avverkningsanmälan</t>
        </is>
      </c>
      <c r="C4921" t="inlineStr">
        <is>
          <t>Föryngringsavverkning</t>
        </is>
      </c>
      <c r="D4921" s="1" t="n">
        <v>45405</v>
      </c>
      <c r="E4921" s="1" t="n">
        <v>46307</v>
      </c>
      <c r="F4921" t="inlineStr">
        <is>
          <t>VÄRMLANDS LÄN</t>
        </is>
      </c>
      <c r="G4921" t="inlineStr">
        <is>
          <t>ARVIKA</t>
        </is>
      </c>
      <c r="I4921" t="n">
        <v>1.4</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9252-2024</t>
        </is>
      </c>
      <c r="B4922" t="inlineStr">
        <is>
          <t>avverkningsanmälan</t>
        </is>
      </c>
      <c r="C4922" t="inlineStr">
        <is>
          <t>Avverkning för annat ändamål</t>
        </is>
      </c>
      <c r="D4922" s="1" t="n">
        <v>45358</v>
      </c>
      <c r="E4922" s="1" t="n">
        <v>46307</v>
      </c>
      <c r="F4922" t="inlineStr">
        <is>
          <t>VÄRMLANDS LÄN</t>
        </is>
      </c>
      <c r="G4922" t="inlineStr">
        <is>
          <t>SÄFFLE</t>
        </is>
      </c>
      <c r="I4922" t="n">
        <v>1.6</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27049-2023</t>
        </is>
      </c>
      <c r="B4923" t="inlineStr">
        <is>
          <t>avverkningsanmälan</t>
        </is>
      </c>
      <c r="C4923" t="inlineStr">
        <is>
          <t>Föryngringsavverkning</t>
        </is>
      </c>
      <c r="D4923" s="1" t="n">
        <v>45095</v>
      </c>
      <c r="E4923" s="1" t="n">
        <v>46307</v>
      </c>
      <c r="F4923" t="inlineStr">
        <is>
          <t>VÄRMLANDS LÄN</t>
        </is>
      </c>
      <c r="G4923" t="inlineStr">
        <is>
          <t>KARLSTAD</t>
        </is>
      </c>
      <c r="I4923" t="n">
        <v>2.4</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28085-2022</t>
        </is>
      </c>
      <c r="B4924" t="inlineStr">
        <is>
          <t>avverkningsanmälan</t>
        </is>
      </c>
      <c r="C4924" t="inlineStr">
        <is>
          <t>Föryngringsavverkning</t>
        </is>
      </c>
      <c r="D4924" s="1" t="n">
        <v>44746</v>
      </c>
      <c r="E4924" s="1" t="n">
        <v>46307</v>
      </c>
      <c r="F4924" t="inlineStr">
        <is>
          <t>VÄRMLANDS LÄN</t>
        </is>
      </c>
      <c r="G4924" t="inlineStr">
        <is>
          <t>EDA</t>
        </is>
      </c>
      <c r="I4924" t="n">
        <v>1.7</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26434-2025</t>
        </is>
      </c>
      <c r="B4925" t="inlineStr">
        <is>
          <t>avverkningsanmälan</t>
        </is>
      </c>
      <c r="C4925" t="inlineStr">
        <is>
          <t>Föryngringsavverkning</t>
        </is>
      </c>
      <c r="D4925" s="1" t="n">
        <v>45807</v>
      </c>
      <c r="E4925" s="1" t="n">
        <v>46307</v>
      </c>
      <c r="F4925" t="inlineStr">
        <is>
          <t>VÄRMLANDS LÄN</t>
        </is>
      </c>
      <c r="G4925" t="inlineStr">
        <is>
          <t>ÅRJÄNG</t>
        </is>
      </c>
      <c r="I4925" t="n">
        <v>2.2</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8496-2022</t>
        </is>
      </c>
      <c r="B4926" t="inlineStr">
        <is>
          <t>avverkningsanmälan</t>
        </is>
      </c>
      <c r="C4926" t="inlineStr">
        <is>
          <t>Föryngringsavverkning</t>
        </is>
      </c>
      <c r="D4926" s="1" t="n">
        <v>44613</v>
      </c>
      <c r="E4926" s="1" t="n">
        <v>46307</v>
      </c>
      <c r="F4926" t="inlineStr">
        <is>
          <t>VÄRMLANDS LÄN</t>
        </is>
      </c>
      <c r="G4926" t="inlineStr">
        <is>
          <t>HAGFORS</t>
        </is>
      </c>
      <c r="H4926" t="inlineStr">
        <is>
          <t>Bergvik skog väst AB</t>
        </is>
      </c>
      <c r="I4926" t="n">
        <v>4</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17062-2025</t>
        </is>
      </c>
      <c r="B4927" t="inlineStr">
        <is>
          <t>avverkningsanmälan</t>
        </is>
      </c>
      <c r="C4927" t="inlineStr">
        <is>
          <t>Föryngringsavverkning</t>
        </is>
      </c>
      <c r="D4927" s="1" t="n">
        <v>45754</v>
      </c>
      <c r="E4927" s="1" t="n">
        <v>46307</v>
      </c>
      <c r="F4927" t="inlineStr">
        <is>
          <t>VÄRMLANDS LÄN</t>
        </is>
      </c>
      <c r="G4927" t="inlineStr">
        <is>
          <t>TORSBY</t>
        </is>
      </c>
      <c r="I4927" t="n">
        <v>2.6</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59938-2024</t>
        </is>
      </c>
      <c r="B4928" t="inlineStr">
        <is>
          <t>avverkningsanmälan</t>
        </is>
      </c>
      <c r="C4928" t="inlineStr">
        <is>
          <t>Föryngringsavverkning</t>
        </is>
      </c>
      <c r="D4928" s="1" t="n">
        <v>45642</v>
      </c>
      <c r="E4928" s="1" t="n">
        <v>46307</v>
      </c>
      <c r="F4928" t="inlineStr">
        <is>
          <t>VÄRMLANDS LÄN</t>
        </is>
      </c>
      <c r="G4928" t="inlineStr">
        <is>
          <t>KIL</t>
        </is>
      </c>
      <c r="I4928" t="n">
        <v>0.9</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54223-2023</t>
        </is>
      </c>
      <c r="B4929" t="inlineStr">
        <is>
          <t>avverkningsanmälan</t>
        </is>
      </c>
      <c r="C4929" t="inlineStr">
        <is>
          <t>Avverkning för att bevara och utveckla /försöksver</t>
        </is>
      </c>
      <c r="D4929" s="1" t="n">
        <v>45232</v>
      </c>
      <c r="E4929" s="1" t="n">
        <v>46307</v>
      </c>
      <c r="F4929" t="inlineStr">
        <is>
          <t>VÄRMLANDS LÄN</t>
        </is>
      </c>
      <c r="G4929" t="inlineStr">
        <is>
          <t>TORSBY</t>
        </is>
      </c>
      <c r="H4929" t="inlineStr">
        <is>
          <t>Bergvik skog väst AB</t>
        </is>
      </c>
      <c r="I4929" t="n">
        <v>8.6</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48809-2025</t>
        </is>
      </c>
      <c r="B4930" t="inlineStr">
        <is>
          <t>avverkningsanmälan</t>
        </is>
      </c>
      <c r="C4930" t="inlineStr">
        <is>
          <t>Föryngringsavverkning</t>
        </is>
      </c>
      <c r="D4930" s="1" t="n">
        <v>45937</v>
      </c>
      <c r="E4930" s="1" t="n">
        <v>46307</v>
      </c>
      <c r="F4930" t="inlineStr">
        <is>
          <t>VÄRMLANDS LÄN</t>
        </is>
      </c>
      <c r="G4930" t="inlineStr">
        <is>
          <t>HAGFORS</t>
        </is>
      </c>
      <c r="I4930" t="n">
        <v>1.2</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49108-2025</t>
        </is>
      </c>
      <c r="B4931" t="inlineStr">
        <is>
          <t>avverkningsanmälan</t>
        </is>
      </c>
      <c r="C4931" t="inlineStr">
        <is>
          <t>Avverkning för annat ändamål</t>
        </is>
      </c>
      <c r="D4931" s="1" t="n">
        <v>45937</v>
      </c>
      <c r="E4931" s="1" t="n">
        <v>46307</v>
      </c>
      <c r="F4931" t="inlineStr">
        <is>
          <t>VÄRMLANDS LÄN</t>
        </is>
      </c>
      <c r="G4931" t="inlineStr">
        <is>
          <t>TORSBY</t>
        </is>
      </c>
      <c r="I4931" t="n">
        <v>0.6</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49109-2025</t>
        </is>
      </c>
      <c r="B4932" t="inlineStr">
        <is>
          <t>avverkningsanmälan</t>
        </is>
      </c>
      <c r="C4932" t="inlineStr">
        <is>
          <t>Avverkning för annat ändamål</t>
        </is>
      </c>
      <c r="D4932" s="1" t="n">
        <v>45937</v>
      </c>
      <c r="E4932" s="1" t="n">
        <v>46307</v>
      </c>
      <c r="F4932" t="inlineStr">
        <is>
          <t>VÄRMLANDS LÄN</t>
        </is>
      </c>
      <c r="G4932" t="inlineStr">
        <is>
          <t>TORSBY</t>
        </is>
      </c>
      <c r="I4932" t="n">
        <v>0.1</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26861-2025</t>
        </is>
      </c>
      <c r="B4933" t="inlineStr">
        <is>
          <t>avverkningsanmälan</t>
        </is>
      </c>
      <c r="C4933" t="inlineStr">
        <is>
          <t>Föryngringsavverkning</t>
        </is>
      </c>
      <c r="D4933" s="1" t="n">
        <v>45810</v>
      </c>
      <c r="E4933" s="1" t="n">
        <v>46307</v>
      </c>
      <c r="F4933" t="inlineStr">
        <is>
          <t>VÄRMLANDS LÄN</t>
        </is>
      </c>
      <c r="G4933" t="inlineStr">
        <is>
          <t>KARLSTAD</t>
        </is>
      </c>
      <c r="I4933" t="n">
        <v>3.3</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58586-2023</t>
        </is>
      </c>
      <c r="B4934" t="inlineStr">
        <is>
          <t>avverkningsanmälan</t>
        </is>
      </c>
      <c r="C4934" t="inlineStr">
        <is>
          <t>Föryngringsavverkning</t>
        </is>
      </c>
      <c r="D4934" s="1" t="n">
        <v>45251</v>
      </c>
      <c r="E4934" s="1" t="n">
        <v>46307</v>
      </c>
      <c r="F4934" t="inlineStr">
        <is>
          <t>VÄRMLANDS LÄN</t>
        </is>
      </c>
      <c r="G4934" t="inlineStr">
        <is>
          <t>ARVIKA</t>
        </is>
      </c>
      <c r="I4934" t="n">
        <v>3.5</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10931-2025</t>
        </is>
      </c>
      <c r="B4935" t="inlineStr">
        <is>
          <t>avverkningsanmälan</t>
        </is>
      </c>
      <c r="C4935" t="inlineStr">
        <is>
          <t>Föryngringsavverkning</t>
        </is>
      </c>
      <c r="D4935" s="1" t="n">
        <v>45723</v>
      </c>
      <c r="E4935" s="1" t="n">
        <v>46307</v>
      </c>
      <c r="F4935" t="inlineStr">
        <is>
          <t>VÄRMLANDS LÄN</t>
        </is>
      </c>
      <c r="G4935" t="inlineStr">
        <is>
          <t>KARLSTAD</t>
        </is>
      </c>
      <c r="I4935" t="n">
        <v>0.3</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46575-2024</t>
        </is>
      </c>
      <c r="B4936" t="inlineStr">
        <is>
          <t>avverkningsanmälan</t>
        </is>
      </c>
      <c r="C4936" t="inlineStr">
        <is>
          <t>Föryngringsavverkning</t>
        </is>
      </c>
      <c r="D4936" s="1" t="n">
        <v>45582</v>
      </c>
      <c r="E4936" s="1" t="n">
        <v>46307</v>
      </c>
      <c r="F4936" t="inlineStr">
        <is>
          <t>VÄRMLANDS LÄN</t>
        </is>
      </c>
      <c r="G4936" t="inlineStr">
        <is>
          <t>SÄFFLE</t>
        </is>
      </c>
      <c r="I4936" t="n">
        <v>1.8</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13356-2022</t>
        </is>
      </c>
      <c r="B4937" t="inlineStr">
        <is>
          <t>avverkningsanmälan</t>
        </is>
      </c>
      <c r="C4937" t="inlineStr">
        <is>
          <t>Föryngringsavverkning</t>
        </is>
      </c>
      <c r="D4937" s="1" t="n">
        <v>44645</v>
      </c>
      <c r="E4937" s="1" t="n">
        <v>46307</v>
      </c>
      <c r="F4937" t="inlineStr">
        <is>
          <t>VÄRMLANDS LÄN</t>
        </is>
      </c>
      <c r="G4937" t="inlineStr">
        <is>
          <t>HAMMARÖ</t>
        </is>
      </c>
      <c r="I4937" t="n">
        <v>1.6</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32393-2022</t>
        </is>
      </c>
      <c r="B4938" t="inlineStr">
        <is>
          <t>avverkningsanmälan</t>
        </is>
      </c>
      <c r="C4938" t="inlineStr">
        <is>
          <t>Föryngringsavverkning</t>
        </is>
      </c>
      <c r="D4938" s="1" t="n">
        <v>44781</v>
      </c>
      <c r="E4938" s="1" t="n">
        <v>46307</v>
      </c>
      <c r="F4938" t="inlineStr">
        <is>
          <t>VÄRMLANDS LÄN</t>
        </is>
      </c>
      <c r="G4938" t="inlineStr">
        <is>
          <t>SUNNE</t>
        </is>
      </c>
      <c r="I4938" t="n">
        <v>4</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51640-2022</t>
        </is>
      </c>
      <c r="B4939" t="inlineStr">
        <is>
          <t>avverkningsanmälan</t>
        </is>
      </c>
      <c r="C4939" t="inlineStr">
        <is>
          <t>Föryngringsavverkning</t>
        </is>
      </c>
      <c r="D4939" s="1" t="n">
        <v>44872</v>
      </c>
      <c r="E4939" s="1" t="n">
        <v>46307</v>
      </c>
      <c r="F4939" t="inlineStr">
        <is>
          <t>VÄRMLANDS LÄN</t>
        </is>
      </c>
      <c r="G4939" t="inlineStr">
        <is>
          <t>SÄFFLE</t>
        </is>
      </c>
      <c r="I4939" t="n">
        <v>3.4</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11400-2025</t>
        </is>
      </c>
      <c r="B4940" t="inlineStr">
        <is>
          <t>avverkningsanmälan</t>
        </is>
      </c>
      <c r="C4940" t="inlineStr">
        <is>
          <t>Föryngringsavverkning</t>
        </is>
      </c>
      <c r="D4940" s="1" t="n">
        <v>45726</v>
      </c>
      <c r="E4940" s="1" t="n">
        <v>46307</v>
      </c>
      <c r="F4940" t="inlineStr">
        <is>
          <t>VÄRMLANDS LÄN</t>
        </is>
      </c>
      <c r="G4940" t="inlineStr">
        <is>
          <t>EDA</t>
        </is>
      </c>
      <c r="I4940" t="n">
        <v>2.3</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13118-2023</t>
        </is>
      </c>
      <c r="B4941" t="inlineStr">
        <is>
          <t>avverkningsanmälan</t>
        </is>
      </c>
      <c r="C4941" t="inlineStr">
        <is>
          <t>Föryngringsavverkning</t>
        </is>
      </c>
      <c r="D4941" s="1" t="n">
        <v>45002</v>
      </c>
      <c r="E4941" s="1" t="n">
        <v>46307</v>
      </c>
      <c r="F4941" t="inlineStr">
        <is>
          <t>VÄRMLANDS LÄN</t>
        </is>
      </c>
      <c r="G4941" t="inlineStr">
        <is>
          <t>KARLSTAD</t>
        </is>
      </c>
      <c r="I4941" t="n">
        <v>4.5</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57587-2024</t>
        </is>
      </c>
      <c r="B4942" t="inlineStr">
        <is>
          <t>avverkningsanmälan</t>
        </is>
      </c>
      <c r="C4942" t="inlineStr">
        <is>
          <t>Föryngringsavverkning</t>
        </is>
      </c>
      <c r="D4942" s="1" t="n">
        <v>45630</v>
      </c>
      <c r="E4942" s="1" t="n">
        <v>46307</v>
      </c>
      <c r="F4942" t="inlineStr">
        <is>
          <t>VÄRMLANDS LÄN</t>
        </is>
      </c>
      <c r="G4942" t="inlineStr">
        <is>
          <t>KARLSTAD</t>
        </is>
      </c>
      <c r="I4942" t="n">
        <v>2.6</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49272-2025</t>
        </is>
      </c>
      <c r="B4943" t="inlineStr">
        <is>
          <t>avverkningsanmälan</t>
        </is>
      </c>
      <c r="C4943" t="inlineStr">
        <is>
          <t>Avverkning för annat ändamål</t>
        </is>
      </c>
      <c r="D4943" s="1" t="n">
        <v>45938</v>
      </c>
      <c r="E4943" s="1" t="n">
        <v>46307</v>
      </c>
      <c r="F4943" t="inlineStr">
        <is>
          <t>VÄRMLANDS LÄN</t>
        </is>
      </c>
      <c r="G4943" t="inlineStr">
        <is>
          <t>TORSBY</t>
        </is>
      </c>
      <c r="I4943" t="n">
        <v>0.2</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33368-2022</t>
        </is>
      </c>
      <c r="B4944" t="inlineStr">
        <is>
          <t>avverkningsanmälan</t>
        </is>
      </c>
      <c r="C4944" t="inlineStr">
        <is>
          <t>Föryngringsavverkning</t>
        </is>
      </c>
      <c r="D4944" s="1" t="n">
        <v>44788</v>
      </c>
      <c r="E4944" s="1" t="n">
        <v>46307</v>
      </c>
      <c r="F4944" t="inlineStr">
        <is>
          <t>VÄRMLANDS LÄN</t>
        </is>
      </c>
      <c r="G4944" t="inlineStr">
        <is>
          <t>FILIPSTAD</t>
        </is>
      </c>
      <c r="H4944" t="inlineStr">
        <is>
          <t>Bergvik skog väst AB</t>
        </is>
      </c>
      <c r="I4944" t="n">
        <v>6.7</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31199-2024</t>
        </is>
      </c>
      <c r="B4945" t="inlineStr">
        <is>
          <t>avverkningsanmälan</t>
        </is>
      </c>
      <c r="C4945" t="inlineStr">
        <is>
          <t>Föryngringsavverkning</t>
        </is>
      </c>
      <c r="D4945" s="1" t="n">
        <v>45503</v>
      </c>
      <c r="E4945" s="1" t="n">
        <v>46307</v>
      </c>
      <c r="F4945" t="inlineStr">
        <is>
          <t>VÄRMLANDS LÄN</t>
        </is>
      </c>
      <c r="G4945" t="inlineStr">
        <is>
          <t>SÄFFLE</t>
        </is>
      </c>
      <c r="I4945" t="n">
        <v>1.8</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31221-2024</t>
        </is>
      </c>
      <c r="B4946" t="inlineStr">
        <is>
          <t>avverkningsanmälan</t>
        </is>
      </c>
      <c r="C4946" t="inlineStr">
        <is>
          <t>Föryngringsavverkning</t>
        </is>
      </c>
      <c r="D4946" s="1" t="n">
        <v>45503</v>
      </c>
      <c r="E4946" s="1" t="n">
        <v>46307</v>
      </c>
      <c r="F4946" t="inlineStr">
        <is>
          <t>VÄRMLANDS LÄN</t>
        </is>
      </c>
      <c r="G4946" t="inlineStr">
        <is>
          <t>SUNNE</t>
        </is>
      </c>
      <c r="I4946" t="n">
        <v>2.1</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60794-2024</t>
        </is>
      </c>
      <c r="B4947" t="inlineStr">
        <is>
          <t>avverkningsanmälan</t>
        </is>
      </c>
      <c r="C4947" t="inlineStr">
        <is>
          <t>Föryngringsavverkning</t>
        </is>
      </c>
      <c r="D4947" s="1" t="n">
        <v>45644</v>
      </c>
      <c r="E4947" s="1" t="n">
        <v>46307</v>
      </c>
      <c r="F4947" t="inlineStr">
        <is>
          <t>VÄRMLANDS LÄN</t>
        </is>
      </c>
      <c r="G4947" t="inlineStr">
        <is>
          <t>MUNKFORS</t>
        </is>
      </c>
      <c r="I4947" t="n">
        <v>1.3</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36795-2024</t>
        </is>
      </c>
      <c r="B4948" t="inlineStr">
        <is>
          <t>avverkningsanmälan</t>
        </is>
      </c>
      <c r="C4948" t="inlineStr">
        <is>
          <t>Föryngringsavverkning</t>
        </is>
      </c>
      <c r="D4948" s="1" t="n">
        <v>45538</v>
      </c>
      <c r="E4948" s="1" t="n">
        <v>46307</v>
      </c>
      <c r="F4948" t="inlineStr">
        <is>
          <t>VÄRMLANDS LÄN</t>
        </is>
      </c>
      <c r="G4948" t="inlineStr">
        <is>
          <t>KIL</t>
        </is>
      </c>
      <c r="I4948" t="n">
        <v>9.300000000000001</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53759-2024</t>
        </is>
      </c>
      <c r="B4949" t="inlineStr">
        <is>
          <t>avverkningsanmälan</t>
        </is>
      </c>
      <c r="C4949" t="inlineStr">
        <is>
          <t>Föryngringsavverkning</t>
        </is>
      </c>
      <c r="D4949" s="1" t="n">
        <v>45615</v>
      </c>
      <c r="E4949" s="1" t="n">
        <v>46307</v>
      </c>
      <c r="F4949" t="inlineStr">
        <is>
          <t>VÄRMLANDS LÄN</t>
        </is>
      </c>
      <c r="G4949" t="inlineStr">
        <is>
          <t>SUNNE</t>
        </is>
      </c>
      <c r="I4949" t="n">
        <v>4.5</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53974-2024</t>
        </is>
      </c>
      <c r="B4950" t="inlineStr">
        <is>
          <t>avverkningsanmälan</t>
        </is>
      </c>
      <c r="C4950" t="inlineStr">
        <is>
          <t>Föryngringsavverkning</t>
        </is>
      </c>
      <c r="D4950" s="1" t="n">
        <v>45615</v>
      </c>
      <c r="E4950" s="1" t="n">
        <v>46307</v>
      </c>
      <c r="F4950" t="inlineStr">
        <is>
          <t>VÄRMLANDS LÄN</t>
        </is>
      </c>
      <c r="G4950" t="inlineStr">
        <is>
          <t>SÄFFLE</t>
        </is>
      </c>
      <c r="I4950" t="n">
        <v>4.6</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3162-2025</t>
        </is>
      </c>
      <c r="B4951" t="inlineStr">
        <is>
          <t>avverkningsanmälan</t>
        </is>
      </c>
      <c r="C4951" t="inlineStr">
        <is>
          <t>Föryngringsavverkning</t>
        </is>
      </c>
      <c r="D4951" s="1" t="n">
        <v>45679</v>
      </c>
      <c r="E4951" s="1" t="n">
        <v>46307</v>
      </c>
      <c r="F4951" t="inlineStr">
        <is>
          <t>VÄRMLANDS LÄN</t>
        </is>
      </c>
      <c r="G4951" t="inlineStr">
        <is>
          <t>HAGFORS</t>
        </is>
      </c>
      <c r="I4951" t="n">
        <v>0.9</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55819-2022</t>
        </is>
      </c>
      <c r="B4952" t="inlineStr">
        <is>
          <t>avverkningsanmälan</t>
        </is>
      </c>
      <c r="C4952" t="inlineStr">
        <is>
          <t>Föryngringsavverkning</t>
        </is>
      </c>
      <c r="D4952" s="1" t="n">
        <v>44888</v>
      </c>
      <c r="E4952" s="1" t="n">
        <v>46307</v>
      </c>
      <c r="F4952" t="inlineStr">
        <is>
          <t>VÄRMLANDS LÄN</t>
        </is>
      </c>
      <c r="G4952" t="inlineStr">
        <is>
          <t>KARLSTAD</t>
        </is>
      </c>
      <c r="I4952" t="n">
        <v>0.9</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26504-2025</t>
        </is>
      </c>
      <c r="B4953" t="inlineStr">
        <is>
          <t>avverkningsanmälan</t>
        </is>
      </c>
      <c r="C4953" t="inlineStr">
        <is>
          <t>Föryngringsavverkning</t>
        </is>
      </c>
      <c r="D4953" s="1" t="n">
        <v>45807</v>
      </c>
      <c r="E4953" s="1" t="n">
        <v>46307</v>
      </c>
      <c r="F4953" t="inlineStr">
        <is>
          <t>VÄRMLANDS LÄN</t>
        </is>
      </c>
      <c r="G4953" t="inlineStr">
        <is>
          <t>TORSBY</t>
        </is>
      </c>
      <c r="I4953" t="n">
        <v>1.3</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26505-2025</t>
        </is>
      </c>
      <c r="B4954" t="inlineStr">
        <is>
          <t>avverkningsanmälan</t>
        </is>
      </c>
      <c r="C4954" t="inlineStr">
        <is>
          <t>Föryngringsavverkning</t>
        </is>
      </c>
      <c r="D4954" s="1" t="n">
        <v>45807</v>
      </c>
      <c r="E4954" s="1" t="n">
        <v>46307</v>
      </c>
      <c r="F4954" t="inlineStr">
        <is>
          <t>VÄRMLANDS LÄN</t>
        </is>
      </c>
      <c r="G4954" t="inlineStr">
        <is>
          <t>TORSBY</t>
        </is>
      </c>
      <c r="I4954" t="n">
        <v>1.8</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46120-2023</t>
        </is>
      </c>
      <c r="B4955" t="inlineStr">
        <is>
          <t>avverkningsanmälan</t>
        </is>
      </c>
      <c r="C4955" t="inlineStr">
        <is>
          <t>Föryngringsavverkning</t>
        </is>
      </c>
      <c r="D4955" s="1" t="n">
        <v>45196</v>
      </c>
      <c r="E4955" s="1" t="n">
        <v>46307</v>
      </c>
      <c r="F4955" t="inlineStr">
        <is>
          <t>VÄRMLANDS LÄN</t>
        </is>
      </c>
      <c r="G4955" t="inlineStr">
        <is>
          <t>SUNNE</t>
        </is>
      </c>
      <c r="I4955" t="n">
        <v>2.1</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10850-2022</t>
        </is>
      </c>
      <c r="B4956" t="inlineStr">
        <is>
          <t>avverkningsanmälan</t>
        </is>
      </c>
      <c r="C4956" t="inlineStr">
        <is>
          <t>Föryngringsavverkning</t>
        </is>
      </c>
      <c r="D4956" s="1" t="n">
        <v>44627</v>
      </c>
      <c r="E4956" s="1" t="n">
        <v>46307</v>
      </c>
      <c r="F4956" t="inlineStr">
        <is>
          <t>VÄRMLANDS LÄN</t>
        </is>
      </c>
      <c r="G4956" t="inlineStr">
        <is>
          <t>ARVIKA</t>
        </is>
      </c>
      <c r="I4956" t="n">
        <v>1.2</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55894-2024</t>
        </is>
      </c>
      <c r="B4957" t="inlineStr">
        <is>
          <t>avverkningsanmälan</t>
        </is>
      </c>
      <c r="C4957" t="inlineStr">
        <is>
          <t>Föryngringsavverkning</t>
        </is>
      </c>
      <c r="D4957" s="1" t="n">
        <v>45623</v>
      </c>
      <c r="E4957" s="1" t="n">
        <v>46307</v>
      </c>
      <c r="F4957" t="inlineStr">
        <is>
          <t>VÄRMLANDS LÄN</t>
        </is>
      </c>
      <c r="G4957" t="inlineStr">
        <is>
          <t>SUNNE</t>
        </is>
      </c>
      <c r="H4957" t="inlineStr">
        <is>
          <t>Övriga Aktiebolag</t>
        </is>
      </c>
      <c r="I4957" t="n">
        <v>5.9</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49681-2025</t>
        </is>
      </c>
      <c r="B4958" t="inlineStr">
        <is>
          <t>avverkningsanmälan</t>
        </is>
      </c>
      <c r="C4958" t="inlineStr">
        <is>
          <t>Avverkning för annat ändamål</t>
        </is>
      </c>
      <c r="D4958" s="1" t="n">
        <v>45939</v>
      </c>
      <c r="E4958" s="1" t="n">
        <v>46307</v>
      </c>
      <c r="F4958" t="inlineStr">
        <is>
          <t>VÄRMLANDS LÄN</t>
        </is>
      </c>
      <c r="G4958" t="inlineStr">
        <is>
          <t>TORSBY</t>
        </is>
      </c>
      <c r="H4958" t="inlineStr">
        <is>
          <t>Bergvik skog väst AB</t>
        </is>
      </c>
      <c r="I4958" t="n">
        <v>2.1</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4582-2025</t>
        </is>
      </c>
      <c r="B4959" t="inlineStr">
        <is>
          <t>avverkningsanmälan</t>
        </is>
      </c>
      <c r="C4959" t="inlineStr">
        <is>
          <t>Föryngringsavverkning</t>
        </is>
      </c>
      <c r="D4959" s="1" t="n">
        <v>45687</v>
      </c>
      <c r="E4959" s="1" t="n">
        <v>46307</v>
      </c>
      <c r="F4959" t="inlineStr">
        <is>
          <t>VÄRMLANDS LÄN</t>
        </is>
      </c>
      <c r="G4959" t="inlineStr">
        <is>
          <t>ÅRJÄNG</t>
        </is>
      </c>
      <c r="H4959" t="inlineStr">
        <is>
          <t>Övriga Aktiebolag</t>
        </is>
      </c>
      <c r="I4959" t="n">
        <v>3.4</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51300-2024</t>
        </is>
      </c>
      <c r="B4960" t="inlineStr">
        <is>
          <t>avverkningsanmälan</t>
        </is>
      </c>
      <c r="C4960" t="inlineStr">
        <is>
          <t>Föryngringsavverkning</t>
        </is>
      </c>
      <c r="D4960" s="1" t="n">
        <v>45604</v>
      </c>
      <c r="E4960" s="1" t="n">
        <v>46307</v>
      </c>
      <c r="F4960" t="inlineStr">
        <is>
          <t>VÄRMLANDS LÄN</t>
        </is>
      </c>
      <c r="G4960" t="inlineStr">
        <is>
          <t>ARVIKA</t>
        </is>
      </c>
      <c r="I4960" t="n">
        <v>5.3</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4137-2025</t>
        </is>
      </c>
      <c r="B4961" t="inlineStr">
        <is>
          <t>avverkningsanmälan</t>
        </is>
      </c>
      <c r="C4961" t="inlineStr">
        <is>
          <t>Föryngringsavverkning</t>
        </is>
      </c>
      <c r="D4961" s="1" t="n">
        <v>45685</v>
      </c>
      <c r="E4961" s="1" t="n">
        <v>46307</v>
      </c>
      <c r="F4961" t="inlineStr">
        <is>
          <t>VÄRMLANDS LÄN</t>
        </is>
      </c>
      <c r="G4961" t="inlineStr">
        <is>
          <t>ÅRJÄNG</t>
        </is>
      </c>
      <c r="I4961" t="n">
        <v>3.3</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47277-2024</t>
        </is>
      </c>
      <c r="B4962" t="inlineStr">
        <is>
          <t>avverkningsanmälan</t>
        </is>
      </c>
      <c r="C4962" t="inlineStr">
        <is>
          <t>Föryngringsavverkning</t>
        </is>
      </c>
      <c r="D4962" s="1" t="n">
        <v>45586</v>
      </c>
      <c r="E4962" s="1" t="n">
        <v>46307</v>
      </c>
      <c r="F4962" t="inlineStr">
        <is>
          <t>VÄRMLANDS LÄN</t>
        </is>
      </c>
      <c r="G4962" t="inlineStr">
        <is>
          <t>SUNNE</t>
        </is>
      </c>
      <c r="I4962" t="n">
        <v>2</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43517-2024</t>
        </is>
      </c>
      <c r="B4963" t="inlineStr">
        <is>
          <t>avverkningsanmälan</t>
        </is>
      </c>
      <c r="C4963" t="inlineStr">
        <is>
          <t>Föryngringsavverkning</t>
        </is>
      </c>
      <c r="D4963" s="1" t="n">
        <v>45569</v>
      </c>
      <c r="E4963" s="1" t="n">
        <v>46307</v>
      </c>
      <c r="F4963" t="inlineStr">
        <is>
          <t>VÄRMLANDS LÄN</t>
        </is>
      </c>
      <c r="G4963" t="inlineStr">
        <is>
          <t>ÅRJÄNG</t>
        </is>
      </c>
      <c r="I4963" t="n">
        <v>5.9</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15716-2024</t>
        </is>
      </c>
      <c r="B4964" t="inlineStr">
        <is>
          <t>avverkningsanmälan</t>
        </is>
      </c>
      <c r="C4964" t="inlineStr">
        <is>
          <t>Föryngringsavverkning</t>
        </is>
      </c>
      <c r="D4964" s="1" t="n">
        <v>45404</v>
      </c>
      <c r="E4964" s="1" t="n">
        <v>46307</v>
      </c>
      <c r="F4964" t="inlineStr">
        <is>
          <t>VÄRMLANDS LÄN</t>
        </is>
      </c>
      <c r="G4964" t="inlineStr">
        <is>
          <t>SUNNE</t>
        </is>
      </c>
      <c r="I4964" t="n">
        <v>2.4</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14188-2025</t>
        </is>
      </c>
      <c r="B4965" t="inlineStr">
        <is>
          <t>avverkningsanmälan</t>
        </is>
      </c>
      <c r="C4965" t="inlineStr">
        <is>
          <t>Föryngringsavverkning</t>
        </is>
      </c>
      <c r="D4965" s="1" t="n">
        <v>45740</v>
      </c>
      <c r="E4965" s="1" t="n">
        <v>46307</v>
      </c>
      <c r="F4965" t="inlineStr">
        <is>
          <t>VÄRMLANDS LÄN</t>
        </is>
      </c>
      <c r="G4965" t="inlineStr">
        <is>
          <t>SUNNE</t>
        </is>
      </c>
      <c r="I4965" t="n">
        <v>1.3</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15323-2025</t>
        </is>
      </c>
      <c r="B4966" t="inlineStr">
        <is>
          <t>avverkningsanmälan</t>
        </is>
      </c>
      <c r="C4966" t="inlineStr">
        <is>
          <t>Föryngringsavverkning</t>
        </is>
      </c>
      <c r="D4966" s="1" t="n">
        <v>45747</v>
      </c>
      <c r="E4966" s="1" t="n">
        <v>46307</v>
      </c>
      <c r="F4966" t="inlineStr">
        <is>
          <t>VÄRMLANDS LÄN</t>
        </is>
      </c>
      <c r="G4966" t="inlineStr">
        <is>
          <t>ÅRJÄNG</t>
        </is>
      </c>
      <c r="I4966" t="n">
        <v>5.5</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45985-2024</t>
        </is>
      </c>
      <c r="B4967" t="inlineStr">
        <is>
          <t>avverkningsanmälan</t>
        </is>
      </c>
      <c r="C4967" t="inlineStr">
        <is>
          <t>Föryngringsavverkning</t>
        </is>
      </c>
      <c r="D4967" s="1" t="n">
        <v>45580</v>
      </c>
      <c r="E4967" s="1" t="n">
        <v>46307</v>
      </c>
      <c r="F4967" t="inlineStr">
        <is>
          <t>VÄRMLANDS LÄN</t>
        </is>
      </c>
      <c r="G4967" t="inlineStr">
        <is>
          <t>EDA</t>
        </is>
      </c>
      <c r="I4967" t="n">
        <v>6.2</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57517-2024</t>
        </is>
      </c>
      <c r="B4968" t="inlineStr">
        <is>
          <t>avverkningsanmälan</t>
        </is>
      </c>
      <c r="C4968" t="inlineStr">
        <is>
          <t>Föryngringsavverkning</t>
        </is>
      </c>
      <c r="D4968" s="1" t="n">
        <v>45630</v>
      </c>
      <c r="E4968" s="1" t="n">
        <v>46307</v>
      </c>
      <c r="F4968" t="inlineStr">
        <is>
          <t>VÄRMLANDS LÄN</t>
        </is>
      </c>
      <c r="G4968" t="inlineStr">
        <is>
          <t>SÄFFLE</t>
        </is>
      </c>
      <c r="I4968" t="n">
        <v>4.2</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11633-2023</t>
        </is>
      </c>
      <c r="B4969" t="inlineStr">
        <is>
          <t>avverkningsanmälan</t>
        </is>
      </c>
      <c r="C4969" t="inlineStr">
        <is>
          <t>Föryngringsavverkning</t>
        </is>
      </c>
      <c r="D4969" s="1" t="n">
        <v>44994</v>
      </c>
      <c r="E4969" s="1" t="n">
        <v>46307</v>
      </c>
      <c r="F4969" t="inlineStr">
        <is>
          <t>VÄRMLANDS LÄN</t>
        </is>
      </c>
      <c r="G4969" t="inlineStr">
        <is>
          <t>SÄFFLE</t>
        </is>
      </c>
      <c r="I4969" t="n">
        <v>0.5</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26529-2025</t>
        </is>
      </c>
      <c r="B4970" t="inlineStr">
        <is>
          <t>avverkningsanmälan</t>
        </is>
      </c>
      <c r="C4970" t="inlineStr">
        <is>
          <t>Föryngringsavverkning</t>
        </is>
      </c>
      <c r="D4970" s="1" t="n">
        <v>45807</v>
      </c>
      <c r="E4970" s="1" t="n">
        <v>46307</v>
      </c>
      <c r="F4970" t="inlineStr">
        <is>
          <t>VÄRMLANDS LÄN</t>
        </is>
      </c>
      <c r="G4970" t="inlineStr">
        <is>
          <t>SÄFFLE</t>
        </is>
      </c>
      <c r="I4970" t="n">
        <v>0.7</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2688-2023</t>
        </is>
      </c>
      <c r="B4971" t="inlineStr">
        <is>
          <t>avverkningsanmälan</t>
        </is>
      </c>
      <c r="C4971" t="inlineStr">
        <is>
          <t>Föryngringsavverkning</t>
        </is>
      </c>
      <c r="D4971" s="1" t="n">
        <v>44942</v>
      </c>
      <c r="E4971" s="1" t="n">
        <v>46307</v>
      </c>
      <c r="F4971" t="inlineStr">
        <is>
          <t>VÄRMLANDS LÄN</t>
        </is>
      </c>
      <c r="G4971" t="inlineStr">
        <is>
          <t>KIL</t>
        </is>
      </c>
      <c r="I4971" t="n">
        <v>1.5</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11640-2023</t>
        </is>
      </c>
      <c r="B4972" t="inlineStr">
        <is>
          <t>avverkningsanmälan</t>
        </is>
      </c>
      <c r="C4972" t="inlineStr">
        <is>
          <t>Föryngringsavverkning</t>
        </is>
      </c>
      <c r="D4972" s="1" t="n">
        <v>44994</v>
      </c>
      <c r="E4972" s="1" t="n">
        <v>46307</v>
      </c>
      <c r="F4972" t="inlineStr">
        <is>
          <t>VÄRMLANDS LÄN</t>
        </is>
      </c>
      <c r="G4972" t="inlineStr">
        <is>
          <t>SUNNE</t>
        </is>
      </c>
      <c r="I4972" t="n">
        <v>3.1</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49453-2025</t>
        </is>
      </c>
      <c r="B4973" t="inlineStr">
        <is>
          <t>avverkningsanmälan</t>
        </is>
      </c>
      <c r="C4973" t="inlineStr">
        <is>
          <t>Avverkning för annat ändamål</t>
        </is>
      </c>
      <c r="D4973" s="1" t="n">
        <v>45939</v>
      </c>
      <c r="E4973" s="1" t="n">
        <v>46307</v>
      </c>
      <c r="F4973" t="inlineStr">
        <is>
          <t>VÄRMLANDS LÄN</t>
        </is>
      </c>
      <c r="G4973" t="inlineStr">
        <is>
          <t>TORSBY</t>
        </is>
      </c>
      <c r="H4973" t="inlineStr">
        <is>
          <t>Bergvik skog väst AB</t>
        </is>
      </c>
      <c r="I4973" t="n">
        <v>10</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49735-2025</t>
        </is>
      </c>
      <c r="B4974" t="inlineStr">
        <is>
          <t>avverkningsanmälan</t>
        </is>
      </c>
      <c r="C4974" t="inlineStr">
        <is>
          <t>Föryngringsavverkning</t>
        </is>
      </c>
      <c r="D4974" s="1" t="n">
        <v>45940</v>
      </c>
      <c r="E4974" s="1" t="n">
        <v>46307</v>
      </c>
      <c r="F4974" t="inlineStr">
        <is>
          <t>VÄRMLANDS LÄN</t>
        </is>
      </c>
      <c r="G4974" t="inlineStr">
        <is>
          <t>ARVIKA</t>
        </is>
      </c>
      <c r="H4974" t="inlineStr">
        <is>
          <t>Bergvik skog väst AB</t>
        </is>
      </c>
      <c r="I4974" t="n">
        <v>3.1</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49914-2025</t>
        </is>
      </c>
      <c r="B4975" t="inlineStr">
        <is>
          <t>avverkningsanmälan</t>
        </is>
      </c>
      <c r="C4975" t="inlineStr">
        <is>
          <t>Föryngringsavverkning</t>
        </is>
      </c>
      <c r="D4975" s="1" t="n">
        <v>45940</v>
      </c>
      <c r="E4975" s="1" t="n">
        <v>46307</v>
      </c>
      <c r="F4975" t="inlineStr">
        <is>
          <t>VÄRMLANDS LÄN</t>
        </is>
      </c>
      <c r="G4975" t="inlineStr">
        <is>
          <t>ÅRJÄNG</t>
        </is>
      </c>
      <c r="I4975" t="n">
        <v>2</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49507-2025</t>
        </is>
      </c>
      <c r="B4976" t="inlineStr">
        <is>
          <t>avverkningsanmälan</t>
        </is>
      </c>
      <c r="C4976" t="inlineStr">
        <is>
          <t>Föryngringsavverkning</t>
        </is>
      </c>
      <c r="D4976" s="1" t="n">
        <v>45939</v>
      </c>
      <c r="E4976" s="1" t="n">
        <v>46307</v>
      </c>
      <c r="F4976" t="inlineStr">
        <is>
          <t>VÄRMLANDS LÄN</t>
        </is>
      </c>
      <c r="G4976" t="inlineStr">
        <is>
          <t>GRUMS</t>
        </is>
      </c>
      <c r="I4976" t="n">
        <v>5.7</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49587-2025</t>
        </is>
      </c>
      <c r="B4977" t="inlineStr">
        <is>
          <t>avverkningsanmälan</t>
        </is>
      </c>
      <c r="C4977" t="inlineStr">
        <is>
          <t>Föryngringsavverkning</t>
        </is>
      </c>
      <c r="D4977" s="1" t="n">
        <v>45939</v>
      </c>
      <c r="E4977" s="1" t="n">
        <v>46307</v>
      </c>
      <c r="F4977" t="inlineStr">
        <is>
          <t>VÄRMLANDS LÄN</t>
        </is>
      </c>
      <c r="G4977" t="inlineStr">
        <is>
          <t>ARVIKA</t>
        </is>
      </c>
      <c r="I4977" t="n">
        <v>3.7</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49854-2025</t>
        </is>
      </c>
      <c r="B4978" t="inlineStr">
        <is>
          <t>avverkningsanmälan</t>
        </is>
      </c>
      <c r="C4978" t="inlineStr">
        <is>
          <t>Avverkning för annat ändamål</t>
        </is>
      </c>
      <c r="D4978" s="1" t="n">
        <v>45940</v>
      </c>
      <c r="E4978" s="1" t="n">
        <v>46307</v>
      </c>
      <c r="F4978" t="inlineStr">
        <is>
          <t>VÄRMLANDS LÄN</t>
        </is>
      </c>
      <c r="G4978" t="inlineStr">
        <is>
          <t>TORSBY</t>
        </is>
      </c>
      <c r="I4978" t="n">
        <v>0.3</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49533-2025</t>
        </is>
      </c>
      <c r="B4979" t="inlineStr">
        <is>
          <t>avverkningsanmälan</t>
        </is>
      </c>
      <c r="C4979" t="inlineStr">
        <is>
          <t>Föryngringsavverkning</t>
        </is>
      </c>
      <c r="D4979" s="1" t="n">
        <v>45939</v>
      </c>
      <c r="E4979" s="1" t="n">
        <v>46307</v>
      </c>
      <c r="F4979" t="inlineStr">
        <is>
          <t>VÄRMLANDS LÄN</t>
        </is>
      </c>
      <c r="G4979" t="inlineStr">
        <is>
          <t>HAGFORS</t>
        </is>
      </c>
      <c r="I4979" t="n">
        <v>1.2</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49622-2025</t>
        </is>
      </c>
      <c r="B4980" t="inlineStr">
        <is>
          <t>avverkningsanmälan</t>
        </is>
      </c>
      <c r="C4980" t="inlineStr">
        <is>
          <t>Föryngringsavverkning</t>
        </is>
      </c>
      <c r="D4980" s="1" t="n">
        <v>45939</v>
      </c>
      <c r="E4980" s="1" t="n">
        <v>46307</v>
      </c>
      <c r="F4980" t="inlineStr">
        <is>
          <t>VÄRMLANDS LÄN</t>
        </is>
      </c>
      <c r="G4980" t="inlineStr">
        <is>
          <t>TORSBY</t>
        </is>
      </c>
      <c r="H4980" t="inlineStr">
        <is>
          <t>Bergvik skog väst AB</t>
        </is>
      </c>
      <c r="I4980" t="n">
        <v>3.7</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49636-2025</t>
        </is>
      </c>
      <c r="B4981" t="inlineStr">
        <is>
          <t>avverkningsanmälan</t>
        </is>
      </c>
      <c r="C4981" t="inlineStr">
        <is>
          <t>Avverkning för annat ändamål</t>
        </is>
      </c>
      <c r="D4981" s="1" t="n">
        <v>45939</v>
      </c>
      <c r="E4981" s="1" t="n">
        <v>46307</v>
      </c>
      <c r="F4981" t="inlineStr">
        <is>
          <t>VÄRMLANDS LÄN</t>
        </is>
      </c>
      <c r="G4981" t="inlineStr">
        <is>
          <t>TORSBY</t>
        </is>
      </c>
      <c r="H4981" t="inlineStr">
        <is>
          <t>Bergvik skog väst AB</t>
        </is>
      </c>
      <c r="I4981" t="n">
        <v>1</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49936-2025</t>
        </is>
      </c>
      <c r="B4982" t="inlineStr">
        <is>
          <t>avverkningsanmälan</t>
        </is>
      </c>
      <c r="C4982" t="inlineStr">
        <is>
          <t>Föryngringsavverkning</t>
        </is>
      </c>
      <c r="D4982" s="1" t="n">
        <v>45940</v>
      </c>
      <c r="E4982" s="1" t="n">
        <v>46307</v>
      </c>
      <c r="F4982" t="inlineStr">
        <is>
          <t>VÄRMLANDS LÄN</t>
        </is>
      </c>
      <c r="G4982" t="inlineStr">
        <is>
          <t>ÅRJÄNG</t>
        </is>
      </c>
      <c r="H4982" t="inlineStr">
        <is>
          <t>Kyrkan</t>
        </is>
      </c>
      <c r="I4982" t="n">
        <v>5.3</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49540-2025</t>
        </is>
      </c>
      <c r="B4983" t="inlineStr">
        <is>
          <t>avverkningsanmälan</t>
        </is>
      </c>
      <c r="C4983" t="inlineStr">
        <is>
          <t>Föryngringsavverkning</t>
        </is>
      </c>
      <c r="D4983" s="1" t="n">
        <v>45939</v>
      </c>
      <c r="E4983" s="1" t="n">
        <v>46307</v>
      </c>
      <c r="F4983" t="inlineStr">
        <is>
          <t>VÄRMLANDS LÄN</t>
        </is>
      </c>
      <c r="G4983" t="inlineStr">
        <is>
          <t>ÅRJÄNG</t>
        </is>
      </c>
      <c r="I4983" t="n">
        <v>3.5</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49638-2025</t>
        </is>
      </c>
      <c r="B4984" t="inlineStr">
        <is>
          <t>avverkningsanmälan</t>
        </is>
      </c>
      <c r="C4984" t="inlineStr">
        <is>
          <t>Föryngringsavverkning</t>
        </is>
      </c>
      <c r="D4984" s="1" t="n">
        <v>45939</v>
      </c>
      <c r="E4984" s="1" t="n">
        <v>46307</v>
      </c>
      <c r="F4984" t="inlineStr">
        <is>
          <t>VÄRMLANDS LÄN</t>
        </is>
      </c>
      <c r="G4984" t="inlineStr">
        <is>
          <t>TORSBY</t>
        </is>
      </c>
      <c r="H4984" t="inlineStr">
        <is>
          <t>Bergvik skog väst AB</t>
        </is>
      </c>
      <c r="I4984" t="n">
        <v>7</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47624-2023</t>
        </is>
      </c>
      <c r="B4985" t="inlineStr">
        <is>
          <t>avverkningsanmälan</t>
        </is>
      </c>
      <c r="C4985" t="inlineStr">
        <is>
          <t>Föryngringsavverkning</t>
        </is>
      </c>
      <c r="D4985" s="1" t="n">
        <v>45203</v>
      </c>
      <c r="E4985" s="1" t="n">
        <v>46307</v>
      </c>
      <c r="F4985" t="inlineStr">
        <is>
          <t>VÄRMLANDS LÄN</t>
        </is>
      </c>
      <c r="G4985" t="inlineStr">
        <is>
          <t>STORFORS</t>
        </is>
      </c>
      <c r="H4985" t="inlineStr">
        <is>
          <t>Kyrkan</t>
        </is>
      </c>
      <c r="I4985" t="n">
        <v>2.2</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50187-2025</t>
        </is>
      </c>
      <c r="B4986" t="inlineStr">
        <is>
          <t>avverkningsanmälan</t>
        </is>
      </c>
      <c r="C4986" t="inlineStr">
        <is>
          <t>Föryngringsavverkning</t>
        </is>
      </c>
      <c r="D4986" s="1" t="n">
        <v>45943</v>
      </c>
      <c r="E4986" s="1" t="n">
        <v>46307</v>
      </c>
      <c r="F4986" t="inlineStr">
        <is>
          <t>VÄRMLANDS LÄN</t>
        </is>
      </c>
      <c r="G4986" t="inlineStr">
        <is>
          <t>ÅRJÄNG</t>
        </is>
      </c>
      <c r="H4986" t="inlineStr">
        <is>
          <t>Bergvik skog väst AB</t>
        </is>
      </c>
      <c r="I4986" t="n">
        <v>1.2</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27071-2025</t>
        </is>
      </c>
      <c r="B4987" t="inlineStr">
        <is>
          <t>avverkningsanmälan</t>
        </is>
      </c>
      <c r="C4987" t="inlineStr">
        <is>
          <t>Föryngringsavverkning</t>
        </is>
      </c>
      <c r="D4987" s="1" t="n">
        <v>45811</v>
      </c>
      <c r="E4987" s="1" t="n">
        <v>46307</v>
      </c>
      <c r="F4987" t="inlineStr">
        <is>
          <t>VÄRMLANDS LÄN</t>
        </is>
      </c>
      <c r="G4987" t="inlineStr">
        <is>
          <t>HAGFORS</t>
        </is>
      </c>
      <c r="I4987" t="n">
        <v>8</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8685-2024</t>
        </is>
      </c>
      <c r="B4988" t="inlineStr">
        <is>
          <t>avverkningsanmälan</t>
        </is>
      </c>
      <c r="C4988" t="inlineStr">
        <is>
          <t>Föryngringsavverkning</t>
        </is>
      </c>
      <c r="D4988" s="1" t="n">
        <v>45356</v>
      </c>
      <c r="E4988" s="1" t="n">
        <v>46307</v>
      </c>
      <c r="F4988" t="inlineStr">
        <is>
          <t>VÄRMLANDS LÄN</t>
        </is>
      </c>
      <c r="G4988" t="inlineStr">
        <is>
          <t>ÅRJÄNG</t>
        </is>
      </c>
      <c r="I4988" t="n">
        <v>2.5</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51203-2024</t>
        </is>
      </c>
      <c r="B4989" t="inlineStr">
        <is>
          <t>avverkningsanmälan</t>
        </is>
      </c>
      <c r="C4989" t="inlineStr">
        <is>
          <t>Föryngringsavverkning</t>
        </is>
      </c>
      <c r="D4989" s="1" t="n">
        <v>45603</v>
      </c>
      <c r="E4989" s="1" t="n">
        <v>46307</v>
      </c>
      <c r="F4989" t="inlineStr">
        <is>
          <t>VÄRMLANDS LÄN</t>
        </is>
      </c>
      <c r="G4989" t="inlineStr">
        <is>
          <t>SÄFFLE</t>
        </is>
      </c>
      <c r="I4989" t="n">
        <v>0.6</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26884-2025</t>
        </is>
      </c>
      <c r="B4990" t="inlineStr">
        <is>
          <t>avverkningsanmälan</t>
        </is>
      </c>
      <c r="C4990" t="inlineStr">
        <is>
          <t>Föryngringsavverkning</t>
        </is>
      </c>
      <c r="D4990" s="1" t="n">
        <v>45810</v>
      </c>
      <c r="E4990" s="1" t="n">
        <v>46307</v>
      </c>
      <c r="F4990" t="inlineStr">
        <is>
          <t>VÄRMLANDS LÄN</t>
        </is>
      </c>
      <c r="G4990" t="inlineStr">
        <is>
          <t>SUNNE</t>
        </is>
      </c>
      <c r="I4990" t="n">
        <v>1.9</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26980-2025</t>
        </is>
      </c>
      <c r="B4991" t="inlineStr">
        <is>
          <t>avverkningsanmälan</t>
        </is>
      </c>
      <c r="C4991" t="inlineStr">
        <is>
          <t>Föryngringsavverkning</t>
        </is>
      </c>
      <c r="D4991" s="1" t="n">
        <v>45811</v>
      </c>
      <c r="E4991" s="1" t="n">
        <v>46307</v>
      </c>
      <c r="F4991" t="inlineStr">
        <is>
          <t>VÄRMLANDS LÄN</t>
        </is>
      </c>
      <c r="G4991" t="inlineStr">
        <is>
          <t>HAGFORS</t>
        </is>
      </c>
      <c r="I4991" t="n">
        <v>2</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26982-2025</t>
        </is>
      </c>
      <c r="B4992" t="inlineStr">
        <is>
          <t>avverkningsanmälan</t>
        </is>
      </c>
      <c r="C4992" t="inlineStr">
        <is>
          <t>Föryngringsavverkning</t>
        </is>
      </c>
      <c r="D4992" s="1" t="n">
        <v>45811</v>
      </c>
      <c r="E4992" s="1" t="n">
        <v>46307</v>
      </c>
      <c r="F4992" t="inlineStr">
        <is>
          <t>VÄRMLANDS LÄN</t>
        </is>
      </c>
      <c r="G4992" t="inlineStr">
        <is>
          <t>HAGFORS</t>
        </is>
      </c>
      <c r="I4992" t="n">
        <v>1.3</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26869-2024</t>
        </is>
      </c>
      <c r="B4993" t="inlineStr">
        <is>
          <t>avverkningsanmälan</t>
        </is>
      </c>
      <c r="C4993" t="inlineStr">
        <is>
          <t>Avverkning för att bevara och utveckla /försöksver</t>
        </is>
      </c>
      <c r="D4993" s="1" t="n">
        <v>45470</v>
      </c>
      <c r="E4993" s="1" t="n">
        <v>46307</v>
      </c>
      <c r="F4993" t="inlineStr">
        <is>
          <t>VÄRMLANDS LÄN</t>
        </is>
      </c>
      <c r="G4993" t="inlineStr">
        <is>
          <t>FORSHAGA</t>
        </is>
      </c>
      <c r="H4993" t="inlineStr">
        <is>
          <t>Bergvik skog väst AB</t>
        </is>
      </c>
      <c r="I4993" t="n">
        <v>2.3</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60909-2024</t>
        </is>
      </c>
      <c r="B4994" t="inlineStr">
        <is>
          <t>avverkningsanmälan</t>
        </is>
      </c>
      <c r="C4994" t="inlineStr">
        <is>
          <t>Föryngringsavverkning</t>
        </is>
      </c>
      <c r="D4994" s="1" t="n">
        <v>45645</v>
      </c>
      <c r="E4994" s="1" t="n">
        <v>46307</v>
      </c>
      <c r="F4994" t="inlineStr">
        <is>
          <t>VÄRMLANDS LÄN</t>
        </is>
      </c>
      <c r="G4994" t="inlineStr">
        <is>
          <t>ÅRJÄNG</t>
        </is>
      </c>
      <c r="I4994" t="n">
        <v>1.1</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56715-2024</t>
        </is>
      </c>
      <c r="B4995" t="inlineStr">
        <is>
          <t>avverkningsanmälan</t>
        </is>
      </c>
      <c r="C4995" t="inlineStr">
        <is>
          <t>Föryngringsavverkning</t>
        </is>
      </c>
      <c r="D4995" s="1" t="n">
        <v>45628</v>
      </c>
      <c r="E4995" s="1" t="n">
        <v>46307</v>
      </c>
      <c r="F4995" t="inlineStr">
        <is>
          <t>VÄRMLANDS LÄN</t>
        </is>
      </c>
      <c r="G4995" t="inlineStr">
        <is>
          <t>EDA</t>
        </is>
      </c>
      <c r="I4995" t="n">
        <v>2.5</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3637-2025</t>
        </is>
      </c>
      <c r="B4996" t="inlineStr">
        <is>
          <t>avverkningsanmälan</t>
        </is>
      </c>
      <c r="C4996" t="inlineStr">
        <is>
          <t>Föryngringsavverkning</t>
        </is>
      </c>
      <c r="D4996" s="1" t="n">
        <v>45681</v>
      </c>
      <c r="E4996" s="1" t="n">
        <v>46307</v>
      </c>
      <c r="F4996" t="inlineStr">
        <is>
          <t>VÄRMLANDS LÄN</t>
        </is>
      </c>
      <c r="G4996" t="inlineStr">
        <is>
          <t>SUNNE</t>
        </is>
      </c>
      <c r="I4996" t="n">
        <v>1.5</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8154-2025</t>
        </is>
      </c>
      <c r="B4997" t="inlineStr">
        <is>
          <t>avverkningsanmälan</t>
        </is>
      </c>
      <c r="C4997" t="inlineStr">
        <is>
          <t>Föryngringsavverkning</t>
        </is>
      </c>
      <c r="D4997" s="1" t="n">
        <v>45708</v>
      </c>
      <c r="E4997" s="1" t="n">
        <v>46307</v>
      </c>
      <c r="F4997" t="inlineStr">
        <is>
          <t>VÄRMLANDS LÄN</t>
        </is>
      </c>
      <c r="G4997" t="inlineStr">
        <is>
          <t>ARVIKA</t>
        </is>
      </c>
      <c r="I4997" t="n">
        <v>3.1</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52026-2024</t>
        </is>
      </c>
      <c r="B4998" t="inlineStr">
        <is>
          <t>avverkningsanmälan</t>
        </is>
      </c>
      <c r="C4998" t="inlineStr">
        <is>
          <t>Föryngringsavverkning</t>
        </is>
      </c>
      <c r="D4998" s="1" t="n">
        <v>45607</v>
      </c>
      <c r="E4998" s="1" t="n">
        <v>46307</v>
      </c>
      <c r="F4998" t="inlineStr">
        <is>
          <t>VÄRMLANDS LÄN</t>
        </is>
      </c>
      <c r="G4998" t="inlineStr">
        <is>
          <t>SÄFFLE</t>
        </is>
      </c>
      <c r="I4998" t="n">
        <v>1.5</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51760-2023</t>
        </is>
      </c>
      <c r="B4999" t="inlineStr">
        <is>
          <t>avverkningsanmälan</t>
        </is>
      </c>
      <c r="C4999" t="inlineStr">
        <is>
          <t>Föryngringsavverkning</t>
        </is>
      </c>
      <c r="D4999" s="1" t="n">
        <v>45222</v>
      </c>
      <c r="E4999" s="1" t="n">
        <v>46307</v>
      </c>
      <c r="F4999" t="inlineStr">
        <is>
          <t>VÄRMLANDS LÄN</t>
        </is>
      </c>
      <c r="G4999" t="inlineStr">
        <is>
          <t>KARLSTAD</t>
        </is>
      </c>
      <c r="I4999" t="n">
        <v>0.6</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50309-2025</t>
        </is>
      </c>
      <c r="B5000" t="inlineStr">
        <is>
          <t>avverkningsanmälan</t>
        </is>
      </c>
      <c r="C5000" t="inlineStr">
        <is>
          <t>Föryngringsavverkning</t>
        </is>
      </c>
      <c r="D5000" s="1" t="n">
        <v>45944</v>
      </c>
      <c r="E5000" s="1" t="n">
        <v>46307</v>
      </c>
      <c r="F5000" t="inlineStr">
        <is>
          <t>VÄRMLANDS LÄN</t>
        </is>
      </c>
      <c r="G5000" t="inlineStr">
        <is>
          <t>KARLSTAD</t>
        </is>
      </c>
      <c r="I5000" t="n">
        <v>0.4</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50089-2025</t>
        </is>
      </c>
      <c r="B5001" t="inlineStr">
        <is>
          <t>avverkningsanmälan</t>
        </is>
      </c>
      <c r="C5001" t="inlineStr">
        <is>
          <t>Föryngringsavverkning</t>
        </is>
      </c>
      <c r="D5001" s="1" t="n">
        <v>45943</v>
      </c>
      <c r="E5001" s="1" t="n">
        <v>46307</v>
      </c>
      <c r="F5001" t="inlineStr">
        <is>
          <t>VÄRMLANDS LÄN</t>
        </is>
      </c>
      <c r="G5001" t="inlineStr">
        <is>
          <t>SÄFFLE</t>
        </is>
      </c>
      <c r="I5001" t="n">
        <v>10.8</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50295-2025</t>
        </is>
      </c>
      <c r="B5002" t="inlineStr">
        <is>
          <t>avverkningsanmälan</t>
        </is>
      </c>
      <c r="C5002" t="inlineStr">
        <is>
          <t>Föryngringsavverkning</t>
        </is>
      </c>
      <c r="D5002" s="1" t="n">
        <v>45944</v>
      </c>
      <c r="E5002" s="1" t="n">
        <v>46307</v>
      </c>
      <c r="F5002" t="inlineStr">
        <is>
          <t>VÄRMLANDS LÄN</t>
        </is>
      </c>
      <c r="G5002" t="inlineStr">
        <is>
          <t>ÅRJÄNG</t>
        </is>
      </c>
      <c r="I5002" t="n">
        <v>6</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27140-2025</t>
        </is>
      </c>
      <c r="B5003" t="inlineStr">
        <is>
          <t>avverkningsanmälan</t>
        </is>
      </c>
      <c r="C5003" t="inlineStr">
        <is>
          <t>Föryngringsavverkning</t>
        </is>
      </c>
      <c r="D5003" s="1" t="n">
        <v>45812</v>
      </c>
      <c r="E5003" s="1" t="n">
        <v>46307</v>
      </c>
      <c r="F5003" t="inlineStr">
        <is>
          <t>VÄRMLANDS LÄN</t>
        </is>
      </c>
      <c r="G5003" t="inlineStr">
        <is>
          <t>KRISTINEHAMN</t>
        </is>
      </c>
      <c r="H5003" t="inlineStr">
        <is>
          <t>Sveaskog</t>
        </is>
      </c>
      <c r="I5003" t="n">
        <v>5</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27319-2025</t>
        </is>
      </c>
      <c r="B5004" t="inlineStr">
        <is>
          <t>avverkningsanmälan</t>
        </is>
      </c>
      <c r="C5004" t="inlineStr">
        <is>
          <t>Föryngringsavverkning</t>
        </is>
      </c>
      <c r="D5004" s="1" t="n">
        <v>45812</v>
      </c>
      <c r="E5004" s="1" t="n">
        <v>46307</v>
      </c>
      <c r="F5004" t="inlineStr">
        <is>
          <t>VÄRMLANDS LÄN</t>
        </is>
      </c>
      <c r="G5004" t="inlineStr">
        <is>
          <t>HAGFORS</t>
        </is>
      </c>
      <c r="H5004" t="inlineStr">
        <is>
          <t>Bergvik skog väst AB</t>
        </is>
      </c>
      <c r="I5004" t="n">
        <v>4.7</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8357-2025</t>
        </is>
      </c>
      <c r="B5005" t="inlineStr">
        <is>
          <t>avverkningsanmälan</t>
        </is>
      </c>
      <c r="C5005" t="inlineStr">
        <is>
          <t>Föryngringsavverkning</t>
        </is>
      </c>
      <c r="D5005" s="1" t="n">
        <v>45708</v>
      </c>
      <c r="E5005" s="1" t="n">
        <v>46307</v>
      </c>
      <c r="F5005" t="inlineStr">
        <is>
          <t>VÄRMLANDS LÄN</t>
        </is>
      </c>
      <c r="G5005" t="inlineStr">
        <is>
          <t>ÅRJÄNG</t>
        </is>
      </c>
      <c r="I5005" t="n">
        <v>3.4</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10321-2025</t>
        </is>
      </c>
      <c r="B5006" t="inlineStr">
        <is>
          <t>avverkningsanmälan</t>
        </is>
      </c>
      <c r="C5006" t="inlineStr">
        <is>
          <t>Avverkning för annat ändamål</t>
        </is>
      </c>
      <c r="D5006" s="1" t="n">
        <v>45720</v>
      </c>
      <c r="E5006" s="1" t="n">
        <v>46307</v>
      </c>
      <c r="F5006" t="inlineStr">
        <is>
          <t>VÄRMLANDS LÄN</t>
        </is>
      </c>
      <c r="G5006" t="inlineStr">
        <is>
          <t>ÅRJÄNG</t>
        </is>
      </c>
      <c r="I5006" t="n">
        <v>3.4</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26892-2025</t>
        </is>
      </c>
      <c r="B5007" t="inlineStr">
        <is>
          <t>avverkningsanmälan</t>
        </is>
      </c>
      <c r="C5007" t="inlineStr">
        <is>
          <t>Föryngringsavverkning</t>
        </is>
      </c>
      <c r="D5007" s="1" t="n">
        <v>45811</v>
      </c>
      <c r="E5007" s="1" t="n">
        <v>46307</v>
      </c>
      <c r="F5007" t="inlineStr">
        <is>
          <t>VÄRMLANDS LÄN</t>
        </is>
      </c>
      <c r="G5007" t="inlineStr">
        <is>
          <t>TORSBY</t>
        </is>
      </c>
      <c r="H5007" t="inlineStr">
        <is>
          <t>Bergvik skog väst AB</t>
        </is>
      </c>
      <c r="I5007" t="n">
        <v>3.1</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49296-2025</t>
        </is>
      </c>
      <c r="B5008" t="inlineStr">
        <is>
          <t>avverkningsanmälan</t>
        </is>
      </c>
      <c r="C5008" t="inlineStr">
        <is>
          <t>Föryngringsavverkning</t>
        </is>
      </c>
      <c r="D5008" s="1" t="n">
        <v>45938</v>
      </c>
      <c r="E5008" s="1" t="n">
        <v>46307</v>
      </c>
      <c r="F5008" t="inlineStr">
        <is>
          <t>VÄRMLANDS LÄN</t>
        </is>
      </c>
      <c r="G5008" t="inlineStr">
        <is>
          <t>ARVIKA</t>
        </is>
      </c>
      <c r="I5008" t="n">
        <v>1</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50114-2025</t>
        </is>
      </c>
      <c r="B5009" t="inlineStr">
        <is>
          <t>avverkningsanmälan</t>
        </is>
      </c>
      <c r="C5009" t="inlineStr">
        <is>
          <t>Föryngringsavverkning</t>
        </is>
      </c>
      <c r="D5009" s="1" t="n">
        <v>45943</v>
      </c>
      <c r="E5009" s="1" t="n">
        <v>46307</v>
      </c>
      <c r="F5009" t="inlineStr">
        <is>
          <t>VÄRMLANDS LÄN</t>
        </is>
      </c>
      <c r="G5009" t="inlineStr">
        <is>
          <t>ÅRJÄNG</t>
        </is>
      </c>
      <c r="I5009" t="n">
        <v>0.7</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24117-2024</t>
        </is>
      </c>
      <c r="B5010" t="inlineStr">
        <is>
          <t>avverkningsanmälan</t>
        </is>
      </c>
      <c r="C5010" t="inlineStr">
        <is>
          <t>Föryngringsavverkning</t>
        </is>
      </c>
      <c r="D5010" s="1" t="n">
        <v>45456</v>
      </c>
      <c r="E5010" s="1" t="n">
        <v>46307</v>
      </c>
      <c r="F5010" t="inlineStr">
        <is>
          <t>VÄRMLANDS LÄN</t>
        </is>
      </c>
      <c r="G5010" t="inlineStr">
        <is>
          <t>KRISTINEHAMN</t>
        </is>
      </c>
      <c r="I5010" t="n">
        <v>1.5</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2203-2025</t>
        </is>
      </c>
      <c r="B5011" t="inlineStr">
        <is>
          <t>avverkningsanmälan</t>
        </is>
      </c>
      <c r="C5011" t="inlineStr">
        <is>
          <t>Föryngringsavverkning</t>
        </is>
      </c>
      <c r="D5011" s="1" t="n">
        <v>45672</v>
      </c>
      <c r="E5011" s="1" t="n">
        <v>46307</v>
      </c>
      <c r="F5011" t="inlineStr">
        <is>
          <t>VÄRMLANDS LÄN</t>
        </is>
      </c>
      <c r="G5011" t="inlineStr">
        <is>
          <t>TORSBY</t>
        </is>
      </c>
      <c r="I5011" t="n">
        <v>11.3</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10547-2022</t>
        </is>
      </c>
      <c r="B5012" t="inlineStr">
        <is>
          <t>avverkningsanmälan</t>
        </is>
      </c>
      <c r="C5012" t="inlineStr">
        <is>
          <t>Föryngringsavverkning</t>
        </is>
      </c>
      <c r="D5012" s="1" t="n">
        <v>44623</v>
      </c>
      <c r="E5012" s="1" t="n">
        <v>46307</v>
      </c>
      <c r="F5012" t="inlineStr">
        <is>
          <t>VÄRMLANDS LÄN</t>
        </is>
      </c>
      <c r="G5012" t="inlineStr">
        <is>
          <t>SUNNE</t>
        </is>
      </c>
      <c r="I5012" t="n">
        <v>1</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50108-2025</t>
        </is>
      </c>
      <c r="B5013" t="inlineStr">
        <is>
          <t>avverkningsanmälan</t>
        </is>
      </c>
      <c r="C5013" t="inlineStr">
        <is>
          <t>Föryngringsavverkning</t>
        </is>
      </c>
      <c r="D5013" s="1" t="n">
        <v>45943</v>
      </c>
      <c r="E5013" s="1" t="n">
        <v>46307</v>
      </c>
      <c r="F5013" t="inlineStr">
        <is>
          <t>VÄRMLANDS LÄN</t>
        </is>
      </c>
      <c r="G5013" t="inlineStr">
        <is>
          <t>ÅRJÄNG</t>
        </is>
      </c>
      <c r="I5013" t="n">
        <v>2.1</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50118-2025</t>
        </is>
      </c>
      <c r="B5014" t="inlineStr">
        <is>
          <t>avverkningsanmälan</t>
        </is>
      </c>
      <c r="C5014" t="inlineStr">
        <is>
          <t>Föryngringsavverkning</t>
        </is>
      </c>
      <c r="D5014" s="1" t="n">
        <v>45943</v>
      </c>
      <c r="E5014" s="1" t="n">
        <v>46307</v>
      </c>
      <c r="F5014" t="inlineStr">
        <is>
          <t>VÄRMLANDS LÄN</t>
        </is>
      </c>
      <c r="G5014" t="inlineStr">
        <is>
          <t>ÅRJÄNG</t>
        </is>
      </c>
      <c r="I5014" t="n">
        <v>7.7</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27129-2025</t>
        </is>
      </c>
      <c r="B5015" t="inlineStr">
        <is>
          <t>avverkningsanmälan</t>
        </is>
      </c>
      <c r="C5015" t="inlineStr">
        <is>
          <t>Föryngringsavverkning</t>
        </is>
      </c>
      <c r="D5015" s="1" t="n">
        <v>45811</v>
      </c>
      <c r="E5015" s="1" t="n">
        <v>46307</v>
      </c>
      <c r="F5015" t="inlineStr">
        <is>
          <t>VÄRMLANDS LÄN</t>
        </is>
      </c>
      <c r="G5015" t="inlineStr">
        <is>
          <t>SÄFFLE</t>
        </is>
      </c>
      <c r="I5015" t="n">
        <v>0.9</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42175-2024</t>
        </is>
      </c>
      <c r="B5016" t="inlineStr">
        <is>
          <t>avverkningsanmälan</t>
        </is>
      </c>
      <c r="C5016" t="inlineStr">
        <is>
          <t>Föryngringsavverkning</t>
        </is>
      </c>
      <c r="D5016" s="1" t="n">
        <v>45562</v>
      </c>
      <c r="E5016" s="1" t="n">
        <v>46307</v>
      </c>
      <c r="F5016" t="inlineStr">
        <is>
          <t>VÄRMLANDS LÄN</t>
        </is>
      </c>
      <c r="G5016" t="inlineStr">
        <is>
          <t>HAGFORS</t>
        </is>
      </c>
      <c r="H5016" t="inlineStr">
        <is>
          <t>Bergvik skog väst AB</t>
        </is>
      </c>
      <c r="I5016" t="n">
        <v>0.9</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10608-2022</t>
        </is>
      </c>
      <c r="B5017" t="inlineStr">
        <is>
          <t>avverkningsanmälan</t>
        </is>
      </c>
      <c r="C5017" t="inlineStr">
        <is>
          <t>Föryngringsavverkning</t>
        </is>
      </c>
      <c r="D5017" s="1" t="n">
        <v>44624</v>
      </c>
      <c r="E5017" s="1" t="n">
        <v>46307</v>
      </c>
      <c r="F5017" t="inlineStr">
        <is>
          <t>VÄRMLANDS LÄN</t>
        </is>
      </c>
      <c r="G5017" t="inlineStr">
        <is>
          <t>TORSBY</t>
        </is>
      </c>
      <c r="I5017" t="n">
        <v>0.8</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8269-2025</t>
        </is>
      </c>
      <c r="B5018" t="inlineStr">
        <is>
          <t>avverkningsanmälan</t>
        </is>
      </c>
      <c r="C5018" t="inlineStr">
        <is>
          <t>Föryngringsavverkning</t>
        </is>
      </c>
      <c r="D5018" s="1" t="n">
        <v>45708</v>
      </c>
      <c r="E5018" s="1" t="n">
        <v>46307</v>
      </c>
      <c r="F5018" t="inlineStr">
        <is>
          <t>VÄRMLANDS LÄN</t>
        </is>
      </c>
      <c r="G5018" t="inlineStr">
        <is>
          <t>STORFORS</t>
        </is>
      </c>
      <c r="I5018" t="n">
        <v>0.6</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11944-2022</t>
        </is>
      </c>
      <c r="B5019" t="inlineStr">
        <is>
          <t>avverkningsanmälan</t>
        </is>
      </c>
      <c r="C5019" t="inlineStr">
        <is>
          <t>Föryngringsavverkning</t>
        </is>
      </c>
      <c r="D5019" s="1" t="n">
        <v>44635</v>
      </c>
      <c r="E5019" s="1" t="n">
        <v>46307</v>
      </c>
      <c r="F5019" t="inlineStr">
        <is>
          <t>VÄRMLANDS LÄN</t>
        </is>
      </c>
      <c r="G5019" t="inlineStr">
        <is>
          <t>SÄFFLE</t>
        </is>
      </c>
      <c r="I5019" t="n">
        <v>2.4</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41479-2024</t>
        </is>
      </c>
      <c r="B5020" t="inlineStr">
        <is>
          <t>avverkningsanmälan</t>
        </is>
      </c>
      <c r="C5020" t="inlineStr">
        <is>
          <t>Föryngringsavverkning</t>
        </is>
      </c>
      <c r="D5020" s="1" t="n">
        <v>45560</v>
      </c>
      <c r="E5020" s="1" t="n">
        <v>46307</v>
      </c>
      <c r="F5020" t="inlineStr">
        <is>
          <t>VÄRMLANDS LÄN</t>
        </is>
      </c>
      <c r="G5020" t="inlineStr">
        <is>
          <t>STORFORS</t>
        </is>
      </c>
      <c r="H5020" t="inlineStr">
        <is>
          <t>Naturvårdsverket</t>
        </is>
      </c>
      <c r="I5020" t="n">
        <v>5.8</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74069-2021</t>
        </is>
      </c>
      <c r="B5021" t="inlineStr">
        <is>
          <t>avverkningsanmälan</t>
        </is>
      </c>
      <c r="C5021" t="inlineStr">
        <is>
          <t>Föryngringsavverkning</t>
        </is>
      </c>
      <c r="D5021" s="1" t="n">
        <v>44557</v>
      </c>
      <c r="E5021" s="1" t="n">
        <v>46307</v>
      </c>
      <c r="F5021" t="inlineStr">
        <is>
          <t>VÄRMLANDS LÄN</t>
        </is>
      </c>
      <c r="G5021" t="inlineStr">
        <is>
          <t>EDA</t>
        </is>
      </c>
      <c r="I5021" t="n">
        <v>0.9</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41504-2024</t>
        </is>
      </c>
      <c r="B5022" t="inlineStr">
        <is>
          <t>avverkningsanmälan</t>
        </is>
      </c>
      <c r="C5022" t="inlineStr">
        <is>
          <t>Föryngringsavverkning</t>
        </is>
      </c>
      <c r="D5022" s="1" t="n">
        <v>45560</v>
      </c>
      <c r="E5022" s="1" t="n">
        <v>46307</v>
      </c>
      <c r="F5022" t="inlineStr">
        <is>
          <t>VÄRMLANDS LÄN</t>
        </is>
      </c>
      <c r="G5022" t="inlineStr">
        <is>
          <t>TORSBY</t>
        </is>
      </c>
      <c r="I5022" t="n">
        <v>4.7</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56348-2024</t>
        </is>
      </c>
      <c r="B5023" t="inlineStr">
        <is>
          <t>avverkningsanmälan</t>
        </is>
      </c>
      <c r="C5023" t="inlineStr">
        <is>
          <t>Föryngringsavverkning</t>
        </is>
      </c>
      <c r="D5023" s="1" t="n">
        <v>45624</v>
      </c>
      <c r="E5023" s="1" t="n">
        <v>46307</v>
      </c>
      <c r="F5023" t="inlineStr">
        <is>
          <t>VÄRMLANDS LÄN</t>
        </is>
      </c>
      <c r="G5023" t="inlineStr">
        <is>
          <t>ÅRJÄNG</t>
        </is>
      </c>
      <c r="I5023" t="n">
        <v>1.6</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27229-2025</t>
        </is>
      </c>
      <c r="B5024" t="inlineStr">
        <is>
          <t>avverkningsanmälan</t>
        </is>
      </c>
      <c r="C5024" t="inlineStr">
        <is>
          <t>Föryngringsavverkning</t>
        </is>
      </c>
      <c r="D5024" s="1" t="n">
        <v>45812</v>
      </c>
      <c r="E5024" s="1" t="n">
        <v>46307</v>
      </c>
      <c r="F5024" t="inlineStr">
        <is>
          <t>VÄRMLANDS LÄN</t>
        </is>
      </c>
      <c r="G5024" t="inlineStr">
        <is>
          <t>HAGFORS</t>
        </is>
      </c>
      <c r="H5024" t="inlineStr">
        <is>
          <t>Bergvik skog väst AB</t>
        </is>
      </c>
      <c r="I5024" t="n">
        <v>2.8</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26898-2025</t>
        </is>
      </c>
      <c r="B5025" t="inlineStr">
        <is>
          <t>avverkningsanmälan</t>
        </is>
      </c>
      <c r="C5025" t="inlineStr">
        <is>
          <t>Föryngringsavverkning</t>
        </is>
      </c>
      <c r="D5025" s="1" t="n">
        <v>45811</v>
      </c>
      <c r="E5025" s="1" t="n">
        <v>46307</v>
      </c>
      <c r="F5025" t="inlineStr">
        <is>
          <t>VÄRMLANDS LÄN</t>
        </is>
      </c>
      <c r="G5025" t="inlineStr">
        <is>
          <t>TORSBY</t>
        </is>
      </c>
      <c r="H5025" t="inlineStr">
        <is>
          <t>Övriga Aktiebolag</t>
        </is>
      </c>
      <c r="I5025" t="n">
        <v>37.8</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26948-2025</t>
        </is>
      </c>
      <c r="B5026" t="inlineStr">
        <is>
          <t>avverkningsanmälan</t>
        </is>
      </c>
      <c r="C5026" t="inlineStr">
        <is>
          <t>Föryngringsavverkning</t>
        </is>
      </c>
      <c r="D5026" s="1" t="n">
        <v>45811</v>
      </c>
      <c r="E5026" s="1" t="n">
        <v>46307</v>
      </c>
      <c r="F5026" t="inlineStr">
        <is>
          <t>VÄRMLANDS LÄN</t>
        </is>
      </c>
      <c r="G5026" t="inlineStr">
        <is>
          <t>SÄFFLE</t>
        </is>
      </c>
      <c r="H5026" t="inlineStr">
        <is>
          <t>Bergvik skog väst AB</t>
        </is>
      </c>
      <c r="I5026" t="n">
        <v>5.5</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26960-2025</t>
        </is>
      </c>
      <c r="B5027" t="inlineStr">
        <is>
          <t>avverkningsanmälan</t>
        </is>
      </c>
      <c r="C5027" t="inlineStr">
        <is>
          <t>Föryngringsavverkning</t>
        </is>
      </c>
      <c r="D5027" s="1" t="n">
        <v>45811</v>
      </c>
      <c r="E5027" s="1" t="n">
        <v>46307</v>
      </c>
      <c r="F5027" t="inlineStr">
        <is>
          <t>VÄRMLANDS LÄN</t>
        </is>
      </c>
      <c r="G5027" t="inlineStr">
        <is>
          <t>TORSBY</t>
        </is>
      </c>
      <c r="H5027" t="inlineStr">
        <is>
          <t>Kyrkan</t>
        </is>
      </c>
      <c r="I5027" t="n">
        <v>5.8</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50373-2025</t>
        </is>
      </c>
      <c r="B5028" t="inlineStr">
        <is>
          <t>avverkningsanmälan</t>
        </is>
      </c>
      <c r="C5028" t="inlineStr">
        <is>
          <t>Föryngringsavverkning</t>
        </is>
      </c>
      <c r="D5028" s="1" t="n">
        <v>45944</v>
      </c>
      <c r="E5028" s="1" t="n">
        <v>46307</v>
      </c>
      <c r="F5028" t="inlineStr">
        <is>
          <t>VÄRMLANDS LÄN</t>
        </is>
      </c>
      <c r="G5028" t="inlineStr">
        <is>
          <t>TORSBY</t>
        </is>
      </c>
      <c r="H5028" t="inlineStr">
        <is>
          <t>Bergvik skog väst AB</t>
        </is>
      </c>
      <c r="I5028" t="n">
        <v>11.5</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20175-2022</t>
        </is>
      </c>
      <c r="B5029" t="inlineStr">
        <is>
          <t>avverkningsanmälan</t>
        </is>
      </c>
      <c r="C5029" t="inlineStr">
        <is>
          <t>Föryngringsavverkning</t>
        </is>
      </c>
      <c r="D5029" s="1" t="n">
        <v>44698</v>
      </c>
      <c r="E5029" s="1" t="n">
        <v>46307</v>
      </c>
      <c r="F5029" t="inlineStr">
        <is>
          <t>VÄRMLANDS LÄN</t>
        </is>
      </c>
      <c r="G5029" t="inlineStr">
        <is>
          <t>TORSBY</t>
        </is>
      </c>
      <c r="I5029" t="n">
        <v>2.8</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44083-2023</t>
        </is>
      </c>
      <c r="B5030" t="inlineStr">
        <is>
          <t>avverkningsanmälan</t>
        </is>
      </c>
      <c r="C5030" t="inlineStr">
        <is>
          <t>Föryngringsavverkning</t>
        </is>
      </c>
      <c r="D5030" s="1" t="n">
        <v>45182</v>
      </c>
      <c r="E5030" s="1" t="n">
        <v>46307</v>
      </c>
      <c r="F5030" t="inlineStr">
        <is>
          <t>VÄRMLANDS LÄN</t>
        </is>
      </c>
      <c r="G5030" t="inlineStr">
        <is>
          <t>TORSBY</t>
        </is>
      </c>
      <c r="I5030" t="n">
        <v>1.9</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41743-2023</t>
        </is>
      </c>
      <c r="B5031" t="inlineStr">
        <is>
          <t>avverkningsanmälan</t>
        </is>
      </c>
      <c r="C5031" t="inlineStr">
        <is>
          <t>Föryngringsavverkning</t>
        </is>
      </c>
      <c r="D5031" s="1" t="n">
        <v>45176</v>
      </c>
      <c r="E5031" s="1" t="n">
        <v>46307</v>
      </c>
      <c r="F5031" t="inlineStr">
        <is>
          <t>VÄRMLANDS LÄN</t>
        </is>
      </c>
      <c r="G5031" t="inlineStr">
        <is>
          <t>EDA</t>
        </is>
      </c>
      <c r="I5031" t="n">
        <v>2.2</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46167-2025</t>
        </is>
      </c>
      <c r="B5032" t="inlineStr">
        <is>
          <t>avverkningsanmälan</t>
        </is>
      </c>
      <c r="C5032" t="inlineStr">
        <is>
          <t>Föryngringsavverkning</t>
        </is>
      </c>
      <c r="D5032" s="1" t="n">
        <v>45924</v>
      </c>
      <c r="E5032" s="1" t="n">
        <v>46307</v>
      </c>
      <c r="F5032" t="inlineStr">
        <is>
          <t>VÄRMLANDS LÄN</t>
        </is>
      </c>
      <c r="G5032" t="inlineStr">
        <is>
          <t>ARVIKA</t>
        </is>
      </c>
      <c r="I5032" t="n">
        <v>2.6</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49967-2025</t>
        </is>
      </c>
      <c r="B5033" t="inlineStr">
        <is>
          <t>avverkningsanmälan</t>
        </is>
      </c>
      <c r="C5033" t="inlineStr">
        <is>
          <t>Föryngringsavverkning</t>
        </is>
      </c>
      <c r="D5033" s="1" t="n">
        <v>45941</v>
      </c>
      <c r="E5033" s="1" t="n">
        <v>46307</v>
      </c>
      <c r="F5033" t="inlineStr">
        <is>
          <t>VÄRMLANDS LÄN</t>
        </is>
      </c>
      <c r="G5033" t="inlineStr">
        <is>
          <t>HAGFORS</t>
        </is>
      </c>
      <c r="H5033" t="inlineStr">
        <is>
          <t>Bergvik skog väst AB</t>
        </is>
      </c>
      <c r="I5033" t="n">
        <v>4.5</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26998-2025</t>
        </is>
      </c>
      <c r="B5034" t="inlineStr">
        <is>
          <t>avverkningsanmälan</t>
        </is>
      </c>
      <c r="C5034" t="inlineStr">
        <is>
          <t>Föryngringsavverkning</t>
        </is>
      </c>
      <c r="D5034" s="1" t="n">
        <v>45811</v>
      </c>
      <c r="E5034" s="1" t="n">
        <v>46307</v>
      </c>
      <c r="F5034" t="inlineStr">
        <is>
          <t>VÄRMLANDS LÄN</t>
        </is>
      </c>
      <c r="G5034" t="inlineStr">
        <is>
          <t>ÅRJÄNG</t>
        </is>
      </c>
      <c r="I5034" t="n">
        <v>1.8</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49057-2024</t>
        </is>
      </c>
      <c r="B5035" t="inlineStr">
        <is>
          <t>avverkningsanmälan</t>
        </is>
      </c>
      <c r="C5035" t="inlineStr">
        <is>
          <t>Föryngringsavverkning</t>
        </is>
      </c>
      <c r="D5035" s="1" t="n">
        <v>45594</v>
      </c>
      <c r="E5035" s="1" t="n">
        <v>46307</v>
      </c>
      <c r="F5035" t="inlineStr">
        <is>
          <t>VÄRMLANDS LÄN</t>
        </is>
      </c>
      <c r="G5035" t="inlineStr">
        <is>
          <t>ÅRJÄNG</t>
        </is>
      </c>
      <c r="I5035" t="n">
        <v>1</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50178-2025</t>
        </is>
      </c>
      <c r="B5036" t="inlineStr">
        <is>
          <t>avverkningsanmälan</t>
        </is>
      </c>
      <c r="C5036" t="inlineStr">
        <is>
          <t>Föryngringsavverkning</t>
        </is>
      </c>
      <c r="D5036" s="1" t="n">
        <v>45943</v>
      </c>
      <c r="E5036" s="1" t="n">
        <v>46307</v>
      </c>
      <c r="F5036" t="inlineStr">
        <is>
          <t>VÄRMLANDS LÄN</t>
        </is>
      </c>
      <c r="G5036" t="inlineStr">
        <is>
          <t>SUNNE</t>
        </is>
      </c>
      <c r="I5036" t="n">
        <v>0.9</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16154-2022</t>
        </is>
      </c>
      <c r="B5037" t="inlineStr">
        <is>
          <t>avverkningsanmälan</t>
        </is>
      </c>
      <c r="C5037" t="inlineStr">
        <is>
          <t>Föryngringsavverkning</t>
        </is>
      </c>
      <c r="D5037" s="1" t="n">
        <v>44666</v>
      </c>
      <c r="E5037" s="1" t="n">
        <v>46307</v>
      </c>
      <c r="F5037" t="inlineStr">
        <is>
          <t>VÄRMLANDS LÄN</t>
        </is>
      </c>
      <c r="G5037" t="inlineStr">
        <is>
          <t>KARLSTAD</t>
        </is>
      </c>
      <c r="I5037" t="n">
        <v>3.1</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47278-2024</t>
        </is>
      </c>
      <c r="B5038" t="inlineStr">
        <is>
          <t>avverkningsanmälan</t>
        </is>
      </c>
      <c r="C5038" t="inlineStr">
        <is>
          <t>Föryngringsavverkning</t>
        </is>
      </c>
      <c r="D5038" s="1" t="n">
        <v>45586</v>
      </c>
      <c r="E5038" s="1" t="n">
        <v>46307</v>
      </c>
      <c r="F5038" t="inlineStr">
        <is>
          <t>VÄRMLANDS LÄN</t>
        </is>
      </c>
      <c r="G5038" t="inlineStr">
        <is>
          <t>SUNNE</t>
        </is>
      </c>
      <c r="I5038" t="n">
        <v>2</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50420-2025</t>
        </is>
      </c>
      <c r="B5039" t="inlineStr">
        <is>
          <t>avverkningsanmälan</t>
        </is>
      </c>
      <c r="C5039" t="inlineStr">
        <is>
          <t>Föryngringsavverkning</t>
        </is>
      </c>
      <c r="D5039" s="1" t="n">
        <v>45944</v>
      </c>
      <c r="E5039" s="1" t="n">
        <v>46307</v>
      </c>
      <c r="F5039" t="inlineStr">
        <is>
          <t>VÄRMLANDS LÄN</t>
        </is>
      </c>
      <c r="G5039" t="inlineStr">
        <is>
          <t>KRISTINEHAMN</t>
        </is>
      </c>
      <c r="I5039" t="n">
        <v>6.8</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5741-2025</t>
        </is>
      </c>
      <c r="B5040" t="inlineStr">
        <is>
          <t>avverkningsanmälan</t>
        </is>
      </c>
      <c r="C5040" t="inlineStr">
        <is>
          <t>Föryngringsavverkning</t>
        </is>
      </c>
      <c r="D5040" s="1" t="n">
        <v>45694</v>
      </c>
      <c r="E5040" s="1" t="n">
        <v>46307</v>
      </c>
      <c r="F5040" t="inlineStr">
        <is>
          <t>VÄRMLANDS LÄN</t>
        </is>
      </c>
      <c r="G5040" t="inlineStr">
        <is>
          <t>ÅRJÄNG</t>
        </is>
      </c>
      <c r="I5040" t="n">
        <v>2.4</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50112-2025</t>
        </is>
      </c>
      <c r="B5041" t="inlineStr">
        <is>
          <t>avverkningsanmälan</t>
        </is>
      </c>
      <c r="C5041" t="inlineStr">
        <is>
          <t>Föryngringsavverkning</t>
        </is>
      </c>
      <c r="D5041" s="1" t="n">
        <v>45943</v>
      </c>
      <c r="E5041" s="1" t="n">
        <v>46307</v>
      </c>
      <c r="F5041" t="inlineStr">
        <is>
          <t>VÄRMLANDS LÄN</t>
        </is>
      </c>
      <c r="G5041" t="inlineStr">
        <is>
          <t>ÅRJÄNG</t>
        </is>
      </c>
      <c r="I5041" t="n">
        <v>2.2</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50312-2025</t>
        </is>
      </c>
      <c r="B5042" t="inlineStr">
        <is>
          <t>avverkningsanmälan</t>
        </is>
      </c>
      <c r="C5042" t="inlineStr">
        <is>
          <t>Föryngringsavverkning</t>
        </is>
      </c>
      <c r="D5042" s="1" t="n">
        <v>45944</v>
      </c>
      <c r="E5042" s="1" t="n">
        <v>46307</v>
      </c>
      <c r="F5042" t="inlineStr">
        <is>
          <t>VÄRMLANDS LÄN</t>
        </is>
      </c>
      <c r="G5042" t="inlineStr">
        <is>
          <t>KARLSTAD</t>
        </is>
      </c>
      <c r="I5042" t="n">
        <v>0.5</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50074-2025</t>
        </is>
      </c>
      <c r="B5043" t="inlineStr">
        <is>
          <t>avverkningsanmälan</t>
        </is>
      </c>
      <c r="C5043" t="inlineStr">
        <is>
          <t>Föryngringsavverkning</t>
        </is>
      </c>
      <c r="D5043" s="1" t="n">
        <v>45943</v>
      </c>
      <c r="E5043" s="1" t="n">
        <v>46307</v>
      </c>
      <c r="F5043" t="inlineStr">
        <is>
          <t>VÄRMLANDS LÄN</t>
        </is>
      </c>
      <c r="G5043" t="inlineStr">
        <is>
          <t>SUNNE</t>
        </is>
      </c>
      <c r="I5043" t="n">
        <v>0.4</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50247-2025</t>
        </is>
      </c>
      <c r="B5044" t="inlineStr">
        <is>
          <t>avverkningsanmälan</t>
        </is>
      </c>
      <c r="C5044" t="inlineStr">
        <is>
          <t>Föryngringsavverkning</t>
        </is>
      </c>
      <c r="D5044" s="1" t="n">
        <v>45944</v>
      </c>
      <c r="E5044" s="1" t="n">
        <v>46307</v>
      </c>
      <c r="F5044" t="inlineStr">
        <is>
          <t>VÄRMLANDS LÄN</t>
        </is>
      </c>
      <c r="G5044" t="inlineStr">
        <is>
          <t>ARVIKA</t>
        </is>
      </c>
      <c r="H5044" t="inlineStr">
        <is>
          <t>Bergvik skog väst AB</t>
        </is>
      </c>
      <c r="I5044" t="n">
        <v>1.3</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14744-2025</t>
        </is>
      </c>
      <c r="B5045" t="inlineStr">
        <is>
          <t>avverkningsanmälan</t>
        </is>
      </c>
      <c r="C5045" t="inlineStr">
        <is>
          <t>Föryngringsavverkning</t>
        </is>
      </c>
      <c r="D5045" s="1" t="n">
        <v>45742</v>
      </c>
      <c r="E5045" s="1" t="n">
        <v>46307</v>
      </c>
      <c r="F5045" t="inlineStr">
        <is>
          <t>VÄRMLANDS LÄN</t>
        </is>
      </c>
      <c r="G5045" t="inlineStr">
        <is>
          <t>EDA</t>
        </is>
      </c>
      <c r="I5045" t="n">
        <v>1.3</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24964-2025</t>
        </is>
      </c>
      <c r="B5046" t="inlineStr">
        <is>
          <t>avverkningsanmälan</t>
        </is>
      </c>
      <c r="C5046" t="inlineStr">
        <is>
          <t>Föryngringsavverkning</t>
        </is>
      </c>
      <c r="D5046" s="1" t="n">
        <v>45799</v>
      </c>
      <c r="E5046" s="1" t="n">
        <v>46307</v>
      </c>
      <c r="F5046" t="inlineStr">
        <is>
          <t>VÄRMLANDS LÄN</t>
        </is>
      </c>
      <c r="G5046" t="inlineStr">
        <is>
          <t>ÅRJÄNG</t>
        </is>
      </c>
      <c r="I5046" t="n">
        <v>1.2</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27119-2025</t>
        </is>
      </c>
      <c r="B5047" t="inlineStr">
        <is>
          <t>avverkningsanmälan</t>
        </is>
      </c>
      <c r="C5047" t="inlineStr">
        <is>
          <t>Föryngringsavverkning</t>
        </is>
      </c>
      <c r="D5047" s="1" t="n">
        <v>45811</v>
      </c>
      <c r="E5047" s="1" t="n">
        <v>46307</v>
      </c>
      <c r="F5047" t="inlineStr">
        <is>
          <t>VÄRMLANDS LÄN</t>
        </is>
      </c>
      <c r="G5047" t="inlineStr">
        <is>
          <t>HAGFORS</t>
        </is>
      </c>
      <c r="I5047" t="n">
        <v>1.5</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27174-2025</t>
        </is>
      </c>
      <c r="B5048" t="inlineStr">
        <is>
          <t>avverkningsanmälan</t>
        </is>
      </c>
      <c r="C5048" t="inlineStr">
        <is>
          <t>Föryngringsavverkning</t>
        </is>
      </c>
      <c r="D5048" s="1" t="n">
        <v>45812</v>
      </c>
      <c r="E5048" s="1" t="n">
        <v>46307</v>
      </c>
      <c r="F5048" t="inlineStr">
        <is>
          <t>VÄRMLANDS LÄN</t>
        </is>
      </c>
      <c r="G5048" t="inlineStr">
        <is>
          <t>TORSBY</t>
        </is>
      </c>
      <c r="H5048" t="inlineStr">
        <is>
          <t>Kyrkan</t>
        </is>
      </c>
      <c r="I5048" t="n">
        <v>1.6</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26959-2025</t>
        </is>
      </c>
      <c r="B5049" t="inlineStr">
        <is>
          <t>avverkningsanmälan</t>
        </is>
      </c>
      <c r="C5049" t="inlineStr">
        <is>
          <t>Föryngringsavverkning</t>
        </is>
      </c>
      <c r="D5049" s="1" t="n">
        <v>45811</v>
      </c>
      <c r="E5049" s="1" t="n">
        <v>46307</v>
      </c>
      <c r="F5049" t="inlineStr">
        <is>
          <t>VÄRMLANDS LÄN</t>
        </is>
      </c>
      <c r="G5049" t="inlineStr">
        <is>
          <t>ÅRJÄNG</t>
        </is>
      </c>
      <c r="I5049" t="n">
        <v>1.4</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27043-2025</t>
        </is>
      </c>
      <c r="B5050" t="inlineStr">
        <is>
          <t>avverkningsanmälan</t>
        </is>
      </c>
      <c r="C5050" t="inlineStr">
        <is>
          <t>Föryngringsavverkning</t>
        </is>
      </c>
      <c r="D5050" s="1" t="n">
        <v>45811</v>
      </c>
      <c r="E5050" s="1" t="n">
        <v>46307</v>
      </c>
      <c r="F5050" t="inlineStr">
        <is>
          <t>VÄRMLANDS LÄN</t>
        </is>
      </c>
      <c r="G5050" t="inlineStr">
        <is>
          <t>TORSBY</t>
        </is>
      </c>
      <c r="I5050" t="n">
        <v>2.1</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21925-2023</t>
        </is>
      </c>
      <c r="B5051" t="inlineStr">
        <is>
          <t>avverkningsanmälan</t>
        </is>
      </c>
      <c r="C5051" t="inlineStr">
        <is>
          <t>Föryngringsavverkning</t>
        </is>
      </c>
      <c r="D5051" s="1" t="n">
        <v>45068</v>
      </c>
      <c r="E5051" s="1" t="n">
        <v>46307</v>
      </c>
      <c r="F5051" t="inlineStr">
        <is>
          <t>VÄRMLANDS LÄN</t>
        </is>
      </c>
      <c r="G5051" t="inlineStr">
        <is>
          <t>SUNNE</t>
        </is>
      </c>
      <c r="I5051" t="n">
        <v>1.2</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21943-2023</t>
        </is>
      </c>
      <c r="B5052" t="inlineStr">
        <is>
          <t>avverkningsanmälan</t>
        </is>
      </c>
      <c r="C5052" t="inlineStr">
        <is>
          <t>Föryngringsavverkning</t>
        </is>
      </c>
      <c r="D5052" s="1" t="n">
        <v>45068</v>
      </c>
      <c r="E5052" s="1" t="n">
        <v>46307</v>
      </c>
      <c r="F5052" t="inlineStr">
        <is>
          <t>VÄRMLANDS LÄN</t>
        </is>
      </c>
      <c r="G5052" t="inlineStr">
        <is>
          <t>KARLSTAD</t>
        </is>
      </c>
      <c r="I5052" t="n">
        <v>1.2</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21974-2023</t>
        </is>
      </c>
      <c r="B5053" t="inlineStr">
        <is>
          <t>avverkningsanmälan</t>
        </is>
      </c>
      <c r="C5053" t="inlineStr">
        <is>
          <t>Föryngringsavverkning</t>
        </is>
      </c>
      <c r="D5053" s="1" t="n">
        <v>45068</v>
      </c>
      <c r="E5053" s="1" t="n">
        <v>46307</v>
      </c>
      <c r="F5053" t="inlineStr">
        <is>
          <t>VÄRMLANDS LÄN</t>
        </is>
      </c>
      <c r="G5053" t="inlineStr">
        <is>
          <t>SÄFFLE</t>
        </is>
      </c>
      <c r="I5053" t="n">
        <v>11.8</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50339-2025</t>
        </is>
      </c>
      <c r="B5054" t="inlineStr">
        <is>
          <t>avverkningsanmälan</t>
        </is>
      </c>
      <c r="C5054" t="inlineStr">
        <is>
          <t>Föryngringsavverkning</t>
        </is>
      </c>
      <c r="D5054" s="1" t="n">
        <v>45944</v>
      </c>
      <c r="E5054" s="1" t="n">
        <v>46307</v>
      </c>
      <c r="F5054" t="inlineStr">
        <is>
          <t>VÄRMLANDS LÄN</t>
        </is>
      </c>
      <c r="G5054" t="inlineStr">
        <is>
          <t>SUNNE</t>
        </is>
      </c>
      <c r="I5054" t="n">
        <v>11.6</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19340-2022</t>
        </is>
      </c>
      <c r="B5055" t="inlineStr">
        <is>
          <t>avverkningsanmälan</t>
        </is>
      </c>
      <c r="C5055" t="inlineStr">
        <is>
          <t>Föryngringsavverkning</t>
        </is>
      </c>
      <c r="D5055" s="1" t="n">
        <v>44692</v>
      </c>
      <c r="E5055" s="1" t="n">
        <v>46307</v>
      </c>
      <c r="F5055" t="inlineStr">
        <is>
          <t>VÄRMLANDS LÄN</t>
        </is>
      </c>
      <c r="G5055" t="inlineStr">
        <is>
          <t>SUNNE</t>
        </is>
      </c>
      <c r="I5055" t="n">
        <v>2.3</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42951-2023</t>
        </is>
      </c>
      <c r="B5056" t="inlineStr">
        <is>
          <t>avverkningsanmälan</t>
        </is>
      </c>
      <c r="C5056" t="inlineStr">
        <is>
          <t>Föryngringsavverkning</t>
        </is>
      </c>
      <c r="D5056" s="1" t="n">
        <v>45182</v>
      </c>
      <c r="E5056" s="1" t="n">
        <v>46307</v>
      </c>
      <c r="F5056" t="inlineStr">
        <is>
          <t>VÄRMLANDS LÄN</t>
        </is>
      </c>
      <c r="G5056" t="inlineStr">
        <is>
          <t>HAMMARÖ</t>
        </is>
      </c>
      <c r="H5056" t="inlineStr">
        <is>
          <t>Övriga Aktiebolag</t>
        </is>
      </c>
      <c r="I5056" t="n">
        <v>0.8</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50399-2025</t>
        </is>
      </c>
      <c r="B5057" t="inlineStr">
        <is>
          <t>avverkningsanmälan</t>
        </is>
      </c>
      <c r="C5057" t="inlineStr">
        <is>
          <t>Föryngringsavverkning</t>
        </is>
      </c>
      <c r="D5057" s="1" t="n">
        <v>45944</v>
      </c>
      <c r="E5057" s="1" t="n">
        <v>46307</v>
      </c>
      <c r="F5057" t="inlineStr">
        <is>
          <t>VÄRMLANDS LÄN</t>
        </is>
      </c>
      <c r="G5057" t="inlineStr">
        <is>
          <t>SÄFFLE</t>
        </is>
      </c>
      <c r="I5057" t="n">
        <v>7.4</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42955-2023</t>
        </is>
      </c>
      <c r="B5058" t="inlineStr">
        <is>
          <t>avverkningsanmälan</t>
        </is>
      </c>
      <c r="C5058" t="inlineStr">
        <is>
          <t>Föryngringsavverkning</t>
        </is>
      </c>
      <c r="D5058" s="1" t="n">
        <v>45182</v>
      </c>
      <c r="E5058" s="1" t="n">
        <v>46307</v>
      </c>
      <c r="F5058" t="inlineStr">
        <is>
          <t>VÄRMLANDS LÄN</t>
        </is>
      </c>
      <c r="G5058" t="inlineStr">
        <is>
          <t>HAMMARÖ</t>
        </is>
      </c>
      <c r="H5058" t="inlineStr">
        <is>
          <t>Övriga Aktiebolag</t>
        </is>
      </c>
      <c r="I5058" t="n">
        <v>0.3</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42960-2023</t>
        </is>
      </c>
      <c r="B5059" t="inlineStr">
        <is>
          <t>avverkningsanmälan</t>
        </is>
      </c>
      <c r="C5059" t="inlineStr">
        <is>
          <t>Föryngringsavverkning</t>
        </is>
      </c>
      <c r="D5059" s="1" t="n">
        <v>45182</v>
      </c>
      <c r="E5059" s="1" t="n">
        <v>46307</v>
      </c>
      <c r="F5059" t="inlineStr">
        <is>
          <t>VÄRMLANDS LÄN</t>
        </is>
      </c>
      <c r="G5059" t="inlineStr">
        <is>
          <t>HAMMARÖ</t>
        </is>
      </c>
      <c r="H5059" t="inlineStr">
        <is>
          <t>Övriga Aktiebolag</t>
        </is>
      </c>
      <c r="I5059" t="n">
        <v>0.4</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38404-2022</t>
        </is>
      </c>
      <c r="B5060" t="inlineStr">
        <is>
          <t>avverkningsanmälan</t>
        </is>
      </c>
      <c r="C5060" t="inlineStr">
        <is>
          <t>Föryngringsavverkning</t>
        </is>
      </c>
      <c r="D5060" s="1" t="n">
        <v>44812</v>
      </c>
      <c r="E5060" s="1" t="n">
        <v>46307</v>
      </c>
      <c r="F5060" t="inlineStr">
        <is>
          <t>VÄRMLANDS LÄN</t>
        </is>
      </c>
      <c r="G5060" t="inlineStr">
        <is>
          <t>KRISTINEHAMN</t>
        </is>
      </c>
      <c r="I5060" t="n">
        <v>1.1</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27239-2025</t>
        </is>
      </c>
      <c r="B5061" t="inlineStr">
        <is>
          <t>avverkningsanmälan</t>
        </is>
      </c>
      <c r="C5061" t="inlineStr">
        <is>
          <t>Föryngringsavverkning</t>
        </is>
      </c>
      <c r="D5061" s="1" t="n">
        <v>45812</v>
      </c>
      <c r="E5061" s="1" t="n">
        <v>46307</v>
      </c>
      <c r="F5061" t="inlineStr">
        <is>
          <t>VÄRMLANDS LÄN</t>
        </is>
      </c>
      <c r="G5061" t="inlineStr">
        <is>
          <t>SUNNE</t>
        </is>
      </c>
      <c r="H5061" t="inlineStr">
        <is>
          <t>Bergvik skog väst AB</t>
        </is>
      </c>
      <c r="I5061" t="n">
        <v>3.1</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27821-2023</t>
        </is>
      </c>
      <c r="B5062" t="inlineStr">
        <is>
          <t>avverkningsanmälan</t>
        </is>
      </c>
      <c r="C5062" t="inlineStr">
        <is>
          <t>Föryngringsavverkning</t>
        </is>
      </c>
      <c r="D5062" s="1" t="n">
        <v>45098</v>
      </c>
      <c r="E5062" s="1" t="n">
        <v>46307</v>
      </c>
      <c r="F5062" t="inlineStr">
        <is>
          <t>VÄRMLANDS LÄN</t>
        </is>
      </c>
      <c r="G5062" t="inlineStr">
        <is>
          <t>SÄFFLE</t>
        </is>
      </c>
      <c r="I5062" t="n">
        <v>1.2</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50050-2025</t>
        </is>
      </c>
      <c r="B5063" t="inlineStr">
        <is>
          <t>avverkningsanmälan</t>
        </is>
      </c>
      <c r="C5063" t="inlineStr">
        <is>
          <t>Föryngringsavverkning</t>
        </is>
      </c>
      <c r="D5063" s="1" t="n">
        <v>45942</v>
      </c>
      <c r="E5063" s="1" t="n">
        <v>46307</v>
      </c>
      <c r="F5063" t="inlineStr">
        <is>
          <t>VÄRMLANDS LÄN</t>
        </is>
      </c>
      <c r="G5063" t="inlineStr">
        <is>
          <t>ÅRJÄNG</t>
        </is>
      </c>
      <c r="H5063" t="inlineStr">
        <is>
          <t>Övriga Aktiebolag</t>
        </is>
      </c>
      <c r="I5063" t="n">
        <v>2.9</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27302-2025</t>
        </is>
      </c>
      <c r="B5064" t="inlineStr">
        <is>
          <t>avverkningsanmälan</t>
        </is>
      </c>
      <c r="C5064" t="inlineStr">
        <is>
          <t>Föryngringsavverkning</t>
        </is>
      </c>
      <c r="D5064" s="1" t="n">
        <v>45812</v>
      </c>
      <c r="E5064" s="1" t="n">
        <v>46307</v>
      </c>
      <c r="F5064" t="inlineStr">
        <is>
          <t>VÄRMLANDS LÄN</t>
        </is>
      </c>
      <c r="G5064" t="inlineStr">
        <is>
          <t>SUNNE</t>
        </is>
      </c>
      <c r="H5064" t="inlineStr">
        <is>
          <t>Bergvik skog väst AB</t>
        </is>
      </c>
      <c r="I5064" t="n">
        <v>1.2</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50304-2025</t>
        </is>
      </c>
      <c r="B5065" t="inlineStr">
        <is>
          <t>avverkningsanmälan</t>
        </is>
      </c>
      <c r="C5065" t="inlineStr">
        <is>
          <t>Föryngringsavverkning</t>
        </is>
      </c>
      <c r="D5065" s="1" t="n">
        <v>45944</v>
      </c>
      <c r="E5065" s="1" t="n">
        <v>46307</v>
      </c>
      <c r="F5065" t="inlineStr">
        <is>
          <t>VÄRMLANDS LÄN</t>
        </is>
      </c>
      <c r="G5065" t="inlineStr">
        <is>
          <t>ÅRJÄNG</t>
        </is>
      </c>
      <c r="I5065" t="n">
        <v>4.7</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50880-2025</t>
        </is>
      </c>
      <c r="B5066" t="inlineStr">
        <is>
          <t>avverkningsanmälan</t>
        </is>
      </c>
      <c r="C5066" t="inlineStr">
        <is>
          <t>Föryngringsavverkning</t>
        </is>
      </c>
      <c r="D5066" s="1" t="n">
        <v>45946</v>
      </c>
      <c r="E5066" s="1" t="n">
        <v>46307</v>
      </c>
      <c r="F5066" t="inlineStr">
        <is>
          <t>VÄRMLANDS LÄN</t>
        </is>
      </c>
      <c r="G5066" t="inlineStr">
        <is>
          <t>HAGFORS</t>
        </is>
      </c>
      <c r="I5066" t="n">
        <v>0.8</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50470-2025</t>
        </is>
      </c>
      <c r="B5067" t="inlineStr">
        <is>
          <t>avverkningsanmälan</t>
        </is>
      </c>
      <c r="C5067" t="inlineStr">
        <is>
          <t>Föryngringsavverkning</t>
        </is>
      </c>
      <c r="D5067" s="1" t="n">
        <v>45945</v>
      </c>
      <c r="E5067" s="1" t="n">
        <v>46307</v>
      </c>
      <c r="F5067" t="inlineStr">
        <is>
          <t>VÄRMLANDS LÄN</t>
        </is>
      </c>
      <c r="G5067" t="inlineStr">
        <is>
          <t>SUNNE</t>
        </is>
      </c>
      <c r="H5067" t="inlineStr">
        <is>
          <t>Bergvik skog väst AB</t>
        </is>
      </c>
      <c r="I5067" t="n">
        <v>10.2</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50501-2025</t>
        </is>
      </c>
      <c r="B5068" t="inlineStr">
        <is>
          <t>avverkningsanmälan</t>
        </is>
      </c>
      <c r="C5068" t="inlineStr">
        <is>
          <t>Föryngringsavverkning</t>
        </is>
      </c>
      <c r="D5068" s="1" t="n">
        <v>45945</v>
      </c>
      <c r="E5068" s="1" t="n">
        <v>46307</v>
      </c>
      <c r="F5068" t="inlineStr">
        <is>
          <t>VÄRMLANDS LÄN</t>
        </is>
      </c>
      <c r="G5068" t="inlineStr">
        <is>
          <t>KARLSTAD</t>
        </is>
      </c>
      <c r="I5068" t="n">
        <v>2.3</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50750-2025</t>
        </is>
      </c>
      <c r="B5069" t="inlineStr">
        <is>
          <t>avverkningsanmälan</t>
        </is>
      </c>
      <c r="C5069" t="inlineStr">
        <is>
          <t>Föryngringsavverkning</t>
        </is>
      </c>
      <c r="D5069" s="1" t="n">
        <v>45946</v>
      </c>
      <c r="E5069" s="1" t="n">
        <v>46307</v>
      </c>
      <c r="F5069" t="inlineStr">
        <is>
          <t>VÄRMLANDS LÄN</t>
        </is>
      </c>
      <c r="G5069" t="inlineStr">
        <is>
          <t>TORSBY</t>
        </is>
      </c>
      <c r="H5069" t="inlineStr">
        <is>
          <t>Bergvik skog väst AB</t>
        </is>
      </c>
      <c r="I5069" t="n">
        <v>13</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50752-2025</t>
        </is>
      </c>
      <c r="B5070" t="inlineStr">
        <is>
          <t>avverkningsanmälan</t>
        </is>
      </c>
      <c r="C5070" t="inlineStr">
        <is>
          <t>Föryngringsavverkning</t>
        </is>
      </c>
      <c r="D5070" s="1" t="n">
        <v>45946</v>
      </c>
      <c r="E5070" s="1" t="n">
        <v>46307</v>
      </c>
      <c r="F5070" t="inlineStr">
        <is>
          <t>VÄRMLANDS LÄN</t>
        </is>
      </c>
      <c r="G5070" t="inlineStr">
        <is>
          <t>HAGFORS</t>
        </is>
      </c>
      <c r="I5070" t="n">
        <v>0.7</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50927-2025</t>
        </is>
      </c>
      <c r="B5071" t="inlineStr">
        <is>
          <t>avverkningsanmälan</t>
        </is>
      </c>
      <c r="C5071" t="inlineStr">
        <is>
          <t>Föryngringsavverkning</t>
        </is>
      </c>
      <c r="D5071" s="1" t="n">
        <v>45946</v>
      </c>
      <c r="E5071" s="1" t="n">
        <v>46307</v>
      </c>
      <c r="F5071" t="inlineStr">
        <is>
          <t>VÄRMLANDS LÄN</t>
        </is>
      </c>
      <c r="G5071" t="inlineStr">
        <is>
          <t>TORSBY</t>
        </is>
      </c>
      <c r="H5071" t="inlineStr">
        <is>
          <t>Kommuner</t>
        </is>
      </c>
      <c r="I5071" t="n">
        <v>0.9</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50931-2025</t>
        </is>
      </c>
      <c r="B5072" t="inlineStr">
        <is>
          <t>avverkningsanmälan</t>
        </is>
      </c>
      <c r="C5072" t="inlineStr">
        <is>
          <t>Föryngringsavverkning</t>
        </is>
      </c>
      <c r="D5072" s="1" t="n">
        <v>45946</v>
      </c>
      <c r="E5072" s="1" t="n">
        <v>46307</v>
      </c>
      <c r="F5072" t="inlineStr">
        <is>
          <t>VÄRMLANDS LÄN</t>
        </is>
      </c>
      <c r="G5072" t="inlineStr">
        <is>
          <t>ÅRJÄNG</t>
        </is>
      </c>
      <c r="I5072" t="n">
        <v>1.8</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26599-2024</t>
        </is>
      </c>
      <c r="B5073" t="inlineStr">
        <is>
          <t>avverkningsanmälan</t>
        </is>
      </c>
      <c r="C5073" t="inlineStr">
        <is>
          <t>Avverkning för att bevara och utveckla /försöksver</t>
        </is>
      </c>
      <c r="D5073" s="1" t="n">
        <v>45469</v>
      </c>
      <c r="E5073" s="1" t="n">
        <v>46307</v>
      </c>
      <c r="F5073" t="inlineStr">
        <is>
          <t>VÄRMLANDS LÄN</t>
        </is>
      </c>
      <c r="G5073" t="inlineStr">
        <is>
          <t>FILIPSTAD</t>
        </is>
      </c>
      <c r="I5073" t="n">
        <v>2</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45138-2024</t>
        </is>
      </c>
      <c r="B5074" t="inlineStr">
        <is>
          <t>avverkningsanmälan</t>
        </is>
      </c>
      <c r="C5074" t="inlineStr">
        <is>
          <t>Föryngringsavverkning</t>
        </is>
      </c>
      <c r="D5074" s="1" t="n">
        <v>45575</v>
      </c>
      <c r="E5074" s="1" t="n">
        <v>46307</v>
      </c>
      <c r="F5074" t="inlineStr">
        <is>
          <t>VÄRMLANDS LÄN</t>
        </is>
      </c>
      <c r="G5074" t="inlineStr">
        <is>
          <t>SÄFFLE</t>
        </is>
      </c>
      <c r="I5074" t="n">
        <v>5.2</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50624-2025</t>
        </is>
      </c>
      <c r="B5075" t="inlineStr">
        <is>
          <t>avverkningsanmälan</t>
        </is>
      </c>
      <c r="C5075" t="inlineStr">
        <is>
          <t>Föryngringsavverkning</t>
        </is>
      </c>
      <c r="D5075" s="1" t="n">
        <v>45945</v>
      </c>
      <c r="E5075" s="1" t="n">
        <v>46307</v>
      </c>
      <c r="F5075" t="inlineStr">
        <is>
          <t>VÄRMLANDS LÄN</t>
        </is>
      </c>
      <c r="G5075" t="inlineStr">
        <is>
          <t>ÅRJÄNG</t>
        </is>
      </c>
      <c r="I5075" t="n">
        <v>3.4</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9871-2024</t>
        </is>
      </c>
      <c r="B5076" t="inlineStr">
        <is>
          <t>avverkningsanmälan</t>
        </is>
      </c>
      <c r="C5076" t="inlineStr">
        <is>
          <t>Föryngringsavverkning</t>
        </is>
      </c>
      <c r="D5076" s="1" t="n">
        <v>45363</v>
      </c>
      <c r="E5076" s="1" t="n">
        <v>46307</v>
      </c>
      <c r="F5076" t="inlineStr">
        <is>
          <t>VÄRMLANDS LÄN</t>
        </is>
      </c>
      <c r="G5076" t="inlineStr">
        <is>
          <t>TORSBY</t>
        </is>
      </c>
      <c r="I5076" t="n">
        <v>0.7</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5338-2025</t>
        </is>
      </c>
      <c r="B5077" t="inlineStr">
        <is>
          <t>avverkningsanmälan</t>
        </is>
      </c>
      <c r="C5077" t="inlineStr">
        <is>
          <t>Föryngringsavverkning</t>
        </is>
      </c>
      <c r="D5077" s="1" t="n">
        <v>45692</v>
      </c>
      <c r="E5077" s="1" t="n">
        <v>46307</v>
      </c>
      <c r="F5077" t="inlineStr">
        <is>
          <t>VÄRMLANDS LÄN</t>
        </is>
      </c>
      <c r="G5077" t="inlineStr">
        <is>
          <t>HAGFORS</t>
        </is>
      </c>
      <c r="I5077" t="n">
        <v>1.3</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50841-2025</t>
        </is>
      </c>
      <c r="B5078" t="inlineStr">
        <is>
          <t>avverkningsanmälan</t>
        </is>
      </c>
      <c r="C5078" t="inlineStr">
        <is>
          <t>Föryngringsavverkning</t>
        </is>
      </c>
      <c r="D5078" s="1" t="n">
        <v>45946</v>
      </c>
      <c r="E5078" s="1" t="n">
        <v>46307</v>
      </c>
      <c r="F5078" t="inlineStr">
        <is>
          <t>VÄRMLANDS LÄN</t>
        </is>
      </c>
      <c r="G5078" t="inlineStr">
        <is>
          <t>ÅRJÄNG</t>
        </is>
      </c>
      <c r="H5078" t="inlineStr">
        <is>
          <t>Kyrkan</t>
        </is>
      </c>
      <c r="I5078" t="n">
        <v>2.4</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50847-2025</t>
        </is>
      </c>
      <c r="B5079" t="inlineStr">
        <is>
          <t>avverkningsanmälan</t>
        </is>
      </c>
      <c r="C5079" t="inlineStr">
        <is>
          <t>Föryngringsavverkning</t>
        </is>
      </c>
      <c r="D5079" s="1" t="n">
        <v>45946</v>
      </c>
      <c r="E5079" s="1" t="n">
        <v>46307</v>
      </c>
      <c r="F5079" t="inlineStr">
        <is>
          <t>VÄRMLANDS LÄN</t>
        </is>
      </c>
      <c r="G5079" t="inlineStr">
        <is>
          <t>ÅRJÄNG</t>
        </is>
      </c>
      <c r="H5079" t="inlineStr">
        <is>
          <t>Kyrkan</t>
        </is>
      </c>
      <c r="I5079" t="n">
        <v>4.3</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48903-2024</t>
        </is>
      </c>
      <c r="B5080" t="inlineStr">
        <is>
          <t>avverkningsanmälan</t>
        </is>
      </c>
      <c r="C5080" t="inlineStr">
        <is>
          <t>Föryngringsavverkning</t>
        </is>
      </c>
      <c r="D5080" s="1" t="n">
        <v>45594</v>
      </c>
      <c r="E5080" s="1" t="n">
        <v>46307</v>
      </c>
      <c r="F5080" t="inlineStr">
        <is>
          <t>VÄRMLANDS LÄN</t>
        </is>
      </c>
      <c r="G5080" t="inlineStr">
        <is>
          <t>TORSBY</t>
        </is>
      </c>
      <c r="I5080" t="n">
        <v>0.4</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50921-2025</t>
        </is>
      </c>
      <c r="B5081" t="inlineStr">
        <is>
          <t>avverkningsanmälan</t>
        </is>
      </c>
      <c r="C5081" t="inlineStr">
        <is>
          <t>Föryngringsavverkning</t>
        </is>
      </c>
      <c r="D5081" s="1" t="n">
        <v>45946</v>
      </c>
      <c r="E5081" s="1" t="n">
        <v>46307</v>
      </c>
      <c r="F5081" t="inlineStr">
        <is>
          <t>VÄRMLANDS LÄN</t>
        </is>
      </c>
      <c r="G5081" t="inlineStr">
        <is>
          <t>TORSBY</t>
        </is>
      </c>
      <c r="H5081" t="inlineStr">
        <is>
          <t>Kommuner</t>
        </is>
      </c>
      <c r="I5081" t="n">
        <v>2.5</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50451-2025</t>
        </is>
      </c>
      <c r="B5082" t="inlineStr">
        <is>
          <t>avverkningsanmälan</t>
        </is>
      </c>
      <c r="C5082" t="inlineStr">
        <is>
          <t>Avverkning för annat ändamål</t>
        </is>
      </c>
      <c r="D5082" s="1" t="n">
        <v>45945</v>
      </c>
      <c r="E5082" s="1" t="n">
        <v>46307</v>
      </c>
      <c r="F5082" t="inlineStr">
        <is>
          <t>VÄRMLANDS LÄN</t>
        </is>
      </c>
      <c r="G5082" t="inlineStr">
        <is>
          <t>ARVIKA</t>
        </is>
      </c>
      <c r="H5082" t="inlineStr">
        <is>
          <t>Bergvik skog väst AB</t>
        </is>
      </c>
      <c r="I5082" t="n">
        <v>3.4</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58878-2021</t>
        </is>
      </c>
      <c r="B5083" t="inlineStr">
        <is>
          <t>avverkningsanmälan</t>
        </is>
      </c>
      <c r="C5083" t="inlineStr">
        <is>
          <t>Föryngringsavverkning</t>
        </is>
      </c>
      <c r="D5083" s="1" t="n">
        <v>44489</v>
      </c>
      <c r="E5083" s="1" t="n">
        <v>46307</v>
      </c>
      <c r="F5083" t="inlineStr">
        <is>
          <t>VÄRMLANDS LÄN</t>
        </is>
      </c>
      <c r="G5083" t="inlineStr">
        <is>
          <t>SÄFFLE</t>
        </is>
      </c>
      <c r="I5083" t="n">
        <v>6.6</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54019-2023</t>
        </is>
      </c>
      <c r="B5084" t="inlineStr">
        <is>
          <t>avverkningsanmälan</t>
        </is>
      </c>
      <c r="C5084" t="inlineStr">
        <is>
          <t>Föryngringsavverkning</t>
        </is>
      </c>
      <c r="D5084" s="1" t="n">
        <v>45231</v>
      </c>
      <c r="E5084" s="1" t="n">
        <v>46307</v>
      </c>
      <c r="F5084" t="inlineStr">
        <is>
          <t>VÄRMLANDS LÄN</t>
        </is>
      </c>
      <c r="G5084" t="inlineStr">
        <is>
          <t>EDA</t>
        </is>
      </c>
      <c r="I5084" t="n">
        <v>1.6</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27162-2025</t>
        </is>
      </c>
      <c r="B5085" t="inlineStr">
        <is>
          <t>avverkningsanmälan</t>
        </is>
      </c>
      <c r="C5085" t="inlineStr">
        <is>
          <t>Föryngringsavverkning</t>
        </is>
      </c>
      <c r="D5085" s="1" t="n">
        <v>45812</v>
      </c>
      <c r="E5085" s="1" t="n">
        <v>46307</v>
      </c>
      <c r="F5085" t="inlineStr">
        <is>
          <t>VÄRMLANDS LÄN</t>
        </is>
      </c>
      <c r="G5085" t="inlineStr">
        <is>
          <t>MUNKFORS</t>
        </is>
      </c>
      <c r="H5085" t="inlineStr">
        <is>
          <t>Kommuner</t>
        </is>
      </c>
      <c r="I5085" t="n">
        <v>1.4</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27181-2025</t>
        </is>
      </c>
      <c r="B5086" t="inlineStr">
        <is>
          <t>avverkningsanmälan</t>
        </is>
      </c>
      <c r="C5086" t="inlineStr">
        <is>
          <t>Föryngringsavverkning</t>
        </is>
      </c>
      <c r="D5086" s="1" t="n">
        <v>45812</v>
      </c>
      <c r="E5086" s="1" t="n">
        <v>46307</v>
      </c>
      <c r="F5086" t="inlineStr">
        <is>
          <t>VÄRMLANDS LÄN</t>
        </is>
      </c>
      <c r="G5086" t="inlineStr">
        <is>
          <t>HAGFORS</t>
        </is>
      </c>
      <c r="H5086" t="inlineStr">
        <is>
          <t>Bergvik skog väst AB</t>
        </is>
      </c>
      <c r="I5086" t="n">
        <v>0.7</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27195-2025</t>
        </is>
      </c>
      <c r="B5087" t="inlineStr">
        <is>
          <t>avverkningsanmälan</t>
        </is>
      </c>
      <c r="C5087" t="inlineStr">
        <is>
          <t>Föryngringsavverkning</t>
        </is>
      </c>
      <c r="D5087" s="1" t="n">
        <v>45812</v>
      </c>
      <c r="E5087" s="1" t="n">
        <v>46307</v>
      </c>
      <c r="F5087" t="inlineStr">
        <is>
          <t>VÄRMLANDS LÄN</t>
        </is>
      </c>
      <c r="G5087" t="inlineStr">
        <is>
          <t>HAGFORS</t>
        </is>
      </c>
      <c r="H5087" t="inlineStr">
        <is>
          <t>Bergvik skog väst AB</t>
        </is>
      </c>
      <c r="I5087" t="n">
        <v>1</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19815-2025</t>
        </is>
      </c>
      <c r="B5088" t="inlineStr">
        <is>
          <t>avverkningsanmälan</t>
        </is>
      </c>
      <c r="C5088" t="inlineStr">
        <is>
          <t>Föryngringsavverkning</t>
        </is>
      </c>
      <c r="D5088" s="1" t="n">
        <v>45771</v>
      </c>
      <c r="E5088" s="1" t="n">
        <v>46307</v>
      </c>
      <c r="F5088" t="inlineStr">
        <is>
          <t>VÄRMLANDS LÄN</t>
        </is>
      </c>
      <c r="G5088" t="inlineStr">
        <is>
          <t>SÄFFLE</t>
        </is>
      </c>
      <c r="I5088" t="n">
        <v>7.2</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27263-2025</t>
        </is>
      </c>
      <c r="B5089" t="inlineStr">
        <is>
          <t>avverkningsanmälan</t>
        </is>
      </c>
      <c r="C5089" t="inlineStr">
        <is>
          <t>Föryngringsavverkning</t>
        </is>
      </c>
      <c r="D5089" s="1" t="n">
        <v>45812</v>
      </c>
      <c r="E5089" s="1" t="n">
        <v>46307</v>
      </c>
      <c r="F5089" t="inlineStr">
        <is>
          <t>VÄRMLANDS LÄN</t>
        </is>
      </c>
      <c r="G5089" t="inlineStr">
        <is>
          <t>HAGFORS</t>
        </is>
      </c>
      <c r="H5089" t="inlineStr">
        <is>
          <t>Bergvik skog väst AB</t>
        </is>
      </c>
      <c r="I5089" t="n">
        <v>4.3</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27328-2025</t>
        </is>
      </c>
      <c r="B5090" t="inlineStr">
        <is>
          <t>avverkningsanmälan</t>
        </is>
      </c>
      <c r="C5090" t="inlineStr">
        <is>
          <t>Föryngringsavverkning</t>
        </is>
      </c>
      <c r="D5090" s="1" t="n">
        <v>45812</v>
      </c>
      <c r="E5090" s="1" t="n">
        <v>46307</v>
      </c>
      <c r="F5090" t="inlineStr">
        <is>
          <t>VÄRMLANDS LÄN</t>
        </is>
      </c>
      <c r="G5090" t="inlineStr">
        <is>
          <t>ARVIKA</t>
        </is>
      </c>
      <c r="H5090" t="inlineStr">
        <is>
          <t>Bergvik skog väst AB</t>
        </is>
      </c>
      <c r="I5090" t="n">
        <v>0.5</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269-2025</t>
        </is>
      </c>
      <c r="B5091" t="inlineStr">
        <is>
          <t>avverkningsanmälan</t>
        </is>
      </c>
      <c r="C5091" t="inlineStr">
        <is>
          <t>Föryngringsavverkning</t>
        </is>
      </c>
      <c r="D5091" s="1" t="n">
        <v>45660</v>
      </c>
      <c r="E5091" s="1" t="n">
        <v>46307</v>
      </c>
      <c r="F5091" t="inlineStr">
        <is>
          <t>VÄRMLANDS LÄN</t>
        </is>
      </c>
      <c r="G5091" t="inlineStr">
        <is>
          <t>SUNNE</t>
        </is>
      </c>
      <c r="I5091" t="n">
        <v>0.6</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27344-2025</t>
        </is>
      </c>
      <c r="B5092" t="inlineStr">
        <is>
          <t>avverkningsanmälan</t>
        </is>
      </c>
      <c r="C5092" t="inlineStr">
        <is>
          <t>Föryngringsavverkning</t>
        </is>
      </c>
      <c r="D5092" s="1" t="n">
        <v>45812</v>
      </c>
      <c r="E5092" s="1" t="n">
        <v>46307</v>
      </c>
      <c r="F5092" t="inlineStr">
        <is>
          <t>VÄRMLANDS LÄN</t>
        </is>
      </c>
      <c r="G5092" t="inlineStr">
        <is>
          <t>ARVIKA</t>
        </is>
      </c>
      <c r="H5092" t="inlineStr">
        <is>
          <t>Bergvik skog väst AB</t>
        </is>
      </c>
      <c r="I5092" t="n">
        <v>1.7</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24444-2025</t>
        </is>
      </c>
      <c r="B5093" t="inlineStr">
        <is>
          <t>avverkningsanmälan</t>
        </is>
      </c>
      <c r="C5093" t="inlineStr">
        <is>
          <t>Föryngringsavverkning</t>
        </is>
      </c>
      <c r="D5093" s="1" t="n">
        <v>45798</v>
      </c>
      <c r="E5093" s="1" t="n">
        <v>46307</v>
      </c>
      <c r="F5093" t="inlineStr">
        <is>
          <t>VÄRMLANDS LÄN</t>
        </is>
      </c>
      <c r="G5093" t="inlineStr">
        <is>
          <t>ÅRJÄNG</t>
        </is>
      </c>
      <c r="I5093" t="n">
        <v>5.1</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50620-2025</t>
        </is>
      </c>
      <c r="B5094" t="inlineStr">
        <is>
          <t>avverkningsanmälan</t>
        </is>
      </c>
      <c r="C5094" t="inlineStr">
        <is>
          <t>Föryngringsavverkning</t>
        </is>
      </c>
      <c r="D5094" s="1" t="n">
        <v>45945</v>
      </c>
      <c r="E5094" s="1" t="n">
        <v>46307</v>
      </c>
      <c r="F5094" t="inlineStr">
        <is>
          <t>VÄRMLANDS LÄN</t>
        </is>
      </c>
      <c r="G5094" t="inlineStr">
        <is>
          <t>ÅRJÄNG</t>
        </is>
      </c>
      <c r="I5094" t="n">
        <v>7.7</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50652-2025</t>
        </is>
      </c>
      <c r="B5095" t="inlineStr">
        <is>
          <t>avverkningsanmälan</t>
        </is>
      </c>
      <c r="C5095" t="inlineStr">
        <is>
          <t>Föryngringsavverkning</t>
        </is>
      </c>
      <c r="D5095" s="1" t="n">
        <v>45945</v>
      </c>
      <c r="E5095" s="1" t="n">
        <v>46307</v>
      </c>
      <c r="F5095" t="inlineStr">
        <is>
          <t>VÄRMLANDS LÄN</t>
        </is>
      </c>
      <c r="G5095" t="inlineStr">
        <is>
          <t>SÄFFLE</t>
        </is>
      </c>
      <c r="I5095" t="n">
        <v>1</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50906-2025</t>
        </is>
      </c>
      <c r="B5096" t="inlineStr">
        <is>
          <t>avverkningsanmälan</t>
        </is>
      </c>
      <c r="C5096" t="inlineStr">
        <is>
          <t>Föryngringsavverkning</t>
        </is>
      </c>
      <c r="D5096" s="1" t="n">
        <v>45946</v>
      </c>
      <c r="E5096" s="1" t="n">
        <v>46307</v>
      </c>
      <c r="F5096" t="inlineStr">
        <is>
          <t>VÄRMLANDS LÄN</t>
        </is>
      </c>
      <c r="G5096" t="inlineStr">
        <is>
          <t>TORSBY</t>
        </is>
      </c>
      <c r="H5096" t="inlineStr">
        <is>
          <t>Kommuner</t>
        </is>
      </c>
      <c r="I5096" t="n">
        <v>4.7</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50776-2025</t>
        </is>
      </c>
      <c r="B5097" t="inlineStr">
        <is>
          <t>avverkningsanmälan</t>
        </is>
      </c>
      <c r="C5097" t="inlineStr">
        <is>
          <t>Föryngringsavverkning</t>
        </is>
      </c>
      <c r="D5097" s="1" t="n">
        <v>45946</v>
      </c>
      <c r="E5097" s="1" t="n">
        <v>46307</v>
      </c>
      <c r="F5097" t="inlineStr">
        <is>
          <t>VÄRMLANDS LÄN</t>
        </is>
      </c>
      <c r="G5097" t="inlineStr">
        <is>
          <t>SÄFFLE</t>
        </is>
      </c>
      <c r="I5097" t="n">
        <v>0.6</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50554-2025</t>
        </is>
      </c>
      <c r="B5098" t="inlineStr">
        <is>
          <t>avverkningsanmälan</t>
        </is>
      </c>
      <c r="C5098" t="inlineStr">
        <is>
          <t>Föryngringsavverkning</t>
        </is>
      </c>
      <c r="D5098" s="1" t="n">
        <v>45945</v>
      </c>
      <c r="E5098" s="1" t="n">
        <v>46307</v>
      </c>
      <c r="F5098" t="inlineStr">
        <is>
          <t>VÄRMLANDS LÄN</t>
        </is>
      </c>
      <c r="G5098" t="inlineStr">
        <is>
          <t>ÅRJÄNG</t>
        </is>
      </c>
      <c r="I5098" t="n">
        <v>1.5</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55900-2024</t>
        </is>
      </c>
      <c r="B5099" t="inlineStr">
        <is>
          <t>avverkningsanmälan</t>
        </is>
      </c>
      <c r="C5099" t="inlineStr">
        <is>
          <t>Föryngringsavverkning</t>
        </is>
      </c>
      <c r="D5099" s="1" t="n">
        <v>45623</v>
      </c>
      <c r="E5099" s="1" t="n">
        <v>46307</v>
      </c>
      <c r="F5099" t="inlineStr">
        <is>
          <t>VÄRMLANDS LÄN</t>
        </is>
      </c>
      <c r="G5099" t="inlineStr">
        <is>
          <t>SUNNE</t>
        </is>
      </c>
      <c r="H5099" t="inlineStr">
        <is>
          <t>Övriga Aktiebolag</t>
        </is>
      </c>
      <c r="I5099" t="n">
        <v>0.8</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32389-2022</t>
        </is>
      </c>
      <c r="B5100" t="inlineStr">
        <is>
          <t>avverkningsanmälan</t>
        </is>
      </c>
      <c r="C5100" t="inlineStr">
        <is>
          <t>Föryngringsavverkning</t>
        </is>
      </c>
      <c r="D5100" s="1" t="n">
        <v>44782</v>
      </c>
      <c r="E5100" s="1" t="n">
        <v>46307</v>
      </c>
      <c r="F5100" t="inlineStr">
        <is>
          <t>VÄRMLANDS LÄN</t>
        </is>
      </c>
      <c r="G5100" t="inlineStr">
        <is>
          <t>MUNKFORS</t>
        </is>
      </c>
      <c r="I5100" t="n">
        <v>3.1</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8639-2025</t>
        </is>
      </c>
      <c r="B5101" t="inlineStr">
        <is>
          <t>avverkningsanmälan</t>
        </is>
      </c>
      <c r="C5101" t="inlineStr">
        <is>
          <t>Föryngringsavverkning</t>
        </is>
      </c>
      <c r="D5101" s="1" t="n">
        <v>45711</v>
      </c>
      <c r="E5101" s="1" t="n">
        <v>46307</v>
      </c>
      <c r="F5101" t="inlineStr">
        <is>
          <t>VÄRMLANDS LÄN</t>
        </is>
      </c>
      <c r="G5101" t="inlineStr">
        <is>
          <t>STORFORS</t>
        </is>
      </c>
      <c r="I5101" t="n">
        <v>4.1</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27128-2025</t>
        </is>
      </c>
      <c r="B5102" t="inlineStr">
        <is>
          <t>avverkningsanmälan</t>
        </is>
      </c>
      <c r="C5102" t="inlineStr">
        <is>
          <t>Föryngringsavverkning</t>
        </is>
      </c>
      <c r="D5102" s="1" t="n">
        <v>45811</v>
      </c>
      <c r="E5102" s="1" t="n">
        <v>46307</v>
      </c>
      <c r="F5102" t="inlineStr">
        <is>
          <t>VÄRMLANDS LÄN</t>
        </is>
      </c>
      <c r="G5102" t="inlineStr">
        <is>
          <t>SÄFFLE</t>
        </is>
      </c>
      <c r="I5102" t="n">
        <v>0.6</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27139-2025</t>
        </is>
      </c>
      <c r="B5103" t="inlineStr">
        <is>
          <t>avverkningsanmälan</t>
        </is>
      </c>
      <c r="C5103" t="inlineStr">
        <is>
          <t>Föryngringsavverkning</t>
        </is>
      </c>
      <c r="D5103" s="1" t="n">
        <v>45812</v>
      </c>
      <c r="E5103" s="1" t="n">
        <v>46307</v>
      </c>
      <c r="F5103" t="inlineStr">
        <is>
          <t>VÄRMLANDS LÄN</t>
        </is>
      </c>
      <c r="G5103" t="inlineStr">
        <is>
          <t>KRISTINEHAMN</t>
        </is>
      </c>
      <c r="H5103" t="inlineStr">
        <is>
          <t>Sveaskog</t>
        </is>
      </c>
      <c r="I5103" t="n">
        <v>2.5</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20520-2023</t>
        </is>
      </c>
      <c r="B5104" t="inlineStr">
        <is>
          <t>avverkningsanmälan</t>
        </is>
      </c>
      <c r="C5104" t="inlineStr">
        <is>
          <t>Föryngringsavverkning</t>
        </is>
      </c>
      <c r="D5104" s="1" t="n">
        <v>45057</v>
      </c>
      <c r="E5104" s="1" t="n">
        <v>46307</v>
      </c>
      <c r="F5104" t="inlineStr">
        <is>
          <t>VÄRMLANDS LÄN</t>
        </is>
      </c>
      <c r="G5104" t="inlineStr">
        <is>
          <t>SÄFFLE</t>
        </is>
      </c>
      <c r="I5104" t="n">
        <v>1.7</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57721-2023</t>
        </is>
      </c>
      <c r="B5105" t="inlineStr">
        <is>
          <t>avverkningsanmälan</t>
        </is>
      </c>
      <c r="C5105" t="inlineStr">
        <is>
          <t>Föryngringsavverkning</t>
        </is>
      </c>
      <c r="D5105" s="1" t="n">
        <v>45243</v>
      </c>
      <c r="E5105" s="1" t="n">
        <v>46307</v>
      </c>
      <c r="F5105" t="inlineStr">
        <is>
          <t>VÄRMLANDS LÄN</t>
        </is>
      </c>
      <c r="G5105" t="inlineStr">
        <is>
          <t>SUNNE</t>
        </is>
      </c>
      <c r="I5105" t="n">
        <v>2.3</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62669-2023</t>
        </is>
      </c>
      <c r="B5106" t="inlineStr">
        <is>
          <t>avverkningsanmälan</t>
        </is>
      </c>
      <c r="C5106" t="inlineStr">
        <is>
          <t>Föryngringsavverkning</t>
        </is>
      </c>
      <c r="D5106" s="1" t="n">
        <v>45271</v>
      </c>
      <c r="E5106" s="1" t="n">
        <v>46307</v>
      </c>
      <c r="F5106" t="inlineStr">
        <is>
          <t>VÄRMLANDS LÄN</t>
        </is>
      </c>
      <c r="G5106" t="inlineStr">
        <is>
          <t>KIL</t>
        </is>
      </c>
      <c r="I5106" t="n">
        <v>0.7</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17971-2024</t>
        </is>
      </c>
      <c r="B5107" t="inlineStr">
        <is>
          <t>avverkningsanmälan</t>
        </is>
      </c>
      <c r="C5107" t="inlineStr">
        <is>
          <t>Föryngringsavverkning</t>
        </is>
      </c>
      <c r="D5107" s="1" t="n">
        <v>45419</v>
      </c>
      <c r="E5107" s="1" t="n">
        <v>46307</v>
      </c>
      <c r="F5107" t="inlineStr">
        <is>
          <t>VÄRMLANDS LÄN</t>
        </is>
      </c>
      <c r="G5107" t="inlineStr">
        <is>
          <t>SÄFFLE</t>
        </is>
      </c>
      <c r="I5107" t="n">
        <v>1.3</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46646-2024</t>
        </is>
      </c>
      <c r="B5108" t="inlineStr">
        <is>
          <t>avverkningsanmälan</t>
        </is>
      </c>
      <c r="C5108" t="inlineStr">
        <is>
          <t>Föryngringsavverkning</t>
        </is>
      </c>
      <c r="D5108" s="1" t="n">
        <v>45583</v>
      </c>
      <c r="E5108" s="1" t="n">
        <v>46307</v>
      </c>
      <c r="F5108" t="inlineStr">
        <is>
          <t>VÄRMLANDS LÄN</t>
        </is>
      </c>
      <c r="G5108" t="inlineStr">
        <is>
          <t>EDA</t>
        </is>
      </c>
      <c r="I5108" t="n">
        <v>1.8</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62703-2023</t>
        </is>
      </c>
      <c r="B5109" t="inlineStr">
        <is>
          <t>avverkningsanmälan</t>
        </is>
      </c>
      <c r="C5109" t="inlineStr">
        <is>
          <t>Föryngringsavverkning</t>
        </is>
      </c>
      <c r="D5109" s="1" t="n">
        <v>45271</v>
      </c>
      <c r="E5109" s="1" t="n">
        <v>46307</v>
      </c>
      <c r="F5109" t="inlineStr">
        <is>
          <t>VÄRMLANDS LÄN</t>
        </is>
      </c>
      <c r="G5109" t="inlineStr">
        <is>
          <t>SUNNE</t>
        </is>
      </c>
      <c r="I5109" t="n">
        <v>0.7</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27247-2025</t>
        </is>
      </c>
      <c r="B5110" t="inlineStr">
        <is>
          <t>avverkningsanmälan</t>
        </is>
      </c>
      <c r="C5110" t="inlineStr">
        <is>
          <t>Föryngringsavverkning</t>
        </is>
      </c>
      <c r="D5110" s="1" t="n">
        <v>45812</v>
      </c>
      <c r="E5110" s="1" t="n">
        <v>46307</v>
      </c>
      <c r="F5110" t="inlineStr">
        <is>
          <t>VÄRMLANDS LÄN</t>
        </is>
      </c>
      <c r="G5110" t="inlineStr">
        <is>
          <t>ÅRJÄNG</t>
        </is>
      </c>
      <c r="I5110" t="n">
        <v>2.9</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11428-2023</t>
        </is>
      </c>
      <c r="B5111" t="inlineStr">
        <is>
          <t>avverkningsanmälan</t>
        </is>
      </c>
      <c r="C5111" t="inlineStr">
        <is>
          <t>Föryngringsavverkning</t>
        </is>
      </c>
      <c r="D5111" s="1" t="n">
        <v>44993</v>
      </c>
      <c r="E5111" s="1" t="n">
        <v>46307</v>
      </c>
      <c r="F5111" t="inlineStr">
        <is>
          <t>VÄRMLANDS LÄN</t>
        </is>
      </c>
      <c r="G5111" t="inlineStr">
        <is>
          <t>SUNNE</t>
        </is>
      </c>
      <c r="I5111" t="n">
        <v>2.1</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2564-2025</t>
        </is>
      </c>
      <c r="B5112" t="inlineStr">
        <is>
          <t>avverkningsanmälan</t>
        </is>
      </c>
      <c r="C5112" t="inlineStr">
        <is>
          <t>Föryngringsavverkning</t>
        </is>
      </c>
      <c r="D5112" s="1" t="n">
        <v>45674</v>
      </c>
      <c r="E5112" s="1" t="n">
        <v>46307</v>
      </c>
      <c r="F5112" t="inlineStr">
        <is>
          <t>VÄRMLANDS LÄN</t>
        </is>
      </c>
      <c r="G5112" t="inlineStr">
        <is>
          <t>ARVIKA</t>
        </is>
      </c>
      <c r="I5112" t="n">
        <v>2.7</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64432-2023</t>
        </is>
      </c>
      <c r="B5113" t="inlineStr">
        <is>
          <t>avverkningsanmälan</t>
        </is>
      </c>
      <c r="C5113" t="inlineStr">
        <is>
          <t>Föryngringsavverkning</t>
        </is>
      </c>
      <c r="D5113" s="1" t="n">
        <v>45280</v>
      </c>
      <c r="E5113" s="1" t="n">
        <v>46307</v>
      </c>
      <c r="F5113" t="inlineStr">
        <is>
          <t>VÄRMLANDS LÄN</t>
        </is>
      </c>
      <c r="G5113" t="inlineStr">
        <is>
          <t>TORSBY</t>
        </is>
      </c>
      <c r="I5113" t="n">
        <v>3</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27886-2023</t>
        </is>
      </c>
      <c r="B5114" t="inlineStr">
        <is>
          <t>avverkningsanmälan</t>
        </is>
      </c>
      <c r="C5114" t="inlineStr">
        <is>
          <t>Föryngringsavverkning</t>
        </is>
      </c>
      <c r="D5114" s="1" t="n">
        <v>45098</v>
      </c>
      <c r="E5114" s="1" t="n">
        <v>46307</v>
      </c>
      <c r="F5114" t="inlineStr">
        <is>
          <t>VÄRMLANDS LÄN</t>
        </is>
      </c>
      <c r="G5114" t="inlineStr">
        <is>
          <t>EDA</t>
        </is>
      </c>
      <c r="I5114" t="n">
        <v>2.1</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63282-2023</t>
        </is>
      </c>
      <c r="B5115" t="inlineStr">
        <is>
          <t>avverkningsanmälan</t>
        </is>
      </c>
      <c r="C5115" t="inlineStr">
        <is>
          <t>Föryngringsavverkning</t>
        </is>
      </c>
      <c r="D5115" s="1" t="n">
        <v>45273</v>
      </c>
      <c r="E5115" s="1" t="n">
        <v>46307</v>
      </c>
      <c r="F5115" t="inlineStr">
        <is>
          <t>VÄRMLANDS LÄN</t>
        </is>
      </c>
      <c r="G5115" t="inlineStr">
        <is>
          <t>KARLSTAD</t>
        </is>
      </c>
      <c r="I5115" t="n">
        <v>1.8</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18344-2024</t>
        </is>
      </c>
      <c r="B5116" t="inlineStr">
        <is>
          <t>avverkningsanmälan</t>
        </is>
      </c>
      <c r="C5116" t="inlineStr">
        <is>
          <t>Föryngringsavverkning</t>
        </is>
      </c>
      <c r="D5116" s="1" t="n">
        <v>45422</v>
      </c>
      <c r="E5116" s="1" t="n">
        <v>46307</v>
      </c>
      <c r="F5116" t="inlineStr">
        <is>
          <t>VÄRMLANDS LÄN</t>
        </is>
      </c>
      <c r="G5116" t="inlineStr">
        <is>
          <t>ARVIKA</t>
        </is>
      </c>
      <c r="I5116" t="n">
        <v>2.5</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24445-2025</t>
        </is>
      </c>
      <c r="B5117" t="inlineStr">
        <is>
          <t>avverkningsanmälan</t>
        </is>
      </c>
      <c r="C5117" t="inlineStr">
        <is>
          <t>Föryngringsavverkning</t>
        </is>
      </c>
      <c r="D5117" s="1" t="n">
        <v>45798</v>
      </c>
      <c r="E5117" s="1" t="n">
        <v>46307</v>
      </c>
      <c r="F5117" t="inlineStr">
        <is>
          <t>VÄRMLANDS LÄN</t>
        </is>
      </c>
      <c r="G5117" t="inlineStr">
        <is>
          <t>ÅRJÄNG</t>
        </is>
      </c>
      <c r="I5117" t="n">
        <v>6.4</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8598-2025</t>
        </is>
      </c>
      <c r="B5118" t="inlineStr">
        <is>
          <t>avverkningsanmälan</t>
        </is>
      </c>
      <c r="C5118" t="inlineStr">
        <is>
          <t>Föryngringsavverkning</t>
        </is>
      </c>
      <c r="D5118" s="1" t="n">
        <v>45709</v>
      </c>
      <c r="E5118" s="1" t="n">
        <v>46307</v>
      </c>
      <c r="F5118" t="inlineStr">
        <is>
          <t>VÄRMLANDS LÄN</t>
        </is>
      </c>
      <c r="G5118" t="inlineStr">
        <is>
          <t>ARVIKA</t>
        </is>
      </c>
      <c r="I5118" t="n">
        <v>14.1</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5127-2025</t>
        </is>
      </c>
      <c r="B5119" t="inlineStr">
        <is>
          <t>avverkningsanmälan</t>
        </is>
      </c>
      <c r="C5119" t="inlineStr">
        <is>
          <t>Föryngringsavverkning</t>
        </is>
      </c>
      <c r="D5119" s="1" t="n">
        <v>45691</v>
      </c>
      <c r="E5119" s="1" t="n">
        <v>46307</v>
      </c>
      <c r="F5119" t="inlineStr">
        <is>
          <t>VÄRMLANDS LÄN</t>
        </is>
      </c>
      <c r="G5119" t="inlineStr">
        <is>
          <t>ÅRJÄNG</t>
        </is>
      </c>
      <c r="I5119" t="n">
        <v>5.7</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15747-2022</t>
        </is>
      </c>
      <c r="B5120" t="inlineStr">
        <is>
          <t>avverkningsanmälan</t>
        </is>
      </c>
      <c r="C5120" t="inlineStr">
        <is>
          <t>Föryngringsavverkning</t>
        </is>
      </c>
      <c r="D5120" s="1" t="n">
        <v>44663</v>
      </c>
      <c r="E5120" s="1" t="n">
        <v>46307</v>
      </c>
      <c r="F5120" t="inlineStr">
        <is>
          <t>VÄRMLANDS LÄN</t>
        </is>
      </c>
      <c r="G5120" t="inlineStr">
        <is>
          <t>SUNNE</t>
        </is>
      </c>
      <c r="I5120" t="n">
        <v>1.7</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51815-2024</t>
        </is>
      </c>
      <c r="B5121" t="inlineStr">
        <is>
          <t>avverkningsanmälan</t>
        </is>
      </c>
      <c r="C5121" t="inlineStr">
        <is>
          <t>Föryngringsavverkning</t>
        </is>
      </c>
      <c r="D5121" s="1" t="n">
        <v>45607</v>
      </c>
      <c r="E5121" s="1" t="n">
        <v>46307</v>
      </c>
      <c r="F5121" t="inlineStr">
        <is>
          <t>VÄRMLANDS LÄN</t>
        </is>
      </c>
      <c r="G5121" t="inlineStr">
        <is>
          <t>ARVIKA</t>
        </is>
      </c>
      <c r="I5121" t="n">
        <v>1.3</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27674-2025</t>
        </is>
      </c>
      <c r="B5122" t="inlineStr">
        <is>
          <t>avverkningsanmälan</t>
        </is>
      </c>
      <c r="C5122" t="inlineStr">
        <is>
          <t>Föryngringsavverkning</t>
        </is>
      </c>
      <c r="D5122" s="1" t="n">
        <v>45813</v>
      </c>
      <c r="E5122" s="1" t="n">
        <v>46307</v>
      </c>
      <c r="F5122" t="inlineStr">
        <is>
          <t>VÄRMLANDS LÄN</t>
        </is>
      </c>
      <c r="G5122" t="inlineStr">
        <is>
          <t>TORSBY</t>
        </is>
      </c>
      <c r="I5122" t="n">
        <v>3.7</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4494-2025</t>
        </is>
      </c>
      <c r="B5123" t="inlineStr">
        <is>
          <t>avverkningsanmälan</t>
        </is>
      </c>
      <c r="C5123" t="inlineStr">
        <is>
          <t>Föryngringsavverkning</t>
        </is>
      </c>
      <c r="D5123" s="1" t="n">
        <v>45686</v>
      </c>
      <c r="E5123" s="1" t="n">
        <v>46307</v>
      </c>
      <c r="F5123" t="inlineStr">
        <is>
          <t>VÄRMLANDS LÄN</t>
        </is>
      </c>
      <c r="G5123" t="inlineStr">
        <is>
          <t>STORFORS</t>
        </is>
      </c>
      <c r="I5123" t="n">
        <v>1</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43305-2022</t>
        </is>
      </c>
      <c r="B5124" t="inlineStr">
        <is>
          <t>avverkningsanmälan</t>
        </is>
      </c>
      <c r="C5124" t="inlineStr">
        <is>
          <t>Föryngringsavverkning</t>
        </is>
      </c>
      <c r="D5124" s="1" t="n">
        <v>44834</v>
      </c>
      <c r="E5124" s="1" t="n">
        <v>46307</v>
      </c>
      <c r="F5124" t="inlineStr">
        <is>
          <t>VÄRMLANDS LÄN</t>
        </is>
      </c>
      <c r="G5124" t="inlineStr">
        <is>
          <t>SUNNE</t>
        </is>
      </c>
      <c r="I5124" t="n">
        <v>1.8</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61940-2023</t>
        </is>
      </c>
      <c r="B5125" t="inlineStr">
        <is>
          <t>avverkningsanmälan</t>
        </is>
      </c>
      <c r="C5125" t="inlineStr">
        <is>
          <t>Föryngringsavverkning</t>
        </is>
      </c>
      <c r="D5125" s="1" t="n">
        <v>45266</v>
      </c>
      <c r="E5125" s="1" t="n">
        <v>46307</v>
      </c>
      <c r="F5125" t="inlineStr">
        <is>
          <t>VÄRMLANDS LÄN</t>
        </is>
      </c>
      <c r="G5125" t="inlineStr">
        <is>
          <t>SÄFFLE</t>
        </is>
      </c>
      <c r="I5125" t="n">
        <v>0.8</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1158-2025</t>
        </is>
      </c>
      <c r="B5126" t="inlineStr">
        <is>
          <t>avverkningsanmälan</t>
        </is>
      </c>
      <c r="C5126" t="inlineStr">
        <is>
          <t>Föryngringsavverkning</t>
        </is>
      </c>
      <c r="D5126" s="1" t="n">
        <v>45666</v>
      </c>
      <c r="E5126" s="1" t="n">
        <v>46307</v>
      </c>
      <c r="F5126" t="inlineStr">
        <is>
          <t>VÄRMLANDS LÄN</t>
        </is>
      </c>
      <c r="G5126" t="inlineStr">
        <is>
          <t>SUNNE</t>
        </is>
      </c>
      <c r="I5126" t="n">
        <v>0.8</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27472-2025</t>
        </is>
      </c>
      <c r="B5127" t="inlineStr">
        <is>
          <t>avverkningsanmälan</t>
        </is>
      </c>
      <c r="C5127" t="inlineStr">
        <is>
          <t>Föryngringsavverkning</t>
        </is>
      </c>
      <c r="D5127" s="1" t="n">
        <v>45813</v>
      </c>
      <c r="E5127" s="1" t="n">
        <v>46307</v>
      </c>
      <c r="F5127" t="inlineStr">
        <is>
          <t>VÄRMLANDS LÄN</t>
        </is>
      </c>
      <c r="G5127" t="inlineStr">
        <is>
          <t>ARVIKA</t>
        </is>
      </c>
      <c r="I5127" t="n">
        <v>0.5</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27667-2025</t>
        </is>
      </c>
      <c r="B5128" t="inlineStr">
        <is>
          <t>avverkningsanmälan</t>
        </is>
      </c>
      <c r="C5128" t="inlineStr">
        <is>
          <t>Föryngringsavverkning</t>
        </is>
      </c>
      <c r="D5128" s="1" t="n">
        <v>45813</v>
      </c>
      <c r="E5128" s="1" t="n">
        <v>46307</v>
      </c>
      <c r="F5128" t="inlineStr">
        <is>
          <t>VÄRMLANDS LÄN</t>
        </is>
      </c>
      <c r="G5128" t="inlineStr">
        <is>
          <t>TORSBY</t>
        </is>
      </c>
      <c r="I5128" t="n">
        <v>1.3</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16864-2025</t>
        </is>
      </c>
      <c r="B5129" t="inlineStr">
        <is>
          <t>avverkningsanmälan</t>
        </is>
      </c>
      <c r="C5129" t="inlineStr">
        <is>
          <t>Föryngringsavverkning</t>
        </is>
      </c>
      <c r="D5129" s="1" t="n">
        <v>45754</v>
      </c>
      <c r="E5129" s="1" t="n">
        <v>46307</v>
      </c>
      <c r="F5129" t="inlineStr">
        <is>
          <t>VÄRMLANDS LÄN</t>
        </is>
      </c>
      <c r="G5129" t="inlineStr">
        <is>
          <t>SUNNE</t>
        </is>
      </c>
      <c r="I5129" t="n">
        <v>0.9</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64539-2023</t>
        </is>
      </c>
      <c r="B5130" t="inlineStr">
        <is>
          <t>avverkningsanmälan</t>
        </is>
      </c>
      <c r="C5130" t="inlineStr">
        <is>
          <t>Föryngringsavverkning</t>
        </is>
      </c>
      <c r="D5130" s="1" t="n">
        <v>45281</v>
      </c>
      <c r="E5130" s="1" t="n">
        <v>46307</v>
      </c>
      <c r="F5130" t="inlineStr">
        <is>
          <t>VÄRMLANDS LÄN</t>
        </is>
      </c>
      <c r="G5130" t="inlineStr">
        <is>
          <t>SUNNE</t>
        </is>
      </c>
      <c r="I5130" t="n">
        <v>12.5</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55422-2023</t>
        </is>
      </c>
      <c r="B5131" t="inlineStr">
        <is>
          <t>avverkningsanmälan</t>
        </is>
      </c>
      <c r="C5131" t="inlineStr">
        <is>
          <t>Föryngringsavverkning</t>
        </is>
      </c>
      <c r="D5131" s="1" t="n">
        <v>45238</v>
      </c>
      <c r="E5131" s="1" t="n">
        <v>46307</v>
      </c>
      <c r="F5131" t="inlineStr">
        <is>
          <t>VÄRMLANDS LÄN</t>
        </is>
      </c>
      <c r="G5131" t="inlineStr">
        <is>
          <t>ÅRJÄNG</t>
        </is>
      </c>
      <c r="H5131" t="inlineStr">
        <is>
          <t>Kyrkan</t>
        </is>
      </c>
      <c r="I5131" t="n">
        <v>2.3</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27489-2025</t>
        </is>
      </c>
      <c r="B5132" t="inlineStr">
        <is>
          <t>avverkningsanmälan</t>
        </is>
      </c>
      <c r="C5132" t="inlineStr">
        <is>
          <t>Föryngringsavverkning</t>
        </is>
      </c>
      <c r="D5132" s="1" t="n">
        <v>45813</v>
      </c>
      <c r="E5132" s="1" t="n">
        <v>46307</v>
      </c>
      <c r="F5132" t="inlineStr">
        <is>
          <t>VÄRMLANDS LÄN</t>
        </is>
      </c>
      <c r="G5132" t="inlineStr">
        <is>
          <t>KARLSTAD</t>
        </is>
      </c>
      <c r="I5132" t="n">
        <v>0.3</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27492-2025</t>
        </is>
      </c>
      <c r="B5133" t="inlineStr">
        <is>
          <t>avverkningsanmälan</t>
        </is>
      </c>
      <c r="C5133" t="inlineStr">
        <is>
          <t>Föryngringsavverkning</t>
        </is>
      </c>
      <c r="D5133" s="1" t="n">
        <v>45813</v>
      </c>
      <c r="E5133" s="1" t="n">
        <v>46307</v>
      </c>
      <c r="F5133" t="inlineStr">
        <is>
          <t>VÄRMLANDS LÄN</t>
        </is>
      </c>
      <c r="G5133" t="inlineStr">
        <is>
          <t>KARLSTAD</t>
        </is>
      </c>
      <c r="I5133" t="n">
        <v>0.7</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50545-2025</t>
        </is>
      </c>
      <c r="B5134" t="inlineStr">
        <is>
          <t>avverkningsanmälan</t>
        </is>
      </c>
      <c r="C5134" t="inlineStr">
        <is>
          <t>Föryngringsavverkning</t>
        </is>
      </c>
      <c r="D5134" s="1" t="n">
        <v>45945</v>
      </c>
      <c r="E5134" s="1" t="n">
        <v>46307</v>
      </c>
      <c r="F5134" t="inlineStr">
        <is>
          <t>VÄRMLANDS LÄN</t>
        </is>
      </c>
      <c r="G5134" t="inlineStr">
        <is>
          <t>ÅRJÄNG</t>
        </is>
      </c>
      <c r="I5134" t="n">
        <v>0.7</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50551-2025</t>
        </is>
      </c>
      <c r="B5135" t="inlineStr">
        <is>
          <t>avverkningsanmälan</t>
        </is>
      </c>
      <c r="C5135" t="inlineStr">
        <is>
          <t>Föryngringsavverkning</t>
        </is>
      </c>
      <c r="D5135" s="1" t="n">
        <v>45945</v>
      </c>
      <c r="E5135" s="1" t="n">
        <v>46307</v>
      </c>
      <c r="F5135" t="inlineStr">
        <is>
          <t>VÄRMLANDS LÄN</t>
        </is>
      </c>
      <c r="G5135" t="inlineStr">
        <is>
          <t>ÅRJÄNG</t>
        </is>
      </c>
      <c r="I5135" t="n">
        <v>0.9</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64690-2023</t>
        </is>
      </c>
      <c r="B5136" t="inlineStr">
        <is>
          <t>avverkningsanmälan</t>
        </is>
      </c>
      <c r="C5136" t="inlineStr">
        <is>
          <t>Föryngringsavverkning</t>
        </is>
      </c>
      <c r="D5136" s="1" t="n">
        <v>45281</v>
      </c>
      <c r="E5136" s="1" t="n">
        <v>46307</v>
      </c>
      <c r="F5136" t="inlineStr">
        <is>
          <t>VÄRMLANDS LÄN</t>
        </is>
      </c>
      <c r="G5136" t="inlineStr">
        <is>
          <t>ÅRJÄNG</t>
        </is>
      </c>
      <c r="I5136" t="n">
        <v>2.1</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9900-2024</t>
        </is>
      </c>
      <c r="B5137" t="inlineStr">
        <is>
          <t>avverkningsanmälan</t>
        </is>
      </c>
      <c r="C5137" t="inlineStr">
        <is>
          <t>Föryngringsavverkning</t>
        </is>
      </c>
      <c r="D5137" s="1" t="n">
        <v>45363</v>
      </c>
      <c r="E5137" s="1" t="n">
        <v>46307</v>
      </c>
      <c r="F5137" t="inlineStr">
        <is>
          <t>VÄRMLANDS LÄN</t>
        </is>
      </c>
      <c r="G5137" t="inlineStr">
        <is>
          <t>TORSBY</t>
        </is>
      </c>
      <c r="I5137" t="n">
        <v>13.6</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27709-2025</t>
        </is>
      </c>
      <c r="B5138" t="inlineStr">
        <is>
          <t>avverkningsanmälan</t>
        </is>
      </c>
      <c r="C5138" t="inlineStr">
        <is>
          <t>Föryngringsavverkning</t>
        </is>
      </c>
      <c r="D5138" s="1" t="n">
        <v>45813</v>
      </c>
      <c r="E5138" s="1" t="n">
        <v>46307</v>
      </c>
      <c r="F5138" t="inlineStr">
        <is>
          <t>VÄRMLANDS LÄN</t>
        </is>
      </c>
      <c r="G5138" t="inlineStr">
        <is>
          <t>ARVIKA</t>
        </is>
      </c>
      <c r="I5138" t="n">
        <v>1.5</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55890-2023</t>
        </is>
      </c>
      <c r="B5139" t="inlineStr">
        <is>
          <t>avverkningsanmälan</t>
        </is>
      </c>
      <c r="C5139" t="inlineStr">
        <is>
          <t>Föryngringsavverkning</t>
        </is>
      </c>
      <c r="D5139" s="1" t="n">
        <v>45239</v>
      </c>
      <c r="E5139" s="1" t="n">
        <v>46307</v>
      </c>
      <c r="F5139" t="inlineStr">
        <is>
          <t>VÄRMLANDS LÄN</t>
        </is>
      </c>
      <c r="G5139" t="inlineStr">
        <is>
          <t>KRISTINEHAMN</t>
        </is>
      </c>
      <c r="I5139" t="n">
        <v>8.199999999999999</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54735-2023</t>
        </is>
      </c>
      <c r="B5140" t="inlineStr">
        <is>
          <t>avverkningsanmälan</t>
        </is>
      </c>
      <c r="C5140" t="inlineStr">
        <is>
          <t>Föryngringsavverkning</t>
        </is>
      </c>
      <c r="D5140" s="1" t="n">
        <v>45236</v>
      </c>
      <c r="E5140" s="1" t="n">
        <v>46307</v>
      </c>
      <c r="F5140" t="inlineStr">
        <is>
          <t>VÄRMLANDS LÄN</t>
        </is>
      </c>
      <c r="G5140" t="inlineStr">
        <is>
          <t>SUNNE</t>
        </is>
      </c>
      <c r="I5140" t="n">
        <v>1.4</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54738-2023</t>
        </is>
      </c>
      <c r="B5141" t="inlineStr">
        <is>
          <t>avverkningsanmälan</t>
        </is>
      </c>
      <c r="C5141" t="inlineStr">
        <is>
          <t>Föryngringsavverkning</t>
        </is>
      </c>
      <c r="D5141" s="1" t="n">
        <v>45236</v>
      </c>
      <c r="E5141" s="1" t="n">
        <v>46307</v>
      </c>
      <c r="F5141" t="inlineStr">
        <is>
          <t>VÄRMLANDS LÄN</t>
        </is>
      </c>
      <c r="G5141" t="inlineStr">
        <is>
          <t>STORFORS</t>
        </is>
      </c>
      <c r="H5141" t="inlineStr">
        <is>
          <t>Naturvårdsverket</t>
        </is>
      </c>
      <c r="I5141" t="n">
        <v>0.8</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15039-2022</t>
        </is>
      </c>
      <c r="B5142" t="inlineStr">
        <is>
          <t>avverkningsanmälan</t>
        </is>
      </c>
      <c r="C5142" t="inlineStr">
        <is>
          <t>Föryngringsavverkning</t>
        </is>
      </c>
      <c r="D5142" s="1" t="n">
        <v>44657</v>
      </c>
      <c r="E5142" s="1" t="n">
        <v>46307</v>
      </c>
      <c r="F5142" t="inlineStr">
        <is>
          <t>VÄRMLANDS LÄN</t>
        </is>
      </c>
      <c r="G5142" t="inlineStr">
        <is>
          <t>KIL</t>
        </is>
      </c>
      <c r="I5142" t="n">
        <v>0.7</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56220-2023</t>
        </is>
      </c>
      <c r="B5143" t="inlineStr">
        <is>
          <t>avverkningsanmälan</t>
        </is>
      </c>
      <c r="C5143" t="inlineStr">
        <is>
          <t>Föryngringsavverkning</t>
        </is>
      </c>
      <c r="D5143" s="1" t="n">
        <v>45240</v>
      </c>
      <c r="E5143" s="1" t="n">
        <v>46307</v>
      </c>
      <c r="F5143" t="inlineStr">
        <is>
          <t>VÄRMLANDS LÄN</t>
        </is>
      </c>
      <c r="G5143" t="inlineStr">
        <is>
          <t>GRUMS</t>
        </is>
      </c>
      <c r="I5143" t="n">
        <v>0.7</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56238-2023</t>
        </is>
      </c>
      <c r="B5144" t="inlineStr">
        <is>
          <t>avverkningsanmälan</t>
        </is>
      </c>
      <c r="C5144" t="inlineStr">
        <is>
          <t>Föryngringsavverkning</t>
        </is>
      </c>
      <c r="D5144" s="1" t="n">
        <v>45240</v>
      </c>
      <c r="E5144" s="1" t="n">
        <v>46307</v>
      </c>
      <c r="F5144" t="inlineStr">
        <is>
          <t>VÄRMLANDS LÄN</t>
        </is>
      </c>
      <c r="G5144" t="inlineStr">
        <is>
          <t>SUNNE</t>
        </is>
      </c>
      <c r="I5144" t="n">
        <v>1.9</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23705-2022</t>
        </is>
      </c>
      <c r="B5145" t="inlineStr">
        <is>
          <t>avverkningsanmälan</t>
        </is>
      </c>
      <c r="C5145" t="inlineStr">
        <is>
          <t>Föryngringsavverkning</t>
        </is>
      </c>
      <c r="D5145" s="1" t="n">
        <v>44722</v>
      </c>
      <c r="E5145" s="1" t="n">
        <v>46307</v>
      </c>
      <c r="F5145" t="inlineStr">
        <is>
          <t>VÄRMLANDS LÄN</t>
        </is>
      </c>
      <c r="G5145" t="inlineStr">
        <is>
          <t>KRISTINEHAMN</t>
        </is>
      </c>
      <c r="I5145" t="n">
        <v>1.2</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23707-2022</t>
        </is>
      </c>
      <c r="B5146" t="inlineStr">
        <is>
          <t>avverkningsanmälan</t>
        </is>
      </c>
      <c r="C5146" t="inlineStr">
        <is>
          <t>Föryngringsavverkning</t>
        </is>
      </c>
      <c r="D5146" s="1" t="n">
        <v>44722</v>
      </c>
      <c r="E5146" s="1" t="n">
        <v>46307</v>
      </c>
      <c r="F5146" t="inlineStr">
        <is>
          <t>VÄRMLANDS LÄN</t>
        </is>
      </c>
      <c r="G5146" t="inlineStr">
        <is>
          <t>KRISTINEHAMN</t>
        </is>
      </c>
      <c r="I5146" t="n">
        <v>0.3</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27493-2025</t>
        </is>
      </c>
      <c r="B5147" t="inlineStr">
        <is>
          <t>avverkningsanmälan</t>
        </is>
      </c>
      <c r="C5147" t="inlineStr">
        <is>
          <t>Föryngringsavverkning</t>
        </is>
      </c>
      <c r="D5147" s="1" t="n">
        <v>45813</v>
      </c>
      <c r="E5147" s="1" t="n">
        <v>46307</v>
      </c>
      <c r="F5147" t="inlineStr">
        <is>
          <t>VÄRMLANDS LÄN</t>
        </is>
      </c>
      <c r="G5147" t="inlineStr">
        <is>
          <t>KARLSTAD</t>
        </is>
      </c>
      <c r="I5147" t="n">
        <v>0.4</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27495-2025</t>
        </is>
      </c>
      <c r="B5148" t="inlineStr">
        <is>
          <t>avverkningsanmälan</t>
        </is>
      </c>
      <c r="C5148" t="inlineStr">
        <is>
          <t>Föryngringsavverkning</t>
        </is>
      </c>
      <c r="D5148" s="1" t="n">
        <v>45813</v>
      </c>
      <c r="E5148" s="1" t="n">
        <v>46307</v>
      </c>
      <c r="F5148" t="inlineStr">
        <is>
          <t>VÄRMLANDS LÄN</t>
        </is>
      </c>
      <c r="G5148" t="inlineStr">
        <is>
          <t>KARLSTAD</t>
        </is>
      </c>
      <c r="I5148" t="n">
        <v>1</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12434-2022</t>
        </is>
      </c>
      <c r="B5149" t="inlineStr">
        <is>
          <t>avverkningsanmälan</t>
        </is>
      </c>
      <c r="C5149" t="inlineStr">
        <is>
          <t>Föryngringsavverkning</t>
        </is>
      </c>
      <c r="D5149" s="1" t="n">
        <v>44638</v>
      </c>
      <c r="E5149" s="1" t="n">
        <v>46307</v>
      </c>
      <c r="F5149" t="inlineStr">
        <is>
          <t>VÄRMLANDS LÄN</t>
        </is>
      </c>
      <c r="G5149" t="inlineStr">
        <is>
          <t>HAGFORS</t>
        </is>
      </c>
      <c r="I5149" t="n">
        <v>1.6</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27470-2025</t>
        </is>
      </c>
      <c r="B5150" t="inlineStr">
        <is>
          <t>avverkningsanmälan</t>
        </is>
      </c>
      <c r="C5150" t="inlineStr">
        <is>
          <t>Föryngringsavverkning</t>
        </is>
      </c>
      <c r="D5150" s="1" t="n">
        <v>45813</v>
      </c>
      <c r="E5150" s="1" t="n">
        <v>46307</v>
      </c>
      <c r="F5150" t="inlineStr">
        <is>
          <t>VÄRMLANDS LÄN</t>
        </is>
      </c>
      <c r="G5150" t="inlineStr">
        <is>
          <t>TORSBY</t>
        </is>
      </c>
      <c r="I5150" t="n">
        <v>17.9</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12484-2022</t>
        </is>
      </c>
      <c r="B5151" t="inlineStr">
        <is>
          <t>avverkningsanmälan</t>
        </is>
      </c>
      <c r="C5151" t="inlineStr">
        <is>
          <t>Föryngringsavverkning</t>
        </is>
      </c>
      <c r="D5151" s="1" t="n">
        <v>44638</v>
      </c>
      <c r="E5151" s="1" t="n">
        <v>46307</v>
      </c>
      <c r="F5151" t="inlineStr">
        <is>
          <t>VÄRMLANDS LÄN</t>
        </is>
      </c>
      <c r="G5151" t="inlineStr">
        <is>
          <t>FORSHAGA</t>
        </is>
      </c>
      <c r="I5151" t="n">
        <v>2.6</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15641-2023</t>
        </is>
      </c>
      <c r="B5152" t="inlineStr">
        <is>
          <t>avverkningsanmälan</t>
        </is>
      </c>
      <c r="C5152" t="inlineStr">
        <is>
          <t>Föryngringsavverkning</t>
        </is>
      </c>
      <c r="D5152" s="1" t="n">
        <v>45021</v>
      </c>
      <c r="E5152" s="1" t="n">
        <v>46307</v>
      </c>
      <c r="F5152" t="inlineStr">
        <is>
          <t>VÄRMLANDS LÄN</t>
        </is>
      </c>
      <c r="G5152" t="inlineStr">
        <is>
          <t>EDA</t>
        </is>
      </c>
      <c r="H5152" t="inlineStr">
        <is>
          <t>Övriga statliga verk och myndigheter</t>
        </is>
      </c>
      <c r="I5152" t="n">
        <v>2</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26042-2022</t>
        </is>
      </c>
      <c r="B5153" t="inlineStr">
        <is>
          <t>avverkningsanmälan</t>
        </is>
      </c>
      <c r="C5153" t="inlineStr">
        <is>
          <t>Föryngringsavverkning</t>
        </is>
      </c>
      <c r="D5153" s="1" t="n">
        <v>44734</v>
      </c>
      <c r="E5153" s="1" t="n">
        <v>46307</v>
      </c>
      <c r="F5153" t="inlineStr">
        <is>
          <t>VÄRMLANDS LÄN</t>
        </is>
      </c>
      <c r="G5153" t="inlineStr">
        <is>
          <t>KRISTINEHAMN</t>
        </is>
      </c>
      <c r="I5153" t="n">
        <v>1.8</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27540-2025</t>
        </is>
      </c>
      <c r="B5154" t="inlineStr">
        <is>
          <t>avverkningsanmälan</t>
        </is>
      </c>
      <c r="C5154" t="inlineStr">
        <is>
          <t>Föryngringsavverkning</t>
        </is>
      </c>
      <c r="D5154" s="1" t="n">
        <v>45813</v>
      </c>
      <c r="E5154" s="1" t="n">
        <v>46307</v>
      </c>
      <c r="F5154" t="inlineStr">
        <is>
          <t>VÄRMLANDS LÄN</t>
        </is>
      </c>
      <c r="G5154" t="inlineStr">
        <is>
          <t>SÄFFLE</t>
        </is>
      </c>
      <c r="I5154" t="n">
        <v>1.3</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24756-2023</t>
        </is>
      </c>
      <c r="B5155" t="inlineStr">
        <is>
          <t>avverkningsanmälan</t>
        </is>
      </c>
      <c r="C5155" t="inlineStr">
        <is>
          <t>Föryngringsavverkning</t>
        </is>
      </c>
      <c r="D5155" s="1" t="n">
        <v>45084</v>
      </c>
      <c r="E5155" s="1" t="n">
        <v>46307</v>
      </c>
      <c r="F5155" t="inlineStr">
        <is>
          <t>VÄRMLANDS LÄN</t>
        </is>
      </c>
      <c r="G5155" t="inlineStr">
        <is>
          <t>EDA</t>
        </is>
      </c>
      <c r="I5155" t="n">
        <v>2.3</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7583-2024</t>
        </is>
      </c>
      <c r="B5156" t="inlineStr">
        <is>
          <t>avverkningsanmälan</t>
        </is>
      </c>
      <c r="C5156" t="inlineStr">
        <is>
          <t>Föryngringsavverkning</t>
        </is>
      </c>
      <c r="D5156" s="1" t="n">
        <v>45348</v>
      </c>
      <c r="E5156" s="1" t="n">
        <v>46307</v>
      </c>
      <c r="F5156" t="inlineStr">
        <is>
          <t>VÄRMLANDS LÄN</t>
        </is>
      </c>
      <c r="G5156" t="inlineStr">
        <is>
          <t>ARVIKA</t>
        </is>
      </c>
      <c r="I5156" t="n">
        <v>0.5</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24796-2023</t>
        </is>
      </c>
      <c r="B5157" t="inlineStr">
        <is>
          <t>avverkningsanmälan</t>
        </is>
      </c>
      <c r="C5157" t="inlineStr">
        <is>
          <t>Föryngringsavverkning</t>
        </is>
      </c>
      <c r="D5157" s="1" t="n">
        <v>45084</v>
      </c>
      <c r="E5157" s="1" t="n">
        <v>46307</v>
      </c>
      <c r="F5157" t="inlineStr">
        <is>
          <t>VÄRMLANDS LÄN</t>
        </is>
      </c>
      <c r="G5157" t="inlineStr">
        <is>
          <t>SUNNE</t>
        </is>
      </c>
      <c r="I5157" t="n">
        <v>0.6</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7993-2024</t>
        </is>
      </c>
      <c r="B5158" t="inlineStr">
        <is>
          <t>avverkningsanmälan</t>
        </is>
      </c>
      <c r="C5158" t="inlineStr">
        <is>
          <t>Föryngringsavverkning</t>
        </is>
      </c>
      <c r="D5158" s="1" t="n">
        <v>45350</v>
      </c>
      <c r="E5158" s="1" t="n">
        <v>46307</v>
      </c>
      <c r="F5158" t="inlineStr">
        <is>
          <t>VÄRMLANDS LÄN</t>
        </is>
      </c>
      <c r="G5158" t="inlineStr">
        <is>
          <t>GRUMS</t>
        </is>
      </c>
      <c r="I5158" t="n">
        <v>2.1</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27968-2025</t>
        </is>
      </c>
      <c r="B5159" t="inlineStr">
        <is>
          <t>avverkningsanmälan</t>
        </is>
      </c>
      <c r="C5159" t="inlineStr">
        <is>
          <t>Föryngringsavverkning</t>
        </is>
      </c>
      <c r="D5159" s="1" t="n">
        <v>45817</v>
      </c>
      <c r="E5159" s="1" t="n">
        <v>46307</v>
      </c>
      <c r="F5159" t="inlineStr">
        <is>
          <t>VÄRMLANDS LÄN</t>
        </is>
      </c>
      <c r="G5159" t="inlineStr">
        <is>
          <t>TORSBY</t>
        </is>
      </c>
      <c r="I5159" t="n">
        <v>1.5</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45886-2023</t>
        </is>
      </c>
      <c r="B5160" t="inlineStr">
        <is>
          <t>avverkningsanmälan</t>
        </is>
      </c>
      <c r="C5160" t="inlineStr">
        <is>
          <t>Föryngringsavverkning</t>
        </is>
      </c>
      <c r="D5160" s="1" t="n">
        <v>45195</v>
      </c>
      <c r="E5160" s="1" t="n">
        <v>46307</v>
      </c>
      <c r="F5160" t="inlineStr">
        <is>
          <t>VÄRMLANDS LÄN</t>
        </is>
      </c>
      <c r="G5160" t="inlineStr">
        <is>
          <t>EDA</t>
        </is>
      </c>
      <c r="I5160" t="n">
        <v>1.3</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57348-2024</t>
        </is>
      </c>
      <c r="B5161" t="inlineStr">
        <is>
          <t>avverkningsanmälan</t>
        </is>
      </c>
      <c r="C5161" t="inlineStr">
        <is>
          <t>Föryngringsavverkning</t>
        </is>
      </c>
      <c r="D5161" s="1" t="n">
        <v>45629</v>
      </c>
      <c r="E5161" s="1" t="n">
        <v>46307</v>
      </c>
      <c r="F5161" t="inlineStr">
        <is>
          <t>VÄRMLANDS LÄN</t>
        </is>
      </c>
      <c r="G5161" t="inlineStr">
        <is>
          <t>ARVIKA</t>
        </is>
      </c>
      <c r="I5161" t="n">
        <v>1.8</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50922-2023</t>
        </is>
      </c>
      <c r="B5162" t="inlineStr">
        <is>
          <t>avverkningsanmälan</t>
        </is>
      </c>
      <c r="C5162" t="inlineStr">
        <is>
          <t>Föryngringsavverkning</t>
        </is>
      </c>
      <c r="D5162" s="1" t="n">
        <v>45211</v>
      </c>
      <c r="E5162" s="1" t="n">
        <v>46307</v>
      </c>
      <c r="F5162" t="inlineStr">
        <is>
          <t>VÄRMLANDS LÄN</t>
        </is>
      </c>
      <c r="G5162" t="inlineStr">
        <is>
          <t>HAGFORS</t>
        </is>
      </c>
      <c r="I5162" t="n">
        <v>3.2</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27856-2025</t>
        </is>
      </c>
      <c r="B5163" t="inlineStr">
        <is>
          <t>avverkningsanmälan</t>
        </is>
      </c>
      <c r="C5163" t="inlineStr">
        <is>
          <t>Föryngringsavverkning</t>
        </is>
      </c>
      <c r="D5163" s="1" t="n">
        <v>45817</v>
      </c>
      <c r="E5163" s="1" t="n">
        <v>46307</v>
      </c>
      <c r="F5163" t="inlineStr">
        <is>
          <t>VÄRMLANDS LÄN</t>
        </is>
      </c>
      <c r="G5163" t="inlineStr">
        <is>
          <t>TORSBY</t>
        </is>
      </c>
      <c r="I5163" t="n">
        <v>1.2</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20735-2025</t>
        </is>
      </c>
      <c r="B5164" t="inlineStr">
        <is>
          <t>avverkningsanmälan</t>
        </is>
      </c>
      <c r="C5164" t="inlineStr">
        <is>
          <t>Föryngringsavverkning</t>
        </is>
      </c>
      <c r="D5164" s="1" t="n">
        <v>45776</v>
      </c>
      <c r="E5164" s="1" t="n">
        <v>46307</v>
      </c>
      <c r="F5164" t="inlineStr">
        <is>
          <t>VÄRMLANDS LÄN</t>
        </is>
      </c>
      <c r="G5164" t="inlineStr">
        <is>
          <t>ARVIKA</t>
        </is>
      </c>
      <c r="I5164" t="n">
        <v>3.6</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15691-2022</t>
        </is>
      </c>
      <c r="B5165" t="inlineStr">
        <is>
          <t>avverkningsanmälan</t>
        </is>
      </c>
      <c r="C5165" t="inlineStr">
        <is>
          <t>Föryngringsavverkning</t>
        </is>
      </c>
      <c r="D5165" s="1" t="n">
        <v>44663</v>
      </c>
      <c r="E5165" s="1" t="n">
        <v>46307</v>
      </c>
      <c r="F5165" t="inlineStr">
        <is>
          <t>VÄRMLANDS LÄN</t>
        </is>
      </c>
      <c r="G5165" t="inlineStr">
        <is>
          <t>SÄFFLE</t>
        </is>
      </c>
      <c r="I5165" t="n">
        <v>9</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17431-2025</t>
        </is>
      </c>
      <c r="B5166" t="inlineStr">
        <is>
          <t>avverkningsanmälan</t>
        </is>
      </c>
      <c r="C5166" t="inlineStr">
        <is>
          <t>Föryngringsavverkning</t>
        </is>
      </c>
      <c r="D5166" s="1" t="n">
        <v>45757</v>
      </c>
      <c r="E5166" s="1" t="n">
        <v>46307</v>
      </c>
      <c r="F5166" t="inlineStr">
        <is>
          <t>VÄRMLANDS LÄN</t>
        </is>
      </c>
      <c r="G5166" t="inlineStr">
        <is>
          <t>SÄFFLE</t>
        </is>
      </c>
      <c r="I5166" t="n">
        <v>1.8</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3335-2024</t>
        </is>
      </c>
      <c r="B5167" t="inlineStr">
        <is>
          <t>avverkningsanmälan</t>
        </is>
      </c>
      <c r="C5167" t="inlineStr">
        <is>
          <t>Föryngringsavverkning</t>
        </is>
      </c>
      <c r="D5167" s="1" t="n">
        <v>45317</v>
      </c>
      <c r="E5167" s="1" t="n">
        <v>46307</v>
      </c>
      <c r="F5167" t="inlineStr">
        <is>
          <t>VÄRMLANDS LÄN</t>
        </is>
      </c>
      <c r="G5167" t="inlineStr">
        <is>
          <t>SUNNE</t>
        </is>
      </c>
      <c r="I5167" t="n">
        <v>3</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20611-2022</t>
        </is>
      </c>
      <c r="B5168" t="inlineStr">
        <is>
          <t>avverkningsanmälan</t>
        </is>
      </c>
      <c r="C5168" t="inlineStr">
        <is>
          <t>Föryngringsavverkning</t>
        </is>
      </c>
      <c r="D5168" s="1" t="n">
        <v>44700</v>
      </c>
      <c r="E5168" s="1" t="n">
        <v>46307</v>
      </c>
      <c r="F5168" t="inlineStr">
        <is>
          <t>VÄRMLANDS LÄN</t>
        </is>
      </c>
      <c r="G5168" t="inlineStr">
        <is>
          <t>EDA</t>
        </is>
      </c>
      <c r="H5168" t="inlineStr">
        <is>
          <t>Kommuner</t>
        </is>
      </c>
      <c r="I5168" t="n">
        <v>1.5</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8601-2022</t>
        </is>
      </c>
      <c r="B5169" t="inlineStr">
        <is>
          <t>avverkningsanmälan</t>
        </is>
      </c>
      <c r="C5169" t="inlineStr">
        <is>
          <t>Föryngringsavverkning</t>
        </is>
      </c>
      <c r="D5169" s="1" t="n">
        <v>44613</v>
      </c>
      <c r="E5169" s="1" t="n">
        <v>46307</v>
      </c>
      <c r="F5169" t="inlineStr">
        <is>
          <t>VÄRMLANDS LÄN</t>
        </is>
      </c>
      <c r="G5169" t="inlineStr">
        <is>
          <t>ÅRJÄNG</t>
        </is>
      </c>
      <c r="I5169" t="n">
        <v>1.3</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30500-2023</t>
        </is>
      </c>
      <c r="B5170" t="inlineStr">
        <is>
          <t>avverkningsanmälan</t>
        </is>
      </c>
      <c r="C5170" t="inlineStr">
        <is>
          <t>Föryngringsavverkning</t>
        </is>
      </c>
      <c r="D5170" s="1" t="n">
        <v>45111</v>
      </c>
      <c r="E5170" s="1" t="n">
        <v>46307</v>
      </c>
      <c r="F5170" t="inlineStr">
        <is>
          <t>VÄRMLANDS LÄN</t>
        </is>
      </c>
      <c r="G5170" t="inlineStr">
        <is>
          <t>EDA</t>
        </is>
      </c>
      <c r="I5170" t="n">
        <v>2.7</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30533-2023</t>
        </is>
      </c>
      <c r="B5171" t="inlineStr">
        <is>
          <t>avverkningsanmälan</t>
        </is>
      </c>
      <c r="C5171" t="inlineStr">
        <is>
          <t>Föryngringsavverkning</t>
        </is>
      </c>
      <c r="D5171" s="1" t="n">
        <v>45111</v>
      </c>
      <c r="E5171" s="1" t="n">
        <v>46307</v>
      </c>
      <c r="F5171" t="inlineStr">
        <is>
          <t>VÄRMLANDS LÄN</t>
        </is>
      </c>
      <c r="G5171" t="inlineStr">
        <is>
          <t>KARLSTAD</t>
        </is>
      </c>
      <c r="I5171" t="n">
        <v>1.3</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7980-2025</t>
        </is>
      </c>
      <c r="B5172" t="inlineStr">
        <is>
          <t>avverkningsanmälan</t>
        </is>
      </c>
      <c r="C5172" t="inlineStr">
        <is>
          <t>Avverkning för annat ändamål</t>
        </is>
      </c>
      <c r="D5172" s="1" t="n">
        <v>45707</v>
      </c>
      <c r="E5172" s="1" t="n">
        <v>46307</v>
      </c>
      <c r="F5172" t="inlineStr">
        <is>
          <t>VÄRMLANDS LÄN</t>
        </is>
      </c>
      <c r="G5172" t="inlineStr">
        <is>
          <t>ARVIKA</t>
        </is>
      </c>
      <c r="I5172" t="n">
        <v>0.3</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9888-2025</t>
        </is>
      </c>
      <c r="B5173" t="inlineStr">
        <is>
          <t>avverkningsanmälan</t>
        </is>
      </c>
      <c r="C5173" t="inlineStr">
        <is>
          <t>Föryngringsavverkning</t>
        </is>
      </c>
      <c r="D5173" s="1" t="n">
        <v>45716</v>
      </c>
      <c r="E5173" s="1" t="n">
        <v>46307</v>
      </c>
      <c r="F5173" t="inlineStr">
        <is>
          <t>VÄRMLANDS LÄN</t>
        </is>
      </c>
      <c r="G5173" t="inlineStr">
        <is>
          <t>SÄFFLE</t>
        </is>
      </c>
      <c r="I5173" t="n">
        <v>5.1</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56060-2023</t>
        </is>
      </c>
      <c r="B5174" t="inlineStr">
        <is>
          <t>avverkningsanmälan</t>
        </is>
      </c>
      <c r="C5174" t="inlineStr">
        <is>
          <t>Föryngringsavverkning</t>
        </is>
      </c>
      <c r="D5174" s="1" t="n">
        <v>45233</v>
      </c>
      <c r="E5174" s="1" t="n">
        <v>46307</v>
      </c>
      <c r="F5174" t="inlineStr">
        <is>
          <t>VÄRMLANDS LÄN</t>
        </is>
      </c>
      <c r="G5174" t="inlineStr">
        <is>
          <t>ÅRJÄNG</t>
        </is>
      </c>
      <c r="I5174" t="n">
        <v>2</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60886-2023</t>
        </is>
      </c>
      <c r="B5175" t="inlineStr">
        <is>
          <t>avverkningsanmälan</t>
        </is>
      </c>
      <c r="C5175" t="inlineStr">
        <is>
          <t>Föryngringsavverkning</t>
        </is>
      </c>
      <c r="D5175" s="1" t="n">
        <v>45261</v>
      </c>
      <c r="E5175" s="1" t="n">
        <v>46307</v>
      </c>
      <c r="F5175" t="inlineStr">
        <is>
          <t>VÄRMLANDS LÄN</t>
        </is>
      </c>
      <c r="G5175" t="inlineStr">
        <is>
          <t>ÅRJÄNG</t>
        </is>
      </c>
      <c r="I5175" t="n">
        <v>2.9</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28484-2025</t>
        </is>
      </c>
      <c r="B5176" t="inlineStr">
        <is>
          <t>avverkningsanmälan</t>
        </is>
      </c>
      <c r="C5176" t="inlineStr">
        <is>
          <t>Föryngringsavverkning</t>
        </is>
      </c>
      <c r="D5176" s="1" t="n">
        <v>45818</v>
      </c>
      <c r="E5176" s="1" t="n">
        <v>46307</v>
      </c>
      <c r="F5176" t="inlineStr">
        <is>
          <t>VÄRMLANDS LÄN</t>
        </is>
      </c>
      <c r="G5176" t="inlineStr">
        <is>
          <t>SÄFFLE</t>
        </is>
      </c>
      <c r="I5176" t="n">
        <v>0.7</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49982-2023</t>
        </is>
      </c>
      <c r="B5177" t="inlineStr">
        <is>
          <t>avverkningsanmälan</t>
        </is>
      </c>
      <c r="C5177" t="inlineStr">
        <is>
          <t>Föryngringsavverkning</t>
        </is>
      </c>
      <c r="D5177" s="1" t="n">
        <v>45215</v>
      </c>
      <c r="E5177" s="1" t="n">
        <v>46307</v>
      </c>
      <c r="F5177" t="inlineStr">
        <is>
          <t>VÄRMLANDS LÄN</t>
        </is>
      </c>
      <c r="G5177" t="inlineStr">
        <is>
          <t>TORSBY</t>
        </is>
      </c>
      <c r="I5177" t="n">
        <v>2.3</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9608-2022</t>
        </is>
      </c>
      <c r="B5178" t="inlineStr">
        <is>
          <t>avverkningsanmälan</t>
        </is>
      </c>
      <c r="C5178" t="inlineStr">
        <is>
          <t>Föryngringsavverkning</t>
        </is>
      </c>
      <c r="D5178" s="1" t="n">
        <v>44617</v>
      </c>
      <c r="E5178" s="1" t="n">
        <v>46307</v>
      </c>
      <c r="F5178" t="inlineStr">
        <is>
          <t>VÄRMLANDS LÄN</t>
        </is>
      </c>
      <c r="G5178" t="inlineStr">
        <is>
          <t>SUNNE</t>
        </is>
      </c>
      <c r="I5178" t="n">
        <v>0.7</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28092-2025</t>
        </is>
      </c>
      <c r="B5179" t="inlineStr">
        <is>
          <t>avverkningsanmälan</t>
        </is>
      </c>
      <c r="C5179" t="inlineStr">
        <is>
          <t>Föryngringsavverkning</t>
        </is>
      </c>
      <c r="D5179" s="1" t="n">
        <v>45817</v>
      </c>
      <c r="E5179" s="1" t="n">
        <v>46307</v>
      </c>
      <c r="F5179" t="inlineStr">
        <is>
          <t>VÄRMLANDS LÄN</t>
        </is>
      </c>
      <c r="G5179" t="inlineStr">
        <is>
          <t>EDA</t>
        </is>
      </c>
      <c r="I5179" t="n">
        <v>0.8</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28116-2025</t>
        </is>
      </c>
      <c r="B5180" t="inlineStr">
        <is>
          <t>avverkningsanmälan</t>
        </is>
      </c>
      <c r="C5180" t="inlineStr">
        <is>
          <t>Föryngringsavverkning</t>
        </is>
      </c>
      <c r="D5180" s="1" t="n">
        <v>45818</v>
      </c>
      <c r="E5180" s="1" t="n">
        <v>46307</v>
      </c>
      <c r="F5180" t="inlineStr">
        <is>
          <t>VÄRMLANDS LÄN</t>
        </is>
      </c>
      <c r="G5180" t="inlineStr">
        <is>
          <t>TORSBY</t>
        </is>
      </c>
      <c r="I5180" t="n">
        <v>1.1</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42986-2022</t>
        </is>
      </c>
      <c r="B5181" t="inlineStr">
        <is>
          <t>avverkningsanmälan</t>
        </is>
      </c>
      <c r="C5181" t="inlineStr">
        <is>
          <t>Föryngringsavverkning</t>
        </is>
      </c>
      <c r="D5181" s="1" t="n">
        <v>44833</v>
      </c>
      <c r="E5181" s="1" t="n">
        <v>46307</v>
      </c>
      <c r="F5181" t="inlineStr">
        <is>
          <t>VÄRMLANDS LÄN</t>
        </is>
      </c>
      <c r="G5181" t="inlineStr">
        <is>
          <t>ARVIKA</t>
        </is>
      </c>
      <c r="I5181" t="n">
        <v>2.8</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18319-2023</t>
        </is>
      </c>
      <c r="B5182" t="inlineStr">
        <is>
          <t>avverkningsanmälan</t>
        </is>
      </c>
      <c r="C5182" t="inlineStr">
        <is>
          <t>Föryngringsavverkning</t>
        </is>
      </c>
      <c r="D5182" s="1" t="n">
        <v>45041</v>
      </c>
      <c r="E5182" s="1" t="n">
        <v>46307</v>
      </c>
      <c r="F5182" t="inlineStr">
        <is>
          <t>VÄRMLANDS LÄN</t>
        </is>
      </c>
      <c r="G5182" t="inlineStr">
        <is>
          <t>KRISTINEHAMN</t>
        </is>
      </c>
      <c r="I5182" t="n">
        <v>0.8</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20255-2025</t>
        </is>
      </c>
      <c r="B5183" t="inlineStr">
        <is>
          <t>avverkningsanmälan</t>
        </is>
      </c>
      <c r="C5183" t="inlineStr">
        <is>
          <t>Föryngringsavverkning</t>
        </is>
      </c>
      <c r="D5183" s="1" t="n">
        <v>45772</v>
      </c>
      <c r="E5183" s="1" t="n">
        <v>46307</v>
      </c>
      <c r="F5183" t="inlineStr">
        <is>
          <t>VÄRMLANDS LÄN</t>
        </is>
      </c>
      <c r="G5183" t="inlineStr">
        <is>
          <t>TORSBY</t>
        </is>
      </c>
      <c r="I5183" t="n">
        <v>9</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51364-2025</t>
        </is>
      </c>
      <c r="B5184" t="inlineStr">
        <is>
          <t>avverkningsanmälan</t>
        </is>
      </c>
      <c r="C5184" t="inlineStr">
        <is>
          <t>Föryngringsavverkning</t>
        </is>
      </c>
      <c r="D5184" s="1" t="n">
        <v>45950</v>
      </c>
      <c r="E5184" s="1" t="n">
        <v>46307</v>
      </c>
      <c r="F5184" t="inlineStr">
        <is>
          <t>VÄRMLANDS LÄN</t>
        </is>
      </c>
      <c r="G5184" t="inlineStr">
        <is>
          <t>ARVIKA</t>
        </is>
      </c>
      <c r="H5184" t="inlineStr">
        <is>
          <t>Bergvik skog väst AB</t>
        </is>
      </c>
      <c r="I5184" t="n">
        <v>6</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23704-2022</t>
        </is>
      </c>
      <c r="B5185" t="inlineStr">
        <is>
          <t>avverkningsanmälan</t>
        </is>
      </c>
      <c r="C5185" t="inlineStr">
        <is>
          <t>Föryngringsavverkning</t>
        </is>
      </c>
      <c r="D5185" s="1" t="n">
        <v>44722</v>
      </c>
      <c r="E5185" s="1" t="n">
        <v>46307</v>
      </c>
      <c r="F5185" t="inlineStr">
        <is>
          <t>VÄRMLANDS LÄN</t>
        </is>
      </c>
      <c r="G5185" t="inlineStr">
        <is>
          <t>KRISTINEHAMN</t>
        </is>
      </c>
      <c r="I5185" t="n">
        <v>1.1</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23706-2022</t>
        </is>
      </c>
      <c r="B5186" t="inlineStr">
        <is>
          <t>avverkningsanmälan</t>
        </is>
      </c>
      <c r="C5186" t="inlineStr">
        <is>
          <t>Föryngringsavverkning</t>
        </is>
      </c>
      <c r="D5186" s="1" t="n">
        <v>44722</v>
      </c>
      <c r="E5186" s="1" t="n">
        <v>46307</v>
      </c>
      <c r="F5186" t="inlineStr">
        <is>
          <t>VÄRMLANDS LÄN</t>
        </is>
      </c>
      <c r="G5186" t="inlineStr">
        <is>
          <t>KRISTINEHAMN</t>
        </is>
      </c>
      <c r="I5186" t="n">
        <v>0.2</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35629-2023</t>
        </is>
      </c>
      <c r="B5187" t="inlineStr">
        <is>
          <t>avverkningsanmälan</t>
        </is>
      </c>
      <c r="C5187" t="inlineStr">
        <is>
          <t>Föryngringsavverkning</t>
        </is>
      </c>
      <c r="D5187" s="1" t="n">
        <v>45147</v>
      </c>
      <c r="E5187" s="1" t="n">
        <v>46307</v>
      </c>
      <c r="F5187" t="inlineStr">
        <is>
          <t>VÄRMLANDS LÄN</t>
        </is>
      </c>
      <c r="G5187" t="inlineStr">
        <is>
          <t>TORSBY</t>
        </is>
      </c>
      <c r="I5187" t="n">
        <v>10.3</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56655-2024</t>
        </is>
      </c>
      <c r="B5188" t="inlineStr">
        <is>
          <t>avverkningsanmälan</t>
        </is>
      </c>
      <c r="C5188" t="inlineStr">
        <is>
          <t>Föryngringsavverkning</t>
        </is>
      </c>
      <c r="D5188" s="1" t="n">
        <v>45625</v>
      </c>
      <c r="E5188" s="1" t="n">
        <v>46307</v>
      </c>
      <c r="F5188" t="inlineStr">
        <is>
          <t>VÄRMLANDS LÄN</t>
        </is>
      </c>
      <c r="G5188" t="inlineStr">
        <is>
          <t>ÅRJÄNG</t>
        </is>
      </c>
      <c r="I5188" t="n">
        <v>1.1</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13300-2023</t>
        </is>
      </c>
      <c r="B5189" t="inlineStr">
        <is>
          <t>avverkningsanmälan</t>
        </is>
      </c>
      <c r="C5189" t="inlineStr">
        <is>
          <t>Föryngringsavverkning</t>
        </is>
      </c>
      <c r="D5189" s="1" t="n">
        <v>45005</v>
      </c>
      <c r="E5189" s="1" t="n">
        <v>46307</v>
      </c>
      <c r="F5189" t="inlineStr">
        <is>
          <t>VÄRMLANDS LÄN</t>
        </is>
      </c>
      <c r="G5189" t="inlineStr">
        <is>
          <t>HAGFORS</t>
        </is>
      </c>
      <c r="H5189" t="inlineStr">
        <is>
          <t>Bergvik skog väst AB</t>
        </is>
      </c>
      <c r="I5189" t="n">
        <v>3.9</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60607-2022</t>
        </is>
      </c>
      <c r="B5190" t="inlineStr">
        <is>
          <t>avverkningsanmälan</t>
        </is>
      </c>
      <c r="C5190" t="inlineStr">
        <is>
          <t>Föryngringsavverkning</t>
        </is>
      </c>
      <c r="D5190" s="1" t="n">
        <v>44906</v>
      </c>
      <c r="E5190" s="1" t="n">
        <v>46307</v>
      </c>
      <c r="F5190" t="inlineStr">
        <is>
          <t>VÄRMLANDS LÄN</t>
        </is>
      </c>
      <c r="G5190" t="inlineStr">
        <is>
          <t>ARVIKA</t>
        </is>
      </c>
      <c r="I5190" t="n">
        <v>5.6</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62720-2023</t>
        </is>
      </c>
      <c r="B5191" t="inlineStr">
        <is>
          <t>avverkningsanmälan</t>
        </is>
      </c>
      <c r="C5191" t="inlineStr">
        <is>
          <t>Föryngringsavverkning</t>
        </is>
      </c>
      <c r="D5191" s="1" t="n">
        <v>45271</v>
      </c>
      <c r="E5191" s="1" t="n">
        <v>46307</v>
      </c>
      <c r="F5191" t="inlineStr">
        <is>
          <t>VÄRMLANDS LÄN</t>
        </is>
      </c>
      <c r="G5191" t="inlineStr">
        <is>
          <t>ÅRJÄNG</t>
        </is>
      </c>
      <c r="I5191" t="n">
        <v>0.8</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54254-2024</t>
        </is>
      </c>
      <c r="B5192" t="inlineStr">
        <is>
          <t>avverkningsanmälan</t>
        </is>
      </c>
      <c r="C5192" t="inlineStr">
        <is>
          <t>Föryngringsavverkning</t>
        </is>
      </c>
      <c r="D5192" s="1" t="n">
        <v>45616</v>
      </c>
      <c r="E5192" s="1" t="n">
        <v>46307</v>
      </c>
      <c r="F5192" t="inlineStr">
        <is>
          <t>VÄRMLANDS LÄN</t>
        </is>
      </c>
      <c r="G5192" t="inlineStr">
        <is>
          <t>KARLSTAD</t>
        </is>
      </c>
      <c r="I5192" t="n">
        <v>4.8</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36072-2024</t>
        </is>
      </c>
      <c r="B5193" t="inlineStr">
        <is>
          <t>avverkningsanmälan</t>
        </is>
      </c>
      <c r="C5193" t="inlineStr">
        <is>
          <t>Föryngringsavverkning</t>
        </is>
      </c>
      <c r="D5193" s="1" t="n">
        <v>45533</v>
      </c>
      <c r="E5193" s="1" t="n">
        <v>46307</v>
      </c>
      <c r="F5193" t="inlineStr">
        <is>
          <t>VÄRMLANDS LÄN</t>
        </is>
      </c>
      <c r="G5193" t="inlineStr">
        <is>
          <t>KARLSTAD</t>
        </is>
      </c>
      <c r="I5193" t="n">
        <v>1.6</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33081-2022</t>
        </is>
      </c>
      <c r="B5194" t="inlineStr">
        <is>
          <t>avverkningsanmälan</t>
        </is>
      </c>
      <c r="C5194" t="inlineStr">
        <is>
          <t>Föryngringsavverkning</t>
        </is>
      </c>
      <c r="D5194" s="1" t="n">
        <v>44785</v>
      </c>
      <c r="E5194" s="1" t="n">
        <v>46307</v>
      </c>
      <c r="F5194" t="inlineStr">
        <is>
          <t>VÄRMLANDS LÄN</t>
        </is>
      </c>
      <c r="G5194" t="inlineStr">
        <is>
          <t>GRUMS</t>
        </is>
      </c>
      <c r="I5194" t="n">
        <v>2.4</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18099-2022</t>
        </is>
      </c>
      <c r="B5195" t="inlineStr">
        <is>
          <t>avverkningsanmälan</t>
        </is>
      </c>
      <c r="C5195" t="inlineStr">
        <is>
          <t>Föryngringsavverkning</t>
        </is>
      </c>
      <c r="D5195" s="1" t="n">
        <v>44684</v>
      </c>
      <c r="E5195" s="1" t="n">
        <v>46307</v>
      </c>
      <c r="F5195" t="inlineStr">
        <is>
          <t>VÄRMLANDS LÄN</t>
        </is>
      </c>
      <c r="G5195" t="inlineStr">
        <is>
          <t>TORSBY</t>
        </is>
      </c>
      <c r="I5195" t="n">
        <v>0.7</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63177-2023</t>
        </is>
      </c>
      <c r="B5196" t="inlineStr">
        <is>
          <t>avverkningsanmälan</t>
        </is>
      </c>
      <c r="C5196" t="inlineStr">
        <is>
          <t>Föryngringsavverkning</t>
        </is>
      </c>
      <c r="D5196" s="1" t="n">
        <v>45272</v>
      </c>
      <c r="E5196" s="1" t="n">
        <v>46307</v>
      </c>
      <c r="F5196" t="inlineStr">
        <is>
          <t>VÄRMLANDS LÄN</t>
        </is>
      </c>
      <c r="G5196" t="inlineStr">
        <is>
          <t>TORSBY</t>
        </is>
      </c>
      <c r="I5196" t="n">
        <v>14.9</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36030-2023</t>
        </is>
      </c>
      <c r="B5197" t="inlineStr">
        <is>
          <t>avverkningsanmälan</t>
        </is>
      </c>
      <c r="C5197" t="inlineStr">
        <is>
          <t>Föryngringsavverkning</t>
        </is>
      </c>
      <c r="D5197" s="1" t="n">
        <v>45149</v>
      </c>
      <c r="E5197" s="1" t="n">
        <v>46307</v>
      </c>
      <c r="F5197" t="inlineStr">
        <is>
          <t>VÄRMLANDS LÄN</t>
        </is>
      </c>
      <c r="G5197" t="inlineStr">
        <is>
          <t>HAGFORS</t>
        </is>
      </c>
      <c r="I5197" t="n">
        <v>1.8</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27906-2025</t>
        </is>
      </c>
      <c r="B5198" t="inlineStr">
        <is>
          <t>avverkningsanmälan</t>
        </is>
      </c>
      <c r="C5198" t="inlineStr">
        <is>
          <t>Föryngringsavverkning</t>
        </is>
      </c>
      <c r="D5198" s="1" t="n">
        <v>45817</v>
      </c>
      <c r="E5198" s="1" t="n">
        <v>46307</v>
      </c>
      <c r="F5198" t="inlineStr">
        <is>
          <t>VÄRMLANDS LÄN</t>
        </is>
      </c>
      <c r="G5198" t="inlineStr">
        <is>
          <t>TORSBY</t>
        </is>
      </c>
      <c r="I5198" t="n">
        <v>0.7</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17399-2025</t>
        </is>
      </c>
      <c r="B5199" t="inlineStr">
        <is>
          <t>avverkningsanmälan</t>
        </is>
      </c>
      <c r="C5199" t="inlineStr">
        <is>
          <t>Föryngringsavverkning</t>
        </is>
      </c>
      <c r="D5199" s="1" t="n">
        <v>45757</v>
      </c>
      <c r="E5199" s="1" t="n">
        <v>46307</v>
      </c>
      <c r="F5199" t="inlineStr">
        <is>
          <t>VÄRMLANDS LÄN</t>
        </is>
      </c>
      <c r="G5199" t="inlineStr">
        <is>
          <t>GRUMS</t>
        </is>
      </c>
      <c r="I5199" t="n">
        <v>1.4</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27240-2023</t>
        </is>
      </c>
      <c r="B5200" t="inlineStr">
        <is>
          <t>avverkningsanmälan</t>
        </is>
      </c>
      <c r="C5200" t="inlineStr">
        <is>
          <t>Föryngringsavverkning</t>
        </is>
      </c>
      <c r="D5200" s="1" t="n">
        <v>45096</v>
      </c>
      <c r="E5200" s="1" t="n">
        <v>46307</v>
      </c>
      <c r="F5200" t="inlineStr">
        <is>
          <t>VÄRMLANDS LÄN</t>
        </is>
      </c>
      <c r="G5200" t="inlineStr">
        <is>
          <t>ÅRJÄNG</t>
        </is>
      </c>
      <c r="I5200" t="n">
        <v>2.1</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63266-2023</t>
        </is>
      </c>
      <c r="B5201" t="inlineStr">
        <is>
          <t>avverkningsanmälan</t>
        </is>
      </c>
      <c r="C5201" t="inlineStr">
        <is>
          <t>Föryngringsavverkning</t>
        </is>
      </c>
      <c r="D5201" s="1" t="n">
        <v>45273</v>
      </c>
      <c r="E5201" s="1" t="n">
        <v>46307</v>
      </c>
      <c r="F5201" t="inlineStr">
        <is>
          <t>VÄRMLANDS LÄN</t>
        </is>
      </c>
      <c r="G5201" t="inlineStr">
        <is>
          <t>TORSBY</t>
        </is>
      </c>
      <c r="I5201" t="n">
        <v>2</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17042-2023</t>
        </is>
      </c>
      <c r="B5202" t="inlineStr">
        <is>
          <t>avverkningsanmälan</t>
        </is>
      </c>
      <c r="C5202" t="inlineStr">
        <is>
          <t>Föryngringsavverkning</t>
        </is>
      </c>
      <c r="D5202" s="1" t="n">
        <v>45034</v>
      </c>
      <c r="E5202" s="1" t="n">
        <v>46307</v>
      </c>
      <c r="F5202" t="inlineStr">
        <is>
          <t>VÄRMLANDS LÄN</t>
        </is>
      </c>
      <c r="G5202" t="inlineStr">
        <is>
          <t>SUNNE</t>
        </is>
      </c>
      <c r="I5202" t="n">
        <v>0.6</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55795-2024</t>
        </is>
      </c>
      <c r="B5203" t="inlineStr">
        <is>
          <t>avverkningsanmälan</t>
        </is>
      </c>
      <c r="C5203" t="inlineStr">
        <is>
          <t>Föryngringsavverkning</t>
        </is>
      </c>
      <c r="D5203" s="1" t="n">
        <v>45623</v>
      </c>
      <c r="E5203" s="1" t="n">
        <v>46307</v>
      </c>
      <c r="F5203" t="inlineStr">
        <is>
          <t>VÄRMLANDS LÄN</t>
        </is>
      </c>
      <c r="G5203" t="inlineStr">
        <is>
          <t>SÄFFLE</t>
        </is>
      </c>
      <c r="I5203" t="n">
        <v>0.8</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27759-2025</t>
        </is>
      </c>
      <c r="B5204" t="inlineStr">
        <is>
          <t>avverkningsanmälan</t>
        </is>
      </c>
      <c r="C5204" t="inlineStr">
        <is>
          <t>Föryngringsavverkning</t>
        </is>
      </c>
      <c r="D5204" s="1" t="n">
        <v>45816</v>
      </c>
      <c r="E5204" s="1" t="n">
        <v>46307</v>
      </c>
      <c r="F5204" t="inlineStr">
        <is>
          <t>VÄRMLANDS LÄN</t>
        </is>
      </c>
      <c r="G5204" t="inlineStr">
        <is>
          <t>TORSBY</t>
        </is>
      </c>
      <c r="I5204" t="n">
        <v>0.7</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28255-2025</t>
        </is>
      </c>
      <c r="B5205" t="inlineStr">
        <is>
          <t>avverkningsanmälan</t>
        </is>
      </c>
      <c r="C5205" t="inlineStr">
        <is>
          <t>Föryngringsavverkning</t>
        </is>
      </c>
      <c r="D5205" s="1" t="n">
        <v>45818</v>
      </c>
      <c r="E5205" s="1" t="n">
        <v>46307</v>
      </c>
      <c r="F5205" t="inlineStr">
        <is>
          <t>VÄRMLANDS LÄN</t>
        </is>
      </c>
      <c r="G5205" t="inlineStr">
        <is>
          <t>STORFORS</t>
        </is>
      </c>
      <c r="I5205" t="n">
        <v>0.5</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61608-2024</t>
        </is>
      </c>
      <c r="B5206" t="inlineStr">
        <is>
          <t>avverkningsanmälan</t>
        </is>
      </c>
      <c r="C5206" t="inlineStr">
        <is>
          <t>Föryngringsavverkning</t>
        </is>
      </c>
      <c r="D5206" s="1" t="n">
        <v>45646</v>
      </c>
      <c r="E5206" s="1" t="n">
        <v>46307</v>
      </c>
      <c r="F5206" t="inlineStr">
        <is>
          <t>VÄRMLANDS LÄN</t>
        </is>
      </c>
      <c r="G5206" t="inlineStr">
        <is>
          <t>SÄFFLE</t>
        </is>
      </c>
      <c r="I5206" t="n">
        <v>2.9</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20375-2025</t>
        </is>
      </c>
      <c r="B5207" t="inlineStr">
        <is>
          <t>avverkningsanmälan</t>
        </is>
      </c>
      <c r="C5207" t="inlineStr">
        <is>
          <t>Föryngringsavverkning</t>
        </is>
      </c>
      <c r="D5207" s="1" t="n">
        <v>45775</v>
      </c>
      <c r="E5207" s="1" t="n">
        <v>46307</v>
      </c>
      <c r="F5207" t="inlineStr">
        <is>
          <t>VÄRMLANDS LÄN</t>
        </is>
      </c>
      <c r="G5207" t="inlineStr">
        <is>
          <t>ARVIKA</t>
        </is>
      </c>
      <c r="H5207" t="inlineStr">
        <is>
          <t>Bergvik skog väst AB</t>
        </is>
      </c>
      <c r="I5207" t="n">
        <v>0.7</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13325-2023</t>
        </is>
      </c>
      <c r="B5208" t="inlineStr">
        <is>
          <t>avverkningsanmälan</t>
        </is>
      </c>
      <c r="C5208" t="inlineStr">
        <is>
          <t>Föryngringsavverkning</t>
        </is>
      </c>
      <c r="D5208" s="1" t="n">
        <v>45005</v>
      </c>
      <c r="E5208" s="1" t="n">
        <v>46307</v>
      </c>
      <c r="F5208" t="inlineStr">
        <is>
          <t>VÄRMLANDS LÄN</t>
        </is>
      </c>
      <c r="G5208" t="inlineStr">
        <is>
          <t>KARLSTAD</t>
        </is>
      </c>
      <c r="I5208" t="n">
        <v>2.9</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5286-2023</t>
        </is>
      </c>
      <c r="B5209" t="inlineStr">
        <is>
          <t>avverkningsanmälan</t>
        </is>
      </c>
      <c r="C5209" t="inlineStr">
        <is>
          <t>Föryngringsavverkning</t>
        </is>
      </c>
      <c r="D5209" s="1" t="n">
        <v>44959</v>
      </c>
      <c r="E5209" s="1" t="n">
        <v>46307</v>
      </c>
      <c r="F5209" t="inlineStr">
        <is>
          <t>VÄRMLANDS LÄN</t>
        </is>
      </c>
      <c r="G5209" t="inlineStr">
        <is>
          <t>KIL</t>
        </is>
      </c>
      <c r="I5209" t="n">
        <v>5.3</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18549-2025</t>
        </is>
      </c>
      <c r="B5210" t="inlineStr">
        <is>
          <t>avverkningsanmälan</t>
        </is>
      </c>
      <c r="C5210" t="inlineStr">
        <is>
          <t>Föryngringsavverkning</t>
        </is>
      </c>
      <c r="D5210" s="1" t="n">
        <v>45763</v>
      </c>
      <c r="E5210" s="1" t="n">
        <v>46307</v>
      </c>
      <c r="F5210" t="inlineStr">
        <is>
          <t>VÄRMLANDS LÄN</t>
        </is>
      </c>
      <c r="G5210" t="inlineStr">
        <is>
          <t>SÄFFLE</t>
        </is>
      </c>
      <c r="I5210" t="n">
        <v>1.4</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28309-2025</t>
        </is>
      </c>
      <c r="B5211" t="inlineStr">
        <is>
          <t>avverkningsanmälan</t>
        </is>
      </c>
      <c r="C5211" t="inlineStr">
        <is>
          <t>Föryngringsavverkning</t>
        </is>
      </c>
      <c r="D5211" s="1" t="n">
        <v>45818</v>
      </c>
      <c r="E5211" s="1" t="n">
        <v>46307</v>
      </c>
      <c r="F5211" t="inlineStr">
        <is>
          <t>VÄRMLANDS LÄN</t>
        </is>
      </c>
      <c r="G5211" t="inlineStr">
        <is>
          <t>HAGFORS</t>
        </is>
      </c>
      <c r="H5211" t="inlineStr">
        <is>
          <t>Kyrkan</t>
        </is>
      </c>
      <c r="I5211" t="n">
        <v>2.6</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7332-2025</t>
        </is>
      </c>
      <c r="B5212" t="inlineStr">
        <is>
          <t>avverkningsanmälan</t>
        </is>
      </c>
      <c r="C5212" t="inlineStr">
        <is>
          <t>Föryngringsavverkning</t>
        </is>
      </c>
      <c r="D5212" s="1" t="n">
        <v>45703</v>
      </c>
      <c r="E5212" s="1" t="n">
        <v>46307</v>
      </c>
      <c r="F5212" t="inlineStr">
        <is>
          <t>VÄRMLANDS LÄN</t>
        </is>
      </c>
      <c r="G5212" t="inlineStr">
        <is>
          <t>HAGFORS</t>
        </is>
      </c>
      <c r="H5212" t="inlineStr">
        <is>
          <t>Kyrkan</t>
        </is>
      </c>
      <c r="I5212" t="n">
        <v>15.9</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51113-2025</t>
        </is>
      </c>
      <c r="B5213" t="inlineStr">
        <is>
          <t>avverkningsanmälan</t>
        </is>
      </c>
      <c r="C5213" t="inlineStr">
        <is>
          <t>Föryngringsavverkning</t>
        </is>
      </c>
      <c r="D5213" s="1" t="n">
        <v>45947</v>
      </c>
      <c r="E5213" s="1" t="n">
        <v>46307</v>
      </c>
      <c r="F5213" t="inlineStr">
        <is>
          <t>VÄRMLANDS LÄN</t>
        </is>
      </c>
      <c r="G5213" t="inlineStr">
        <is>
          <t>TORSBY</t>
        </is>
      </c>
      <c r="H5213" t="inlineStr">
        <is>
          <t>Kommuner</t>
        </is>
      </c>
      <c r="I5213" t="n">
        <v>1.8</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7348-2025</t>
        </is>
      </c>
      <c r="B5214" t="inlineStr">
        <is>
          <t>avverkningsanmälan</t>
        </is>
      </c>
      <c r="C5214" t="inlineStr">
        <is>
          <t>Föryngringsavverkning</t>
        </is>
      </c>
      <c r="D5214" s="1" t="n">
        <v>45703</v>
      </c>
      <c r="E5214" s="1" t="n">
        <v>46307</v>
      </c>
      <c r="F5214" t="inlineStr">
        <is>
          <t>VÄRMLANDS LÄN</t>
        </is>
      </c>
      <c r="G5214" t="inlineStr">
        <is>
          <t>ARVIKA</t>
        </is>
      </c>
      <c r="I5214" t="n">
        <v>0.5</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7361-2025</t>
        </is>
      </c>
      <c r="B5215" t="inlineStr">
        <is>
          <t>avverkningsanmälan</t>
        </is>
      </c>
      <c r="C5215" t="inlineStr">
        <is>
          <t>Avverkning för annat ändamål</t>
        </is>
      </c>
      <c r="D5215" s="1" t="n">
        <v>45704</v>
      </c>
      <c r="E5215" s="1" t="n">
        <v>46307</v>
      </c>
      <c r="F5215" t="inlineStr">
        <is>
          <t>VÄRMLANDS LÄN</t>
        </is>
      </c>
      <c r="G5215" t="inlineStr">
        <is>
          <t>SÄFFLE</t>
        </is>
      </c>
      <c r="I5215" t="n">
        <v>0.2</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7368-2025</t>
        </is>
      </c>
      <c r="B5216" t="inlineStr">
        <is>
          <t>avverkningsanmälan</t>
        </is>
      </c>
      <c r="C5216" t="inlineStr">
        <is>
          <t>Föryngringsavverkning</t>
        </is>
      </c>
      <c r="D5216" s="1" t="n">
        <v>45704</v>
      </c>
      <c r="E5216" s="1" t="n">
        <v>46307</v>
      </c>
      <c r="F5216" t="inlineStr">
        <is>
          <t>VÄRMLANDS LÄN</t>
        </is>
      </c>
      <c r="G5216" t="inlineStr">
        <is>
          <t>KIL</t>
        </is>
      </c>
      <c r="I5216" t="n">
        <v>1.5</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19739-2022</t>
        </is>
      </c>
      <c r="B5217" t="inlineStr">
        <is>
          <t>avverkningsanmälan</t>
        </is>
      </c>
      <c r="C5217" t="inlineStr">
        <is>
          <t>Föryngringsavverkning</t>
        </is>
      </c>
      <c r="D5217" s="1" t="n">
        <v>44694</v>
      </c>
      <c r="E5217" s="1" t="n">
        <v>46307</v>
      </c>
      <c r="F5217" t="inlineStr">
        <is>
          <t>VÄRMLANDS LÄN</t>
        </is>
      </c>
      <c r="G5217" t="inlineStr">
        <is>
          <t>SUNNE</t>
        </is>
      </c>
      <c r="I5217" t="n">
        <v>3.3</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19764-2022</t>
        </is>
      </c>
      <c r="B5218" t="inlineStr">
        <is>
          <t>avverkningsanmälan</t>
        </is>
      </c>
      <c r="C5218" t="inlineStr">
        <is>
          <t>Föryngringsavverkning</t>
        </is>
      </c>
      <c r="D5218" s="1" t="n">
        <v>44694</v>
      </c>
      <c r="E5218" s="1" t="n">
        <v>46307</v>
      </c>
      <c r="F5218" t="inlineStr">
        <is>
          <t>VÄRMLANDS LÄN</t>
        </is>
      </c>
      <c r="G5218" t="inlineStr">
        <is>
          <t>ARVIKA</t>
        </is>
      </c>
      <c r="I5218" t="n">
        <v>3.4</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24216-2024</t>
        </is>
      </c>
      <c r="B5219" t="inlineStr">
        <is>
          <t>avverkningsanmälan</t>
        </is>
      </c>
      <c r="C5219" t="inlineStr">
        <is>
          <t>Föryngringsavverkning</t>
        </is>
      </c>
      <c r="D5219" s="1" t="n">
        <v>45457</v>
      </c>
      <c r="E5219" s="1" t="n">
        <v>46307</v>
      </c>
      <c r="F5219" t="inlineStr">
        <is>
          <t>VÄRMLANDS LÄN</t>
        </is>
      </c>
      <c r="G5219" t="inlineStr">
        <is>
          <t>ÅRJÄNG</t>
        </is>
      </c>
      <c r="I5219" t="n">
        <v>2</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51269-2025</t>
        </is>
      </c>
      <c r="B5220" t="inlineStr">
        <is>
          <t>avverkningsanmälan</t>
        </is>
      </c>
      <c r="C5220" t="inlineStr">
        <is>
          <t>Avverkning för annat ändamål</t>
        </is>
      </c>
      <c r="D5220" s="1" t="n">
        <v>45949</v>
      </c>
      <c r="E5220" s="1" t="n">
        <v>46307</v>
      </c>
      <c r="F5220" t="inlineStr">
        <is>
          <t>VÄRMLANDS LÄN</t>
        </is>
      </c>
      <c r="G5220" t="inlineStr">
        <is>
          <t>SÄFFLE</t>
        </is>
      </c>
      <c r="I5220" t="n">
        <v>0.8</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27939-2025</t>
        </is>
      </c>
      <c r="B5221" t="inlineStr">
        <is>
          <t>avverkningsanmälan</t>
        </is>
      </c>
      <c r="C5221" t="inlineStr">
        <is>
          <t>Föryngringsavverkning</t>
        </is>
      </c>
      <c r="D5221" s="1" t="n">
        <v>45817</v>
      </c>
      <c r="E5221" s="1" t="n">
        <v>46307</v>
      </c>
      <c r="F5221" t="inlineStr">
        <is>
          <t>VÄRMLANDS LÄN</t>
        </is>
      </c>
      <c r="G5221" t="inlineStr">
        <is>
          <t>ARVIKA</t>
        </is>
      </c>
      <c r="I5221" t="n">
        <v>3.5</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27758-2025</t>
        </is>
      </c>
      <c r="B5222" t="inlineStr">
        <is>
          <t>avverkningsanmälan</t>
        </is>
      </c>
      <c r="C5222" t="inlineStr">
        <is>
          <t>Föryngringsavverkning</t>
        </is>
      </c>
      <c r="D5222" s="1" t="n">
        <v>45816</v>
      </c>
      <c r="E5222" s="1" t="n">
        <v>46307</v>
      </c>
      <c r="F5222" t="inlineStr">
        <is>
          <t>VÄRMLANDS LÄN</t>
        </is>
      </c>
      <c r="G5222" t="inlineStr">
        <is>
          <t>TORSBY</t>
        </is>
      </c>
      <c r="I5222" t="n">
        <v>0.8</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1710-2025</t>
        </is>
      </c>
      <c r="B5223" t="inlineStr">
        <is>
          <t>avverkningsanmälan</t>
        </is>
      </c>
      <c r="C5223" t="inlineStr">
        <is>
          <t>Föryngringsavverkning</t>
        </is>
      </c>
      <c r="D5223" s="1" t="n">
        <v>45671</v>
      </c>
      <c r="E5223" s="1" t="n">
        <v>46307</v>
      </c>
      <c r="F5223" t="inlineStr">
        <is>
          <t>VÄRMLANDS LÄN</t>
        </is>
      </c>
      <c r="G5223" t="inlineStr">
        <is>
          <t>HAGFORS</t>
        </is>
      </c>
      <c r="I5223" t="n">
        <v>3.8</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35850-2023</t>
        </is>
      </c>
      <c r="B5224" t="inlineStr">
        <is>
          <t>avverkningsanmälan</t>
        </is>
      </c>
      <c r="C5224" t="inlineStr">
        <is>
          <t>Föryngringsavverkning</t>
        </is>
      </c>
      <c r="D5224" s="1" t="n">
        <v>45148</v>
      </c>
      <c r="E5224" s="1" t="n">
        <v>46307</v>
      </c>
      <c r="F5224" t="inlineStr">
        <is>
          <t>VÄRMLANDS LÄN</t>
        </is>
      </c>
      <c r="G5224" t="inlineStr">
        <is>
          <t>FORSHAGA</t>
        </is>
      </c>
      <c r="H5224" t="inlineStr">
        <is>
          <t>Kommuner</t>
        </is>
      </c>
      <c r="I5224" t="n">
        <v>0.3</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18040-2025</t>
        </is>
      </c>
      <c r="B5225" t="inlineStr">
        <is>
          <t>avverkningsanmälan</t>
        </is>
      </c>
      <c r="C5225" t="inlineStr">
        <is>
          <t>Avverkning för annat ändamål</t>
        </is>
      </c>
      <c r="D5225" s="1" t="n">
        <v>45761</v>
      </c>
      <c r="E5225" s="1" t="n">
        <v>46307</v>
      </c>
      <c r="F5225" t="inlineStr">
        <is>
          <t>VÄRMLANDS LÄN</t>
        </is>
      </c>
      <c r="G5225" t="inlineStr">
        <is>
          <t>SÄFFLE</t>
        </is>
      </c>
      <c r="I5225" t="n">
        <v>1.4</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35879-2023</t>
        </is>
      </c>
      <c r="B5226" t="inlineStr">
        <is>
          <t>avverkningsanmälan</t>
        </is>
      </c>
      <c r="C5226" t="inlineStr">
        <is>
          <t>Föryngringsavverkning</t>
        </is>
      </c>
      <c r="D5226" s="1" t="n">
        <v>45148</v>
      </c>
      <c r="E5226" s="1" t="n">
        <v>46307</v>
      </c>
      <c r="F5226" t="inlineStr">
        <is>
          <t>VÄRMLANDS LÄN</t>
        </is>
      </c>
      <c r="G5226" t="inlineStr">
        <is>
          <t>KARLSTAD</t>
        </is>
      </c>
      <c r="I5226" t="n">
        <v>2.4</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35886-2023</t>
        </is>
      </c>
      <c r="B5227" t="inlineStr">
        <is>
          <t>avverkningsanmälan</t>
        </is>
      </c>
      <c r="C5227" t="inlineStr">
        <is>
          <t>Föryngringsavverkning</t>
        </is>
      </c>
      <c r="D5227" s="1" t="n">
        <v>45148</v>
      </c>
      <c r="E5227" s="1" t="n">
        <v>46307</v>
      </c>
      <c r="F5227" t="inlineStr">
        <is>
          <t>VÄRMLANDS LÄN</t>
        </is>
      </c>
      <c r="G5227" t="inlineStr">
        <is>
          <t>HAGFORS</t>
        </is>
      </c>
      <c r="I5227" t="n">
        <v>1.3</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24493-2024</t>
        </is>
      </c>
      <c r="B5228" t="inlineStr">
        <is>
          <t>avverkningsanmälan</t>
        </is>
      </c>
      <c r="C5228" t="inlineStr">
        <is>
          <t>Föryngringsavverkning</t>
        </is>
      </c>
      <c r="D5228" s="1" t="n">
        <v>45459</v>
      </c>
      <c r="E5228" s="1" t="n">
        <v>46307</v>
      </c>
      <c r="F5228" t="inlineStr">
        <is>
          <t>VÄRMLANDS LÄN</t>
        </is>
      </c>
      <c r="G5228" t="inlineStr">
        <is>
          <t>TORSBY</t>
        </is>
      </c>
      <c r="I5228" t="n">
        <v>2</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23786-2022</t>
        </is>
      </c>
      <c r="B5229" t="inlineStr">
        <is>
          <t>avverkningsanmälan</t>
        </is>
      </c>
      <c r="C5229" t="inlineStr">
        <is>
          <t>Föryngringsavverkning</t>
        </is>
      </c>
      <c r="D5229" s="1" t="n">
        <v>44722</v>
      </c>
      <c r="E5229" s="1" t="n">
        <v>46307</v>
      </c>
      <c r="F5229" t="inlineStr">
        <is>
          <t>VÄRMLANDS LÄN</t>
        </is>
      </c>
      <c r="G5229" t="inlineStr">
        <is>
          <t>KIL</t>
        </is>
      </c>
      <c r="I5229" t="n">
        <v>7.3</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51358-2025</t>
        </is>
      </c>
      <c r="B5230" t="inlineStr">
        <is>
          <t>avverkningsanmälan</t>
        </is>
      </c>
      <c r="C5230" t="inlineStr">
        <is>
          <t>Föryngringsavverkning</t>
        </is>
      </c>
      <c r="D5230" s="1" t="n">
        <v>45950</v>
      </c>
      <c r="E5230" s="1" t="n">
        <v>46307</v>
      </c>
      <c r="F5230" t="inlineStr">
        <is>
          <t>VÄRMLANDS LÄN</t>
        </is>
      </c>
      <c r="G5230" t="inlineStr">
        <is>
          <t>ARVIKA</t>
        </is>
      </c>
      <c r="H5230" t="inlineStr">
        <is>
          <t>Bergvik skog väst AB</t>
        </is>
      </c>
      <c r="I5230" t="n">
        <v>1</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51388-2025</t>
        </is>
      </c>
      <c r="B5231" t="inlineStr">
        <is>
          <t>avverkningsanmälan</t>
        </is>
      </c>
      <c r="C5231" t="inlineStr">
        <is>
          <t>Föryngringsavverkning</t>
        </is>
      </c>
      <c r="D5231" s="1" t="n">
        <v>45950</v>
      </c>
      <c r="E5231" s="1" t="n">
        <v>46307</v>
      </c>
      <c r="F5231" t="inlineStr">
        <is>
          <t>VÄRMLANDS LÄN</t>
        </is>
      </c>
      <c r="G5231" t="inlineStr">
        <is>
          <t>SÄFFLE</t>
        </is>
      </c>
      <c r="I5231" t="n">
        <v>1.4</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56506-2023</t>
        </is>
      </c>
      <c r="B5232" t="inlineStr">
        <is>
          <t>avverkningsanmälan</t>
        </is>
      </c>
      <c r="C5232" t="inlineStr">
        <is>
          <t>Föryngringsavverkning</t>
        </is>
      </c>
      <c r="D5232" s="1" t="n">
        <v>45237</v>
      </c>
      <c r="E5232" s="1" t="n">
        <v>46307</v>
      </c>
      <c r="F5232" t="inlineStr">
        <is>
          <t>VÄRMLANDS LÄN</t>
        </is>
      </c>
      <c r="G5232" t="inlineStr">
        <is>
          <t>SÄFFLE</t>
        </is>
      </c>
      <c r="I5232" t="n">
        <v>2</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29825-2023</t>
        </is>
      </c>
      <c r="B5233" t="inlineStr">
        <is>
          <t>avverkningsanmälan</t>
        </is>
      </c>
      <c r="C5233" t="inlineStr">
        <is>
          <t>Avverkning för annat ändamål</t>
        </is>
      </c>
      <c r="D5233" s="1" t="n">
        <v>45107</v>
      </c>
      <c r="E5233" s="1" t="n">
        <v>46307</v>
      </c>
      <c r="F5233" t="inlineStr">
        <is>
          <t>VÄRMLANDS LÄN</t>
        </is>
      </c>
      <c r="G5233" t="inlineStr">
        <is>
          <t>FILIPSTAD</t>
        </is>
      </c>
      <c r="I5233" t="n">
        <v>0.3</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29855-2023</t>
        </is>
      </c>
      <c r="B5234" t="inlineStr">
        <is>
          <t>avverkningsanmälan</t>
        </is>
      </c>
      <c r="C5234" t="inlineStr">
        <is>
          <t>Föryngringsavverkning</t>
        </is>
      </c>
      <c r="D5234" s="1" t="n">
        <v>45107</v>
      </c>
      <c r="E5234" s="1" t="n">
        <v>46307</v>
      </c>
      <c r="F5234" t="inlineStr">
        <is>
          <t>VÄRMLANDS LÄN</t>
        </is>
      </c>
      <c r="G5234" t="inlineStr">
        <is>
          <t>HAGFORS</t>
        </is>
      </c>
      <c r="I5234" t="n">
        <v>3.2</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62623-2023</t>
        </is>
      </c>
      <c r="B5235" t="inlineStr">
        <is>
          <t>avverkningsanmälan</t>
        </is>
      </c>
      <c r="C5235" t="inlineStr">
        <is>
          <t>Föryngringsavverkning</t>
        </is>
      </c>
      <c r="D5235" s="1" t="n">
        <v>45267</v>
      </c>
      <c r="E5235" s="1" t="n">
        <v>46307</v>
      </c>
      <c r="F5235" t="inlineStr">
        <is>
          <t>VÄRMLANDS LÄN</t>
        </is>
      </c>
      <c r="G5235" t="inlineStr">
        <is>
          <t>KRISTINEHAMN</t>
        </is>
      </c>
      <c r="I5235" t="n">
        <v>5.7</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61614-2024</t>
        </is>
      </c>
      <c r="B5236" t="inlineStr">
        <is>
          <t>avverkningsanmälan</t>
        </is>
      </c>
      <c r="C5236" t="inlineStr">
        <is>
          <t>Föryngringsavverkning</t>
        </is>
      </c>
      <c r="D5236" s="1" t="n">
        <v>45646</v>
      </c>
      <c r="E5236" s="1" t="n">
        <v>46307</v>
      </c>
      <c r="F5236" t="inlineStr">
        <is>
          <t>VÄRMLANDS LÄN</t>
        </is>
      </c>
      <c r="G5236" t="inlineStr">
        <is>
          <t>SÄFFLE</t>
        </is>
      </c>
      <c r="I5236" t="n">
        <v>2.1</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28287-2025</t>
        </is>
      </c>
      <c r="B5237" t="inlineStr">
        <is>
          <t>avverkningsanmälan</t>
        </is>
      </c>
      <c r="C5237" t="inlineStr">
        <is>
          <t>Föryngringsavverkning</t>
        </is>
      </c>
      <c r="D5237" s="1" t="n">
        <v>45818</v>
      </c>
      <c r="E5237" s="1" t="n">
        <v>46307</v>
      </c>
      <c r="F5237" t="inlineStr">
        <is>
          <t>VÄRMLANDS LÄN</t>
        </is>
      </c>
      <c r="G5237" t="inlineStr">
        <is>
          <t>EDA</t>
        </is>
      </c>
      <c r="I5237" t="n">
        <v>5.1</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27995-2025</t>
        </is>
      </c>
      <c r="B5238" t="inlineStr">
        <is>
          <t>avverkningsanmälan</t>
        </is>
      </c>
      <c r="C5238" t="inlineStr">
        <is>
          <t>Föryngringsavverkning</t>
        </is>
      </c>
      <c r="D5238" s="1" t="n">
        <v>45817</v>
      </c>
      <c r="E5238" s="1" t="n">
        <v>46307</v>
      </c>
      <c r="F5238" t="inlineStr">
        <is>
          <t>VÄRMLANDS LÄN</t>
        </is>
      </c>
      <c r="G5238" t="inlineStr">
        <is>
          <t>SÄFFLE</t>
        </is>
      </c>
      <c r="I5238" t="n">
        <v>3.6</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51509-2025</t>
        </is>
      </c>
      <c r="B5239" t="inlineStr">
        <is>
          <t>avverkningsanmälan</t>
        </is>
      </c>
      <c r="C5239" t="inlineStr">
        <is>
          <t>Avverkning för annat ändamål</t>
        </is>
      </c>
      <c r="D5239" s="1" t="n">
        <v>45950</v>
      </c>
      <c r="E5239" s="1" t="n">
        <v>46307</v>
      </c>
      <c r="F5239" t="inlineStr">
        <is>
          <t>VÄRMLANDS LÄN</t>
        </is>
      </c>
      <c r="G5239" t="inlineStr">
        <is>
          <t>GRUMS</t>
        </is>
      </c>
      <c r="I5239" t="n">
        <v>1.7</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4408-2025</t>
        </is>
      </c>
      <c r="B5240" t="inlineStr">
        <is>
          <t>avverkningsanmälan</t>
        </is>
      </c>
      <c r="C5240" t="inlineStr">
        <is>
          <t>Föryngringsavverkning</t>
        </is>
      </c>
      <c r="D5240" s="1" t="n">
        <v>45686</v>
      </c>
      <c r="E5240" s="1" t="n">
        <v>46307</v>
      </c>
      <c r="F5240" t="inlineStr">
        <is>
          <t>VÄRMLANDS LÄN</t>
        </is>
      </c>
      <c r="G5240" t="inlineStr">
        <is>
          <t>ÅRJÄNG</t>
        </is>
      </c>
      <c r="I5240" t="n">
        <v>2</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48406-2024</t>
        </is>
      </c>
      <c r="B5241" t="inlineStr">
        <is>
          <t>avverkningsanmälan</t>
        </is>
      </c>
      <c r="C5241" t="inlineStr">
        <is>
          <t>Föryngringsavverkning</t>
        </is>
      </c>
      <c r="D5241" s="1" t="n">
        <v>45590</v>
      </c>
      <c r="E5241" s="1" t="n">
        <v>46307</v>
      </c>
      <c r="F5241" t="inlineStr">
        <is>
          <t>VÄRMLANDS LÄN</t>
        </is>
      </c>
      <c r="G5241" t="inlineStr">
        <is>
          <t>EDA</t>
        </is>
      </c>
      <c r="I5241" t="n">
        <v>3.4</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18699-2022</t>
        </is>
      </c>
      <c r="B5242" t="inlineStr">
        <is>
          <t>avverkningsanmälan</t>
        </is>
      </c>
      <c r="C5242" t="inlineStr">
        <is>
          <t>Föryngringsavverkning</t>
        </is>
      </c>
      <c r="D5242" s="1" t="n">
        <v>44687</v>
      </c>
      <c r="E5242" s="1" t="n">
        <v>46307</v>
      </c>
      <c r="F5242" t="inlineStr">
        <is>
          <t>VÄRMLANDS LÄN</t>
        </is>
      </c>
      <c r="G5242" t="inlineStr">
        <is>
          <t>HAGFORS</t>
        </is>
      </c>
      <c r="H5242" t="inlineStr">
        <is>
          <t>Bergvik skog väst AB</t>
        </is>
      </c>
      <c r="I5242" t="n">
        <v>20.2</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28324-2025</t>
        </is>
      </c>
      <c r="B5243" t="inlineStr">
        <is>
          <t>avverkningsanmälan</t>
        </is>
      </c>
      <c r="C5243" t="inlineStr">
        <is>
          <t>Föryngringsavverkning</t>
        </is>
      </c>
      <c r="D5243" s="1" t="n">
        <v>45818</v>
      </c>
      <c r="E5243" s="1" t="n">
        <v>46307</v>
      </c>
      <c r="F5243" t="inlineStr">
        <is>
          <t>VÄRMLANDS LÄN</t>
        </is>
      </c>
      <c r="G5243" t="inlineStr">
        <is>
          <t>EDA</t>
        </is>
      </c>
      <c r="I5243" t="n">
        <v>3.9</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28326-2025</t>
        </is>
      </c>
      <c r="B5244" t="inlineStr">
        <is>
          <t>avverkningsanmälan</t>
        </is>
      </c>
      <c r="C5244" t="inlineStr">
        <is>
          <t>Föryngringsavverkning</t>
        </is>
      </c>
      <c r="D5244" s="1" t="n">
        <v>45818</v>
      </c>
      <c r="E5244" s="1" t="n">
        <v>46307</v>
      </c>
      <c r="F5244" t="inlineStr">
        <is>
          <t>VÄRMLANDS LÄN</t>
        </is>
      </c>
      <c r="G5244" t="inlineStr">
        <is>
          <t>EDA</t>
        </is>
      </c>
      <c r="I5244" t="n">
        <v>2.5</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28612-2025</t>
        </is>
      </c>
      <c r="B5245" t="inlineStr">
        <is>
          <t>avverkningsanmälan</t>
        </is>
      </c>
      <c r="C5245" t="inlineStr">
        <is>
          <t>Föryngringsavverkning</t>
        </is>
      </c>
      <c r="D5245" s="1" t="n">
        <v>45819</v>
      </c>
      <c r="E5245" s="1" t="n">
        <v>46307</v>
      </c>
      <c r="F5245" t="inlineStr">
        <is>
          <t>VÄRMLANDS LÄN</t>
        </is>
      </c>
      <c r="G5245" t="inlineStr">
        <is>
          <t>TORSBY</t>
        </is>
      </c>
      <c r="I5245" t="n">
        <v>5.2</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25931-2023</t>
        </is>
      </c>
      <c r="B5246" t="inlineStr">
        <is>
          <t>avverkningsanmälan</t>
        </is>
      </c>
      <c r="C5246" t="inlineStr">
        <is>
          <t>Föryngringsavverkning</t>
        </is>
      </c>
      <c r="D5246" s="1" t="n">
        <v>45090</v>
      </c>
      <c r="E5246" s="1" t="n">
        <v>46307</v>
      </c>
      <c r="F5246" t="inlineStr">
        <is>
          <t>VÄRMLANDS LÄN</t>
        </is>
      </c>
      <c r="G5246" t="inlineStr">
        <is>
          <t>ARVIKA</t>
        </is>
      </c>
      <c r="I5246" t="n">
        <v>1.1</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22162-2025</t>
        </is>
      </c>
      <c r="B5247" t="inlineStr">
        <is>
          <t>avverkningsanmälan</t>
        </is>
      </c>
      <c r="C5247" t="inlineStr">
        <is>
          <t>Föryngringsavverkning</t>
        </is>
      </c>
      <c r="D5247" s="1" t="n">
        <v>45785</v>
      </c>
      <c r="E5247" s="1" t="n">
        <v>46307</v>
      </c>
      <c r="F5247" t="inlineStr">
        <is>
          <t>VÄRMLANDS LÄN</t>
        </is>
      </c>
      <c r="G5247" t="inlineStr">
        <is>
          <t>ARVIKA</t>
        </is>
      </c>
      <c r="I5247" t="n">
        <v>1.3</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51160-2025</t>
        </is>
      </c>
      <c r="B5248" t="inlineStr">
        <is>
          <t>avverkningsanmälan</t>
        </is>
      </c>
      <c r="C5248" t="inlineStr">
        <is>
          <t>Föryngringsavverkning</t>
        </is>
      </c>
      <c r="D5248" s="1" t="n">
        <v>45947</v>
      </c>
      <c r="E5248" s="1" t="n">
        <v>46307</v>
      </c>
      <c r="F5248" t="inlineStr">
        <is>
          <t>VÄRMLANDS LÄN</t>
        </is>
      </c>
      <c r="G5248" t="inlineStr">
        <is>
          <t>HAGFORS</t>
        </is>
      </c>
      <c r="H5248" t="inlineStr">
        <is>
          <t>Bergvik skog väst AB</t>
        </is>
      </c>
      <c r="I5248" t="n">
        <v>6.9</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28574-2025</t>
        </is>
      </c>
      <c r="B5249" t="inlineStr">
        <is>
          <t>avverkningsanmälan</t>
        </is>
      </c>
      <c r="C5249" t="inlineStr">
        <is>
          <t>Avverkning för annat ändamål</t>
        </is>
      </c>
      <c r="D5249" s="1" t="n">
        <v>45819</v>
      </c>
      <c r="E5249" s="1" t="n">
        <v>46307</v>
      </c>
      <c r="F5249" t="inlineStr">
        <is>
          <t>VÄRMLANDS LÄN</t>
        </is>
      </c>
      <c r="G5249" t="inlineStr">
        <is>
          <t>ARVIKA</t>
        </is>
      </c>
      <c r="I5249" t="n">
        <v>2.9</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19489-2022</t>
        </is>
      </c>
      <c r="B5250" t="inlineStr">
        <is>
          <t>avverkningsanmälan</t>
        </is>
      </c>
      <c r="C5250" t="inlineStr">
        <is>
          <t>Föryngringsavverkning</t>
        </is>
      </c>
      <c r="D5250" s="1" t="n">
        <v>44693</v>
      </c>
      <c r="E5250" s="1" t="n">
        <v>46307</v>
      </c>
      <c r="F5250" t="inlineStr">
        <is>
          <t>VÄRMLANDS LÄN</t>
        </is>
      </c>
      <c r="G5250" t="inlineStr">
        <is>
          <t>TORSBY</t>
        </is>
      </c>
      <c r="I5250" t="n">
        <v>2.3</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17030-2023</t>
        </is>
      </c>
      <c r="B5251" t="inlineStr">
        <is>
          <t>avverkningsanmälan</t>
        </is>
      </c>
      <c r="C5251" t="inlineStr">
        <is>
          <t>Föryngringsavverkning</t>
        </is>
      </c>
      <c r="D5251" s="1" t="n">
        <v>45034</v>
      </c>
      <c r="E5251" s="1" t="n">
        <v>46307</v>
      </c>
      <c r="F5251" t="inlineStr">
        <is>
          <t>VÄRMLANDS LÄN</t>
        </is>
      </c>
      <c r="G5251" t="inlineStr">
        <is>
          <t>SUNNE</t>
        </is>
      </c>
      <c r="I5251" t="n">
        <v>1.7</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54398-2024</t>
        </is>
      </c>
      <c r="B5252" t="inlineStr">
        <is>
          <t>avverkningsanmälan</t>
        </is>
      </c>
      <c r="C5252" t="inlineStr">
        <is>
          <t>Föryngringsavverkning</t>
        </is>
      </c>
      <c r="D5252" s="1" t="n">
        <v>45617</v>
      </c>
      <c r="E5252" s="1" t="n">
        <v>46307</v>
      </c>
      <c r="F5252" t="inlineStr">
        <is>
          <t>VÄRMLANDS LÄN</t>
        </is>
      </c>
      <c r="G5252" t="inlineStr">
        <is>
          <t>FILIPSTAD</t>
        </is>
      </c>
      <c r="I5252" t="n">
        <v>1.7</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20168-2022</t>
        </is>
      </c>
      <c r="B5253" t="inlineStr">
        <is>
          <t>avverkningsanmälan</t>
        </is>
      </c>
      <c r="C5253" t="inlineStr">
        <is>
          <t>Föryngringsavverkning</t>
        </is>
      </c>
      <c r="D5253" s="1" t="n">
        <v>44698</v>
      </c>
      <c r="E5253" s="1" t="n">
        <v>46307</v>
      </c>
      <c r="F5253" t="inlineStr">
        <is>
          <t>VÄRMLANDS LÄN</t>
        </is>
      </c>
      <c r="G5253" t="inlineStr">
        <is>
          <t>TORSBY</t>
        </is>
      </c>
      <c r="I5253" t="n">
        <v>6.6</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1095-2025</t>
        </is>
      </c>
      <c r="B5254" t="inlineStr">
        <is>
          <t>avverkningsanmälan</t>
        </is>
      </c>
      <c r="C5254" t="inlineStr">
        <is>
          <t>Föryngringsavverkning</t>
        </is>
      </c>
      <c r="D5254" s="1" t="n">
        <v>45666</v>
      </c>
      <c r="E5254" s="1" t="n">
        <v>46307</v>
      </c>
      <c r="F5254" t="inlineStr">
        <is>
          <t>VÄRMLANDS LÄN</t>
        </is>
      </c>
      <c r="G5254" t="inlineStr">
        <is>
          <t>TORSBY</t>
        </is>
      </c>
      <c r="I5254" t="n">
        <v>0.8</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55765-2024</t>
        </is>
      </c>
      <c r="B5255" t="inlineStr">
        <is>
          <t>avverkningsanmälan</t>
        </is>
      </c>
      <c r="C5255" t="inlineStr">
        <is>
          <t>Föryngringsavverkning</t>
        </is>
      </c>
      <c r="D5255" s="1" t="n">
        <v>45623</v>
      </c>
      <c r="E5255" s="1" t="n">
        <v>46307</v>
      </c>
      <c r="F5255" t="inlineStr">
        <is>
          <t>VÄRMLANDS LÄN</t>
        </is>
      </c>
      <c r="G5255" t="inlineStr">
        <is>
          <t>KARLSTAD</t>
        </is>
      </c>
      <c r="I5255" t="n">
        <v>8.699999999999999</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52494-2024</t>
        </is>
      </c>
      <c r="B5256" t="inlineStr">
        <is>
          <t>avverkningsanmälan</t>
        </is>
      </c>
      <c r="C5256" t="inlineStr">
        <is>
          <t>Föryngringsavverkning</t>
        </is>
      </c>
      <c r="D5256" s="1" t="n">
        <v>45609</v>
      </c>
      <c r="E5256" s="1" t="n">
        <v>46307</v>
      </c>
      <c r="F5256" t="inlineStr">
        <is>
          <t>VÄRMLANDS LÄN</t>
        </is>
      </c>
      <c r="G5256" t="inlineStr">
        <is>
          <t>HAGFORS</t>
        </is>
      </c>
      <c r="H5256" t="inlineStr">
        <is>
          <t>Bergvik skog väst AB</t>
        </is>
      </c>
      <c r="I5256" t="n">
        <v>0.2</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28874-2025</t>
        </is>
      </c>
      <c r="B5257" t="inlineStr">
        <is>
          <t>avverkningsanmälan</t>
        </is>
      </c>
      <c r="C5257" t="inlineStr">
        <is>
          <t>Föryngringsavverkning</t>
        </is>
      </c>
      <c r="D5257" s="1" t="n">
        <v>45820</v>
      </c>
      <c r="E5257" s="1" t="n">
        <v>46307</v>
      </c>
      <c r="F5257" t="inlineStr">
        <is>
          <t>VÄRMLANDS LÄN</t>
        </is>
      </c>
      <c r="G5257" t="inlineStr">
        <is>
          <t>ÅRJÄNG</t>
        </is>
      </c>
      <c r="I5257" t="n">
        <v>0.4</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52368-2022</t>
        </is>
      </c>
      <c r="B5258" t="inlineStr">
        <is>
          <t>avverkningsanmälan</t>
        </is>
      </c>
      <c r="C5258" t="inlineStr">
        <is>
          <t>Föryngringsavverkning</t>
        </is>
      </c>
      <c r="D5258" s="1" t="n">
        <v>44874</v>
      </c>
      <c r="E5258" s="1" t="n">
        <v>46307</v>
      </c>
      <c r="F5258" t="inlineStr">
        <is>
          <t>VÄRMLANDS LÄN</t>
        </is>
      </c>
      <c r="G5258" t="inlineStr">
        <is>
          <t>EDA</t>
        </is>
      </c>
      <c r="I5258" t="n">
        <v>2.5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50112-2024</t>
        </is>
      </c>
      <c r="B5259" t="inlineStr">
        <is>
          <t>avverkningsanmälan</t>
        </is>
      </c>
      <c r="C5259" t="inlineStr">
        <is>
          <t>Föryngringsavverkning</t>
        </is>
      </c>
      <c r="D5259" s="1" t="n">
        <v>45600</v>
      </c>
      <c r="E5259" s="1" t="n">
        <v>46307</v>
      </c>
      <c r="F5259" t="inlineStr">
        <is>
          <t>VÄRMLANDS LÄN</t>
        </is>
      </c>
      <c r="G5259" t="inlineStr">
        <is>
          <t>ÅRJÄNG</t>
        </is>
      </c>
      <c r="I5259" t="n">
        <v>2.8</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50120-2024</t>
        </is>
      </c>
      <c r="B5260" t="inlineStr">
        <is>
          <t>avverkningsanmälan</t>
        </is>
      </c>
      <c r="C5260" t="inlineStr">
        <is>
          <t>Föryngringsavverkning</t>
        </is>
      </c>
      <c r="D5260" s="1" t="n">
        <v>45600</v>
      </c>
      <c r="E5260" s="1" t="n">
        <v>46307</v>
      </c>
      <c r="F5260" t="inlineStr">
        <is>
          <t>VÄRMLANDS LÄN</t>
        </is>
      </c>
      <c r="G5260" t="inlineStr">
        <is>
          <t>EDA</t>
        </is>
      </c>
      <c r="I5260" t="n">
        <v>3.2</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43045-2024</t>
        </is>
      </c>
      <c r="B5261" t="inlineStr">
        <is>
          <t>avverkningsanmälan</t>
        </is>
      </c>
      <c r="C5261" t="inlineStr">
        <is>
          <t>Föryngringsavverkning</t>
        </is>
      </c>
      <c r="D5261" s="1" t="n">
        <v>45567</v>
      </c>
      <c r="E5261" s="1" t="n">
        <v>46307</v>
      </c>
      <c r="F5261" t="inlineStr">
        <is>
          <t>VÄRMLANDS LÄN</t>
        </is>
      </c>
      <c r="G5261" t="inlineStr">
        <is>
          <t>FILIPSTAD</t>
        </is>
      </c>
      <c r="H5261" t="inlineStr">
        <is>
          <t>Kyrkan</t>
        </is>
      </c>
      <c r="I5261" t="n">
        <v>2.5</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52467-2024</t>
        </is>
      </c>
      <c r="B5262" t="inlineStr">
        <is>
          <t>avverkningsanmälan</t>
        </is>
      </c>
      <c r="C5262" t="inlineStr">
        <is>
          <t>Föryngringsavverkning</t>
        </is>
      </c>
      <c r="D5262" s="1" t="n">
        <v>45609</v>
      </c>
      <c r="E5262" s="1" t="n">
        <v>46307</v>
      </c>
      <c r="F5262" t="inlineStr">
        <is>
          <t>VÄRMLANDS LÄN</t>
        </is>
      </c>
      <c r="G5262" t="inlineStr">
        <is>
          <t>SUNNE</t>
        </is>
      </c>
      <c r="I5262" t="n">
        <v>0.5</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28731-2025</t>
        </is>
      </c>
      <c r="B5263" t="inlineStr">
        <is>
          <t>avverkningsanmälan</t>
        </is>
      </c>
      <c r="C5263" t="inlineStr">
        <is>
          <t>Föryngringsavverkning</t>
        </is>
      </c>
      <c r="D5263" s="1" t="n">
        <v>45820</v>
      </c>
      <c r="E5263" s="1" t="n">
        <v>46307</v>
      </c>
      <c r="F5263" t="inlineStr">
        <is>
          <t>VÄRMLANDS LÄN</t>
        </is>
      </c>
      <c r="G5263" t="inlineStr">
        <is>
          <t>KRISTINEHAMN</t>
        </is>
      </c>
      <c r="I5263" t="n">
        <v>1.4</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56815-2023</t>
        </is>
      </c>
      <c r="B5264" t="inlineStr">
        <is>
          <t>avverkningsanmälan</t>
        </is>
      </c>
      <c r="C5264" t="inlineStr">
        <is>
          <t>Föryngringsavverkning</t>
        </is>
      </c>
      <c r="D5264" s="1" t="n">
        <v>45244</v>
      </c>
      <c r="E5264" s="1" t="n">
        <v>46307</v>
      </c>
      <c r="F5264" t="inlineStr">
        <is>
          <t>VÄRMLANDS LÄN</t>
        </is>
      </c>
      <c r="G5264" t="inlineStr">
        <is>
          <t>TORSBY</t>
        </is>
      </c>
      <c r="I5264" t="n">
        <v>9.300000000000001</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56215-2023</t>
        </is>
      </c>
      <c r="B5265" t="inlineStr">
        <is>
          <t>avverkningsanmälan</t>
        </is>
      </c>
      <c r="C5265" t="inlineStr">
        <is>
          <t>Föryngringsavverkning</t>
        </is>
      </c>
      <c r="D5265" s="1" t="n">
        <v>45240</v>
      </c>
      <c r="E5265" s="1" t="n">
        <v>46307</v>
      </c>
      <c r="F5265" t="inlineStr">
        <is>
          <t>VÄRMLANDS LÄN</t>
        </is>
      </c>
      <c r="G5265" t="inlineStr">
        <is>
          <t>SUNNE</t>
        </is>
      </c>
      <c r="I5265" t="n">
        <v>0.6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56219-2023</t>
        </is>
      </c>
      <c r="B5266" t="inlineStr">
        <is>
          <t>avverkningsanmälan</t>
        </is>
      </c>
      <c r="C5266" t="inlineStr">
        <is>
          <t>Föryngringsavverkning</t>
        </is>
      </c>
      <c r="D5266" s="1" t="n">
        <v>45240</v>
      </c>
      <c r="E5266" s="1" t="n">
        <v>46307</v>
      </c>
      <c r="F5266" t="inlineStr">
        <is>
          <t>VÄRMLANDS LÄN</t>
        </is>
      </c>
      <c r="G5266" t="inlineStr">
        <is>
          <t>GRUMS</t>
        </is>
      </c>
      <c r="I5266" t="n">
        <v>1.1</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29742-2023</t>
        </is>
      </c>
      <c r="B5267" t="inlineStr">
        <is>
          <t>avverkningsanmälan</t>
        </is>
      </c>
      <c r="C5267" t="inlineStr">
        <is>
          <t>Föryngringsavverkning</t>
        </is>
      </c>
      <c r="D5267" s="1" t="n">
        <v>45107</v>
      </c>
      <c r="E5267" s="1" t="n">
        <v>46307</v>
      </c>
      <c r="F5267" t="inlineStr">
        <is>
          <t>VÄRMLANDS LÄN</t>
        </is>
      </c>
      <c r="G5267" t="inlineStr">
        <is>
          <t>SUNNE</t>
        </is>
      </c>
      <c r="I5267" t="n">
        <v>0.7</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45556-2024</t>
        </is>
      </c>
      <c r="B5268" t="inlineStr">
        <is>
          <t>avverkningsanmälan</t>
        </is>
      </c>
      <c r="C5268" t="inlineStr">
        <is>
          <t>Föryngringsavverkning</t>
        </is>
      </c>
      <c r="D5268" s="1" t="n">
        <v>45579</v>
      </c>
      <c r="E5268" s="1" t="n">
        <v>46307</v>
      </c>
      <c r="F5268" t="inlineStr">
        <is>
          <t>VÄRMLANDS LÄN</t>
        </is>
      </c>
      <c r="G5268" t="inlineStr">
        <is>
          <t>EDA</t>
        </is>
      </c>
      <c r="I5268" t="n">
        <v>1.2</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57012-2023</t>
        </is>
      </c>
      <c r="B5269" t="inlineStr">
        <is>
          <t>avverkningsanmälan</t>
        </is>
      </c>
      <c r="C5269" t="inlineStr">
        <is>
          <t>Föryngringsavverkning</t>
        </is>
      </c>
      <c r="D5269" s="1" t="n">
        <v>45244</v>
      </c>
      <c r="E5269" s="1" t="n">
        <v>46307</v>
      </c>
      <c r="F5269" t="inlineStr">
        <is>
          <t>VÄRMLANDS LÄN</t>
        </is>
      </c>
      <c r="G5269" t="inlineStr">
        <is>
          <t>ARVIKA</t>
        </is>
      </c>
      <c r="I5269" t="n">
        <v>0.6</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34840-2023</t>
        </is>
      </c>
      <c r="B5270" t="inlineStr">
        <is>
          <t>avverkningsanmälan</t>
        </is>
      </c>
      <c r="C5270" t="inlineStr">
        <is>
          <t>Föryngringsavverkning</t>
        </is>
      </c>
      <c r="D5270" s="1" t="n">
        <v>45141</v>
      </c>
      <c r="E5270" s="1" t="n">
        <v>46307</v>
      </c>
      <c r="F5270" t="inlineStr">
        <is>
          <t>VÄRMLANDS LÄN</t>
        </is>
      </c>
      <c r="G5270" t="inlineStr">
        <is>
          <t>ARVIKA</t>
        </is>
      </c>
      <c r="I5270" t="n">
        <v>0.6</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10232-2024</t>
        </is>
      </c>
      <c r="B5271" t="inlineStr">
        <is>
          <t>avverkningsanmälan</t>
        </is>
      </c>
      <c r="C5271" t="inlineStr">
        <is>
          <t>Föryngringsavverkning</t>
        </is>
      </c>
      <c r="D5271" s="1" t="n">
        <v>45365</v>
      </c>
      <c r="E5271" s="1" t="n">
        <v>46307</v>
      </c>
      <c r="F5271" t="inlineStr">
        <is>
          <t>VÄRMLANDS LÄN</t>
        </is>
      </c>
      <c r="G5271" t="inlineStr">
        <is>
          <t>SUNNE</t>
        </is>
      </c>
      <c r="I5271" t="n">
        <v>1.9</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28771-2025</t>
        </is>
      </c>
      <c r="B5272" t="inlineStr">
        <is>
          <t>avverkningsanmälan</t>
        </is>
      </c>
      <c r="C5272" t="inlineStr">
        <is>
          <t>Föryngringsavverkning</t>
        </is>
      </c>
      <c r="D5272" s="1" t="n">
        <v>45820</v>
      </c>
      <c r="E5272" s="1" t="n">
        <v>46307</v>
      </c>
      <c r="F5272" t="inlineStr">
        <is>
          <t>VÄRMLANDS LÄN</t>
        </is>
      </c>
      <c r="G5272" t="inlineStr">
        <is>
          <t>SUNNE</t>
        </is>
      </c>
      <c r="I5272" t="n">
        <v>0.9</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28898-2025</t>
        </is>
      </c>
      <c r="B5273" t="inlineStr">
        <is>
          <t>avverkningsanmälan</t>
        </is>
      </c>
      <c r="C5273" t="inlineStr">
        <is>
          <t>Föryngringsavverkning</t>
        </is>
      </c>
      <c r="D5273" s="1" t="n">
        <v>45820</v>
      </c>
      <c r="E5273" s="1" t="n">
        <v>46307</v>
      </c>
      <c r="F5273" t="inlineStr">
        <is>
          <t>VÄRMLANDS LÄN</t>
        </is>
      </c>
      <c r="G5273" t="inlineStr">
        <is>
          <t>TORSBY</t>
        </is>
      </c>
      <c r="I5273" t="n">
        <v>6.2</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10509-2024</t>
        </is>
      </c>
      <c r="B5274" t="inlineStr">
        <is>
          <t>avverkningsanmälan</t>
        </is>
      </c>
      <c r="C5274" t="inlineStr">
        <is>
          <t>Föryngringsavverkning</t>
        </is>
      </c>
      <c r="D5274" s="1" t="n">
        <v>45366</v>
      </c>
      <c r="E5274" s="1" t="n">
        <v>46307</v>
      </c>
      <c r="F5274" t="inlineStr">
        <is>
          <t>VÄRMLANDS LÄN</t>
        </is>
      </c>
      <c r="G5274" t="inlineStr">
        <is>
          <t>SUNNE</t>
        </is>
      </c>
      <c r="I5274" t="n">
        <v>1.2</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18388-2025</t>
        </is>
      </c>
      <c r="B5275" t="inlineStr">
        <is>
          <t>avverkningsanmälan</t>
        </is>
      </c>
      <c r="C5275" t="inlineStr">
        <is>
          <t>Avverkning för annat ändamål</t>
        </is>
      </c>
      <c r="D5275" s="1" t="n">
        <v>45762</v>
      </c>
      <c r="E5275" s="1" t="n">
        <v>46307</v>
      </c>
      <c r="F5275" t="inlineStr">
        <is>
          <t>VÄRMLANDS LÄN</t>
        </is>
      </c>
      <c r="G5275" t="inlineStr">
        <is>
          <t>ÅRJÄNG</t>
        </is>
      </c>
      <c r="I5275" t="n">
        <v>0.5</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6721-2025</t>
        </is>
      </c>
      <c r="B5276" t="inlineStr">
        <is>
          <t>avverkningsanmälan</t>
        </is>
      </c>
      <c r="C5276" t="inlineStr">
        <is>
          <t>Föryngringsavverkning</t>
        </is>
      </c>
      <c r="D5276" s="1" t="n">
        <v>45700</v>
      </c>
      <c r="E5276" s="1" t="n">
        <v>46307</v>
      </c>
      <c r="F5276" t="inlineStr">
        <is>
          <t>VÄRMLANDS LÄN</t>
        </is>
      </c>
      <c r="G5276" t="inlineStr">
        <is>
          <t>GRUMS</t>
        </is>
      </c>
      <c r="H5276" t="inlineStr">
        <is>
          <t>Bergvik skog väst AB</t>
        </is>
      </c>
      <c r="I5276" t="n">
        <v>5.7</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56744-2024</t>
        </is>
      </c>
      <c r="B5277" t="inlineStr">
        <is>
          <t>avverkningsanmälan</t>
        </is>
      </c>
      <c r="C5277" t="inlineStr">
        <is>
          <t>Föryngringsavverkning</t>
        </is>
      </c>
      <c r="D5277" s="1" t="n">
        <v>45628</v>
      </c>
      <c r="E5277" s="1" t="n">
        <v>46307</v>
      </c>
      <c r="F5277" t="inlineStr">
        <is>
          <t>VÄRMLANDS LÄN</t>
        </is>
      </c>
      <c r="G5277" t="inlineStr">
        <is>
          <t>SUNNE</t>
        </is>
      </c>
      <c r="I5277" t="n">
        <v>6.9</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6328-2023</t>
        </is>
      </c>
      <c r="B5278" t="inlineStr">
        <is>
          <t>avverkningsanmälan</t>
        </is>
      </c>
      <c r="C5278" t="inlineStr">
        <is>
          <t>Föryngringsavverkning</t>
        </is>
      </c>
      <c r="D5278" s="1" t="n">
        <v>44965</v>
      </c>
      <c r="E5278" s="1" t="n">
        <v>46307</v>
      </c>
      <c r="F5278" t="inlineStr">
        <is>
          <t>VÄRMLANDS LÄN</t>
        </is>
      </c>
      <c r="G5278" t="inlineStr">
        <is>
          <t>SUNNE</t>
        </is>
      </c>
      <c r="I5278" t="n">
        <v>1.2</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28772-2025</t>
        </is>
      </c>
      <c r="B5279" t="inlineStr">
        <is>
          <t>avverkningsanmälan</t>
        </is>
      </c>
      <c r="C5279" t="inlineStr">
        <is>
          <t>Föryngringsavverkning</t>
        </is>
      </c>
      <c r="D5279" s="1" t="n">
        <v>45820</v>
      </c>
      <c r="E5279" s="1" t="n">
        <v>46307</v>
      </c>
      <c r="F5279" t="inlineStr">
        <is>
          <t>VÄRMLANDS LÄN</t>
        </is>
      </c>
      <c r="G5279" t="inlineStr">
        <is>
          <t>SUNNE</t>
        </is>
      </c>
      <c r="I5279" t="n">
        <v>0.5</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28784-2025</t>
        </is>
      </c>
      <c r="B5280" t="inlineStr">
        <is>
          <t>avverkningsanmälan</t>
        </is>
      </c>
      <c r="C5280" t="inlineStr">
        <is>
          <t>Föryngringsavverkning</t>
        </is>
      </c>
      <c r="D5280" s="1" t="n">
        <v>45820</v>
      </c>
      <c r="E5280" s="1" t="n">
        <v>46307</v>
      </c>
      <c r="F5280" t="inlineStr">
        <is>
          <t>VÄRMLANDS LÄN</t>
        </is>
      </c>
      <c r="G5280" t="inlineStr">
        <is>
          <t>TORSBY</t>
        </is>
      </c>
      <c r="I5280" t="n">
        <v>3.5</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35571-2023</t>
        </is>
      </c>
      <c r="B5281" t="inlineStr">
        <is>
          <t>avverkningsanmälan</t>
        </is>
      </c>
      <c r="C5281" t="inlineStr">
        <is>
          <t>Föryngringsavverkning</t>
        </is>
      </c>
      <c r="D5281" s="1" t="n">
        <v>45147</v>
      </c>
      <c r="E5281" s="1" t="n">
        <v>46307</v>
      </c>
      <c r="F5281" t="inlineStr">
        <is>
          <t>VÄRMLANDS LÄN</t>
        </is>
      </c>
      <c r="G5281" t="inlineStr">
        <is>
          <t>ARVIKA</t>
        </is>
      </c>
      <c r="I5281" t="n">
        <v>1.1</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28834-2025</t>
        </is>
      </c>
      <c r="B5282" t="inlineStr">
        <is>
          <t>avverkningsanmälan</t>
        </is>
      </c>
      <c r="C5282" t="inlineStr">
        <is>
          <t>Föryngringsavverkning</t>
        </is>
      </c>
      <c r="D5282" s="1" t="n">
        <v>45820</v>
      </c>
      <c r="E5282" s="1" t="n">
        <v>46307</v>
      </c>
      <c r="F5282" t="inlineStr">
        <is>
          <t>VÄRMLANDS LÄN</t>
        </is>
      </c>
      <c r="G5282" t="inlineStr">
        <is>
          <t>SUNNE</t>
        </is>
      </c>
      <c r="H5282" t="inlineStr">
        <is>
          <t>Kyrkan</t>
        </is>
      </c>
      <c r="I5282" t="n">
        <v>4.7</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56716-2023</t>
        </is>
      </c>
      <c r="B5283" t="inlineStr">
        <is>
          <t>avverkningsanmälan</t>
        </is>
      </c>
      <c r="C5283" t="inlineStr">
        <is>
          <t>Föryngringsavverkning</t>
        </is>
      </c>
      <c r="D5283" s="1" t="n">
        <v>45238</v>
      </c>
      <c r="E5283" s="1" t="n">
        <v>46307</v>
      </c>
      <c r="F5283" t="inlineStr">
        <is>
          <t>VÄRMLANDS LÄN</t>
        </is>
      </c>
      <c r="G5283" t="inlineStr">
        <is>
          <t>TORSBY</t>
        </is>
      </c>
      <c r="I5283" t="n">
        <v>2.9</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31547-2023</t>
        </is>
      </c>
      <c r="B5284" t="inlineStr">
        <is>
          <t>avverkningsanmälan</t>
        </is>
      </c>
      <c r="C5284" t="inlineStr">
        <is>
          <t>Föryngringsavverkning</t>
        </is>
      </c>
      <c r="D5284" s="1" t="n">
        <v>45117</v>
      </c>
      <c r="E5284" s="1" t="n">
        <v>46307</v>
      </c>
      <c r="F5284" t="inlineStr">
        <is>
          <t>VÄRMLANDS LÄN</t>
        </is>
      </c>
      <c r="G5284" t="inlineStr">
        <is>
          <t>TORSBY</t>
        </is>
      </c>
      <c r="I5284" t="n">
        <v>2.8</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51343-2025</t>
        </is>
      </c>
      <c r="B5285" t="inlineStr">
        <is>
          <t>avverkningsanmälan</t>
        </is>
      </c>
      <c r="C5285" t="inlineStr">
        <is>
          <t>Föryngringsavverkning</t>
        </is>
      </c>
      <c r="D5285" s="1" t="n">
        <v>45950</v>
      </c>
      <c r="E5285" s="1" t="n">
        <v>46307</v>
      </c>
      <c r="F5285" t="inlineStr">
        <is>
          <t>VÄRMLANDS LÄN</t>
        </is>
      </c>
      <c r="G5285" t="inlineStr">
        <is>
          <t>SUNNE</t>
        </is>
      </c>
      <c r="H5285" t="inlineStr">
        <is>
          <t>Bergvik skog väst AB</t>
        </is>
      </c>
      <c r="I5285" t="n">
        <v>7.1</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31602-2023</t>
        </is>
      </c>
      <c r="B5286" t="inlineStr">
        <is>
          <t>avverkningsanmälan</t>
        </is>
      </c>
      <c r="C5286" t="inlineStr">
        <is>
          <t>Föryngringsavverkning</t>
        </is>
      </c>
      <c r="D5286" s="1" t="n">
        <v>45117</v>
      </c>
      <c r="E5286" s="1" t="n">
        <v>46307</v>
      </c>
      <c r="F5286" t="inlineStr">
        <is>
          <t>VÄRMLANDS LÄN</t>
        </is>
      </c>
      <c r="G5286" t="inlineStr">
        <is>
          <t>SUNNE</t>
        </is>
      </c>
      <c r="I5286" t="n">
        <v>1.6</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55839-2024</t>
        </is>
      </c>
      <c r="B5287" t="inlineStr">
        <is>
          <t>avverkningsanmälan</t>
        </is>
      </c>
      <c r="C5287" t="inlineStr">
        <is>
          <t>Föryngringsavverkning</t>
        </is>
      </c>
      <c r="D5287" s="1" t="n">
        <v>45623</v>
      </c>
      <c r="E5287" s="1" t="n">
        <v>46307</v>
      </c>
      <c r="F5287" t="inlineStr">
        <is>
          <t>VÄRMLANDS LÄN</t>
        </is>
      </c>
      <c r="G5287" t="inlineStr">
        <is>
          <t>TORSBY</t>
        </is>
      </c>
      <c r="H5287" t="inlineStr">
        <is>
          <t>Kommuner</t>
        </is>
      </c>
      <c r="I5287" t="n">
        <v>0.5</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28949-2025</t>
        </is>
      </c>
      <c r="B5288" t="inlineStr">
        <is>
          <t>avverkningsanmälan</t>
        </is>
      </c>
      <c r="C5288" t="inlineStr">
        <is>
          <t>Föryngringsavverkning</t>
        </is>
      </c>
      <c r="D5288" s="1" t="n">
        <v>45820</v>
      </c>
      <c r="E5288" s="1" t="n">
        <v>46307</v>
      </c>
      <c r="F5288" t="inlineStr">
        <is>
          <t>VÄRMLANDS LÄN</t>
        </is>
      </c>
      <c r="G5288" t="inlineStr">
        <is>
          <t>ÅRJÄNG</t>
        </is>
      </c>
      <c r="I5288" t="n">
        <v>0.3</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55758-2024</t>
        </is>
      </c>
      <c r="B5289" t="inlineStr">
        <is>
          <t>avverkningsanmälan</t>
        </is>
      </c>
      <c r="C5289" t="inlineStr">
        <is>
          <t>Föryngringsavverkning</t>
        </is>
      </c>
      <c r="D5289" s="1" t="n">
        <v>45623</v>
      </c>
      <c r="E5289" s="1" t="n">
        <v>46307</v>
      </c>
      <c r="F5289" t="inlineStr">
        <is>
          <t>VÄRMLANDS LÄN</t>
        </is>
      </c>
      <c r="G5289" t="inlineStr">
        <is>
          <t>HAGFORS</t>
        </is>
      </c>
      <c r="I5289" t="n">
        <v>3.9</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28412-2025</t>
        </is>
      </c>
      <c r="B5290" t="inlineStr">
        <is>
          <t>avverkningsanmälan</t>
        </is>
      </c>
      <c r="C5290" t="inlineStr">
        <is>
          <t>Föryngringsavverkning</t>
        </is>
      </c>
      <c r="D5290" s="1" t="n">
        <v>45819</v>
      </c>
      <c r="E5290" s="1" t="n">
        <v>46307</v>
      </c>
      <c r="F5290" t="inlineStr">
        <is>
          <t>VÄRMLANDS LÄN</t>
        </is>
      </c>
      <c r="G5290" t="inlineStr">
        <is>
          <t>ARVIKA</t>
        </is>
      </c>
      <c r="I5290" t="n">
        <v>3.9</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50977-2025</t>
        </is>
      </c>
      <c r="B5291" t="inlineStr">
        <is>
          <t>avverkningsanmälan</t>
        </is>
      </c>
      <c r="C5291" t="inlineStr">
        <is>
          <t>Föryngringsavverkning</t>
        </is>
      </c>
      <c r="D5291" s="1" t="n">
        <v>45947</v>
      </c>
      <c r="E5291" s="1" t="n">
        <v>46307</v>
      </c>
      <c r="F5291" t="inlineStr">
        <is>
          <t>VÄRMLANDS LÄN</t>
        </is>
      </c>
      <c r="G5291" t="inlineStr">
        <is>
          <t>HAGFORS</t>
        </is>
      </c>
      <c r="H5291" t="inlineStr">
        <is>
          <t>Bergvik skog väst AB</t>
        </is>
      </c>
      <c r="I5291" t="n">
        <v>9.300000000000001</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50969-2025</t>
        </is>
      </c>
      <c r="B5292" t="inlineStr">
        <is>
          <t>avverkningsanmälan</t>
        </is>
      </c>
      <c r="C5292" t="inlineStr">
        <is>
          <t>Föryngringsavverkning</t>
        </is>
      </c>
      <c r="D5292" s="1" t="n">
        <v>45947</v>
      </c>
      <c r="E5292" s="1" t="n">
        <v>46307</v>
      </c>
      <c r="F5292" t="inlineStr">
        <is>
          <t>VÄRMLANDS LÄN</t>
        </is>
      </c>
      <c r="G5292" t="inlineStr">
        <is>
          <t>ARVIKA</t>
        </is>
      </c>
      <c r="H5292" t="inlineStr">
        <is>
          <t>Bergvik skog väst AB</t>
        </is>
      </c>
      <c r="I5292" t="n">
        <v>6.7</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21032-2023</t>
        </is>
      </c>
      <c r="B5293" t="inlineStr">
        <is>
          <t>avverkningsanmälan</t>
        </is>
      </c>
      <c r="C5293" t="inlineStr">
        <is>
          <t>Föryngringsavverkning</t>
        </is>
      </c>
      <c r="D5293" s="1" t="n">
        <v>45061</v>
      </c>
      <c r="E5293" s="1" t="n">
        <v>46307</v>
      </c>
      <c r="F5293" t="inlineStr">
        <is>
          <t>VÄRMLANDS LÄN</t>
        </is>
      </c>
      <c r="G5293" t="inlineStr">
        <is>
          <t>KIL</t>
        </is>
      </c>
      <c r="I5293" t="n">
        <v>1.3</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35729-2023</t>
        </is>
      </c>
      <c r="B5294" t="inlineStr">
        <is>
          <t>avverkningsanmälan</t>
        </is>
      </c>
      <c r="C5294" t="inlineStr">
        <is>
          <t>Föryngringsavverkning</t>
        </is>
      </c>
      <c r="D5294" s="1" t="n">
        <v>45147</v>
      </c>
      <c r="E5294" s="1" t="n">
        <v>46307</v>
      </c>
      <c r="F5294" t="inlineStr">
        <is>
          <t>VÄRMLANDS LÄN</t>
        </is>
      </c>
      <c r="G5294" t="inlineStr">
        <is>
          <t>SÄFFLE</t>
        </is>
      </c>
      <c r="I5294" t="n">
        <v>1</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28437-2025</t>
        </is>
      </c>
      <c r="B5295" t="inlineStr">
        <is>
          <t>avverkningsanmälan</t>
        </is>
      </c>
      <c r="C5295" t="inlineStr">
        <is>
          <t>Föryngringsavverkning</t>
        </is>
      </c>
      <c r="D5295" s="1" t="n">
        <v>45819</v>
      </c>
      <c r="E5295" s="1" t="n">
        <v>46307</v>
      </c>
      <c r="F5295" t="inlineStr">
        <is>
          <t>VÄRMLANDS LÄN</t>
        </is>
      </c>
      <c r="G5295" t="inlineStr">
        <is>
          <t>HAGFORS</t>
        </is>
      </c>
      <c r="H5295" t="inlineStr">
        <is>
          <t>Kyrkan</t>
        </is>
      </c>
      <c r="I5295" t="n">
        <v>4.6</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17746-2025</t>
        </is>
      </c>
      <c r="B5296" t="inlineStr">
        <is>
          <t>avverkningsanmälan</t>
        </is>
      </c>
      <c r="C5296" t="inlineStr">
        <is>
          <t>Föryngringsavverkning</t>
        </is>
      </c>
      <c r="D5296" s="1" t="n">
        <v>45758</v>
      </c>
      <c r="E5296" s="1" t="n">
        <v>46307</v>
      </c>
      <c r="F5296" t="inlineStr">
        <is>
          <t>VÄRMLANDS LÄN</t>
        </is>
      </c>
      <c r="G5296" t="inlineStr">
        <is>
          <t>EDA</t>
        </is>
      </c>
      <c r="I5296" t="n">
        <v>0.7</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46293-2023</t>
        </is>
      </c>
      <c r="B5297" t="inlineStr">
        <is>
          <t>avverkningsanmälan</t>
        </is>
      </c>
      <c r="C5297" t="inlineStr">
        <is>
          <t>Föryngringsavverkning</t>
        </is>
      </c>
      <c r="D5297" s="1" t="n">
        <v>45197</v>
      </c>
      <c r="E5297" s="1" t="n">
        <v>46307</v>
      </c>
      <c r="F5297" t="inlineStr">
        <is>
          <t>VÄRMLANDS LÄN</t>
        </is>
      </c>
      <c r="G5297" t="inlineStr">
        <is>
          <t>EDA</t>
        </is>
      </c>
      <c r="I5297" t="n">
        <v>0.5</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5088-2022</t>
        </is>
      </c>
      <c r="B5298" t="inlineStr">
        <is>
          <t>avverkningsanmälan</t>
        </is>
      </c>
      <c r="C5298" t="inlineStr">
        <is>
          <t>Föryngringsavverkning</t>
        </is>
      </c>
      <c r="D5298" s="1" t="n">
        <v>44593</v>
      </c>
      <c r="E5298" s="1" t="n">
        <v>46307</v>
      </c>
      <c r="F5298" t="inlineStr">
        <is>
          <t>VÄRMLANDS LÄN</t>
        </is>
      </c>
      <c r="G5298" t="inlineStr">
        <is>
          <t>SUNNE</t>
        </is>
      </c>
      <c r="I5298" t="n">
        <v>4.2</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46342-2023</t>
        </is>
      </c>
      <c r="B5299" t="inlineStr">
        <is>
          <t>avverkningsanmälan</t>
        </is>
      </c>
      <c r="C5299" t="inlineStr">
        <is>
          <t>Föryngringsavverkning</t>
        </is>
      </c>
      <c r="D5299" s="1" t="n">
        <v>45194</v>
      </c>
      <c r="E5299" s="1" t="n">
        <v>46307</v>
      </c>
      <c r="F5299" t="inlineStr">
        <is>
          <t>VÄRMLANDS LÄN</t>
        </is>
      </c>
      <c r="G5299" t="inlineStr">
        <is>
          <t>SUNNE</t>
        </is>
      </c>
      <c r="I5299" t="n">
        <v>1.8</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46351-2023</t>
        </is>
      </c>
      <c r="B5300" t="inlineStr">
        <is>
          <t>avverkningsanmälan</t>
        </is>
      </c>
      <c r="C5300" t="inlineStr">
        <is>
          <t>Föryngringsavverkning</t>
        </is>
      </c>
      <c r="D5300" s="1" t="n">
        <v>45197</v>
      </c>
      <c r="E5300" s="1" t="n">
        <v>46307</v>
      </c>
      <c r="F5300" t="inlineStr">
        <is>
          <t>VÄRMLANDS LÄN</t>
        </is>
      </c>
      <c r="G5300" t="inlineStr">
        <is>
          <t>ÅRJÄNG</t>
        </is>
      </c>
      <c r="I5300" t="n">
        <v>0.7</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28433-2025</t>
        </is>
      </c>
      <c r="B5301" t="inlineStr">
        <is>
          <t>avverkningsanmälan</t>
        </is>
      </c>
      <c r="C5301" t="inlineStr">
        <is>
          <t>Föryngringsavverkning</t>
        </is>
      </c>
      <c r="D5301" s="1" t="n">
        <v>45819</v>
      </c>
      <c r="E5301" s="1" t="n">
        <v>46307</v>
      </c>
      <c r="F5301" t="inlineStr">
        <is>
          <t>VÄRMLANDS LÄN</t>
        </is>
      </c>
      <c r="G5301" t="inlineStr">
        <is>
          <t>KARLSTAD</t>
        </is>
      </c>
      <c r="I5301" t="n">
        <v>3.2</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50445-2023</t>
        </is>
      </c>
      <c r="B5302" t="inlineStr">
        <is>
          <t>avverkningsanmälan</t>
        </is>
      </c>
      <c r="C5302" t="inlineStr">
        <is>
          <t>Föryngringsavverkning</t>
        </is>
      </c>
      <c r="D5302" s="1" t="n">
        <v>45216</v>
      </c>
      <c r="E5302" s="1" t="n">
        <v>46307</v>
      </c>
      <c r="F5302" t="inlineStr">
        <is>
          <t>VÄRMLANDS LÄN</t>
        </is>
      </c>
      <c r="G5302" t="inlineStr">
        <is>
          <t>TORSBY</t>
        </is>
      </c>
      <c r="I5302" t="n">
        <v>1</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50455-2023</t>
        </is>
      </c>
      <c r="B5303" t="inlineStr">
        <is>
          <t>avverkningsanmälan</t>
        </is>
      </c>
      <c r="C5303" t="inlineStr">
        <is>
          <t>Föryngringsavverkning</t>
        </is>
      </c>
      <c r="D5303" s="1" t="n">
        <v>45216</v>
      </c>
      <c r="E5303" s="1" t="n">
        <v>46307</v>
      </c>
      <c r="F5303" t="inlineStr">
        <is>
          <t>VÄRMLANDS LÄN</t>
        </is>
      </c>
      <c r="G5303" t="inlineStr">
        <is>
          <t>SUNNE</t>
        </is>
      </c>
      <c r="I5303" t="n">
        <v>6</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17361-2022</t>
        </is>
      </c>
      <c r="B5304" t="inlineStr">
        <is>
          <t>avverkningsanmälan</t>
        </is>
      </c>
      <c r="C5304" t="inlineStr">
        <is>
          <t>Föryngringsavverkning</t>
        </is>
      </c>
      <c r="D5304" s="1" t="n">
        <v>44678</v>
      </c>
      <c r="E5304" s="1" t="n">
        <v>46307</v>
      </c>
      <c r="F5304" t="inlineStr">
        <is>
          <t>VÄRMLANDS LÄN</t>
        </is>
      </c>
      <c r="G5304" t="inlineStr">
        <is>
          <t>ÅRJÄNG</t>
        </is>
      </c>
      <c r="I5304" t="n">
        <v>5.7</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14945-2023</t>
        </is>
      </c>
      <c r="B5305" t="inlineStr">
        <is>
          <t>avverkningsanmälan</t>
        </is>
      </c>
      <c r="C5305" t="inlineStr">
        <is>
          <t>Föryngringsavverkning</t>
        </is>
      </c>
      <c r="D5305" s="1" t="n">
        <v>45014</v>
      </c>
      <c r="E5305" s="1" t="n">
        <v>46307</v>
      </c>
      <c r="F5305" t="inlineStr">
        <is>
          <t>VÄRMLANDS LÄN</t>
        </is>
      </c>
      <c r="G5305" t="inlineStr">
        <is>
          <t>TORSBY</t>
        </is>
      </c>
      <c r="I5305" t="n">
        <v>6.5</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51056-2025</t>
        </is>
      </c>
      <c r="B5306" t="inlineStr">
        <is>
          <t>avverkningsanmälan</t>
        </is>
      </c>
      <c r="C5306" t="inlineStr">
        <is>
          <t>Föryngringsavverkning</t>
        </is>
      </c>
      <c r="D5306" s="1" t="n">
        <v>45947</v>
      </c>
      <c r="E5306" s="1" t="n">
        <v>46307</v>
      </c>
      <c r="F5306" t="inlineStr">
        <is>
          <t>VÄRMLANDS LÄN</t>
        </is>
      </c>
      <c r="G5306" t="inlineStr">
        <is>
          <t>SUNNE</t>
        </is>
      </c>
      <c r="I5306" t="n">
        <v>0.9</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28525-2025</t>
        </is>
      </c>
      <c r="B5307" t="inlineStr">
        <is>
          <t>avverkningsanmälan</t>
        </is>
      </c>
      <c r="C5307" t="inlineStr">
        <is>
          <t>Föryngringsavverkning</t>
        </is>
      </c>
      <c r="D5307" s="1" t="n">
        <v>45819</v>
      </c>
      <c r="E5307" s="1" t="n">
        <v>46307</v>
      </c>
      <c r="F5307" t="inlineStr">
        <is>
          <t>VÄRMLANDS LÄN</t>
        </is>
      </c>
      <c r="G5307" t="inlineStr">
        <is>
          <t>SUNNE</t>
        </is>
      </c>
      <c r="I5307" t="n">
        <v>0.4</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28554-2025</t>
        </is>
      </c>
      <c r="B5308" t="inlineStr">
        <is>
          <t>avverkningsanmälan</t>
        </is>
      </c>
      <c r="C5308" t="inlineStr">
        <is>
          <t>Föryngringsavverkning</t>
        </is>
      </c>
      <c r="D5308" s="1" t="n">
        <v>45819</v>
      </c>
      <c r="E5308" s="1" t="n">
        <v>46307</v>
      </c>
      <c r="F5308" t="inlineStr">
        <is>
          <t>VÄRMLANDS LÄN</t>
        </is>
      </c>
      <c r="G5308" t="inlineStr">
        <is>
          <t>ÅRJÄNG</t>
        </is>
      </c>
      <c r="I5308" t="n">
        <v>1.5</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28757-2025</t>
        </is>
      </c>
      <c r="B5309" t="inlineStr">
        <is>
          <t>avverkningsanmälan</t>
        </is>
      </c>
      <c r="C5309" t="inlineStr">
        <is>
          <t>Föryngringsavverkning</t>
        </is>
      </c>
      <c r="D5309" s="1" t="n">
        <v>45820</v>
      </c>
      <c r="E5309" s="1" t="n">
        <v>46307</v>
      </c>
      <c r="F5309" t="inlineStr">
        <is>
          <t>VÄRMLANDS LÄN</t>
        </is>
      </c>
      <c r="G5309" t="inlineStr">
        <is>
          <t>TORSBY</t>
        </is>
      </c>
      <c r="I5309" t="n">
        <v>12.1</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1912-2024</t>
        </is>
      </c>
      <c r="B5310" t="inlineStr">
        <is>
          <t>avverkningsanmälan</t>
        </is>
      </c>
      <c r="C5310" t="inlineStr">
        <is>
          <t>Föryngringsavverkning</t>
        </is>
      </c>
      <c r="D5310" s="1" t="n">
        <v>45308</v>
      </c>
      <c r="E5310" s="1" t="n">
        <v>46307</v>
      </c>
      <c r="F5310" t="inlineStr">
        <is>
          <t>VÄRMLANDS LÄN</t>
        </is>
      </c>
      <c r="G5310" t="inlineStr">
        <is>
          <t>ÅRJÄNG</t>
        </is>
      </c>
      <c r="I5310" t="n">
        <v>0.9</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29526-2022</t>
        </is>
      </c>
      <c r="B5311" t="inlineStr">
        <is>
          <t>avverkningsanmälan</t>
        </is>
      </c>
      <c r="C5311" t="inlineStr">
        <is>
          <t>Föryngringsavverkning</t>
        </is>
      </c>
      <c r="D5311" s="1" t="n">
        <v>44753</v>
      </c>
      <c r="E5311" s="1" t="n">
        <v>46307</v>
      </c>
      <c r="F5311" t="inlineStr">
        <is>
          <t>VÄRMLANDS LÄN</t>
        </is>
      </c>
      <c r="G5311" t="inlineStr">
        <is>
          <t>KRISTINEHAMN</t>
        </is>
      </c>
      <c r="I5311" t="n">
        <v>2.4</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38167-2022</t>
        </is>
      </c>
      <c r="B5312" t="inlineStr">
        <is>
          <t>avverkningsanmälan</t>
        </is>
      </c>
      <c r="C5312" t="inlineStr">
        <is>
          <t>Föryngringsavverkning</t>
        </is>
      </c>
      <c r="D5312" s="1" t="n">
        <v>44812</v>
      </c>
      <c r="E5312" s="1" t="n">
        <v>46307</v>
      </c>
      <c r="F5312" t="inlineStr">
        <is>
          <t>VÄRMLANDS LÄN</t>
        </is>
      </c>
      <c r="G5312" t="inlineStr">
        <is>
          <t>ÅRJÄNG</t>
        </is>
      </c>
      <c r="I5312" t="n">
        <v>10.5</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55306-2024</t>
        </is>
      </c>
      <c r="B5313" t="inlineStr">
        <is>
          <t>avverkningsanmälan</t>
        </is>
      </c>
      <c r="C5313" t="inlineStr">
        <is>
          <t>Föryngringsavverkning</t>
        </is>
      </c>
      <c r="D5313" s="1" t="n">
        <v>45621</v>
      </c>
      <c r="E5313" s="1" t="n">
        <v>46307</v>
      </c>
      <c r="F5313" t="inlineStr">
        <is>
          <t>VÄRMLANDS LÄN</t>
        </is>
      </c>
      <c r="G5313" t="inlineStr">
        <is>
          <t>KIL</t>
        </is>
      </c>
      <c r="I5313" t="n">
        <v>0.8</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26270-2022</t>
        </is>
      </c>
      <c r="B5314" t="inlineStr">
        <is>
          <t>avverkningsanmälan</t>
        </is>
      </c>
      <c r="C5314" t="inlineStr">
        <is>
          <t>Föryngringsavverkning</t>
        </is>
      </c>
      <c r="D5314" s="1" t="n">
        <v>44735</v>
      </c>
      <c r="E5314" s="1" t="n">
        <v>46307</v>
      </c>
      <c r="F5314" t="inlineStr">
        <is>
          <t>VÄRMLANDS LÄN</t>
        </is>
      </c>
      <c r="G5314" t="inlineStr">
        <is>
          <t>KIL</t>
        </is>
      </c>
      <c r="I5314" t="n">
        <v>2.2</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29149-2025</t>
        </is>
      </c>
      <c r="B5315" t="inlineStr">
        <is>
          <t>avverkningsanmälan</t>
        </is>
      </c>
      <c r="C5315" t="inlineStr">
        <is>
          <t>Föryngringsavverkning</t>
        </is>
      </c>
      <c r="D5315" s="1" t="n">
        <v>45821</v>
      </c>
      <c r="E5315" s="1" t="n">
        <v>46307</v>
      </c>
      <c r="F5315" t="inlineStr">
        <is>
          <t>VÄRMLANDS LÄN</t>
        </is>
      </c>
      <c r="G5315" t="inlineStr">
        <is>
          <t>HAGFORS</t>
        </is>
      </c>
      <c r="H5315" t="inlineStr">
        <is>
          <t>Bergvik skog väst AB</t>
        </is>
      </c>
      <c r="I5315" t="n">
        <v>3.7</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29166-2025</t>
        </is>
      </c>
      <c r="B5316" t="inlineStr">
        <is>
          <t>avverkningsanmälan</t>
        </is>
      </c>
      <c r="C5316" t="inlineStr">
        <is>
          <t>Föryngringsavverkning</t>
        </is>
      </c>
      <c r="D5316" s="1" t="n">
        <v>45821</v>
      </c>
      <c r="E5316" s="1" t="n">
        <v>46307</v>
      </c>
      <c r="F5316" t="inlineStr">
        <is>
          <t>VÄRMLANDS LÄN</t>
        </is>
      </c>
      <c r="G5316" t="inlineStr">
        <is>
          <t>ÅRJÄNG</t>
        </is>
      </c>
      <c r="I5316" t="n">
        <v>1</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29192-2025</t>
        </is>
      </c>
      <c r="B5317" t="inlineStr">
        <is>
          <t>avverkningsanmälan</t>
        </is>
      </c>
      <c r="C5317" t="inlineStr">
        <is>
          <t>Föryngringsavverkning</t>
        </is>
      </c>
      <c r="D5317" s="1" t="n">
        <v>45822</v>
      </c>
      <c r="E5317" s="1" t="n">
        <v>46307</v>
      </c>
      <c r="F5317" t="inlineStr">
        <is>
          <t>VÄRMLANDS LÄN</t>
        </is>
      </c>
      <c r="G5317" t="inlineStr">
        <is>
          <t>KARLSTAD</t>
        </is>
      </c>
      <c r="I5317" t="n">
        <v>23</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29115-2025</t>
        </is>
      </c>
      <c r="B5318" t="inlineStr">
        <is>
          <t>avverkningsanmälan</t>
        </is>
      </c>
      <c r="C5318" t="inlineStr">
        <is>
          <t>Föryngringsavverkning</t>
        </is>
      </c>
      <c r="D5318" s="1" t="n">
        <v>45821</v>
      </c>
      <c r="E5318" s="1" t="n">
        <v>46307</v>
      </c>
      <c r="F5318" t="inlineStr">
        <is>
          <t>VÄRMLANDS LÄN</t>
        </is>
      </c>
      <c r="G5318" t="inlineStr">
        <is>
          <t>HAGFORS</t>
        </is>
      </c>
      <c r="I5318" t="n">
        <v>1.6</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13650-2023</t>
        </is>
      </c>
      <c r="B5319" t="inlineStr">
        <is>
          <t>avverkningsanmälan</t>
        </is>
      </c>
      <c r="C5319" t="inlineStr">
        <is>
          <t>Föryngringsavverkning</t>
        </is>
      </c>
      <c r="D5319" s="1" t="n">
        <v>45006</v>
      </c>
      <c r="E5319" s="1" t="n">
        <v>46307</v>
      </c>
      <c r="F5319" t="inlineStr">
        <is>
          <t>VÄRMLANDS LÄN</t>
        </is>
      </c>
      <c r="G5319" t="inlineStr">
        <is>
          <t>SÄFFLE</t>
        </is>
      </c>
      <c r="I5319" t="n">
        <v>3.1</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60202-2023</t>
        </is>
      </c>
      <c r="B5320" t="inlineStr">
        <is>
          <t>avverkningsanmälan</t>
        </is>
      </c>
      <c r="C5320" t="inlineStr">
        <is>
          <t>Föryngringsavverkning</t>
        </is>
      </c>
      <c r="D5320" s="1" t="n">
        <v>45257</v>
      </c>
      <c r="E5320" s="1" t="n">
        <v>46307</v>
      </c>
      <c r="F5320" t="inlineStr">
        <is>
          <t>VÄRMLANDS LÄN</t>
        </is>
      </c>
      <c r="G5320" t="inlineStr">
        <is>
          <t>ÅRJÄNG</t>
        </is>
      </c>
      <c r="I5320" t="n">
        <v>1.2</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59146-2023</t>
        </is>
      </c>
      <c r="B5321" t="inlineStr">
        <is>
          <t>avverkningsanmälan</t>
        </is>
      </c>
      <c r="C5321" t="inlineStr">
        <is>
          <t>Föryngringsavverkning</t>
        </is>
      </c>
      <c r="D5321" s="1" t="n">
        <v>45251</v>
      </c>
      <c r="E5321" s="1" t="n">
        <v>46307</v>
      </c>
      <c r="F5321" t="inlineStr">
        <is>
          <t>VÄRMLANDS LÄN</t>
        </is>
      </c>
      <c r="G5321" t="inlineStr">
        <is>
          <t>MUNKFORS</t>
        </is>
      </c>
      <c r="I5321" t="n">
        <v>3.4</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29063-2025</t>
        </is>
      </c>
      <c r="B5322" t="inlineStr">
        <is>
          <t>avverkningsanmälan</t>
        </is>
      </c>
      <c r="C5322" t="inlineStr">
        <is>
          <t>Föryngringsavverkning</t>
        </is>
      </c>
      <c r="D5322" s="1" t="n">
        <v>45821</v>
      </c>
      <c r="E5322" s="1" t="n">
        <v>46307</v>
      </c>
      <c r="F5322" t="inlineStr">
        <is>
          <t>VÄRMLANDS LÄN</t>
        </is>
      </c>
      <c r="G5322" t="inlineStr">
        <is>
          <t>TORSBY</t>
        </is>
      </c>
      <c r="I5322" t="n">
        <v>10.2</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29307-2025</t>
        </is>
      </c>
      <c r="B5323" t="inlineStr">
        <is>
          <t>avverkningsanmälan</t>
        </is>
      </c>
      <c r="C5323" t="inlineStr">
        <is>
          <t>Föryngringsavverkning</t>
        </is>
      </c>
      <c r="D5323" s="1" t="n">
        <v>45824</v>
      </c>
      <c r="E5323" s="1" t="n">
        <v>46307</v>
      </c>
      <c r="F5323" t="inlineStr">
        <is>
          <t>VÄRMLANDS LÄN</t>
        </is>
      </c>
      <c r="G5323" t="inlineStr">
        <is>
          <t>TORSBY</t>
        </is>
      </c>
      <c r="H5323" t="inlineStr">
        <is>
          <t>Övriga Aktiebolag</t>
        </is>
      </c>
      <c r="I5323" t="n">
        <v>3.7</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58121-2024</t>
        </is>
      </c>
      <c r="B5324" t="inlineStr">
        <is>
          <t>avverkningsanmälan</t>
        </is>
      </c>
      <c r="C5324" t="inlineStr">
        <is>
          <t>Föryngringsavverkning</t>
        </is>
      </c>
      <c r="D5324" s="1" t="n">
        <v>45632</v>
      </c>
      <c r="E5324" s="1" t="n">
        <v>46307</v>
      </c>
      <c r="F5324" t="inlineStr">
        <is>
          <t>VÄRMLANDS LÄN</t>
        </is>
      </c>
      <c r="G5324" t="inlineStr">
        <is>
          <t>FORSHAGA</t>
        </is>
      </c>
      <c r="I5324" t="n">
        <v>0.9</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11841-2024</t>
        </is>
      </c>
      <c r="B5325" t="inlineStr">
        <is>
          <t>avverkningsanmälan</t>
        </is>
      </c>
      <c r="C5325" t="inlineStr">
        <is>
          <t>Föryngringsavverkning</t>
        </is>
      </c>
      <c r="D5325" s="1" t="n">
        <v>45376</v>
      </c>
      <c r="E5325" s="1" t="n">
        <v>46307</v>
      </c>
      <c r="F5325" t="inlineStr">
        <is>
          <t>VÄRMLANDS LÄN</t>
        </is>
      </c>
      <c r="G5325" t="inlineStr">
        <is>
          <t>KARLSTAD</t>
        </is>
      </c>
      <c r="I5325" t="n">
        <v>0.3</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46804-2024</t>
        </is>
      </c>
      <c r="B5326" t="inlineStr">
        <is>
          <t>avverkningsanmälan</t>
        </is>
      </c>
      <c r="C5326" t="inlineStr">
        <is>
          <t>Föryngringsavverkning</t>
        </is>
      </c>
      <c r="D5326" s="1" t="n">
        <v>45583</v>
      </c>
      <c r="E5326" s="1" t="n">
        <v>46307</v>
      </c>
      <c r="F5326" t="inlineStr">
        <is>
          <t>VÄRMLANDS LÄN</t>
        </is>
      </c>
      <c r="G5326" t="inlineStr">
        <is>
          <t>SUNNE</t>
        </is>
      </c>
      <c r="H5326" t="inlineStr">
        <is>
          <t>Kommuner</t>
        </is>
      </c>
      <c r="I5326" t="n">
        <v>0.8</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9524-2024</t>
        </is>
      </c>
      <c r="B5327" t="inlineStr">
        <is>
          <t>avverkningsanmälan</t>
        </is>
      </c>
      <c r="C5327" t="inlineStr">
        <is>
          <t>Avverkning för annat ändamål</t>
        </is>
      </c>
      <c r="D5327" s="1" t="n">
        <v>45359</v>
      </c>
      <c r="E5327" s="1" t="n">
        <v>46307</v>
      </c>
      <c r="F5327" t="inlineStr">
        <is>
          <t>VÄRMLANDS LÄN</t>
        </is>
      </c>
      <c r="G5327" t="inlineStr">
        <is>
          <t>FORSHAGA</t>
        </is>
      </c>
      <c r="H5327" t="inlineStr">
        <is>
          <t>Kommuner</t>
        </is>
      </c>
      <c r="I5327" t="n">
        <v>1.1</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45971-2024</t>
        </is>
      </c>
      <c r="B5328" t="inlineStr">
        <is>
          <t>avverkningsanmälan</t>
        </is>
      </c>
      <c r="C5328" t="inlineStr">
        <is>
          <t>Avverkning för annat ändamål</t>
        </is>
      </c>
      <c r="D5328" s="1" t="n">
        <v>45580</v>
      </c>
      <c r="E5328" s="1" t="n">
        <v>46307</v>
      </c>
      <c r="F5328" t="inlineStr">
        <is>
          <t>VÄRMLANDS LÄN</t>
        </is>
      </c>
      <c r="G5328" t="inlineStr">
        <is>
          <t>ARVIKA</t>
        </is>
      </c>
      <c r="I5328" t="n">
        <v>4</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28964-2025</t>
        </is>
      </c>
      <c r="B5329" t="inlineStr">
        <is>
          <t>avverkningsanmälan</t>
        </is>
      </c>
      <c r="C5329" t="inlineStr">
        <is>
          <t>Föryngringsavverkning</t>
        </is>
      </c>
      <c r="D5329" s="1" t="n">
        <v>45821</v>
      </c>
      <c r="E5329" s="1" t="n">
        <v>46307</v>
      </c>
      <c r="F5329" t="inlineStr">
        <is>
          <t>VÄRMLANDS LÄN</t>
        </is>
      </c>
      <c r="G5329" t="inlineStr">
        <is>
          <t>ARVIKA</t>
        </is>
      </c>
      <c r="I5329" t="n">
        <v>1.8</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29208-2025</t>
        </is>
      </c>
      <c r="B5330" t="inlineStr">
        <is>
          <t>avverkningsanmälan</t>
        </is>
      </c>
      <c r="C5330" t="inlineStr">
        <is>
          <t>Föryngringsavverkning</t>
        </is>
      </c>
      <c r="D5330" s="1" t="n">
        <v>45823</v>
      </c>
      <c r="E5330" s="1" t="n">
        <v>46307</v>
      </c>
      <c r="F5330" t="inlineStr">
        <is>
          <t>VÄRMLANDS LÄN</t>
        </is>
      </c>
      <c r="G5330" t="inlineStr">
        <is>
          <t>ÅRJÄNG</t>
        </is>
      </c>
      <c r="I5330" t="n">
        <v>1.5</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9606-2024</t>
        </is>
      </c>
      <c r="B5331" t="inlineStr">
        <is>
          <t>avverkningsanmälan</t>
        </is>
      </c>
      <c r="C5331" t="inlineStr">
        <is>
          <t>Föryngringsavverkning</t>
        </is>
      </c>
      <c r="D5331" s="1" t="n">
        <v>45361</v>
      </c>
      <c r="E5331" s="1" t="n">
        <v>46307</v>
      </c>
      <c r="F5331" t="inlineStr">
        <is>
          <t>VÄRMLANDS LÄN</t>
        </is>
      </c>
      <c r="G5331" t="inlineStr">
        <is>
          <t>KRISTINEHAMN</t>
        </is>
      </c>
      <c r="I5331" t="n">
        <v>8.9</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51273-2025</t>
        </is>
      </c>
      <c r="B5332" t="inlineStr">
        <is>
          <t>avverkningsanmälan</t>
        </is>
      </c>
      <c r="C5332" t="inlineStr">
        <is>
          <t>Föryngringsavverkning</t>
        </is>
      </c>
      <c r="D5332" s="1" t="n">
        <v>45949</v>
      </c>
      <c r="E5332" s="1" t="n">
        <v>46307</v>
      </c>
      <c r="F5332" t="inlineStr">
        <is>
          <t>VÄRMLANDS LÄN</t>
        </is>
      </c>
      <c r="G5332" t="inlineStr">
        <is>
          <t>HAGFORS</t>
        </is>
      </c>
      <c r="I5332" t="n">
        <v>1.4</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51282-2025</t>
        </is>
      </c>
      <c r="B5333" t="inlineStr">
        <is>
          <t>avverkningsanmälan</t>
        </is>
      </c>
      <c r="C5333" t="inlineStr">
        <is>
          <t>Föryngringsavverkning</t>
        </is>
      </c>
      <c r="D5333" s="1" t="n">
        <v>45950</v>
      </c>
      <c r="E5333" s="1" t="n">
        <v>46307</v>
      </c>
      <c r="F5333" t="inlineStr">
        <is>
          <t>VÄRMLANDS LÄN</t>
        </is>
      </c>
      <c r="G5333" t="inlineStr">
        <is>
          <t>ÅRJÄNG</t>
        </is>
      </c>
      <c r="H5333" t="inlineStr">
        <is>
          <t>Bergvik skog väst AB</t>
        </is>
      </c>
      <c r="I5333" t="n">
        <v>2.4</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29260-2025</t>
        </is>
      </c>
      <c r="B5334" t="inlineStr">
        <is>
          <t>avverkningsanmälan</t>
        </is>
      </c>
      <c r="C5334" t="inlineStr">
        <is>
          <t>Föryngringsavverkning</t>
        </is>
      </c>
      <c r="D5334" s="1" t="n">
        <v>45824</v>
      </c>
      <c r="E5334" s="1" t="n">
        <v>46307</v>
      </c>
      <c r="F5334" t="inlineStr">
        <is>
          <t>VÄRMLANDS LÄN</t>
        </is>
      </c>
      <c r="G5334" t="inlineStr">
        <is>
          <t>GRUMS</t>
        </is>
      </c>
      <c r="I5334" t="n">
        <v>0.5</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29137-2025</t>
        </is>
      </c>
      <c r="B5335" t="inlineStr">
        <is>
          <t>avverkningsanmälan</t>
        </is>
      </c>
      <c r="C5335" t="inlineStr">
        <is>
          <t>Föryngringsavverkning</t>
        </is>
      </c>
      <c r="D5335" s="1" t="n">
        <v>45821</v>
      </c>
      <c r="E5335" s="1" t="n">
        <v>46307</v>
      </c>
      <c r="F5335" t="inlineStr">
        <is>
          <t>VÄRMLANDS LÄN</t>
        </is>
      </c>
      <c r="G5335" t="inlineStr">
        <is>
          <t>ARVIKA</t>
        </is>
      </c>
      <c r="I5335" t="n">
        <v>1</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55835-2024</t>
        </is>
      </c>
      <c r="B5336" t="inlineStr">
        <is>
          <t>avverkningsanmälan</t>
        </is>
      </c>
      <c r="C5336" t="inlineStr">
        <is>
          <t>Föryngringsavverkning</t>
        </is>
      </c>
      <c r="D5336" s="1" t="n">
        <v>45623</v>
      </c>
      <c r="E5336" s="1" t="n">
        <v>46307</v>
      </c>
      <c r="F5336" t="inlineStr">
        <is>
          <t>VÄRMLANDS LÄN</t>
        </is>
      </c>
      <c r="G5336" t="inlineStr">
        <is>
          <t>FORSHAGA</t>
        </is>
      </c>
      <c r="I5336" t="n">
        <v>0.9</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28201-2023</t>
        </is>
      </c>
      <c r="B5337" t="inlineStr">
        <is>
          <t>avverkningsanmälan</t>
        </is>
      </c>
      <c r="C5337" t="inlineStr">
        <is>
          <t>Föryngringsavverkning</t>
        </is>
      </c>
      <c r="D5337" s="1" t="n">
        <v>45099</v>
      </c>
      <c r="E5337" s="1" t="n">
        <v>46307</v>
      </c>
      <c r="F5337" t="inlineStr">
        <is>
          <t>VÄRMLANDS LÄN</t>
        </is>
      </c>
      <c r="G5337" t="inlineStr">
        <is>
          <t>KARLSTAD</t>
        </is>
      </c>
      <c r="I5337" t="n">
        <v>2.7</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16157-2023</t>
        </is>
      </c>
      <c r="B5338" t="inlineStr">
        <is>
          <t>avverkningsanmälan</t>
        </is>
      </c>
      <c r="C5338" t="inlineStr">
        <is>
          <t>Föryngringsavverkning</t>
        </is>
      </c>
      <c r="D5338" s="1" t="n">
        <v>45027</v>
      </c>
      <c r="E5338" s="1" t="n">
        <v>46307</v>
      </c>
      <c r="F5338" t="inlineStr">
        <is>
          <t>VÄRMLANDS LÄN</t>
        </is>
      </c>
      <c r="G5338" t="inlineStr">
        <is>
          <t>ARVIKA</t>
        </is>
      </c>
      <c r="I5338" t="n">
        <v>4.8</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29169-2025</t>
        </is>
      </c>
      <c r="B5339" t="inlineStr">
        <is>
          <t>avverkningsanmälan</t>
        </is>
      </c>
      <c r="C5339" t="inlineStr">
        <is>
          <t>Föryngringsavverkning</t>
        </is>
      </c>
      <c r="D5339" s="1" t="n">
        <v>45821</v>
      </c>
      <c r="E5339" s="1" t="n">
        <v>46307</v>
      </c>
      <c r="F5339" t="inlineStr">
        <is>
          <t>VÄRMLANDS LÄN</t>
        </is>
      </c>
      <c r="G5339" t="inlineStr">
        <is>
          <t>ÅRJÄNG</t>
        </is>
      </c>
      <c r="I5339" t="n">
        <v>3.6</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53961-2024</t>
        </is>
      </c>
      <c r="B5340" t="inlineStr">
        <is>
          <t>avverkningsanmälan</t>
        </is>
      </c>
      <c r="C5340" t="inlineStr">
        <is>
          <t>Föryngringsavverkning</t>
        </is>
      </c>
      <c r="D5340" s="1" t="n">
        <v>45616</v>
      </c>
      <c r="E5340" s="1" t="n">
        <v>46307</v>
      </c>
      <c r="F5340" t="inlineStr">
        <is>
          <t>VÄRMLANDS LÄN</t>
        </is>
      </c>
      <c r="G5340" t="inlineStr">
        <is>
          <t>EDA</t>
        </is>
      </c>
      <c r="I5340" t="n">
        <v>0.6</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54014-2024</t>
        </is>
      </c>
      <c r="B5341" t="inlineStr">
        <is>
          <t>avverkningsanmälan</t>
        </is>
      </c>
      <c r="C5341" t="inlineStr">
        <is>
          <t>Föryngringsavverkning</t>
        </is>
      </c>
      <c r="D5341" s="1" t="n">
        <v>45616</v>
      </c>
      <c r="E5341" s="1" t="n">
        <v>46307</v>
      </c>
      <c r="F5341" t="inlineStr">
        <is>
          <t>VÄRMLANDS LÄN</t>
        </is>
      </c>
      <c r="G5341" t="inlineStr">
        <is>
          <t>TORSBY</t>
        </is>
      </c>
      <c r="H5341" t="inlineStr">
        <is>
          <t>Kommuner</t>
        </is>
      </c>
      <c r="I5341" t="n">
        <v>2.3</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57386-2024</t>
        </is>
      </c>
      <c r="B5342" t="inlineStr">
        <is>
          <t>avverkningsanmälan</t>
        </is>
      </c>
      <c r="C5342" t="inlineStr">
        <is>
          <t>Föryngringsavverkning</t>
        </is>
      </c>
      <c r="D5342" s="1" t="n">
        <v>45629</v>
      </c>
      <c r="E5342" s="1" t="n">
        <v>46307</v>
      </c>
      <c r="F5342" t="inlineStr">
        <is>
          <t>VÄRMLANDS LÄN</t>
        </is>
      </c>
      <c r="G5342" t="inlineStr">
        <is>
          <t>KIL</t>
        </is>
      </c>
      <c r="I5342" t="n">
        <v>7.4</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978-2023</t>
        </is>
      </c>
      <c r="B5343" t="inlineStr">
        <is>
          <t>avverkningsanmälan</t>
        </is>
      </c>
      <c r="C5343" t="inlineStr">
        <is>
          <t>Föryngringsavverkning</t>
        </is>
      </c>
      <c r="D5343" s="1" t="n">
        <v>44935</v>
      </c>
      <c r="E5343" s="1" t="n">
        <v>46307</v>
      </c>
      <c r="F5343" t="inlineStr">
        <is>
          <t>VÄRMLANDS LÄN</t>
        </is>
      </c>
      <c r="G5343" t="inlineStr">
        <is>
          <t>SUNNE</t>
        </is>
      </c>
      <c r="I5343" t="n">
        <v>1.5</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20052-2024</t>
        </is>
      </c>
      <c r="B5344" t="inlineStr">
        <is>
          <t>avverkningsanmälan</t>
        </is>
      </c>
      <c r="C5344" t="inlineStr">
        <is>
          <t>Föryngringsavverkning</t>
        </is>
      </c>
      <c r="D5344" s="1" t="n">
        <v>45434</v>
      </c>
      <c r="E5344" s="1" t="n">
        <v>46307</v>
      </c>
      <c r="F5344" t="inlineStr">
        <is>
          <t>VÄRMLANDS LÄN</t>
        </is>
      </c>
      <c r="G5344" t="inlineStr">
        <is>
          <t>EDA</t>
        </is>
      </c>
      <c r="I5344" t="n">
        <v>3.8</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9076-2023</t>
        </is>
      </c>
      <c r="B5345" t="inlineStr">
        <is>
          <t>avverkningsanmälan</t>
        </is>
      </c>
      <c r="C5345" t="inlineStr">
        <is>
          <t>Föryngringsavverkning</t>
        </is>
      </c>
      <c r="D5345" s="1" t="n">
        <v>44979</v>
      </c>
      <c r="E5345" s="1" t="n">
        <v>46307</v>
      </c>
      <c r="F5345" t="inlineStr">
        <is>
          <t>VÄRMLANDS LÄN</t>
        </is>
      </c>
      <c r="G5345" t="inlineStr">
        <is>
          <t>SUNNE</t>
        </is>
      </c>
      <c r="I5345" t="n">
        <v>2.3</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29100-2025</t>
        </is>
      </c>
      <c r="B5346" t="inlineStr">
        <is>
          <t>avverkningsanmälan</t>
        </is>
      </c>
      <c r="C5346" t="inlineStr">
        <is>
          <t>Föryngringsavverkning</t>
        </is>
      </c>
      <c r="D5346" s="1" t="n">
        <v>45821</v>
      </c>
      <c r="E5346" s="1" t="n">
        <v>46307</v>
      </c>
      <c r="F5346" t="inlineStr">
        <is>
          <t>VÄRMLANDS LÄN</t>
        </is>
      </c>
      <c r="G5346" t="inlineStr">
        <is>
          <t>ÅRJÄNG</t>
        </is>
      </c>
      <c r="H5346" t="inlineStr">
        <is>
          <t>Bergvik skog väst AB</t>
        </is>
      </c>
      <c r="I5346" t="n">
        <v>1.9</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29139-2025</t>
        </is>
      </c>
      <c r="B5347" t="inlineStr">
        <is>
          <t>avverkningsanmälan</t>
        </is>
      </c>
      <c r="C5347" t="inlineStr">
        <is>
          <t>Föryngringsavverkning</t>
        </is>
      </c>
      <c r="D5347" s="1" t="n">
        <v>45821</v>
      </c>
      <c r="E5347" s="1" t="n">
        <v>46307</v>
      </c>
      <c r="F5347" t="inlineStr">
        <is>
          <t>VÄRMLANDS LÄN</t>
        </is>
      </c>
      <c r="G5347" t="inlineStr">
        <is>
          <t>ÅRJÄNG</t>
        </is>
      </c>
      <c r="I5347" t="n">
        <v>0.5</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57306-2023</t>
        </is>
      </c>
      <c r="B5348" t="inlineStr">
        <is>
          <t>avverkningsanmälan</t>
        </is>
      </c>
      <c r="C5348" t="inlineStr">
        <is>
          <t>Föryngringsavverkning</t>
        </is>
      </c>
      <c r="D5348" s="1" t="n">
        <v>45245</v>
      </c>
      <c r="E5348" s="1" t="n">
        <v>46307</v>
      </c>
      <c r="F5348" t="inlineStr">
        <is>
          <t>VÄRMLANDS LÄN</t>
        </is>
      </c>
      <c r="G5348" t="inlineStr">
        <is>
          <t>ÅRJÄNG</t>
        </is>
      </c>
      <c r="I5348" t="n">
        <v>1.1</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29178-2025</t>
        </is>
      </c>
      <c r="B5349" t="inlineStr">
        <is>
          <t>avverkningsanmälan</t>
        </is>
      </c>
      <c r="C5349" t="inlineStr">
        <is>
          <t>Föryngringsavverkning</t>
        </is>
      </c>
      <c r="D5349" s="1" t="n">
        <v>45821</v>
      </c>
      <c r="E5349" s="1" t="n">
        <v>46307</v>
      </c>
      <c r="F5349" t="inlineStr">
        <is>
          <t>VÄRMLANDS LÄN</t>
        </is>
      </c>
      <c r="G5349" t="inlineStr">
        <is>
          <t>SUNNE</t>
        </is>
      </c>
      <c r="I5349" t="n">
        <v>2.5</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17780-2023</t>
        </is>
      </c>
      <c r="B5350" t="inlineStr">
        <is>
          <t>avverkningsanmälan</t>
        </is>
      </c>
      <c r="C5350" t="inlineStr">
        <is>
          <t>Föryngringsavverkning</t>
        </is>
      </c>
      <c r="D5350" s="1" t="n">
        <v>45037</v>
      </c>
      <c r="E5350" s="1" t="n">
        <v>46307</v>
      </c>
      <c r="F5350" t="inlineStr">
        <is>
          <t>VÄRMLANDS LÄN</t>
        </is>
      </c>
      <c r="G5350" t="inlineStr">
        <is>
          <t>EDA</t>
        </is>
      </c>
      <c r="I5350" t="n">
        <v>1.5</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41325-2023</t>
        </is>
      </c>
      <c r="B5351" t="inlineStr">
        <is>
          <t>avverkningsanmälan</t>
        </is>
      </c>
      <c r="C5351" t="inlineStr">
        <is>
          <t>Föryngringsavverkning</t>
        </is>
      </c>
      <c r="D5351" s="1" t="n">
        <v>45174</v>
      </c>
      <c r="E5351" s="1" t="n">
        <v>46307</v>
      </c>
      <c r="F5351" t="inlineStr">
        <is>
          <t>VÄRMLANDS LÄN</t>
        </is>
      </c>
      <c r="G5351" t="inlineStr">
        <is>
          <t>STORFORS</t>
        </is>
      </c>
      <c r="H5351" t="inlineStr">
        <is>
          <t>Bergvik skog väst AB</t>
        </is>
      </c>
      <c r="I5351" t="n">
        <v>3</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42236-2024</t>
        </is>
      </c>
      <c r="B5352" t="inlineStr">
        <is>
          <t>avverkningsanmälan</t>
        </is>
      </c>
      <c r="C5352" t="inlineStr">
        <is>
          <t>Föryngringsavverkning</t>
        </is>
      </c>
      <c r="D5352" s="1" t="n">
        <v>45562</v>
      </c>
      <c r="E5352" s="1" t="n">
        <v>46307</v>
      </c>
      <c r="F5352" t="inlineStr">
        <is>
          <t>VÄRMLANDS LÄN</t>
        </is>
      </c>
      <c r="G5352" t="inlineStr">
        <is>
          <t>ÅRJÄNG</t>
        </is>
      </c>
      <c r="I5352" t="n">
        <v>3</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51842-2023</t>
        </is>
      </c>
      <c r="B5353" t="inlineStr">
        <is>
          <t>avverkningsanmälan</t>
        </is>
      </c>
      <c r="C5353" t="inlineStr">
        <is>
          <t>Föryngringsavverkning</t>
        </is>
      </c>
      <c r="D5353" s="1" t="n">
        <v>45223</v>
      </c>
      <c r="E5353" s="1" t="n">
        <v>46307</v>
      </c>
      <c r="F5353" t="inlineStr">
        <is>
          <t>VÄRMLANDS LÄN</t>
        </is>
      </c>
      <c r="G5353" t="inlineStr">
        <is>
          <t>SUNNE</t>
        </is>
      </c>
      <c r="I5353" t="n">
        <v>0.7</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7400-2023</t>
        </is>
      </c>
      <c r="B5354" t="inlineStr">
        <is>
          <t>avverkningsanmälan</t>
        </is>
      </c>
      <c r="C5354" t="inlineStr">
        <is>
          <t>Föryngringsavverkning</t>
        </is>
      </c>
      <c r="D5354" s="1" t="n">
        <v>44971</v>
      </c>
      <c r="E5354" s="1" t="n">
        <v>46307</v>
      </c>
      <c r="F5354" t="inlineStr">
        <is>
          <t>VÄRMLANDS LÄN</t>
        </is>
      </c>
      <c r="G5354" t="inlineStr">
        <is>
          <t>SUNNE</t>
        </is>
      </c>
      <c r="I5354" t="n">
        <v>0.3</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39434-2023</t>
        </is>
      </c>
      <c r="B5355" t="inlineStr">
        <is>
          <t>avverkningsanmälan</t>
        </is>
      </c>
      <c r="C5355" t="inlineStr">
        <is>
          <t>Föryngringsavverkning</t>
        </is>
      </c>
      <c r="D5355" s="1" t="n">
        <v>45166</v>
      </c>
      <c r="E5355" s="1" t="n">
        <v>46307</v>
      </c>
      <c r="F5355" t="inlineStr">
        <is>
          <t>VÄRMLANDS LÄN</t>
        </is>
      </c>
      <c r="G5355" t="inlineStr">
        <is>
          <t>ÅRJÄNG</t>
        </is>
      </c>
      <c r="I5355" t="n">
        <v>0.3</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60045-2022</t>
        </is>
      </c>
      <c r="B5356" t="inlineStr">
        <is>
          <t>avverkningsanmälan</t>
        </is>
      </c>
      <c r="C5356" t="inlineStr">
        <is>
          <t>Föryngringsavverkning</t>
        </is>
      </c>
      <c r="D5356" s="1" t="n">
        <v>44902</v>
      </c>
      <c r="E5356" s="1" t="n">
        <v>46307</v>
      </c>
      <c r="F5356" t="inlineStr">
        <is>
          <t>VÄRMLANDS LÄN</t>
        </is>
      </c>
      <c r="G5356" t="inlineStr">
        <is>
          <t>FORSHAGA</t>
        </is>
      </c>
      <c r="I5356" t="n">
        <v>6</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4462-2025</t>
        </is>
      </c>
      <c r="B5357" t="inlineStr">
        <is>
          <t>avverkningsanmälan</t>
        </is>
      </c>
      <c r="C5357" t="inlineStr">
        <is>
          <t>Föryngringsavverkning</t>
        </is>
      </c>
      <c r="D5357" s="1" t="n">
        <v>45686</v>
      </c>
      <c r="E5357" s="1" t="n">
        <v>46307</v>
      </c>
      <c r="F5357" t="inlineStr">
        <is>
          <t>VÄRMLANDS LÄN</t>
        </is>
      </c>
      <c r="G5357" t="inlineStr">
        <is>
          <t>FILIPSTAD</t>
        </is>
      </c>
      <c r="H5357" t="inlineStr">
        <is>
          <t>Bergvik skog väst AB</t>
        </is>
      </c>
      <c r="I5357" t="n">
        <v>0.6</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10106-2024</t>
        </is>
      </c>
      <c r="B5358" t="inlineStr">
        <is>
          <t>avverkningsanmälan</t>
        </is>
      </c>
      <c r="C5358" t="inlineStr">
        <is>
          <t>Föryngringsavverkning</t>
        </is>
      </c>
      <c r="D5358" s="1" t="n">
        <v>45364</v>
      </c>
      <c r="E5358" s="1" t="n">
        <v>46307</v>
      </c>
      <c r="F5358" t="inlineStr">
        <is>
          <t>VÄRMLANDS LÄN</t>
        </is>
      </c>
      <c r="G5358" t="inlineStr">
        <is>
          <t>KRISTINEHAMN</t>
        </is>
      </c>
      <c r="I5358" t="n">
        <v>3.9</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10124-2024</t>
        </is>
      </c>
      <c r="B5359" t="inlineStr">
        <is>
          <t>avverkningsanmälan</t>
        </is>
      </c>
      <c r="C5359" t="inlineStr">
        <is>
          <t>Föryngringsavverkning</t>
        </is>
      </c>
      <c r="D5359" s="1" t="n">
        <v>45364</v>
      </c>
      <c r="E5359" s="1" t="n">
        <v>46307</v>
      </c>
      <c r="F5359" t="inlineStr">
        <is>
          <t>VÄRMLANDS LÄN</t>
        </is>
      </c>
      <c r="G5359" t="inlineStr">
        <is>
          <t>KRISTINEHAMN</t>
        </is>
      </c>
      <c r="I5359" t="n">
        <v>2.7</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9321-2022</t>
        </is>
      </c>
      <c r="B5360" t="inlineStr">
        <is>
          <t>avverkningsanmälan</t>
        </is>
      </c>
      <c r="C5360" t="inlineStr">
        <is>
          <t>Föryngringsavverkning</t>
        </is>
      </c>
      <c r="D5360" s="1" t="n">
        <v>44616</v>
      </c>
      <c r="E5360" s="1" t="n">
        <v>46307</v>
      </c>
      <c r="F5360" t="inlineStr">
        <is>
          <t>VÄRMLANDS LÄN</t>
        </is>
      </c>
      <c r="G5360" t="inlineStr">
        <is>
          <t>ARVIKA</t>
        </is>
      </c>
      <c r="I5360" t="n">
        <v>3.4</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12261-2024</t>
        </is>
      </c>
      <c r="B5361" t="inlineStr">
        <is>
          <t>avverkningsanmälan</t>
        </is>
      </c>
      <c r="C5361" t="inlineStr">
        <is>
          <t>Föryngringsavverkning</t>
        </is>
      </c>
      <c r="D5361" s="1" t="n">
        <v>45378</v>
      </c>
      <c r="E5361" s="1" t="n">
        <v>46307</v>
      </c>
      <c r="F5361" t="inlineStr">
        <is>
          <t>VÄRMLANDS LÄN</t>
        </is>
      </c>
      <c r="G5361" t="inlineStr">
        <is>
          <t>KRISTINEHAMN</t>
        </is>
      </c>
      <c r="I5361" t="n">
        <v>0.7</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57071-2022</t>
        </is>
      </c>
      <c r="B5362" t="inlineStr">
        <is>
          <t>avverkningsanmälan</t>
        </is>
      </c>
      <c r="C5362" t="inlineStr">
        <is>
          <t>Föryngringsavverkning</t>
        </is>
      </c>
      <c r="D5362" s="1" t="n">
        <v>44895</v>
      </c>
      <c r="E5362" s="1" t="n">
        <v>46307</v>
      </c>
      <c r="F5362" t="inlineStr">
        <is>
          <t>VÄRMLANDS LÄN</t>
        </is>
      </c>
      <c r="G5362" t="inlineStr">
        <is>
          <t>TORSBY</t>
        </is>
      </c>
      <c r="I5362" t="n">
        <v>1.1</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51407-2025</t>
        </is>
      </c>
      <c r="B5363" t="inlineStr">
        <is>
          <t>avverkningsanmälan</t>
        </is>
      </c>
      <c r="C5363" t="inlineStr">
        <is>
          <t>Föryngringsavverkning</t>
        </is>
      </c>
      <c r="D5363" s="1" t="n">
        <v>45950</v>
      </c>
      <c r="E5363" s="1" t="n">
        <v>46307</v>
      </c>
      <c r="F5363" t="inlineStr">
        <is>
          <t>VÄRMLANDS LÄN</t>
        </is>
      </c>
      <c r="G5363" t="inlineStr">
        <is>
          <t>EDA</t>
        </is>
      </c>
      <c r="H5363" t="inlineStr">
        <is>
          <t>Bergvik skog väst AB</t>
        </is>
      </c>
      <c r="I5363" t="n">
        <v>2.9</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27789-2022</t>
        </is>
      </c>
      <c r="B5364" t="inlineStr">
        <is>
          <t>avverkningsanmälan</t>
        </is>
      </c>
      <c r="C5364" t="inlineStr">
        <is>
          <t>Föryngringsavverkning</t>
        </is>
      </c>
      <c r="D5364" s="1" t="n">
        <v>44743</v>
      </c>
      <c r="E5364" s="1" t="n">
        <v>46307</v>
      </c>
      <c r="F5364" t="inlineStr">
        <is>
          <t>VÄRMLANDS LÄN</t>
        </is>
      </c>
      <c r="G5364" t="inlineStr">
        <is>
          <t>FILIPSTAD</t>
        </is>
      </c>
      <c r="H5364" t="inlineStr">
        <is>
          <t>Bergvik skog väst AB</t>
        </is>
      </c>
      <c r="I5364" t="n">
        <v>2.4</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51423-2025</t>
        </is>
      </c>
      <c r="B5365" t="inlineStr">
        <is>
          <t>avverkningsanmälan</t>
        </is>
      </c>
      <c r="C5365" t="inlineStr">
        <is>
          <t>Föryngringsavverkning</t>
        </is>
      </c>
      <c r="D5365" s="1" t="n">
        <v>45950</v>
      </c>
      <c r="E5365" s="1" t="n">
        <v>46307</v>
      </c>
      <c r="F5365" t="inlineStr">
        <is>
          <t>VÄRMLANDS LÄN</t>
        </is>
      </c>
      <c r="G5365" t="inlineStr">
        <is>
          <t>SUNNE</t>
        </is>
      </c>
      <c r="H5365" t="inlineStr">
        <is>
          <t>Bergvik skog väst AB</t>
        </is>
      </c>
      <c r="I5365" t="n">
        <v>6.5</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19614-2022</t>
        </is>
      </c>
      <c r="B5366" t="inlineStr">
        <is>
          <t>avverkningsanmälan</t>
        </is>
      </c>
      <c r="C5366" t="inlineStr">
        <is>
          <t>Föryngringsavverkning</t>
        </is>
      </c>
      <c r="D5366" s="1" t="n">
        <v>44694</v>
      </c>
      <c r="E5366" s="1" t="n">
        <v>46307</v>
      </c>
      <c r="F5366" t="inlineStr">
        <is>
          <t>VÄRMLANDS LÄN</t>
        </is>
      </c>
      <c r="G5366" t="inlineStr">
        <is>
          <t>TORSBY</t>
        </is>
      </c>
      <c r="I5366" t="n">
        <v>1.8</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13032-2024</t>
        </is>
      </c>
      <c r="B5367" t="inlineStr">
        <is>
          <t>avverkningsanmälan</t>
        </is>
      </c>
      <c r="C5367" t="inlineStr">
        <is>
          <t>Föryngringsavverkning</t>
        </is>
      </c>
      <c r="D5367" s="1" t="n">
        <v>45385</v>
      </c>
      <c r="E5367" s="1" t="n">
        <v>46307</v>
      </c>
      <c r="F5367" t="inlineStr">
        <is>
          <t>VÄRMLANDS LÄN</t>
        </is>
      </c>
      <c r="G5367" t="inlineStr">
        <is>
          <t>KRISTINEHAMN</t>
        </is>
      </c>
      <c r="I5367" t="n">
        <v>1.5</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30049-2025</t>
        </is>
      </c>
      <c r="B5368" t="inlineStr">
        <is>
          <t>avverkningsanmälan</t>
        </is>
      </c>
      <c r="C5368" t="inlineStr">
        <is>
          <t>Föryngringsavverkning</t>
        </is>
      </c>
      <c r="D5368" s="1" t="n">
        <v>45826</v>
      </c>
      <c r="E5368" s="1" t="n">
        <v>46307</v>
      </c>
      <c r="F5368" t="inlineStr">
        <is>
          <t>VÄRMLANDS LÄN</t>
        </is>
      </c>
      <c r="G5368" t="inlineStr">
        <is>
          <t>FILIPSTAD</t>
        </is>
      </c>
      <c r="H5368" t="inlineStr">
        <is>
          <t>Bergvik skog väst AB</t>
        </is>
      </c>
      <c r="I5368" t="n">
        <v>1.7</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29949-2025</t>
        </is>
      </c>
      <c r="B5369" t="inlineStr">
        <is>
          <t>avverkningsanmälan</t>
        </is>
      </c>
      <c r="C5369" t="inlineStr">
        <is>
          <t>Föryngringsavverkning</t>
        </is>
      </c>
      <c r="D5369" s="1" t="n">
        <v>45826</v>
      </c>
      <c r="E5369" s="1" t="n">
        <v>46307</v>
      </c>
      <c r="F5369" t="inlineStr">
        <is>
          <t>VÄRMLANDS LÄN</t>
        </is>
      </c>
      <c r="G5369" t="inlineStr">
        <is>
          <t>HAGFORS</t>
        </is>
      </c>
      <c r="H5369" t="inlineStr">
        <is>
          <t>Bergvik skog väst AB</t>
        </is>
      </c>
      <c r="I5369" t="n">
        <v>15.9</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60593-2023</t>
        </is>
      </c>
      <c r="B5370" t="inlineStr">
        <is>
          <t>avverkningsanmälan</t>
        </is>
      </c>
      <c r="C5370" t="inlineStr">
        <is>
          <t>Föryngringsavverkning</t>
        </is>
      </c>
      <c r="D5370" s="1" t="n">
        <v>45260</v>
      </c>
      <c r="E5370" s="1" t="n">
        <v>46307</v>
      </c>
      <c r="F5370" t="inlineStr">
        <is>
          <t>VÄRMLANDS LÄN</t>
        </is>
      </c>
      <c r="G5370" t="inlineStr">
        <is>
          <t>ARVIKA</t>
        </is>
      </c>
      <c r="I5370" t="n">
        <v>2.7</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29958-2025</t>
        </is>
      </c>
      <c r="B5371" t="inlineStr">
        <is>
          <t>avverkningsanmälan</t>
        </is>
      </c>
      <c r="C5371" t="inlineStr">
        <is>
          <t>Föryngringsavverkning</t>
        </is>
      </c>
      <c r="D5371" s="1" t="n">
        <v>45826</v>
      </c>
      <c r="E5371" s="1" t="n">
        <v>46307</v>
      </c>
      <c r="F5371" t="inlineStr">
        <is>
          <t>VÄRMLANDS LÄN</t>
        </is>
      </c>
      <c r="G5371" t="inlineStr">
        <is>
          <t>HAGFORS</t>
        </is>
      </c>
      <c r="H5371" t="inlineStr">
        <is>
          <t>Bergvik skog väst AB</t>
        </is>
      </c>
      <c r="I5371" t="n">
        <v>6.8</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46859-2024</t>
        </is>
      </c>
      <c r="B5372" t="inlineStr">
        <is>
          <t>avverkningsanmälan</t>
        </is>
      </c>
      <c r="C5372" t="inlineStr">
        <is>
          <t>Föryngringsavverkning</t>
        </is>
      </c>
      <c r="D5372" s="1" t="n">
        <v>45583</v>
      </c>
      <c r="E5372" s="1" t="n">
        <v>46307</v>
      </c>
      <c r="F5372" t="inlineStr">
        <is>
          <t>VÄRMLANDS LÄN</t>
        </is>
      </c>
      <c r="G5372" t="inlineStr">
        <is>
          <t>SÄFFLE</t>
        </is>
      </c>
      <c r="I5372" t="n">
        <v>8.300000000000001</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48762-2023</t>
        </is>
      </c>
      <c r="B5373" t="inlineStr">
        <is>
          <t>avverkningsanmälan</t>
        </is>
      </c>
      <c r="C5373" t="inlineStr">
        <is>
          <t>Föryngringsavverkning</t>
        </is>
      </c>
      <c r="D5373" s="1" t="n">
        <v>45208</v>
      </c>
      <c r="E5373" s="1" t="n">
        <v>46307</v>
      </c>
      <c r="F5373" t="inlineStr">
        <is>
          <t>VÄRMLANDS LÄN</t>
        </is>
      </c>
      <c r="G5373" t="inlineStr">
        <is>
          <t>TORSBY</t>
        </is>
      </c>
      <c r="I5373" t="n">
        <v>4.2</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29948-2025</t>
        </is>
      </c>
      <c r="B5374" t="inlineStr">
        <is>
          <t>avverkningsanmälan</t>
        </is>
      </c>
      <c r="C5374" t="inlineStr">
        <is>
          <t>Föryngringsavverkning</t>
        </is>
      </c>
      <c r="D5374" s="1" t="n">
        <v>45826</v>
      </c>
      <c r="E5374" s="1" t="n">
        <v>46307</v>
      </c>
      <c r="F5374" t="inlineStr">
        <is>
          <t>VÄRMLANDS LÄN</t>
        </is>
      </c>
      <c r="G5374" t="inlineStr">
        <is>
          <t>SUNNE</t>
        </is>
      </c>
      <c r="H5374" t="inlineStr">
        <is>
          <t>Kyrkan</t>
        </is>
      </c>
      <c r="I5374" t="n">
        <v>2.4</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43484-2023</t>
        </is>
      </c>
      <c r="B5375" t="inlineStr">
        <is>
          <t>avverkningsanmälan</t>
        </is>
      </c>
      <c r="C5375" t="inlineStr">
        <is>
          <t>Föryngringsavverkning</t>
        </is>
      </c>
      <c r="D5375" s="1" t="n">
        <v>45184</v>
      </c>
      <c r="E5375" s="1" t="n">
        <v>46307</v>
      </c>
      <c r="F5375" t="inlineStr">
        <is>
          <t>VÄRMLANDS LÄN</t>
        </is>
      </c>
      <c r="G5375" t="inlineStr">
        <is>
          <t>FILIPSTAD</t>
        </is>
      </c>
      <c r="H5375" t="inlineStr">
        <is>
          <t>Bergvik skog väst AB</t>
        </is>
      </c>
      <c r="I5375" t="n">
        <v>3.4</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53573-2024</t>
        </is>
      </c>
      <c r="B5376" t="inlineStr">
        <is>
          <t>avverkningsanmälan</t>
        </is>
      </c>
      <c r="C5376" t="inlineStr">
        <is>
          <t>Föryngringsavverkning</t>
        </is>
      </c>
      <c r="D5376" s="1" t="n">
        <v>45614</v>
      </c>
      <c r="E5376" s="1" t="n">
        <v>46307</v>
      </c>
      <c r="F5376" t="inlineStr">
        <is>
          <t>VÄRMLANDS LÄN</t>
        </is>
      </c>
      <c r="G5376" t="inlineStr">
        <is>
          <t>FORSHAGA</t>
        </is>
      </c>
      <c r="I5376" t="n">
        <v>1.3</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29967-2025</t>
        </is>
      </c>
      <c r="B5377" t="inlineStr">
        <is>
          <t>avverkningsanmälan</t>
        </is>
      </c>
      <c r="C5377" t="inlineStr">
        <is>
          <t>Föryngringsavverkning</t>
        </is>
      </c>
      <c r="D5377" s="1" t="n">
        <v>45826</v>
      </c>
      <c r="E5377" s="1" t="n">
        <v>46307</v>
      </c>
      <c r="F5377" t="inlineStr">
        <is>
          <t>VÄRMLANDS LÄN</t>
        </is>
      </c>
      <c r="G5377" t="inlineStr">
        <is>
          <t>SUNNE</t>
        </is>
      </c>
      <c r="H5377" t="inlineStr">
        <is>
          <t>Kyrkan</t>
        </is>
      </c>
      <c r="I5377" t="n">
        <v>3.2</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29587-2025</t>
        </is>
      </c>
      <c r="B5378" t="inlineStr">
        <is>
          <t>avverkningsanmälan</t>
        </is>
      </c>
      <c r="C5378" t="inlineStr">
        <is>
          <t>Föryngringsavverkning</t>
        </is>
      </c>
      <c r="D5378" s="1" t="n">
        <v>45825</v>
      </c>
      <c r="E5378" s="1" t="n">
        <v>46307</v>
      </c>
      <c r="F5378" t="inlineStr">
        <is>
          <t>VÄRMLANDS LÄN</t>
        </is>
      </c>
      <c r="G5378" t="inlineStr">
        <is>
          <t>TORSBY</t>
        </is>
      </c>
      <c r="I5378" t="n">
        <v>1.9</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4302-2025</t>
        </is>
      </c>
      <c r="B5379" t="inlineStr">
        <is>
          <t>avverkningsanmälan</t>
        </is>
      </c>
      <c r="C5379" t="inlineStr">
        <is>
          <t>Föryngringsavverkning</t>
        </is>
      </c>
      <c r="D5379" s="1" t="n">
        <v>45685</v>
      </c>
      <c r="E5379" s="1" t="n">
        <v>46307</v>
      </c>
      <c r="F5379" t="inlineStr">
        <is>
          <t>VÄRMLANDS LÄN</t>
        </is>
      </c>
      <c r="G5379" t="inlineStr">
        <is>
          <t>TORSBY</t>
        </is>
      </c>
      <c r="H5379" t="inlineStr">
        <is>
          <t>Kommuner</t>
        </is>
      </c>
      <c r="I5379" t="n">
        <v>0.6</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51144-2024</t>
        </is>
      </c>
      <c r="B5380" t="inlineStr">
        <is>
          <t>avverkningsanmälan</t>
        </is>
      </c>
      <c r="C5380" t="inlineStr">
        <is>
          <t>Föryngringsavverkning</t>
        </is>
      </c>
      <c r="D5380" s="1" t="n">
        <v>45603</v>
      </c>
      <c r="E5380" s="1" t="n">
        <v>46307</v>
      </c>
      <c r="F5380" t="inlineStr">
        <is>
          <t>VÄRMLANDS LÄN</t>
        </is>
      </c>
      <c r="G5380" t="inlineStr">
        <is>
          <t>EDA</t>
        </is>
      </c>
      <c r="I5380" t="n">
        <v>2.5</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51123-2025</t>
        </is>
      </c>
      <c r="B5381" t="inlineStr">
        <is>
          <t>avverkningsanmälan</t>
        </is>
      </c>
      <c r="C5381" t="inlineStr">
        <is>
          <t>Föryngringsavverkning</t>
        </is>
      </c>
      <c r="D5381" s="1" t="n">
        <v>45947</v>
      </c>
      <c r="E5381" s="1" t="n">
        <v>46307</v>
      </c>
      <c r="F5381" t="inlineStr">
        <is>
          <t>VÄRMLANDS LÄN</t>
        </is>
      </c>
      <c r="G5381" t="inlineStr">
        <is>
          <t>FORSHAGA</t>
        </is>
      </c>
      <c r="I5381" t="n">
        <v>3.1</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29568-2025</t>
        </is>
      </c>
      <c r="B5382" t="inlineStr">
        <is>
          <t>avverkningsanmälan</t>
        </is>
      </c>
      <c r="C5382" t="inlineStr">
        <is>
          <t>Föryngringsavverkning</t>
        </is>
      </c>
      <c r="D5382" s="1" t="n">
        <v>45825</v>
      </c>
      <c r="E5382" s="1" t="n">
        <v>46307</v>
      </c>
      <c r="F5382" t="inlineStr">
        <is>
          <t>VÄRMLANDS LÄN</t>
        </is>
      </c>
      <c r="G5382" t="inlineStr">
        <is>
          <t>FILIPSTAD</t>
        </is>
      </c>
      <c r="H5382" t="inlineStr">
        <is>
          <t>Kyrkan</t>
        </is>
      </c>
      <c r="I5382" t="n">
        <v>9.199999999999999</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51430-2025</t>
        </is>
      </c>
      <c r="B5383" t="inlineStr">
        <is>
          <t>avverkningsanmälan</t>
        </is>
      </c>
      <c r="C5383" t="inlineStr">
        <is>
          <t>Föryngringsavverkning</t>
        </is>
      </c>
      <c r="D5383" s="1" t="n">
        <v>45950</v>
      </c>
      <c r="E5383" s="1" t="n">
        <v>46307</v>
      </c>
      <c r="F5383" t="inlineStr">
        <is>
          <t>VÄRMLANDS LÄN</t>
        </is>
      </c>
      <c r="G5383" t="inlineStr">
        <is>
          <t>ÅRJÄNG</t>
        </is>
      </c>
      <c r="I5383" t="n">
        <v>1.1</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51435-2025</t>
        </is>
      </c>
      <c r="B5384" t="inlineStr">
        <is>
          <t>avverkningsanmälan</t>
        </is>
      </c>
      <c r="C5384" t="inlineStr">
        <is>
          <t>Föryngringsavverkning</t>
        </is>
      </c>
      <c r="D5384" s="1" t="n">
        <v>45950</v>
      </c>
      <c r="E5384" s="1" t="n">
        <v>46307</v>
      </c>
      <c r="F5384" t="inlineStr">
        <is>
          <t>VÄRMLANDS LÄN</t>
        </is>
      </c>
      <c r="G5384" t="inlineStr">
        <is>
          <t>ÅRJÄNG</t>
        </is>
      </c>
      <c r="I5384" t="n">
        <v>1.3</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51914-2025</t>
        </is>
      </c>
      <c r="B5385" t="inlineStr">
        <is>
          <t>avverkningsanmälan</t>
        </is>
      </c>
      <c r="C5385" t="inlineStr">
        <is>
          <t>Föryngringsavverkning</t>
        </is>
      </c>
      <c r="D5385" s="1" t="n">
        <v>45952</v>
      </c>
      <c r="E5385" s="1" t="n">
        <v>46307</v>
      </c>
      <c r="F5385" t="inlineStr">
        <is>
          <t>VÄRMLANDS LÄN</t>
        </is>
      </c>
      <c r="G5385" t="inlineStr">
        <is>
          <t>TORSBY</t>
        </is>
      </c>
      <c r="H5385" t="inlineStr">
        <is>
          <t>Kyrkan</t>
        </is>
      </c>
      <c r="I5385" t="n">
        <v>3.3</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50174-2024</t>
        </is>
      </c>
      <c r="B5386" t="inlineStr">
        <is>
          <t>avverkningsanmälan</t>
        </is>
      </c>
      <c r="C5386" t="inlineStr">
        <is>
          <t>Föryngringsavverkning</t>
        </is>
      </c>
      <c r="D5386" s="1" t="n">
        <v>45600</v>
      </c>
      <c r="E5386" s="1" t="n">
        <v>46307</v>
      </c>
      <c r="F5386" t="inlineStr">
        <is>
          <t>VÄRMLANDS LÄN</t>
        </is>
      </c>
      <c r="G5386" t="inlineStr">
        <is>
          <t>KRISTINEHAMN</t>
        </is>
      </c>
      <c r="I5386" t="n">
        <v>1.6</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34380-2023</t>
        </is>
      </c>
      <c r="B5387" t="inlineStr">
        <is>
          <t>avverkningsanmälan</t>
        </is>
      </c>
      <c r="C5387" t="inlineStr">
        <is>
          <t>Föryngringsavverkning</t>
        </is>
      </c>
      <c r="D5387" s="1" t="n">
        <v>45131</v>
      </c>
      <c r="E5387" s="1" t="n">
        <v>46307</v>
      </c>
      <c r="F5387" t="inlineStr">
        <is>
          <t>VÄRMLANDS LÄN</t>
        </is>
      </c>
      <c r="G5387" t="inlineStr">
        <is>
          <t>SUNNE</t>
        </is>
      </c>
      <c r="I5387" t="n">
        <v>1.7</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61070-2023</t>
        </is>
      </c>
      <c r="B5388" t="inlineStr">
        <is>
          <t>avverkningsanmälan</t>
        </is>
      </c>
      <c r="C5388" t="inlineStr">
        <is>
          <t>Föryngringsavverkning</t>
        </is>
      </c>
      <c r="D5388" s="1" t="n">
        <v>45260</v>
      </c>
      <c r="E5388" s="1" t="n">
        <v>46307</v>
      </c>
      <c r="F5388" t="inlineStr">
        <is>
          <t>VÄRMLANDS LÄN</t>
        </is>
      </c>
      <c r="G5388" t="inlineStr">
        <is>
          <t>KARLSTAD</t>
        </is>
      </c>
      <c r="I5388" t="n">
        <v>7.5</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30078-2025</t>
        </is>
      </c>
      <c r="B5389" t="inlineStr">
        <is>
          <t>avverkningsanmälan</t>
        </is>
      </c>
      <c r="C5389" t="inlineStr">
        <is>
          <t>Föryngringsavverkning</t>
        </is>
      </c>
      <c r="D5389" s="1" t="n">
        <v>45826</v>
      </c>
      <c r="E5389" s="1" t="n">
        <v>46307</v>
      </c>
      <c r="F5389" t="inlineStr">
        <is>
          <t>VÄRMLANDS LÄN</t>
        </is>
      </c>
      <c r="G5389" t="inlineStr">
        <is>
          <t>TORSBY</t>
        </is>
      </c>
      <c r="I5389" t="n">
        <v>1</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51927-2025</t>
        </is>
      </c>
      <c r="B5390" t="inlineStr">
        <is>
          <t>avverkningsanmälan</t>
        </is>
      </c>
      <c r="C5390" t="inlineStr">
        <is>
          <t>Föryngringsavverkning</t>
        </is>
      </c>
      <c r="D5390" s="1" t="n">
        <v>45952</v>
      </c>
      <c r="E5390" s="1" t="n">
        <v>46307</v>
      </c>
      <c r="F5390" t="inlineStr">
        <is>
          <t>VÄRMLANDS LÄN</t>
        </is>
      </c>
      <c r="G5390" t="inlineStr">
        <is>
          <t>TORSBY</t>
        </is>
      </c>
      <c r="H5390" t="inlineStr">
        <is>
          <t>Kyrkan</t>
        </is>
      </c>
      <c r="I5390" t="n">
        <v>4.9</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34404-2023</t>
        </is>
      </c>
      <c r="B5391" t="inlineStr">
        <is>
          <t>avverkningsanmälan</t>
        </is>
      </c>
      <c r="C5391" t="inlineStr">
        <is>
          <t>Föryngringsavverkning</t>
        </is>
      </c>
      <c r="D5391" s="1" t="n">
        <v>45132</v>
      </c>
      <c r="E5391" s="1" t="n">
        <v>46307</v>
      </c>
      <c r="F5391" t="inlineStr">
        <is>
          <t>VÄRMLANDS LÄN</t>
        </is>
      </c>
      <c r="G5391" t="inlineStr">
        <is>
          <t>HAGFORS</t>
        </is>
      </c>
      <c r="I5391" t="n">
        <v>1.3</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17437-2025</t>
        </is>
      </c>
      <c r="B5392" t="inlineStr">
        <is>
          <t>avverkningsanmälan</t>
        </is>
      </c>
      <c r="C5392" t="inlineStr">
        <is>
          <t>Föryngringsavverkning</t>
        </is>
      </c>
      <c r="D5392" s="1" t="n">
        <v>45757</v>
      </c>
      <c r="E5392" s="1" t="n">
        <v>46307</v>
      </c>
      <c r="F5392" t="inlineStr">
        <is>
          <t>VÄRMLANDS LÄN</t>
        </is>
      </c>
      <c r="G5392" t="inlineStr">
        <is>
          <t>GRUMS</t>
        </is>
      </c>
      <c r="I5392" t="n">
        <v>1.3</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7096-2025</t>
        </is>
      </c>
      <c r="B5393" t="inlineStr">
        <is>
          <t>avverkningsanmälan</t>
        </is>
      </c>
      <c r="C5393" t="inlineStr">
        <is>
          <t>Föryngringsavverkning</t>
        </is>
      </c>
      <c r="D5393" s="1" t="n">
        <v>45701</v>
      </c>
      <c r="E5393" s="1" t="n">
        <v>46307</v>
      </c>
      <c r="F5393" t="inlineStr">
        <is>
          <t>VÄRMLANDS LÄN</t>
        </is>
      </c>
      <c r="G5393" t="inlineStr">
        <is>
          <t>SUNNE</t>
        </is>
      </c>
      <c r="I5393" t="n">
        <v>1.6</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6674-2025</t>
        </is>
      </c>
      <c r="B5394" t="inlineStr">
        <is>
          <t>avverkningsanmälan</t>
        </is>
      </c>
      <c r="C5394" t="inlineStr">
        <is>
          <t>Föryngringsavverkning</t>
        </is>
      </c>
      <c r="D5394" s="1" t="n">
        <v>45700</v>
      </c>
      <c r="E5394" s="1" t="n">
        <v>46307</v>
      </c>
      <c r="F5394" t="inlineStr">
        <is>
          <t>VÄRMLANDS LÄN</t>
        </is>
      </c>
      <c r="G5394" t="inlineStr">
        <is>
          <t>FILIPSTAD</t>
        </is>
      </c>
      <c r="I5394" t="n">
        <v>5.7</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10288-2025</t>
        </is>
      </c>
      <c r="B5395" t="inlineStr">
        <is>
          <t>avverkningsanmälan</t>
        </is>
      </c>
      <c r="C5395" t="inlineStr">
        <is>
          <t>Föryngringsavverkning</t>
        </is>
      </c>
      <c r="D5395" s="1" t="n">
        <v>45720</v>
      </c>
      <c r="E5395" s="1" t="n">
        <v>46307</v>
      </c>
      <c r="F5395" t="inlineStr">
        <is>
          <t>VÄRMLANDS LÄN</t>
        </is>
      </c>
      <c r="G5395" t="inlineStr">
        <is>
          <t>TORSBY</t>
        </is>
      </c>
      <c r="I5395" t="n">
        <v>3</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30006-2025</t>
        </is>
      </c>
      <c r="B5396" t="inlineStr">
        <is>
          <t>avverkningsanmälan</t>
        </is>
      </c>
      <c r="C5396" t="inlineStr">
        <is>
          <t>Föryngringsavverkning</t>
        </is>
      </c>
      <c r="D5396" s="1" t="n">
        <v>45826</v>
      </c>
      <c r="E5396" s="1" t="n">
        <v>46307</v>
      </c>
      <c r="F5396" t="inlineStr">
        <is>
          <t>VÄRMLANDS LÄN</t>
        </is>
      </c>
      <c r="G5396" t="inlineStr">
        <is>
          <t>SUNNE</t>
        </is>
      </c>
      <c r="H5396" t="inlineStr">
        <is>
          <t>Kommuner</t>
        </is>
      </c>
      <c r="I5396" t="n">
        <v>4.7</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52261-2025</t>
        </is>
      </c>
      <c r="B5397" t="inlineStr">
        <is>
          <t>avverkningsanmälan</t>
        </is>
      </c>
      <c r="C5397" t="inlineStr">
        <is>
          <t>Föryngringsavverkning</t>
        </is>
      </c>
      <c r="D5397" s="1" t="n">
        <v>45952</v>
      </c>
      <c r="E5397" s="1" t="n">
        <v>46307</v>
      </c>
      <c r="F5397" t="inlineStr">
        <is>
          <t>VÄRMLANDS LÄN</t>
        </is>
      </c>
      <c r="G5397" t="inlineStr">
        <is>
          <t>TORSBY</t>
        </is>
      </c>
      <c r="I5397" t="n">
        <v>11.7</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57125-2023</t>
        </is>
      </c>
      <c r="B5398" t="inlineStr">
        <is>
          <t>avverkningsanmälan</t>
        </is>
      </c>
      <c r="C5398" t="inlineStr">
        <is>
          <t>Föryngringsavverkning</t>
        </is>
      </c>
      <c r="D5398" s="1" t="n">
        <v>45245</v>
      </c>
      <c r="E5398" s="1" t="n">
        <v>46307</v>
      </c>
      <c r="F5398" t="inlineStr">
        <is>
          <t>VÄRMLANDS LÄN</t>
        </is>
      </c>
      <c r="G5398" t="inlineStr">
        <is>
          <t>EDA</t>
        </is>
      </c>
      <c r="H5398" t="inlineStr">
        <is>
          <t>Övriga Aktiebolag</t>
        </is>
      </c>
      <c r="I5398" t="n">
        <v>3.3</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28161-2023</t>
        </is>
      </c>
      <c r="B5399" t="inlineStr">
        <is>
          <t>avverkningsanmälan</t>
        </is>
      </c>
      <c r="C5399" t="inlineStr">
        <is>
          <t>Avverkning för annat ändamål</t>
        </is>
      </c>
      <c r="D5399" s="1" t="n">
        <v>45093</v>
      </c>
      <c r="E5399" s="1" t="n">
        <v>46307</v>
      </c>
      <c r="F5399" t="inlineStr">
        <is>
          <t>VÄRMLANDS LÄN</t>
        </is>
      </c>
      <c r="G5399" t="inlineStr">
        <is>
          <t>FILIPSTAD</t>
        </is>
      </c>
      <c r="H5399" t="inlineStr">
        <is>
          <t>Kommuner</t>
        </is>
      </c>
      <c r="I5399" t="n">
        <v>15.4</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51602-2023</t>
        </is>
      </c>
      <c r="B5400" t="inlineStr">
        <is>
          <t>avverkningsanmälan</t>
        </is>
      </c>
      <c r="C5400" t="inlineStr">
        <is>
          <t>Föryngringsavverkning</t>
        </is>
      </c>
      <c r="D5400" s="1" t="n">
        <v>45222</v>
      </c>
      <c r="E5400" s="1" t="n">
        <v>46307</v>
      </c>
      <c r="F5400" t="inlineStr">
        <is>
          <t>VÄRMLANDS LÄN</t>
        </is>
      </c>
      <c r="G5400" t="inlineStr">
        <is>
          <t>SÄFFLE</t>
        </is>
      </c>
      <c r="I5400" t="n">
        <v>0.4</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30026-2025</t>
        </is>
      </c>
      <c r="B5401" t="inlineStr">
        <is>
          <t>avverkningsanmälan</t>
        </is>
      </c>
      <c r="C5401" t="inlineStr">
        <is>
          <t>Föryngringsavverkning</t>
        </is>
      </c>
      <c r="D5401" s="1" t="n">
        <v>45826</v>
      </c>
      <c r="E5401" s="1" t="n">
        <v>46307</v>
      </c>
      <c r="F5401" t="inlineStr">
        <is>
          <t>VÄRMLANDS LÄN</t>
        </is>
      </c>
      <c r="G5401" t="inlineStr">
        <is>
          <t>TORSBY</t>
        </is>
      </c>
      <c r="I5401" t="n">
        <v>0.9</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30003-2025</t>
        </is>
      </c>
      <c r="B5402" t="inlineStr">
        <is>
          <t>avverkningsanmälan</t>
        </is>
      </c>
      <c r="C5402" t="inlineStr">
        <is>
          <t>Föryngringsavverkning</t>
        </is>
      </c>
      <c r="D5402" s="1" t="n">
        <v>45826</v>
      </c>
      <c r="E5402" s="1" t="n">
        <v>46307</v>
      </c>
      <c r="F5402" t="inlineStr">
        <is>
          <t>VÄRMLANDS LÄN</t>
        </is>
      </c>
      <c r="G5402" t="inlineStr">
        <is>
          <t>ARVIKA</t>
        </is>
      </c>
      <c r="I5402" t="n">
        <v>1.3</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29593-2025</t>
        </is>
      </c>
      <c r="B5403" t="inlineStr">
        <is>
          <t>avverkningsanmälan</t>
        </is>
      </c>
      <c r="C5403" t="inlineStr">
        <is>
          <t>Föryngringsavverkning</t>
        </is>
      </c>
      <c r="D5403" s="1" t="n">
        <v>45825</v>
      </c>
      <c r="E5403" s="1" t="n">
        <v>46307</v>
      </c>
      <c r="F5403" t="inlineStr">
        <is>
          <t>VÄRMLANDS LÄN</t>
        </is>
      </c>
      <c r="G5403" t="inlineStr">
        <is>
          <t>SÄFFLE</t>
        </is>
      </c>
      <c r="I5403" t="n">
        <v>0.8</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29660-2025</t>
        </is>
      </c>
      <c r="B5404" t="inlineStr">
        <is>
          <t>avverkningsanmälan</t>
        </is>
      </c>
      <c r="C5404" t="inlineStr">
        <is>
          <t>Föryngringsavverkning</t>
        </is>
      </c>
      <c r="D5404" s="1" t="n">
        <v>45825</v>
      </c>
      <c r="E5404" s="1" t="n">
        <v>46307</v>
      </c>
      <c r="F5404" t="inlineStr">
        <is>
          <t>VÄRMLANDS LÄN</t>
        </is>
      </c>
      <c r="G5404" t="inlineStr">
        <is>
          <t>FILIPSTAD</t>
        </is>
      </c>
      <c r="I5404" t="n">
        <v>23.3</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29762-2023</t>
        </is>
      </c>
      <c r="B5405" t="inlineStr">
        <is>
          <t>avverkningsanmälan</t>
        </is>
      </c>
      <c r="C5405" t="inlineStr">
        <is>
          <t>Föryngringsavverkning</t>
        </is>
      </c>
      <c r="D5405" s="1" t="n">
        <v>45107</v>
      </c>
      <c r="E5405" s="1" t="n">
        <v>46307</v>
      </c>
      <c r="F5405" t="inlineStr">
        <is>
          <t>VÄRMLANDS LÄN</t>
        </is>
      </c>
      <c r="G5405" t="inlineStr">
        <is>
          <t>GRUMS</t>
        </is>
      </c>
      <c r="I5405" t="n">
        <v>1.1</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21875-2022</t>
        </is>
      </c>
      <c r="B5406" t="inlineStr">
        <is>
          <t>avverkningsanmälan</t>
        </is>
      </c>
      <c r="C5406" t="inlineStr">
        <is>
          <t>Föryngringsavverkning</t>
        </is>
      </c>
      <c r="D5406" s="1" t="n">
        <v>44711</v>
      </c>
      <c r="E5406" s="1" t="n">
        <v>46307</v>
      </c>
      <c r="F5406" t="inlineStr">
        <is>
          <t>VÄRMLANDS LÄN</t>
        </is>
      </c>
      <c r="G5406" t="inlineStr">
        <is>
          <t>SUNNE</t>
        </is>
      </c>
      <c r="I5406" t="n">
        <v>0.7</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51781-2025</t>
        </is>
      </c>
      <c r="B5407" t="inlineStr">
        <is>
          <t>avverkningsanmälan</t>
        </is>
      </c>
      <c r="C5407" t="inlineStr">
        <is>
          <t>Föryngringsavverkning</t>
        </is>
      </c>
      <c r="D5407" s="1" t="n">
        <v>45951</v>
      </c>
      <c r="E5407" s="1" t="n">
        <v>46307</v>
      </c>
      <c r="F5407" t="inlineStr">
        <is>
          <t>VÄRMLANDS LÄN</t>
        </is>
      </c>
      <c r="G5407" t="inlineStr">
        <is>
          <t>ARVIKA</t>
        </is>
      </c>
      <c r="I5407" t="n">
        <v>0.7</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51659-2025</t>
        </is>
      </c>
      <c r="B5408" t="inlineStr">
        <is>
          <t>avverkningsanmälan</t>
        </is>
      </c>
      <c r="C5408" t="inlineStr">
        <is>
          <t>Föryngringsavverkning</t>
        </is>
      </c>
      <c r="D5408" s="1" t="n">
        <v>45951</v>
      </c>
      <c r="E5408" s="1" t="n">
        <v>46307</v>
      </c>
      <c r="F5408" t="inlineStr">
        <is>
          <t>VÄRMLANDS LÄN</t>
        </is>
      </c>
      <c r="G5408" t="inlineStr">
        <is>
          <t>TORSBY</t>
        </is>
      </c>
      <c r="I5408" t="n">
        <v>3.8</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56107-2024</t>
        </is>
      </c>
      <c r="B5409" t="inlineStr">
        <is>
          <t>avverkningsanmälan</t>
        </is>
      </c>
      <c r="C5409" t="inlineStr">
        <is>
          <t>Föryngringsavverkning</t>
        </is>
      </c>
      <c r="D5409" s="1" t="n">
        <v>45624</v>
      </c>
      <c r="E5409" s="1" t="n">
        <v>46307</v>
      </c>
      <c r="F5409" t="inlineStr">
        <is>
          <t>VÄRMLANDS LÄN</t>
        </is>
      </c>
      <c r="G5409" t="inlineStr">
        <is>
          <t>TORSBY</t>
        </is>
      </c>
      <c r="I5409" t="n">
        <v>1.3</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50380-2025</t>
        </is>
      </c>
      <c r="B5410" t="inlineStr">
        <is>
          <t>avverkningsanmälan</t>
        </is>
      </c>
      <c r="C5410" t="inlineStr">
        <is>
          <t>Föryngringsavverkning</t>
        </is>
      </c>
      <c r="D5410" s="1" t="n">
        <v>45944</v>
      </c>
      <c r="E5410" s="1" t="n">
        <v>46307</v>
      </c>
      <c r="F5410" t="inlineStr">
        <is>
          <t>VÄRMLANDS LÄN</t>
        </is>
      </c>
      <c r="G5410" t="inlineStr">
        <is>
          <t>ARVIKA</t>
        </is>
      </c>
      <c r="I5410" t="n">
        <v>2</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30074-2025</t>
        </is>
      </c>
      <c r="B5411" t="inlineStr">
        <is>
          <t>avverkningsanmälan</t>
        </is>
      </c>
      <c r="C5411" t="inlineStr">
        <is>
          <t>Föryngringsavverkning</t>
        </is>
      </c>
      <c r="D5411" s="1" t="n">
        <v>45826</v>
      </c>
      <c r="E5411" s="1" t="n">
        <v>46307</v>
      </c>
      <c r="F5411" t="inlineStr">
        <is>
          <t>VÄRMLANDS LÄN</t>
        </is>
      </c>
      <c r="G5411" t="inlineStr">
        <is>
          <t>TORSBY</t>
        </is>
      </c>
      <c r="I5411" t="n">
        <v>2.3</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29501-2025</t>
        </is>
      </c>
      <c r="B5412" t="inlineStr">
        <is>
          <t>avverkningsanmälan</t>
        </is>
      </c>
      <c r="C5412" t="inlineStr">
        <is>
          <t>Föryngringsavverkning</t>
        </is>
      </c>
      <c r="D5412" s="1" t="n">
        <v>45825</v>
      </c>
      <c r="E5412" s="1" t="n">
        <v>46307</v>
      </c>
      <c r="F5412" t="inlineStr">
        <is>
          <t>VÄRMLANDS LÄN</t>
        </is>
      </c>
      <c r="G5412" t="inlineStr">
        <is>
          <t>ARVIKA</t>
        </is>
      </c>
      <c r="H5412" t="inlineStr">
        <is>
          <t>Bergvik skog väst AB</t>
        </is>
      </c>
      <c r="I5412" t="n">
        <v>7.8</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29944-2025</t>
        </is>
      </c>
      <c r="B5413" t="inlineStr">
        <is>
          <t>avverkningsanmälan</t>
        </is>
      </c>
      <c r="C5413" t="inlineStr">
        <is>
          <t>Föryngringsavverkning</t>
        </is>
      </c>
      <c r="D5413" s="1" t="n">
        <v>45826</v>
      </c>
      <c r="E5413" s="1" t="n">
        <v>46307</v>
      </c>
      <c r="F5413" t="inlineStr">
        <is>
          <t>VÄRMLANDS LÄN</t>
        </is>
      </c>
      <c r="G5413" t="inlineStr">
        <is>
          <t>FILIPSTAD</t>
        </is>
      </c>
      <c r="H5413" t="inlineStr">
        <is>
          <t>Bergvik skog väst AB</t>
        </is>
      </c>
      <c r="I5413" t="n">
        <v>6.8</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29570-2023</t>
        </is>
      </c>
      <c r="B5414" t="inlineStr">
        <is>
          <t>avverkningsanmälan</t>
        </is>
      </c>
      <c r="C5414" t="inlineStr">
        <is>
          <t>Föryngringsavverkning</t>
        </is>
      </c>
      <c r="D5414" s="1" t="n">
        <v>45106</v>
      </c>
      <c r="E5414" s="1" t="n">
        <v>46307</v>
      </c>
      <c r="F5414" t="inlineStr">
        <is>
          <t>VÄRMLANDS LÄN</t>
        </is>
      </c>
      <c r="G5414" t="inlineStr">
        <is>
          <t>ÅRJÄNG</t>
        </is>
      </c>
      <c r="I5414" t="n">
        <v>1.4</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55828-2024</t>
        </is>
      </c>
      <c r="B5415" t="inlineStr">
        <is>
          <t>avverkningsanmälan</t>
        </is>
      </c>
      <c r="C5415" t="inlineStr">
        <is>
          <t>Föryngringsavverkning</t>
        </is>
      </c>
      <c r="D5415" s="1" t="n">
        <v>45622</v>
      </c>
      <c r="E5415" s="1" t="n">
        <v>46307</v>
      </c>
      <c r="F5415" t="inlineStr">
        <is>
          <t>VÄRMLANDS LÄN</t>
        </is>
      </c>
      <c r="G5415" t="inlineStr">
        <is>
          <t>SUNNE</t>
        </is>
      </c>
      <c r="I5415" t="n">
        <v>1.5</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55836-2024</t>
        </is>
      </c>
      <c r="B5416" t="inlineStr">
        <is>
          <t>avverkningsanmälan</t>
        </is>
      </c>
      <c r="C5416" t="inlineStr">
        <is>
          <t>Föryngringsavverkning</t>
        </is>
      </c>
      <c r="D5416" s="1" t="n">
        <v>45623</v>
      </c>
      <c r="E5416" s="1" t="n">
        <v>46307</v>
      </c>
      <c r="F5416" t="inlineStr">
        <is>
          <t>VÄRMLANDS LÄN</t>
        </is>
      </c>
      <c r="G5416" t="inlineStr">
        <is>
          <t>TORSBY</t>
        </is>
      </c>
      <c r="H5416" t="inlineStr">
        <is>
          <t>Kommuner</t>
        </is>
      </c>
      <c r="I5416" t="n">
        <v>0.8</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5841-2022</t>
        </is>
      </c>
      <c r="B5417" t="inlineStr">
        <is>
          <t>avverkningsanmälan</t>
        </is>
      </c>
      <c r="C5417" t="inlineStr">
        <is>
          <t>Föryngringsavverkning</t>
        </is>
      </c>
      <c r="D5417" s="1" t="n">
        <v>44596</v>
      </c>
      <c r="E5417" s="1" t="n">
        <v>46307</v>
      </c>
      <c r="F5417" t="inlineStr">
        <is>
          <t>VÄRMLANDS LÄN</t>
        </is>
      </c>
      <c r="G5417" t="inlineStr">
        <is>
          <t>GRUMS</t>
        </is>
      </c>
      <c r="I5417" t="n">
        <v>1.6</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27920-2023</t>
        </is>
      </c>
      <c r="B5418" t="inlineStr">
        <is>
          <t>avverkningsanmälan</t>
        </is>
      </c>
      <c r="C5418" t="inlineStr">
        <is>
          <t>Föryngringsavverkning</t>
        </is>
      </c>
      <c r="D5418" s="1" t="n">
        <v>45098</v>
      </c>
      <c r="E5418" s="1" t="n">
        <v>46307</v>
      </c>
      <c r="F5418" t="inlineStr">
        <is>
          <t>VÄRMLANDS LÄN</t>
        </is>
      </c>
      <c r="G5418" t="inlineStr">
        <is>
          <t>TORSBY</t>
        </is>
      </c>
      <c r="H5418" t="inlineStr">
        <is>
          <t>Kyrkan</t>
        </is>
      </c>
      <c r="I5418" t="n">
        <v>14.7</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56808-2023</t>
        </is>
      </c>
      <c r="B5419" t="inlineStr">
        <is>
          <t>avverkningsanmälan</t>
        </is>
      </c>
      <c r="C5419" t="inlineStr">
        <is>
          <t>Föryngringsavverkning</t>
        </is>
      </c>
      <c r="D5419" s="1" t="n">
        <v>45244</v>
      </c>
      <c r="E5419" s="1" t="n">
        <v>46307</v>
      </c>
      <c r="F5419" t="inlineStr">
        <is>
          <t>VÄRMLANDS LÄN</t>
        </is>
      </c>
      <c r="G5419" t="inlineStr">
        <is>
          <t>HAGFORS</t>
        </is>
      </c>
      <c r="I5419" t="n">
        <v>1.6</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236-2025</t>
        </is>
      </c>
      <c r="B5420" t="inlineStr">
        <is>
          <t>avverkningsanmälan</t>
        </is>
      </c>
      <c r="C5420" t="inlineStr">
        <is>
          <t>Föryngringsavverkning</t>
        </is>
      </c>
      <c r="D5420" s="1" t="n">
        <v>45653</v>
      </c>
      <c r="E5420" s="1" t="n">
        <v>46307</v>
      </c>
      <c r="F5420" t="inlineStr">
        <is>
          <t>VÄRMLANDS LÄN</t>
        </is>
      </c>
      <c r="G5420" t="inlineStr">
        <is>
          <t>ÅRJÄNG</t>
        </is>
      </c>
      <c r="H5420" t="inlineStr">
        <is>
          <t>Övriga Aktiebolag</t>
        </is>
      </c>
      <c r="I5420" t="n">
        <v>3</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43099-2024</t>
        </is>
      </c>
      <c r="B5421" t="inlineStr">
        <is>
          <t>avverkningsanmälan</t>
        </is>
      </c>
      <c r="C5421" t="inlineStr">
        <is>
          <t>Avverkning för annat ändamål</t>
        </is>
      </c>
      <c r="D5421" s="1" t="n">
        <v>45567</v>
      </c>
      <c r="E5421" s="1" t="n">
        <v>46307</v>
      </c>
      <c r="F5421" t="inlineStr">
        <is>
          <t>VÄRMLANDS LÄN</t>
        </is>
      </c>
      <c r="G5421" t="inlineStr">
        <is>
          <t>SÄFFLE</t>
        </is>
      </c>
      <c r="I5421" t="n">
        <v>0.8</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43157-2024</t>
        </is>
      </c>
      <c r="B5422" t="inlineStr">
        <is>
          <t>avverkningsanmälan</t>
        </is>
      </c>
      <c r="C5422" t="inlineStr">
        <is>
          <t>Föryngringsavverkning</t>
        </is>
      </c>
      <c r="D5422" s="1" t="n">
        <v>45567</v>
      </c>
      <c r="E5422" s="1" t="n">
        <v>46307</v>
      </c>
      <c r="F5422" t="inlineStr">
        <is>
          <t>VÄRMLANDS LÄN</t>
        </is>
      </c>
      <c r="G5422" t="inlineStr">
        <is>
          <t>SUNNE</t>
        </is>
      </c>
      <c r="I5422" t="n">
        <v>1.2</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52309-2024</t>
        </is>
      </c>
      <c r="B5423" t="inlineStr">
        <is>
          <t>avverkningsanmälan</t>
        </is>
      </c>
      <c r="C5423" t="inlineStr">
        <is>
          <t>Föryngringsavverkning</t>
        </is>
      </c>
      <c r="D5423" s="1" t="n">
        <v>45608</v>
      </c>
      <c r="E5423" s="1" t="n">
        <v>46307</v>
      </c>
      <c r="F5423" t="inlineStr">
        <is>
          <t>VÄRMLANDS LÄN</t>
        </is>
      </c>
      <c r="G5423" t="inlineStr">
        <is>
          <t>SUNNE</t>
        </is>
      </c>
      <c r="I5423" t="n">
        <v>0.7</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53184-2024</t>
        </is>
      </c>
      <c r="B5424" t="inlineStr">
        <is>
          <t>avverkningsanmälan</t>
        </is>
      </c>
      <c r="C5424" t="inlineStr">
        <is>
          <t>Föryngringsavverkning</t>
        </is>
      </c>
      <c r="D5424" s="1" t="n">
        <v>45611</v>
      </c>
      <c r="E5424" s="1" t="n">
        <v>46307</v>
      </c>
      <c r="F5424" t="inlineStr">
        <is>
          <t>VÄRMLANDS LÄN</t>
        </is>
      </c>
      <c r="G5424" t="inlineStr">
        <is>
          <t>ARVIKA</t>
        </is>
      </c>
      <c r="I5424" t="n">
        <v>1.2</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1099-2025</t>
        </is>
      </c>
      <c r="B5425" t="inlineStr">
        <is>
          <t>avverkningsanmälan</t>
        </is>
      </c>
      <c r="C5425" t="inlineStr">
        <is>
          <t>Föryngringsavverkning</t>
        </is>
      </c>
      <c r="D5425" s="1" t="n">
        <v>45666</v>
      </c>
      <c r="E5425" s="1" t="n">
        <v>46307</v>
      </c>
      <c r="F5425" t="inlineStr">
        <is>
          <t>VÄRMLANDS LÄN</t>
        </is>
      </c>
      <c r="G5425" t="inlineStr">
        <is>
          <t>KRISTINEHAMN</t>
        </is>
      </c>
      <c r="I5425" t="n">
        <v>8.699999999999999</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32280-2023</t>
        </is>
      </c>
      <c r="B5426" t="inlineStr">
        <is>
          <t>avverkningsanmälan</t>
        </is>
      </c>
      <c r="C5426" t="inlineStr">
        <is>
          <t>Föryngringsavverkning</t>
        </is>
      </c>
      <c r="D5426" s="1" t="n">
        <v>45120</v>
      </c>
      <c r="E5426" s="1" t="n">
        <v>46307</v>
      </c>
      <c r="F5426" t="inlineStr">
        <is>
          <t>VÄRMLANDS LÄN</t>
        </is>
      </c>
      <c r="G5426" t="inlineStr">
        <is>
          <t>ARVIKA</t>
        </is>
      </c>
      <c r="I5426" t="n">
        <v>3.2</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1602-2025</t>
        </is>
      </c>
      <c r="B5427" t="inlineStr">
        <is>
          <t>avverkningsanmälan</t>
        </is>
      </c>
      <c r="C5427" t="inlineStr">
        <is>
          <t>Föryngringsavverkning</t>
        </is>
      </c>
      <c r="D5427" s="1" t="n">
        <v>45670</v>
      </c>
      <c r="E5427" s="1" t="n">
        <v>46307</v>
      </c>
      <c r="F5427" t="inlineStr">
        <is>
          <t>VÄRMLANDS LÄN</t>
        </is>
      </c>
      <c r="G5427" t="inlineStr">
        <is>
          <t>ÅRJÄNG</t>
        </is>
      </c>
      <c r="I5427" t="n">
        <v>1</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24872-2023</t>
        </is>
      </c>
      <c r="B5428" t="inlineStr">
        <is>
          <t>avverkningsanmälan</t>
        </is>
      </c>
      <c r="C5428" t="inlineStr">
        <is>
          <t>Föryngringsavverkning</t>
        </is>
      </c>
      <c r="D5428" s="1" t="n">
        <v>45085</v>
      </c>
      <c r="E5428" s="1" t="n">
        <v>46307</v>
      </c>
      <c r="F5428" t="inlineStr">
        <is>
          <t>VÄRMLANDS LÄN</t>
        </is>
      </c>
      <c r="G5428" t="inlineStr">
        <is>
          <t>ARVIKA</t>
        </is>
      </c>
      <c r="I5428" t="n">
        <v>2</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24876-2023</t>
        </is>
      </c>
      <c r="B5429" t="inlineStr">
        <is>
          <t>avverkningsanmälan</t>
        </is>
      </c>
      <c r="C5429" t="inlineStr">
        <is>
          <t>Föryngringsavverkning</t>
        </is>
      </c>
      <c r="D5429" s="1" t="n">
        <v>45085</v>
      </c>
      <c r="E5429" s="1" t="n">
        <v>46307</v>
      </c>
      <c r="F5429" t="inlineStr">
        <is>
          <t>VÄRMLANDS LÄN</t>
        </is>
      </c>
      <c r="G5429" t="inlineStr">
        <is>
          <t>TORSBY</t>
        </is>
      </c>
      <c r="I5429" t="n">
        <v>2.2</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10116-2024</t>
        </is>
      </c>
      <c r="B5430" t="inlineStr">
        <is>
          <t>avverkningsanmälan</t>
        </is>
      </c>
      <c r="C5430" t="inlineStr">
        <is>
          <t>Föryngringsavverkning</t>
        </is>
      </c>
      <c r="D5430" s="1" t="n">
        <v>45364</v>
      </c>
      <c r="E5430" s="1" t="n">
        <v>46307</v>
      </c>
      <c r="F5430" t="inlineStr">
        <is>
          <t>VÄRMLANDS LÄN</t>
        </is>
      </c>
      <c r="G5430" t="inlineStr">
        <is>
          <t>KRISTINEHAMN</t>
        </is>
      </c>
      <c r="I5430" t="n">
        <v>4.3</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24917-2023</t>
        </is>
      </c>
      <c r="B5431" t="inlineStr">
        <is>
          <t>avverkningsanmälan</t>
        </is>
      </c>
      <c r="C5431" t="inlineStr">
        <is>
          <t>Föryngringsavverkning</t>
        </is>
      </c>
      <c r="D5431" s="1" t="n">
        <v>45085</v>
      </c>
      <c r="E5431" s="1" t="n">
        <v>46307</v>
      </c>
      <c r="F5431" t="inlineStr">
        <is>
          <t>VÄRMLANDS LÄN</t>
        </is>
      </c>
      <c r="G5431" t="inlineStr">
        <is>
          <t>EDA</t>
        </is>
      </c>
      <c r="I5431" t="n">
        <v>12.9</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51873-2025</t>
        </is>
      </c>
      <c r="B5432" t="inlineStr">
        <is>
          <t>avverkningsanmälan</t>
        </is>
      </c>
      <c r="C5432" t="inlineStr">
        <is>
          <t>Föryngringsavverkning</t>
        </is>
      </c>
      <c r="D5432" s="1" t="n">
        <v>45952</v>
      </c>
      <c r="E5432" s="1" t="n">
        <v>46307</v>
      </c>
      <c r="F5432" t="inlineStr">
        <is>
          <t>VÄRMLANDS LÄN</t>
        </is>
      </c>
      <c r="G5432" t="inlineStr">
        <is>
          <t>TORSBY</t>
        </is>
      </c>
      <c r="I5432" t="n">
        <v>1.9</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24393-2023</t>
        </is>
      </c>
      <c r="B5433" t="inlineStr">
        <is>
          <t>avverkningsanmälan</t>
        </is>
      </c>
      <c r="C5433" t="inlineStr">
        <is>
          <t>Föryngringsavverkning</t>
        </is>
      </c>
      <c r="D5433" s="1" t="n">
        <v>45082</v>
      </c>
      <c r="E5433" s="1" t="n">
        <v>46307</v>
      </c>
      <c r="F5433" t="inlineStr">
        <is>
          <t>VÄRMLANDS LÄN</t>
        </is>
      </c>
      <c r="G5433" t="inlineStr">
        <is>
          <t>SUNNE</t>
        </is>
      </c>
      <c r="I5433" t="n">
        <v>1.1</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29610-2025</t>
        </is>
      </c>
      <c r="B5434" t="inlineStr">
        <is>
          <t>avverkningsanmälan</t>
        </is>
      </c>
      <c r="C5434" t="inlineStr">
        <is>
          <t>Avverkning för annat ändamål</t>
        </is>
      </c>
      <c r="D5434" s="1" t="n">
        <v>45825</v>
      </c>
      <c r="E5434" s="1" t="n">
        <v>46307</v>
      </c>
      <c r="F5434" t="inlineStr">
        <is>
          <t>VÄRMLANDS LÄN</t>
        </is>
      </c>
      <c r="G5434" t="inlineStr">
        <is>
          <t>ARVIKA</t>
        </is>
      </c>
      <c r="H5434" t="inlineStr">
        <is>
          <t>Bergvik skog väst AB</t>
        </is>
      </c>
      <c r="I5434" t="n">
        <v>0.8</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48861-2024</t>
        </is>
      </c>
      <c r="B5435" t="inlineStr">
        <is>
          <t>avverkningsanmälan</t>
        </is>
      </c>
      <c r="C5435" t="inlineStr">
        <is>
          <t>Föryngringsavverkning</t>
        </is>
      </c>
      <c r="D5435" s="1" t="n">
        <v>45593</v>
      </c>
      <c r="E5435" s="1" t="n">
        <v>46307</v>
      </c>
      <c r="F5435" t="inlineStr">
        <is>
          <t>VÄRMLANDS LÄN</t>
        </is>
      </c>
      <c r="G5435" t="inlineStr">
        <is>
          <t>SUNNE</t>
        </is>
      </c>
      <c r="H5435" t="inlineStr">
        <is>
          <t>Kyrkan</t>
        </is>
      </c>
      <c r="I5435" t="n">
        <v>0.6</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43253-2023</t>
        </is>
      </c>
      <c r="B5436" t="inlineStr">
        <is>
          <t>avverkningsanmälan</t>
        </is>
      </c>
      <c r="C5436" t="inlineStr">
        <is>
          <t>Föryngringsavverkning</t>
        </is>
      </c>
      <c r="D5436" s="1" t="n">
        <v>45183</v>
      </c>
      <c r="E5436" s="1" t="n">
        <v>46307</v>
      </c>
      <c r="F5436" t="inlineStr">
        <is>
          <t>VÄRMLANDS LÄN</t>
        </is>
      </c>
      <c r="G5436" t="inlineStr">
        <is>
          <t>ÅRJÄNG</t>
        </is>
      </c>
      <c r="I5436" t="n">
        <v>5.5</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52327-2024</t>
        </is>
      </c>
      <c r="B5437" t="inlineStr">
        <is>
          <t>avverkningsanmälan</t>
        </is>
      </c>
      <c r="C5437" t="inlineStr">
        <is>
          <t>Föryngringsavverkning</t>
        </is>
      </c>
      <c r="D5437" s="1" t="n">
        <v>45609</v>
      </c>
      <c r="E5437" s="1" t="n">
        <v>46307</v>
      </c>
      <c r="F5437" t="inlineStr">
        <is>
          <t>VÄRMLANDS LÄN</t>
        </is>
      </c>
      <c r="G5437" t="inlineStr">
        <is>
          <t>EDA</t>
        </is>
      </c>
      <c r="I5437" t="n">
        <v>0.7</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17387-2024</t>
        </is>
      </c>
      <c r="B5438" t="inlineStr">
        <is>
          <t>avverkningsanmälan</t>
        </is>
      </c>
      <c r="C5438" t="inlineStr">
        <is>
          <t>Föryngringsavverkning</t>
        </is>
      </c>
      <c r="D5438" s="1" t="n">
        <v>45414</v>
      </c>
      <c r="E5438" s="1" t="n">
        <v>46307</v>
      </c>
      <c r="F5438" t="inlineStr">
        <is>
          <t>VÄRMLANDS LÄN</t>
        </is>
      </c>
      <c r="G5438" t="inlineStr">
        <is>
          <t>ARVIKA</t>
        </is>
      </c>
      <c r="I5438" t="n">
        <v>1.6</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12000-2022</t>
        </is>
      </c>
      <c r="B5439" t="inlineStr">
        <is>
          <t>avverkningsanmälan</t>
        </is>
      </c>
      <c r="C5439" t="inlineStr">
        <is>
          <t>Föryngringsavverkning</t>
        </is>
      </c>
      <c r="D5439" s="1" t="n">
        <v>44635</v>
      </c>
      <c r="E5439" s="1" t="n">
        <v>46307</v>
      </c>
      <c r="F5439" t="inlineStr">
        <is>
          <t>VÄRMLANDS LÄN</t>
        </is>
      </c>
      <c r="G5439" t="inlineStr">
        <is>
          <t>GRUMS</t>
        </is>
      </c>
      <c r="I5439" t="n">
        <v>0.7</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30124-2025</t>
        </is>
      </c>
      <c r="B5440" t="inlineStr">
        <is>
          <t>avverkningsanmälan</t>
        </is>
      </c>
      <c r="C5440" t="inlineStr">
        <is>
          <t>Föryngringsavverkning</t>
        </is>
      </c>
      <c r="D5440" s="1" t="n">
        <v>45826</v>
      </c>
      <c r="E5440" s="1" t="n">
        <v>46307</v>
      </c>
      <c r="F5440" t="inlineStr">
        <is>
          <t>VÄRMLANDS LÄN</t>
        </is>
      </c>
      <c r="G5440" t="inlineStr">
        <is>
          <t>HAGFORS</t>
        </is>
      </c>
      <c r="I5440" t="n">
        <v>1.5</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52026-2025</t>
        </is>
      </c>
      <c r="B5441" t="inlineStr">
        <is>
          <t>avverkningsanmälan</t>
        </is>
      </c>
      <c r="C5441" t="inlineStr">
        <is>
          <t>Föryngringsavverkning</t>
        </is>
      </c>
      <c r="D5441" s="1" t="n">
        <v>45952</v>
      </c>
      <c r="E5441" s="1" t="n">
        <v>46307</v>
      </c>
      <c r="F5441" t="inlineStr">
        <is>
          <t>VÄRMLANDS LÄN</t>
        </is>
      </c>
      <c r="G5441" t="inlineStr">
        <is>
          <t>TORSBY</t>
        </is>
      </c>
      <c r="H5441" t="inlineStr">
        <is>
          <t>Bergvik skog väst AB</t>
        </is>
      </c>
      <c r="I5441" t="n">
        <v>15.7</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24521-2024</t>
        </is>
      </c>
      <c r="B5442" t="inlineStr">
        <is>
          <t>avverkningsanmälan</t>
        </is>
      </c>
      <c r="C5442" t="inlineStr">
        <is>
          <t>Föryngringsavverkning</t>
        </is>
      </c>
      <c r="D5442" s="1" t="n">
        <v>45460</v>
      </c>
      <c r="E5442" s="1" t="n">
        <v>46307</v>
      </c>
      <c r="F5442" t="inlineStr">
        <is>
          <t>VÄRMLANDS LÄN</t>
        </is>
      </c>
      <c r="G5442" t="inlineStr">
        <is>
          <t>SUNNE</t>
        </is>
      </c>
      <c r="I5442" t="n">
        <v>1.8</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46790-2024</t>
        </is>
      </c>
      <c r="B5443" t="inlineStr">
        <is>
          <t>avverkningsanmälan</t>
        </is>
      </c>
      <c r="C5443" t="inlineStr">
        <is>
          <t>Föryngringsavverkning</t>
        </is>
      </c>
      <c r="D5443" s="1" t="n">
        <v>45583</v>
      </c>
      <c r="E5443" s="1" t="n">
        <v>46307</v>
      </c>
      <c r="F5443" t="inlineStr">
        <is>
          <t>VÄRMLANDS LÄN</t>
        </is>
      </c>
      <c r="G5443" t="inlineStr">
        <is>
          <t>SUNNE</t>
        </is>
      </c>
      <c r="H5443" t="inlineStr">
        <is>
          <t>Kommuner</t>
        </is>
      </c>
      <c r="I5443" t="n">
        <v>1</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28466-2022</t>
        </is>
      </c>
      <c r="B5444" t="inlineStr">
        <is>
          <t>avverkningsanmälan</t>
        </is>
      </c>
      <c r="C5444" t="inlineStr">
        <is>
          <t>Föryngringsavverkning</t>
        </is>
      </c>
      <c r="D5444" s="1" t="n">
        <v>44747</v>
      </c>
      <c r="E5444" s="1" t="n">
        <v>46307</v>
      </c>
      <c r="F5444" t="inlineStr">
        <is>
          <t>VÄRMLANDS LÄN</t>
        </is>
      </c>
      <c r="G5444" t="inlineStr">
        <is>
          <t>STORFORS</t>
        </is>
      </c>
      <c r="I5444" t="n">
        <v>1.5</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51572-2025</t>
        </is>
      </c>
      <c r="B5445" t="inlineStr">
        <is>
          <t>avverkningsanmälan</t>
        </is>
      </c>
      <c r="C5445" t="inlineStr">
        <is>
          <t>Föryngringsavverkning</t>
        </is>
      </c>
      <c r="D5445" s="1" t="n">
        <v>45951</v>
      </c>
      <c r="E5445" s="1" t="n">
        <v>46307</v>
      </c>
      <c r="F5445" t="inlineStr">
        <is>
          <t>VÄRMLANDS LÄN</t>
        </is>
      </c>
      <c r="G5445" t="inlineStr">
        <is>
          <t>FILIPSTAD</t>
        </is>
      </c>
      <c r="H5445" t="inlineStr">
        <is>
          <t>Bergvik skog väst AB</t>
        </is>
      </c>
      <c r="I5445" t="n">
        <v>3.1</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51611-2025</t>
        </is>
      </c>
      <c r="B5446" t="inlineStr">
        <is>
          <t>avverkningsanmälan</t>
        </is>
      </c>
      <c r="C5446" t="inlineStr">
        <is>
          <t>Föryngringsavverkning</t>
        </is>
      </c>
      <c r="D5446" s="1" t="n">
        <v>45951</v>
      </c>
      <c r="E5446" s="1" t="n">
        <v>46307</v>
      </c>
      <c r="F5446" t="inlineStr">
        <is>
          <t>VÄRMLANDS LÄN</t>
        </is>
      </c>
      <c r="G5446" t="inlineStr">
        <is>
          <t>HAGFORS</t>
        </is>
      </c>
      <c r="I5446" t="n">
        <v>1.7</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51637-2025</t>
        </is>
      </c>
      <c r="B5447" t="inlineStr">
        <is>
          <t>avverkningsanmälan</t>
        </is>
      </c>
      <c r="C5447" t="inlineStr">
        <is>
          <t>Föryngringsavverkning</t>
        </is>
      </c>
      <c r="D5447" s="1" t="n">
        <v>45951</v>
      </c>
      <c r="E5447" s="1" t="n">
        <v>46307</v>
      </c>
      <c r="F5447" t="inlineStr">
        <is>
          <t>VÄRMLANDS LÄN</t>
        </is>
      </c>
      <c r="G5447" t="inlineStr">
        <is>
          <t>TORSBY</t>
        </is>
      </c>
      <c r="I5447" t="n">
        <v>2.1</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40011-2022</t>
        </is>
      </c>
      <c r="B5448" t="inlineStr">
        <is>
          <t>avverkningsanmälan</t>
        </is>
      </c>
      <c r="C5448" t="inlineStr">
        <is>
          <t>Föryngringsavverkning</t>
        </is>
      </c>
      <c r="D5448" s="1" t="n">
        <v>44820</v>
      </c>
      <c r="E5448" s="1" t="n">
        <v>46307</v>
      </c>
      <c r="F5448" t="inlineStr">
        <is>
          <t>VÄRMLANDS LÄN</t>
        </is>
      </c>
      <c r="G5448" t="inlineStr">
        <is>
          <t>ARVIKA</t>
        </is>
      </c>
      <c r="I5448" t="n">
        <v>6.3</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17827-2025</t>
        </is>
      </c>
      <c r="B5449" t="inlineStr">
        <is>
          <t>avverkningsanmälan</t>
        </is>
      </c>
      <c r="C5449" t="inlineStr">
        <is>
          <t>Föryngringsavverkning</t>
        </is>
      </c>
      <c r="D5449" s="1" t="n">
        <v>45758</v>
      </c>
      <c r="E5449" s="1" t="n">
        <v>46307</v>
      </c>
      <c r="F5449" t="inlineStr">
        <is>
          <t>VÄRMLANDS LÄN</t>
        </is>
      </c>
      <c r="G5449" t="inlineStr">
        <is>
          <t>ÅRJÄNG</t>
        </is>
      </c>
      <c r="I5449" t="n">
        <v>1.4</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24657-2024</t>
        </is>
      </c>
      <c r="B5450" t="inlineStr">
        <is>
          <t>avverkningsanmälan</t>
        </is>
      </c>
      <c r="C5450" t="inlineStr">
        <is>
          <t>Avverkning för annat ändamål</t>
        </is>
      </c>
      <c r="D5450" s="1" t="n">
        <v>45460</v>
      </c>
      <c r="E5450" s="1" t="n">
        <v>46307</v>
      </c>
      <c r="F5450" t="inlineStr">
        <is>
          <t>VÄRMLANDS LÄN</t>
        </is>
      </c>
      <c r="G5450" t="inlineStr">
        <is>
          <t>TORSBY</t>
        </is>
      </c>
      <c r="I5450" t="n">
        <v>1.6</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3852-2024</t>
        </is>
      </c>
      <c r="B5451" t="inlineStr">
        <is>
          <t>avverkningsanmälan</t>
        </is>
      </c>
      <c r="C5451" t="inlineStr">
        <is>
          <t>Föryngringsavverkning</t>
        </is>
      </c>
      <c r="D5451" s="1" t="n">
        <v>45322</v>
      </c>
      <c r="E5451" s="1" t="n">
        <v>46307</v>
      </c>
      <c r="F5451" t="inlineStr">
        <is>
          <t>VÄRMLANDS LÄN</t>
        </is>
      </c>
      <c r="G5451" t="inlineStr">
        <is>
          <t>SUNNE</t>
        </is>
      </c>
      <c r="I5451" t="n">
        <v>0.7</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46957-2024</t>
        </is>
      </c>
      <c r="B5452" t="inlineStr">
        <is>
          <t>avverkningsanmälan</t>
        </is>
      </c>
      <c r="C5452" t="inlineStr">
        <is>
          <t>Föryngringsavverkning</t>
        </is>
      </c>
      <c r="D5452" s="1" t="n">
        <v>45586</v>
      </c>
      <c r="E5452" s="1" t="n">
        <v>46307</v>
      </c>
      <c r="F5452" t="inlineStr">
        <is>
          <t>VÄRMLANDS LÄN</t>
        </is>
      </c>
      <c r="G5452" t="inlineStr">
        <is>
          <t>ÅRJÄNG</t>
        </is>
      </c>
      <c r="I5452" t="n">
        <v>3.1</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3974-2023</t>
        </is>
      </c>
      <c r="B5453" t="inlineStr">
        <is>
          <t>avverkningsanmälan</t>
        </is>
      </c>
      <c r="C5453" t="inlineStr">
        <is>
          <t>Föryngringsavverkning</t>
        </is>
      </c>
      <c r="D5453" s="1" t="n">
        <v>44952</v>
      </c>
      <c r="E5453" s="1" t="n">
        <v>46307</v>
      </c>
      <c r="F5453" t="inlineStr">
        <is>
          <t>VÄRMLANDS LÄN</t>
        </is>
      </c>
      <c r="G5453" t="inlineStr">
        <is>
          <t>ARVIKA</t>
        </is>
      </c>
      <c r="I5453" t="n">
        <v>8</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17982-2024</t>
        </is>
      </c>
      <c r="B5454" t="inlineStr">
        <is>
          <t>avverkningsanmälan</t>
        </is>
      </c>
      <c r="C5454" t="inlineStr">
        <is>
          <t>Föryngringsavverkning</t>
        </is>
      </c>
      <c r="D5454" s="1" t="n">
        <v>45419</v>
      </c>
      <c r="E5454" s="1" t="n">
        <v>46307</v>
      </c>
      <c r="F5454" t="inlineStr">
        <is>
          <t>VÄRMLANDS LÄN</t>
        </is>
      </c>
      <c r="G5454" t="inlineStr">
        <is>
          <t>ARVIKA</t>
        </is>
      </c>
      <c r="I5454" t="n">
        <v>4.9</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30221-2025</t>
        </is>
      </c>
      <c r="B5455" t="inlineStr">
        <is>
          <t>avverkningsanmälan</t>
        </is>
      </c>
      <c r="C5455" t="inlineStr">
        <is>
          <t>Föryngringsavverkning</t>
        </is>
      </c>
      <c r="D5455" s="1" t="n">
        <v>45827</v>
      </c>
      <c r="E5455" s="1" t="n">
        <v>46307</v>
      </c>
      <c r="F5455" t="inlineStr">
        <is>
          <t>VÄRMLANDS LÄN</t>
        </is>
      </c>
      <c r="G5455" t="inlineStr">
        <is>
          <t>KRISTINEHAMN</t>
        </is>
      </c>
      <c r="I5455" t="n">
        <v>0.5</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30380-2025</t>
        </is>
      </c>
      <c r="B5456" t="inlineStr">
        <is>
          <t>avverkningsanmälan</t>
        </is>
      </c>
      <c r="C5456" t="inlineStr">
        <is>
          <t>Föryngringsavverkning</t>
        </is>
      </c>
      <c r="D5456" s="1" t="n">
        <v>45827</v>
      </c>
      <c r="E5456" s="1" t="n">
        <v>46307</v>
      </c>
      <c r="F5456" t="inlineStr">
        <is>
          <t>VÄRMLANDS LÄN</t>
        </is>
      </c>
      <c r="G5456" t="inlineStr">
        <is>
          <t>TORSBY</t>
        </is>
      </c>
      <c r="I5456" t="n">
        <v>5.8</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9203-2024</t>
        </is>
      </c>
      <c r="B5457" t="inlineStr">
        <is>
          <t>avverkningsanmälan</t>
        </is>
      </c>
      <c r="C5457" t="inlineStr">
        <is>
          <t>Föryngringsavverkning</t>
        </is>
      </c>
      <c r="D5457" s="1" t="n">
        <v>45358</v>
      </c>
      <c r="E5457" s="1" t="n">
        <v>46307</v>
      </c>
      <c r="F5457" t="inlineStr">
        <is>
          <t>VÄRMLANDS LÄN</t>
        </is>
      </c>
      <c r="G5457" t="inlineStr">
        <is>
          <t>TORSBY</t>
        </is>
      </c>
      <c r="I5457" t="n">
        <v>5.7</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30169-2025</t>
        </is>
      </c>
      <c r="B5458" t="inlineStr">
        <is>
          <t>avverkningsanmälan</t>
        </is>
      </c>
      <c r="C5458" t="inlineStr">
        <is>
          <t>Föryngringsavverkning</t>
        </is>
      </c>
      <c r="D5458" s="1" t="n">
        <v>45827</v>
      </c>
      <c r="E5458" s="1" t="n">
        <v>46307</v>
      </c>
      <c r="F5458" t="inlineStr">
        <is>
          <t>VÄRMLANDS LÄN</t>
        </is>
      </c>
      <c r="G5458" t="inlineStr">
        <is>
          <t>FILIPSTAD</t>
        </is>
      </c>
      <c r="H5458" t="inlineStr">
        <is>
          <t>Kyrkan</t>
        </is>
      </c>
      <c r="I5458" t="n">
        <v>6.5</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30151-2025</t>
        </is>
      </c>
      <c r="B5459" t="inlineStr">
        <is>
          <t>avverkningsanmälan</t>
        </is>
      </c>
      <c r="C5459" t="inlineStr">
        <is>
          <t>Föryngringsavverkning</t>
        </is>
      </c>
      <c r="D5459" s="1" t="n">
        <v>45827</v>
      </c>
      <c r="E5459" s="1" t="n">
        <v>46307</v>
      </c>
      <c r="F5459" t="inlineStr">
        <is>
          <t>VÄRMLANDS LÄN</t>
        </is>
      </c>
      <c r="G5459" t="inlineStr">
        <is>
          <t>TORSBY</t>
        </is>
      </c>
      <c r="I5459" t="n">
        <v>4.1</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19932-2024</t>
        </is>
      </c>
      <c r="B5460" t="inlineStr">
        <is>
          <t>avverkningsanmälan</t>
        </is>
      </c>
      <c r="C5460" t="inlineStr">
        <is>
          <t>Föryngringsavverkning</t>
        </is>
      </c>
      <c r="D5460" s="1" t="n">
        <v>45433</v>
      </c>
      <c r="E5460" s="1" t="n">
        <v>46307</v>
      </c>
      <c r="F5460" t="inlineStr">
        <is>
          <t>VÄRMLANDS LÄN</t>
        </is>
      </c>
      <c r="G5460" t="inlineStr">
        <is>
          <t>ARVIKA</t>
        </is>
      </c>
      <c r="I5460" t="n">
        <v>1.2</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23996-2024</t>
        </is>
      </c>
      <c r="B5461" t="inlineStr">
        <is>
          <t>avverkningsanmälan</t>
        </is>
      </c>
      <c r="C5461" t="inlineStr">
        <is>
          <t>Avverkning för annat ändamål</t>
        </is>
      </c>
      <c r="D5461" s="1" t="n">
        <v>45456</v>
      </c>
      <c r="E5461" s="1" t="n">
        <v>46307</v>
      </c>
      <c r="F5461" t="inlineStr">
        <is>
          <t>VÄRMLANDS LÄN</t>
        </is>
      </c>
      <c r="G5461" t="inlineStr">
        <is>
          <t>TORSBY</t>
        </is>
      </c>
      <c r="H5461" t="inlineStr">
        <is>
          <t>Bergvik skog väst AB</t>
        </is>
      </c>
      <c r="I5461" t="n">
        <v>0.8</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30260-2025</t>
        </is>
      </c>
      <c r="B5462" t="inlineStr">
        <is>
          <t>avverkningsanmälan</t>
        </is>
      </c>
      <c r="C5462" t="inlineStr">
        <is>
          <t>Föryngringsavverkning</t>
        </is>
      </c>
      <c r="D5462" s="1" t="n">
        <v>45827</v>
      </c>
      <c r="E5462" s="1" t="n">
        <v>46307</v>
      </c>
      <c r="F5462" t="inlineStr">
        <is>
          <t>VÄRMLANDS LÄN</t>
        </is>
      </c>
      <c r="G5462" t="inlineStr">
        <is>
          <t>KIL</t>
        </is>
      </c>
      <c r="I5462" t="n">
        <v>0.9</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30153-2025</t>
        </is>
      </c>
      <c r="B5463" t="inlineStr">
        <is>
          <t>avverkningsanmälan</t>
        </is>
      </c>
      <c r="C5463" t="inlineStr">
        <is>
          <t>Föryngringsavverkning</t>
        </is>
      </c>
      <c r="D5463" s="1" t="n">
        <v>45827</v>
      </c>
      <c r="E5463" s="1" t="n">
        <v>46307</v>
      </c>
      <c r="F5463" t="inlineStr">
        <is>
          <t>VÄRMLANDS LÄN</t>
        </is>
      </c>
      <c r="G5463" t="inlineStr">
        <is>
          <t>TORSBY</t>
        </is>
      </c>
      <c r="I5463" t="n">
        <v>1.5</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30207-2025</t>
        </is>
      </c>
      <c r="B5464" t="inlineStr">
        <is>
          <t>avverkningsanmälan</t>
        </is>
      </c>
      <c r="C5464" t="inlineStr">
        <is>
          <t>Föryngringsavverkning</t>
        </is>
      </c>
      <c r="D5464" s="1" t="n">
        <v>45827</v>
      </c>
      <c r="E5464" s="1" t="n">
        <v>46307</v>
      </c>
      <c r="F5464" t="inlineStr">
        <is>
          <t>VÄRMLANDS LÄN</t>
        </is>
      </c>
      <c r="G5464" t="inlineStr">
        <is>
          <t>MUNKFORS</t>
        </is>
      </c>
      <c r="H5464" t="inlineStr">
        <is>
          <t>Bergvik skog väst AB</t>
        </is>
      </c>
      <c r="I5464" t="n">
        <v>2.4</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18796-2023</t>
        </is>
      </c>
      <c r="B5465" t="inlineStr">
        <is>
          <t>avverkningsanmälan</t>
        </is>
      </c>
      <c r="C5465" t="inlineStr">
        <is>
          <t>Föryngringsavverkning</t>
        </is>
      </c>
      <c r="D5465" s="1" t="n">
        <v>45044</v>
      </c>
      <c r="E5465" s="1" t="n">
        <v>46307</v>
      </c>
      <c r="F5465" t="inlineStr">
        <is>
          <t>VÄRMLANDS LÄN</t>
        </is>
      </c>
      <c r="G5465" t="inlineStr">
        <is>
          <t>ÅRJÄNG</t>
        </is>
      </c>
      <c r="I5465" t="n">
        <v>1</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3996-2025</t>
        </is>
      </c>
      <c r="B5466" t="inlineStr">
        <is>
          <t>avverkningsanmälan</t>
        </is>
      </c>
      <c r="C5466" t="inlineStr">
        <is>
          <t>Föryngringsavverkning</t>
        </is>
      </c>
      <c r="D5466" s="1" t="n">
        <v>45684</v>
      </c>
      <c r="E5466" s="1" t="n">
        <v>46307</v>
      </c>
      <c r="F5466" t="inlineStr">
        <is>
          <t>VÄRMLANDS LÄN</t>
        </is>
      </c>
      <c r="G5466" t="inlineStr">
        <is>
          <t>HAGFORS</t>
        </is>
      </c>
      <c r="I5466" t="n">
        <v>1.2</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30333-2025</t>
        </is>
      </c>
      <c r="B5467" t="inlineStr">
        <is>
          <t>avverkningsanmälan</t>
        </is>
      </c>
      <c r="C5467" t="inlineStr">
        <is>
          <t>Avverkning för annat ändamål</t>
        </is>
      </c>
      <c r="D5467" s="1" t="n">
        <v>45827</v>
      </c>
      <c r="E5467" s="1" t="n">
        <v>46307</v>
      </c>
      <c r="F5467" t="inlineStr">
        <is>
          <t>VÄRMLANDS LÄN</t>
        </is>
      </c>
      <c r="G5467" t="inlineStr">
        <is>
          <t>TORSBY</t>
        </is>
      </c>
      <c r="I5467" t="n">
        <v>1.9</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22426-2024</t>
        </is>
      </c>
      <c r="B5468" t="inlineStr">
        <is>
          <t>avverkningsanmälan</t>
        </is>
      </c>
      <c r="C5468" t="inlineStr">
        <is>
          <t>Föryngringsavverkning</t>
        </is>
      </c>
      <c r="D5468" s="1" t="n">
        <v>45446</v>
      </c>
      <c r="E5468" s="1" t="n">
        <v>46307</v>
      </c>
      <c r="F5468" t="inlineStr">
        <is>
          <t>VÄRMLANDS LÄN</t>
        </is>
      </c>
      <c r="G5468" t="inlineStr">
        <is>
          <t>TORSBY</t>
        </is>
      </c>
      <c r="I5468" t="n">
        <v>3</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24054-2024</t>
        </is>
      </c>
      <c r="B5469" t="inlineStr">
        <is>
          <t>avverkningsanmälan</t>
        </is>
      </c>
      <c r="C5469" t="inlineStr">
        <is>
          <t>Föryngringsavverkning</t>
        </is>
      </c>
      <c r="D5469" s="1" t="n">
        <v>45456</v>
      </c>
      <c r="E5469" s="1" t="n">
        <v>46307</v>
      </c>
      <c r="F5469" t="inlineStr">
        <is>
          <t>VÄRMLANDS LÄN</t>
        </is>
      </c>
      <c r="G5469" t="inlineStr">
        <is>
          <t>FILIPSTAD</t>
        </is>
      </c>
      <c r="H5469" t="inlineStr">
        <is>
          <t>Bergvik skog väst AB</t>
        </is>
      </c>
      <c r="I5469" t="n">
        <v>4.1</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6403-2023</t>
        </is>
      </c>
      <c r="B5470" t="inlineStr">
        <is>
          <t>avverkningsanmälan</t>
        </is>
      </c>
      <c r="C5470" t="inlineStr">
        <is>
          <t>Föryngringsavverkning</t>
        </is>
      </c>
      <c r="D5470" s="1" t="n">
        <v>44965</v>
      </c>
      <c r="E5470" s="1" t="n">
        <v>46307</v>
      </c>
      <c r="F5470" t="inlineStr">
        <is>
          <t>VÄRMLANDS LÄN</t>
        </is>
      </c>
      <c r="G5470" t="inlineStr">
        <is>
          <t>SUNNE</t>
        </is>
      </c>
      <c r="I5470" t="n">
        <v>5.5</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30388-2025</t>
        </is>
      </c>
      <c r="B5471" t="inlineStr">
        <is>
          <t>avverkningsanmälan</t>
        </is>
      </c>
      <c r="C5471" t="inlineStr">
        <is>
          <t>Föryngringsavverkning</t>
        </is>
      </c>
      <c r="D5471" s="1" t="n">
        <v>45827</v>
      </c>
      <c r="E5471" s="1" t="n">
        <v>46307</v>
      </c>
      <c r="F5471" t="inlineStr">
        <is>
          <t>VÄRMLANDS LÄN</t>
        </is>
      </c>
      <c r="G5471" t="inlineStr">
        <is>
          <t>TORSBY</t>
        </is>
      </c>
      <c r="I5471" t="n">
        <v>1.3</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24148-2024</t>
        </is>
      </c>
      <c r="B5472" t="inlineStr">
        <is>
          <t>avverkningsanmälan</t>
        </is>
      </c>
      <c r="C5472" t="inlineStr">
        <is>
          <t>Föryngringsavverkning</t>
        </is>
      </c>
      <c r="D5472" s="1" t="n">
        <v>45456</v>
      </c>
      <c r="E5472" s="1" t="n">
        <v>46307</v>
      </c>
      <c r="F5472" t="inlineStr">
        <is>
          <t>VÄRMLANDS LÄN</t>
        </is>
      </c>
      <c r="G5472" t="inlineStr">
        <is>
          <t>TORSBY</t>
        </is>
      </c>
      <c r="I5472" t="n">
        <v>2.7</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27233-2024</t>
        </is>
      </c>
      <c r="B5473" t="inlineStr">
        <is>
          <t>avverkningsanmälan</t>
        </is>
      </c>
      <c r="C5473" t="inlineStr">
        <is>
          <t>Föryngringsavverkning</t>
        </is>
      </c>
      <c r="D5473" s="1" t="n">
        <v>45471</v>
      </c>
      <c r="E5473" s="1" t="n">
        <v>46307</v>
      </c>
      <c r="F5473" t="inlineStr">
        <is>
          <t>VÄRMLANDS LÄN</t>
        </is>
      </c>
      <c r="G5473" t="inlineStr">
        <is>
          <t>SÄFFLE</t>
        </is>
      </c>
      <c r="I5473" t="n">
        <v>4.2</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51819-2025</t>
        </is>
      </c>
      <c r="B5474" t="inlineStr">
        <is>
          <t>avverkningsanmälan</t>
        </is>
      </c>
      <c r="C5474" t="inlineStr">
        <is>
          <t>Föryngringsavverkning</t>
        </is>
      </c>
      <c r="D5474" s="1" t="n">
        <v>45951</v>
      </c>
      <c r="E5474" s="1" t="n">
        <v>46307</v>
      </c>
      <c r="F5474" t="inlineStr">
        <is>
          <t>VÄRMLANDS LÄN</t>
        </is>
      </c>
      <c r="G5474" t="inlineStr">
        <is>
          <t>TORSBY</t>
        </is>
      </c>
      <c r="I5474" t="n">
        <v>1.3</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56799-2022</t>
        </is>
      </c>
      <c r="B5475" t="inlineStr">
        <is>
          <t>avverkningsanmälan</t>
        </is>
      </c>
      <c r="C5475" t="inlineStr">
        <is>
          <t>Föryngringsavverkning</t>
        </is>
      </c>
      <c r="D5475" s="1" t="n">
        <v>44894</v>
      </c>
      <c r="E5475" s="1" t="n">
        <v>46307</v>
      </c>
      <c r="F5475" t="inlineStr">
        <is>
          <t>VÄRMLANDS LÄN</t>
        </is>
      </c>
      <c r="G5475" t="inlineStr">
        <is>
          <t>HAMMARÖ</t>
        </is>
      </c>
      <c r="I5475" t="n">
        <v>0.4</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13586-2023</t>
        </is>
      </c>
      <c r="B5476" t="inlineStr">
        <is>
          <t>avverkningsanmälan</t>
        </is>
      </c>
      <c r="C5476" t="inlineStr">
        <is>
          <t>Föryngringsavverkning</t>
        </is>
      </c>
      <c r="D5476" s="1" t="n">
        <v>45006</v>
      </c>
      <c r="E5476" s="1" t="n">
        <v>46307</v>
      </c>
      <c r="F5476" t="inlineStr">
        <is>
          <t>VÄRMLANDS LÄN</t>
        </is>
      </c>
      <c r="G5476" t="inlineStr">
        <is>
          <t>TORSBY</t>
        </is>
      </c>
      <c r="H5476" t="inlineStr">
        <is>
          <t>Kommuner</t>
        </is>
      </c>
      <c r="I5476" t="n">
        <v>0.7</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16015-2023</t>
        </is>
      </c>
      <c r="B5477" t="inlineStr">
        <is>
          <t>avverkningsanmälan</t>
        </is>
      </c>
      <c r="C5477" t="inlineStr">
        <is>
          <t>Föryngringsavverkning</t>
        </is>
      </c>
      <c r="D5477" s="1" t="n">
        <v>45026</v>
      </c>
      <c r="E5477" s="1" t="n">
        <v>46307</v>
      </c>
      <c r="F5477" t="inlineStr">
        <is>
          <t>VÄRMLANDS LÄN</t>
        </is>
      </c>
      <c r="G5477" t="inlineStr">
        <is>
          <t>SUNNE</t>
        </is>
      </c>
      <c r="I5477" t="n">
        <v>4.9</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13657-2023</t>
        </is>
      </c>
      <c r="B5478" t="inlineStr">
        <is>
          <t>avverkningsanmälan</t>
        </is>
      </c>
      <c r="C5478" t="inlineStr">
        <is>
          <t>Föryngringsavverkning</t>
        </is>
      </c>
      <c r="D5478" s="1" t="n">
        <v>45006</v>
      </c>
      <c r="E5478" s="1" t="n">
        <v>46307</v>
      </c>
      <c r="F5478" t="inlineStr">
        <is>
          <t>VÄRMLANDS LÄN</t>
        </is>
      </c>
      <c r="G5478" t="inlineStr">
        <is>
          <t>HAGFORS</t>
        </is>
      </c>
      <c r="I5478" t="n">
        <v>4.5</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55147-2022</t>
        </is>
      </c>
      <c r="B5479" t="inlineStr">
        <is>
          <t>avverkningsanmälan</t>
        </is>
      </c>
      <c r="C5479" t="inlineStr">
        <is>
          <t>Föryngringsavverkning</t>
        </is>
      </c>
      <c r="D5479" s="1" t="n">
        <v>44886</v>
      </c>
      <c r="E5479" s="1" t="n">
        <v>46307</v>
      </c>
      <c r="F5479" t="inlineStr">
        <is>
          <t>VÄRMLANDS LÄN</t>
        </is>
      </c>
      <c r="G5479" t="inlineStr">
        <is>
          <t>SUNNE</t>
        </is>
      </c>
      <c r="I5479" t="n">
        <v>1.2</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301-2025</t>
        </is>
      </c>
      <c r="B5480" t="inlineStr">
        <is>
          <t>avverkningsanmälan</t>
        </is>
      </c>
      <c r="C5480" t="inlineStr">
        <is>
          <t>Föryngringsavverkning</t>
        </is>
      </c>
      <c r="D5480" s="1" t="n">
        <v>45660</v>
      </c>
      <c r="E5480" s="1" t="n">
        <v>46307</v>
      </c>
      <c r="F5480" t="inlineStr">
        <is>
          <t>VÄRMLANDS LÄN</t>
        </is>
      </c>
      <c r="G5480" t="inlineStr">
        <is>
          <t>ÅRJÄNG</t>
        </is>
      </c>
      <c r="I5480" t="n">
        <v>2.5</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30508-2025</t>
        </is>
      </c>
      <c r="B5481" t="inlineStr">
        <is>
          <t>avverkningsanmälan</t>
        </is>
      </c>
      <c r="C5481" t="inlineStr">
        <is>
          <t>Föryngringsavverkning</t>
        </is>
      </c>
      <c r="D5481" s="1" t="n">
        <v>45831</v>
      </c>
      <c r="E5481" s="1" t="n">
        <v>46307</v>
      </c>
      <c r="F5481" t="inlineStr">
        <is>
          <t>VÄRMLANDS LÄN</t>
        </is>
      </c>
      <c r="G5481" t="inlineStr">
        <is>
          <t>SÄFFLE</t>
        </is>
      </c>
      <c r="I5481" t="n">
        <v>3.5</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31172-2025</t>
        </is>
      </c>
      <c r="B5482" t="inlineStr">
        <is>
          <t>avverkningsanmälan</t>
        </is>
      </c>
      <c r="C5482" t="inlineStr">
        <is>
          <t>Avverkning för att bevara och utveckla /försöksver</t>
        </is>
      </c>
      <c r="D5482" s="1" t="n">
        <v>45832</v>
      </c>
      <c r="E5482" s="1" t="n">
        <v>46307</v>
      </c>
      <c r="F5482" t="inlineStr">
        <is>
          <t>VÄRMLANDS LÄN</t>
        </is>
      </c>
      <c r="G5482" t="inlineStr">
        <is>
          <t>FILIPSTAD</t>
        </is>
      </c>
      <c r="H5482" t="inlineStr">
        <is>
          <t>Bergvik skog väst AB</t>
        </is>
      </c>
      <c r="I5482" t="n">
        <v>3.4</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30738-2025</t>
        </is>
      </c>
      <c r="B5483" t="inlineStr">
        <is>
          <t>avverkningsanmälan</t>
        </is>
      </c>
      <c r="C5483" t="inlineStr">
        <is>
          <t>Föryngringsavverkning</t>
        </is>
      </c>
      <c r="D5483" s="1" t="n">
        <v>45831</v>
      </c>
      <c r="E5483" s="1" t="n">
        <v>46307</v>
      </c>
      <c r="F5483" t="inlineStr">
        <is>
          <t>VÄRMLANDS LÄN</t>
        </is>
      </c>
      <c r="G5483" t="inlineStr">
        <is>
          <t>TORSBY</t>
        </is>
      </c>
      <c r="I5483" t="n">
        <v>8.1</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8399-2025</t>
        </is>
      </c>
      <c r="B5484" t="inlineStr">
        <is>
          <t>avverkningsanmälan</t>
        </is>
      </c>
      <c r="C5484" t="inlineStr">
        <is>
          <t>Avverkning för att bevara och utveckla /försöksver</t>
        </is>
      </c>
      <c r="D5484" s="1" t="n">
        <v>45709</v>
      </c>
      <c r="E5484" s="1" t="n">
        <v>46307</v>
      </c>
      <c r="F5484" t="inlineStr">
        <is>
          <t>VÄRMLANDS LÄN</t>
        </is>
      </c>
      <c r="G5484" t="inlineStr">
        <is>
          <t>FORSHAGA</t>
        </is>
      </c>
      <c r="H5484" t="inlineStr">
        <is>
          <t>Bergvik skog väst AB</t>
        </is>
      </c>
      <c r="I5484" t="n">
        <v>1.3</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30563-2025</t>
        </is>
      </c>
      <c r="B5485" t="inlineStr">
        <is>
          <t>avverkningsanmälan</t>
        </is>
      </c>
      <c r="C5485" t="inlineStr">
        <is>
          <t>Föryngringsavverkning</t>
        </is>
      </c>
      <c r="D5485" s="1" t="n">
        <v>45831</v>
      </c>
      <c r="E5485" s="1" t="n">
        <v>46307</v>
      </c>
      <c r="F5485" t="inlineStr">
        <is>
          <t>VÄRMLANDS LÄN</t>
        </is>
      </c>
      <c r="G5485" t="inlineStr">
        <is>
          <t>GRUMS</t>
        </is>
      </c>
      <c r="I5485" t="n">
        <v>1.6</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30581-2025</t>
        </is>
      </c>
      <c r="B5486" t="inlineStr">
        <is>
          <t>avverkningsanmälan</t>
        </is>
      </c>
      <c r="C5486" t="inlineStr">
        <is>
          <t>Föryngringsavverkning</t>
        </is>
      </c>
      <c r="D5486" s="1" t="n">
        <v>45831</v>
      </c>
      <c r="E5486" s="1" t="n">
        <v>46307</v>
      </c>
      <c r="F5486" t="inlineStr">
        <is>
          <t>VÄRMLANDS LÄN</t>
        </is>
      </c>
      <c r="G5486" t="inlineStr">
        <is>
          <t>ARVIKA</t>
        </is>
      </c>
      <c r="H5486" t="inlineStr">
        <is>
          <t>Bergvik skog väst AB</t>
        </is>
      </c>
      <c r="I5486" t="n">
        <v>22.5</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6262-2025</t>
        </is>
      </c>
      <c r="B5487" t="inlineStr">
        <is>
          <t>avverkningsanmälan</t>
        </is>
      </c>
      <c r="C5487" t="inlineStr">
        <is>
          <t>Föryngringsavverkning</t>
        </is>
      </c>
      <c r="D5487" s="1" t="n">
        <v>45698</v>
      </c>
      <c r="E5487" s="1" t="n">
        <v>46307</v>
      </c>
      <c r="F5487" t="inlineStr">
        <is>
          <t>VÄRMLANDS LÄN</t>
        </is>
      </c>
      <c r="G5487" t="inlineStr">
        <is>
          <t>KARLSTAD</t>
        </is>
      </c>
      <c r="I5487" t="n">
        <v>6.1</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16466-2022</t>
        </is>
      </c>
      <c r="B5488" t="inlineStr">
        <is>
          <t>avverkningsanmälan</t>
        </is>
      </c>
      <c r="C5488" t="inlineStr">
        <is>
          <t>Föryngringsavverkning</t>
        </is>
      </c>
      <c r="D5488" s="1" t="n">
        <v>44671</v>
      </c>
      <c r="E5488" s="1" t="n">
        <v>46307</v>
      </c>
      <c r="F5488" t="inlineStr">
        <is>
          <t>VÄRMLANDS LÄN</t>
        </is>
      </c>
      <c r="G5488" t="inlineStr">
        <is>
          <t>ARVIKA</t>
        </is>
      </c>
      <c r="I5488" t="n">
        <v>2.8</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30761-2025</t>
        </is>
      </c>
      <c r="B5489" t="inlineStr">
        <is>
          <t>avverkningsanmälan</t>
        </is>
      </c>
      <c r="C5489" t="inlineStr">
        <is>
          <t>Föryngringsavverkning</t>
        </is>
      </c>
      <c r="D5489" s="1" t="n">
        <v>45831</v>
      </c>
      <c r="E5489" s="1" t="n">
        <v>46307</v>
      </c>
      <c r="F5489" t="inlineStr">
        <is>
          <t>VÄRMLANDS LÄN</t>
        </is>
      </c>
      <c r="G5489" t="inlineStr">
        <is>
          <t>ÅRJÄNG</t>
        </is>
      </c>
      <c r="I5489" t="n">
        <v>1.5</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30778-2025</t>
        </is>
      </c>
      <c r="B5490" t="inlineStr">
        <is>
          <t>avverkningsanmälan</t>
        </is>
      </c>
      <c r="C5490" t="inlineStr">
        <is>
          <t>Föryngringsavverkning</t>
        </is>
      </c>
      <c r="D5490" s="1" t="n">
        <v>45831</v>
      </c>
      <c r="E5490" s="1" t="n">
        <v>46307</v>
      </c>
      <c r="F5490" t="inlineStr">
        <is>
          <t>VÄRMLANDS LÄN</t>
        </is>
      </c>
      <c r="G5490" t="inlineStr">
        <is>
          <t>HAGFORS</t>
        </is>
      </c>
      <c r="H5490" t="inlineStr">
        <is>
          <t>Bergvik skog väst AB</t>
        </is>
      </c>
      <c r="I5490" t="n">
        <v>2.6</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40935-2022</t>
        </is>
      </c>
      <c r="B5491" t="inlineStr">
        <is>
          <t>avverkningsanmälan</t>
        </is>
      </c>
      <c r="C5491" t="inlineStr">
        <is>
          <t>Avverkning för annat ändamål</t>
        </is>
      </c>
      <c r="D5491" s="1" t="n">
        <v>44823</v>
      </c>
      <c r="E5491" s="1" t="n">
        <v>46307</v>
      </c>
      <c r="F5491" t="inlineStr">
        <is>
          <t>VÄRMLANDS LÄN</t>
        </is>
      </c>
      <c r="G5491" t="inlineStr">
        <is>
          <t>GRUMS</t>
        </is>
      </c>
      <c r="H5491" t="inlineStr">
        <is>
          <t>Bergvik skog väst AB</t>
        </is>
      </c>
      <c r="I5491" t="n">
        <v>5</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42597-2023</t>
        </is>
      </c>
      <c r="B5492" t="inlineStr">
        <is>
          <t>avverkningsanmälan</t>
        </is>
      </c>
      <c r="C5492" t="inlineStr">
        <is>
          <t>Föryngringsavverkning</t>
        </is>
      </c>
      <c r="D5492" s="1" t="n">
        <v>45181</v>
      </c>
      <c r="E5492" s="1" t="n">
        <v>46307</v>
      </c>
      <c r="F5492" t="inlineStr">
        <is>
          <t>VÄRMLANDS LÄN</t>
        </is>
      </c>
      <c r="G5492" t="inlineStr">
        <is>
          <t>KRISTINEHAMN</t>
        </is>
      </c>
      <c r="H5492" t="inlineStr">
        <is>
          <t>Sveaskog</t>
        </is>
      </c>
      <c r="I5492" t="n">
        <v>2.1</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12020-2023</t>
        </is>
      </c>
      <c r="B5493" t="inlineStr">
        <is>
          <t>avverkningsanmälan</t>
        </is>
      </c>
      <c r="C5493" t="inlineStr">
        <is>
          <t>Föryngringsavverkning</t>
        </is>
      </c>
      <c r="D5493" s="1" t="n">
        <v>44995</v>
      </c>
      <c r="E5493" s="1" t="n">
        <v>46307</v>
      </c>
      <c r="F5493" t="inlineStr">
        <is>
          <t>VÄRMLANDS LÄN</t>
        </is>
      </c>
      <c r="G5493" t="inlineStr">
        <is>
          <t>ARVIKA</t>
        </is>
      </c>
      <c r="I5493" t="n">
        <v>2.1</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42613-2023</t>
        </is>
      </c>
      <c r="B5494" t="inlineStr">
        <is>
          <t>avverkningsanmälan</t>
        </is>
      </c>
      <c r="C5494" t="inlineStr">
        <is>
          <t>Föryngringsavverkning</t>
        </is>
      </c>
      <c r="D5494" s="1" t="n">
        <v>45181</v>
      </c>
      <c r="E5494" s="1" t="n">
        <v>46307</v>
      </c>
      <c r="F5494" t="inlineStr">
        <is>
          <t>VÄRMLANDS LÄN</t>
        </is>
      </c>
      <c r="G5494" t="inlineStr">
        <is>
          <t>TORSBY</t>
        </is>
      </c>
      <c r="I5494" t="n">
        <v>4.1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55764-2022</t>
        </is>
      </c>
      <c r="B5495" t="inlineStr">
        <is>
          <t>avverkningsanmälan</t>
        </is>
      </c>
      <c r="C5495" t="inlineStr">
        <is>
          <t>Föryngringsavverkning</t>
        </is>
      </c>
      <c r="D5495" s="1" t="n">
        <v>44888</v>
      </c>
      <c r="E5495" s="1" t="n">
        <v>46307</v>
      </c>
      <c r="F5495" t="inlineStr">
        <is>
          <t>VÄRMLANDS LÄN</t>
        </is>
      </c>
      <c r="G5495" t="inlineStr">
        <is>
          <t>KARLSTAD</t>
        </is>
      </c>
      <c r="I5495" t="n">
        <v>3.1</v>
      </c>
      <c r="J5495" t="n">
        <v>0</v>
      </c>
      <c r="K5495" t="n">
        <v>0</v>
      </c>
      <c r="L5495" t="n">
        <v>0</v>
      </c>
      <c r="M5495" t="n">
        <v>0</v>
      </c>
      <c r="N5495" t="n">
        <v>0</v>
      </c>
      <c r="O5495" t="n">
        <v>0</v>
      </c>
      <c r="P5495" t="n">
        <v>0</v>
      </c>
      <c r="Q5495" t="n">
        <v>0</v>
      </c>
      <c r="R5495" t="n">
        <v>0</v>
      </c>
      <c r="S5495" t="n">
        <v>0</v>
      </c>
      <c r="T5495" t="n">
        <v>0</v>
      </c>
      <c r="U5495" t="n">
        <v>0</v>
      </c>
      <c r="V5495" s="2" t="inlineStr"/>
      <c r="Z5495">
        <f>HYPERLINK("https://klasma.github.io/Logging_1780/knärot/A 55764-2022 karta knärot.png", "A 55764-2022")</f>
        <v/>
      </c>
      <c r="AA5495">
        <f>HYPERLINK("https://klasma.github.io/Logging_1780/klagomål/A 55764-2022 FSC-klagomål.docx", "A 55764-2022")</f>
        <v/>
      </c>
      <c r="AB5495">
        <f>HYPERLINK("https://klasma.github.io/Logging_1780/klagomålsmail/A 55764-2022 FSC-klagomål mail.docx", "A 55764-2022")</f>
        <v/>
      </c>
      <c r="AC5495">
        <f>HYPERLINK("https://klasma.github.io/Logging_1780/tillsyn/A 55764-2022 tillsynsbegäran.docx", "A 55764-2022")</f>
        <v/>
      </c>
      <c r="AD5495">
        <f>HYPERLINK("https://klasma.github.io/Logging_1780/tillsynsmail/A 55764-2022 tillsynsbegäran mail.docx", "A 55764-2022")</f>
        <v/>
      </c>
    </row>
    <row r="5496" ht="15" customHeight="1">
      <c r="A5496" t="inlineStr">
        <is>
          <t>A 61009-2023</t>
        </is>
      </c>
      <c r="B5496" t="inlineStr">
        <is>
          <t>avverkningsanmälan</t>
        </is>
      </c>
      <c r="C5496" t="inlineStr">
        <is>
          <t>Föryngringsavverkning</t>
        </is>
      </c>
      <c r="D5496" s="1" t="n">
        <v>45261</v>
      </c>
      <c r="E5496" s="1" t="n">
        <v>46307</v>
      </c>
      <c r="F5496" t="inlineStr">
        <is>
          <t>VÄRMLANDS LÄN</t>
        </is>
      </c>
      <c r="G5496" t="inlineStr">
        <is>
          <t>KARLSTAD</t>
        </is>
      </c>
      <c r="I5496" t="n">
        <v>0.5</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51694-2025</t>
        </is>
      </c>
      <c r="B5497" t="inlineStr">
        <is>
          <t>avverkningsanmälan</t>
        </is>
      </c>
      <c r="C5497" t="inlineStr">
        <is>
          <t>Föryngringsavverkning</t>
        </is>
      </c>
      <c r="D5497" s="1" t="n">
        <v>45951</v>
      </c>
      <c r="E5497" s="1" t="n">
        <v>46307</v>
      </c>
      <c r="F5497" t="inlineStr">
        <is>
          <t>VÄRMLANDS LÄN</t>
        </is>
      </c>
      <c r="G5497" t="inlineStr">
        <is>
          <t>TORSBY</t>
        </is>
      </c>
      <c r="H5497" t="inlineStr">
        <is>
          <t>Bergvik skog väst AB</t>
        </is>
      </c>
      <c r="I5497" t="n">
        <v>7.5</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30686-2022</t>
        </is>
      </c>
      <c r="B5498" t="inlineStr">
        <is>
          <t>avverkningsanmälan</t>
        </is>
      </c>
      <c r="C5498" t="inlineStr">
        <is>
          <t>Föryngringsavverkning</t>
        </is>
      </c>
      <c r="D5498" s="1" t="n">
        <v>44763</v>
      </c>
      <c r="E5498" s="1" t="n">
        <v>46307</v>
      </c>
      <c r="F5498" t="inlineStr">
        <is>
          <t>VÄRMLANDS LÄN</t>
        </is>
      </c>
      <c r="G5498" t="inlineStr">
        <is>
          <t>SÄFFLE</t>
        </is>
      </c>
      <c r="H5498" t="inlineStr">
        <is>
          <t>Kyrkan</t>
        </is>
      </c>
      <c r="I5498" t="n">
        <v>1.6</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52067-2025</t>
        </is>
      </c>
      <c r="B5499" t="inlineStr">
        <is>
          <t>avverkningsanmälan</t>
        </is>
      </c>
      <c r="C5499" t="inlineStr">
        <is>
          <t>Föryngringsavverkning</t>
        </is>
      </c>
      <c r="D5499" s="1" t="n">
        <v>45952</v>
      </c>
      <c r="E5499" s="1" t="n">
        <v>46307</v>
      </c>
      <c r="F5499" t="inlineStr">
        <is>
          <t>VÄRMLANDS LÄN</t>
        </is>
      </c>
      <c r="G5499" t="inlineStr">
        <is>
          <t>TORSBY</t>
        </is>
      </c>
      <c r="H5499" t="inlineStr">
        <is>
          <t>Bergvik skog väst AB</t>
        </is>
      </c>
      <c r="I5499" t="n">
        <v>7.9</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65849-2021</t>
        </is>
      </c>
      <c r="B5500" t="inlineStr">
        <is>
          <t>avverkningsanmälan</t>
        </is>
      </c>
      <c r="C5500" t="inlineStr">
        <is>
          <t>Föryngringsavverkning</t>
        </is>
      </c>
      <c r="D5500" s="1" t="n">
        <v>44517</v>
      </c>
      <c r="E5500" s="1" t="n">
        <v>46307</v>
      </c>
      <c r="F5500" t="inlineStr">
        <is>
          <t>VÄRMLANDS LÄN</t>
        </is>
      </c>
      <c r="G5500" t="inlineStr">
        <is>
          <t>ÅRJÄNG</t>
        </is>
      </c>
      <c r="I5500" t="n">
        <v>3.3</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20650-2023</t>
        </is>
      </c>
      <c r="B5501" t="inlineStr">
        <is>
          <t>avverkningsanmälan</t>
        </is>
      </c>
      <c r="C5501" t="inlineStr">
        <is>
          <t>Föryngringsavverkning</t>
        </is>
      </c>
      <c r="D5501" s="1" t="n">
        <v>45058</v>
      </c>
      <c r="E5501" s="1" t="n">
        <v>46307</v>
      </c>
      <c r="F5501" t="inlineStr">
        <is>
          <t>VÄRMLANDS LÄN</t>
        </is>
      </c>
      <c r="G5501" t="inlineStr">
        <is>
          <t>SUNNE</t>
        </is>
      </c>
      <c r="I5501" t="n">
        <v>0.4</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30658-2025</t>
        </is>
      </c>
      <c r="B5502" t="inlineStr">
        <is>
          <t>avverkningsanmälan</t>
        </is>
      </c>
      <c r="C5502" t="inlineStr">
        <is>
          <t>Föryngringsavverkning</t>
        </is>
      </c>
      <c r="D5502" s="1" t="n">
        <v>45831</v>
      </c>
      <c r="E5502" s="1" t="n">
        <v>46307</v>
      </c>
      <c r="F5502" t="inlineStr">
        <is>
          <t>VÄRMLANDS LÄN</t>
        </is>
      </c>
      <c r="G5502" t="inlineStr">
        <is>
          <t>ÅRJÄNG</t>
        </is>
      </c>
      <c r="I5502" t="n">
        <v>11</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30505-2025</t>
        </is>
      </c>
      <c r="B5503" t="inlineStr">
        <is>
          <t>avverkningsanmälan</t>
        </is>
      </c>
      <c r="C5503" t="inlineStr">
        <is>
          <t>Föryngringsavverkning</t>
        </is>
      </c>
      <c r="D5503" s="1" t="n">
        <v>45831</v>
      </c>
      <c r="E5503" s="1" t="n">
        <v>46307</v>
      </c>
      <c r="F5503" t="inlineStr">
        <is>
          <t>VÄRMLANDS LÄN</t>
        </is>
      </c>
      <c r="G5503" t="inlineStr">
        <is>
          <t>SÄFFLE</t>
        </is>
      </c>
      <c r="I5503" t="n">
        <v>2</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30506-2025</t>
        </is>
      </c>
      <c r="B5504" t="inlineStr">
        <is>
          <t>avverkningsanmälan</t>
        </is>
      </c>
      <c r="C5504" t="inlineStr">
        <is>
          <t>Föryngringsavverkning</t>
        </is>
      </c>
      <c r="D5504" s="1" t="n">
        <v>45831</v>
      </c>
      <c r="E5504" s="1" t="n">
        <v>46307</v>
      </c>
      <c r="F5504" t="inlineStr">
        <is>
          <t>VÄRMLANDS LÄN</t>
        </is>
      </c>
      <c r="G5504" t="inlineStr">
        <is>
          <t>SÄFFLE</t>
        </is>
      </c>
      <c r="I5504" t="n">
        <v>1.5</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20725-2023</t>
        </is>
      </c>
      <c r="B5505" t="inlineStr">
        <is>
          <t>avverkningsanmälan</t>
        </is>
      </c>
      <c r="C5505" t="inlineStr">
        <is>
          <t>Föryngringsavverkning</t>
        </is>
      </c>
      <c r="D5505" s="1" t="n">
        <v>45058</v>
      </c>
      <c r="E5505" s="1" t="n">
        <v>46307</v>
      </c>
      <c r="F5505" t="inlineStr">
        <is>
          <t>VÄRMLANDS LÄN</t>
        </is>
      </c>
      <c r="G5505" t="inlineStr">
        <is>
          <t>STORFORS</t>
        </is>
      </c>
      <c r="H5505" t="inlineStr">
        <is>
          <t>Bergvik skog väst AB</t>
        </is>
      </c>
      <c r="I5505" t="n">
        <v>14.9</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47371-2023</t>
        </is>
      </c>
      <c r="B5506" t="inlineStr">
        <is>
          <t>avverkningsanmälan</t>
        </is>
      </c>
      <c r="C5506" t="inlineStr">
        <is>
          <t>Föryngringsavverkning</t>
        </is>
      </c>
      <c r="D5506" s="1" t="n">
        <v>45202</v>
      </c>
      <c r="E5506" s="1" t="n">
        <v>46307</v>
      </c>
      <c r="F5506" t="inlineStr">
        <is>
          <t>VÄRMLANDS LÄN</t>
        </is>
      </c>
      <c r="G5506" t="inlineStr">
        <is>
          <t>KRISTINEHAMN</t>
        </is>
      </c>
      <c r="I5506" t="n">
        <v>10.1</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7688-2023</t>
        </is>
      </c>
      <c r="B5507" t="inlineStr">
        <is>
          <t>avverkningsanmälan</t>
        </is>
      </c>
      <c r="C5507" t="inlineStr">
        <is>
          <t>Föryngringsavverkning</t>
        </is>
      </c>
      <c r="D5507" s="1" t="n">
        <v>44972</v>
      </c>
      <c r="E5507" s="1" t="n">
        <v>46307</v>
      </c>
      <c r="F5507" t="inlineStr">
        <is>
          <t>VÄRMLANDS LÄN</t>
        </is>
      </c>
      <c r="G5507" t="inlineStr">
        <is>
          <t>MUNKFORS</t>
        </is>
      </c>
      <c r="I5507" t="n">
        <v>0.6</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23460-2023</t>
        </is>
      </c>
      <c r="B5508" t="inlineStr">
        <is>
          <t>avverkningsanmälan</t>
        </is>
      </c>
      <c r="C5508" t="inlineStr">
        <is>
          <t>Föryngringsavverkning</t>
        </is>
      </c>
      <c r="D5508" s="1" t="n">
        <v>45076</v>
      </c>
      <c r="E5508" s="1" t="n">
        <v>46307</v>
      </c>
      <c r="F5508" t="inlineStr">
        <is>
          <t>VÄRMLANDS LÄN</t>
        </is>
      </c>
      <c r="G5508" t="inlineStr">
        <is>
          <t>SUNNE</t>
        </is>
      </c>
      <c r="I5508" t="n">
        <v>2</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59236-2023</t>
        </is>
      </c>
      <c r="B5509" t="inlineStr">
        <is>
          <t>avverkningsanmälan</t>
        </is>
      </c>
      <c r="C5509" t="inlineStr">
        <is>
          <t>Föryngringsavverkning</t>
        </is>
      </c>
      <c r="D5509" s="1" t="n">
        <v>45253</v>
      </c>
      <c r="E5509" s="1" t="n">
        <v>46307</v>
      </c>
      <c r="F5509" t="inlineStr">
        <is>
          <t>VÄRMLANDS LÄN</t>
        </is>
      </c>
      <c r="G5509" t="inlineStr">
        <is>
          <t>TORSBY</t>
        </is>
      </c>
      <c r="I5509" t="n">
        <v>2.2</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51790-2025</t>
        </is>
      </c>
      <c r="B5510" t="inlineStr">
        <is>
          <t>avverkningsanmälan</t>
        </is>
      </c>
      <c r="C5510" t="inlineStr">
        <is>
          <t>Föryngringsavverkning</t>
        </is>
      </c>
      <c r="D5510" s="1" t="n">
        <v>45951</v>
      </c>
      <c r="E5510" s="1" t="n">
        <v>46307</v>
      </c>
      <c r="F5510" t="inlineStr">
        <is>
          <t>VÄRMLANDS LÄN</t>
        </is>
      </c>
      <c r="G5510" t="inlineStr">
        <is>
          <t>FILIPSTAD</t>
        </is>
      </c>
      <c r="H5510" t="inlineStr">
        <is>
          <t>Bergvik skog väst AB</t>
        </is>
      </c>
      <c r="I5510" t="n">
        <v>2.6</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52089-2025</t>
        </is>
      </c>
      <c r="B5511" t="inlineStr">
        <is>
          <t>avverkningsanmälan</t>
        </is>
      </c>
      <c r="C5511" t="inlineStr">
        <is>
          <t>Föryngringsavverkning</t>
        </is>
      </c>
      <c r="D5511" s="1" t="n">
        <v>45952</v>
      </c>
      <c r="E5511" s="1" t="n">
        <v>46307</v>
      </c>
      <c r="F5511" t="inlineStr">
        <is>
          <t>VÄRMLANDS LÄN</t>
        </is>
      </c>
      <c r="G5511" t="inlineStr">
        <is>
          <t>TORSBY</t>
        </is>
      </c>
      <c r="I5511" t="n">
        <v>1</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56498-2023</t>
        </is>
      </c>
      <c r="B5512" t="inlineStr">
        <is>
          <t>avverkningsanmälan</t>
        </is>
      </c>
      <c r="C5512" t="inlineStr">
        <is>
          <t>Föryngringsavverkning</t>
        </is>
      </c>
      <c r="D5512" s="1" t="n">
        <v>45237</v>
      </c>
      <c r="E5512" s="1" t="n">
        <v>46307</v>
      </c>
      <c r="F5512" t="inlineStr">
        <is>
          <t>VÄRMLANDS LÄN</t>
        </is>
      </c>
      <c r="G5512" t="inlineStr">
        <is>
          <t>SÄFFLE</t>
        </is>
      </c>
      <c r="I5512" t="n">
        <v>4.8</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33620-2024</t>
        </is>
      </c>
      <c r="B5513" t="inlineStr">
        <is>
          <t>avverkningsanmälan</t>
        </is>
      </c>
      <c r="C5513" t="inlineStr">
        <is>
          <t>Föryngringsavverkning</t>
        </is>
      </c>
      <c r="D5513" s="1" t="n">
        <v>45520</v>
      </c>
      <c r="E5513" s="1" t="n">
        <v>46307</v>
      </c>
      <c r="F5513" t="inlineStr">
        <is>
          <t>VÄRMLANDS LÄN</t>
        </is>
      </c>
      <c r="G5513" t="inlineStr">
        <is>
          <t>TORSBY</t>
        </is>
      </c>
      <c r="H5513" t="inlineStr">
        <is>
          <t>Bergvik skog väst AB</t>
        </is>
      </c>
      <c r="I5513" t="n">
        <v>2.8</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31063-2025</t>
        </is>
      </c>
      <c r="B5514" t="inlineStr">
        <is>
          <t>avverkningsanmälan</t>
        </is>
      </c>
      <c r="C5514" t="inlineStr">
        <is>
          <t>Föryngringsavverkning</t>
        </is>
      </c>
      <c r="D5514" s="1" t="n">
        <v>45831</v>
      </c>
      <c r="E5514" s="1" t="n">
        <v>46307</v>
      </c>
      <c r="F5514" t="inlineStr">
        <is>
          <t>VÄRMLANDS LÄN</t>
        </is>
      </c>
      <c r="G5514" t="inlineStr">
        <is>
          <t>ÅRJÄNG</t>
        </is>
      </c>
      <c r="I5514" t="n">
        <v>0.6</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52521-2023</t>
        </is>
      </c>
      <c r="B5515" t="inlineStr">
        <is>
          <t>avverkningsanmälan</t>
        </is>
      </c>
      <c r="C5515" t="inlineStr">
        <is>
          <t>Föryngringsavverkning</t>
        </is>
      </c>
      <c r="D5515" s="1" t="n">
        <v>45225</v>
      </c>
      <c r="E5515" s="1" t="n">
        <v>46307</v>
      </c>
      <c r="F5515" t="inlineStr">
        <is>
          <t>VÄRMLANDS LÄN</t>
        </is>
      </c>
      <c r="G5515" t="inlineStr">
        <is>
          <t>SUNNE</t>
        </is>
      </c>
      <c r="I5515" t="n">
        <v>1.1</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52359-2025</t>
        </is>
      </c>
      <c r="B5516" t="inlineStr">
        <is>
          <t>avverkningsanmälan</t>
        </is>
      </c>
      <c r="C5516" t="inlineStr">
        <is>
          <t>Föryngringsavverkning</t>
        </is>
      </c>
      <c r="D5516" s="1" t="n">
        <v>45952</v>
      </c>
      <c r="E5516" s="1" t="n">
        <v>46307</v>
      </c>
      <c r="F5516" t="inlineStr">
        <is>
          <t>VÄRMLANDS LÄN</t>
        </is>
      </c>
      <c r="G5516" t="inlineStr">
        <is>
          <t>TORSBY</t>
        </is>
      </c>
      <c r="I5516" t="n">
        <v>3.8</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52088-2025</t>
        </is>
      </c>
      <c r="B5517" t="inlineStr">
        <is>
          <t>avverkningsanmälan</t>
        </is>
      </c>
      <c r="C5517" t="inlineStr">
        <is>
          <t>Föryngringsavverkning</t>
        </is>
      </c>
      <c r="D5517" s="1" t="n">
        <v>45952</v>
      </c>
      <c r="E5517" s="1" t="n">
        <v>46307</v>
      </c>
      <c r="F5517" t="inlineStr">
        <is>
          <t>VÄRMLANDS LÄN</t>
        </is>
      </c>
      <c r="G5517" t="inlineStr">
        <is>
          <t>KRISTINEHAMN</t>
        </is>
      </c>
      <c r="I5517" t="n">
        <v>0.7</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19783-2023</t>
        </is>
      </c>
      <c r="B5518" t="inlineStr">
        <is>
          <t>avverkningsanmälan</t>
        </is>
      </c>
      <c r="C5518" t="inlineStr">
        <is>
          <t>Föryngringsavverkning</t>
        </is>
      </c>
      <c r="D5518" s="1" t="n">
        <v>45051</v>
      </c>
      <c r="E5518" s="1" t="n">
        <v>46307</v>
      </c>
      <c r="F5518" t="inlineStr">
        <is>
          <t>VÄRMLANDS LÄN</t>
        </is>
      </c>
      <c r="G5518" t="inlineStr">
        <is>
          <t>HAGFORS</t>
        </is>
      </c>
      <c r="H5518" t="inlineStr">
        <is>
          <t>Kommuner</t>
        </is>
      </c>
      <c r="I5518" t="n">
        <v>1.7</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30942-2025</t>
        </is>
      </c>
      <c r="B5519" t="inlineStr">
        <is>
          <t>avverkningsanmälan</t>
        </is>
      </c>
      <c r="C5519" t="inlineStr">
        <is>
          <t>Föryngringsavverkning</t>
        </is>
      </c>
      <c r="D5519" s="1" t="n">
        <v>45832</v>
      </c>
      <c r="E5519" s="1" t="n">
        <v>46307</v>
      </c>
      <c r="F5519" t="inlineStr">
        <is>
          <t>VÄRMLANDS LÄN</t>
        </is>
      </c>
      <c r="G5519" t="inlineStr">
        <is>
          <t>SUNNE</t>
        </is>
      </c>
      <c r="H5519" t="inlineStr">
        <is>
          <t>Kyrkan</t>
        </is>
      </c>
      <c r="I5519" t="n">
        <v>9.199999999999999</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55249-2023</t>
        </is>
      </c>
      <c r="B5520" t="inlineStr">
        <is>
          <t>avverkningsanmälan</t>
        </is>
      </c>
      <c r="C5520" t="inlineStr">
        <is>
          <t>Föryngringsavverkning</t>
        </is>
      </c>
      <c r="D5520" s="1" t="n">
        <v>45237</v>
      </c>
      <c r="E5520" s="1" t="n">
        <v>46307</v>
      </c>
      <c r="F5520" t="inlineStr">
        <is>
          <t>VÄRMLANDS LÄN</t>
        </is>
      </c>
      <c r="G5520" t="inlineStr">
        <is>
          <t>FORSHAGA</t>
        </is>
      </c>
      <c r="I5520" t="n">
        <v>3.9</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24947-2024</t>
        </is>
      </c>
      <c r="B5521" t="inlineStr">
        <is>
          <t>avverkningsanmälan</t>
        </is>
      </c>
      <c r="C5521" t="inlineStr">
        <is>
          <t>Föryngringsavverkning</t>
        </is>
      </c>
      <c r="D5521" s="1" t="n">
        <v>45461</v>
      </c>
      <c r="E5521" s="1" t="n">
        <v>46307</v>
      </c>
      <c r="F5521" t="inlineStr">
        <is>
          <t>VÄRMLANDS LÄN</t>
        </is>
      </c>
      <c r="G5521" t="inlineStr">
        <is>
          <t>HAGFORS</t>
        </is>
      </c>
      <c r="I5521" t="n">
        <v>0.7</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30717-2025</t>
        </is>
      </c>
      <c r="B5522" t="inlineStr">
        <is>
          <t>avverkningsanmälan</t>
        </is>
      </c>
      <c r="C5522" t="inlineStr">
        <is>
          <t>Föryngringsavverkning</t>
        </is>
      </c>
      <c r="D5522" s="1" t="n">
        <v>45831</v>
      </c>
      <c r="E5522" s="1" t="n">
        <v>46307</v>
      </c>
      <c r="F5522" t="inlineStr">
        <is>
          <t>VÄRMLANDS LÄN</t>
        </is>
      </c>
      <c r="G5522" t="inlineStr">
        <is>
          <t>TORSBY</t>
        </is>
      </c>
      <c r="I5522" t="n">
        <v>3</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36646-2023</t>
        </is>
      </c>
      <c r="B5523" t="inlineStr">
        <is>
          <t>avverkningsanmälan</t>
        </is>
      </c>
      <c r="C5523" t="inlineStr">
        <is>
          <t>Föryngringsavverkning</t>
        </is>
      </c>
      <c r="D5523" s="1" t="n">
        <v>45153</v>
      </c>
      <c r="E5523" s="1" t="n">
        <v>46307</v>
      </c>
      <c r="F5523" t="inlineStr">
        <is>
          <t>VÄRMLANDS LÄN</t>
        </is>
      </c>
      <c r="G5523" t="inlineStr">
        <is>
          <t>GRUMS</t>
        </is>
      </c>
      <c r="I5523" t="n">
        <v>2.4</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16553-2022</t>
        </is>
      </c>
      <c r="B5524" t="inlineStr">
        <is>
          <t>avverkningsanmälan</t>
        </is>
      </c>
      <c r="C5524" t="inlineStr">
        <is>
          <t>Föryngringsavverkning</t>
        </is>
      </c>
      <c r="D5524" s="1" t="n">
        <v>44672</v>
      </c>
      <c r="E5524" s="1" t="n">
        <v>46307</v>
      </c>
      <c r="F5524" t="inlineStr">
        <is>
          <t>VÄRMLANDS LÄN</t>
        </is>
      </c>
      <c r="G5524" t="inlineStr">
        <is>
          <t>SUNNE</t>
        </is>
      </c>
      <c r="I5524" t="n">
        <v>1.4</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41967-2023</t>
        </is>
      </c>
      <c r="B5525" t="inlineStr">
        <is>
          <t>avverkningsanmälan</t>
        </is>
      </c>
      <c r="C5525" t="inlineStr">
        <is>
          <t>Föryngringsavverkning</t>
        </is>
      </c>
      <c r="D5525" s="1" t="n">
        <v>45177</v>
      </c>
      <c r="E5525" s="1" t="n">
        <v>46307</v>
      </c>
      <c r="F5525" t="inlineStr">
        <is>
          <t>VÄRMLANDS LÄN</t>
        </is>
      </c>
      <c r="G5525" t="inlineStr">
        <is>
          <t>SUNNE</t>
        </is>
      </c>
      <c r="I5525" t="n">
        <v>5.4</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51917-2025</t>
        </is>
      </c>
      <c r="B5526" t="inlineStr">
        <is>
          <t>avverkningsanmälan</t>
        </is>
      </c>
      <c r="C5526" t="inlineStr">
        <is>
          <t>Föryngringsavverkning</t>
        </is>
      </c>
      <c r="D5526" s="1" t="n">
        <v>45952</v>
      </c>
      <c r="E5526" s="1" t="n">
        <v>46307</v>
      </c>
      <c r="F5526" t="inlineStr">
        <is>
          <t>VÄRMLANDS LÄN</t>
        </is>
      </c>
      <c r="G5526" t="inlineStr">
        <is>
          <t>ARVIKA</t>
        </is>
      </c>
      <c r="I5526" t="n">
        <v>0.4</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51944-2025</t>
        </is>
      </c>
      <c r="B5527" t="inlineStr">
        <is>
          <t>avverkningsanmälan</t>
        </is>
      </c>
      <c r="C5527" t="inlineStr">
        <is>
          <t>Föryngringsavverkning</t>
        </is>
      </c>
      <c r="D5527" s="1" t="n">
        <v>45952</v>
      </c>
      <c r="E5527" s="1" t="n">
        <v>46307</v>
      </c>
      <c r="F5527" t="inlineStr">
        <is>
          <t>VÄRMLANDS LÄN</t>
        </is>
      </c>
      <c r="G5527" t="inlineStr">
        <is>
          <t>TORSBY</t>
        </is>
      </c>
      <c r="I5527" t="n">
        <v>8</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51850-2025</t>
        </is>
      </c>
      <c r="B5528" t="inlineStr">
        <is>
          <t>avverkningsanmälan</t>
        </is>
      </c>
      <c r="C5528" t="inlineStr">
        <is>
          <t>Föryngringsavverkning</t>
        </is>
      </c>
      <c r="D5528" s="1" t="n">
        <v>45952</v>
      </c>
      <c r="E5528" s="1" t="n">
        <v>46307</v>
      </c>
      <c r="F5528" t="inlineStr">
        <is>
          <t>VÄRMLANDS LÄN</t>
        </is>
      </c>
      <c r="G5528" t="inlineStr">
        <is>
          <t>SUNNE</t>
        </is>
      </c>
      <c r="I5528" t="n">
        <v>0.5</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52479-2025</t>
        </is>
      </c>
      <c r="B5529" t="inlineStr">
        <is>
          <t>avverkningsanmälan</t>
        </is>
      </c>
      <c r="C5529" t="inlineStr">
        <is>
          <t>Avverkning för annat ändamål</t>
        </is>
      </c>
      <c r="D5529" s="1" t="n">
        <v>45954</v>
      </c>
      <c r="E5529" s="1" t="n">
        <v>46307</v>
      </c>
      <c r="F5529" t="inlineStr">
        <is>
          <t>VÄRMLANDS LÄN</t>
        </is>
      </c>
      <c r="G5529" t="inlineStr">
        <is>
          <t>HAGFORS</t>
        </is>
      </c>
      <c r="H5529" t="inlineStr">
        <is>
          <t>Bergvik skog väst AB</t>
        </is>
      </c>
      <c r="I5529" t="n">
        <v>0.5</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52329-2025</t>
        </is>
      </c>
      <c r="B5530" t="inlineStr">
        <is>
          <t>avverkningsanmälan</t>
        </is>
      </c>
      <c r="C5530" t="inlineStr">
        <is>
          <t>Föryngringsavverkning</t>
        </is>
      </c>
      <c r="D5530" s="1" t="n">
        <v>45953</v>
      </c>
      <c r="E5530" s="1" t="n">
        <v>46307</v>
      </c>
      <c r="F5530" t="inlineStr">
        <is>
          <t>VÄRMLANDS LÄN</t>
        </is>
      </c>
      <c r="G5530" t="inlineStr">
        <is>
          <t>FILIPSTAD</t>
        </is>
      </c>
      <c r="I5530" t="n">
        <v>1.7</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52472-2025</t>
        </is>
      </c>
      <c r="B5531" t="inlineStr">
        <is>
          <t>avverkningsanmälan</t>
        </is>
      </c>
      <c r="C5531" t="inlineStr">
        <is>
          <t>Föryngringsavverkning</t>
        </is>
      </c>
      <c r="D5531" s="1" t="n">
        <v>45954</v>
      </c>
      <c r="E5531" s="1" t="n">
        <v>46307</v>
      </c>
      <c r="F5531" t="inlineStr">
        <is>
          <t>VÄRMLANDS LÄN</t>
        </is>
      </c>
      <c r="G5531" t="inlineStr">
        <is>
          <t>SUNNE</t>
        </is>
      </c>
      <c r="I5531" t="n">
        <v>3.7</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52187-2025</t>
        </is>
      </c>
      <c r="B5532" t="inlineStr">
        <is>
          <t>avverkningsanmälan</t>
        </is>
      </c>
      <c r="C5532" t="inlineStr">
        <is>
          <t>Föryngringsavverkning</t>
        </is>
      </c>
      <c r="D5532" s="1" t="n">
        <v>45953</v>
      </c>
      <c r="E5532" s="1" t="n">
        <v>46307</v>
      </c>
      <c r="F5532" t="inlineStr">
        <is>
          <t>VÄRMLANDS LÄN</t>
        </is>
      </c>
      <c r="G5532" t="inlineStr">
        <is>
          <t>SUNNE</t>
        </is>
      </c>
      <c r="I5532" t="n">
        <v>3.6</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52621-2025</t>
        </is>
      </c>
      <c r="B5533" t="inlineStr">
        <is>
          <t>avverkningsanmälan</t>
        </is>
      </c>
      <c r="C5533" t="inlineStr">
        <is>
          <t>Föryngringsavverkning</t>
        </is>
      </c>
      <c r="D5533" s="1" t="n">
        <v>45953</v>
      </c>
      <c r="E5533" s="1" t="n">
        <v>46307</v>
      </c>
      <c r="F5533" t="inlineStr">
        <is>
          <t>VÄRMLANDS LÄN</t>
        </is>
      </c>
      <c r="G5533" t="inlineStr">
        <is>
          <t>KIL</t>
        </is>
      </c>
      <c r="I5533" t="n">
        <v>1.1</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52622-2025</t>
        </is>
      </c>
      <c r="B5534" t="inlineStr">
        <is>
          <t>avverkningsanmälan</t>
        </is>
      </c>
      <c r="C5534" t="inlineStr">
        <is>
          <t>Föryngringsavverkning</t>
        </is>
      </c>
      <c r="D5534" s="1" t="n">
        <v>45953</v>
      </c>
      <c r="E5534" s="1" t="n">
        <v>46307</v>
      </c>
      <c r="F5534" t="inlineStr">
        <is>
          <t>VÄRMLANDS LÄN</t>
        </is>
      </c>
      <c r="G5534" t="inlineStr">
        <is>
          <t>KIL</t>
        </is>
      </c>
      <c r="I5534" t="n">
        <v>2.5</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52277-2025</t>
        </is>
      </c>
      <c r="B5535" t="inlineStr">
        <is>
          <t>avverkningsanmälan</t>
        </is>
      </c>
      <c r="C5535" t="inlineStr">
        <is>
          <t>Föryngringsavverkning</t>
        </is>
      </c>
      <c r="D5535" s="1" t="n">
        <v>45953</v>
      </c>
      <c r="E5535" s="1" t="n">
        <v>46307</v>
      </c>
      <c r="F5535" t="inlineStr">
        <is>
          <t>VÄRMLANDS LÄN</t>
        </is>
      </c>
      <c r="G5535" t="inlineStr">
        <is>
          <t>TORSBY</t>
        </is>
      </c>
      <c r="I5535" t="n">
        <v>3.6</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52436-2025</t>
        </is>
      </c>
      <c r="B5536" t="inlineStr">
        <is>
          <t>avverkningsanmälan</t>
        </is>
      </c>
      <c r="C5536" t="inlineStr">
        <is>
          <t>Föryngringsavverkning</t>
        </is>
      </c>
      <c r="D5536" s="1" t="n">
        <v>45954</v>
      </c>
      <c r="E5536" s="1" t="n">
        <v>46307</v>
      </c>
      <c r="F5536" t="inlineStr">
        <is>
          <t>VÄRMLANDS LÄN</t>
        </is>
      </c>
      <c r="G5536" t="inlineStr">
        <is>
          <t>TORSBY</t>
        </is>
      </c>
      <c r="I5536" t="n">
        <v>2.7</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52450-2025</t>
        </is>
      </c>
      <c r="B5537" t="inlineStr">
        <is>
          <t>avverkningsanmälan</t>
        </is>
      </c>
      <c r="C5537" t="inlineStr">
        <is>
          <t>Föryngringsavverkning</t>
        </is>
      </c>
      <c r="D5537" s="1" t="n">
        <v>45954</v>
      </c>
      <c r="E5537" s="1" t="n">
        <v>46307</v>
      </c>
      <c r="F5537" t="inlineStr">
        <is>
          <t>VÄRMLANDS LÄN</t>
        </is>
      </c>
      <c r="G5537" t="inlineStr">
        <is>
          <t>HAGFORS</t>
        </is>
      </c>
      <c r="H5537" t="inlineStr">
        <is>
          <t>Bergvik skog väst AB</t>
        </is>
      </c>
      <c r="I5537" t="n">
        <v>9.800000000000001</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37859-2025</t>
        </is>
      </c>
      <c r="B5538" t="inlineStr">
        <is>
          <t>avverkningsanmälan</t>
        </is>
      </c>
      <c r="C5538" t="inlineStr">
        <is>
          <t>Föryngringsavverkning</t>
        </is>
      </c>
      <c r="D5538" s="1" t="n">
        <v>45880</v>
      </c>
      <c r="E5538" s="1" t="n">
        <v>46307</v>
      </c>
      <c r="F5538" t="inlineStr">
        <is>
          <t>VÄRMLANDS LÄN</t>
        </is>
      </c>
      <c r="G5538" t="inlineStr">
        <is>
          <t>SÄFFLE</t>
        </is>
      </c>
      <c r="I5538" t="n">
        <v>2.6</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52577-2025</t>
        </is>
      </c>
      <c r="B5539" t="inlineStr">
        <is>
          <t>avverkningsanmälan</t>
        </is>
      </c>
      <c r="C5539" t="inlineStr">
        <is>
          <t>Avverkning för annat ändamål</t>
        </is>
      </c>
      <c r="D5539" s="1" t="n">
        <v>45954</v>
      </c>
      <c r="E5539" s="1" t="n">
        <v>46307</v>
      </c>
      <c r="F5539" t="inlineStr">
        <is>
          <t>VÄRMLANDS LÄN</t>
        </is>
      </c>
      <c r="G5539" t="inlineStr">
        <is>
          <t>TORSBY</t>
        </is>
      </c>
      <c r="H5539" t="inlineStr">
        <is>
          <t>Bergvik skog väst AB</t>
        </is>
      </c>
      <c r="I5539" t="n">
        <v>0.6</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52489-2025</t>
        </is>
      </c>
      <c r="B5540" t="inlineStr">
        <is>
          <t>avverkningsanmälan</t>
        </is>
      </c>
      <c r="C5540" t="inlineStr">
        <is>
          <t>Föryngringsavverkning</t>
        </is>
      </c>
      <c r="D5540" s="1" t="n">
        <v>45954</v>
      </c>
      <c r="E5540" s="1" t="n">
        <v>46307</v>
      </c>
      <c r="F5540" t="inlineStr">
        <is>
          <t>VÄRMLANDS LÄN</t>
        </is>
      </c>
      <c r="G5540" t="inlineStr">
        <is>
          <t>TORSBY</t>
        </is>
      </c>
      <c r="H5540" t="inlineStr">
        <is>
          <t>Bergvik skog väst AB</t>
        </is>
      </c>
      <c r="I5540" t="n">
        <v>7.8</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52512-2025</t>
        </is>
      </c>
      <c r="B5541" t="inlineStr">
        <is>
          <t>avverkningsanmälan</t>
        </is>
      </c>
      <c r="C5541" t="inlineStr">
        <is>
          <t>Föryngringsavverkning</t>
        </is>
      </c>
      <c r="D5541" s="1" t="n">
        <v>45954</v>
      </c>
      <c r="E5541" s="1" t="n">
        <v>46307</v>
      </c>
      <c r="F5541" t="inlineStr">
        <is>
          <t>VÄRMLANDS LÄN</t>
        </is>
      </c>
      <c r="G5541" t="inlineStr">
        <is>
          <t>TORSBY</t>
        </is>
      </c>
      <c r="H5541" t="inlineStr">
        <is>
          <t>Bergvik skog väst AB</t>
        </is>
      </c>
      <c r="I5541" t="n">
        <v>14.6</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52518-2025</t>
        </is>
      </c>
      <c r="B5542" t="inlineStr">
        <is>
          <t>avverkningsanmälan</t>
        </is>
      </c>
      <c r="C5542" t="inlineStr">
        <is>
          <t>Föryngringsavverkning</t>
        </is>
      </c>
      <c r="D5542" s="1" t="n">
        <v>45954</v>
      </c>
      <c r="E5542" s="1" t="n">
        <v>46307</v>
      </c>
      <c r="F5542" t="inlineStr">
        <is>
          <t>VÄRMLANDS LÄN</t>
        </is>
      </c>
      <c r="G5542" t="inlineStr">
        <is>
          <t>FILIPSTAD</t>
        </is>
      </c>
      <c r="H5542" t="inlineStr">
        <is>
          <t>Bergvik skog väst AB</t>
        </is>
      </c>
      <c r="I5542" t="n">
        <v>2.9</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52175-2025</t>
        </is>
      </c>
      <c r="B5543" t="inlineStr">
        <is>
          <t>avverkningsanmälan</t>
        </is>
      </c>
      <c r="C5543" t="inlineStr">
        <is>
          <t>Föryngringsavverkning</t>
        </is>
      </c>
      <c r="D5543" s="1" t="n">
        <v>45953</v>
      </c>
      <c r="E5543" s="1" t="n">
        <v>46307</v>
      </c>
      <c r="F5543" t="inlineStr">
        <is>
          <t>VÄRMLANDS LÄN</t>
        </is>
      </c>
      <c r="G5543" t="inlineStr">
        <is>
          <t>SUNNE</t>
        </is>
      </c>
      <c r="I5543" t="n">
        <v>1.2</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3588-2025</t>
        </is>
      </c>
      <c r="B5544" t="inlineStr">
        <is>
          <t>avverkningsanmälan</t>
        </is>
      </c>
      <c r="C5544" t="inlineStr">
        <is>
          <t>Föryngringsavverkning</t>
        </is>
      </c>
      <c r="D5544" s="1" t="n">
        <v>45680</v>
      </c>
      <c r="E5544" s="1" t="n">
        <v>46307</v>
      </c>
      <c r="F5544" t="inlineStr">
        <is>
          <t>VÄRMLANDS LÄN</t>
        </is>
      </c>
      <c r="G5544" t="inlineStr">
        <is>
          <t>ARVIKA</t>
        </is>
      </c>
      <c r="I5544" t="n">
        <v>1</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31245-2025</t>
        </is>
      </c>
      <c r="B5545" t="inlineStr">
        <is>
          <t>avverkningsanmälan</t>
        </is>
      </c>
      <c r="C5545" t="inlineStr">
        <is>
          <t>Avverkning för annat ändamål</t>
        </is>
      </c>
      <c r="D5545" s="1" t="n">
        <v>45832</v>
      </c>
      <c r="E5545" s="1" t="n">
        <v>46307</v>
      </c>
      <c r="F5545" t="inlineStr">
        <is>
          <t>VÄRMLANDS LÄN</t>
        </is>
      </c>
      <c r="G5545" t="inlineStr">
        <is>
          <t>SÄFFLE</t>
        </is>
      </c>
      <c r="I5545" t="n">
        <v>0.3</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52505-2025</t>
        </is>
      </c>
      <c r="B5546" t="inlineStr">
        <is>
          <t>avverkningsanmälan</t>
        </is>
      </c>
      <c r="C5546" t="inlineStr">
        <is>
          <t>Föryngringsavverkning</t>
        </is>
      </c>
      <c r="D5546" s="1" t="n">
        <v>45954</v>
      </c>
      <c r="E5546" s="1" t="n">
        <v>46307</v>
      </c>
      <c r="F5546" t="inlineStr">
        <is>
          <t>VÄRMLANDS LÄN</t>
        </is>
      </c>
      <c r="G5546" t="inlineStr">
        <is>
          <t>ARVIKA</t>
        </is>
      </c>
      <c r="H5546" t="inlineStr">
        <is>
          <t>Bergvik skog väst AB</t>
        </is>
      </c>
      <c r="I5546" t="n">
        <v>7.7</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52509-2025</t>
        </is>
      </c>
      <c r="B5547" t="inlineStr">
        <is>
          <t>avverkningsanmälan</t>
        </is>
      </c>
      <c r="C5547" t="inlineStr">
        <is>
          <t>Föryngringsavverkning</t>
        </is>
      </c>
      <c r="D5547" s="1" t="n">
        <v>45954</v>
      </c>
      <c r="E5547" s="1" t="n">
        <v>46307</v>
      </c>
      <c r="F5547" t="inlineStr">
        <is>
          <t>VÄRMLANDS LÄN</t>
        </is>
      </c>
      <c r="G5547" t="inlineStr">
        <is>
          <t>TORSBY</t>
        </is>
      </c>
      <c r="H5547" t="inlineStr">
        <is>
          <t>Bergvik skog väst AB</t>
        </is>
      </c>
      <c r="I5547" t="n">
        <v>4.7</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52524-2025</t>
        </is>
      </c>
      <c r="B5548" t="inlineStr">
        <is>
          <t>avverkningsanmälan</t>
        </is>
      </c>
      <c r="C5548" t="inlineStr">
        <is>
          <t>Föryngringsavverkning</t>
        </is>
      </c>
      <c r="D5548" s="1" t="n">
        <v>45954</v>
      </c>
      <c r="E5548" s="1" t="n">
        <v>46307</v>
      </c>
      <c r="F5548" t="inlineStr">
        <is>
          <t>VÄRMLANDS LÄN</t>
        </is>
      </c>
      <c r="G5548" t="inlineStr">
        <is>
          <t>HAGFORS</t>
        </is>
      </c>
      <c r="I5548" t="n">
        <v>0.8</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52404-2025</t>
        </is>
      </c>
      <c r="B5549" t="inlineStr">
        <is>
          <t>avverkningsanmälan</t>
        </is>
      </c>
      <c r="C5549" t="inlineStr">
        <is>
          <t>Föryngringsavverkning</t>
        </is>
      </c>
      <c r="D5549" s="1" t="n">
        <v>45954</v>
      </c>
      <c r="E5549" s="1" t="n">
        <v>46307</v>
      </c>
      <c r="F5549" t="inlineStr">
        <is>
          <t>VÄRMLANDS LÄN</t>
        </is>
      </c>
      <c r="G5549" t="inlineStr">
        <is>
          <t>KRISTINEHAMN</t>
        </is>
      </c>
      <c r="H5549" t="inlineStr">
        <is>
          <t>Sveaskog</t>
        </is>
      </c>
      <c r="I5549" t="n">
        <v>0.5</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52462-2025</t>
        </is>
      </c>
      <c r="B5550" t="inlineStr">
        <is>
          <t>avverkningsanmälan</t>
        </is>
      </c>
      <c r="C5550" t="inlineStr">
        <is>
          <t>Föryngringsavverkning</t>
        </is>
      </c>
      <c r="D5550" s="1" t="n">
        <v>45954</v>
      </c>
      <c r="E5550" s="1" t="n">
        <v>46307</v>
      </c>
      <c r="F5550" t="inlineStr">
        <is>
          <t>VÄRMLANDS LÄN</t>
        </is>
      </c>
      <c r="G5550" t="inlineStr">
        <is>
          <t>HAGFORS</t>
        </is>
      </c>
      <c r="H5550" t="inlineStr">
        <is>
          <t>Bergvik skog väst AB</t>
        </is>
      </c>
      <c r="I5550" t="n">
        <v>4.9</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52469-2025</t>
        </is>
      </c>
      <c r="B5551" t="inlineStr">
        <is>
          <t>avverkningsanmälan</t>
        </is>
      </c>
      <c r="C5551" t="inlineStr">
        <is>
          <t>Föryngringsavverkning</t>
        </is>
      </c>
      <c r="D5551" s="1" t="n">
        <v>45954</v>
      </c>
      <c r="E5551" s="1" t="n">
        <v>46307</v>
      </c>
      <c r="F5551" t="inlineStr">
        <is>
          <t>VÄRMLANDS LÄN</t>
        </is>
      </c>
      <c r="G5551" t="inlineStr">
        <is>
          <t>SUNNE</t>
        </is>
      </c>
      <c r="I5551" t="n">
        <v>1.1</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52493-2025</t>
        </is>
      </c>
      <c r="B5552" t="inlineStr">
        <is>
          <t>avverkningsanmälan</t>
        </is>
      </c>
      <c r="C5552" t="inlineStr">
        <is>
          <t>Föryngringsavverkning</t>
        </is>
      </c>
      <c r="D5552" s="1" t="n">
        <v>45954</v>
      </c>
      <c r="E5552" s="1" t="n">
        <v>46307</v>
      </c>
      <c r="F5552" t="inlineStr">
        <is>
          <t>VÄRMLANDS LÄN</t>
        </is>
      </c>
      <c r="G5552" t="inlineStr">
        <is>
          <t>TORSBY</t>
        </is>
      </c>
      <c r="H5552" t="inlineStr">
        <is>
          <t>Bergvik skog väst AB</t>
        </is>
      </c>
      <c r="I5552" t="n">
        <v>1.1</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52947-2025</t>
        </is>
      </c>
      <c r="B5553" t="inlineStr">
        <is>
          <t>avverkningsanmälan</t>
        </is>
      </c>
      <c r="C5553" t="inlineStr">
        <is>
          <t>Föryngringsavverkning</t>
        </is>
      </c>
      <c r="D5553" s="1" t="n">
        <v>45954</v>
      </c>
      <c r="E5553" s="1" t="n">
        <v>46307</v>
      </c>
      <c r="F5553" t="inlineStr">
        <is>
          <t>VÄRMLANDS LÄN</t>
        </is>
      </c>
      <c r="G5553" t="inlineStr">
        <is>
          <t>TORSBY</t>
        </is>
      </c>
      <c r="I5553" t="n">
        <v>2.7</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7855-2023</t>
        </is>
      </c>
      <c r="B5554" t="inlineStr">
        <is>
          <t>avverkningsanmälan</t>
        </is>
      </c>
      <c r="C5554" t="inlineStr">
        <is>
          <t>Föryngringsavverkning</t>
        </is>
      </c>
      <c r="D5554" s="1" t="n">
        <v>44973</v>
      </c>
      <c r="E5554" s="1" t="n">
        <v>46307</v>
      </c>
      <c r="F5554" t="inlineStr">
        <is>
          <t>VÄRMLANDS LÄN</t>
        </is>
      </c>
      <c r="G5554" t="inlineStr">
        <is>
          <t>ARVIKA</t>
        </is>
      </c>
      <c r="I5554" t="n">
        <v>2.5</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19273-2025</t>
        </is>
      </c>
      <c r="B5555" t="inlineStr">
        <is>
          <t>avverkningsanmälan</t>
        </is>
      </c>
      <c r="C5555" t="inlineStr">
        <is>
          <t>Föryngringsavverkning</t>
        </is>
      </c>
      <c r="D5555" s="1" t="n">
        <v>45769</v>
      </c>
      <c r="E5555" s="1" t="n">
        <v>46307</v>
      </c>
      <c r="F5555" t="inlineStr">
        <is>
          <t>VÄRMLANDS LÄN</t>
        </is>
      </c>
      <c r="G5555" t="inlineStr">
        <is>
          <t>SÄFFLE</t>
        </is>
      </c>
      <c r="H5555" t="inlineStr">
        <is>
          <t>Bergvik skog väst AB</t>
        </is>
      </c>
      <c r="I5555" t="n">
        <v>11.6</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62610-2022</t>
        </is>
      </c>
      <c r="B5556" t="inlineStr">
        <is>
          <t>avverkningsanmälan</t>
        </is>
      </c>
      <c r="C5556" t="inlineStr">
        <is>
          <t>Föryngringsavverkning</t>
        </is>
      </c>
      <c r="D5556" s="1" t="n">
        <v>44917</v>
      </c>
      <c r="E5556" s="1" t="n">
        <v>46307</v>
      </c>
      <c r="F5556" t="inlineStr">
        <is>
          <t>VÄRMLANDS LÄN</t>
        </is>
      </c>
      <c r="G5556" t="inlineStr">
        <is>
          <t>ARVIKA</t>
        </is>
      </c>
      <c r="I5556" t="n">
        <v>1</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62619-2022</t>
        </is>
      </c>
      <c r="B5557" t="inlineStr">
        <is>
          <t>avverkningsanmälan</t>
        </is>
      </c>
      <c r="C5557" t="inlineStr">
        <is>
          <t>Föryngringsavverkning</t>
        </is>
      </c>
      <c r="D5557" s="1" t="n">
        <v>44917</v>
      </c>
      <c r="E5557" s="1" t="n">
        <v>46307</v>
      </c>
      <c r="F5557" t="inlineStr">
        <is>
          <t>VÄRMLANDS LÄN</t>
        </is>
      </c>
      <c r="G5557" t="inlineStr">
        <is>
          <t>ARVIKA</t>
        </is>
      </c>
      <c r="I5557" t="n">
        <v>1.5</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34055-2023</t>
        </is>
      </c>
      <c r="B5558" t="inlineStr">
        <is>
          <t>avverkningsanmälan</t>
        </is>
      </c>
      <c r="C5558" t="inlineStr">
        <is>
          <t>Föryngringsavverkning</t>
        </is>
      </c>
      <c r="D5558" s="1" t="n">
        <v>45125</v>
      </c>
      <c r="E5558" s="1" t="n">
        <v>46307</v>
      </c>
      <c r="F5558" t="inlineStr">
        <is>
          <t>VÄRMLANDS LÄN</t>
        </is>
      </c>
      <c r="G5558" t="inlineStr">
        <is>
          <t>SUNNE</t>
        </is>
      </c>
      <c r="I5558" t="n">
        <v>5.5</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14492-2023</t>
        </is>
      </c>
      <c r="B5559" t="inlineStr">
        <is>
          <t>avverkningsanmälan</t>
        </is>
      </c>
      <c r="C5559" t="inlineStr">
        <is>
          <t>Föryngringsavverkning</t>
        </is>
      </c>
      <c r="D5559" s="1" t="n">
        <v>45012</v>
      </c>
      <c r="E5559" s="1" t="n">
        <v>46307</v>
      </c>
      <c r="F5559" t="inlineStr">
        <is>
          <t>VÄRMLANDS LÄN</t>
        </is>
      </c>
      <c r="G5559" t="inlineStr">
        <is>
          <t>SUNNE</t>
        </is>
      </c>
      <c r="I5559" t="n">
        <v>0.9</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53284-2025</t>
        </is>
      </c>
      <c r="B5560" t="inlineStr">
        <is>
          <t>avverkningsanmälan</t>
        </is>
      </c>
      <c r="C5560" t="inlineStr">
        <is>
          <t>Föryngringsavverkning</t>
        </is>
      </c>
      <c r="D5560" s="1" t="n">
        <v>45958</v>
      </c>
      <c r="E5560" s="1" t="n">
        <v>46307</v>
      </c>
      <c r="F5560" t="inlineStr">
        <is>
          <t>VÄRMLANDS LÄN</t>
        </is>
      </c>
      <c r="G5560" t="inlineStr">
        <is>
          <t>MUNKFORS</t>
        </is>
      </c>
      <c r="I5560" t="n">
        <v>7.3</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52700-2025</t>
        </is>
      </c>
      <c r="B5561" t="inlineStr">
        <is>
          <t>avverkningsanmälan</t>
        </is>
      </c>
      <c r="C5561" t="inlineStr">
        <is>
          <t>Föryngringsavverkning</t>
        </is>
      </c>
      <c r="D5561" s="1" t="n">
        <v>45956</v>
      </c>
      <c r="E5561" s="1" t="n">
        <v>46307</v>
      </c>
      <c r="F5561" t="inlineStr">
        <is>
          <t>VÄRMLANDS LÄN</t>
        </is>
      </c>
      <c r="G5561" t="inlineStr">
        <is>
          <t>GRUMS</t>
        </is>
      </c>
      <c r="I5561" t="n">
        <v>1.2</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52918-2025</t>
        </is>
      </c>
      <c r="B5562" t="inlineStr">
        <is>
          <t>avverkningsanmälan</t>
        </is>
      </c>
      <c r="C5562" t="inlineStr">
        <is>
          <t>Föryngringsavverkning</t>
        </is>
      </c>
      <c r="D5562" s="1" t="n">
        <v>45957</v>
      </c>
      <c r="E5562" s="1" t="n">
        <v>46307</v>
      </c>
      <c r="F5562" t="inlineStr">
        <is>
          <t>VÄRMLANDS LÄN</t>
        </is>
      </c>
      <c r="G5562" t="inlineStr">
        <is>
          <t>TORSBY</t>
        </is>
      </c>
      <c r="H5562" t="inlineStr">
        <is>
          <t>Bergvik skog väst AB</t>
        </is>
      </c>
      <c r="I5562" t="n">
        <v>13.1</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53107-2025</t>
        </is>
      </c>
      <c r="B5563" t="inlineStr">
        <is>
          <t>avverkningsanmälan</t>
        </is>
      </c>
      <c r="C5563" t="inlineStr">
        <is>
          <t>Föryngringsavverkning</t>
        </is>
      </c>
      <c r="D5563" s="1" t="n">
        <v>45958</v>
      </c>
      <c r="E5563" s="1" t="n">
        <v>46307</v>
      </c>
      <c r="F5563" t="inlineStr">
        <is>
          <t>VÄRMLANDS LÄN</t>
        </is>
      </c>
      <c r="G5563" t="inlineStr">
        <is>
          <t>TORSBY</t>
        </is>
      </c>
      <c r="I5563" t="n">
        <v>1.1</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53165-2025</t>
        </is>
      </c>
      <c r="B5564" t="inlineStr">
        <is>
          <t>avverkningsanmälan</t>
        </is>
      </c>
      <c r="C5564" t="inlineStr">
        <is>
          <t>Föryngringsavverkning</t>
        </is>
      </c>
      <c r="D5564" s="1" t="n">
        <v>45958</v>
      </c>
      <c r="E5564" s="1" t="n">
        <v>46307</v>
      </c>
      <c r="F5564" t="inlineStr">
        <is>
          <t>VÄRMLANDS LÄN</t>
        </is>
      </c>
      <c r="G5564" t="inlineStr">
        <is>
          <t>TORSBY</t>
        </is>
      </c>
      <c r="H5564" t="inlineStr">
        <is>
          <t>Bergvik skog väst AB</t>
        </is>
      </c>
      <c r="I5564" t="n">
        <v>9.800000000000001</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52731-2025</t>
        </is>
      </c>
      <c r="B5565" t="inlineStr">
        <is>
          <t>avverkningsanmälan</t>
        </is>
      </c>
      <c r="C5565" t="inlineStr">
        <is>
          <t>Föryngringsavverkning</t>
        </is>
      </c>
      <c r="D5565" s="1" t="n">
        <v>45957</v>
      </c>
      <c r="E5565" s="1" t="n">
        <v>46307</v>
      </c>
      <c r="F5565" t="inlineStr">
        <is>
          <t>VÄRMLANDS LÄN</t>
        </is>
      </c>
      <c r="G5565" t="inlineStr">
        <is>
          <t>TORSBY</t>
        </is>
      </c>
      <c r="I5565" t="n">
        <v>0.8</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52697-2025</t>
        </is>
      </c>
      <c r="B5566" t="inlineStr">
        <is>
          <t>avverkningsanmälan</t>
        </is>
      </c>
      <c r="C5566" t="inlineStr">
        <is>
          <t>Föryngringsavverkning</t>
        </is>
      </c>
      <c r="D5566" s="1" t="n">
        <v>45956</v>
      </c>
      <c r="E5566" s="1" t="n">
        <v>46307</v>
      </c>
      <c r="F5566" t="inlineStr">
        <is>
          <t>VÄRMLANDS LÄN</t>
        </is>
      </c>
      <c r="G5566" t="inlineStr">
        <is>
          <t>KIL</t>
        </is>
      </c>
      <c r="I5566" t="n">
        <v>0.8</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52843-2025</t>
        </is>
      </c>
      <c r="B5567" t="inlineStr">
        <is>
          <t>avverkningsanmälan</t>
        </is>
      </c>
      <c r="C5567" t="inlineStr">
        <is>
          <t>Föryngringsavverkning</t>
        </is>
      </c>
      <c r="D5567" s="1" t="n">
        <v>45957</v>
      </c>
      <c r="E5567" s="1" t="n">
        <v>46307</v>
      </c>
      <c r="F5567" t="inlineStr">
        <is>
          <t>VÄRMLANDS LÄN</t>
        </is>
      </c>
      <c r="G5567" t="inlineStr">
        <is>
          <t>TORSBY</t>
        </is>
      </c>
      <c r="H5567" t="inlineStr">
        <is>
          <t>Bergvik skog väst AB</t>
        </is>
      </c>
      <c r="I5567" t="n">
        <v>2.6</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52822-2025</t>
        </is>
      </c>
      <c r="B5568" t="inlineStr">
        <is>
          <t>avverkningsanmälan</t>
        </is>
      </c>
      <c r="C5568" t="inlineStr">
        <is>
          <t>Föryngringsavverkning</t>
        </is>
      </c>
      <c r="D5568" s="1" t="n">
        <v>45957</v>
      </c>
      <c r="E5568" s="1" t="n">
        <v>46307</v>
      </c>
      <c r="F5568" t="inlineStr">
        <is>
          <t>VÄRMLANDS LÄN</t>
        </is>
      </c>
      <c r="G5568" t="inlineStr">
        <is>
          <t>TORSBY</t>
        </is>
      </c>
      <c r="I5568" t="n">
        <v>1.7</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52787-2025</t>
        </is>
      </c>
      <c r="B5569" t="inlineStr">
        <is>
          <t>avverkningsanmälan</t>
        </is>
      </c>
      <c r="C5569" t="inlineStr">
        <is>
          <t>Föryngringsavverkning</t>
        </is>
      </c>
      <c r="D5569" s="1" t="n">
        <v>45957</v>
      </c>
      <c r="E5569" s="1" t="n">
        <v>46307</v>
      </c>
      <c r="F5569" t="inlineStr">
        <is>
          <t>VÄRMLANDS LÄN</t>
        </is>
      </c>
      <c r="G5569" t="inlineStr">
        <is>
          <t>TORSBY</t>
        </is>
      </c>
      <c r="I5569" t="n">
        <v>3.8</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53123-2025</t>
        </is>
      </c>
      <c r="B5570" t="inlineStr">
        <is>
          <t>avverkningsanmälan</t>
        </is>
      </c>
      <c r="C5570" t="inlineStr">
        <is>
          <t>Föryngringsavverkning</t>
        </is>
      </c>
      <c r="D5570" s="1" t="n">
        <v>45958</v>
      </c>
      <c r="E5570" s="1" t="n">
        <v>46307</v>
      </c>
      <c r="F5570" t="inlineStr">
        <is>
          <t>VÄRMLANDS LÄN</t>
        </is>
      </c>
      <c r="G5570" t="inlineStr">
        <is>
          <t>TORSBY</t>
        </is>
      </c>
      <c r="I5570" t="n">
        <v>0.7</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52981-2025</t>
        </is>
      </c>
      <c r="B5571" t="inlineStr">
        <is>
          <t>avverkningsanmälan</t>
        </is>
      </c>
      <c r="C5571" t="inlineStr">
        <is>
          <t>Föryngringsavverkning</t>
        </is>
      </c>
      <c r="D5571" s="1" t="n">
        <v>45957</v>
      </c>
      <c r="E5571" s="1" t="n">
        <v>46307</v>
      </c>
      <c r="F5571" t="inlineStr">
        <is>
          <t>VÄRMLANDS LÄN</t>
        </is>
      </c>
      <c r="G5571" t="inlineStr">
        <is>
          <t>TORSBY</t>
        </is>
      </c>
      <c r="I5571" t="n">
        <v>20.5</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52762-2025</t>
        </is>
      </c>
      <c r="B5572" t="inlineStr">
        <is>
          <t>avverkningsanmälan</t>
        </is>
      </c>
      <c r="C5572" t="inlineStr">
        <is>
          <t>Föryngringsavverkning</t>
        </is>
      </c>
      <c r="D5572" s="1" t="n">
        <v>45957</v>
      </c>
      <c r="E5572" s="1" t="n">
        <v>46307</v>
      </c>
      <c r="F5572" t="inlineStr">
        <is>
          <t>VÄRMLANDS LÄN</t>
        </is>
      </c>
      <c r="G5572" t="inlineStr">
        <is>
          <t>TORSBY</t>
        </is>
      </c>
      <c r="I5572" t="n">
        <v>8.9</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52699-2025</t>
        </is>
      </c>
      <c r="B5573" t="inlineStr">
        <is>
          <t>avverkningsanmälan</t>
        </is>
      </c>
      <c r="C5573" t="inlineStr">
        <is>
          <t>Föryngringsavverkning</t>
        </is>
      </c>
      <c r="D5573" s="1" t="n">
        <v>45956</v>
      </c>
      <c r="E5573" s="1" t="n">
        <v>46307</v>
      </c>
      <c r="F5573" t="inlineStr">
        <is>
          <t>VÄRMLANDS LÄN</t>
        </is>
      </c>
      <c r="G5573" t="inlineStr">
        <is>
          <t>GRUMS</t>
        </is>
      </c>
      <c r="I5573" t="n">
        <v>3.9</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52705-2025</t>
        </is>
      </c>
      <c r="B5574" t="inlineStr">
        <is>
          <t>avverkningsanmälan</t>
        </is>
      </c>
      <c r="C5574" t="inlineStr">
        <is>
          <t>Föryngringsavverkning</t>
        </is>
      </c>
      <c r="D5574" s="1" t="n">
        <v>45957</v>
      </c>
      <c r="E5574" s="1" t="n">
        <v>46307</v>
      </c>
      <c r="F5574" t="inlineStr">
        <is>
          <t>VÄRMLANDS LÄN</t>
        </is>
      </c>
      <c r="G5574" t="inlineStr">
        <is>
          <t>ARVIKA</t>
        </is>
      </c>
      <c r="I5574" t="n">
        <v>1.5</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52708-2025</t>
        </is>
      </c>
      <c r="B5575" t="inlineStr">
        <is>
          <t>avverkningsanmälan</t>
        </is>
      </c>
      <c r="C5575" t="inlineStr">
        <is>
          <t>Föryngringsavverkning</t>
        </is>
      </c>
      <c r="D5575" s="1" t="n">
        <v>45957</v>
      </c>
      <c r="E5575" s="1" t="n">
        <v>46307</v>
      </c>
      <c r="F5575" t="inlineStr">
        <is>
          <t>VÄRMLANDS LÄN</t>
        </is>
      </c>
      <c r="G5575" t="inlineStr">
        <is>
          <t>ARVIKA</t>
        </is>
      </c>
      <c r="I5575" t="n">
        <v>2.9</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53160-2025</t>
        </is>
      </c>
      <c r="B5576" t="inlineStr">
        <is>
          <t>avverkningsanmälan</t>
        </is>
      </c>
      <c r="C5576" t="inlineStr">
        <is>
          <t>Föryngringsavverkning</t>
        </is>
      </c>
      <c r="D5576" s="1" t="n">
        <v>45958</v>
      </c>
      <c r="E5576" s="1" t="n">
        <v>46307</v>
      </c>
      <c r="F5576" t="inlineStr">
        <is>
          <t>VÄRMLANDS LÄN</t>
        </is>
      </c>
      <c r="G5576" t="inlineStr">
        <is>
          <t>ÅRJÄNG</t>
        </is>
      </c>
      <c r="I5576" t="n">
        <v>1.9</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52905-2025</t>
        </is>
      </c>
      <c r="B5577" t="inlineStr">
        <is>
          <t>avverkningsanmälan</t>
        </is>
      </c>
      <c r="C5577" t="inlineStr">
        <is>
          <t>Föryngringsavverkning</t>
        </is>
      </c>
      <c r="D5577" s="1" t="n">
        <v>45957</v>
      </c>
      <c r="E5577" s="1" t="n">
        <v>46307</v>
      </c>
      <c r="F5577" t="inlineStr">
        <is>
          <t>VÄRMLANDS LÄN</t>
        </is>
      </c>
      <c r="G5577" t="inlineStr">
        <is>
          <t>STORFORS</t>
        </is>
      </c>
      <c r="I5577" t="n">
        <v>0.8</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52982-2025</t>
        </is>
      </c>
      <c r="B5578" t="inlineStr">
        <is>
          <t>avverkningsanmälan</t>
        </is>
      </c>
      <c r="C5578" t="inlineStr">
        <is>
          <t>Föryngringsavverkning</t>
        </is>
      </c>
      <c r="D5578" s="1" t="n">
        <v>45957</v>
      </c>
      <c r="E5578" s="1" t="n">
        <v>46307</v>
      </c>
      <c r="F5578" t="inlineStr">
        <is>
          <t>VÄRMLANDS LÄN</t>
        </is>
      </c>
      <c r="G5578" t="inlineStr">
        <is>
          <t>TORSBY</t>
        </is>
      </c>
      <c r="I5578" t="n">
        <v>8.1</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53073-2025</t>
        </is>
      </c>
      <c r="B5579" t="inlineStr">
        <is>
          <t>avverkningsanmälan</t>
        </is>
      </c>
      <c r="C5579" t="inlineStr">
        <is>
          <t>Föryngringsavverkning</t>
        </is>
      </c>
      <c r="D5579" s="1" t="n">
        <v>45958</v>
      </c>
      <c r="E5579" s="1" t="n">
        <v>46307</v>
      </c>
      <c r="F5579" t="inlineStr">
        <is>
          <t>VÄRMLANDS LÄN</t>
        </is>
      </c>
      <c r="G5579" t="inlineStr">
        <is>
          <t>ÅRJÄNG</t>
        </is>
      </c>
      <c r="I5579" t="n">
        <v>2</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53158-2025</t>
        </is>
      </c>
      <c r="B5580" t="inlineStr">
        <is>
          <t>avverkningsanmälan</t>
        </is>
      </c>
      <c r="C5580" t="inlineStr">
        <is>
          <t>Föryngringsavverkning</t>
        </is>
      </c>
      <c r="D5580" s="1" t="n">
        <v>45958</v>
      </c>
      <c r="E5580" s="1" t="n">
        <v>46307</v>
      </c>
      <c r="F5580" t="inlineStr">
        <is>
          <t>VÄRMLANDS LÄN</t>
        </is>
      </c>
      <c r="G5580" t="inlineStr">
        <is>
          <t>ÅRJÄNG</t>
        </is>
      </c>
      <c r="I5580" t="n">
        <v>1</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33464-2023</t>
        </is>
      </c>
      <c r="B5581" t="inlineStr">
        <is>
          <t>avverkningsanmälan</t>
        </is>
      </c>
      <c r="C5581" t="inlineStr">
        <is>
          <t>Föryngringsavverkning</t>
        </is>
      </c>
      <c r="D5581" s="1" t="n">
        <v>45118</v>
      </c>
      <c r="E5581" s="1" t="n">
        <v>46307</v>
      </c>
      <c r="F5581" t="inlineStr">
        <is>
          <t>VÄRMLANDS LÄN</t>
        </is>
      </c>
      <c r="G5581" t="inlineStr">
        <is>
          <t>KRISTINEHAMN</t>
        </is>
      </c>
      <c r="I5581" t="n">
        <v>1.4</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61203-2024</t>
        </is>
      </c>
      <c r="B5582" t="inlineStr">
        <is>
          <t>avverkningsanmälan</t>
        </is>
      </c>
      <c r="C5582" t="inlineStr">
        <is>
          <t>Föryngringsavverkning</t>
        </is>
      </c>
      <c r="D5582" s="1" t="n">
        <v>45645</v>
      </c>
      <c r="E5582" s="1" t="n">
        <v>46307</v>
      </c>
      <c r="F5582" t="inlineStr">
        <is>
          <t>VÄRMLANDS LÄN</t>
        </is>
      </c>
      <c r="G5582" t="inlineStr">
        <is>
          <t>ARVIKA</t>
        </is>
      </c>
      <c r="I5582" t="n">
        <v>1.1</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45296-2023</t>
        </is>
      </c>
      <c r="B5583" t="inlineStr">
        <is>
          <t>avverkningsanmälan</t>
        </is>
      </c>
      <c r="C5583" t="inlineStr">
        <is>
          <t>Föryngringsavverkning</t>
        </is>
      </c>
      <c r="D5583" s="1" t="n">
        <v>45191</v>
      </c>
      <c r="E5583" s="1" t="n">
        <v>46307</v>
      </c>
      <c r="F5583" t="inlineStr">
        <is>
          <t>VÄRMLANDS LÄN</t>
        </is>
      </c>
      <c r="G5583" t="inlineStr">
        <is>
          <t>ARVIKA</t>
        </is>
      </c>
      <c r="I5583" t="n">
        <v>1.4</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45298-2023</t>
        </is>
      </c>
      <c r="B5584" t="inlineStr">
        <is>
          <t>avverkningsanmälan</t>
        </is>
      </c>
      <c r="C5584" t="inlineStr">
        <is>
          <t>Föryngringsavverkning</t>
        </is>
      </c>
      <c r="D5584" s="1" t="n">
        <v>45191</v>
      </c>
      <c r="E5584" s="1" t="n">
        <v>46307</v>
      </c>
      <c r="F5584" t="inlineStr">
        <is>
          <t>VÄRMLANDS LÄN</t>
        </is>
      </c>
      <c r="G5584" t="inlineStr">
        <is>
          <t>ARVIKA</t>
        </is>
      </c>
      <c r="I5584" t="n">
        <v>4.5</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52834-2025</t>
        </is>
      </c>
      <c r="B5585" t="inlineStr">
        <is>
          <t>avverkningsanmälan</t>
        </is>
      </c>
      <c r="C5585" t="inlineStr">
        <is>
          <t>Föryngringsavverkning</t>
        </is>
      </c>
      <c r="D5585" s="1" t="n">
        <v>45957</v>
      </c>
      <c r="E5585" s="1" t="n">
        <v>46307</v>
      </c>
      <c r="F5585" t="inlineStr">
        <is>
          <t>VÄRMLANDS LÄN</t>
        </is>
      </c>
      <c r="G5585" t="inlineStr">
        <is>
          <t>EDA</t>
        </is>
      </c>
      <c r="I5585" t="n">
        <v>3.9</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52855-2025</t>
        </is>
      </c>
      <c r="B5586" t="inlineStr">
        <is>
          <t>avverkningsanmälan</t>
        </is>
      </c>
      <c r="C5586" t="inlineStr">
        <is>
          <t>Föryngringsavverkning</t>
        </is>
      </c>
      <c r="D5586" s="1" t="n">
        <v>45957</v>
      </c>
      <c r="E5586" s="1" t="n">
        <v>46307</v>
      </c>
      <c r="F5586" t="inlineStr">
        <is>
          <t>VÄRMLANDS LÄN</t>
        </is>
      </c>
      <c r="G5586" t="inlineStr">
        <is>
          <t>ÅRJÄNG</t>
        </is>
      </c>
      <c r="I5586" t="n">
        <v>1.7</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52741-2025</t>
        </is>
      </c>
      <c r="B5587" t="inlineStr">
        <is>
          <t>avverkningsanmälan</t>
        </is>
      </c>
      <c r="C5587" t="inlineStr">
        <is>
          <t>Föryngringsavverkning</t>
        </is>
      </c>
      <c r="D5587" s="1" t="n">
        <v>45957</v>
      </c>
      <c r="E5587" s="1" t="n">
        <v>46307</v>
      </c>
      <c r="F5587" t="inlineStr">
        <is>
          <t>VÄRMLANDS LÄN</t>
        </is>
      </c>
      <c r="G5587" t="inlineStr">
        <is>
          <t>TORSBY</t>
        </is>
      </c>
      <c r="I5587" t="n">
        <v>0.4</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53493-2025</t>
        </is>
      </c>
      <c r="B5588" t="inlineStr">
        <is>
          <t>avverkningsanmälan</t>
        </is>
      </c>
      <c r="C5588" t="inlineStr">
        <is>
          <t>Avverkning för annat ändamål</t>
        </is>
      </c>
      <c r="D5588" s="1" t="n">
        <v>45960</v>
      </c>
      <c r="E5588" s="1" t="n">
        <v>46307</v>
      </c>
      <c r="F5588" t="inlineStr">
        <is>
          <t>VÄRMLANDS LÄN</t>
        </is>
      </c>
      <c r="G5588" t="inlineStr">
        <is>
          <t>TORSBY</t>
        </is>
      </c>
      <c r="H5588" t="inlineStr">
        <is>
          <t>Bergvik skog väst AB</t>
        </is>
      </c>
      <c r="I5588" t="n">
        <v>5.6</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19938-2025</t>
        </is>
      </c>
      <c r="B5589" t="inlineStr">
        <is>
          <t>avverkningsanmälan</t>
        </is>
      </c>
      <c r="C5589" t="inlineStr">
        <is>
          <t>Föryngringsavverkning</t>
        </is>
      </c>
      <c r="D5589" s="1" t="n">
        <v>45771</v>
      </c>
      <c r="E5589" s="1" t="n">
        <v>46307</v>
      </c>
      <c r="F5589" t="inlineStr">
        <is>
          <t>VÄRMLANDS LÄN</t>
        </is>
      </c>
      <c r="G5589" t="inlineStr">
        <is>
          <t>SUNNE</t>
        </is>
      </c>
      <c r="I5589" t="n">
        <v>1.7</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53430-2025</t>
        </is>
      </c>
      <c r="B5590" t="inlineStr">
        <is>
          <t>avverkningsanmälan</t>
        </is>
      </c>
      <c r="C5590" t="inlineStr">
        <is>
          <t>Föryngringsavverkning</t>
        </is>
      </c>
      <c r="D5590" s="1" t="n">
        <v>45959</v>
      </c>
      <c r="E5590" s="1" t="n">
        <v>46307</v>
      </c>
      <c r="F5590" t="inlineStr">
        <is>
          <t>VÄRMLANDS LÄN</t>
        </is>
      </c>
      <c r="G5590" t="inlineStr">
        <is>
          <t>ARVIKA</t>
        </is>
      </c>
      <c r="H5590" t="inlineStr">
        <is>
          <t>Bergvik skog väst AB</t>
        </is>
      </c>
      <c r="I5590" t="n">
        <v>2.6</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19941-2025</t>
        </is>
      </c>
      <c r="B5591" t="inlineStr">
        <is>
          <t>avverkningsanmälan</t>
        </is>
      </c>
      <c r="C5591" t="inlineStr">
        <is>
          <t>Föryngringsavverkning</t>
        </is>
      </c>
      <c r="D5591" s="1" t="n">
        <v>45771</v>
      </c>
      <c r="E5591" s="1" t="n">
        <v>46307</v>
      </c>
      <c r="F5591" t="inlineStr">
        <is>
          <t>VÄRMLANDS LÄN</t>
        </is>
      </c>
      <c r="G5591" t="inlineStr">
        <is>
          <t>SUNNE</t>
        </is>
      </c>
      <c r="I5591" t="n">
        <v>1.6</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53620-2025</t>
        </is>
      </c>
      <c r="B5592" t="inlineStr">
        <is>
          <t>avverkningsanmälan</t>
        </is>
      </c>
      <c r="C5592" t="inlineStr">
        <is>
          <t>Föryngringsavverkning</t>
        </is>
      </c>
      <c r="D5592" s="1" t="n">
        <v>45960</v>
      </c>
      <c r="E5592" s="1" t="n">
        <v>46307</v>
      </c>
      <c r="F5592" t="inlineStr">
        <is>
          <t>VÄRMLANDS LÄN</t>
        </is>
      </c>
      <c r="G5592" t="inlineStr">
        <is>
          <t>HAGFORS</t>
        </is>
      </c>
      <c r="H5592" t="inlineStr">
        <is>
          <t>Bergvik skog väst AB</t>
        </is>
      </c>
      <c r="I5592" t="n">
        <v>2.7</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53488-2025</t>
        </is>
      </c>
      <c r="B5593" t="inlineStr">
        <is>
          <t>avverkningsanmälan</t>
        </is>
      </c>
      <c r="C5593" t="inlineStr">
        <is>
          <t>Föryngringsavverkning</t>
        </is>
      </c>
      <c r="D5593" s="1" t="n">
        <v>45960</v>
      </c>
      <c r="E5593" s="1" t="n">
        <v>46307</v>
      </c>
      <c r="F5593" t="inlineStr">
        <is>
          <t>VÄRMLANDS LÄN</t>
        </is>
      </c>
      <c r="G5593" t="inlineStr">
        <is>
          <t>ARVIKA</t>
        </is>
      </c>
      <c r="I5593" t="n">
        <v>4.5</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53763-2025</t>
        </is>
      </c>
      <c r="B5594" t="inlineStr">
        <is>
          <t>avverkningsanmälan</t>
        </is>
      </c>
      <c r="C5594" t="inlineStr">
        <is>
          <t>Avverkning för att bevara och utveckla /försöksver</t>
        </is>
      </c>
      <c r="D5594" s="1" t="n">
        <v>45960</v>
      </c>
      <c r="E5594" s="1" t="n">
        <v>46307</v>
      </c>
      <c r="F5594" t="inlineStr">
        <is>
          <t>VÄRMLANDS LÄN</t>
        </is>
      </c>
      <c r="G5594" t="inlineStr">
        <is>
          <t>TORSBY</t>
        </is>
      </c>
      <c r="H5594" t="inlineStr">
        <is>
          <t>Bergvik skog väst AB</t>
        </is>
      </c>
      <c r="I5594" t="n">
        <v>1.3</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53677-2025</t>
        </is>
      </c>
      <c r="B5595" t="inlineStr">
        <is>
          <t>avverkningsanmälan</t>
        </is>
      </c>
      <c r="C5595" t="inlineStr">
        <is>
          <t>Föryngringsavverkning</t>
        </is>
      </c>
      <c r="D5595" s="1" t="n">
        <v>45960</v>
      </c>
      <c r="E5595" s="1" t="n">
        <v>46307</v>
      </c>
      <c r="F5595" t="inlineStr">
        <is>
          <t>VÄRMLANDS LÄN</t>
        </is>
      </c>
      <c r="G5595" t="inlineStr">
        <is>
          <t>TORSBY</t>
        </is>
      </c>
      <c r="H5595" t="inlineStr">
        <is>
          <t>Bergvik skog väst AB</t>
        </is>
      </c>
      <c r="I5595" t="n">
        <v>9</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53687-2025</t>
        </is>
      </c>
      <c r="B5596" t="inlineStr">
        <is>
          <t>avverkningsanmälan</t>
        </is>
      </c>
      <c r="C5596" t="inlineStr">
        <is>
          <t>Föryngringsavverkning</t>
        </is>
      </c>
      <c r="D5596" s="1" t="n">
        <v>45960</v>
      </c>
      <c r="E5596" s="1" t="n">
        <v>46307</v>
      </c>
      <c r="F5596" t="inlineStr">
        <is>
          <t>VÄRMLANDS LÄN</t>
        </is>
      </c>
      <c r="G5596" t="inlineStr">
        <is>
          <t>SUNNE</t>
        </is>
      </c>
      <c r="H5596" t="inlineStr">
        <is>
          <t>Bergvik skog väst AB</t>
        </is>
      </c>
      <c r="I5596" t="n">
        <v>1.5</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53574-2025</t>
        </is>
      </c>
      <c r="B5597" t="inlineStr">
        <is>
          <t>avverkningsanmälan</t>
        </is>
      </c>
      <c r="C5597" t="inlineStr">
        <is>
          <t>Föryngringsavverkning</t>
        </is>
      </c>
      <c r="D5597" s="1" t="n">
        <v>45960</v>
      </c>
      <c r="E5597" s="1" t="n">
        <v>46307</v>
      </c>
      <c r="F5597" t="inlineStr">
        <is>
          <t>VÄRMLANDS LÄN</t>
        </is>
      </c>
      <c r="G5597" t="inlineStr">
        <is>
          <t>HAGFORS</t>
        </is>
      </c>
      <c r="H5597" t="inlineStr">
        <is>
          <t>Bergvik skog väst AB</t>
        </is>
      </c>
      <c r="I5597" t="n">
        <v>6.3</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53325-2025</t>
        </is>
      </c>
      <c r="B5598" t="inlineStr">
        <is>
          <t>avverkningsanmälan</t>
        </is>
      </c>
      <c r="C5598" t="inlineStr">
        <is>
          <t>Föryngringsavverkning</t>
        </is>
      </c>
      <c r="D5598" s="1" t="n">
        <v>45959</v>
      </c>
      <c r="E5598" s="1" t="n">
        <v>46307</v>
      </c>
      <c r="F5598" t="inlineStr">
        <is>
          <t>VÄRMLANDS LÄN</t>
        </is>
      </c>
      <c r="G5598" t="inlineStr">
        <is>
          <t>FILIPSTAD</t>
        </is>
      </c>
      <c r="H5598" t="inlineStr">
        <is>
          <t>Kyrkan</t>
        </is>
      </c>
      <c r="I5598" t="n">
        <v>9</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53383-2025</t>
        </is>
      </c>
      <c r="B5599" t="inlineStr">
        <is>
          <t>avverkningsanmälan</t>
        </is>
      </c>
      <c r="C5599" t="inlineStr">
        <is>
          <t>Föryngringsavverkning</t>
        </is>
      </c>
      <c r="D5599" s="1" t="n">
        <v>45959</v>
      </c>
      <c r="E5599" s="1" t="n">
        <v>46307</v>
      </c>
      <c r="F5599" t="inlineStr">
        <is>
          <t>VÄRMLANDS LÄN</t>
        </is>
      </c>
      <c r="G5599" t="inlineStr">
        <is>
          <t>TORSBY</t>
        </is>
      </c>
      <c r="I5599" t="n">
        <v>0.5</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53524-2025</t>
        </is>
      </c>
      <c r="B5600" t="inlineStr">
        <is>
          <t>avverkningsanmälan</t>
        </is>
      </c>
      <c r="C5600" t="inlineStr">
        <is>
          <t>Föryngringsavverkning</t>
        </is>
      </c>
      <c r="D5600" s="1" t="n">
        <v>45960</v>
      </c>
      <c r="E5600" s="1" t="n">
        <v>46307</v>
      </c>
      <c r="F5600" t="inlineStr">
        <is>
          <t>VÄRMLANDS LÄN</t>
        </is>
      </c>
      <c r="G5600" t="inlineStr">
        <is>
          <t>MUNKFORS</t>
        </is>
      </c>
      <c r="I5600" t="n">
        <v>1.9</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53395-2025</t>
        </is>
      </c>
      <c r="B5601" t="inlineStr">
        <is>
          <t>avverkningsanmälan</t>
        </is>
      </c>
      <c r="C5601" t="inlineStr">
        <is>
          <t>Föryngringsavverkning</t>
        </is>
      </c>
      <c r="D5601" s="1" t="n">
        <v>45959</v>
      </c>
      <c r="E5601" s="1" t="n">
        <v>46307</v>
      </c>
      <c r="F5601" t="inlineStr">
        <is>
          <t>VÄRMLANDS LÄN</t>
        </is>
      </c>
      <c r="G5601" t="inlineStr">
        <is>
          <t>FILIPSTAD</t>
        </is>
      </c>
      <c r="H5601" t="inlineStr">
        <is>
          <t>Kyrkan</t>
        </is>
      </c>
      <c r="I5601" t="n">
        <v>4</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53695-2025</t>
        </is>
      </c>
      <c r="B5602" t="inlineStr">
        <is>
          <t>avverkningsanmälan</t>
        </is>
      </c>
      <c r="C5602" t="inlineStr">
        <is>
          <t>Föryngringsavverkning</t>
        </is>
      </c>
      <c r="D5602" s="1" t="n">
        <v>45960</v>
      </c>
      <c r="E5602" s="1" t="n">
        <v>46307</v>
      </c>
      <c r="F5602" t="inlineStr">
        <is>
          <t>VÄRMLANDS LÄN</t>
        </is>
      </c>
      <c r="G5602" t="inlineStr">
        <is>
          <t>SUNNE</t>
        </is>
      </c>
      <c r="H5602" t="inlineStr">
        <is>
          <t>Bergvik skog väst AB</t>
        </is>
      </c>
      <c r="I5602" t="n">
        <v>4.1</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53751-2025</t>
        </is>
      </c>
      <c r="B5603" t="inlineStr">
        <is>
          <t>avverkningsanmälan</t>
        </is>
      </c>
      <c r="C5603" t="inlineStr">
        <is>
          <t>Föryngringsavverkning</t>
        </is>
      </c>
      <c r="D5603" s="1" t="n">
        <v>45960</v>
      </c>
      <c r="E5603" s="1" t="n">
        <v>46307</v>
      </c>
      <c r="F5603" t="inlineStr">
        <is>
          <t>VÄRMLANDS LÄN</t>
        </is>
      </c>
      <c r="G5603" t="inlineStr">
        <is>
          <t>ÅRJÄNG</t>
        </is>
      </c>
      <c r="I5603" t="n">
        <v>1.4</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53752-2025</t>
        </is>
      </c>
      <c r="B5604" t="inlineStr">
        <is>
          <t>avverkningsanmälan</t>
        </is>
      </c>
      <c r="C5604" t="inlineStr">
        <is>
          <t>Föryngringsavverkning</t>
        </is>
      </c>
      <c r="D5604" s="1" t="n">
        <v>45960</v>
      </c>
      <c r="E5604" s="1" t="n">
        <v>46307</v>
      </c>
      <c r="F5604" t="inlineStr">
        <is>
          <t>VÄRMLANDS LÄN</t>
        </is>
      </c>
      <c r="G5604" t="inlineStr">
        <is>
          <t>ÅRJÄNG</t>
        </is>
      </c>
      <c r="I5604" t="n">
        <v>1.8</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53405-2025</t>
        </is>
      </c>
      <c r="B5605" t="inlineStr">
        <is>
          <t>avverkningsanmälan</t>
        </is>
      </c>
      <c r="C5605" t="inlineStr">
        <is>
          <t>Föryngringsavverkning</t>
        </is>
      </c>
      <c r="D5605" s="1" t="n">
        <v>45959</v>
      </c>
      <c r="E5605" s="1" t="n">
        <v>46307</v>
      </c>
      <c r="F5605" t="inlineStr">
        <is>
          <t>VÄRMLANDS LÄN</t>
        </is>
      </c>
      <c r="G5605" t="inlineStr">
        <is>
          <t>KRISTINEHAMN</t>
        </is>
      </c>
      <c r="H5605" t="inlineStr">
        <is>
          <t>Naturvårdsverket</t>
        </is>
      </c>
      <c r="I5605" t="n">
        <v>4.6</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23660-2023</t>
        </is>
      </c>
      <c r="B5606" t="inlineStr">
        <is>
          <t>avverkningsanmälan</t>
        </is>
      </c>
      <c r="C5606" t="inlineStr">
        <is>
          <t>Föryngringsavverkning</t>
        </is>
      </c>
      <c r="D5606" s="1" t="n">
        <v>45077</v>
      </c>
      <c r="E5606" s="1" t="n">
        <v>46307</v>
      </c>
      <c r="F5606" t="inlineStr">
        <is>
          <t>VÄRMLANDS LÄN</t>
        </is>
      </c>
      <c r="G5606" t="inlineStr">
        <is>
          <t>ARVIKA</t>
        </is>
      </c>
      <c r="H5606" t="inlineStr">
        <is>
          <t>Bergvik skog väst AB</t>
        </is>
      </c>
      <c r="I5606" t="n">
        <v>1.1</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19292-2025</t>
        </is>
      </c>
      <c r="B5607" t="inlineStr">
        <is>
          <t>avverkningsanmälan</t>
        </is>
      </c>
      <c r="C5607" t="inlineStr">
        <is>
          <t>Föryngringsavverkning</t>
        </is>
      </c>
      <c r="D5607" s="1" t="n">
        <v>45769</v>
      </c>
      <c r="E5607" s="1" t="n">
        <v>46307</v>
      </c>
      <c r="F5607" t="inlineStr">
        <is>
          <t>VÄRMLANDS LÄN</t>
        </is>
      </c>
      <c r="G5607" t="inlineStr">
        <is>
          <t>KRISTINEHAMN</t>
        </is>
      </c>
      <c r="H5607" t="inlineStr">
        <is>
          <t>Kyrkan</t>
        </is>
      </c>
      <c r="I5607" t="n">
        <v>0.8</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51199-2023</t>
        </is>
      </c>
      <c r="B5608" t="inlineStr">
        <is>
          <t>avverkningsanmälan</t>
        </is>
      </c>
      <c r="C5608" t="inlineStr">
        <is>
          <t>Föryngringsavverkning</t>
        </is>
      </c>
      <c r="D5608" s="1" t="n">
        <v>45219</v>
      </c>
      <c r="E5608" s="1" t="n">
        <v>46307</v>
      </c>
      <c r="F5608" t="inlineStr">
        <is>
          <t>VÄRMLANDS LÄN</t>
        </is>
      </c>
      <c r="G5608" t="inlineStr">
        <is>
          <t>TORSBY</t>
        </is>
      </c>
      <c r="I5608" t="n">
        <v>4.8</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22192-2022</t>
        </is>
      </c>
      <c r="B5609" t="inlineStr">
        <is>
          <t>avverkningsanmälan</t>
        </is>
      </c>
      <c r="C5609" t="inlineStr">
        <is>
          <t>Föryngringsavverkning</t>
        </is>
      </c>
      <c r="D5609" s="1" t="n">
        <v>44712</v>
      </c>
      <c r="E5609" s="1" t="n">
        <v>46307</v>
      </c>
      <c r="F5609" t="inlineStr">
        <is>
          <t>VÄRMLANDS LÄN</t>
        </is>
      </c>
      <c r="G5609" t="inlineStr">
        <is>
          <t>SUNNE</t>
        </is>
      </c>
      <c r="I5609" t="n">
        <v>6.1</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40807-2023</t>
        </is>
      </c>
      <c r="B5610" t="inlineStr">
        <is>
          <t>avverkningsanmälan</t>
        </is>
      </c>
      <c r="C5610" t="inlineStr">
        <is>
          <t>Föryngringsavverkning</t>
        </is>
      </c>
      <c r="D5610" s="1" t="n">
        <v>45171</v>
      </c>
      <c r="E5610" s="1" t="n">
        <v>46307</v>
      </c>
      <c r="F5610" t="inlineStr">
        <is>
          <t>VÄRMLANDS LÄN</t>
        </is>
      </c>
      <c r="G5610" t="inlineStr">
        <is>
          <t>SÄFFLE</t>
        </is>
      </c>
      <c r="I5610" t="n">
        <v>1.6</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11091-2023</t>
        </is>
      </c>
      <c r="B5611" t="inlineStr">
        <is>
          <t>avverkningsanmälan</t>
        </is>
      </c>
      <c r="C5611" t="inlineStr">
        <is>
          <t>Föryngringsavverkning</t>
        </is>
      </c>
      <c r="D5611" s="1" t="n">
        <v>44992</v>
      </c>
      <c r="E5611" s="1" t="n">
        <v>46307</v>
      </c>
      <c r="F5611" t="inlineStr">
        <is>
          <t>VÄRMLANDS LÄN</t>
        </is>
      </c>
      <c r="G5611" t="inlineStr">
        <is>
          <t>ARVIKA</t>
        </is>
      </c>
      <c r="I5611" t="n">
        <v>9.800000000000001</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54669-2024</t>
        </is>
      </c>
      <c r="B5612" t="inlineStr">
        <is>
          <t>avverkningsanmälan</t>
        </is>
      </c>
      <c r="C5612" t="inlineStr">
        <is>
          <t>Föryngringsavverkning</t>
        </is>
      </c>
      <c r="D5612" s="1" t="n">
        <v>45618</v>
      </c>
      <c r="E5612" s="1" t="n">
        <v>46307</v>
      </c>
      <c r="F5612" t="inlineStr">
        <is>
          <t>VÄRMLANDS LÄN</t>
        </is>
      </c>
      <c r="G5612" t="inlineStr">
        <is>
          <t>KARLSTAD</t>
        </is>
      </c>
      <c r="I5612" t="n">
        <v>3.2</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40835-2023</t>
        </is>
      </c>
      <c r="B5613" t="inlineStr">
        <is>
          <t>avverkningsanmälan</t>
        </is>
      </c>
      <c r="C5613" t="inlineStr">
        <is>
          <t>Föryngringsavverkning</t>
        </is>
      </c>
      <c r="D5613" s="1" t="n">
        <v>45172</v>
      </c>
      <c r="E5613" s="1" t="n">
        <v>46307</v>
      </c>
      <c r="F5613" t="inlineStr">
        <is>
          <t>VÄRMLANDS LÄN</t>
        </is>
      </c>
      <c r="G5613" t="inlineStr">
        <is>
          <t>HAGFORS</t>
        </is>
      </c>
      <c r="I5613" t="n">
        <v>4.7</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6109-2025</t>
        </is>
      </c>
      <c r="B5614" t="inlineStr">
        <is>
          <t>avverkningsanmälan</t>
        </is>
      </c>
      <c r="C5614" t="inlineStr">
        <is>
          <t>Föryngringsavverkning</t>
        </is>
      </c>
      <c r="D5614" s="1" t="n">
        <v>45698</v>
      </c>
      <c r="E5614" s="1" t="n">
        <v>46307</v>
      </c>
      <c r="F5614" t="inlineStr">
        <is>
          <t>VÄRMLANDS LÄN</t>
        </is>
      </c>
      <c r="G5614" t="inlineStr">
        <is>
          <t>ÅRJÄNG</t>
        </is>
      </c>
      <c r="I5614" t="n">
        <v>4.1</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52224-2023</t>
        </is>
      </c>
      <c r="B5615" t="inlineStr">
        <is>
          <t>avverkningsanmälan</t>
        </is>
      </c>
      <c r="C5615" t="inlineStr">
        <is>
          <t>Avverkning för annat ändamål</t>
        </is>
      </c>
      <c r="D5615" s="1" t="n">
        <v>45224</v>
      </c>
      <c r="E5615" s="1" t="n">
        <v>46307</v>
      </c>
      <c r="F5615" t="inlineStr">
        <is>
          <t>VÄRMLANDS LÄN</t>
        </is>
      </c>
      <c r="G5615" t="inlineStr">
        <is>
          <t>HAGFORS</t>
        </is>
      </c>
      <c r="I5615" t="n">
        <v>0</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20236-2022</t>
        </is>
      </c>
      <c r="B5616" t="inlineStr">
        <is>
          <t>avverkningsanmälan</t>
        </is>
      </c>
      <c r="C5616" t="inlineStr">
        <is>
          <t>Föryngringsavverkning</t>
        </is>
      </c>
      <c r="D5616" s="1" t="n">
        <v>44698</v>
      </c>
      <c r="E5616" s="1" t="n">
        <v>46307</v>
      </c>
      <c r="F5616" t="inlineStr">
        <is>
          <t>VÄRMLANDS LÄN</t>
        </is>
      </c>
      <c r="G5616" t="inlineStr">
        <is>
          <t>SUNNE</t>
        </is>
      </c>
      <c r="H5616" t="inlineStr">
        <is>
          <t>Övriga Aktiebolag</t>
        </is>
      </c>
      <c r="I5616" t="n">
        <v>4.1</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1153-2023</t>
        </is>
      </c>
      <c r="B5617" t="inlineStr">
        <is>
          <t>avverkningsanmälan</t>
        </is>
      </c>
      <c r="C5617" t="inlineStr">
        <is>
          <t>Föryngringsavverkning</t>
        </is>
      </c>
      <c r="D5617" s="1" t="n">
        <v>44935</v>
      </c>
      <c r="E5617" s="1" t="n">
        <v>46307</v>
      </c>
      <c r="F5617" t="inlineStr">
        <is>
          <t>VÄRMLANDS LÄN</t>
        </is>
      </c>
      <c r="G5617" t="inlineStr">
        <is>
          <t>ÅRJÄNG</t>
        </is>
      </c>
      <c r="I5617" t="n">
        <v>3.2</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56671-2023</t>
        </is>
      </c>
      <c r="B5618" t="inlineStr">
        <is>
          <t>avverkningsanmälan</t>
        </is>
      </c>
      <c r="C5618" t="inlineStr">
        <is>
          <t>Föryngringsavverkning</t>
        </is>
      </c>
      <c r="D5618" s="1" t="n">
        <v>45243</v>
      </c>
      <c r="E5618" s="1" t="n">
        <v>46307</v>
      </c>
      <c r="F5618" t="inlineStr">
        <is>
          <t>VÄRMLANDS LÄN</t>
        </is>
      </c>
      <c r="G5618" t="inlineStr">
        <is>
          <t>KRISTINEHAMN</t>
        </is>
      </c>
      <c r="I5618" t="n">
        <v>8.699999999999999</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31449-2025</t>
        </is>
      </c>
      <c r="B5619" t="inlineStr">
        <is>
          <t>avverkningsanmälan</t>
        </is>
      </c>
      <c r="C5619" t="inlineStr">
        <is>
          <t>Föryngringsavverkning</t>
        </is>
      </c>
      <c r="D5619" s="1" t="n">
        <v>45833</v>
      </c>
      <c r="E5619" s="1" t="n">
        <v>46307</v>
      </c>
      <c r="F5619" t="inlineStr">
        <is>
          <t>VÄRMLANDS LÄN</t>
        </is>
      </c>
      <c r="G5619" t="inlineStr">
        <is>
          <t>KRISTINEHAMN</t>
        </is>
      </c>
      <c r="I5619" t="n">
        <v>5</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25186-2022</t>
        </is>
      </c>
      <c r="B5620" t="inlineStr">
        <is>
          <t>avverkningsanmälan</t>
        </is>
      </c>
      <c r="C5620" t="inlineStr">
        <is>
          <t>Föryngringsavverkning</t>
        </is>
      </c>
      <c r="D5620" s="1" t="n">
        <v>44729</v>
      </c>
      <c r="E5620" s="1" t="n">
        <v>46307</v>
      </c>
      <c r="F5620" t="inlineStr">
        <is>
          <t>VÄRMLANDS LÄN</t>
        </is>
      </c>
      <c r="G5620" t="inlineStr">
        <is>
          <t>ARVIKA</t>
        </is>
      </c>
      <c r="H5620" t="inlineStr">
        <is>
          <t>Bergvik skog väst AB</t>
        </is>
      </c>
      <c r="I5620" t="n">
        <v>1.1</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20696-2023</t>
        </is>
      </c>
      <c r="B5621" t="inlineStr">
        <is>
          <t>avverkningsanmälan</t>
        </is>
      </c>
      <c r="C5621" t="inlineStr">
        <is>
          <t>Föryngringsavverkning</t>
        </is>
      </c>
      <c r="D5621" s="1" t="n">
        <v>45058</v>
      </c>
      <c r="E5621" s="1" t="n">
        <v>46307</v>
      </c>
      <c r="F5621" t="inlineStr">
        <is>
          <t>VÄRMLANDS LÄN</t>
        </is>
      </c>
      <c r="G5621" t="inlineStr">
        <is>
          <t>KRISTINEHAMN</t>
        </is>
      </c>
      <c r="H5621" t="inlineStr">
        <is>
          <t>Kommuner</t>
        </is>
      </c>
      <c r="I5621" t="n">
        <v>7.4</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53960-2025</t>
        </is>
      </c>
      <c r="B5622" t="inlineStr">
        <is>
          <t>avverkningsanmälan</t>
        </is>
      </c>
      <c r="C5622" t="inlineStr">
        <is>
          <t>Föryngringsavverkning</t>
        </is>
      </c>
      <c r="D5622" s="1" t="n">
        <v>45961</v>
      </c>
      <c r="E5622" s="1" t="n">
        <v>46307</v>
      </c>
      <c r="F5622" t="inlineStr">
        <is>
          <t>VÄRMLANDS LÄN</t>
        </is>
      </c>
      <c r="G5622" t="inlineStr">
        <is>
          <t>ARVIKA</t>
        </is>
      </c>
      <c r="I5622" t="n">
        <v>2</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31850-2025</t>
        </is>
      </c>
      <c r="B5623" t="inlineStr">
        <is>
          <t>avverkningsanmälan</t>
        </is>
      </c>
      <c r="C5623" t="inlineStr">
        <is>
          <t>Föryngringsavverkning</t>
        </is>
      </c>
      <c r="D5623" s="1" t="n">
        <v>45834</v>
      </c>
      <c r="E5623" s="1" t="n">
        <v>46307</v>
      </c>
      <c r="F5623" t="inlineStr">
        <is>
          <t>VÄRMLANDS LÄN</t>
        </is>
      </c>
      <c r="G5623" t="inlineStr">
        <is>
          <t>TORSBY</t>
        </is>
      </c>
      <c r="I5623" t="n">
        <v>0.5</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59278-2023</t>
        </is>
      </c>
      <c r="B5624" t="inlineStr">
        <is>
          <t>avverkningsanmälan</t>
        </is>
      </c>
      <c r="C5624" t="inlineStr">
        <is>
          <t>Föryngringsavverkning</t>
        </is>
      </c>
      <c r="D5624" s="1" t="n">
        <v>45253</v>
      </c>
      <c r="E5624" s="1" t="n">
        <v>46307</v>
      </c>
      <c r="F5624" t="inlineStr">
        <is>
          <t>VÄRMLANDS LÄN</t>
        </is>
      </c>
      <c r="G5624" t="inlineStr">
        <is>
          <t>EDA</t>
        </is>
      </c>
      <c r="I5624" t="n">
        <v>2.5</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54766-2023</t>
        </is>
      </c>
      <c r="B5625" t="inlineStr">
        <is>
          <t>avverkningsanmälan</t>
        </is>
      </c>
      <c r="C5625" t="inlineStr">
        <is>
          <t>Avverkning för annat ändamål</t>
        </is>
      </c>
      <c r="D5625" s="1" t="n">
        <v>45236</v>
      </c>
      <c r="E5625" s="1" t="n">
        <v>46307</v>
      </c>
      <c r="F5625" t="inlineStr">
        <is>
          <t>VÄRMLANDS LÄN</t>
        </is>
      </c>
      <c r="G5625" t="inlineStr">
        <is>
          <t>TORSBY</t>
        </is>
      </c>
      <c r="I5625" t="n">
        <v>0.6</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31327-2025</t>
        </is>
      </c>
      <c r="B5626" t="inlineStr">
        <is>
          <t>avverkningsanmälan</t>
        </is>
      </c>
      <c r="C5626" t="inlineStr">
        <is>
          <t>Föryngringsavverkning</t>
        </is>
      </c>
      <c r="D5626" s="1" t="n">
        <v>45833</v>
      </c>
      <c r="E5626" s="1" t="n">
        <v>46307</v>
      </c>
      <c r="F5626" t="inlineStr">
        <is>
          <t>VÄRMLANDS LÄN</t>
        </is>
      </c>
      <c r="G5626" t="inlineStr">
        <is>
          <t>KRISTINEHAMN</t>
        </is>
      </c>
      <c r="I5626" t="n">
        <v>20.1</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31372-2025</t>
        </is>
      </c>
      <c r="B5627" t="inlineStr">
        <is>
          <t>avverkningsanmälan</t>
        </is>
      </c>
      <c r="C5627" t="inlineStr">
        <is>
          <t>Föryngringsavverkning</t>
        </is>
      </c>
      <c r="D5627" s="1" t="n">
        <v>45833</v>
      </c>
      <c r="E5627" s="1" t="n">
        <v>46307</v>
      </c>
      <c r="F5627" t="inlineStr">
        <is>
          <t>VÄRMLANDS LÄN</t>
        </is>
      </c>
      <c r="G5627" t="inlineStr">
        <is>
          <t>ARVIKA</t>
        </is>
      </c>
      <c r="H5627" t="inlineStr">
        <is>
          <t>Bergvik skog väst AB</t>
        </is>
      </c>
      <c r="I5627" t="n">
        <v>2.6</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15836-2022</t>
        </is>
      </c>
      <c r="B5628" t="inlineStr">
        <is>
          <t>avverkningsanmälan</t>
        </is>
      </c>
      <c r="C5628" t="inlineStr">
        <is>
          <t>Föryngringsavverkning</t>
        </is>
      </c>
      <c r="D5628" s="1" t="n">
        <v>44664</v>
      </c>
      <c r="E5628" s="1" t="n">
        <v>46307</v>
      </c>
      <c r="F5628" t="inlineStr">
        <is>
          <t>VÄRMLANDS LÄN</t>
        </is>
      </c>
      <c r="G5628" t="inlineStr">
        <is>
          <t>KARLSTAD</t>
        </is>
      </c>
      <c r="I5628" t="n">
        <v>5.6</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19030-2022</t>
        </is>
      </c>
      <c r="B5629" t="inlineStr">
        <is>
          <t>avverkningsanmälan</t>
        </is>
      </c>
      <c r="C5629" t="inlineStr">
        <is>
          <t>Föryngringsavverkning</t>
        </is>
      </c>
      <c r="D5629" s="1" t="n">
        <v>44691</v>
      </c>
      <c r="E5629" s="1" t="n">
        <v>46307</v>
      </c>
      <c r="F5629" t="inlineStr">
        <is>
          <t>VÄRMLANDS LÄN</t>
        </is>
      </c>
      <c r="G5629" t="inlineStr">
        <is>
          <t>FILIPSTAD</t>
        </is>
      </c>
      <c r="I5629" t="n">
        <v>1.7</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53929-2025</t>
        </is>
      </c>
      <c r="B5630" t="inlineStr">
        <is>
          <t>avverkningsanmälan</t>
        </is>
      </c>
      <c r="C5630" t="inlineStr">
        <is>
          <t>Föryngringsavverkning</t>
        </is>
      </c>
      <c r="D5630" s="1" t="n">
        <v>45961</v>
      </c>
      <c r="E5630" s="1" t="n">
        <v>46307</v>
      </c>
      <c r="F5630" t="inlineStr">
        <is>
          <t>VÄRMLANDS LÄN</t>
        </is>
      </c>
      <c r="G5630" t="inlineStr">
        <is>
          <t>ÅRJÄNG</t>
        </is>
      </c>
      <c r="H5630" t="inlineStr">
        <is>
          <t>Bergvik skog väst AB</t>
        </is>
      </c>
      <c r="I5630" t="n">
        <v>34.3</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31831-2025</t>
        </is>
      </c>
      <c r="B5631" t="inlineStr">
        <is>
          <t>avverkningsanmälan</t>
        </is>
      </c>
      <c r="C5631" t="inlineStr">
        <is>
          <t>Föryngringsavverkning</t>
        </is>
      </c>
      <c r="D5631" s="1" t="n">
        <v>45834</v>
      </c>
      <c r="E5631" s="1" t="n">
        <v>46307</v>
      </c>
      <c r="F5631" t="inlineStr">
        <is>
          <t>VÄRMLANDS LÄN</t>
        </is>
      </c>
      <c r="G5631" t="inlineStr">
        <is>
          <t>FORSHAGA</t>
        </is>
      </c>
      <c r="I5631" t="n">
        <v>0.4</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31906-2025</t>
        </is>
      </c>
      <c r="B5632" t="inlineStr">
        <is>
          <t>avverkningsanmälan</t>
        </is>
      </c>
      <c r="C5632" t="inlineStr">
        <is>
          <t>Föryngringsavverkning</t>
        </is>
      </c>
      <c r="D5632" s="1" t="n">
        <v>45834</v>
      </c>
      <c r="E5632" s="1" t="n">
        <v>46307</v>
      </c>
      <c r="F5632" t="inlineStr">
        <is>
          <t>VÄRMLANDS LÄN</t>
        </is>
      </c>
      <c r="G5632" t="inlineStr">
        <is>
          <t>TORSBY</t>
        </is>
      </c>
      <c r="I5632" t="n">
        <v>9.800000000000001</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31250-2025</t>
        </is>
      </c>
      <c r="B5633" t="inlineStr">
        <is>
          <t>avverkningsanmälan</t>
        </is>
      </c>
      <c r="C5633" t="inlineStr">
        <is>
          <t>Föryngringsavverkning</t>
        </is>
      </c>
      <c r="D5633" s="1" t="n">
        <v>45832</v>
      </c>
      <c r="E5633" s="1" t="n">
        <v>46307</v>
      </c>
      <c r="F5633" t="inlineStr">
        <is>
          <t>VÄRMLANDS LÄN</t>
        </is>
      </c>
      <c r="G5633" t="inlineStr">
        <is>
          <t>KRISTINEHAMN</t>
        </is>
      </c>
      <c r="I5633" t="n">
        <v>6.4</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42480-2023</t>
        </is>
      </c>
      <c r="B5634" t="inlineStr">
        <is>
          <t>avverkningsanmälan</t>
        </is>
      </c>
      <c r="C5634" t="inlineStr">
        <is>
          <t>Föryngringsavverkning</t>
        </is>
      </c>
      <c r="D5634" s="1" t="n">
        <v>45180</v>
      </c>
      <c r="E5634" s="1" t="n">
        <v>46307</v>
      </c>
      <c r="F5634" t="inlineStr">
        <is>
          <t>VÄRMLANDS LÄN</t>
        </is>
      </c>
      <c r="G5634" t="inlineStr">
        <is>
          <t>SUNNE</t>
        </is>
      </c>
      <c r="I5634" t="n">
        <v>3</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31282-2025</t>
        </is>
      </c>
      <c r="B5635" t="inlineStr">
        <is>
          <t>avverkningsanmälan</t>
        </is>
      </c>
      <c r="C5635" t="inlineStr">
        <is>
          <t>Föryngringsavverkning</t>
        </is>
      </c>
      <c r="D5635" s="1" t="n">
        <v>45833</v>
      </c>
      <c r="E5635" s="1" t="n">
        <v>46307</v>
      </c>
      <c r="F5635" t="inlineStr">
        <is>
          <t>VÄRMLANDS LÄN</t>
        </is>
      </c>
      <c r="G5635" t="inlineStr">
        <is>
          <t>ÅRJÄNG</t>
        </is>
      </c>
      <c r="H5635" t="inlineStr">
        <is>
          <t>Bergvik skog väst AB</t>
        </is>
      </c>
      <c r="I5635" t="n">
        <v>0.8</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31331-2025</t>
        </is>
      </c>
      <c r="B5636" t="inlineStr">
        <is>
          <t>avverkningsanmälan</t>
        </is>
      </c>
      <c r="C5636" t="inlineStr">
        <is>
          <t>Föryngringsavverkning</t>
        </is>
      </c>
      <c r="D5636" s="1" t="n">
        <v>45833</v>
      </c>
      <c r="E5636" s="1" t="n">
        <v>46307</v>
      </c>
      <c r="F5636" t="inlineStr">
        <is>
          <t>VÄRMLANDS LÄN</t>
        </is>
      </c>
      <c r="G5636" t="inlineStr">
        <is>
          <t>ARVIKA</t>
        </is>
      </c>
      <c r="H5636" t="inlineStr">
        <is>
          <t>Bergvik skog väst AB</t>
        </is>
      </c>
      <c r="I5636" t="n">
        <v>1.9</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31335-2025</t>
        </is>
      </c>
      <c r="B5637" t="inlineStr">
        <is>
          <t>avverkningsanmälan</t>
        </is>
      </c>
      <c r="C5637" t="inlineStr">
        <is>
          <t>Föryngringsavverkning</t>
        </is>
      </c>
      <c r="D5637" s="1" t="n">
        <v>45833</v>
      </c>
      <c r="E5637" s="1" t="n">
        <v>46307</v>
      </c>
      <c r="F5637" t="inlineStr">
        <is>
          <t>VÄRMLANDS LÄN</t>
        </is>
      </c>
      <c r="G5637" t="inlineStr">
        <is>
          <t>TORSBY</t>
        </is>
      </c>
      <c r="I5637" t="n">
        <v>0.9</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53811-2025</t>
        </is>
      </c>
      <c r="B5638" t="inlineStr">
        <is>
          <t>avverkningsanmälan</t>
        </is>
      </c>
      <c r="C5638" t="inlineStr">
        <is>
          <t>Föryngringsavverkning</t>
        </is>
      </c>
      <c r="D5638" s="1" t="n">
        <v>45960</v>
      </c>
      <c r="E5638" s="1" t="n">
        <v>46307</v>
      </c>
      <c r="F5638" t="inlineStr">
        <is>
          <t>VÄRMLANDS LÄN</t>
        </is>
      </c>
      <c r="G5638" t="inlineStr">
        <is>
          <t>HAGFORS</t>
        </is>
      </c>
      <c r="I5638" t="n">
        <v>1.1</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31710-2025</t>
        </is>
      </c>
      <c r="B5639" t="inlineStr">
        <is>
          <t>avverkningsanmälan</t>
        </is>
      </c>
      <c r="C5639" t="inlineStr">
        <is>
          <t>Föryngringsavverkning</t>
        </is>
      </c>
      <c r="D5639" s="1" t="n">
        <v>45834</v>
      </c>
      <c r="E5639" s="1" t="n">
        <v>46307</v>
      </c>
      <c r="F5639" t="inlineStr">
        <is>
          <t>VÄRMLANDS LÄN</t>
        </is>
      </c>
      <c r="G5639" t="inlineStr">
        <is>
          <t>ÅRJÄNG</t>
        </is>
      </c>
      <c r="I5639" t="n">
        <v>1.6</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21443-2022</t>
        </is>
      </c>
      <c r="B5640" t="inlineStr">
        <is>
          <t>avverkningsanmälan</t>
        </is>
      </c>
      <c r="C5640" t="inlineStr">
        <is>
          <t>Föryngringsavverkning</t>
        </is>
      </c>
      <c r="D5640" s="1" t="n">
        <v>44706</v>
      </c>
      <c r="E5640" s="1" t="n">
        <v>46307</v>
      </c>
      <c r="F5640" t="inlineStr">
        <is>
          <t>VÄRMLANDS LÄN</t>
        </is>
      </c>
      <c r="G5640" t="inlineStr">
        <is>
          <t>ÅRJÄNG</t>
        </is>
      </c>
      <c r="I5640" t="n">
        <v>3.5</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58062-2024</t>
        </is>
      </c>
      <c r="B5641" t="inlineStr">
        <is>
          <t>avverkningsanmälan</t>
        </is>
      </c>
      <c r="C5641" t="inlineStr">
        <is>
          <t>Föryngringsavverkning</t>
        </is>
      </c>
      <c r="D5641" s="1" t="n">
        <v>45631</v>
      </c>
      <c r="E5641" s="1" t="n">
        <v>46307</v>
      </c>
      <c r="F5641" t="inlineStr">
        <is>
          <t>VÄRMLANDS LÄN</t>
        </is>
      </c>
      <c r="G5641" t="inlineStr">
        <is>
          <t>ARVIKA</t>
        </is>
      </c>
      <c r="I5641" t="n">
        <v>1.5</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53819-2025</t>
        </is>
      </c>
      <c r="B5642" t="inlineStr">
        <is>
          <t>avverkningsanmälan</t>
        </is>
      </c>
      <c r="C5642" t="inlineStr">
        <is>
          <t>Föryngringsavverkning</t>
        </is>
      </c>
      <c r="D5642" s="1" t="n">
        <v>45961</v>
      </c>
      <c r="E5642" s="1" t="n">
        <v>46307</v>
      </c>
      <c r="F5642" t="inlineStr">
        <is>
          <t>VÄRMLANDS LÄN</t>
        </is>
      </c>
      <c r="G5642" t="inlineStr">
        <is>
          <t>KRISTINEHAMN</t>
        </is>
      </c>
      <c r="H5642" t="inlineStr">
        <is>
          <t>Naturvårdsverket</t>
        </is>
      </c>
      <c r="I5642" t="n">
        <v>3.4</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22201-2022</t>
        </is>
      </c>
      <c r="B5643" t="inlineStr">
        <is>
          <t>avverkningsanmälan</t>
        </is>
      </c>
      <c r="C5643" t="inlineStr">
        <is>
          <t>Föryngringsavverkning</t>
        </is>
      </c>
      <c r="D5643" s="1" t="n">
        <v>44712</v>
      </c>
      <c r="E5643" s="1" t="n">
        <v>46307</v>
      </c>
      <c r="F5643" t="inlineStr">
        <is>
          <t>VÄRMLANDS LÄN</t>
        </is>
      </c>
      <c r="G5643" t="inlineStr">
        <is>
          <t>KRISTINEHAMN</t>
        </is>
      </c>
      <c r="I5643" t="n">
        <v>8</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31883-2025</t>
        </is>
      </c>
      <c r="B5644" t="inlineStr">
        <is>
          <t>avverkningsanmälan</t>
        </is>
      </c>
      <c r="C5644" t="inlineStr">
        <is>
          <t>Föryngringsavverkning</t>
        </is>
      </c>
      <c r="D5644" s="1" t="n">
        <v>45834</v>
      </c>
      <c r="E5644" s="1" t="n">
        <v>46307</v>
      </c>
      <c r="F5644" t="inlineStr">
        <is>
          <t>VÄRMLANDS LÄN</t>
        </is>
      </c>
      <c r="G5644" t="inlineStr">
        <is>
          <t>FILIPSTAD</t>
        </is>
      </c>
      <c r="I5644" t="n">
        <v>18.7</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54048-2025</t>
        </is>
      </c>
      <c r="B5645" t="inlineStr">
        <is>
          <t>avverkningsanmälan</t>
        </is>
      </c>
      <c r="C5645" t="inlineStr">
        <is>
          <t>Föryngringsavverkning</t>
        </is>
      </c>
      <c r="D5645" s="1" t="n">
        <v>45963</v>
      </c>
      <c r="E5645" s="1" t="n">
        <v>46307</v>
      </c>
      <c r="F5645" t="inlineStr">
        <is>
          <t>VÄRMLANDS LÄN</t>
        </is>
      </c>
      <c r="G5645" t="inlineStr">
        <is>
          <t>SUNNE</t>
        </is>
      </c>
      <c r="I5645" t="n">
        <v>2</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29736-2023</t>
        </is>
      </c>
      <c r="B5646" t="inlineStr">
        <is>
          <t>avverkningsanmälan</t>
        </is>
      </c>
      <c r="C5646" t="inlineStr">
        <is>
          <t>Föryngringsavverkning</t>
        </is>
      </c>
      <c r="D5646" s="1" t="n">
        <v>45107</v>
      </c>
      <c r="E5646" s="1" t="n">
        <v>46307</v>
      </c>
      <c r="F5646" t="inlineStr">
        <is>
          <t>VÄRMLANDS LÄN</t>
        </is>
      </c>
      <c r="G5646" t="inlineStr">
        <is>
          <t>GRUMS</t>
        </is>
      </c>
      <c r="I5646" t="n">
        <v>0.7</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31528-2025</t>
        </is>
      </c>
      <c r="B5647" t="inlineStr">
        <is>
          <t>avverkningsanmälan</t>
        </is>
      </c>
      <c r="C5647" t="inlineStr">
        <is>
          <t>Föryngringsavverkning</t>
        </is>
      </c>
      <c r="D5647" s="1" t="n">
        <v>45833</v>
      </c>
      <c r="E5647" s="1" t="n">
        <v>46307</v>
      </c>
      <c r="F5647" t="inlineStr">
        <is>
          <t>VÄRMLANDS LÄN</t>
        </is>
      </c>
      <c r="G5647" t="inlineStr">
        <is>
          <t>KRISTINEHAMN</t>
        </is>
      </c>
      <c r="I5647" t="n">
        <v>2.8</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29746-2023</t>
        </is>
      </c>
      <c r="B5648" t="inlineStr">
        <is>
          <t>avverkningsanmälan</t>
        </is>
      </c>
      <c r="C5648" t="inlineStr">
        <is>
          <t>Föryngringsavverkning</t>
        </is>
      </c>
      <c r="D5648" s="1" t="n">
        <v>45107</v>
      </c>
      <c r="E5648" s="1" t="n">
        <v>46307</v>
      </c>
      <c r="F5648" t="inlineStr">
        <is>
          <t>VÄRMLANDS LÄN</t>
        </is>
      </c>
      <c r="G5648" t="inlineStr">
        <is>
          <t>SUNNE</t>
        </is>
      </c>
      <c r="I5648" t="n">
        <v>0.1</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44369-2022</t>
        </is>
      </c>
      <c r="B5649" t="inlineStr">
        <is>
          <t>avverkningsanmälan</t>
        </is>
      </c>
      <c r="C5649" t="inlineStr">
        <is>
          <t>Föryngringsavverkning</t>
        </is>
      </c>
      <c r="D5649" s="1" t="n">
        <v>44839</v>
      </c>
      <c r="E5649" s="1" t="n">
        <v>46307</v>
      </c>
      <c r="F5649" t="inlineStr">
        <is>
          <t>VÄRMLANDS LÄN</t>
        </is>
      </c>
      <c r="G5649" t="inlineStr">
        <is>
          <t>SUNNE</t>
        </is>
      </c>
      <c r="I5649" t="n">
        <v>1.7</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63613-2023</t>
        </is>
      </c>
      <c r="B5650" t="inlineStr">
        <is>
          <t>avverkningsanmälan</t>
        </is>
      </c>
      <c r="C5650" t="inlineStr">
        <is>
          <t>Föryngringsavverkning</t>
        </is>
      </c>
      <c r="D5650" s="1" t="n">
        <v>45275</v>
      </c>
      <c r="E5650" s="1" t="n">
        <v>46307</v>
      </c>
      <c r="F5650" t="inlineStr">
        <is>
          <t>VÄRMLANDS LÄN</t>
        </is>
      </c>
      <c r="G5650" t="inlineStr">
        <is>
          <t>EDA</t>
        </is>
      </c>
      <c r="I5650" t="n">
        <v>2.1</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67617-2021</t>
        </is>
      </c>
      <c r="B5651" t="inlineStr">
        <is>
          <t>avverkningsanmälan</t>
        </is>
      </c>
      <c r="C5651" t="inlineStr">
        <is>
          <t>Föryngringsavverkning</t>
        </is>
      </c>
      <c r="D5651" s="1" t="n">
        <v>44524</v>
      </c>
      <c r="E5651" s="1" t="n">
        <v>46307</v>
      </c>
      <c r="F5651" t="inlineStr">
        <is>
          <t>VÄRMLANDS LÄN</t>
        </is>
      </c>
      <c r="G5651" t="inlineStr">
        <is>
          <t>FORSHAGA</t>
        </is>
      </c>
      <c r="I5651" t="n">
        <v>6.5</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47028-2023</t>
        </is>
      </c>
      <c r="B5652" t="inlineStr">
        <is>
          <t>avverkningsanmälan</t>
        </is>
      </c>
      <c r="C5652" t="inlineStr">
        <is>
          <t>Föryngringsavverkning</t>
        </is>
      </c>
      <c r="D5652" s="1" t="n">
        <v>45201</v>
      </c>
      <c r="E5652" s="1" t="n">
        <v>46307</v>
      </c>
      <c r="F5652" t="inlineStr">
        <is>
          <t>VÄRMLANDS LÄN</t>
        </is>
      </c>
      <c r="G5652" t="inlineStr">
        <is>
          <t>HAGFORS</t>
        </is>
      </c>
      <c r="I5652" t="n">
        <v>2</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49520-2023</t>
        </is>
      </c>
      <c r="B5653" t="inlineStr">
        <is>
          <t>avverkningsanmälan</t>
        </is>
      </c>
      <c r="C5653" t="inlineStr">
        <is>
          <t>Föryngringsavverkning</t>
        </is>
      </c>
      <c r="D5653" s="1" t="n">
        <v>45211</v>
      </c>
      <c r="E5653" s="1" t="n">
        <v>46307</v>
      </c>
      <c r="F5653" t="inlineStr">
        <is>
          <t>VÄRMLANDS LÄN</t>
        </is>
      </c>
      <c r="G5653" t="inlineStr">
        <is>
          <t>SÄFFLE</t>
        </is>
      </c>
      <c r="I5653" t="n">
        <v>2.3</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4140-2025</t>
        </is>
      </c>
      <c r="B5654" t="inlineStr">
        <is>
          <t>avverkningsanmälan</t>
        </is>
      </c>
      <c r="C5654" t="inlineStr">
        <is>
          <t>Föryngringsavverkning</t>
        </is>
      </c>
      <c r="D5654" s="1" t="n">
        <v>45685</v>
      </c>
      <c r="E5654" s="1" t="n">
        <v>46307</v>
      </c>
      <c r="F5654" t="inlineStr">
        <is>
          <t>VÄRMLANDS LÄN</t>
        </is>
      </c>
      <c r="G5654" t="inlineStr">
        <is>
          <t>EDA</t>
        </is>
      </c>
      <c r="I5654" t="n">
        <v>1.8</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31713-2025</t>
        </is>
      </c>
      <c r="B5655" t="inlineStr">
        <is>
          <t>avverkningsanmälan</t>
        </is>
      </c>
      <c r="C5655" t="inlineStr">
        <is>
          <t>Föryngringsavverkning</t>
        </is>
      </c>
      <c r="D5655" s="1" t="n">
        <v>45834</v>
      </c>
      <c r="E5655" s="1" t="n">
        <v>46307</v>
      </c>
      <c r="F5655" t="inlineStr">
        <is>
          <t>VÄRMLANDS LÄN</t>
        </is>
      </c>
      <c r="G5655" t="inlineStr">
        <is>
          <t>SUNNE</t>
        </is>
      </c>
      <c r="I5655" t="n">
        <v>2</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57253-2021</t>
        </is>
      </c>
      <c r="B5656" t="inlineStr">
        <is>
          <t>avverkningsanmälan</t>
        </is>
      </c>
      <c r="C5656" t="inlineStr">
        <is>
          <t>Föryngringsavverkning</t>
        </is>
      </c>
      <c r="D5656" s="1" t="n">
        <v>44482</v>
      </c>
      <c r="E5656" s="1" t="n">
        <v>46307</v>
      </c>
      <c r="F5656" t="inlineStr">
        <is>
          <t>VÄRMLANDS LÄN</t>
        </is>
      </c>
      <c r="G5656" t="inlineStr">
        <is>
          <t>EDA</t>
        </is>
      </c>
      <c r="I5656" t="n">
        <v>2.7</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31689-2025</t>
        </is>
      </c>
      <c r="B5657" t="inlineStr">
        <is>
          <t>avverkningsanmälan</t>
        </is>
      </c>
      <c r="C5657" t="inlineStr">
        <is>
          <t>Föryngringsavverkning</t>
        </is>
      </c>
      <c r="D5657" s="1" t="n">
        <v>45834</v>
      </c>
      <c r="E5657" s="1" t="n">
        <v>46307</v>
      </c>
      <c r="F5657" t="inlineStr">
        <is>
          <t>VÄRMLANDS LÄN</t>
        </is>
      </c>
      <c r="G5657" t="inlineStr">
        <is>
          <t>ARVIKA</t>
        </is>
      </c>
      <c r="I5657" t="n">
        <v>2.6</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15460-2022</t>
        </is>
      </c>
      <c r="B5658" t="inlineStr">
        <is>
          <t>avverkningsanmälan</t>
        </is>
      </c>
      <c r="C5658" t="inlineStr">
        <is>
          <t>Föryngringsavverkning</t>
        </is>
      </c>
      <c r="D5658" s="1" t="n">
        <v>44661</v>
      </c>
      <c r="E5658" s="1" t="n">
        <v>46307</v>
      </c>
      <c r="F5658" t="inlineStr">
        <is>
          <t>VÄRMLANDS LÄN</t>
        </is>
      </c>
      <c r="G5658" t="inlineStr">
        <is>
          <t>TORSBY</t>
        </is>
      </c>
      <c r="I5658" t="n">
        <v>3</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59515-2024</t>
        </is>
      </c>
      <c r="B5659" t="inlineStr">
        <is>
          <t>avverkningsanmälan</t>
        </is>
      </c>
      <c r="C5659" t="inlineStr">
        <is>
          <t>Föryngringsavverkning</t>
        </is>
      </c>
      <c r="D5659" s="1" t="n">
        <v>45638</v>
      </c>
      <c r="E5659" s="1" t="n">
        <v>46307</v>
      </c>
      <c r="F5659" t="inlineStr">
        <is>
          <t>VÄRMLANDS LÄN</t>
        </is>
      </c>
      <c r="G5659" t="inlineStr">
        <is>
          <t>EDA</t>
        </is>
      </c>
      <c r="I5659" t="n">
        <v>5.5</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48203-2023</t>
        </is>
      </c>
      <c r="B5660" t="inlineStr">
        <is>
          <t>avverkningsanmälan</t>
        </is>
      </c>
      <c r="C5660" t="inlineStr">
        <is>
          <t>Föryngringsavverkning</t>
        </is>
      </c>
      <c r="D5660" s="1" t="n">
        <v>45200</v>
      </c>
      <c r="E5660" s="1" t="n">
        <v>46307</v>
      </c>
      <c r="F5660" t="inlineStr">
        <is>
          <t>VÄRMLANDS LÄN</t>
        </is>
      </c>
      <c r="G5660" t="inlineStr">
        <is>
          <t>ÅRJÄNG</t>
        </is>
      </c>
      <c r="H5660" t="inlineStr">
        <is>
          <t>Övriga Aktiebolag</t>
        </is>
      </c>
      <c r="I5660" t="n">
        <v>3.1</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31415-2025</t>
        </is>
      </c>
      <c r="B5661" t="inlineStr">
        <is>
          <t>avverkningsanmälan</t>
        </is>
      </c>
      <c r="C5661" t="inlineStr">
        <is>
          <t>Föryngringsavverkning</t>
        </is>
      </c>
      <c r="D5661" s="1" t="n">
        <v>45833</v>
      </c>
      <c r="E5661" s="1" t="n">
        <v>46307</v>
      </c>
      <c r="F5661" t="inlineStr">
        <is>
          <t>VÄRMLANDS LÄN</t>
        </is>
      </c>
      <c r="G5661" t="inlineStr">
        <is>
          <t>ARVIKA</t>
        </is>
      </c>
      <c r="H5661" t="inlineStr">
        <is>
          <t>Bergvik skog väst AB</t>
        </is>
      </c>
      <c r="I5661" t="n">
        <v>7.6</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31416-2025</t>
        </is>
      </c>
      <c r="B5662" t="inlineStr">
        <is>
          <t>avverkningsanmälan</t>
        </is>
      </c>
      <c r="C5662" t="inlineStr">
        <is>
          <t>Avverkning för annat ändamål</t>
        </is>
      </c>
      <c r="D5662" s="1" t="n">
        <v>45833</v>
      </c>
      <c r="E5662" s="1" t="n">
        <v>46307</v>
      </c>
      <c r="F5662" t="inlineStr">
        <is>
          <t>VÄRMLANDS LÄN</t>
        </is>
      </c>
      <c r="G5662" t="inlineStr">
        <is>
          <t>TORSBY</t>
        </is>
      </c>
      <c r="I5662" t="n">
        <v>0.8</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31422-2025</t>
        </is>
      </c>
      <c r="B5663" t="inlineStr">
        <is>
          <t>avverkningsanmälan</t>
        </is>
      </c>
      <c r="C5663" t="inlineStr">
        <is>
          <t>Föryngringsavverkning</t>
        </is>
      </c>
      <c r="D5663" s="1" t="n">
        <v>45833</v>
      </c>
      <c r="E5663" s="1" t="n">
        <v>46307</v>
      </c>
      <c r="F5663" t="inlineStr">
        <is>
          <t>VÄRMLANDS LÄN</t>
        </is>
      </c>
      <c r="G5663" t="inlineStr">
        <is>
          <t>KARLSTAD</t>
        </is>
      </c>
      <c r="I5663" t="n">
        <v>1.8</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31442-2025</t>
        </is>
      </c>
      <c r="B5664" t="inlineStr">
        <is>
          <t>avverkningsanmälan</t>
        </is>
      </c>
      <c r="C5664" t="inlineStr">
        <is>
          <t>Föryngringsavverkning</t>
        </is>
      </c>
      <c r="D5664" s="1" t="n">
        <v>45833</v>
      </c>
      <c r="E5664" s="1" t="n">
        <v>46307</v>
      </c>
      <c r="F5664" t="inlineStr">
        <is>
          <t>VÄRMLANDS LÄN</t>
        </is>
      </c>
      <c r="G5664" t="inlineStr">
        <is>
          <t>ARVIKA</t>
        </is>
      </c>
      <c r="H5664" t="inlineStr">
        <is>
          <t>Bergvik skog väst AB</t>
        </is>
      </c>
      <c r="I5664" t="n">
        <v>5.9</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31833-2025</t>
        </is>
      </c>
      <c r="B5665" t="inlineStr">
        <is>
          <t>avverkningsanmälan</t>
        </is>
      </c>
      <c r="C5665" t="inlineStr">
        <is>
          <t>Föryngringsavverkning</t>
        </is>
      </c>
      <c r="D5665" s="1" t="n">
        <v>45834</v>
      </c>
      <c r="E5665" s="1" t="n">
        <v>46307</v>
      </c>
      <c r="F5665" t="inlineStr">
        <is>
          <t>VÄRMLANDS LÄN</t>
        </is>
      </c>
      <c r="G5665" t="inlineStr">
        <is>
          <t>KARLSTAD</t>
        </is>
      </c>
      <c r="I5665" t="n">
        <v>1.6</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42637-2023</t>
        </is>
      </c>
      <c r="B5666" t="inlineStr">
        <is>
          <t>avverkningsanmälan</t>
        </is>
      </c>
      <c r="C5666" t="inlineStr">
        <is>
          <t>Föryngringsavverkning</t>
        </is>
      </c>
      <c r="D5666" s="1" t="n">
        <v>45181</v>
      </c>
      <c r="E5666" s="1" t="n">
        <v>46307</v>
      </c>
      <c r="F5666" t="inlineStr">
        <is>
          <t>VÄRMLANDS LÄN</t>
        </is>
      </c>
      <c r="G5666" t="inlineStr">
        <is>
          <t>MUNKFORS</t>
        </is>
      </c>
      <c r="I5666" t="n">
        <v>1</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44150-2023</t>
        </is>
      </c>
      <c r="B5667" t="inlineStr">
        <is>
          <t>avverkningsanmälan</t>
        </is>
      </c>
      <c r="C5667" t="inlineStr">
        <is>
          <t>Föryngringsavverkning</t>
        </is>
      </c>
      <c r="D5667" s="1" t="n">
        <v>45188</v>
      </c>
      <c r="E5667" s="1" t="n">
        <v>46307</v>
      </c>
      <c r="F5667" t="inlineStr">
        <is>
          <t>VÄRMLANDS LÄN</t>
        </is>
      </c>
      <c r="G5667" t="inlineStr">
        <is>
          <t>TORSBY</t>
        </is>
      </c>
      <c r="I5667" t="n">
        <v>2.3</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42667-2023</t>
        </is>
      </c>
      <c r="B5668" t="inlineStr">
        <is>
          <t>avverkningsanmälan</t>
        </is>
      </c>
      <c r="C5668" t="inlineStr">
        <is>
          <t>Föryngringsavverkning</t>
        </is>
      </c>
      <c r="D5668" s="1" t="n">
        <v>45176</v>
      </c>
      <c r="E5668" s="1" t="n">
        <v>46307</v>
      </c>
      <c r="F5668" t="inlineStr">
        <is>
          <t>VÄRMLANDS LÄN</t>
        </is>
      </c>
      <c r="G5668" t="inlineStr">
        <is>
          <t>ÅRJÄNG</t>
        </is>
      </c>
      <c r="I5668" t="n">
        <v>2.8</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85-2025</t>
        </is>
      </c>
      <c r="B5669" t="inlineStr">
        <is>
          <t>avverkningsanmälan</t>
        </is>
      </c>
      <c r="C5669" t="inlineStr">
        <is>
          <t>Föryngringsavverkning</t>
        </is>
      </c>
      <c r="D5669" s="1" t="n">
        <v>45659</v>
      </c>
      <c r="E5669" s="1" t="n">
        <v>46307</v>
      </c>
      <c r="F5669" t="inlineStr">
        <is>
          <t>VÄRMLANDS LÄN</t>
        </is>
      </c>
      <c r="G5669" t="inlineStr">
        <is>
          <t>SÄFFLE</t>
        </is>
      </c>
      <c r="I5669" t="n">
        <v>0.8</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49770-2023</t>
        </is>
      </c>
      <c r="B5670" t="inlineStr">
        <is>
          <t>avverkningsanmälan</t>
        </is>
      </c>
      <c r="C5670" t="inlineStr">
        <is>
          <t>Föryngringsavverkning</t>
        </is>
      </c>
      <c r="D5670" s="1" t="n">
        <v>45212</v>
      </c>
      <c r="E5670" s="1" t="n">
        <v>46307</v>
      </c>
      <c r="F5670" t="inlineStr">
        <is>
          <t>VÄRMLANDS LÄN</t>
        </is>
      </c>
      <c r="G5670" t="inlineStr">
        <is>
          <t>SÄFFLE</t>
        </is>
      </c>
      <c r="I5670" t="n">
        <v>7.1</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52512-2023</t>
        </is>
      </c>
      <c r="B5671" t="inlineStr">
        <is>
          <t>avverkningsanmälan</t>
        </is>
      </c>
      <c r="C5671" t="inlineStr">
        <is>
          <t>Föryngringsavverkning</t>
        </is>
      </c>
      <c r="D5671" s="1" t="n">
        <v>45225</v>
      </c>
      <c r="E5671" s="1" t="n">
        <v>46307</v>
      </c>
      <c r="F5671" t="inlineStr">
        <is>
          <t>VÄRMLANDS LÄN</t>
        </is>
      </c>
      <c r="G5671" t="inlineStr">
        <is>
          <t>SUNNE</t>
        </is>
      </c>
      <c r="I5671" t="n">
        <v>2</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54111-2025</t>
        </is>
      </c>
      <c r="B5672" t="inlineStr">
        <is>
          <t>avverkningsanmälan</t>
        </is>
      </c>
      <c r="C5672" t="inlineStr">
        <is>
          <t>Föryngringsavverkning</t>
        </is>
      </c>
      <c r="D5672" s="1" t="n">
        <v>45964</v>
      </c>
      <c r="E5672" s="1" t="n">
        <v>46307</v>
      </c>
      <c r="F5672" t="inlineStr">
        <is>
          <t>VÄRMLANDS LÄN</t>
        </is>
      </c>
      <c r="G5672" t="inlineStr">
        <is>
          <t>ÅRJÄNG</t>
        </is>
      </c>
      <c r="I5672" t="n">
        <v>3.2</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52532-2023</t>
        </is>
      </c>
      <c r="B5673" t="inlineStr">
        <is>
          <t>avverkningsanmälan</t>
        </is>
      </c>
      <c r="C5673" t="inlineStr">
        <is>
          <t>Föryngringsavverkning</t>
        </is>
      </c>
      <c r="D5673" s="1" t="n">
        <v>45225</v>
      </c>
      <c r="E5673" s="1" t="n">
        <v>46307</v>
      </c>
      <c r="F5673" t="inlineStr">
        <is>
          <t>VÄRMLANDS LÄN</t>
        </is>
      </c>
      <c r="G5673" t="inlineStr">
        <is>
          <t>TORSBY</t>
        </is>
      </c>
      <c r="I5673" t="n">
        <v>0.4</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670-2025</t>
        </is>
      </c>
      <c r="B5674" t="inlineStr">
        <is>
          <t>avverkningsanmälan</t>
        </is>
      </c>
      <c r="C5674" t="inlineStr">
        <is>
          <t>Föryngringsavverkning</t>
        </is>
      </c>
      <c r="D5674" s="1" t="n">
        <v>45664</v>
      </c>
      <c r="E5674" s="1" t="n">
        <v>46307</v>
      </c>
      <c r="F5674" t="inlineStr">
        <is>
          <t>VÄRMLANDS LÄN</t>
        </is>
      </c>
      <c r="G5674" t="inlineStr">
        <is>
          <t>KRISTINEHAMN</t>
        </is>
      </c>
      <c r="I5674" t="n">
        <v>1.5</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31968-2025</t>
        </is>
      </c>
      <c r="B5675" t="inlineStr">
        <is>
          <t>avverkningsanmälan</t>
        </is>
      </c>
      <c r="C5675" t="inlineStr">
        <is>
          <t>Föryngringsavverkning</t>
        </is>
      </c>
      <c r="D5675" s="1" t="n">
        <v>45835</v>
      </c>
      <c r="E5675" s="1" t="n">
        <v>46307</v>
      </c>
      <c r="F5675" t="inlineStr">
        <is>
          <t>VÄRMLANDS LÄN</t>
        </is>
      </c>
      <c r="G5675" t="inlineStr">
        <is>
          <t>FORSHAGA</t>
        </is>
      </c>
      <c r="I5675" t="n">
        <v>0.7</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16519-2025</t>
        </is>
      </c>
      <c r="B5676" t="inlineStr">
        <is>
          <t>avverkningsanmälan</t>
        </is>
      </c>
      <c r="C5676" t="inlineStr">
        <is>
          <t>Föryngringsavverkning</t>
        </is>
      </c>
      <c r="D5676" s="1" t="n">
        <v>45751</v>
      </c>
      <c r="E5676" s="1" t="n">
        <v>46307</v>
      </c>
      <c r="F5676" t="inlineStr">
        <is>
          <t>VÄRMLANDS LÄN</t>
        </is>
      </c>
      <c r="G5676" t="inlineStr">
        <is>
          <t>ÅRJÄNG</t>
        </is>
      </c>
      <c r="I5676" t="n">
        <v>6.3</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54159-2025</t>
        </is>
      </c>
      <c r="B5677" t="inlineStr">
        <is>
          <t>avverkningsanmälan</t>
        </is>
      </c>
      <c r="C5677" t="inlineStr">
        <is>
          <t>Föryngringsavverkning</t>
        </is>
      </c>
      <c r="D5677" s="1" t="n">
        <v>45964</v>
      </c>
      <c r="E5677" s="1" t="n">
        <v>46307</v>
      </c>
      <c r="F5677" t="inlineStr">
        <is>
          <t>VÄRMLANDS LÄN</t>
        </is>
      </c>
      <c r="G5677" t="inlineStr">
        <is>
          <t>ÅRJÄNG</t>
        </is>
      </c>
      <c r="I5677" t="n">
        <v>1.7</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7282-2023</t>
        </is>
      </c>
      <c r="B5678" t="inlineStr">
        <is>
          <t>avverkningsanmälan</t>
        </is>
      </c>
      <c r="C5678" t="inlineStr">
        <is>
          <t>Föryngringsavverkning</t>
        </is>
      </c>
      <c r="D5678" s="1" t="n">
        <v>44970</v>
      </c>
      <c r="E5678" s="1" t="n">
        <v>46307</v>
      </c>
      <c r="F5678" t="inlineStr">
        <is>
          <t>VÄRMLANDS LÄN</t>
        </is>
      </c>
      <c r="G5678" t="inlineStr">
        <is>
          <t>EDA</t>
        </is>
      </c>
      <c r="I5678" t="n">
        <v>2.6</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14320-2023</t>
        </is>
      </c>
      <c r="B5679" t="inlineStr">
        <is>
          <t>avverkningsanmälan</t>
        </is>
      </c>
      <c r="C5679" t="inlineStr">
        <is>
          <t>Föryngringsavverkning</t>
        </is>
      </c>
      <c r="D5679" s="1" t="n">
        <v>45012</v>
      </c>
      <c r="E5679" s="1" t="n">
        <v>46307</v>
      </c>
      <c r="F5679" t="inlineStr">
        <is>
          <t>VÄRMLANDS LÄN</t>
        </is>
      </c>
      <c r="G5679" t="inlineStr">
        <is>
          <t>KARLSTAD</t>
        </is>
      </c>
      <c r="I5679" t="n">
        <v>1.1</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14340-2023</t>
        </is>
      </c>
      <c r="B5680" t="inlineStr">
        <is>
          <t>avverkningsanmälan</t>
        </is>
      </c>
      <c r="C5680" t="inlineStr">
        <is>
          <t>Föryngringsavverkning</t>
        </is>
      </c>
      <c r="D5680" s="1" t="n">
        <v>45012</v>
      </c>
      <c r="E5680" s="1" t="n">
        <v>46307</v>
      </c>
      <c r="F5680" t="inlineStr">
        <is>
          <t>VÄRMLANDS LÄN</t>
        </is>
      </c>
      <c r="G5680" t="inlineStr">
        <is>
          <t>ÅRJÄNG</t>
        </is>
      </c>
      <c r="I5680" t="n">
        <v>3.1</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32134-2025</t>
        </is>
      </c>
      <c r="B5681" t="inlineStr">
        <is>
          <t>avverkningsanmälan</t>
        </is>
      </c>
      <c r="C5681" t="inlineStr">
        <is>
          <t>Föryngringsavverkning</t>
        </is>
      </c>
      <c r="D5681" s="1" t="n">
        <v>45835</v>
      </c>
      <c r="E5681" s="1" t="n">
        <v>46307</v>
      </c>
      <c r="F5681" t="inlineStr">
        <is>
          <t>VÄRMLANDS LÄN</t>
        </is>
      </c>
      <c r="G5681" t="inlineStr">
        <is>
          <t>TORSBY</t>
        </is>
      </c>
      <c r="I5681" t="n">
        <v>8.5</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31969-2025</t>
        </is>
      </c>
      <c r="B5682" t="inlineStr">
        <is>
          <t>avverkningsanmälan</t>
        </is>
      </c>
      <c r="C5682" t="inlineStr">
        <is>
          <t>Föryngringsavverkning</t>
        </is>
      </c>
      <c r="D5682" s="1" t="n">
        <v>45835</v>
      </c>
      <c r="E5682" s="1" t="n">
        <v>46307</v>
      </c>
      <c r="F5682" t="inlineStr">
        <is>
          <t>VÄRMLANDS LÄN</t>
        </is>
      </c>
      <c r="G5682" t="inlineStr">
        <is>
          <t>ARVIKA</t>
        </is>
      </c>
      <c r="I5682" t="n">
        <v>1.6</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2980-2022</t>
        </is>
      </c>
      <c r="B5683" t="inlineStr">
        <is>
          <t>avverkningsanmälan</t>
        </is>
      </c>
      <c r="C5683" t="inlineStr">
        <is>
          <t>Föryngringsavverkning</t>
        </is>
      </c>
      <c r="D5683" s="1" t="n">
        <v>44581</v>
      </c>
      <c r="E5683" s="1" t="n">
        <v>46307</v>
      </c>
      <c r="F5683" t="inlineStr">
        <is>
          <t>VÄRMLANDS LÄN</t>
        </is>
      </c>
      <c r="G5683" t="inlineStr">
        <is>
          <t>SUNNE</t>
        </is>
      </c>
      <c r="I5683" t="n">
        <v>0.8</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32515-2025</t>
        </is>
      </c>
      <c r="B5684" t="inlineStr">
        <is>
          <t>avverkningsanmälan</t>
        </is>
      </c>
      <c r="C5684" t="inlineStr">
        <is>
          <t>Föryngringsavverkning</t>
        </is>
      </c>
      <c r="D5684" s="1" t="n">
        <v>45838</v>
      </c>
      <c r="E5684" s="1" t="n">
        <v>46307</v>
      </c>
      <c r="F5684" t="inlineStr">
        <is>
          <t>VÄRMLANDS LÄN</t>
        </is>
      </c>
      <c r="G5684" t="inlineStr">
        <is>
          <t>ARVIKA</t>
        </is>
      </c>
      <c r="H5684" t="inlineStr">
        <is>
          <t>Bergvik skog väst AB</t>
        </is>
      </c>
      <c r="I5684" t="n">
        <v>3.9</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54107-2023</t>
        </is>
      </c>
      <c r="B5685" t="inlineStr">
        <is>
          <t>avverkningsanmälan</t>
        </is>
      </c>
      <c r="C5685" t="inlineStr">
        <is>
          <t>Föryngringsavverkning</t>
        </is>
      </c>
      <c r="D5685" s="1" t="n">
        <v>45232</v>
      </c>
      <c r="E5685" s="1" t="n">
        <v>46307</v>
      </c>
      <c r="F5685" t="inlineStr">
        <is>
          <t>VÄRMLANDS LÄN</t>
        </is>
      </c>
      <c r="G5685" t="inlineStr">
        <is>
          <t>ARVIKA</t>
        </is>
      </c>
      <c r="H5685" t="inlineStr">
        <is>
          <t>Bergvik skog väst AB</t>
        </is>
      </c>
      <c r="I5685" t="n">
        <v>0.9</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53539-2023</t>
        </is>
      </c>
      <c r="B5686" t="inlineStr">
        <is>
          <t>avverkningsanmälan</t>
        </is>
      </c>
      <c r="C5686" t="inlineStr">
        <is>
          <t>Föryngringsavverkning</t>
        </is>
      </c>
      <c r="D5686" s="1" t="n">
        <v>45230</v>
      </c>
      <c r="E5686" s="1" t="n">
        <v>46307</v>
      </c>
      <c r="F5686" t="inlineStr">
        <is>
          <t>VÄRMLANDS LÄN</t>
        </is>
      </c>
      <c r="G5686" t="inlineStr">
        <is>
          <t>ARVIKA</t>
        </is>
      </c>
      <c r="I5686" t="n">
        <v>0.5</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53554-2023</t>
        </is>
      </c>
      <c r="B5687" t="inlineStr">
        <is>
          <t>avverkningsanmälan</t>
        </is>
      </c>
      <c r="C5687" t="inlineStr">
        <is>
          <t>Föryngringsavverkning</t>
        </is>
      </c>
      <c r="D5687" s="1" t="n">
        <v>45230</v>
      </c>
      <c r="E5687" s="1" t="n">
        <v>46307</v>
      </c>
      <c r="F5687" t="inlineStr">
        <is>
          <t>VÄRMLANDS LÄN</t>
        </is>
      </c>
      <c r="G5687" t="inlineStr">
        <is>
          <t>ÅRJÄNG</t>
        </is>
      </c>
      <c r="I5687" t="n">
        <v>0.5</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32622-2025</t>
        </is>
      </c>
      <c r="B5688" t="inlineStr">
        <is>
          <t>avverkningsanmälan</t>
        </is>
      </c>
      <c r="C5688" t="inlineStr">
        <is>
          <t>Föryngringsavverkning</t>
        </is>
      </c>
      <c r="D5688" s="1" t="n">
        <v>45838</v>
      </c>
      <c r="E5688" s="1" t="n">
        <v>46307</v>
      </c>
      <c r="F5688" t="inlineStr">
        <is>
          <t>VÄRMLANDS LÄN</t>
        </is>
      </c>
      <c r="G5688" t="inlineStr">
        <is>
          <t>TORSBY</t>
        </is>
      </c>
      <c r="I5688" t="n">
        <v>4.6</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24342-2024</t>
        </is>
      </c>
      <c r="B5689" t="inlineStr">
        <is>
          <t>avverkningsanmälan</t>
        </is>
      </c>
      <c r="C5689" t="inlineStr">
        <is>
          <t>Föryngringsavverkning</t>
        </is>
      </c>
      <c r="D5689" s="1" t="n">
        <v>45457</v>
      </c>
      <c r="E5689" s="1" t="n">
        <v>46307</v>
      </c>
      <c r="F5689" t="inlineStr">
        <is>
          <t>VÄRMLANDS LÄN</t>
        </is>
      </c>
      <c r="G5689" t="inlineStr">
        <is>
          <t>ÅRJÄNG</t>
        </is>
      </c>
      <c r="I5689" t="n">
        <v>0.8</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32530-2025</t>
        </is>
      </c>
      <c r="B5690" t="inlineStr">
        <is>
          <t>avverkningsanmälan</t>
        </is>
      </c>
      <c r="C5690" t="inlineStr">
        <is>
          <t>Föryngringsavverkning</t>
        </is>
      </c>
      <c r="D5690" s="1" t="n">
        <v>45838</v>
      </c>
      <c r="E5690" s="1" t="n">
        <v>46307</v>
      </c>
      <c r="F5690" t="inlineStr">
        <is>
          <t>VÄRMLANDS LÄN</t>
        </is>
      </c>
      <c r="G5690" t="inlineStr">
        <is>
          <t>ARVIKA</t>
        </is>
      </c>
      <c r="H5690" t="inlineStr">
        <is>
          <t>Bergvik skog väst AB</t>
        </is>
      </c>
      <c r="I5690" t="n">
        <v>2.4</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44499-2023</t>
        </is>
      </c>
      <c r="B5691" t="inlineStr">
        <is>
          <t>avverkningsanmälan</t>
        </is>
      </c>
      <c r="C5691" t="inlineStr">
        <is>
          <t>Föryngringsavverkning</t>
        </is>
      </c>
      <c r="D5691" s="1" t="n">
        <v>45189</v>
      </c>
      <c r="E5691" s="1" t="n">
        <v>46307</v>
      </c>
      <c r="F5691" t="inlineStr">
        <is>
          <t>VÄRMLANDS LÄN</t>
        </is>
      </c>
      <c r="G5691" t="inlineStr">
        <is>
          <t>SÄFFLE</t>
        </is>
      </c>
      <c r="I5691" t="n">
        <v>3.6</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32590-2025</t>
        </is>
      </c>
      <c r="B5692" t="inlineStr">
        <is>
          <t>avverkningsanmälan</t>
        </is>
      </c>
      <c r="C5692" t="inlineStr">
        <is>
          <t>Föryngringsavverkning</t>
        </is>
      </c>
      <c r="D5692" s="1" t="n">
        <v>45838</v>
      </c>
      <c r="E5692" s="1" t="n">
        <v>46307</v>
      </c>
      <c r="F5692" t="inlineStr">
        <is>
          <t>VÄRMLANDS LÄN</t>
        </is>
      </c>
      <c r="G5692" t="inlineStr">
        <is>
          <t>KARLSTAD</t>
        </is>
      </c>
      <c r="I5692" t="n">
        <v>0.4</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32616-2025</t>
        </is>
      </c>
      <c r="B5693" t="inlineStr">
        <is>
          <t>avverkningsanmälan</t>
        </is>
      </c>
      <c r="C5693" t="inlineStr">
        <is>
          <t>Föryngringsavverkning</t>
        </is>
      </c>
      <c r="D5693" s="1" t="n">
        <v>45838</v>
      </c>
      <c r="E5693" s="1" t="n">
        <v>46307</v>
      </c>
      <c r="F5693" t="inlineStr">
        <is>
          <t>VÄRMLANDS LÄN</t>
        </is>
      </c>
      <c r="G5693" t="inlineStr">
        <is>
          <t>SUNNE</t>
        </is>
      </c>
      <c r="I5693" t="n">
        <v>2.5</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32618-2025</t>
        </is>
      </c>
      <c r="B5694" t="inlineStr">
        <is>
          <t>avverkningsanmälan</t>
        </is>
      </c>
      <c r="C5694" t="inlineStr">
        <is>
          <t>Föryngringsavverkning</t>
        </is>
      </c>
      <c r="D5694" s="1" t="n">
        <v>45838</v>
      </c>
      <c r="E5694" s="1" t="n">
        <v>46307</v>
      </c>
      <c r="F5694" t="inlineStr">
        <is>
          <t>VÄRMLANDS LÄN</t>
        </is>
      </c>
      <c r="G5694" t="inlineStr">
        <is>
          <t>TORSBY</t>
        </is>
      </c>
      <c r="I5694" t="n">
        <v>4.1</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54168-2025</t>
        </is>
      </c>
      <c r="B5695" t="inlineStr">
        <is>
          <t>avverkningsanmälan</t>
        </is>
      </c>
      <c r="C5695" t="inlineStr">
        <is>
          <t>Föryngringsavverkning</t>
        </is>
      </c>
      <c r="D5695" s="1" t="n">
        <v>45964</v>
      </c>
      <c r="E5695" s="1" t="n">
        <v>46307</v>
      </c>
      <c r="F5695" t="inlineStr">
        <is>
          <t>VÄRMLANDS LÄN</t>
        </is>
      </c>
      <c r="G5695" t="inlineStr">
        <is>
          <t>TORSBY</t>
        </is>
      </c>
      <c r="I5695" t="n">
        <v>2</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12563-2023</t>
        </is>
      </c>
      <c r="B5696" t="inlineStr">
        <is>
          <t>avverkningsanmälan</t>
        </is>
      </c>
      <c r="C5696" t="inlineStr">
        <is>
          <t>Föryngringsavverkning</t>
        </is>
      </c>
      <c r="D5696" s="1" t="n">
        <v>45000</v>
      </c>
      <c r="E5696" s="1" t="n">
        <v>46307</v>
      </c>
      <c r="F5696" t="inlineStr">
        <is>
          <t>VÄRMLANDS LÄN</t>
        </is>
      </c>
      <c r="G5696" t="inlineStr">
        <is>
          <t>MUNKFORS</t>
        </is>
      </c>
      <c r="H5696" t="inlineStr">
        <is>
          <t>Bergvik skog väst AB</t>
        </is>
      </c>
      <c r="I5696" t="n">
        <v>1.3</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28759-2022</t>
        </is>
      </c>
      <c r="B5697" t="inlineStr">
        <is>
          <t>avverkningsanmälan</t>
        </is>
      </c>
      <c r="C5697" t="inlineStr">
        <is>
          <t>Föryngringsavverkning</t>
        </is>
      </c>
      <c r="D5697" s="1" t="n">
        <v>44749</v>
      </c>
      <c r="E5697" s="1" t="n">
        <v>46307</v>
      </c>
      <c r="F5697" t="inlineStr">
        <is>
          <t>VÄRMLANDS LÄN</t>
        </is>
      </c>
      <c r="G5697" t="inlineStr">
        <is>
          <t>KRISTINEHAMN</t>
        </is>
      </c>
      <c r="I5697" t="n">
        <v>0.8</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32869-2023</t>
        </is>
      </c>
      <c r="B5698" t="inlineStr">
        <is>
          <t>avverkningsanmälan</t>
        </is>
      </c>
      <c r="C5698" t="inlineStr">
        <is>
          <t>Föryngringsavverkning</t>
        </is>
      </c>
      <c r="D5698" s="1" t="n">
        <v>45124</v>
      </c>
      <c r="E5698" s="1" t="n">
        <v>46307</v>
      </c>
      <c r="F5698" t="inlineStr">
        <is>
          <t>VÄRMLANDS LÄN</t>
        </is>
      </c>
      <c r="G5698" t="inlineStr">
        <is>
          <t>ARVIKA</t>
        </is>
      </c>
      <c r="I5698" t="n">
        <v>1.2</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32875-2023</t>
        </is>
      </c>
      <c r="B5699" t="inlineStr">
        <is>
          <t>avverkningsanmälan</t>
        </is>
      </c>
      <c r="C5699" t="inlineStr">
        <is>
          <t>Föryngringsavverkning</t>
        </is>
      </c>
      <c r="D5699" s="1" t="n">
        <v>45112</v>
      </c>
      <c r="E5699" s="1" t="n">
        <v>46307</v>
      </c>
      <c r="F5699" t="inlineStr">
        <is>
          <t>VÄRMLANDS LÄN</t>
        </is>
      </c>
      <c r="G5699" t="inlineStr">
        <is>
          <t>KARLSTAD</t>
        </is>
      </c>
      <c r="I5699" t="n">
        <v>9</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23406-2022</t>
        </is>
      </c>
      <c r="B5700" t="inlineStr">
        <is>
          <t>avverkningsanmälan</t>
        </is>
      </c>
      <c r="C5700" t="inlineStr">
        <is>
          <t>Föryngringsavverkning</t>
        </is>
      </c>
      <c r="D5700" s="1" t="n">
        <v>44720</v>
      </c>
      <c r="E5700" s="1" t="n">
        <v>46307</v>
      </c>
      <c r="F5700" t="inlineStr">
        <is>
          <t>VÄRMLANDS LÄN</t>
        </is>
      </c>
      <c r="G5700" t="inlineStr">
        <is>
          <t>SUNNE</t>
        </is>
      </c>
      <c r="I5700" t="n">
        <v>1.9</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55574-2023</t>
        </is>
      </c>
      <c r="B5701" t="inlineStr">
        <is>
          <t>avverkningsanmälan</t>
        </is>
      </c>
      <c r="C5701" t="inlineStr">
        <is>
          <t>Föryngringsavverkning</t>
        </is>
      </c>
      <c r="D5701" s="1" t="n">
        <v>45232</v>
      </c>
      <c r="E5701" s="1" t="n">
        <v>46307</v>
      </c>
      <c r="F5701" t="inlineStr">
        <is>
          <t>VÄRMLANDS LÄN</t>
        </is>
      </c>
      <c r="G5701" t="inlineStr">
        <is>
          <t>ÅRJÄNG</t>
        </is>
      </c>
      <c r="I5701" t="n">
        <v>9.1</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9474-2025</t>
        </is>
      </c>
      <c r="B5702" t="inlineStr">
        <is>
          <t>avverkningsanmälan</t>
        </is>
      </c>
      <c r="C5702" t="inlineStr">
        <is>
          <t>Föryngringsavverkning</t>
        </is>
      </c>
      <c r="D5702" s="1" t="n">
        <v>45715</v>
      </c>
      <c r="E5702" s="1" t="n">
        <v>46307</v>
      </c>
      <c r="F5702" t="inlineStr">
        <is>
          <t>VÄRMLANDS LÄN</t>
        </is>
      </c>
      <c r="G5702" t="inlineStr">
        <is>
          <t>HAGFORS</t>
        </is>
      </c>
      <c r="I5702" t="n">
        <v>0.8</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32133-2025</t>
        </is>
      </c>
      <c r="B5703" t="inlineStr">
        <is>
          <t>avverkningsanmälan</t>
        </is>
      </c>
      <c r="C5703" t="inlineStr">
        <is>
          <t>Föryngringsavverkning</t>
        </is>
      </c>
      <c r="D5703" s="1" t="n">
        <v>45835</v>
      </c>
      <c r="E5703" s="1" t="n">
        <v>46307</v>
      </c>
      <c r="F5703" t="inlineStr">
        <is>
          <t>VÄRMLANDS LÄN</t>
        </is>
      </c>
      <c r="G5703" t="inlineStr">
        <is>
          <t>EDA</t>
        </is>
      </c>
      <c r="I5703" t="n">
        <v>0.7</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12160-2023</t>
        </is>
      </c>
      <c r="B5704" t="inlineStr">
        <is>
          <t>avverkningsanmälan</t>
        </is>
      </c>
      <c r="C5704" t="inlineStr">
        <is>
          <t>Föryngringsavverkning</t>
        </is>
      </c>
      <c r="D5704" s="1" t="n">
        <v>44998</v>
      </c>
      <c r="E5704" s="1" t="n">
        <v>46307</v>
      </c>
      <c r="F5704" t="inlineStr">
        <is>
          <t>VÄRMLANDS LÄN</t>
        </is>
      </c>
      <c r="G5704" t="inlineStr">
        <is>
          <t>FILIPSTAD</t>
        </is>
      </c>
      <c r="H5704" t="inlineStr">
        <is>
          <t>Bergvik skog väst AB</t>
        </is>
      </c>
      <c r="I5704" t="n">
        <v>11.2</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32321-2025</t>
        </is>
      </c>
      <c r="B5705" t="inlineStr">
        <is>
          <t>avverkningsanmälan</t>
        </is>
      </c>
      <c r="C5705" t="inlineStr">
        <is>
          <t>Föryngringsavverkning</t>
        </is>
      </c>
      <c r="D5705" s="1" t="n">
        <v>45836</v>
      </c>
      <c r="E5705" s="1" t="n">
        <v>46307</v>
      </c>
      <c r="F5705" t="inlineStr">
        <is>
          <t>VÄRMLANDS LÄN</t>
        </is>
      </c>
      <c r="G5705" t="inlineStr">
        <is>
          <t>ÅRJÄNG</t>
        </is>
      </c>
      <c r="I5705" t="n">
        <v>2.4</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32403-2025</t>
        </is>
      </c>
      <c r="B5706" t="inlineStr">
        <is>
          <t>avverkningsanmälan</t>
        </is>
      </c>
      <c r="C5706" t="inlineStr">
        <is>
          <t>Föryngringsavverkning</t>
        </is>
      </c>
      <c r="D5706" s="1" t="n">
        <v>45838</v>
      </c>
      <c r="E5706" s="1" t="n">
        <v>46307</v>
      </c>
      <c r="F5706" t="inlineStr">
        <is>
          <t>VÄRMLANDS LÄN</t>
        </is>
      </c>
      <c r="G5706" t="inlineStr">
        <is>
          <t>EDA</t>
        </is>
      </c>
      <c r="I5706" t="n">
        <v>1.3</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18101-2022</t>
        </is>
      </c>
      <c r="B5707" t="inlineStr">
        <is>
          <t>avverkningsanmälan</t>
        </is>
      </c>
      <c r="C5707" t="inlineStr">
        <is>
          <t>Föryngringsavverkning</t>
        </is>
      </c>
      <c r="D5707" s="1" t="n">
        <v>44684</v>
      </c>
      <c r="E5707" s="1" t="n">
        <v>46307</v>
      </c>
      <c r="F5707" t="inlineStr">
        <is>
          <t>VÄRMLANDS LÄN</t>
        </is>
      </c>
      <c r="G5707" t="inlineStr">
        <is>
          <t>TORSBY</t>
        </is>
      </c>
      <c r="I5707" t="n">
        <v>1.7</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17460-2023</t>
        </is>
      </c>
      <c r="B5708" t="inlineStr">
        <is>
          <t>avverkningsanmälan</t>
        </is>
      </c>
      <c r="C5708" t="inlineStr">
        <is>
          <t>Föryngringsavverkning</t>
        </is>
      </c>
      <c r="D5708" s="1" t="n">
        <v>45036</v>
      </c>
      <c r="E5708" s="1" t="n">
        <v>46307</v>
      </c>
      <c r="F5708" t="inlineStr">
        <is>
          <t>VÄRMLANDS LÄN</t>
        </is>
      </c>
      <c r="G5708" t="inlineStr">
        <is>
          <t>ARVIKA</t>
        </is>
      </c>
      <c r="I5708" t="n">
        <v>1.9</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32433-2025</t>
        </is>
      </c>
      <c r="B5709" t="inlineStr">
        <is>
          <t>avverkningsanmälan</t>
        </is>
      </c>
      <c r="C5709" t="inlineStr">
        <is>
          <t>Föryngringsavverkning</t>
        </is>
      </c>
      <c r="D5709" s="1" t="n">
        <v>45838</v>
      </c>
      <c r="E5709" s="1" t="n">
        <v>46307</v>
      </c>
      <c r="F5709" t="inlineStr">
        <is>
          <t>VÄRMLANDS LÄN</t>
        </is>
      </c>
      <c r="G5709" t="inlineStr">
        <is>
          <t>TORSBY</t>
        </is>
      </c>
      <c r="I5709" t="n">
        <v>0.6</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32342-2025</t>
        </is>
      </c>
      <c r="B5710" t="inlineStr">
        <is>
          <t>avverkningsanmälan</t>
        </is>
      </c>
      <c r="C5710" t="inlineStr">
        <is>
          <t>Föryngringsavverkning</t>
        </is>
      </c>
      <c r="D5710" s="1" t="n">
        <v>45837</v>
      </c>
      <c r="E5710" s="1" t="n">
        <v>46307</v>
      </c>
      <c r="F5710" t="inlineStr">
        <is>
          <t>VÄRMLANDS LÄN</t>
        </is>
      </c>
      <c r="G5710" t="inlineStr">
        <is>
          <t>TORSBY</t>
        </is>
      </c>
      <c r="I5710" t="n">
        <v>8.1</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32453-2025</t>
        </is>
      </c>
      <c r="B5711" t="inlineStr">
        <is>
          <t>avverkningsanmälan</t>
        </is>
      </c>
      <c r="C5711" t="inlineStr">
        <is>
          <t>Föryngringsavverkning</t>
        </is>
      </c>
      <c r="D5711" s="1" t="n">
        <v>45838</v>
      </c>
      <c r="E5711" s="1" t="n">
        <v>46307</v>
      </c>
      <c r="F5711" t="inlineStr">
        <is>
          <t>VÄRMLANDS LÄN</t>
        </is>
      </c>
      <c r="G5711" t="inlineStr">
        <is>
          <t>ARVIKA</t>
        </is>
      </c>
      <c r="H5711" t="inlineStr">
        <is>
          <t>Bergvik skog väst AB</t>
        </is>
      </c>
      <c r="I5711" t="n">
        <v>4.4</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54047-2025</t>
        </is>
      </c>
      <c r="B5712" t="inlineStr">
        <is>
          <t>avverkningsanmälan</t>
        </is>
      </c>
      <c r="C5712" t="inlineStr">
        <is>
          <t>Föryngringsavverkning</t>
        </is>
      </c>
      <c r="D5712" s="1" t="n">
        <v>45963</v>
      </c>
      <c r="E5712" s="1" t="n">
        <v>46307</v>
      </c>
      <c r="F5712" t="inlineStr">
        <is>
          <t>VÄRMLANDS LÄN</t>
        </is>
      </c>
      <c r="G5712" t="inlineStr">
        <is>
          <t>SUNNE</t>
        </is>
      </c>
      <c r="I5712" t="n">
        <v>3.6</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40340-2022</t>
        </is>
      </c>
      <c r="B5713" t="inlineStr">
        <is>
          <t>avverkningsanmälan</t>
        </is>
      </c>
      <c r="C5713" t="inlineStr">
        <is>
          <t>Föryngringsavverkning</t>
        </is>
      </c>
      <c r="D5713" s="1" t="n">
        <v>44823</v>
      </c>
      <c r="E5713" s="1" t="n">
        <v>46307</v>
      </c>
      <c r="F5713" t="inlineStr">
        <is>
          <t>VÄRMLANDS LÄN</t>
        </is>
      </c>
      <c r="G5713" t="inlineStr">
        <is>
          <t>SÄFFLE</t>
        </is>
      </c>
      <c r="I5713" t="n">
        <v>5.3</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32591-2025</t>
        </is>
      </c>
      <c r="B5714" t="inlineStr">
        <is>
          <t>avverkningsanmälan</t>
        </is>
      </c>
      <c r="C5714" t="inlineStr">
        <is>
          <t>Föryngringsavverkning</t>
        </is>
      </c>
      <c r="D5714" s="1" t="n">
        <v>45838</v>
      </c>
      <c r="E5714" s="1" t="n">
        <v>46307</v>
      </c>
      <c r="F5714" t="inlineStr">
        <is>
          <t>VÄRMLANDS LÄN</t>
        </is>
      </c>
      <c r="G5714" t="inlineStr">
        <is>
          <t>KARLSTAD</t>
        </is>
      </c>
      <c r="I5714" t="n">
        <v>0.4</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32327-2025</t>
        </is>
      </c>
      <c r="B5715" t="inlineStr">
        <is>
          <t>avverkningsanmälan</t>
        </is>
      </c>
      <c r="C5715" t="inlineStr">
        <is>
          <t>Föryngringsavverkning</t>
        </is>
      </c>
      <c r="D5715" s="1" t="n">
        <v>45836</v>
      </c>
      <c r="E5715" s="1" t="n">
        <v>46307</v>
      </c>
      <c r="F5715" t="inlineStr">
        <is>
          <t>VÄRMLANDS LÄN</t>
        </is>
      </c>
      <c r="G5715" t="inlineStr">
        <is>
          <t>GRUMS</t>
        </is>
      </c>
      <c r="I5715" t="n">
        <v>1.1</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52922-2025</t>
        </is>
      </c>
      <c r="B5716" t="inlineStr">
        <is>
          <t>avverkningsanmälan</t>
        </is>
      </c>
      <c r="C5716" t="inlineStr">
        <is>
          <t>Föryngringsavverkning</t>
        </is>
      </c>
      <c r="D5716" s="1" t="n">
        <v>45957</v>
      </c>
      <c r="E5716" s="1" t="n">
        <v>46307</v>
      </c>
      <c r="F5716" t="inlineStr">
        <is>
          <t>VÄRMLANDS LÄN</t>
        </is>
      </c>
      <c r="G5716" t="inlineStr">
        <is>
          <t>STORFORS</t>
        </is>
      </c>
      <c r="I5716" t="n">
        <v>1.4</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53888-2025</t>
        </is>
      </c>
      <c r="B5717" t="inlineStr">
        <is>
          <t>avverkningsanmälan</t>
        </is>
      </c>
      <c r="C5717" t="inlineStr">
        <is>
          <t>Avverkning för annat ändamål</t>
        </is>
      </c>
      <c r="D5717" s="1" t="n">
        <v>45961</v>
      </c>
      <c r="E5717" s="1" t="n">
        <v>46307</v>
      </c>
      <c r="F5717" t="inlineStr">
        <is>
          <t>VÄRMLANDS LÄN</t>
        </is>
      </c>
      <c r="G5717" t="inlineStr">
        <is>
          <t>SÄFFLE</t>
        </is>
      </c>
      <c r="I5717" t="n">
        <v>5.4</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32032-2025</t>
        </is>
      </c>
      <c r="B5718" t="inlineStr">
        <is>
          <t>avverkningsanmälan</t>
        </is>
      </c>
      <c r="C5718" t="inlineStr">
        <is>
          <t>Avverkning för annat ändamål</t>
        </is>
      </c>
      <c r="D5718" s="1" t="n">
        <v>45835</v>
      </c>
      <c r="E5718" s="1" t="n">
        <v>46307</v>
      </c>
      <c r="F5718" t="inlineStr">
        <is>
          <t>VÄRMLANDS LÄN</t>
        </is>
      </c>
      <c r="G5718" t="inlineStr">
        <is>
          <t>FILIPSTAD</t>
        </is>
      </c>
      <c r="I5718" t="n">
        <v>0.2</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63787-2021</t>
        </is>
      </c>
      <c r="B5719" t="inlineStr">
        <is>
          <t>avverkningsanmälan</t>
        </is>
      </c>
      <c r="C5719" t="inlineStr">
        <is>
          <t>Föryngringsavverkning</t>
        </is>
      </c>
      <c r="D5719" s="1" t="n">
        <v>44509</v>
      </c>
      <c r="E5719" s="1" t="n">
        <v>46307</v>
      </c>
      <c r="F5719" t="inlineStr">
        <is>
          <t>VÄRMLANDS LÄN</t>
        </is>
      </c>
      <c r="G5719" t="inlineStr">
        <is>
          <t>SÄFFLE</t>
        </is>
      </c>
      <c r="I5719" t="n">
        <v>4.9</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11475-2023</t>
        </is>
      </c>
      <c r="B5720" t="inlineStr">
        <is>
          <t>avverkningsanmälan</t>
        </is>
      </c>
      <c r="C5720" t="inlineStr">
        <is>
          <t>Föryngringsavverkning</t>
        </is>
      </c>
      <c r="D5720" s="1" t="n">
        <v>44993</v>
      </c>
      <c r="E5720" s="1" t="n">
        <v>46307</v>
      </c>
      <c r="F5720" t="inlineStr">
        <is>
          <t>VÄRMLANDS LÄN</t>
        </is>
      </c>
      <c r="G5720" t="inlineStr">
        <is>
          <t>SÄFFLE</t>
        </is>
      </c>
      <c r="I5720" t="n">
        <v>7.6</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3771-2025</t>
        </is>
      </c>
      <c r="B5721" t="inlineStr">
        <is>
          <t>avverkningsanmälan</t>
        </is>
      </c>
      <c r="C5721" t="inlineStr">
        <is>
          <t>Föryngringsavverkning</t>
        </is>
      </c>
      <c r="D5721" s="1" t="n">
        <v>45681</v>
      </c>
      <c r="E5721" s="1" t="n">
        <v>46307</v>
      </c>
      <c r="F5721" t="inlineStr">
        <is>
          <t>VÄRMLANDS LÄN</t>
        </is>
      </c>
      <c r="G5721" t="inlineStr">
        <is>
          <t>SÄFFLE</t>
        </is>
      </c>
      <c r="I5721" t="n">
        <v>3.7</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53909-2025</t>
        </is>
      </c>
      <c r="B5722" t="inlineStr">
        <is>
          <t>avverkningsanmälan</t>
        </is>
      </c>
      <c r="C5722" t="inlineStr">
        <is>
          <t>Föryngringsavverkning</t>
        </is>
      </c>
      <c r="D5722" s="1" t="n">
        <v>45961</v>
      </c>
      <c r="E5722" s="1" t="n">
        <v>46307</v>
      </c>
      <c r="F5722" t="inlineStr">
        <is>
          <t>VÄRMLANDS LÄN</t>
        </is>
      </c>
      <c r="G5722" t="inlineStr">
        <is>
          <t>KRISTINEHAMN</t>
        </is>
      </c>
      <c r="H5722" t="inlineStr">
        <is>
          <t>Naturvårdsverket</t>
        </is>
      </c>
      <c r="I5722" t="n">
        <v>6.9</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39172-2023</t>
        </is>
      </c>
      <c r="B5723" t="inlineStr">
        <is>
          <t>avverkningsanmälan</t>
        </is>
      </c>
      <c r="C5723" t="inlineStr">
        <is>
          <t>Föryngringsavverkning</t>
        </is>
      </c>
      <c r="D5723" s="1" t="n">
        <v>45166</v>
      </c>
      <c r="E5723" s="1" t="n">
        <v>46307</v>
      </c>
      <c r="F5723" t="inlineStr">
        <is>
          <t>VÄRMLANDS LÄN</t>
        </is>
      </c>
      <c r="G5723" t="inlineStr">
        <is>
          <t>EDA</t>
        </is>
      </c>
      <c r="I5723" t="n">
        <v>1.1</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54050-2025</t>
        </is>
      </c>
      <c r="B5724" t="inlineStr">
        <is>
          <t>avverkningsanmälan</t>
        </is>
      </c>
      <c r="C5724" t="inlineStr">
        <is>
          <t>Föryngringsavverkning</t>
        </is>
      </c>
      <c r="D5724" s="1" t="n">
        <v>45963</v>
      </c>
      <c r="E5724" s="1" t="n">
        <v>46307</v>
      </c>
      <c r="F5724" t="inlineStr">
        <is>
          <t>VÄRMLANDS LÄN</t>
        </is>
      </c>
      <c r="G5724" t="inlineStr">
        <is>
          <t>SUNNE</t>
        </is>
      </c>
      <c r="I5724" t="n">
        <v>1.1</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53841-2025</t>
        </is>
      </c>
      <c r="B5725" t="inlineStr">
        <is>
          <t>avverkningsanmälan</t>
        </is>
      </c>
      <c r="C5725" t="inlineStr">
        <is>
          <t>Föryngringsavverkning</t>
        </is>
      </c>
      <c r="D5725" s="1" t="n">
        <v>45961</v>
      </c>
      <c r="E5725" s="1" t="n">
        <v>46307</v>
      </c>
      <c r="F5725" t="inlineStr">
        <is>
          <t>VÄRMLANDS LÄN</t>
        </is>
      </c>
      <c r="G5725" t="inlineStr">
        <is>
          <t>KIL</t>
        </is>
      </c>
      <c r="I5725" t="n">
        <v>0.7</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45132-2023</t>
        </is>
      </c>
      <c r="B5726" t="inlineStr">
        <is>
          <t>avverkningsanmälan</t>
        </is>
      </c>
      <c r="C5726" t="inlineStr">
        <is>
          <t>Föryngringsavverkning</t>
        </is>
      </c>
      <c r="D5726" s="1" t="n">
        <v>45191</v>
      </c>
      <c r="E5726" s="1" t="n">
        <v>46307</v>
      </c>
      <c r="F5726" t="inlineStr">
        <is>
          <t>VÄRMLANDS LÄN</t>
        </is>
      </c>
      <c r="G5726" t="inlineStr">
        <is>
          <t>ARVIKA</t>
        </is>
      </c>
      <c r="I5726" t="n">
        <v>2.2</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6936-2025</t>
        </is>
      </c>
      <c r="B5727" t="inlineStr">
        <is>
          <t>avverkningsanmälan</t>
        </is>
      </c>
      <c r="C5727" t="inlineStr">
        <is>
          <t>Föryngringsavverkning</t>
        </is>
      </c>
      <c r="D5727" s="1" t="n">
        <v>45701</v>
      </c>
      <c r="E5727" s="1" t="n">
        <v>46307</v>
      </c>
      <c r="F5727" t="inlineStr">
        <is>
          <t>VÄRMLANDS LÄN</t>
        </is>
      </c>
      <c r="G5727" t="inlineStr">
        <is>
          <t>KRISTINEHAMN</t>
        </is>
      </c>
      <c r="H5727" t="inlineStr">
        <is>
          <t>Naturvårdsverket</t>
        </is>
      </c>
      <c r="I5727" t="n">
        <v>0.3</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45165-2023</t>
        </is>
      </c>
      <c r="B5728" t="inlineStr">
        <is>
          <t>avverkningsanmälan</t>
        </is>
      </c>
      <c r="C5728" t="inlineStr">
        <is>
          <t>Föryngringsavverkning</t>
        </is>
      </c>
      <c r="D5728" s="1" t="n">
        <v>45191</v>
      </c>
      <c r="E5728" s="1" t="n">
        <v>46307</v>
      </c>
      <c r="F5728" t="inlineStr">
        <is>
          <t>VÄRMLANDS LÄN</t>
        </is>
      </c>
      <c r="G5728" t="inlineStr">
        <is>
          <t>SÄFFLE</t>
        </is>
      </c>
      <c r="I5728" t="n">
        <v>1.7</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41047-2023</t>
        </is>
      </c>
      <c r="B5729" t="inlineStr">
        <is>
          <t>avverkningsanmälan</t>
        </is>
      </c>
      <c r="C5729" t="inlineStr">
        <is>
          <t>Föryngringsavverkning</t>
        </is>
      </c>
      <c r="D5729" s="1" t="n">
        <v>45173</v>
      </c>
      <c r="E5729" s="1" t="n">
        <v>46307</v>
      </c>
      <c r="F5729" t="inlineStr">
        <is>
          <t>VÄRMLANDS LÄN</t>
        </is>
      </c>
      <c r="G5729" t="inlineStr">
        <is>
          <t>EDA</t>
        </is>
      </c>
      <c r="I5729" t="n">
        <v>1.5</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41051-2023</t>
        </is>
      </c>
      <c r="B5730" t="inlineStr">
        <is>
          <t>avverkningsanmälan</t>
        </is>
      </c>
      <c r="C5730" t="inlineStr">
        <is>
          <t>Föryngringsavverkning</t>
        </is>
      </c>
      <c r="D5730" s="1" t="n">
        <v>45173</v>
      </c>
      <c r="E5730" s="1" t="n">
        <v>46307</v>
      </c>
      <c r="F5730" t="inlineStr">
        <is>
          <t>VÄRMLANDS LÄN</t>
        </is>
      </c>
      <c r="G5730" t="inlineStr">
        <is>
          <t>EDA</t>
        </is>
      </c>
      <c r="I5730" t="n">
        <v>1</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38555-2023</t>
        </is>
      </c>
      <c r="B5731" t="inlineStr">
        <is>
          <t>avverkningsanmälan</t>
        </is>
      </c>
      <c r="C5731" t="inlineStr">
        <is>
          <t>Föryngringsavverkning</t>
        </is>
      </c>
      <c r="D5731" s="1" t="n">
        <v>45162</v>
      </c>
      <c r="E5731" s="1" t="n">
        <v>46307</v>
      </c>
      <c r="F5731" t="inlineStr">
        <is>
          <t>VÄRMLANDS LÄN</t>
        </is>
      </c>
      <c r="G5731" t="inlineStr">
        <is>
          <t>HAGFORS</t>
        </is>
      </c>
      <c r="I5731" t="n">
        <v>1.6</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6015-2023</t>
        </is>
      </c>
      <c r="B5732" t="inlineStr">
        <is>
          <t>avverkningsanmälan</t>
        </is>
      </c>
      <c r="C5732" t="inlineStr">
        <is>
          <t>Föryngringsavverkning</t>
        </is>
      </c>
      <c r="D5732" s="1" t="n">
        <v>44964</v>
      </c>
      <c r="E5732" s="1" t="n">
        <v>46307</v>
      </c>
      <c r="F5732" t="inlineStr">
        <is>
          <t>VÄRMLANDS LÄN</t>
        </is>
      </c>
      <c r="G5732" t="inlineStr">
        <is>
          <t>KIL</t>
        </is>
      </c>
      <c r="I5732" t="n">
        <v>0.6</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54101-2025</t>
        </is>
      </c>
      <c r="B5733" t="inlineStr">
        <is>
          <t>avverkningsanmälan</t>
        </is>
      </c>
      <c r="C5733" t="inlineStr">
        <is>
          <t>Föryngringsavverkning</t>
        </is>
      </c>
      <c r="D5733" s="1" t="n">
        <v>45964</v>
      </c>
      <c r="E5733" s="1" t="n">
        <v>46307</v>
      </c>
      <c r="F5733" t="inlineStr">
        <is>
          <t>VÄRMLANDS LÄN</t>
        </is>
      </c>
      <c r="G5733" t="inlineStr">
        <is>
          <t>TORSBY</t>
        </is>
      </c>
      <c r="I5733" t="n">
        <v>7.2</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32162-2025</t>
        </is>
      </c>
      <c r="B5734" t="inlineStr">
        <is>
          <t>avverkningsanmälan</t>
        </is>
      </c>
      <c r="C5734" t="inlineStr">
        <is>
          <t>Föryngringsavverkning</t>
        </is>
      </c>
      <c r="D5734" s="1" t="n">
        <v>45835</v>
      </c>
      <c r="E5734" s="1" t="n">
        <v>46307</v>
      </c>
      <c r="F5734" t="inlineStr">
        <is>
          <t>VÄRMLANDS LÄN</t>
        </is>
      </c>
      <c r="G5734" t="inlineStr">
        <is>
          <t>SÄFFLE</t>
        </is>
      </c>
      <c r="H5734" t="inlineStr">
        <is>
          <t>Kyrkan</t>
        </is>
      </c>
      <c r="I5734" t="n">
        <v>4.3</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53990-2025</t>
        </is>
      </c>
      <c r="B5735" t="inlineStr">
        <is>
          <t>avverkningsanmälan</t>
        </is>
      </c>
      <c r="C5735" t="inlineStr">
        <is>
          <t>Föryngringsavverkning</t>
        </is>
      </c>
      <c r="D5735" s="1" t="n">
        <v>45961</v>
      </c>
      <c r="E5735" s="1" t="n">
        <v>46307</v>
      </c>
      <c r="F5735" t="inlineStr">
        <is>
          <t>VÄRMLANDS LÄN</t>
        </is>
      </c>
      <c r="G5735" t="inlineStr">
        <is>
          <t>STORFORS</t>
        </is>
      </c>
      <c r="H5735" t="inlineStr">
        <is>
          <t>Naturvårdsverket</t>
        </is>
      </c>
      <c r="I5735" t="n">
        <v>5.8</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32191-2025</t>
        </is>
      </c>
      <c r="B5736" t="inlineStr">
        <is>
          <t>avverkningsanmälan</t>
        </is>
      </c>
      <c r="C5736" t="inlineStr">
        <is>
          <t>Föryngringsavverkning</t>
        </is>
      </c>
      <c r="D5736" s="1" t="n">
        <v>45835</v>
      </c>
      <c r="E5736" s="1" t="n">
        <v>46307</v>
      </c>
      <c r="F5736" t="inlineStr">
        <is>
          <t>VÄRMLANDS LÄN</t>
        </is>
      </c>
      <c r="G5736" t="inlineStr">
        <is>
          <t>TORSBY</t>
        </is>
      </c>
      <c r="H5736" t="inlineStr">
        <is>
          <t>Bergvik skog väst AB</t>
        </is>
      </c>
      <c r="I5736" t="n">
        <v>4.5</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54029-2025</t>
        </is>
      </c>
      <c r="B5737" t="inlineStr">
        <is>
          <t>avverkningsanmälan</t>
        </is>
      </c>
      <c r="C5737" t="inlineStr">
        <is>
          <t>Föryngringsavverkning</t>
        </is>
      </c>
      <c r="D5737" s="1" t="n">
        <v>45962</v>
      </c>
      <c r="E5737" s="1" t="n">
        <v>46307</v>
      </c>
      <c r="F5737" t="inlineStr">
        <is>
          <t>VÄRMLANDS LÄN</t>
        </is>
      </c>
      <c r="G5737" t="inlineStr">
        <is>
          <t>ARVIKA</t>
        </is>
      </c>
      <c r="I5737" t="n">
        <v>3.3</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41568-2023</t>
        </is>
      </c>
      <c r="B5738" t="inlineStr">
        <is>
          <t>avverkningsanmälan</t>
        </is>
      </c>
      <c r="C5738" t="inlineStr">
        <is>
          <t>Föryngringsavverkning</t>
        </is>
      </c>
      <c r="D5738" s="1" t="n">
        <v>45175</v>
      </c>
      <c r="E5738" s="1" t="n">
        <v>46307</v>
      </c>
      <c r="F5738" t="inlineStr">
        <is>
          <t>VÄRMLANDS LÄN</t>
        </is>
      </c>
      <c r="G5738" t="inlineStr">
        <is>
          <t>KARLSTAD</t>
        </is>
      </c>
      <c r="H5738" t="inlineStr">
        <is>
          <t>Övriga Aktiebolag</t>
        </is>
      </c>
      <c r="I5738" t="n">
        <v>1.1</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8909-2023</t>
        </is>
      </c>
      <c r="B5739" t="inlineStr">
        <is>
          <t>avverkningsanmälan</t>
        </is>
      </c>
      <c r="C5739" t="inlineStr">
        <is>
          <t>Föryngringsavverkning</t>
        </is>
      </c>
      <c r="D5739" s="1" t="n">
        <v>44973</v>
      </c>
      <c r="E5739" s="1" t="n">
        <v>46307</v>
      </c>
      <c r="F5739" t="inlineStr">
        <is>
          <t>VÄRMLANDS LÄN</t>
        </is>
      </c>
      <c r="G5739" t="inlineStr">
        <is>
          <t>SÄFFLE</t>
        </is>
      </c>
      <c r="I5739" t="n">
        <v>4.2</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11364-2023</t>
        </is>
      </c>
      <c r="B5740" t="inlineStr">
        <is>
          <t>avverkningsanmälan</t>
        </is>
      </c>
      <c r="C5740" t="inlineStr">
        <is>
          <t>Föryngringsavverkning</t>
        </is>
      </c>
      <c r="D5740" s="1" t="n">
        <v>44993</v>
      </c>
      <c r="E5740" s="1" t="n">
        <v>46307</v>
      </c>
      <c r="F5740" t="inlineStr">
        <is>
          <t>VÄRMLANDS LÄN</t>
        </is>
      </c>
      <c r="G5740" t="inlineStr">
        <is>
          <t>TORSBY</t>
        </is>
      </c>
      <c r="I5740" t="n">
        <v>31.9</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54091-2025</t>
        </is>
      </c>
      <c r="B5741" t="inlineStr">
        <is>
          <t>avverkningsanmälan</t>
        </is>
      </c>
      <c r="C5741" t="inlineStr">
        <is>
          <t>Föryngringsavverkning</t>
        </is>
      </c>
      <c r="D5741" s="1" t="n">
        <v>45964</v>
      </c>
      <c r="E5741" s="1" t="n">
        <v>46307</v>
      </c>
      <c r="F5741" t="inlineStr">
        <is>
          <t>VÄRMLANDS LÄN</t>
        </is>
      </c>
      <c r="G5741" t="inlineStr">
        <is>
          <t>TORSBY</t>
        </is>
      </c>
      <c r="I5741" t="n">
        <v>4.1</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54049-2025</t>
        </is>
      </c>
      <c r="B5742" t="inlineStr">
        <is>
          <t>avverkningsanmälan</t>
        </is>
      </c>
      <c r="C5742" t="inlineStr">
        <is>
          <t>Föryngringsavverkning</t>
        </is>
      </c>
      <c r="D5742" s="1" t="n">
        <v>45963</v>
      </c>
      <c r="E5742" s="1" t="n">
        <v>46307</v>
      </c>
      <c r="F5742" t="inlineStr">
        <is>
          <t>VÄRMLANDS LÄN</t>
        </is>
      </c>
      <c r="G5742" t="inlineStr">
        <is>
          <t>SUNNE</t>
        </is>
      </c>
      <c r="I5742" t="n">
        <v>5.8</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54079-2025</t>
        </is>
      </c>
      <c r="B5743" t="inlineStr">
        <is>
          <t>avverkningsanmälan</t>
        </is>
      </c>
      <c r="C5743" t="inlineStr">
        <is>
          <t>Föryngringsavverkning</t>
        </is>
      </c>
      <c r="D5743" s="1" t="n">
        <v>45964</v>
      </c>
      <c r="E5743" s="1" t="n">
        <v>46307</v>
      </c>
      <c r="F5743" t="inlineStr">
        <is>
          <t>VÄRMLANDS LÄN</t>
        </is>
      </c>
      <c r="G5743" t="inlineStr">
        <is>
          <t>TORSBY</t>
        </is>
      </c>
      <c r="I5743" t="n">
        <v>2.8</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61073-2024</t>
        </is>
      </c>
      <c r="B5744" t="inlineStr">
        <is>
          <t>avverkningsanmälan</t>
        </is>
      </c>
      <c r="C5744" t="inlineStr">
        <is>
          <t>Föryngringsavverkning</t>
        </is>
      </c>
      <c r="D5744" s="1" t="n">
        <v>45645</v>
      </c>
      <c r="E5744" s="1" t="n">
        <v>46307</v>
      </c>
      <c r="F5744" t="inlineStr">
        <is>
          <t>VÄRMLANDS LÄN</t>
        </is>
      </c>
      <c r="G5744" t="inlineStr">
        <is>
          <t>TORSBY</t>
        </is>
      </c>
      <c r="I5744" t="n">
        <v>3.4</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27344-2023</t>
        </is>
      </c>
      <c r="B5745" t="inlineStr">
        <is>
          <t>avverkningsanmälan</t>
        </is>
      </c>
      <c r="C5745" t="inlineStr">
        <is>
          <t>Föryngringsavverkning</t>
        </is>
      </c>
      <c r="D5745" s="1" t="n">
        <v>45096</v>
      </c>
      <c r="E5745" s="1" t="n">
        <v>46307</v>
      </c>
      <c r="F5745" t="inlineStr">
        <is>
          <t>VÄRMLANDS LÄN</t>
        </is>
      </c>
      <c r="G5745" t="inlineStr">
        <is>
          <t>KARLSTAD</t>
        </is>
      </c>
      <c r="I5745" t="n">
        <v>4.7</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54028-2025</t>
        </is>
      </c>
      <c r="B5746" t="inlineStr">
        <is>
          <t>avverkningsanmälan</t>
        </is>
      </c>
      <c r="C5746" t="inlineStr">
        <is>
          <t>Föryngringsavverkning</t>
        </is>
      </c>
      <c r="D5746" s="1" t="n">
        <v>45962</v>
      </c>
      <c r="E5746" s="1" t="n">
        <v>46307</v>
      </c>
      <c r="F5746" t="inlineStr">
        <is>
          <t>VÄRMLANDS LÄN</t>
        </is>
      </c>
      <c r="G5746" t="inlineStr">
        <is>
          <t>ARVIKA</t>
        </is>
      </c>
      <c r="I5746" t="n">
        <v>5.7</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54051-2025</t>
        </is>
      </c>
      <c r="B5747" t="inlineStr">
        <is>
          <t>avverkningsanmälan</t>
        </is>
      </c>
      <c r="C5747" t="inlineStr">
        <is>
          <t>Föryngringsavverkning</t>
        </is>
      </c>
      <c r="D5747" s="1" t="n">
        <v>45963</v>
      </c>
      <c r="E5747" s="1" t="n">
        <v>46307</v>
      </c>
      <c r="F5747" t="inlineStr">
        <is>
          <t>VÄRMLANDS LÄN</t>
        </is>
      </c>
      <c r="G5747" t="inlineStr">
        <is>
          <t>SUNNE</t>
        </is>
      </c>
      <c r="I5747" t="n">
        <v>1.5</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54001-2025</t>
        </is>
      </c>
      <c r="B5748" t="inlineStr">
        <is>
          <t>avverkningsanmälan</t>
        </is>
      </c>
      <c r="C5748" t="inlineStr">
        <is>
          <t>Föryngringsavverkning</t>
        </is>
      </c>
      <c r="D5748" s="1" t="n">
        <v>45961</v>
      </c>
      <c r="E5748" s="1" t="n">
        <v>46307</v>
      </c>
      <c r="F5748" t="inlineStr">
        <is>
          <t>VÄRMLANDS LÄN</t>
        </is>
      </c>
      <c r="G5748" t="inlineStr">
        <is>
          <t>HAGFORS</t>
        </is>
      </c>
      <c r="I5748" t="n">
        <v>0.9</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58434-2023</t>
        </is>
      </c>
      <c r="B5749" t="inlineStr">
        <is>
          <t>avverkningsanmälan</t>
        </is>
      </c>
      <c r="C5749" t="inlineStr">
        <is>
          <t>Föryngringsavverkning</t>
        </is>
      </c>
      <c r="D5749" s="1" t="n">
        <v>45250</v>
      </c>
      <c r="E5749" s="1" t="n">
        <v>46307</v>
      </c>
      <c r="F5749" t="inlineStr">
        <is>
          <t>VÄRMLANDS LÄN</t>
        </is>
      </c>
      <c r="G5749" t="inlineStr">
        <is>
          <t>ÅRJÄNG</t>
        </is>
      </c>
      <c r="H5749" t="inlineStr">
        <is>
          <t>Naturvårdsverket</t>
        </is>
      </c>
      <c r="I5749" t="n">
        <v>3</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4717-2025</t>
        </is>
      </c>
      <c r="B5750" t="inlineStr">
        <is>
          <t>avverkningsanmälan</t>
        </is>
      </c>
      <c r="C5750" t="inlineStr">
        <is>
          <t>Föryngringsavverkning</t>
        </is>
      </c>
      <c r="D5750" s="1" t="n">
        <v>45688</v>
      </c>
      <c r="E5750" s="1" t="n">
        <v>46307</v>
      </c>
      <c r="F5750" t="inlineStr">
        <is>
          <t>VÄRMLANDS LÄN</t>
        </is>
      </c>
      <c r="G5750" t="inlineStr">
        <is>
          <t>KARLSTAD</t>
        </is>
      </c>
      <c r="I5750" t="n">
        <v>1</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39213-2023</t>
        </is>
      </c>
      <c r="B5751" t="inlineStr">
        <is>
          <t>avverkningsanmälan</t>
        </is>
      </c>
      <c r="C5751" t="inlineStr">
        <is>
          <t>Föryngringsavverkning</t>
        </is>
      </c>
      <c r="D5751" s="1" t="n">
        <v>45166</v>
      </c>
      <c r="E5751" s="1" t="n">
        <v>46307</v>
      </c>
      <c r="F5751" t="inlineStr">
        <is>
          <t>VÄRMLANDS LÄN</t>
        </is>
      </c>
      <c r="G5751" t="inlineStr">
        <is>
          <t>FORSHAGA</t>
        </is>
      </c>
      <c r="H5751" t="inlineStr">
        <is>
          <t>Kommuner</t>
        </is>
      </c>
      <c r="I5751" t="n">
        <v>2.4</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20106-2022</t>
        </is>
      </c>
      <c r="B5752" t="inlineStr">
        <is>
          <t>avverkningsanmälan</t>
        </is>
      </c>
      <c r="C5752" t="inlineStr">
        <is>
          <t>Föryngringsavverkning</t>
        </is>
      </c>
      <c r="D5752" s="1" t="n">
        <v>44697</v>
      </c>
      <c r="E5752" s="1" t="n">
        <v>46307</v>
      </c>
      <c r="F5752" t="inlineStr">
        <is>
          <t>VÄRMLANDS LÄN</t>
        </is>
      </c>
      <c r="G5752" t="inlineStr">
        <is>
          <t>ARVIKA</t>
        </is>
      </c>
      <c r="I5752" t="n">
        <v>7.1</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32079-2025</t>
        </is>
      </c>
      <c r="B5753" t="inlineStr">
        <is>
          <t>avverkningsanmälan</t>
        </is>
      </c>
      <c r="C5753" t="inlineStr">
        <is>
          <t>Föryngringsavverkning</t>
        </is>
      </c>
      <c r="D5753" s="1" t="n">
        <v>45835</v>
      </c>
      <c r="E5753" s="1" t="n">
        <v>46307</v>
      </c>
      <c r="F5753" t="inlineStr">
        <is>
          <t>VÄRMLANDS LÄN</t>
        </is>
      </c>
      <c r="G5753" t="inlineStr">
        <is>
          <t>ARVIKA</t>
        </is>
      </c>
      <c r="I5753" t="n">
        <v>0.4</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22721-2022</t>
        </is>
      </c>
      <c r="B5754" t="inlineStr">
        <is>
          <t>avverkningsanmälan</t>
        </is>
      </c>
      <c r="C5754" t="inlineStr">
        <is>
          <t>Föryngringsavverkning</t>
        </is>
      </c>
      <c r="D5754" s="1" t="n">
        <v>44714</v>
      </c>
      <c r="E5754" s="1" t="n">
        <v>46307</v>
      </c>
      <c r="F5754" t="inlineStr">
        <is>
          <t>VÄRMLANDS LÄN</t>
        </is>
      </c>
      <c r="G5754" t="inlineStr">
        <is>
          <t>EDA</t>
        </is>
      </c>
      <c r="I5754" t="n">
        <v>1.5</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18907-2025</t>
        </is>
      </c>
      <c r="B5755" t="inlineStr">
        <is>
          <t>avverkningsanmälan</t>
        </is>
      </c>
      <c r="C5755" t="inlineStr">
        <is>
          <t>Föryngringsavverkning</t>
        </is>
      </c>
      <c r="D5755" s="1" t="n">
        <v>45764</v>
      </c>
      <c r="E5755" s="1" t="n">
        <v>46307</v>
      </c>
      <c r="F5755" t="inlineStr">
        <is>
          <t>VÄRMLANDS LÄN</t>
        </is>
      </c>
      <c r="G5755" t="inlineStr">
        <is>
          <t>HAGFORS</t>
        </is>
      </c>
      <c r="H5755" t="inlineStr">
        <is>
          <t>Bergvik skog väst AB</t>
        </is>
      </c>
      <c r="I5755" t="n">
        <v>3.8</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32406-2025</t>
        </is>
      </c>
      <c r="B5756" t="inlineStr">
        <is>
          <t>avverkningsanmälan</t>
        </is>
      </c>
      <c r="C5756" t="inlineStr">
        <is>
          <t>Föryngringsavverkning</t>
        </is>
      </c>
      <c r="D5756" s="1" t="n">
        <v>45838</v>
      </c>
      <c r="E5756" s="1" t="n">
        <v>46307</v>
      </c>
      <c r="F5756" t="inlineStr">
        <is>
          <t>VÄRMLANDS LÄN</t>
        </is>
      </c>
      <c r="G5756" t="inlineStr">
        <is>
          <t>EDA</t>
        </is>
      </c>
      <c r="I5756" t="n">
        <v>5.9</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30165-2025</t>
        </is>
      </c>
      <c r="B5757" t="inlineStr">
        <is>
          <t>avverkningsanmälan</t>
        </is>
      </c>
      <c r="C5757" t="inlineStr">
        <is>
          <t>Föryngringsavverkning</t>
        </is>
      </c>
      <c r="D5757" s="1" t="n">
        <v>45827</v>
      </c>
      <c r="E5757" s="1" t="n">
        <v>46307</v>
      </c>
      <c r="F5757" t="inlineStr">
        <is>
          <t>VÄRMLANDS LÄN</t>
        </is>
      </c>
      <c r="G5757" t="inlineStr">
        <is>
          <t>FILIPSTAD</t>
        </is>
      </c>
      <c r="H5757" t="inlineStr">
        <is>
          <t>Kyrkan</t>
        </is>
      </c>
      <c r="I5757" t="n">
        <v>6.5</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32345-2025</t>
        </is>
      </c>
      <c r="B5758" t="inlineStr">
        <is>
          <t>avverkningsanmälan</t>
        </is>
      </c>
      <c r="C5758" t="inlineStr">
        <is>
          <t>Föryngringsavverkning</t>
        </is>
      </c>
      <c r="D5758" s="1" t="n">
        <v>45837</v>
      </c>
      <c r="E5758" s="1" t="n">
        <v>46307</v>
      </c>
      <c r="F5758" t="inlineStr">
        <is>
          <t>VÄRMLANDS LÄN</t>
        </is>
      </c>
      <c r="G5758" t="inlineStr">
        <is>
          <t>TORSBY</t>
        </is>
      </c>
      <c r="I5758" t="n">
        <v>8.699999999999999</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31952-2025</t>
        </is>
      </c>
      <c r="B5759" t="inlineStr">
        <is>
          <t>avverkningsanmälan</t>
        </is>
      </c>
      <c r="C5759" t="inlineStr">
        <is>
          <t>Föryngringsavverkning</t>
        </is>
      </c>
      <c r="D5759" s="1" t="n">
        <v>45835</v>
      </c>
      <c r="E5759" s="1" t="n">
        <v>46307</v>
      </c>
      <c r="F5759" t="inlineStr">
        <is>
          <t>VÄRMLANDS LÄN</t>
        </is>
      </c>
      <c r="G5759" t="inlineStr">
        <is>
          <t>ARVIKA</t>
        </is>
      </c>
      <c r="I5759" t="n">
        <v>0.7</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32555-2025</t>
        </is>
      </c>
      <c r="B5760" t="inlineStr">
        <is>
          <t>avverkningsanmälan</t>
        </is>
      </c>
      <c r="C5760" t="inlineStr">
        <is>
          <t>Föryngringsavverkning</t>
        </is>
      </c>
      <c r="D5760" s="1" t="n">
        <v>45838</v>
      </c>
      <c r="E5760" s="1" t="n">
        <v>46307</v>
      </c>
      <c r="F5760" t="inlineStr">
        <is>
          <t>VÄRMLANDS LÄN</t>
        </is>
      </c>
      <c r="G5760" t="inlineStr">
        <is>
          <t>TORSBY</t>
        </is>
      </c>
      <c r="I5760" t="n">
        <v>3.8</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386-2025</t>
        </is>
      </c>
      <c r="B5761" t="inlineStr">
        <is>
          <t>avverkningsanmälan</t>
        </is>
      </c>
      <c r="C5761" t="inlineStr">
        <is>
          <t>Föryngringsavverkning</t>
        </is>
      </c>
      <c r="D5761" s="1" t="n">
        <v>45662</v>
      </c>
      <c r="E5761" s="1" t="n">
        <v>46307</v>
      </c>
      <c r="F5761" t="inlineStr">
        <is>
          <t>VÄRMLANDS LÄN</t>
        </is>
      </c>
      <c r="G5761" t="inlineStr">
        <is>
          <t>KRISTINEHAMN</t>
        </is>
      </c>
      <c r="I5761" t="n">
        <v>1</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39980-2022</t>
        </is>
      </c>
      <c r="B5762" t="inlineStr">
        <is>
          <t>avverkningsanmälan</t>
        </is>
      </c>
      <c r="C5762" t="inlineStr">
        <is>
          <t>Avverkning för annat ändamål</t>
        </is>
      </c>
      <c r="D5762" s="1" t="n">
        <v>44820</v>
      </c>
      <c r="E5762" s="1" t="n">
        <v>46307</v>
      </c>
      <c r="F5762" t="inlineStr">
        <is>
          <t>VÄRMLANDS LÄN</t>
        </is>
      </c>
      <c r="G5762" t="inlineStr">
        <is>
          <t>ARVIKA</t>
        </is>
      </c>
      <c r="H5762" t="inlineStr">
        <is>
          <t>Bergvik skog väst AB</t>
        </is>
      </c>
      <c r="I5762" t="n">
        <v>0.3</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11359-2023</t>
        </is>
      </c>
      <c r="B5763" t="inlineStr">
        <is>
          <t>avverkningsanmälan</t>
        </is>
      </c>
      <c r="C5763" t="inlineStr">
        <is>
          <t>Föryngringsavverkning</t>
        </is>
      </c>
      <c r="D5763" s="1" t="n">
        <v>44985</v>
      </c>
      <c r="E5763" s="1" t="n">
        <v>46307</v>
      </c>
      <c r="F5763" t="inlineStr">
        <is>
          <t>VÄRMLANDS LÄN</t>
        </is>
      </c>
      <c r="G5763" t="inlineStr">
        <is>
          <t>KARLSTAD</t>
        </is>
      </c>
      <c r="I5763" t="n">
        <v>3.6</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7283-2023</t>
        </is>
      </c>
      <c r="B5764" t="inlineStr">
        <is>
          <t>avverkningsanmälan</t>
        </is>
      </c>
      <c r="C5764" t="inlineStr">
        <is>
          <t>Föryngringsavverkning</t>
        </is>
      </c>
      <c r="D5764" s="1" t="n">
        <v>44970</v>
      </c>
      <c r="E5764" s="1" t="n">
        <v>46307</v>
      </c>
      <c r="F5764" t="inlineStr">
        <is>
          <t>VÄRMLANDS LÄN</t>
        </is>
      </c>
      <c r="G5764" t="inlineStr">
        <is>
          <t>TORSBY</t>
        </is>
      </c>
      <c r="I5764" t="n">
        <v>0.5</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43868-2023</t>
        </is>
      </c>
      <c r="B5765" t="inlineStr">
        <is>
          <t>avverkningsanmälan</t>
        </is>
      </c>
      <c r="C5765" t="inlineStr">
        <is>
          <t>Föryngringsavverkning</t>
        </is>
      </c>
      <c r="D5765" s="1" t="n">
        <v>45187</v>
      </c>
      <c r="E5765" s="1" t="n">
        <v>46307</v>
      </c>
      <c r="F5765" t="inlineStr">
        <is>
          <t>VÄRMLANDS LÄN</t>
        </is>
      </c>
      <c r="G5765" t="inlineStr">
        <is>
          <t>SUNNE</t>
        </is>
      </c>
      <c r="I5765" t="n">
        <v>1.1</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62453-2022</t>
        </is>
      </c>
      <c r="B5766" t="inlineStr">
        <is>
          <t>avverkningsanmälan</t>
        </is>
      </c>
      <c r="C5766" t="inlineStr">
        <is>
          <t>Föryngringsavverkning</t>
        </is>
      </c>
      <c r="D5766" s="1" t="n">
        <v>44924</v>
      </c>
      <c r="E5766" s="1" t="n">
        <v>46307</v>
      </c>
      <c r="F5766" t="inlineStr">
        <is>
          <t>VÄRMLANDS LÄN</t>
        </is>
      </c>
      <c r="G5766" t="inlineStr">
        <is>
          <t>KRISTINEHAMN</t>
        </is>
      </c>
      <c r="I5766" t="n">
        <v>4.3</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25537-2022</t>
        </is>
      </c>
      <c r="B5767" t="inlineStr">
        <is>
          <t>avverkningsanmälan</t>
        </is>
      </c>
      <c r="C5767" t="inlineStr">
        <is>
          <t>Föryngringsavverkning</t>
        </is>
      </c>
      <c r="D5767" s="1" t="n">
        <v>44732</v>
      </c>
      <c r="E5767" s="1" t="n">
        <v>46307</v>
      </c>
      <c r="F5767" t="inlineStr">
        <is>
          <t>VÄRMLANDS LÄN</t>
        </is>
      </c>
      <c r="G5767" t="inlineStr">
        <is>
          <t>TORSBY</t>
        </is>
      </c>
      <c r="I5767" t="n">
        <v>0.8</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29724-2023</t>
        </is>
      </c>
      <c r="B5768" t="inlineStr">
        <is>
          <t>avverkningsanmälan</t>
        </is>
      </c>
      <c r="C5768" t="inlineStr">
        <is>
          <t>Avverkning för annat ändamål</t>
        </is>
      </c>
      <c r="D5768" s="1" t="n">
        <v>45107</v>
      </c>
      <c r="E5768" s="1" t="n">
        <v>46307</v>
      </c>
      <c r="F5768" t="inlineStr">
        <is>
          <t>VÄRMLANDS LÄN</t>
        </is>
      </c>
      <c r="G5768" t="inlineStr">
        <is>
          <t>GRUMS</t>
        </is>
      </c>
      <c r="I5768" t="n">
        <v>0.7</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53839-2025</t>
        </is>
      </c>
      <c r="B5769" t="inlineStr">
        <is>
          <t>avverkningsanmälan</t>
        </is>
      </c>
      <c r="C5769" t="inlineStr">
        <is>
          <t>Föryngringsavverkning</t>
        </is>
      </c>
      <c r="D5769" s="1" t="n">
        <v>45961</v>
      </c>
      <c r="E5769" s="1" t="n">
        <v>46307</v>
      </c>
      <c r="F5769" t="inlineStr">
        <is>
          <t>VÄRMLANDS LÄN</t>
        </is>
      </c>
      <c r="G5769" t="inlineStr">
        <is>
          <t>KIL</t>
        </is>
      </c>
      <c r="I5769" t="n">
        <v>1.9</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53954-2025</t>
        </is>
      </c>
      <c r="B5770" t="inlineStr">
        <is>
          <t>avverkningsanmälan</t>
        </is>
      </c>
      <c r="C5770" t="inlineStr">
        <is>
          <t>Föryngringsavverkning</t>
        </is>
      </c>
      <c r="D5770" s="1" t="n">
        <v>45961</v>
      </c>
      <c r="E5770" s="1" t="n">
        <v>46307</v>
      </c>
      <c r="F5770" t="inlineStr">
        <is>
          <t>VÄRMLANDS LÄN</t>
        </is>
      </c>
      <c r="G5770" t="inlineStr">
        <is>
          <t>ARVIKA</t>
        </is>
      </c>
      <c r="I5770" t="n">
        <v>2.6</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51400-2022</t>
        </is>
      </c>
      <c r="B5771" t="inlineStr">
        <is>
          <t>avverkningsanmälan</t>
        </is>
      </c>
      <c r="C5771" t="inlineStr">
        <is>
          <t>Föryngringsavverkning</t>
        </is>
      </c>
      <c r="D5771" s="1" t="n">
        <v>44869</v>
      </c>
      <c r="E5771" s="1" t="n">
        <v>46307</v>
      </c>
      <c r="F5771" t="inlineStr">
        <is>
          <t>VÄRMLANDS LÄN</t>
        </is>
      </c>
      <c r="G5771" t="inlineStr">
        <is>
          <t>ARVIKA</t>
        </is>
      </c>
      <c r="H5771" t="inlineStr">
        <is>
          <t>Bergvik skog väst AB</t>
        </is>
      </c>
      <c r="I5771" t="n">
        <v>0.4</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13074-2023</t>
        </is>
      </c>
      <c r="B5772" t="inlineStr">
        <is>
          <t>avverkningsanmälan</t>
        </is>
      </c>
      <c r="C5772" t="inlineStr">
        <is>
          <t>Föryngringsavverkning</t>
        </is>
      </c>
      <c r="D5772" s="1" t="n">
        <v>45001</v>
      </c>
      <c r="E5772" s="1" t="n">
        <v>46307</v>
      </c>
      <c r="F5772" t="inlineStr">
        <is>
          <t>VÄRMLANDS LÄN</t>
        </is>
      </c>
      <c r="G5772" t="inlineStr">
        <is>
          <t>ARVIKA</t>
        </is>
      </c>
      <c r="I5772" t="n">
        <v>21.1</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38435-2023</t>
        </is>
      </c>
      <c r="B5773" t="inlineStr">
        <is>
          <t>avverkningsanmälan</t>
        </is>
      </c>
      <c r="C5773" t="inlineStr">
        <is>
          <t>Föryngringsavverkning</t>
        </is>
      </c>
      <c r="D5773" s="1" t="n">
        <v>45162</v>
      </c>
      <c r="E5773" s="1" t="n">
        <v>46307</v>
      </c>
      <c r="F5773" t="inlineStr">
        <is>
          <t>VÄRMLANDS LÄN</t>
        </is>
      </c>
      <c r="G5773" t="inlineStr">
        <is>
          <t>SUNNE</t>
        </is>
      </c>
      <c r="I5773" t="n">
        <v>3.1</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16498-2022</t>
        </is>
      </c>
      <c r="B5774" t="inlineStr">
        <is>
          <t>avverkningsanmälan</t>
        </is>
      </c>
      <c r="C5774" t="inlineStr">
        <is>
          <t>Föryngringsavverkning</t>
        </is>
      </c>
      <c r="D5774" s="1" t="n">
        <v>44671</v>
      </c>
      <c r="E5774" s="1" t="n">
        <v>46307</v>
      </c>
      <c r="F5774" t="inlineStr">
        <is>
          <t>VÄRMLANDS LÄN</t>
        </is>
      </c>
      <c r="G5774" t="inlineStr">
        <is>
          <t>TORSBY</t>
        </is>
      </c>
      <c r="H5774" t="inlineStr">
        <is>
          <t>Kommuner</t>
        </is>
      </c>
      <c r="I5774" t="n">
        <v>1</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54675-2025</t>
        </is>
      </c>
      <c r="B5775" t="inlineStr">
        <is>
          <t>avverkningsanmälan</t>
        </is>
      </c>
      <c r="C5775" t="inlineStr">
        <is>
          <t>Föryngringsavverkning</t>
        </is>
      </c>
      <c r="D5775" s="1" t="n">
        <v>45966</v>
      </c>
      <c r="E5775" s="1" t="n">
        <v>46307</v>
      </c>
      <c r="F5775" t="inlineStr">
        <is>
          <t>VÄRMLANDS LÄN</t>
        </is>
      </c>
      <c r="G5775" t="inlineStr">
        <is>
          <t>ARVIKA</t>
        </is>
      </c>
      <c r="I5775" t="n">
        <v>1.6</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20743-2024</t>
        </is>
      </c>
      <c r="B5776" t="inlineStr">
        <is>
          <t>avverkningsanmälan</t>
        </is>
      </c>
      <c r="C5776" t="inlineStr">
        <is>
          <t>Föryngringsavverkning</t>
        </is>
      </c>
      <c r="D5776" s="1" t="n">
        <v>45436</v>
      </c>
      <c r="E5776" s="1" t="n">
        <v>46307</v>
      </c>
      <c r="F5776" t="inlineStr">
        <is>
          <t>VÄRMLANDS LÄN</t>
        </is>
      </c>
      <c r="G5776" t="inlineStr">
        <is>
          <t>KIL</t>
        </is>
      </c>
      <c r="I5776" t="n">
        <v>1.4</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11259-2024</t>
        </is>
      </c>
      <c r="B5777" t="inlineStr">
        <is>
          <t>avverkningsanmälan</t>
        </is>
      </c>
      <c r="C5777" t="inlineStr">
        <is>
          <t>Föryngringsavverkning</t>
        </is>
      </c>
      <c r="D5777" s="1" t="n">
        <v>45371</v>
      </c>
      <c r="E5777" s="1" t="n">
        <v>46307</v>
      </c>
      <c r="F5777" t="inlineStr">
        <is>
          <t>VÄRMLANDS LÄN</t>
        </is>
      </c>
      <c r="G5777" t="inlineStr">
        <is>
          <t>TORSBY</t>
        </is>
      </c>
      <c r="I5777" t="n">
        <v>3.4</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54481-2024</t>
        </is>
      </c>
      <c r="B5778" t="inlineStr">
        <is>
          <t>avverkningsanmälan</t>
        </is>
      </c>
      <c r="C5778" t="inlineStr">
        <is>
          <t>Föryngringsavverkning</t>
        </is>
      </c>
      <c r="D5778" s="1" t="n">
        <v>45617</v>
      </c>
      <c r="E5778" s="1" t="n">
        <v>46307</v>
      </c>
      <c r="F5778" t="inlineStr">
        <is>
          <t>VÄRMLANDS LÄN</t>
        </is>
      </c>
      <c r="G5778" t="inlineStr">
        <is>
          <t>EDA</t>
        </is>
      </c>
      <c r="I5778" t="n">
        <v>0.9</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7686-2023</t>
        </is>
      </c>
      <c r="B5779" t="inlineStr">
        <is>
          <t>avverkningsanmälan</t>
        </is>
      </c>
      <c r="C5779" t="inlineStr">
        <is>
          <t>Avverkning för annat ändamål</t>
        </is>
      </c>
      <c r="D5779" s="1" t="n">
        <v>44972</v>
      </c>
      <c r="E5779" s="1" t="n">
        <v>46307</v>
      </c>
      <c r="F5779" t="inlineStr">
        <is>
          <t>VÄRMLANDS LÄN</t>
        </is>
      </c>
      <c r="G5779" t="inlineStr">
        <is>
          <t>ARVIKA</t>
        </is>
      </c>
      <c r="I5779" t="n">
        <v>1.5</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60996-2024</t>
        </is>
      </c>
      <c r="B5780" t="inlineStr">
        <is>
          <t>avverkningsanmälan</t>
        </is>
      </c>
      <c r="C5780" t="inlineStr">
        <is>
          <t>Föryngringsavverkning</t>
        </is>
      </c>
      <c r="D5780" s="1" t="n">
        <v>45645</v>
      </c>
      <c r="E5780" s="1" t="n">
        <v>46307</v>
      </c>
      <c r="F5780" t="inlineStr">
        <is>
          <t>VÄRMLANDS LÄN</t>
        </is>
      </c>
      <c r="G5780" t="inlineStr">
        <is>
          <t>SUNNE</t>
        </is>
      </c>
      <c r="I5780" t="n">
        <v>8</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33027-2025</t>
        </is>
      </c>
      <c r="B5781" t="inlineStr">
        <is>
          <t>avverkningsanmälan</t>
        </is>
      </c>
      <c r="C5781" t="inlineStr">
        <is>
          <t>Föryngringsavverkning</t>
        </is>
      </c>
      <c r="D5781" s="1" t="n">
        <v>45840</v>
      </c>
      <c r="E5781" s="1" t="n">
        <v>46307</v>
      </c>
      <c r="F5781" t="inlineStr">
        <is>
          <t>VÄRMLANDS LÄN</t>
        </is>
      </c>
      <c r="G5781" t="inlineStr">
        <is>
          <t>SUNNE</t>
        </is>
      </c>
      <c r="H5781" t="inlineStr">
        <is>
          <t>Bergvik skog väst AB</t>
        </is>
      </c>
      <c r="I5781" t="n">
        <v>1</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33221-2025</t>
        </is>
      </c>
      <c r="B5782" t="inlineStr">
        <is>
          <t>avverkningsanmälan</t>
        </is>
      </c>
      <c r="C5782" t="inlineStr">
        <is>
          <t>Föryngringsavverkning</t>
        </is>
      </c>
      <c r="D5782" s="1" t="n">
        <v>45840</v>
      </c>
      <c r="E5782" s="1" t="n">
        <v>46307</v>
      </c>
      <c r="F5782" t="inlineStr">
        <is>
          <t>VÄRMLANDS LÄN</t>
        </is>
      </c>
      <c r="G5782" t="inlineStr">
        <is>
          <t>TORSBY</t>
        </is>
      </c>
      <c r="H5782" t="inlineStr">
        <is>
          <t>Bergvik skog väst AB</t>
        </is>
      </c>
      <c r="I5782" t="n">
        <v>4.9</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487-2023</t>
        </is>
      </c>
      <c r="B5783" t="inlineStr">
        <is>
          <t>avverkningsanmälan</t>
        </is>
      </c>
      <c r="C5783" t="inlineStr">
        <is>
          <t>Föryngringsavverkning</t>
        </is>
      </c>
      <c r="D5783" s="1" t="n">
        <v>44930</v>
      </c>
      <c r="E5783" s="1" t="n">
        <v>46307</v>
      </c>
      <c r="F5783" t="inlineStr">
        <is>
          <t>VÄRMLANDS LÄN</t>
        </is>
      </c>
      <c r="G5783" t="inlineStr">
        <is>
          <t>STORFORS</t>
        </is>
      </c>
      <c r="I5783" t="n">
        <v>7.3</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54610-2025</t>
        </is>
      </c>
      <c r="B5784" t="inlineStr">
        <is>
          <t>avverkningsanmälan</t>
        </is>
      </c>
      <c r="C5784" t="inlineStr">
        <is>
          <t>Föryngringsavverkning</t>
        </is>
      </c>
      <c r="D5784" s="1" t="n">
        <v>45966</v>
      </c>
      <c r="E5784" s="1" t="n">
        <v>46307</v>
      </c>
      <c r="F5784" t="inlineStr">
        <is>
          <t>VÄRMLANDS LÄN</t>
        </is>
      </c>
      <c r="G5784" t="inlineStr">
        <is>
          <t>EDA</t>
        </is>
      </c>
      <c r="I5784" t="n">
        <v>2.2</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54429-2025</t>
        </is>
      </c>
      <c r="B5785" t="inlineStr">
        <is>
          <t>avverkningsanmälan</t>
        </is>
      </c>
      <c r="C5785" t="inlineStr">
        <is>
          <t>Föryngringsavverkning</t>
        </is>
      </c>
      <c r="D5785" s="1" t="n">
        <v>45965</v>
      </c>
      <c r="E5785" s="1" t="n">
        <v>46307</v>
      </c>
      <c r="F5785" t="inlineStr">
        <is>
          <t>VÄRMLANDS LÄN</t>
        </is>
      </c>
      <c r="G5785" t="inlineStr">
        <is>
          <t>SUNNE</t>
        </is>
      </c>
      <c r="I5785" t="n">
        <v>2.6</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54432-2025</t>
        </is>
      </c>
      <c r="B5786" t="inlineStr">
        <is>
          <t>avverkningsanmälan</t>
        </is>
      </c>
      <c r="C5786" t="inlineStr">
        <is>
          <t>Föryngringsavverkning</t>
        </is>
      </c>
      <c r="D5786" s="1" t="n">
        <v>45965</v>
      </c>
      <c r="E5786" s="1" t="n">
        <v>46307</v>
      </c>
      <c r="F5786" t="inlineStr">
        <is>
          <t>VÄRMLANDS LÄN</t>
        </is>
      </c>
      <c r="G5786" t="inlineStr">
        <is>
          <t>SUNNE</t>
        </is>
      </c>
      <c r="I5786" t="n">
        <v>1.1</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37559-2023</t>
        </is>
      </c>
      <c r="B5787" t="inlineStr">
        <is>
          <t>avverkningsanmälan</t>
        </is>
      </c>
      <c r="C5787" t="inlineStr">
        <is>
          <t>Föryngringsavverkning</t>
        </is>
      </c>
      <c r="D5787" s="1" t="n">
        <v>45159</v>
      </c>
      <c r="E5787" s="1" t="n">
        <v>46307</v>
      </c>
      <c r="F5787" t="inlineStr">
        <is>
          <t>VÄRMLANDS LÄN</t>
        </is>
      </c>
      <c r="G5787" t="inlineStr">
        <is>
          <t>EDA</t>
        </is>
      </c>
      <c r="I5787" t="n">
        <v>1.7</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37577-2023</t>
        </is>
      </c>
      <c r="B5788" t="inlineStr">
        <is>
          <t>avverkningsanmälan</t>
        </is>
      </c>
      <c r="C5788" t="inlineStr">
        <is>
          <t>Föryngringsavverkning</t>
        </is>
      </c>
      <c r="D5788" s="1" t="n">
        <v>45159</v>
      </c>
      <c r="E5788" s="1" t="n">
        <v>46307</v>
      </c>
      <c r="F5788" t="inlineStr">
        <is>
          <t>VÄRMLANDS LÄN</t>
        </is>
      </c>
      <c r="G5788" t="inlineStr">
        <is>
          <t>FILIPSTAD</t>
        </is>
      </c>
      <c r="I5788" t="n">
        <v>1.5</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54497-2025</t>
        </is>
      </c>
      <c r="B5789" t="inlineStr">
        <is>
          <t>avverkningsanmälan</t>
        </is>
      </c>
      <c r="C5789" t="inlineStr">
        <is>
          <t>Föryngringsavverkning</t>
        </is>
      </c>
      <c r="D5789" s="1" t="n">
        <v>45965</v>
      </c>
      <c r="E5789" s="1" t="n">
        <v>46307</v>
      </c>
      <c r="F5789" t="inlineStr">
        <is>
          <t>VÄRMLANDS LÄN</t>
        </is>
      </c>
      <c r="G5789" t="inlineStr">
        <is>
          <t>FILIPSTAD</t>
        </is>
      </c>
      <c r="H5789" t="inlineStr">
        <is>
          <t>Bergvik skog väst AB</t>
        </is>
      </c>
      <c r="I5789" t="n">
        <v>1</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32982-2025</t>
        </is>
      </c>
      <c r="B5790" t="inlineStr">
        <is>
          <t>avverkningsanmälan</t>
        </is>
      </c>
      <c r="C5790" t="inlineStr">
        <is>
          <t>Föryngringsavverkning</t>
        </is>
      </c>
      <c r="D5790" s="1" t="n">
        <v>45839</v>
      </c>
      <c r="E5790" s="1" t="n">
        <v>46307</v>
      </c>
      <c r="F5790" t="inlineStr">
        <is>
          <t>VÄRMLANDS LÄN</t>
        </is>
      </c>
      <c r="G5790" t="inlineStr">
        <is>
          <t>KIL</t>
        </is>
      </c>
      <c r="H5790" t="inlineStr">
        <is>
          <t>Kyrkan</t>
        </is>
      </c>
      <c r="I5790" t="n">
        <v>0.9</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32983-2025</t>
        </is>
      </c>
      <c r="B5791" t="inlineStr">
        <is>
          <t>avverkningsanmälan</t>
        </is>
      </c>
      <c r="C5791" t="inlineStr">
        <is>
          <t>Föryngringsavverkning</t>
        </is>
      </c>
      <c r="D5791" s="1" t="n">
        <v>45839</v>
      </c>
      <c r="E5791" s="1" t="n">
        <v>46307</v>
      </c>
      <c r="F5791" t="inlineStr">
        <is>
          <t>VÄRMLANDS LÄN</t>
        </is>
      </c>
      <c r="G5791" t="inlineStr">
        <is>
          <t>TORSBY</t>
        </is>
      </c>
      <c r="I5791" t="n">
        <v>1.2</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32994-2025</t>
        </is>
      </c>
      <c r="B5792" t="inlineStr">
        <is>
          <t>avverkningsanmälan</t>
        </is>
      </c>
      <c r="C5792" t="inlineStr">
        <is>
          <t>Föryngringsavverkning</t>
        </is>
      </c>
      <c r="D5792" s="1" t="n">
        <v>45839</v>
      </c>
      <c r="E5792" s="1" t="n">
        <v>46307</v>
      </c>
      <c r="F5792" t="inlineStr">
        <is>
          <t>VÄRMLANDS LÄN</t>
        </is>
      </c>
      <c r="G5792" t="inlineStr">
        <is>
          <t>SUNNE</t>
        </is>
      </c>
      <c r="I5792" t="n">
        <v>4.9</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32410-2025</t>
        </is>
      </c>
      <c r="B5793" t="inlineStr">
        <is>
          <t>avverkningsanmälan</t>
        </is>
      </c>
      <c r="C5793" t="inlineStr">
        <is>
          <t>Föryngringsavverkning</t>
        </is>
      </c>
      <c r="D5793" s="1" t="n">
        <v>45838</v>
      </c>
      <c r="E5793" s="1" t="n">
        <v>46307</v>
      </c>
      <c r="F5793" t="inlineStr">
        <is>
          <t>VÄRMLANDS LÄN</t>
        </is>
      </c>
      <c r="G5793" t="inlineStr">
        <is>
          <t>KIL</t>
        </is>
      </c>
      <c r="I5793" t="n">
        <v>4.5</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43233-2023</t>
        </is>
      </c>
      <c r="B5794" t="inlineStr">
        <is>
          <t>avverkningsanmälan</t>
        </is>
      </c>
      <c r="C5794" t="inlineStr">
        <is>
          <t>Föryngringsavverkning</t>
        </is>
      </c>
      <c r="D5794" s="1" t="n">
        <v>45180</v>
      </c>
      <c r="E5794" s="1" t="n">
        <v>46307</v>
      </c>
      <c r="F5794" t="inlineStr">
        <is>
          <t>VÄRMLANDS LÄN</t>
        </is>
      </c>
      <c r="G5794" t="inlineStr">
        <is>
          <t>FILIPSTAD</t>
        </is>
      </c>
      <c r="I5794" t="n">
        <v>2.4</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32730-2025</t>
        </is>
      </c>
      <c r="B5795" t="inlineStr">
        <is>
          <t>avverkningsanmälan</t>
        </is>
      </c>
      <c r="C5795" t="inlineStr">
        <is>
          <t>Föryngringsavverkning</t>
        </is>
      </c>
      <c r="D5795" s="1" t="n">
        <v>45839</v>
      </c>
      <c r="E5795" s="1" t="n">
        <v>46307</v>
      </c>
      <c r="F5795" t="inlineStr">
        <is>
          <t>VÄRMLANDS LÄN</t>
        </is>
      </c>
      <c r="G5795" t="inlineStr">
        <is>
          <t>ÅRJÄNG</t>
        </is>
      </c>
      <c r="H5795" t="inlineStr">
        <is>
          <t>Kyrkan</t>
        </is>
      </c>
      <c r="I5795" t="n">
        <v>5.9</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8356-2025</t>
        </is>
      </c>
      <c r="B5796" t="inlineStr">
        <is>
          <t>avverkningsanmälan</t>
        </is>
      </c>
      <c r="C5796" t="inlineStr">
        <is>
          <t>Föryngringsavverkning</t>
        </is>
      </c>
      <c r="D5796" s="1" t="n">
        <v>45708</v>
      </c>
      <c r="E5796" s="1" t="n">
        <v>46307</v>
      </c>
      <c r="F5796" t="inlineStr">
        <is>
          <t>VÄRMLANDS LÄN</t>
        </is>
      </c>
      <c r="G5796" t="inlineStr">
        <is>
          <t>ÅRJÄNG</t>
        </is>
      </c>
      <c r="I5796" t="n">
        <v>1.1</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8362-2025</t>
        </is>
      </c>
      <c r="B5797" t="inlineStr">
        <is>
          <t>avverkningsanmälan</t>
        </is>
      </c>
      <c r="C5797" t="inlineStr">
        <is>
          <t>Föryngringsavverkning</t>
        </is>
      </c>
      <c r="D5797" s="1" t="n">
        <v>45708</v>
      </c>
      <c r="E5797" s="1" t="n">
        <v>46307</v>
      </c>
      <c r="F5797" t="inlineStr">
        <is>
          <t>VÄRMLANDS LÄN</t>
        </is>
      </c>
      <c r="G5797" t="inlineStr">
        <is>
          <t>GRUMS</t>
        </is>
      </c>
      <c r="I5797" t="n">
        <v>7.7</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20663-2024</t>
        </is>
      </c>
      <c r="B5798" t="inlineStr">
        <is>
          <t>avverkningsanmälan</t>
        </is>
      </c>
      <c r="C5798" t="inlineStr">
        <is>
          <t>Föryngringsavverkning</t>
        </is>
      </c>
      <c r="D5798" s="1" t="n">
        <v>45436</v>
      </c>
      <c r="E5798" s="1" t="n">
        <v>46307</v>
      </c>
      <c r="F5798" t="inlineStr">
        <is>
          <t>VÄRMLANDS LÄN</t>
        </is>
      </c>
      <c r="G5798" t="inlineStr">
        <is>
          <t>FILIPSTAD</t>
        </is>
      </c>
      <c r="H5798" t="inlineStr">
        <is>
          <t>Bergvik skog väst AB</t>
        </is>
      </c>
      <c r="I5798" t="n">
        <v>0.7</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38252-2023</t>
        </is>
      </c>
      <c r="B5799" t="inlineStr">
        <is>
          <t>avverkningsanmälan</t>
        </is>
      </c>
      <c r="C5799" t="inlineStr">
        <is>
          <t>Föryngringsavverkning</t>
        </is>
      </c>
      <c r="D5799" s="1" t="n">
        <v>45161</v>
      </c>
      <c r="E5799" s="1" t="n">
        <v>46307</v>
      </c>
      <c r="F5799" t="inlineStr">
        <is>
          <t>VÄRMLANDS LÄN</t>
        </is>
      </c>
      <c r="G5799" t="inlineStr">
        <is>
          <t>TORSBY</t>
        </is>
      </c>
      <c r="I5799" t="n">
        <v>9.6</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20682-2024</t>
        </is>
      </c>
      <c r="B5800" t="inlineStr">
        <is>
          <t>avverkningsanmälan</t>
        </is>
      </c>
      <c r="C5800" t="inlineStr">
        <is>
          <t>Föryngringsavverkning</t>
        </is>
      </c>
      <c r="D5800" s="1" t="n">
        <v>45436</v>
      </c>
      <c r="E5800" s="1" t="n">
        <v>46307</v>
      </c>
      <c r="F5800" t="inlineStr">
        <is>
          <t>VÄRMLANDS LÄN</t>
        </is>
      </c>
      <c r="G5800" t="inlineStr">
        <is>
          <t>HAGFORS</t>
        </is>
      </c>
      <c r="H5800" t="inlineStr">
        <is>
          <t>Bergvik skog väst AB</t>
        </is>
      </c>
      <c r="I5800" t="n">
        <v>2.3</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14099-2025</t>
        </is>
      </c>
      <c r="B5801" t="inlineStr">
        <is>
          <t>avverkningsanmälan</t>
        </is>
      </c>
      <c r="C5801" t="inlineStr">
        <is>
          <t>Föryngringsavverkning</t>
        </is>
      </c>
      <c r="D5801" s="1" t="n">
        <v>45740</v>
      </c>
      <c r="E5801" s="1" t="n">
        <v>46307</v>
      </c>
      <c r="F5801" t="inlineStr">
        <is>
          <t>VÄRMLANDS LÄN</t>
        </is>
      </c>
      <c r="G5801" t="inlineStr">
        <is>
          <t>SUNNE</t>
        </is>
      </c>
      <c r="H5801" t="inlineStr">
        <is>
          <t>Bergvik skog väst AB</t>
        </is>
      </c>
      <c r="I5801" t="n">
        <v>1</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53914-2023</t>
        </is>
      </c>
      <c r="B5802" t="inlineStr">
        <is>
          <t>avverkningsanmälan</t>
        </is>
      </c>
      <c r="C5802" t="inlineStr">
        <is>
          <t>Föryngringsavverkning</t>
        </is>
      </c>
      <c r="D5802" s="1" t="n">
        <v>45231</v>
      </c>
      <c r="E5802" s="1" t="n">
        <v>46307</v>
      </c>
      <c r="F5802" t="inlineStr">
        <is>
          <t>VÄRMLANDS LÄN</t>
        </is>
      </c>
      <c r="G5802" t="inlineStr">
        <is>
          <t>SUNNE</t>
        </is>
      </c>
      <c r="I5802" t="n">
        <v>1.3</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18256-2024</t>
        </is>
      </c>
      <c r="B5803" t="inlineStr">
        <is>
          <t>avverkningsanmälan</t>
        </is>
      </c>
      <c r="C5803" t="inlineStr">
        <is>
          <t>Föryngringsavverkning</t>
        </is>
      </c>
      <c r="D5803" s="1" t="n">
        <v>45421</v>
      </c>
      <c r="E5803" s="1" t="n">
        <v>46307</v>
      </c>
      <c r="F5803" t="inlineStr">
        <is>
          <t>VÄRMLANDS LÄN</t>
        </is>
      </c>
      <c r="G5803" t="inlineStr">
        <is>
          <t>ÅRJÄNG</t>
        </is>
      </c>
      <c r="H5803" t="inlineStr">
        <is>
          <t>Bergvik skog väst AB</t>
        </is>
      </c>
      <c r="I5803" t="n">
        <v>1.1</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20495-2024</t>
        </is>
      </c>
      <c r="B5804" t="inlineStr">
        <is>
          <t>avverkningsanmälan</t>
        </is>
      </c>
      <c r="C5804" t="inlineStr">
        <is>
          <t>Avverkning för annat ändamål</t>
        </is>
      </c>
      <c r="D5804" s="1" t="n">
        <v>45435</v>
      </c>
      <c r="E5804" s="1" t="n">
        <v>46307</v>
      </c>
      <c r="F5804" t="inlineStr">
        <is>
          <t>VÄRMLANDS LÄN</t>
        </is>
      </c>
      <c r="G5804" t="inlineStr">
        <is>
          <t>EDA</t>
        </is>
      </c>
      <c r="I5804" t="n">
        <v>1.2</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7683-2023</t>
        </is>
      </c>
      <c r="B5805" t="inlineStr">
        <is>
          <t>avverkningsanmälan</t>
        </is>
      </c>
      <c r="C5805" t="inlineStr">
        <is>
          <t>Föryngringsavverkning</t>
        </is>
      </c>
      <c r="D5805" s="1" t="n">
        <v>44972</v>
      </c>
      <c r="E5805" s="1" t="n">
        <v>46307</v>
      </c>
      <c r="F5805" t="inlineStr">
        <is>
          <t>VÄRMLANDS LÄN</t>
        </is>
      </c>
      <c r="G5805" t="inlineStr">
        <is>
          <t>MUNKFORS</t>
        </is>
      </c>
      <c r="I5805" t="n">
        <v>0.2</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7685-2023</t>
        </is>
      </c>
      <c r="B5806" t="inlineStr">
        <is>
          <t>avverkningsanmälan</t>
        </is>
      </c>
      <c r="C5806" t="inlineStr">
        <is>
          <t>Avverkning för annat ändamål</t>
        </is>
      </c>
      <c r="D5806" s="1" t="n">
        <v>44972</v>
      </c>
      <c r="E5806" s="1" t="n">
        <v>46307</v>
      </c>
      <c r="F5806" t="inlineStr">
        <is>
          <t>VÄRMLANDS LÄN</t>
        </is>
      </c>
      <c r="G5806" t="inlineStr">
        <is>
          <t>ARVIKA</t>
        </is>
      </c>
      <c r="I5806" t="n">
        <v>0.8</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7687-2023</t>
        </is>
      </c>
      <c r="B5807" t="inlineStr">
        <is>
          <t>avverkningsanmälan</t>
        </is>
      </c>
      <c r="C5807" t="inlineStr">
        <is>
          <t>Föryngringsavverkning</t>
        </is>
      </c>
      <c r="D5807" s="1" t="n">
        <v>44972</v>
      </c>
      <c r="E5807" s="1" t="n">
        <v>46307</v>
      </c>
      <c r="F5807" t="inlineStr">
        <is>
          <t>VÄRMLANDS LÄN</t>
        </is>
      </c>
      <c r="G5807" t="inlineStr">
        <is>
          <t>MUNKFORS</t>
        </is>
      </c>
      <c r="I5807" t="n">
        <v>0.4</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46915-2024</t>
        </is>
      </c>
      <c r="B5808" t="inlineStr">
        <is>
          <t>avverkningsanmälan</t>
        </is>
      </c>
      <c r="C5808" t="inlineStr">
        <is>
          <t>Föryngringsavverkning</t>
        </is>
      </c>
      <c r="D5808" s="1" t="n">
        <v>45583</v>
      </c>
      <c r="E5808" s="1" t="n">
        <v>46307</v>
      </c>
      <c r="F5808" t="inlineStr">
        <is>
          <t>VÄRMLANDS LÄN</t>
        </is>
      </c>
      <c r="G5808" t="inlineStr">
        <is>
          <t>TORSBY</t>
        </is>
      </c>
      <c r="I5808" t="n">
        <v>0.8</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47219-2023</t>
        </is>
      </c>
      <c r="B5809" t="inlineStr">
        <is>
          <t>avverkningsanmälan</t>
        </is>
      </c>
      <c r="C5809" t="inlineStr">
        <is>
          <t>Föryngringsavverkning</t>
        </is>
      </c>
      <c r="D5809" s="1" t="n">
        <v>45196</v>
      </c>
      <c r="E5809" s="1" t="n">
        <v>46307</v>
      </c>
      <c r="F5809" t="inlineStr">
        <is>
          <t>VÄRMLANDS LÄN</t>
        </is>
      </c>
      <c r="G5809" t="inlineStr">
        <is>
          <t>SUNNE</t>
        </is>
      </c>
      <c r="I5809" t="n">
        <v>1.9</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13157-2024</t>
        </is>
      </c>
      <c r="B5810" t="inlineStr">
        <is>
          <t>avverkningsanmälan</t>
        </is>
      </c>
      <c r="C5810" t="inlineStr">
        <is>
          <t>Föryngringsavverkning</t>
        </is>
      </c>
      <c r="D5810" s="1" t="n">
        <v>45386</v>
      </c>
      <c r="E5810" s="1" t="n">
        <v>46307</v>
      </c>
      <c r="F5810" t="inlineStr">
        <is>
          <t>VÄRMLANDS LÄN</t>
        </is>
      </c>
      <c r="G5810" t="inlineStr">
        <is>
          <t>ÅRJÄNG</t>
        </is>
      </c>
      <c r="I5810" t="n">
        <v>1.8</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50478-2024</t>
        </is>
      </c>
      <c r="B5811" t="inlineStr">
        <is>
          <t>avverkningsanmälan</t>
        </is>
      </c>
      <c r="C5811" t="inlineStr">
        <is>
          <t>Föryngringsavverkning</t>
        </is>
      </c>
      <c r="D5811" s="1" t="n">
        <v>45601</v>
      </c>
      <c r="E5811" s="1" t="n">
        <v>46307</v>
      </c>
      <c r="F5811" t="inlineStr">
        <is>
          <t>VÄRMLANDS LÄN</t>
        </is>
      </c>
      <c r="G5811" t="inlineStr">
        <is>
          <t>KARLSTAD</t>
        </is>
      </c>
      <c r="I5811" t="n">
        <v>1.9</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54678-2025</t>
        </is>
      </c>
      <c r="B5812" t="inlineStr">
        <is>
          <t>avverkningsanmälan</t>
        </is>
      </c>
      <c r="C5812" t="inlineStr">
        <is>
          <t>Föryngringsavverkning</t>
        </is>
      </c>
      <c r="D5812" s="1" t="n">
        <v>45966</v>
      </c>
      <c r="E5812" s="1" t="n">
        <v>46307</v>
      </c>
      <c r="F5812" t="inlineStr">
        <is>
          <t>VÄRMLANDS LÄN</t>
        </is>
      </c>
      <c r="G5812" t="inlineStr">
        <is>
          <t>ARVIKA</t>
        </is>
      </c>
      <c r="I5812" t="n">
        <v>1.8</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54683-2025</t>
        </is>
      </c>
      <c r="B5813" t="inlineStr">
        <is>
          <t>avverkningsanmälan</t>
        </is>
      </c>
      <c r="C5813" t="inlineStr">
        <is>
          <t>Föryngringsavverkning</t>
        </is>
      </c>
      <c r="D5813" s="1" t="n">
        <v>45966</v>
      </c>
      <c r="E5813" s="1" t="n">
        <v>46307</v>
      </c>
      <c r="F5813" t="inlineStr">
        <is>
          <t>VÄRMLANDS LÄN</t>
        </is>
      </c>
      <c r="G5813" t="inlineStr">
        <is>
          <t>ARVIKA</t>
        </is>
      </c>
      <c r="I5813" t="n">
        <v>1.8</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60201-2024</t>
        </is>
      </c>
      <c r="B5814" t="inlineStr">
        <is>
          <t>avverkningsanmälan</t>
        </is>
      </c>
      <c r="C5814" t="inlineStr">
        <is>
          <t>Föryngringsavverkning</t>
        </is>
      </c>
      <c r="D5814" s="1" t="n">
        <v>45642</v>
      </c>
      <c r="E5814" s="1" t="n">
        <v>46307</v>
      </c>
      <c r="F5814" t="inlineStr">
        <is>
          <t>VÄRMLANDS LÄN</t>
        </is>
      </c>
      <c r="G5814" t="inlineStr">
        <is>
          <t>KIL</t>
        </is>
      </c>
      <c r="I5814" t="n">
        <v>1.8</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55031-2023</t>
        </is>
      </c>
      <c r="B5815" t="inlineStr">
        <is>
          <t>avverkningsanmälan</t>
        </is>
      </c>
      <c r="C5815" t="inlineStr">
        <is>
          <t>Föryngringsavverkning</t>
        </is>
      </c>
      <c r="D5815" s="1" t="n">
        <v>45237</v>
      </c>
      <c r="E5815" s="1" t="n">
        <v>46307</v>
      </c>
      <c r="F5815" t="inlineStr">
        <is>
          <t>VÄRMLANDS LÄN</t>
        </is>
      </c>
      <c r="G5815" t="inlineStr">
        <is>
          <t>TORSBY</t>
        </is>
      </c>
      <c r="I5815" t="n">
        <v>0.6</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55061-2023</t>
        </is>
      </c>
      <c r="B5816" t="inlineStr">
        <is>
          <t>avverkningsanmälan</t>
        </is>
      </c>
      <c r="C5816" t="inlineStr">
        <is>
          <t>Föryngringsavverkning</t>
        </is>
      </c>
      <c r="D5816" s="1" t="n">
        <v>45237</v>
      </c>
      <c r="E5816" s="1" t="n">
        <v>46307</v>
      </c>
      <c r="F5816" t="inlineStr">
        <is>
          <t>VÄRMLANDS LÄN</t>
        </is>
      </c>
      <c r="G5816" t="inlineStr">
        <is>
          <t>ARVIKA</t>
        </is>
      </c>
      <c r="H5816" t="inlineStr">
        <is>
          <t>Bergvik skog väst AB</t>
        </is>
      </c>
      <c r="I5816" t="n">
        <v>2.6</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53714-2025</t>
        </is>
      </c>
      <c r="B5817" t="inlineStr">
        <is>
          <t>avverkningsanmälan</t>
        </is>
      </c>
      <c r="C5817" t="inlineStr">
        <is>
          <t>Föryngringsavverkning</t>
        </is>
      </c>
      <c r="D5817" s="1" t="n">
        <v>45960</v>
      </c>
      <c r="E5817" s="1" t="n">
        <v>46307</v>
      </c>
      <c r="F5817" t="inlineStr">
        <is>
          <t>VÄRMLANDS LÄN</t>
        </is>
      </c>
      <c r="G5817" t="inlineStr">
        <is>
          <t>TORSBY</t>
        </is>
      </c>
      <c r="I5817" t="n">
        <v>0.8</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54682-2025</t>
        </is>
      </c>
      <c r="B5818" t="inlineStr">
        <is>
          <t>avverkningsanmälan</t>
        </is>
      </c>
      <c r="C5818" t="inlineStr">
        <is>
          <t>Föryngringsavverkning</t>
        </is>
      </c>
      <c r="D5818" s="1" t="n">
        <v>45966</v>
      </c>
      <c r="E5818" s="1" t="n">
        <v>46307</v>
      </c>
      <c r="F5818" t="inlineStr">
        <is>
          <t>VÄRMLANDS LÄN</t>
        </is>
      </c>
      <c r="G5818" t="inlineStr">
        <is>
          <t>ARVIKA</t>
        </is>
      </c>
      <c r="I5818" t="n">
        <v>1.3</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54684-2025</t>
        </is>
      </c>
      <c r="B5819" t="inlineStr">
        <is>
          <t>avverkningsanmälan</t>
        </is>
      </c>
      <c r="C5819" t="inlineStr">
        <is>
          <t>Föryngringsavverkning</t>
        </is>
      </c>
      <c r="D5819" s="1" t="n">
        <v>45966</v>
      </c>
      <c r="E5819" s="1" t="n">
        <v>46307</v>
      </c>
      <c r="F5819" t="inlineStr">
        <is>
          <t>VÄRMLANDS LÄN</t>
        </is>
      </c>
      <c r="G5819" t="inlineStr">
        <is>
          <t>HAGFORS</t>
        </is>
      </c>
      <c r="H5819" t="inlineStr">
        <is>
          <t>Bergvik skog väst AB</t>
        </is>
      </c>
      <c r="I5819" t="n">
        <v>4.7</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32161-2023</t>
        </is>
      </c>
      <c r="B5820" t="inlineStr">
        <is>
          <t>avverkningsanmälan</t>
        </is>
      </c>
      <c r="C5820" t="inlineStr">
        <is>
          <t>Föryngringsavverkning</t>
        </is>
      </c>
      <c r="D5820" s="1" t="n">
        <v>45119</v>
      </c>
      <c r="E5820" s="1" t="n">
        <v>46307</v>
      </c>
      <c r="F5820" t="inlineStr">
        <is>
          <t>VÄRMLANDS LÄN</t>
        </is>
      </c>
      <c r="G5820" t="inlineStr">
        <is>
          <t>KRISTINEHAMN</t>
        </is>
      </c>
      <c r="I5820" t="n">
        <v>5.3</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65007-2023</t>
        </is>
      </c>
      <c r="B5821" t="inlineStr">
        <is>
          <t>avverkningsanmälan</t>
        </is>
      </c>
      <c r="C5821" t="inlineStr">
        <is>
          <t>Föryngringsavverkning</t>
        </is>
      </c>
      <c r="D5821" s="1" t="n">
        <v>45287</v>
      </c>
      <c r="E5821" s="1" t="n">
        <v>46307</v>
      </c>
      <c r="F5821" t="inlineStr">
        <is>
          <t>VÄRMLANDS LÄN</t>
        </is>
      </c>
      <c r="G5821" t="inlineStr">
        <is>
          <t>KIL</t>
        </is>
      </c>
      <c r="I5821" t="n">
        <v>14.2</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58319-2024</t>
        </is>
      </c>
      <c r="B5822" t="inlineStr">
        <is>
          <t>avverkningsanmälan</t>
        </is>
      </c>
      <c r="C5822" t="inlineStr">
        <is>
          <t>Föryngringsavverkning</t>
        </is>
      </c>
      <c r="D5822" s="1" t="n">
        <v>45631</v>
      </c>
      <c r="E5822" s="1" t="n">
        <v>46307</v>
      </c>
      <c r="F5822" t="inlineStr">
        <is>
          <t>VÄRMLANDS LÄN</t>
        </is>
      </c>
      <c r="G5822" t="inlineStr">
        <is>
          <t>KRISTINEHAMN</t>
        </is>
      </c>
      <c r="I5822" t="n">
        <v>0.5</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12111-2023</t>
        </is>
      </c>
      <c r="B5823" t="inlineStr">
        <is>
          <t>avverkningsanmälan</t>
        </is>
      </c>
      <c r="C5823" t="inlineStr">
        <is>
          <t>Föryngringsavverkning</t>
        </is>
      </c>
      <c r="D5823" s="1" t="n">
        <v>44998</v>
      </c>
      <c r="E5823" s="1" t="n">
        <v>46307</v>
      </c>
      <c r="F5823" t="inlineStr">
        <is>
          <t>VÄRMLANDS LÄN</t>
        </is>
      </c>
      <c r="G5823" t="inlineStr">
        <is>
          <t>EDA</t>
        </is>
      </c>
      <c r="I5823" t="n">
        <v>13.6</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39492-2023</t>
        </is>
      </c>
      <c r="B5824" t="inlineStr">
        <is>
          <t>avverkningsanmälan</t>
        </is>
      </c>
      <c r="C5824" t="inlineStr">
        <is>
          <t>Föryngringsavverkning</t>
        </is>
      </c>
      <c r="D5824" s="1" t="n">
        <v>45166</v>
      </c>
      <c r="E5824" s="1" t="n">
        <v>46307</v>
      </c>
      <c r="F5824" t="inlineStr">
        <is>
          <t>VÄRMLANDS LÄN</t>
        </is>
      </c>
      <c r="G5824" t="inlineStr">
        <is>
          <t>KIL</t>
        </is>
      </c>
      <c r="H5824" t="inlineStr">
        <is>
          <t>Kyrkan</t>
        </is>
      </c>
      <c r="I5824" t="n">
        <v>24.9</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32863-2025</t>
        </is>
      </c>
      <c r="B5825" t="inlineStr">
        <is>
          <t>avverkningsanmälan</t>
        </is>
      </c>
      <c r="C5825" t="inlineStr">
        <is>
          <t>Föryngringsavverkning</t>
        </is>
      </c>
      <c r="D5825" s="1" t="n">
        <v>45839</v>
      </c>
      <c r="E5825" s="1" t="n">
        <v>46307</v>
      </c>
      <c r="F5825" t="inlineStr">
        <is>
          <t>VÄRMLANDS LÄN</t>
        </is>
      </c>
      <c r="G5825" t="inlineStr">
        <is>
          <t>EDA</t>
        </is>
      </c>
      <c r="I5825" t="n">
        <v>2.4</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28396-2022</t>
        </is>
      </c>
      <c r="B5826" t="inlineStr">
        <is>
          <t>avverkningsanmälan</t>
        </is>
      </c>
      <c r="C5826" t="inlineStr">
        <is>
          <t>Föryngringsavverkning</t>
        </is>
      </c>
      <c r="D5826" s="1" t="n">
        <v>44747</v>
      </c>
      <c r="E5826" s="1" t="n">
        <v>46307</v>
      </c>
      <c r="F5826" t="inlineStr">
        <is>
          <t>VÄRMLANDS LÄN</t>
        </is>
      </c>
      <c r="G5826" t="inlineStr">
        <is>
          <t>SUNNE</t>
        </is>
      </c>
      <c r="I5826" t="n">
        <v>4.6</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57142-2024</t>
        </is>
      </c>
      <c r="B5827" t="inlineStr">
        <is>
          <t>avverkningsanmälan</t>
        </is>
      </c>
      <c r="C5827" t="inlineStr">
        <is>
          <t>Föryngringsavverkning</t>
        </is>
      </c>
      <c r="D5827" s="1" t="n">
        <v>45628</v>
      </c>
      <c r="E5827" s="1" t="n">
        <v>46307</v>
      </c>
      <c r="F5827" t="inlineStr">
        <is>
          <t>VÄRMLANDS LÄN</t>
        </is>
      </c>
      <c r="G5827" t="inlineStr">
        <is>
          <t>ÅRJÄNG</t>
        </is>
      </c>
      <c r="I5827" t="n">
        <v>5.4</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4743-2025</t>
        </is>
      </c>
      <c r="B5828" t="inlineStr">
        <is>
          <t>avverkningsanmälan</t>
        </is>
      </c>
      <c r="C5828" t="inlineStr">
        <is>
          <t>Föryngringsavverkning</t>
        </is>
      </c>
      <c r="D5828" s="1" t="n">
        <v>45688</v>
      </c>
      <c r="E5828" s="1" t="n">
        <v>46307</v>
      </c>
      <c r="F5828" t="inlineStr">
        <is>
          <t>VÄRMLANDS LÄN</t>
        </is>
      </c>
      <c r="G5828" t="inlineStr">
        <is>
          <t>FILIPSTAD</t>
        </is>
      </c>
      <c r="I5828" t="n">
        <v>1.7</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54418-2025</t>
        </is>
      </c>
      <c r="B5829" t="inlineStr">
        <is>
          <t>avverkningsanmälan</t>
        </is>
      </c>
      <c r="C5829" t="inlineStr">
        <is>
          <t>Föryngringsavverkning</t>
        </is>
      </c>
      <c r="D5829" s="1" t="n">
        <v>45965</v>
      </c>
      <c r="E5829" s="1" t="n">
        <v>46307</v>
      </c>
      <c r="F5829" t="inlineStr">
        <is>
          <t>VÄRMLANDS LÄN</t>
        </is>
      </c>
      <c r="G5829" t="inlineStr">
        <is>
          <t>ÅRJÄNG</t>
        </is>
      </c>
      <c r="I5829" t="n">
        <v>1.6</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54420-2025</t>
        </is>
      </c>
      <c r="B5830" t="inlineStr">
        <is>
          <t>avverkningsanmälan</t>
        </is>
      </c>
      <c r="C5830" t="inlineStr">
        <is>
          <t>Föryngringsavverkning</t>
        </is>
      </c>
      <c r="D5830" s="1" t="n">
        <v>45965</v>
      </c>
      <c r="E5830" s="1" t="n">
        <v>46307</v>
      </c>
      <c r="F5830" t="inlineStr">
        <is>
          <t>VÄRMLANDS LÄN</t>
        </is>
      </c>
      <c r="G5830" t="inlineStr">
        <is>
          <t>ÅRJÄNG</t>
        </is>
      </c>
      <c r="I5830" t="n">
        <v>1.2</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33192-2025</t>
        </is>
      </c>
      <c r="B5831" t="inlineStr">
        <is>
          <t>avverkningsanmälan</t>
        </is>
      </c>
      <c r="C5831" t="inlineStr">
        <is>
          <t>Föryngringsavverkning</t>
        </is>
      </c>
      <c r="D5831" s="1" t="n">
        <v>45840</v>
      </c>
      <c r="E5831" s="1" t="n">
        <v>46307</v>
      </c>
      <c r="F5831" t="inlineStr">
        <is>
          <t>VÄRMLANDS LÄN</t>
        </is>
      </c>
      <c r="G5831" t="inlineStr">
        <is>
          <t>TORSBY</t>
        </is>
      </c>
      <c r="I5831" t="n">
        <v>1.5</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7654-2025</t>
        </is>
      </c>
      <c r="B5832" t="inlineStr">
        <is>
          <t>avverkningsanmälan</t>
        </is>
      </c>
      <c r="C5832" t="inlineStr">
        <is>
          <t>Föryngringsavverkning</t>
        </is>
      </c>
      <c r="D5832" s="1" t="n">
        <v>45705</v>
      </c>
      <c r="E5832" s="1" t="n">
        <v>46307</v>
      </c>
      <c r="F5832" t="inlineStr">
        <is>
          <t>VÄRMLANDS LÄN</t>
        </is>
      </c>
      <c r="G5832" t="inlineStr">
        <is>
          <t>SUNNE</t>
        </is>
      </c>
      <c r="I5832" t="n">
        <v>11.7</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23117-2023</t>
        </is>
      </c>
      <c r="B5833" t="inlineStr">
        <is>
          <t>avverkningsanmälan</t>
        </is>
      </c>
      <c r="C5833" t="inlineStr">
        <is>
          <t>Föryngringsavverkning</t>
        </is>
      </c>
      <c r="D5833" s="1" t="n">
        <v>45075</v>
      </c>
      <c r="E5833" s="1" t="n">
        <v>46307</v>
      </c>
      <c r="F5833" t="inlineStr">
        <is>
          <t>VÄRMLANDS LÄN</t>
        </is>
      </c>
      <c r="G5833" t="inlineStr">
        <is>
          <t>FORSHAGA</t>
        </is>
      </c>
      <c r="H5833" t="inlineStr">
        <is>
          <t>Kyrkan</t>
        </is>
      </c>
      <c r="I5833" t="n">
        <v>0.6</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32790-2025</t>
        </is>
      </c>
      <c r="B5834" t="inlineStr">
        <is>
          <t>avverkningsanmälan</t>
        </is>
      </c>
      <c r="C5834" t="inlineStr">
        <is>
          <t>Föryngringsavverkning</t>
        </is>
      </c>
      <c r="D5834" s="1" t="n">
        <v>45839</v>
      </c>
      <c r="E5834" s="1" t="n">
        <v>46307</v>
      </c>
      <c r="F5834" t="inlineStr">
        <is>
          <t>VÄRMLANDS LÄN</t>
        </is>
      </c>
      <c r="G5834" t="inlineStr">
        <is>
          <t>EDA</t>
        </is>
      </c>
      <c r="I5834" t="n">
        <v>0.6</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32773-2024</t>
        </is>
      </c>
      <c r="B5835" t="inlineStr">
        <is>
          <t>avverkningsanmälan</t>
        </is>
      </c>
      <c r="C5835" t="inlineStr">
        <is>
          <t>Föryngringsavverkning</t>
        </is>
      </c>
      <c r="D5835" s="1" t="n">
        <v>45516</v>
      </c>
      <c r="E5835" s="1" t="n">
        <v>46307</v>
      </c>
      <c r="F5835" t="inlineStr">
        <is>
          <t>VÄRMLANDS LÄN</t>
        </is>
      </c>
      <c r="G5835" t="inlineStr">
        <is>
          <t>ÅRJÄNG</t>
        </is>
      </c>
      <c r="I5835" t="n">
        <v>1.5</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54762-2025</t>
        </is>
      </c>
      <c r="B5836" t="inlineStr">
        <is>
          <t>avverkningsanmälan</t>
        </is>
      </c>
      <c r="C5836" t="inlineStr">
        <is>
          <t>Föryngringsavverkning</t>
        </is>
      </c>
      <c r="D5836" s="1" t="n">
        <v>45966</v>
      </c>
      <c r="E5836" s="1" t="n">
        <v>46307</v>
      </c>
      <c r="F5836" t="inlineStr">
        <is>
          <t>VÄRMLANDS LÄN</t>
        </is>
      </c>
      <c r="G5836" t="inlineStr">
        <is>
          <t>TORSBY</t>
        </is>
      </c>
      <c r="I5836" t="n">
        <v>2</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59291-2024</t>
        </is>
      </c>
      <c r="B5837" t="inlineStr">
        <is>
          <t>avverkningsanmälan</t>
        </is>
      </c>
      <c r="C5837" t="inlineStr">
        <is>
          <t>Föryngringsavverkning</t>
        </is>
      </c>
      <c r="D5837" s="1" t="n">
        <v>45636</v>
      </c>
      <c r="E5837" s="1" t="n">
        <v>46307</v>
      </c>
      <c r="F5837" t="inlineStr">
        <is>
          <t>VÄRMLANDS LÄN</t>
        </is>
      </c>
      <c r="G5837" t="inlineStr">
        <is>
          <t>SUNNE</t>
        </is>
      </c>
      <c r="I5837" t="n">
        <v>1.7</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54296-2025</t>
        </is>
      </c>
      <c r="B5838" t="inlineStr">
        <is>
          <t>avverkningsanmälan</t>
        </is>
      </c>
      <c r="C5838" t="inlineStr">
        <is>
          <t>Föryngringsavverkning</t>
        </is>
      </c>
      <c r="D5838" s="1" t="n">
        <v>45964</v>
      </c>
      <c r="E5838" s="1" t="n">
        <v>46307</v>
      </c>
      <c r="F5838" t="inlineStr">
        <is>
          <t>VÄRMLANDS LÄN</t>
        </is>
      </c>
      <c r="G5838" t="inlineStr">
        <is>
          <t>KARLSTAD</t>
        </is>
      </c>
      <c r="I5838" t="n">
        <v>0.6</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54645-2025</t>
        </is>
      </c>
      <c r="B5839" t="inlineStr">
        <is>
          <t>avverkningsanmälan</t>
        </is>
      </c>
      <c r="C5839" t="inlineStr">
        <is>
          <t>Föryngringsavverkning</t>
        </is>
      </c>
      <c r="D5839" s="1" t="n">
        <v>45966</v>
      </c>
      <c r="E5839" s="1" t="n">
        <v>46307</v>
      </c>
      <c r="F5839" t="inlineStr">
        <is>
          <t>VÄRMLANDS LÄN</t>
        </is>
      </c>
      <c r="G5839" t="inlineStr">
        <is>
          <t>HAGFORS</t>
        </is>
      </c>
      <c r="H5839" t="inlineStr">
        <is>
          <t>Bergvik skog väst AB</t>
        </is>
      </c>
      <c r="I5839" t="n">
        <v>5.3</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972-2025</t>
        </is>
      </c>
      <c r="B5840" t="inlineStr">
        <is>
          <t>avverkningsanmälan</t>
        </is>
      </c>
      <c r="C5840" t="inlineStr">
        <is>
          <t>Föryngringsavverkning</t>
        </is>
      </c>
      <c r="D5840" s="1" t="n">
        <v>45665</v>
      </c>
      <c r="E5840" s="1" t="n">
        <v>46307</v>
      </c>
      <c r="F5840" t="inlineStr">
        <is>
          <t>VÄRMLANDS LÄN</t>
        </is>
      </c>
      <c r="G5840" t="inlineStr">
        <is>
          <t>GRUMS</t>
        </is>
      </c>
      <c r="I5840" t="n">
        <v>1.1</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32995-2025</t>
        </is>
      </c>
      <c r="B5841" t="inlineStr">
        <is>
          <t>avverkningsanmälan</t>
        </is>
      </c>
      <c r="C5841" t="inlineStr">
        <is>
          <t>Föryngringsavverkning</t>
        </is>
      </c>
      <c r="D5841" s="1" t="n">
        <v>45839</v>
      </c>
      <c r="E5841" s="1" t="n">
        <v>46307</v>
      </c>
      <c r="F5841" t="inlineStr">
        <is>
          <t>VÄRMLANDS LÄN</t>
        </is>
      </c>
      <c r="G5841" t="inlineStr">
        <is>
          <t>TORSBY</t>
        </is>
      </c>
      <c r="I5841" t="n">
        <v>5.5</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67162-2021</t>
        </is>
      </c>
      <c r="B5842" t="inlineStr">
        <is>
          <t>avverkningsanmälan</t>
        </is>
      </c>
      <c r="C5842" t="inlineStr">
        <is>
          <t>Föryngringsavverkning</t>
        </is>
      </c>
      <c r="D5842" s="1" t="n">
        <v>44523</v>
      </c>
      <c r="E5842" s="1" t="n">
        <v>46307</v>
      </c>
      <c r="F5842" t="inlineStr">
        <is>
          <t>VÄRMLANDS LÄN</t>
        </is>
      </c>
      <c r="G5842" t="inlineStr">
        <is>
          <t>EDA</t>
        </is>
      </c>
      <c r="I5842" t="n">
        <v>4.7</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53416-2024</t>
        </is>
      </c>
      <c r="B5843" t="inlineStr">
        <is>
          <t>avverkningsanmälan</t>
        </is>
      </c>
      <c r="C5843" t="inlineStr">
        <is>
          <t>Föryngringsavverkning</t>
        </is>
      </c>
      <c r="D5843" s="1" t="n">
        <v>45614</v>
      </c>
      <c r="E5843" s="1" t="n">
        <v>46307</v>
      </c>
      <c r="F5843" t="inlineStr">
        <is>
          <t>VÄRMLANDS LÄN</t>
        </is>
      </c>
      <c r="G5843" t="inlineStr">
        <is>
          <t>EDA</t>
        </is>
      </c>
      <c r="I5843" t="n">
        <v>1.5</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34893-2023</t>
        </is>
      </c>
      <c r="B5844" t="inlineStr">
        <is>
          <t>avverkningsanmälan</t>
        </is>
      </c>
      <c r="C5844" t="inlineStr">
        <is>
          <t>Föryngringsavverkning</t>
        </is>
      </c>
      <c r="D5844" s="1" t="n">
        <v>45141</v>
      </c>
      <c r="E5844" s="1" t="n">
        <v>46307</v>
      </c>
      <c r="F5844" t="inlineStr">
        <is>
          <t>VÄRMLANDS LÄN</t>
        </is>
      </c>
      <c r="G5844" t="inlineStr">
        <is>
          <t>KRISTINEHAMN</t>
        </is>
      </c>
      <c r="I5844" t="n">
        <v>1.6</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28499-2023</t>
        </is>
      </c>
      <c r="B5845" t="inlineStr">
        <is>
          <t>avverkningsanmälan</t>
        </is>
      </c>
      <c r="C5845" t="inlineStr">
        <is>
          <t>Föryngringsavverkning</t>
        </is>
      </c>
      <c r="D5845" s="1" t="n">
        <v>45103</v>
      </c>
      <c r="E5845" s="1" t="n">
        <v>46307</v>
      </c>
      <c r="F5845" t="inlineStr">
        <is>
          <t>VÄRMLANDS LÄN</t>
        </is>
      </c>
      <c r="G5845" t="inlineStr">
        <is>
          <t>SUNNE</t>
        </is>
      </c>
      <c r="I5845" t="n">
        <v>1.9</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1958-2024</t>
        </is>
      </c>
      <c r="B5846" t="inlineStr">
        <is>
          <t>avverkningsanmälan</t>
        </is>
      </c>
      <c r="C5846" t="inlineStr">
        <is>
          <t>Föryngringsavverkning</t>
        </is>
      </c>
      <c r="D5846" s="1" t="n">
        <v>45308</v>
      </c>
      <c r="E5846" s="1" t="n">
        <v>46307</v>
      </c>
      <c r="F5846" t="inlineStr">
        <is>
          <t>VÄRMLANDS LÄN</t>
        </is>
      </c>
      <c r="G5846" t="inlineStr">
        <is>
          <t>SUNNE</t>
        </is>
      </c>
      <c r="I5846" t="n">
        <v>1.4</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54784-2025</t>
        </is>
      </c>
      <c r="B5847" t="inlineStr">
        <is>
          <t>avverkningsanmälan</t>
        </is>
      </c>
      <c r="C5847" t="inlineStr">
        <is>
          <t>Föryngringsavverkning</t>
        </is>
      </c>
      <c r="D5847" s="1" t="n">
        <v>45966</v>
      </c>
      <c r="E5847" s="1" t="n">
        <v>46307</v>
      </c>
      <c r="F5847" t="inlineStr">
        <is>
          <t>VÄRMLANDS LÄN</t>
        </is>
      </c>
      <c r="G5847" t="inlineStr">
        <is>
          <t>TORSBY</t>
        </is>
      </c>
      <c r="H5847" t="inlineStr">
        <is>
          <t>Bergvik skog väst AB</t>
        </is>
      </c>
      <c r="I5847" t="n">
        <v>7.7</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8022-2025</t>
        </is>
      </c>
      <c r="B5848" t="inlineStr">
        <is>
          <t>avverkningsanmälan</t>
        </is>
      </c>
      <c r="C5848" t="inlineStr">
        <is>
          <t>Föryngringsavverkning</t>
        </is>
      </c>
      <c r="D5848" s="1" t="n">
        <v>45707</v>
      </c>
      <c r="E5848" s="1" t="n">
        <v>46307</v>
      </c>
      <c r="F5848" t="inlineStr">
        <is>
          <t>VÄRMLANDS LÄN</t>
        </is>
      </c>
      <c r="G5848" t="inlineStr">
        <is>
          <t>TORSBY</t>
        </is>
      </c>
      <c r="I5848" t="n">
        <v>5</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52943-2024</t>
        </is>
      </c>
      <c r="B5849" t="inlineStr">
        <is>
          <t>avverkningsanmälan</t>
        </is>
      </c>
      <c r="C5849" t="inlineStr">
        <is>
          <t>Föryngringsavverkning</t>
        </is>
      </c>
      <c r="D5849" s="1" t="n">
        <v>45610</v>
      </c>
      <c r="E5849" s="1" t="n">
        <v>46307</v>
      </c>
      <c r="F5849" t="inlineStr">
        <is>
          <t>VÄRMLANDS LÄN</t>
        </is>
      </c>
      <c r="G5849" t="inlineStr">
        <is>
          <t>ARVIKA</t>
        </is>
      </c>
      <c r="I5849" t="n">
        <v>3.9</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47894-2023</t>
        </is>
      </c>
      <c r="B5850" t="inlineStr">
        <is>
          <t>avverkningsanmälan</t>
        </is>
      </c>
      <c r="C5850" t="inlineStr">
        <is>
          <t>Föryngringsavverkning</t>
        </is>
      </c>
      <c r="D5850" s="1" t="n">
        <v>45204</v>
      </c>
      <c r="E5850" s="1" t="n">
        <v>46307</v>
      </c>
      <c r="F5850" t="inlineStr">
        <is>
          <t>VÄRMLANDS LÄN</t>
        </is>
      </c>
      <c r="G5850" t="inlineStr">
        <is>
          <t>STORFORS</t>
        </is>
      </c>
      <c r="H5850" t="inlineStr">
        <is>
          <t>Bergvik skog väst AB</t>
        </is>
      </c>
      <c r="I5850" t="n">
        <v>4</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6434-2025</t>
        </is>
      </c>
      <c r="B5851" t="inlineStr">
        <is>
          <t>avverkningsanmälan</t>
        </is>
      </c>
      <c r="C5851" t="inlineStr">
        <is>
          <t>Föryngringsavverkning</t>
        </is>
      </c>
      <c r="D5851" s="1" t="n">
        <v>45699</v>
      </c>
      <c r="E5851" s="1" t="n">
        <v>46307</v>
      </c>
      <c r="F5851" t="inlineStr">
        <is>
          <t>VÄRMLANDS LÄN</t>
        </is>
      </c>
      <c r="G5851" t="inlineStr">
        <is>
          <t>SÄFFLE</t>
        </is>
      </c>
      <c r="H5851" t="inlineStr">
        <is>
          <t>Bergvik skog väst AB</t>
        </is>
      </c>
      <c r="I5851" t="n">
        <v>0.5</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420-2025</t>
        </is>
      </c>
      <c r="B5852" t="inlineStr">
        <is>
          <t>avverkningsanmälan</t>
        </is>
      </c>
      <c r="C5852" t="inlineStr">
        <is>
          <t>Föryngringsavverkning</t>
        </is>
      </c>
      <c r="D5852" s="1" t="n">
        <v>45663</v>
      </c>
      <c r="E5852" s="1" t="n">
        <v>46307</v>
      </c>
      <c r="F5852" t="inlineStr">
        <is>
          <t>VÄRMLANDS LÄN</t>
        </is>
      </c>
      <c r="G5852" t="inlineStr">
        <is>
          <t>ARVIKA</t>
        </is>
      </c>
      <c r="I5852" t="n">
        <v>2.6</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15942-2025</t>
        </is>
      </c>
      <c r="B5853" t="inlineStr">
        <is>
          <t>avverkningsanmälan</t>
        </is>
      </c>
      <c r="C5853" t="inlineStr">
        <is>
          <t>Föryngringsavverkning</t>
        </is>
      </c>
      <c r="D5853" s="1" t="n">
        <v>45749</v>
      </c>
      <c r="E5853" s="1" t="n">
        <v>46307</v>
      </c>
      <c r="F5853" t="inlineStr">
        <is>
          <t>VÄRMLANDS LÄN</t>
        </is>
      </c>
      <c r="G5853" t="inlineStr">
        <is>
          <t>KRISTINEHAMN</t>
        </is>
      </c>
      <c r="I5853" t="n">
        <v>7.6</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15949-2025</t>
        </is>
      </c>
      <c r="B5854" t="inlineStr">
        <is>
          <t>avverkningsanmälan</t>
        </is>
      </c>
      <c r="C5854" t="inlineStr">
        <is>
          <t>Föryngringsavverkning</t>
        </is>
      </c>
      <c r="D5854" s="1" t="n">
        <v>45749</v>
      </c>
      <c r="E5854" s="1" t="n">
        <v>46307</v>
      </c>
      <c r="F5854" t="inlineStr">
        <is>
          <t>VÄRMLANDS LÄN</t>
        </is>
      </c>
      <c r="G5854" t="inlineStr">
        <is>
          <t>ÅRJÄNG</t>
        </is>
      </c>
      <c r="H5854" t="inlineStr">
        <is>
          <t>Bergvik skog väst AB</t>
        </is>
      </c>
      <c r="I5854" t="n">
        <v>3.1</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26823-2022</t>
        </is>
      </c>
      <c r="B5855" t="inlineStr">
        <is>
          <t>avverkningsanmälan</t>
        </is>
      </c>
      <c r="C5855" t="inlineStr">
        <is>
          <t>Föryngringsavverkning</t>
        </is>
      </c>
      <c r="D5855" s="1" t="n">
        <v>44740</v>
      </c>
      <c r="E5855" s="1" t="n">
        <v>46307</v>
      </c>
      <c r="F5855" t="inlineStr">
        <is>
          <t>VÄRMLANDS LÄN</t>
        </is>
      </c>
      <c r="G5855" t="inlineStr">
        <is>
          <t>EDA</t>
        </is>
      </c>
      <c r="I5855" t="n">
        <v>1</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46171-2023</t>
        </is>
      </c>
      <c r="B5856" t="inlineStr">
        <is>
          <t>avverkningsanmälan</t>
        </is>
      </c>
      <c r="C5856" t="inlineStr">
        <is>
          <t>Föryngringsavverkning</t>
        </is>
      </c>
      <c r="D5856" s="1" t="n">
        <v>45196</v>
      </c>
      <c r="E5856" s="1" t="n">
        <v>46307</v>
      </c>
      <c r="F5856" t="inlineStr">
        <is>
          <t>VÄRMLANDS LÄN</t>
        </is>
      </c>
      <c r="G5856" t="inlineStr">
        <is>
          <t>ARVIKA</t>
        </is>
      </c>
      <c r="I5856" t="n">
        <v>3.6</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41310-2023</t>
        </is>
      </c>
      <c r="B5857" t="inlineStr">
        <is>
          <t>avverkningsanmälan</t>
        </is>
      </c>
      <c r="C5857" t="inlineStr">
        <is>
          <t>Föryngringsavverkning</t>
        </is>
      </c>
      <c r="D5857" s="1" t="n">
        <v>45174</v>
      </c>
      <c r="E5857" s="1" t="n">
        <v>46307</v>
      </c>
      <c r="F5857" t="inlineStr">
        <is>
          <t>VÄRMLANDS LÄN</t>
        </is>
      </c>
      <c r="G5857" t="inlineStr">
        <is>
          <t>ARVIKA</t>
        </is>
      </c>
      <c r="I5857" t="n">
        <v>0.5</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41417-2023</t>
        </is>
      </c>
      <c r="B5858" t="inlineStr">
        <is>
          <t>avverkningsanmälan</t>
        </is>
      </c>
      <c r="C5858" t="inlineStr">
        <is>
          <t>Föryngringsavverkning</t>
        </is>
      </c>
      <c r="D5858" s="1" t="n">
        <v>45175</v>
      </c>
      <c r="E5858" s="1" t="n">
        <v>46307</v>
      </c>
      <c r="F5858" t="inlineStr">
        <is>
          <t>VÄRMLANDS LÄN</t>
        </is>
      </c>
      <c r="G5858" t="inlineStr">
        <is>
          <t>EDA</t>
        </is>
      </c>
      <c r="I5858" t="n">
        <v>1.3</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16558-2025</t>
        </is>
      </c>
      <c r="B5859" t="inlineStr">
        <is>
          <t>avverkningsanmälan</t>
        </is>
      </c>
      <c r="C5859" t="inlineStr">
        <is>
          <t>Föryngringsavverkning</t>
        </is>
      </c>
      <c r="D5859" s="1" t="n">
        <v>45751</v>
      </c>
      <c r="E5859" s="1" t="n">
        <v>46307</v>
      </c>
      <c r="F5859" t="inlineStr">
        <is>
          <t>VÄRMLANDS LÄN</t>
        </is>
      </c>
      <c r="G5859" t="inlineStr">
        <is>
          <t>ARVIKA</t>
        </is>
      </c>
      <c r="H5859" t="inlineStr">
        <is>
          <t>Kommuner</t>
        </is>
      </c>
      <c r="I5859" t="n">
        <v>0.8</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54328-2025</t>
        </is>
      </c>
      <c r="B5860" t="inlineStr">
        <is>
          <t>avverkningsanmälan</t>
        </is>
      </c>
      <c r="C5860" t="inlineStr">
        <is>
          <t>Föryngringsavverkning</t>
        </is>
      </c>
      <c r="D5860" s="1" t="n">
        <v>45965</v>
      </c>
      <c r="E5860" s="1" t="n">
        <v>46307</v>
      </c>
      <c r="F5860" t="inlineStr">
        <is>
          <t>VÄRMLANDS LÄN</t>
        </is>
      </c>
      <c r="G5860" t="inlineStr">
        <is>
          <t>FILIPSTAD</t>
        </is>
      </c>
      <c r="H5860" t="inlineStr">
        <is>
          <t>Bergvik skog väst AB</t>
        </is>
      </c>
      <c r="I5860" t="n">
        <v>4.7</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54433-2025</t>
        </is>
      </c>
      <c r="B5861" t="inlineStr">
        <is>
          <t>avverkningsanmälan</t>
        </is>
      </c>
      <c r="C5861" t="inlineStr">
        <is>
          <t>Föryngringsavverkning</t>
        </is>
      </c>
      <c r="D5861" s="1" t="n">
        <v>45965</v>
      </c>
      <c r="E5861" s="1" t="n">
        <v>46307</v>
      </c>
      <c r="F5861" t="inlineStr">
        <is>
          <t>VÄRMLANDS LÄN</t>
        </is>
      </c>
      <c r="G5861" t="inlineStr">
        <is>
          <t>SUNNE</t>
        </is>
      </c>
      <c r="I5861" t="n">
        <v>1.4</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51644-2025</t>
        </is>
      </c>
      <c r="B5862" t="inlineStr">
        <is>
          <t>avverkningsanmälan</t>
        </is>
      </c>
      <c r="C5862" t="inlineStr">
        <is>
          <t>Avverkning för annat ändamål</t>
        </is>
      </c>
      <c r="D5862" s="1" t="n">
        <v>45951</v>
      </c>
      <c r="E5862" s="1" t="n">
        <v>46307</v>
      </c>
      <c r="F5862" t="inlineStr">
        <is>
          <t>VÄRMLANDS LÄN</t>
        </is>
      </c>
      <c r="G5862" t="inlineStr">
        <is>
          <t>TORSBY</t>
        </is>
      </c>
      <c r="I5862" t="n">
        <v>0.8</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12574-2025</t>
        </is>
      </c>
      <c r="B5863" t="inlineStr">
        <is>
          <t>avverkningsanmälan</t>
        </is>
      </c>
      <c r="C5863" t="inlineStr">
        <is>
          <t>Föryngringsavverkning</t>
        </is>
      </c>
      <c r="D5863" s="1" t="n">
        <v>45732</v>
      </c>
      <c r="E5863" s="1" t="n">
        <v>46307</v>
      </c>
      <c r="F5863" t="inlineStr">
        <is>
          <t>VÄRMLANDS LÄN</t>
        </is>
      </c>
      <c r="G5863" t="inlineStr">
        <is>
          <t>TORSBY</t>
        </is>
      </c>
      <c r="I5863" t="n">
        <v>9.800000000000001</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54593-2025</t>
        </is>
      </c>
      <c r="B5864" t="inlineStr">
        <is>
          <t>avverkningsanmälan</t>
        </is>
      </c>
      <c r="C5864" t="inlineStr">
        <is>
          <t>Föryngringsavverkning</t>
        </is>
      </c>
      <c r="D5864" s="1" t="n">
        <v>45965</v>
      </c>
      <c r="E5864" s="1" t="n">
        <v>46307</v>
      </c>
      <c r="F5864" t="inlineStr">
        <is>
          <t>VÄRMLANDS LÄN</t>
        </is>
      </c>
      <c r="G5864" t="inlineStr">
        <is>
          <t>KIL</t>
        </is>
      </c>
      <c r="I5864" t="n">
        <v>2.5</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54744-2025</t>
        </is>
      </c>
      <c r="B5865" t="inlineStr">
        <is>
          <t>avverkningsanmälan</t>
        </is>
      </c>
      <c r="C5865" t="inlineStr">
        <is>
          <t>Föryngringsavverkning</t>
        </is>
      </c>
      <c r="D5865" s="1" t="n">
        <v>45966</v>
      </c>
      <c r="E5865" s="1" t="n">
        <v>46307</v>
      </c>
      <c r="F5865" t="inlineStr">
        <is>
          <t>VÄRMLANDS LÄN</t>
        </is>
      </c>
      <c r="G5865" t="inlineStr">
        <is>
          <t>SUNNE</t>
        </is>
      </c>
      <c r="I5865" t="n">
        <v>1.5</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26722-2023</t>
        </is>
      </c>
      <c r="B5866" t="inlineStr">
        <is>
          <t>avverkningsanmälan</t>
        </is>
      </c>
      <c r="C5866" t="inlineStr">
        <is>
          <t>Föryngringsavverkning</t>
        </is>
      </c>
      <c r="D5866" s="1" t="n">
        <v>45093</v>
      </c>
      <c r="E5866" s="1" t="n">
        <v>46307</v>
      </c>
      <c r="F5866" t="inlineStr">
        <is>
          <t>VÄRMLANDS LÄN</t>
        </is>
      </c>
      <c r="G5866" t="inlineStr">
        <is>
          <t>ARVIKA</t>
        </is>
      </c>
      <c r="I5866" t="n">
        <v>2.9</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26728-2023</t>
        </is>
      </c>
      <c r="B5867" t="inlineStr">
        <is>
          <t>avverkningsanmälan</t>
        </is>
      </c>
      <c r="C5867" t="inlineStr">
        <is>
          <t>Föryngringsavverkning</t>
        </is>
      </c>
      <c r="D5867" s="1" t="n">
        <v>45093</v>
      </c>
      <c r="E5867" s="1" t="n">
        <v>46307</v>
      </c>
      <c r="F5867" t="inlineStr">
        <is>
          <t>VÄRMLANDS LÄN</t>
        </is>
      </c>
      <c r="G5867" t="inlineStr">
        <is>
          <t>ARVIKA</t>
        </is>
      </c>
      <c r="I5867" t="n">
        <v>2.2</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49-2025</t>
        </is>
      </c>
      <c r="B5868" t="inlineStr">
        <is>
          <t>avverkningsanmälan</t>
        </is>
      </c>
      <c r="C5868" t="inlineStr">
        <is>
          <t>Föryngringsavverkning</t>
        </is>
      </c>
      <c r="D5868" s="1" t="n">
        <v>45659</v>
      </c>
      <c r="E5868" s="1" t="n">
        <v>46307</v>
      </c>
      <c r="F5868" t="inlineStr">
        <is>
          <t>VÄRMLANDS LÄN</t>
        </is>
      </c>
      <c r="G5868" t="inlineStr">
        <is>
          <t>ARVIKA</t>
        </is>
      </c>
      <c r="I5868" t="n">
        <v>3.4</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56970-2023</t>
        </is>
      </c>
      <c r="B5869" t="inlineStr">
        <is>
          <t>avverkningsanmälan</t>
        </is>
      </c>
      <c r="C5869" t="inlineStr">
        <is>
          <t>Föryngringsavverkning</t>
        </is>
      </c>
      <c r="D5869" s="1" t="n">
        <v>45244</v>
      </c>
      <c r="E5869" s="1" t="n">
        <v>46307</v>
      </c>
      <c r="F5869" t="inlineStr">
        <is>
          <t>VÄRMLANDS LÄN</t>
        </is>
      </c>
      <c r="G5869" t="inlineStr">
        <is>
          <t>TORSBY</t>
        </is>
      </c>
      <c r="I5869" t="n">
        <v>4.4</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39767-2024</t>
        </is>
      </c>
      <c r="B5870" t="inlineStr">
        <is>
          <t>avverkningsanmälan</t>
        </is>
      </c>
      <c r="C5870" t="inlineStr">
        <is>
          <t>Föryngringsavverkning</t>
        </is>
      </c>
      <c r="D5870" s="1" t="n">
        <v>45552</v>
      </c>
      <c r="E5870" s="1" t="n">
        <v>46307</v>
      </c>
      <c r="F5870" t="inlineStr">
        <is>
          <t>VÄRMLANDS LÄN</t>
        </is>
      </c>
      <c r="G5870" t="inlineStr">
        <is>
          <t>TORSBY</t>
        </is>
      </c>
      <c r="I5870" t="n">
        <v>7</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29067-2022</t>
        </is>
      </c>
      <c r="B5871" t="inlineStr">
        <is>
          <t>avverkningsanmälan</t>
        </is>
      </c>
      <c r="C5871" t="inlineStr">
        <is>
          <t>Avverkning för annat ändamål</t>
        </is>
      </c>
      <c r="D5871" s="1" t="n">
        <v>44750</v>
      </c>
      <c r="E5871" s="1" t="n">
        <v>46307</v>
      </c>
      <c r="F5871" t="inlineStr">
        <is>
          <t>VÄRMLANDS LÄN</t>
        </is>
      </c>
      <c r="G5871" t="inlineStr">
        <is>
          <t>ARVIKA</t>
        </is>
      </c>
      <c r="I5871" t="n">
        <v>2.3</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17884-2025</t>
        </is>
      </c>
      <c r="B5872" t="inlineStr">
        <is>
          <t>avverkningsanmälan</t>
        </is>
      </c>
      <c r="C5872" t="inlineStr">
        <is>
          <t>Föryngringsavverkning</t>
        </is>
      </c>
      <c r="D5872" s="1" t="n">
        <v>45758</v>
      </c>
      <c r="E5872" s="1" t="n">
        <v>46307</v>
      </c>
      <c r="F5872" t="inlineStr">
        <is>
          <t>VÄRMLANDS LÄN</t>
        </is>
      </c>
      <c r="G5872" t="inlineStr">
        <is>
          <t>HAGFORS</t>
        </is>
      </c>
      <c r="I5872" t="n">
        <v>0.7</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26672-2023</t>
        </is>
      </c>
      <c r="B5873" t="inlineStr">
        <is>
          <t>avverkningsanmälan</t>
        </is>
      </c>
      <c r="C5873" t="inlineStr">
        <is>
          <t>Föryngringsavverkning</t>
        </is>
      </c>
      <c r="D5873" s="1" t="n">
        <v>45093</v>
      </c>
      <c r="E5873" s="1" t="n">
        <v>46307</v>
      </c>
      <c r="F5873" t="inlineStr">
        <is>
          <t>VÄRMLANDS LÄN</t>
        </is>
      </c>
      <c r="G5873" t="inlineStr">
        <is>
          <t>KARLSTAD</t>
        </is>
      </c>
      <c r="I5873" t="n">
        <v>22.7</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40299-2023</t>
        </is>
      </c>
      <c r="B5874" t="inlineStr">
        <is>
          <t>avverkningsanmälan</t>
        </is>
      </c>
      <c r="C5874" t="inlineStr">
        <is>
          <t>Föryngringsavverkning</t>
        </is>
      </c>
      <c r="D5874" s="1" t="n">
        <v>45169</v>
      </c>
      <c r="E5874" s="1" t="n">
        <v>46307</v>
      </c>
      <c r="F5874" t="inlineStr">
        <is>
          <t>VÄRMLANDS LÄN</t>
        </is>
      </c>
      <c r="G5874" t="inlineStr">
        <is>
          <t>ARVIKA</t>
        </is>
      </c>
      <c r="I5874" t="n">
        <v>0.7</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22798-2022</t>
        </is>
      </c>
      <c r="B5875" t="inlineStr">
        <is>
          <t>avverkningsanmälan</t>
        </is>
      </c>
      <c r="C5875" t="inlineStr">
        <is>
          <t>Föryngringsavverkning</t>
        </is>
      </c>
      <c r="D5875" s="1" t="n">
        <v>44715</v>
      </c>
      <c r="E5875" s="1" t="n">
        <v>46307</v>
      </c>
      <c r="F5875" t="inlineStr">
        <is>
          <t>VÄRMLANDS LÄN</t>
        </is>
      </c>
      <c r="G5875" t="inlineStr">
        <is>
          <t>KARLSTAD</t>
        </is>
      </c>
      <c r="I5875" t="n">
        <v>7.2</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30180-2023</t>
        </is>
      </c>
      <c r="B5876" t="inlineStr">
        <is>
          <t>avverkningsanmälan</t>
        </is>
      </c>
      <c r="C5876" t="inlineStr">
        <is>
          <t>Föryngringsavverkning</t>
        </is>
      </c>
      <c r="D5876" s="1" t="n">
        <v>45110</v>
      </c>
      <c r="E5876" s="1" t="n">
        <v>46307</v>
      </c>
      <c r="F5876" t="inlineStr">
        <is>
          <t>VÄRMLANDS LÄN</t>
        </is>
      </c>
      <c r="G5876" t="inlineStr">
        <is>
          <t>HAGFORS</t>
        </is>
      </c>
      <c r="I5876" t="n">
        <v>3.4</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8246-2025</t>
        </is>
      </c>
      <c r="B5877" t="inlineStr">
        <is>
          <t>avverkningsanmälan</t>
        </is>
      </c>
      <c r="C5877" t="inlineStr">
        <is>
          <t>Föryngringsavverkning</t>
        </is>
      </c>
      <c r="D5877" s="1" t="n">
        <v>45708</v>
      </c>
      <c r="E5877" s="1" t="n">
        <v>46307</v>
      </c>
      <c r="F5877" t="inlineStr">
        <is>
          <t>VÄRMLANDS LÄN</t>
        </is>
      </c>
      <c r="G5877" t="inlineStr">
        <is>
          <t>ÅRJÄNG</t>
        </is>
      </c>
      <c r="I5877" t="n">
        <v>1.1</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23804-2022</t>
        </is>
      </c>
      <c r="B5878" t="inlineStr">
        <is>
          <t>avverkningsanmälan</t>
        </is>
      </c>
      <c r="C5878" t="inlineStr">
        <is>
          <t>Föryngringsavverkning</t>
        </is>
      </c>
      <c r="D5878" s="1" t="n">
        <v>44722</v>
      </c>
      <c r="E5878" s="1" t="n">
        <v>46307</v>
      </c>
      <c r="F5878" t="inlineStr">
        <is>
          <t>VÄRMLANDS LÄN</t>
        </is>
      </c>
      <c r="G5878" t="inlineStr">
        <is>
          <t>TORSBY</t>
        </is>
      </c>
      <c r="I5878" t="n">
        <v>6.1</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33575-2025</t>
        </is>
      </c>
      <c r="B5879" t="inlineStr">
        <is>
          <t>avverkningsanmälan</t>
        </is>
      </c>
      <c r="C5879" t="inlineStr">
        <is>
          <t>Föryngringsavverkning</t>
        </is>
      </c>
      <c r="D5879" s="1" t="n">
        <v>45841</v>
      </c>
      <c r="E5879" s="1" t="n">
        <v>46307</v>
      </c>
      <c r="F5879" t="inlineStr">
        <is>
          <t>VÄRMLANDS LÄN</t>
        </is>
      </c>
      <c r="G5879" t="inlineStr">
        <is>
          <t>ARVIKA</t>
        </is>
      </c>
      <c r="I5879" t="n">
        <v>14.3</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33961-2025</t>
        </is>
      </c>
      <c r="B5880" t="inlineStr">
        <is>
          <t>avverkningsanmälan</t>
        </is>
      </c>
      <c r="C5880" t="inlineStr">
        <is>
          <t>Föryngringsavverkning</t>
        </is>
      </c>
      <c r="D5880" s="1" t="n">
        <v>45842</v>
      </c>
      <c r="E5880" s="1" t="n">
        <v>46307</v>
      </c>
      <c r="F5880" t="inlineStr">
        <is>
          <t>VÄRMLANDS LÄN</t>
        </is>
      </c>
      <c r="G5880" t="inlineStr">
        <is>
          <t>ARVIKA</t>
        </is>
      </c>
      <c r="H5880" t="inlineStr">
        <is>
          <t>Bergvik skog väst AB</t>
        </is>
      </c>
      <c r="I5880" t="n">
        <v>5.3</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35724-2022</t>
        </is>
      </c>
      <c r="B5881" t="inlineStr">
        <is>
          <t>avverkningsanmälan</t>
        </is>
      </c>
      <c r="C5881" t="inlineStr">
        <is>
          <t>Föryngringsavverkning</t>
        </is>
      </c>
      <c r="D5881" s="1" t="n">
        <v>44799</v>
      </c>
      <c r="E5881" s="1" t="n">
        <v>46307</v>
      </c>
      <c r="F5881" t="inlineStr">
        <is>
          <t>VÄRMLANDS LÄN</t>
        </is>
      </c>
      <c r="G5881" t="inlineStr">
        <is>
          <t>TORSBY</t>
        </is>
      </c>
      <c r="I5881" t="n">
        <v>3.9</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54962-2025</t>
        </is>
      </c>
      <c r="B5882" t="inlineStr">
        <is>
          <t>avverkningsanmälan</t>
        </is>
      </c>
      <c r="C5882" t="inlineStr">
        <is>
          <t>Föryngringsavverkning</t>
        </is>
      </c>
      <c r="D5882" s="1" t="n">
        <v>45967</v>
      </c>
      <c r="E5882" s="1" t="n">
        <v>46307</v>
      </c>
      <c r="F5882" t="inlineStr">
        <is>
          <t>VÄRMLANDS LÄN</t>
        </is>
      </c>
      <c r="G5882" t="inlineStr">
        <is>
          <t>ÅRJÄNG</t>
        </is>
      </c>
      <c r="H5882" t="inlineStr">
        <is>
          <t>Kyrkan</t>
        </is>
      </c>
      <c r="I5882" t="n">
        <v>1.4</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24477-2022</t>
        </is>
      </c>
      <c r="B5883" t="inlineStr">
        <is>
          <t>avverkningsanmälan</t>
        </is>
      </c>
      <c r="C5883" t="inlineStr">
        <is>
          <t>Föryngringsavverkning</t>
        </is>
      </c>
      <c r="D5883" s="1" t="n">
        <v>44726</v>
      </c>
      <c r="E5883" s="1" t="n">
        <v>46307</v>
      </c>
      <c r="F5883" t="inlineStr">
        <is>
          <t>VÄRMLANDS LÄN</t>
        </is>
      </c>
      <c r="G5883" t="inlineStr">
        <is>
          <t>ÅRJÄNG</t>
        </is>
      </c>
      <c r="I5883" t="n">
        <v>2.2</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26323-2022</t>
        </is>
      </c>
      <c r="B5884" t="inlineStr">
        <is>
          <t>avverkningsanmälan</t>
        </is>
      </c>
      <c r="C5884" t="inlineStr">
        <is>
          <t>Föryngringsavverkning</t>
        </is>
      </c>
      <c r="D5884" s="1" t="n">
        <v>44735</v>
      </c>
      <c r="E5884" s="1" t="n">
        <v>46307</v>
      </c>
      <c r="F5884" t="inlineStr">
        <is>
          <t>VÄRMLANDS LÄN</t>
        </is>
      </c>
      <c r="G5884" t="inlineStr">
        <is>
          <t>KARLSTAD</t>
        </is>
      </c>
      <c r="I5884" t="n">
        <v>2.3</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55173-2025</t>
        </is>
      </c>
      <c r="B5885" t="inlineStr">
        <is>
          <t>avverkningsanmälan</t>
        </is>
      </c>
      <c r="C5885" t="inlineStr">
        <is>
          <t>Föryngringsavverkning</t>
        </is>
      </c>
      <c r="D5885" s="1" t="n">
        <v>45968</v>
      </c>
      <c r="E5885" s="1" t="n">
        <v>46307</v>
      </c>
      <c r="F5885" t="inlineStr">
        <is>
          <t>VÄRMLANDS LÄN</t>
        </is>
      </c>
      <c r="G5885" t="inlineStr">
        <is>
          <t>FILIPSTAD</t>
        </is>
      </c>
      <c r="I5885" t="n">
        <v>1</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55175-2025</t>
        </is>
      </c>
      <c r="B5886" t="inlineStr">
        <is>
          <t>avverkningsanmälan</t>
        </is>
      </c>
      <c r="C5886" t="inlineStr">
        <is>
          <t>Föryngringsavverkning</t>
        </is>
      </c>
      <c r="D5886" s="1" t="n">
        <v>45968</v>
      </c>
      <c r="E5886" s="1" t="n">
        <v>46307</v>
      </c>
      <c r="F5886" t="inlineStr">
        <is>
          <t>VÄRMLANDS LÄN</t>
        </is>
      </c>
      <c r="G5886" t="inlineStr">
        <is>
          <t>FILIPSTAD</t>
        </is>
      </c>
      <c r="I5886" t="n">
        <v>4.2</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55177-2025</t>
        </is>
      </c>
      <c r="B5887" t="inlineStr">
        <is>
          <t>avverkningsanmälan</t>
        </is>
      </c>
      <c r="C5887" t="inlineStr">
        <is>
          <t>Föryngringsavverkning</t>
        </is>
      </c>
      <c r="D5887" s="1" t="n">
        <v>45968</v>
      </c>
      <c r="E5887" s="1" t="n">
        <v>46307</v>
      </c>
      <c r="F5887" t="inlineStr">
        <is>
          <t>VÄRMLANDS LÄN</t>
        </is>
      </c>
      <c r="G5887" t="inlineStr">
        <is>
          <t>TORSBY</t>
        </is>
      </c>
      <c r="I5887" t="n">
        <v>6</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35726-2022</t>
        </is>
      </c>
      <c r="B5888" t="inlineStr">
        <is>
          <t>avverkningsanmälan</t>
        </is>
      </c>
      <c r="C5888" t="inlineStr">
        <is>
          <t>Föryngringsavverkning</t>
        </is>
      </c>
      <c r="D5888" s="1" t="n">
        <v>44799</v>
      </c>
      <c r="E5888" s="1" t="n">
        <v>46307</v>
      </c>
      <c r="F5888" t="inlineStr">
        <is>
          <t>VÄRMLANDS LÄN</t>
        </is>
      </c>
      <c r="G5888" t="inlineStr">
        <is>
          <t>ÅRJÄNG</t>
        </is>
      </c>
      <c r="I5888" t="n">
        <v>1.4</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46924-2022</t>
        </is>
      </c>
      <c r="B5889" t="inlineStr">
        <is>
          <t>avverkningsanmälan</t>
        </is>
      </c>
      <c r="C5889" t="inlineStr">
        <is>
          <t>Föryngringsavverkning</t>
        </is>
      </c>
      <c r="D5889" s="1" t="n">
        <v>44851</v>
      </c>
      <c r="E5889" s="1" t="n">
        <v>46307</v>
      </c>
      <c r="F5889" t="inlineStr">
        <is>
          <t>VÄRMLANDS LÄN</t>
        </is>
      </c>
      <c r="G5889" t="inlineStr">
        <is>
          <t>ARVIKA</t>
        </is>
      </c>
      <c r="I5889" t="n">
        <v>1.6</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33749-2025</t>
        </is>
      </c>
      <c r="B5890" t="inlineStr">
        <is>
          <t>avverkningsanmälan</t>
        </is>
      </c>
      <c r="C5890" t="inlineStr">
        <is>
          <t>Föryngringsavverkning</t>
        </is>
      </c>
      <c r="D5890" s="1" t="n">
        <v>45841</v>
      </c>
      <c r="E5890" s="1" t="n">
        <v>46307</v>
      </c>
      <c r="F5890" t="inlineStr">
        <is>
          <t>VÄRMLANDS LÄN</t>
        </is>
      </c>
      <c r="G5890" t="inlineStr">
        <is>
          <t>SÄFFLE</t>
        </is>
      </c>
      <c r="I5890" t="n">
        <v>0.8</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55190-2025</t>
        </is>
      </c>
      <c r="B5891" t="inlineStr">
        <is>
          <t>avverkningsanmälan</t>
        </is>
      </c>
      <c r="C5891" t="inlineStr">
        <is>
          <t>Föryngringsavverkning</t>
        </is>
      </c>
      <c r="D5891" s="1" t="n">
        <v>45968</v>
      </c>
      <c r="E5891" s="1" t="n">
        <v>46307</v>
      </c>
      <c r="F5891" t="inlineStr">
        <is>
          <t>VÄRMLANDS LÄN</t>
        </is>
      </c>
      <c r="G5891" t="inlineStr">
        <is>
          <t>HAGFORS</t>
        </is>
      </c>
      <c r="I5891" t="n">
        <v>2</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12232-2025</t>
        </is>
      </c>
      <c r="B5892" t="inlineStr">
        <is>
          <t>avverkningsanmälan</t>
        </is>
      </c>
      <c r="C5892" t="inlineStr">
        <is>
          <t>Föryngringsavverkning</t>
        </is>
      </c>
      <c r="D5892" s="1" t="n">
        <v>45729</v>
      </c>
      <c r="E5892" s="1" t="n">
        <v>46307</v>
      </c>
      <c r="F5892" t="inlineStr">
        <is>
          <t>VÄRMLANDS LÄN</t>
        </is>
      </c>
      <c r="G5892" t="inlineStr">
        <is>
          <t>SÄFFLE</t>
        </is>
      </c>
      <c r="H5892" t="inlineStr">
        <is>
          <t>Bergvik skog väst AB</t>
        </is>
      </c>
      <c r="I5892" t="n">
        <v>1.1</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8061-2025</t>
        </is>
      </c>
      <c r="B5893" t="inlineStr">
        <is>
          <t>avverkningsanmälan</t>
        </is>
      </c>
      <c r="C5893" t="inlineStr">
        <is>
          <t>Föryngringsavverkning</t>
        </is>
      </c>
      <c r="D5893" s="1" t="n">
        <v>45707</v>
      </c>
      <c r="E5893" s="1" t="n">
        <v>46307</v>
      </c>
      <c r="F5893" t="inlineStr">
        <is>
          <t>VÄRMLANDS LÄN</t>
        </is>
      </c>
      <c r="G5893" t="inlineStr">
        <is>
          <t>ARVIKA</t>
        </is>
      </c>
      <c r="I5893" t="n">
        <v>3.4</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54990-2025</t>
        </is>
      </c>
      <c r="B5894" t="inlineStr">
        <is>
          <t>avverkningsanmälan</t>
        </is>
      </c>
      <c r="C5894" t="inlineStr">
        <is>
          <t>Föryngringsavverkning</t>
        </is>
      </c>
      <c r="D5894" s="1" t="n">
        <v>45967</v>
      </c>
      <c r="E5894" s="1" t="n">
        <v>46307</v>
      </c>
      <c r="F5894" t="inlineStr">
        <is>
          <t>VÄRMLANDS LÄN</t>
        </is>
      </c>
      <c r="G5894" t="inlineStr">
        <is>
          <t>ÅRJÄNG</t>
        </is>
      </c>
      <c r="I5894" t="n">
        <v>2.9</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55234-2025</t>
        </is>
      </c>
      <c r="B5895" t="inlineStr">
        <is>
          <t>avverkningsanmälan</t>
        </is>
      </c>
      <c r="C5895" t="inlineStr">
        <is>
          <t>Föryngringsavverkning</t>
        </is>
      </c>
      <c r="D5895" s="1" t="n">
        <v>45968</v>
      </c>
      <c r="E5895" s="1" t="n">
        <v>46307</v>
      </c>
      <c r="F5895" t="inlineStr">
        <is>
          <t>VÄRMLANDS LÄN</t>
        </is>
      </c>
      <c r="G5895" t="inlineStr">
        <is>
          <t>STORFORS</t>
        </is>
      </c>
      <c r="H5895" t="inlineStr">
        <is>
          <t>Bergvik skog väst AB</t>
        </is>
      </c>
      <c r="I5895" t="n">
        <v>2.8</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54996-2025</t>
        </is>
      </c>
      <c r="B5896" t="inlineStr">
        <is>
          <t>avverkningsanmälan</t>
        </is>
      </c>
      <c r="C5896" t="inlineStr">
        <is>
          <t>Föryngringsavverkning</t>
        </is>
      </c>
      <c r="D5896" s="1" t="n">
        <v>45967</v>
      </c>
      <c r="E5896" s="1" t="n">
        <v>46307</v>
      </c>
      <c r="F5896" t="inlineStr">
        <is>
          <t>VÄRMLANDS LÄN</t>
        </is>
      </c>
      <c r="G5896" t="inlineStr">
        <is>
          <t>TORSBY</t>
        </is>
      </c>
      <c r="I5896" t="n">
        <v>6</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14772-2023</t>
        </is>
      </c>
      <c r="B5897" t="inlineStr">
        <is>
          <t>avverkningsanmälan</t>
        </is>
      </c>
      <c r="C5897" t="inlineStr">
        <is>
          <t>Föryngringsavverkning</t>
        </is>
      </c>
      <c r="D5897" s="1" t="n">
        <v>45014</v>
      </c>
      <c r="E5897" s="1" t="n">
        <v>46307</v>
      </c>
      <c r="F5897" t="inlineStr">
        <is>
          <t>VÄRMLANDS LÄN</t>
        </is>
      </c>
      <c r="G5897" t="inlineStr">
        <is>
          <t>ARVIKA</t>
        </is>
      </c>
      <c r="I5897" t="n">
        <v>0.7</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21078-2023</t>
        </is>
      </c>
      <c r="B5898" t="inlineStr">
        <is>
          <t>avverkningsanmälan</t>
        </is>
      </c>
      <c r="C5898" t="inlineStr">
        <is>
          <t>Föryngringsavverkning</t>
        </is>
      </c>
      <c r="D5898" s="1" t="n">
        <v>45061</v>
      </c>
      <c r="E5898" s="1" t="n">
        <v>46307</v>
      </c>
      <c r="F5898" t="inlineStr">
        <is>
          <t>VÄRMLANDS LÄN</t>
        </is>
      </c>
      <c r="G5898" t="inlineStr">
        <is>
          <t>TORSBY</t>
        </is>
      </c>
      <c r="I5898" t="n">
        <v>1.3</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21094-2023</t>
        </is>
      </c>
      <c r="B5899" t="inlineStr">
        <is>
          <t>avverkningsanmälan</t>
        </is>
      </c>
      <c r="C5899" t="inlineStr">
        <is>
          <t>Föryngringsavverkning</t>
        </is>
      </c>
      <c r="D5899" s="1" t="n">
        <v>45061</v>
      </c>
      <c r="E5899" s="1" t="n">
        <v>46307</v>
      </c>
      <c r="F5899" t="inlineStr">
        <is>
          <t>VÄRMLANDS LÄN</t>
        </is>
      </c>
      <c r="G5899" t="inlineStr">
        <is>
          <t>KARLSTAD</t>
        </is>
      </c>
      <c r="I5899" t="n">
        <v>2.9</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60000-2024</t>
        </is>
      </c>
      <c r="B5900" t="inlineStr">
        <is>
          <t>avverkningsanmälan</t>
        </is>
      </c>
      <c r="C5900" t="inlineStr">
        <is>
          <t>Föryngringsavverkning</t>
        </is>
      </c>
      <c r="D5900" s="1" t="n">
        <v>45642</v>
      </c>
      <c r="E5900" s="1" t="n">
        <v>46307</v>
      </c>
      <c r="F5900" t="inlineStr">
        <is>
          <t>VÄRMLANDS LÄN</t>
        </is>
      </c>
      <c r="G5900" t="inlineStr">
        <is>
          <t>ÅRJÄNG</t>
        </is>
      </c>
      <c r="I5900" t="n">
        <v>1</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54898-2025</t>
        </is>
      </c>
      <c r="B5901" t="inlineStr">
        <is>
          <t>avverkningsanmälan</t>
        </is>
      </c>
      <c r="C5901" t="inlineStr">
        <is>
          <t>Föryngringsavverkning</t>
        </is>
      </c>
      <c r="D5901" s="1" t="n">
        <v>45967</v>
      </c>
      <c r="E5901" s="1" t="n">
        <v>46307</v>
      </c>
      <c r="F5901" t="inlineStr">
        <is>
          <t>VÄRMLANDS LÄN</t>
        </is>
      </c>
      <c r="G5901" t="inlineStr">
        <is>
          <t>SUNNE</t>
        </is>
      </c>
      <c r="I5901" t="n">
        <v>1.5</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33768-2025</t>
        </is>
      </c>
      <c r="B5902" t="inlineStr">
        <is>
          <t>avverkningsanmälan</t>
        </is>
      </c>
      <c r="C5902" t="inlineStr">
        <is>
          <t>Föryngringsavverkning</t>
        </is>
      </c>
      <c r="D5902" s="1" t="n">
        <v>45842</v>
      </c>
      <c r="E5902" s="1" t="n">
        <v>46307</v>
      </c>
      <c r="F5902" t="inlineStr">
        <is>
          <t>VÄRMLANDS LÄN</t>
        </is>
      </c>
      <c r="G5902" t="inlineStr">
        <is>
          <t>SUNNE</t>
        </is>
      </c>
      <c r="I5902" t="n">
        <v>0.6</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48647-2024</t>
        </is>
      </c>
      <c r="B5903" t="inlineStr">
        <is>
          <t>avverkningsanmälan</t>
        </is>
      </c>
      <c r="C5903" t="inlineStr">
        <is>
          <t>Föryngringsavverkning</t>
        </is>
      </c>
      <c r="D5903" s="1" t="n">
        <v>45593</v>
      </c>
      <c r="E5903" s="1" t="n">
        <v>46307</v>
      </c>
      <c r="F5903" t="inlineStr">
        <is>
          <t>VÄRMLANDS LÄN</t>
        </is>
      </c>
      <c r="G5903" t="inlineStr">
        <is>
          <t>FORSHAGA</t>
        </is>
      </c>
      <c r="I5903" t="n">
        <v>2.2</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46333-2023</t>
        </is>
      </c>
      <c r="B5904" t="inlineStr">
        <is>
          <t>avverkningsanmälan</t>
        </is>
      </c>
      <c r="C5904" t="inlineStr">
        <is>
          <t>Föryngringsavverkning</t>
        </is>
      </c>
      <c r="D5904" s="1" t="n">
        <v>45191</v>
      </c>
      <c r="E5904" s="1" t="n">
        <v>46307</v>
      </c>
      <c r="F5904" t="inlineStr">
        <is>
          <t>VÄRMLANDS LÄN</t>
        </is>
      </c>
      <c r="G5904" t="inlineStr">
        <is>
          <t>KRISTINEHAMN</t>
        </is>
      </c>
      <c r="I5904" t="n">
        <v>7.5</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46441-2023</t>
        </is>
      </c>
      <c r="B5905" t="inlineStr">
        <is>
          <t>avverkningsanmälan</t>
        </is>
      </c>
      <c r="C5905" t="inlineStr">
        <is>
          <t>Föryngringsavverkning</t>
        </is>
      </c>
      <c r="D5905" s="1" t="n">
        <v>45197</v>
      </c>
      <c r="E5905" s="1" t="n">
        <v>46307</v>
      </c>
      <c r="F5905" t="inlineStr">
        <is>
          <t>VÄRMLANDS LÄN</t>
        </is>
      </c>
      <c r="G5905" t="inlineStr">
        <is>
          <t>ÅRJÄNG</t>
        </is>
      </c>
      <c r="I5905" t="n">
        <v>1.5</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54860-2025</t>
        </is>
      </c>
      <c r="B5906" t="inlineStr">
        <is>
          <t>avverkningsanmälan</t>
        </is>
      </c>
      <c r="C5906" t="inlineStr">
        <is>
          <t>Föryngringsavverkning</t>
        </is>
      </c>
      <c r="D5906" s="1" t="n">
        <v>45966</v>
      </c>
      <c r="E5906" s="1" t="n">
        <v>46307</v>
      </c>
      <c r="F5906" t="inlineStr">
        <is>
          <t>VÄRMLANDS LÄN</t>
        </is>
      </c>
      <c r="G5906" t="inlineStr">
        <is>
          <t>SUNNE</t>
        </is>
      </c>
      <c r="I5906" t="n">
        <v>0.5</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58220-2023</t>
        </is>
      </c>
      <c r="B5907" t="inlineStr">
        <is>
          <t>avverkningsanmälan</t>
        </is>
      </c>
      <c r="C5907" t="inlineStr">
        <is>
          <t>Avverkning för annat ändamål</t>
        </is>
      </c>
      <c r="D5907" s="1" t="n">
        <v>45245</v>
      </c>
      <c r="E5907" s="1" t="n">
        <v>46307</v>
      </c>
      <c r="F5907" t="inlineStr">
        <is>
          <t>VÄRMLANDS LÄN</t>
        </is>
      </c>
      <c r="G5907" t="inlineStr">
        <is>
          <t>ARVIKA</t>
        </is>
      </c>
      <c r="H5907" t="inlineStr">
        <is>
          <t>Övriga Aktiebolag</t>
        </is>
      </c>
      <c r="I5907" t="n">
        <v>1.5</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12475-2023</t>
        </is>
      </c>
      <c r="B5908" t="inlineStr">
        <is>
          <t>avverkningsanmälan</t>
        </is>
      </c>
      <c r="C5908" t="inlineStr">
        <is>
          <t>Föryngringsavverkning</t>
        </is>
      </c>
      <c r="D5908" s="1" t="n">
        <v>44999</v>
      </c>
      <c r="E5908" s="1" t="n">
        <v>46307</v>
      </c>
      <c r="F5908" t="inlineStr">
        <is>
          <t>VÄRMLANDS LÄN</t>
        </is>
      </c>
      <c r="G5908" t="inlineStr">
        <is>
          <t>KARLSTAD</t>
        </is>
      </c>
      <c r="I5908" t="n">
        <v>2.2</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55001-2025</t>
        </is>
      </c>
      <c r="B5909" t="inlineStr">
        <is>
          <t>avverkningsanmälan</t>
        </is>
      </c>
      <c r="C5909" t="inlineStr">
        <is>
          <t>Föryngringsavverkning</t>
        </is>
      </c>
      <c r="D5909" s="1" t="n">
        <v>45967</v>
      </c>
      <c r="E5909" s="1" t="n">
        <v>46307</v>
      </c>
      <c r="F5909" t="inlineStr">
        <is>
          <t>VÄRMLANDS LÄN</t>
        </is>
      </c>
      <c r="G5909" t="inlineStr">
        <is>
          <t>HAGFORS</t>
        </is>
      </c>
      <c r="I5909" t="n">
        <v>4</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49300-2022</t>
        </is>
      </c>
      <c r="B5910" t="inlineStr">
        <is>
          <t>avverkningsanmälan</t>
        </is>
      </c>
      <c r="C5910" t="inlineStr">
        <is>
          <t>Föryngringsavverkning</t>
        </is>
      </c>
      <c r="D5910" s="1" t="n">
        <v>44861</v>
      </c>
      <c r="E5910" s="1" t="n">
        <v>46307</v>
      </c>
      <c r="F5910" t="inlineStr">
        <is>
          <t>VÄRMLANDS LÄN</t>
        </is>
      </c>
      <c r="G5910" t="inlineStr">
        <is>
          <t>GRUMS</t>
        </is>
      </c>
      <c r="I5910" t="n">
        <v>2.2</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59352-2022</t>
        </is>
      </c>
      <c r="B5911" t="inlineStr">
        <is>
          <t>avverkningsanmälan</t>
        </is>
      </c>
      <c r="C5911" t="inlineStr">
        <is>
          <t>Föryngringsavverkning</t>
        </is>
      </c>
      <c r="D5911" s="1" t="n">
        <v>44904</v>
      </c>
      <c r="E5911" s="1" t="n">
        <v>46307</v>
      </c>
      <c r="F5911" t="inlineStr">
        <is>
          <t>VÄRMLANDS LÄN</t>
        </is>
      </c>
      <c r="G5911" t="inlineStr">
        <is>
          <t>ÅRJÄNG</t>
        </is>
      </c>
      <c r="I5911" t="n">
        <v>9.6</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1042-2024</t>
        </is>
      </c>
      <c r="B5912" t="inlineStr">
        <is>
          <t>avverkningsanmälan</t>
        </is>
      </c>
      <c r="C5912" t="inlineStr">
        <is>
          <t>Föryngringsavverkning</t>
        </is>
      </c>
      <c r="D5912" s="1" t="n">
        <v>45301</v>
      </c>
      <c r="E5912" s="1" t="n">
        <v>46307</v>
      </c>
      <c r="F5912" t="inlineStr">
        <is>
          <t>VÄRMLANDS LÄN</t>
        </is>
      </c>
      <c r="G5912" t="inlineStr">
        <is>
          <t>TORSBY</t>
        </is>
      </c>
      <c r="I5912" t="n">
        <v>1</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36239-2023</t>
        </is>
      </c>
      <c r="B5913" t="inlineStr">
        <is>
          <t>avverkningsanmälan</t>
        </is>
      </c>
      <c r="C5913" t="inlineStr">
        <is>
          <t>Föryngringsavverkning</t>
        </is>
      </c>
      <c r="D5913" s="1" t="n">
        <v>45150</v>
      </c>
      <c r="E5913" s="1" t="n">
        <v>46307</v>
      </c>
      <c r="F5913" t="inlineStr">
        <is>
          <t>VÄRMLANDS LÄN</t>
        </is>
      </c>
      <c r="G5913" t="inlineStr">
        <is>
          <t>TORSBY</t>
        </is>
      </c>
      <c r="I5913" t="n">
        <v>2.4</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58066-2024</t>
        </is>
      </c>
      <c r="B5914" t="inlineStr">
        <is>
          <t>avverkningsanmälan</t>
        </is>
      </c>
      <c r="C5914" t="inlineStr">
        <is>
          <t>Föryngringsavverkning</t>
        </is>
      </c>
      <c r="D5914" s="1" t="n">
        <v>45631</v>
      </c>
      <c r="E5914" s="1" t="n">
        <v>46307</v>
      </c>
      <c r="F5914" t="inlineStr">
        <is>
          <t>VÄRMLANDS LÄN</t>
        </is>
      </c>
      <c r="G5914" t="inlineStr">
        <is>
          <t>ARVIKA</t>
        </is>
      </c>
      <c r="I5914" t="n">
        <v>3.3</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10027-2023</t>
        </is>
      </c>
      <c r="B5915" t="inlineStr">
        <is>
          <t>avverkningsanmälan</t>
        </is>
      </c>
      <c r="C5915" t="inlineStr">
        <is>
          <t>Föryngringsavverkning</t>
        </is>
      </c>
      <c r="D5915" s="1" t="n">
        <v>44979</v>
      </c>
      <c r="E5915" s="1" t="n">
        <v>46307</v>
      </c>
      <c r="F5915" t="inlineStr">
        <is>
          <t>VÄRMLANDS LÄN</t>
        </is>
      </c>
      <c r="G5915" t="inlineStr">
        <is>
          <t>TORSBY</t>
        </is>
      </c>
      <c r="I5915" t="n">
        <v>2.2</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1115-2024</t>
        </is>
      </c>
      <c r="B5916" t="inlineStr">
        <is>
          <t>avverkningsanmälan</t>
        </is>
      </c>
      <c r="C5916" t="inlineStr">
        <is>
          <t>Föryngringsavverkning</t>
        </is>
      </c>
      <c r="D5916" s="1" t="n">
        <v>45302</v>
      </c>
      <c r="E5916" s="1" t="n">
        <v>46307</v>
      </c>
      <c r="F5916" t="inlineStr">
        <is>
          <t>VÄRMLANDS LÄN</t>
        </is>
      </c>
      <c r="G5916" t="inlineStr">
        <is>
          <t>ÅRJÄNG</t>
        </is>
      </c>
      <c r="I5916" t="n">
        <v>0.6</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34059-2023</t>
        </is>
      </c>
      <c r="B5917" t="inlineStr">
        <is>
          <t>avverkningsanmälan</t>
        </is>
      </c>
      <c r="C5917" t="inlineStr">
        <is>
          <t>Föryngringsavverkning</t>
        </is>
      </c>
      <c r="D5917" s="1" t="n">
        <v>45125</v>
      </c>
      <c r="E5917" s="1" t="n">
        <v>46307</v>
      </c>
      <c r="F5917" t="inlineStr">
        <is>
          <t>VÄRMLANDS LÄN</t>
        </is>
      </c>
      <c r="G5917" t="inlineStr">
        <is>
          <t>SUNNE</t>
        </is>
      </c>
      <c r="I5917" t="n">
        <v>3.3</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47533-2024</t>
        </is>
      </c>
      <c r="B5918" t="inlineStr">
        <is>
          <t>avverkningsanmälan</t>
        </is>
      </c>
      <c r="C5918" t="inlineStr">
        <is>
          <t>Föryngringsavverkning</t>
        </is>
      </c>
      <c r="D5918" s="1" t="n">
        <v>45587</v>
      </c>
      <c r="E5918" s="1" t="n">
        <v>46307</v>
      </c>
      <c r="F5918" t="inlineStr">
        <is>
          <t>VÄRMLANDS LÄN</t>
        </is>
      </c>
      <c r="G5918" t="inlineStr">
        <is>
          <t>ARVIKA</t>
        </is>
      </c>
      <c r="H5918" t="inlineStr">
        <is>
          <t>Bergvik skog väst AB</t>
        </is>
      </c>
      <c r="I5918" t="n">
        <v>0.5</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39746-2024</t>
        </is>
      </c>
      <c r="B5919" t="inlineStr">
        <is>
          <t>avverkningsanmälan</t>
        </is>
      </c>
      <c r="C5919" t="inlineStr">
        <is>
          <t>Avverkning för annat ändamål</t>
        </is>
      </c>
      <c r="D5919" s="1" t="n">
        <v>45552</v>
      </c>
      <c r="E5919" s="1" t="n">
        <v>46307</v>
      </c>
      <c r="F5919" t="inlineStr">
        <is>
          <t>VÄRMLANDS LÄN</t>
        </is>
      </c>
      <c r="G5919" t="inlineStr">
        <is>
          <t>TORSBY</t>
        </is>
      </c>
      <c r="I5919" t="n">
        <v>1.5</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41781-2022</t>
        </is>
      </c>
      <c r="B5920" t="inlineStr">
        <is>
          <t>avverkningsanmälan</t>
        </is>
      </c>
      <c r="C5920" t="inlineStr">
        <is>
          <t>Föryngringsavverkning</t>
        </is>
      </c>
      <c r="D5920" s="1" t="n">
        <v>44827</v>
      </c>
      <c r="E5920" s="1" t="n">
        <v>46307</v>
      </c>
      <c r="F5920" t="inlineStr">
        <is>
          <t>VÄRMLANDS LÄN</t>
        </is>
      </c>
      <c r="G5920" t="inlineStr">
        <is>
          <t>TORSBY</t>
        </is>
      </c>
      <c r="I5920" t="n">
        <v>1</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48453-2023</t>
        </is>
      </c>
      <c r="B5921" t="inlineStr">
        <is>
          <t>avverkningsanmälan</t>
        </is>
      </c>
      <c r="C5921" t="inlineStr">
        <is>
          <t>Föryngringsavverkning</t>
        </is>
      </c>
      <c r="D5921" s="1" t="n">
        <v>45206</v>
      </c>
      <c r="E5921" s="1" t="n">
        <v>46307</v>
      </c>
      <c r="F5921" t="inlineStr">
        <is>
          <t>VÄRMLANDS LÄN</t>
        </is>
      </c>
      <c r="G5921" t="inlineStr">
        <is>
          <t>ÅRJÄNG</t>
        </is>
      </c>
      <c r="I5921" t="n">
        <v>3.5</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50640-2023</t>
        </is>
      </c>
      <c r="B5922" t="inlineStr">
        <is>
          <t>avverkningsanmälan</t>
        </is>
      </c>
      <c r="C5922" t="inlineStr">
        <is>
          <t>Föryngringsavverkning</t>
        </is>
      </c>
      <c r="D5922" s="1" t="n">
        <v>45217</v>
      </c>
      <c r="E5922" s="1" t="n">
        <v>46307</v>
      </c>
      <c r="F5922" t="inlineStr">
        <is>
          <t>VÄRMLANDS LÄN</t>
        </is>
      </c>
      <c r="G5922" t="inlineStr">
        <is>
          <t>GRUMS</t>
        </is>
      </c>
      <c r="I5922" t="n">
        <v>1.2</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55017-2025</t>
        </is>
      </c>
      <c r="B5923" t="inlineStr">
        <is>
          <t>avverkningsanmälan</t>
        </is>
      </c>
      <c r="C5923" t="inlineStr">
        <is>
          <t>Föryngringsavverkning</t>
        </is>
      </c>
      <c r="D5923" s="1" t="n">
        <v>45967</v>
      </c>
      <c r="E5923" s="1" t="n">
        <v>46307</v>
      </c>
      <c r="F5923" t="inlineStr">
        <is>
          <t>VÄRMLANDS LÄN</t>
        </is>
      </c>
      <c r="G5923" t="inlineStr">
        <is>
          <t>ÅRJÄNG</t>
        </is>
      </c>
      <c r="I5923" t="n">
        <v>10.2</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8188-2025</t>
        </is>
      </c>
      <c r="B5924" t="inlineStr">
        <is>
          <t>avverkningsanmälan</t>
        </is>
      </c>
      <c r="C5924" t="inlineStr">
        <is>
          <t>Föryngringsavverkning</t>
        </is>
      </c>
      <c r="D5924" s="1" t="n">
        <v>45708</v>
      </c>
      <c r="E5924" s="1" t="n">
        <v>46307</v>
      </c>
      <c r="F5924" t="inlineStr">
        <is>
          <t>VÄRMLANDS LÄN</t>
        </is>
      </c>
      <c r="G5924" t="inlineStr">
        <is>
          <t>TORSBY</t>
        </is>
      </c>
      <c r="I5924" t="n">
        <v>9.6</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62298-2023</t>
        </is>
      </c>
      <c r="B5925" t="inlineStr">
        <is>
          <t>avverkningsanmälan</t>
        </is>
      </c>
      <c r="C5925" t="inlineStr">
        <is>
          <t>Föryngringsavverkning</t>
        </is>
      </c>
      <c r="D5925" s="1" t="n">
        <v>45267</v>
      </c>
      <c r="E5925" s="1" t="n">
        <v>46307</v>
      </c>
      <c r="F5925" t="inlineStr">
        <is>
          <t>VÄRMLANDS LÄN</t>
        </is>
      </c>
      <c r="G5925" t="inlineStr">
        <is>
          <t>SÄFFLE</t>
        </is>
      </c>
      <c r="I5925" t="n">
        <v>1.6</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62324-2023</t>
        </is>
      </c>
      <c r="B5926" t="inlineStr">
        <is>
          <t>avverkningsanmälan</t>
        </is>
      </c>
      <c r="C5926" t="inlineStr">
        <is>
          <t>Föryngringsavverkning</t>
        </is>
      </c>
      <c r="D5926" s="1" t="n">
        <v>45267</v>
      </c>
      <c r="E5926" s="1" t="n">
        <v>46307</v>
      </c>
      <c r="F5926" t="inlineStr">
        <is>
          <t>VÄRMLANDS LÄN</t>
        </is>
      </c>
      <c r="G5926" t="inlineStr">
        <is>
          <t>EDA</t>
        </is>
      </c>
      <c r="I5926" t="n">
        <v>1.7</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61413-2024</t>
        </is>
      </c>
      <c r="B5927" t="inlineStr">
        <is>
          <t>avverkningsanmälan</t>
        </is>
      </c>
      <c r="C5927" t="inlineStr">
        <is>
          <t>Föryngringsavverkning</t>
        </is>
      </c>
      <c r="D5927" s="1" t="n">
        <v>45646</v>
      </c>
      <c r="E5927" s="1" t="n">
        <v>46307</v>
      </c>
      <c r="F5927" t="inlineStr">
        <is>
          <t>VÄRMLANDS LÄN</t>
        </is>
      </c>
      <c r="G5927" t="inlineStr">
        <is>
          <t>EDA</t>
        </is>
      </c>
      <c r="I5927" t="n">
        <v>4.8</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55071-2025</t>
        </is>
      </c>
      <c r="B5928" t="inlineStr">
        <is>
          <t>avverkningsanmälan</t>
        </is>
      </c>
      <c r="C5928" t="inlineStr">
        <is>
          <t>Föryngringsavverkning</t>
        </is>
      </c>
      <c r="D5928" s="1" t="n">
        <v>45967</v>
      </c>
      <c r="E5928" s="1" t="n">
        <v>46307</v>
      </c>
      <c r="F5928" t="inlineStr">
        <is>
          <t>VÄRMLANDS LÄN</t>
        </is>
      </c>
      <c r="G5928" t="inlineStr">
        <is>
          <t>TORSBY</t>
        </is>
      </c>
      <c r="I5928" t="n">
        <v>1.6</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33364-2025</t>
        </is>
      </c>
      <c r="B5929" t="inlineStr">
        <is>
          <t>avverkningsanmälan</t>
        </is>
      </c>
      <c r="C5929" t="inlineStr">
        <is>
          <t>Föryngringsavverkning</t>
        </is>
      </c>
      <c r="D5929" s="1" t="n">
        <v>45841</v>
      </c>
      <c r="E5929" s="1" t="n">
        <v>46307</v>
      </c>
      <c r="F5929" t="inlineStr">
        <is>
          <t>VÄRMLANDS LÄN</t>
        </is>
      </c>
      <c r="G5929" t="inlineStr">
        <is>
          <t>HAGFORS</t>
        </is>
      </c>
      <c r="H5929" t="inlineStr">
        <is>
          <t>Bergvik skog väst AB</t>
        </is>
      </c>
      <c r="I5929" t="n">
        <v>0.6</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33867-2025</t>
        </is>
      </c>
      <c r="B5930" t="inlineStr">
        <is>
          <t>avverkningsanmälan</t>
        </is>
      </c>
      <c r="C5930" t="inlineStr">
        <is>
          <t>Föryngringsavverkning</t>
        </is>
      </c>
      <c r="D5930" s="1" t="n">
        <v>45842</v>
      </c>
      <c r="E5930" s="1" t="n">
        <v>46307</v>
      </c>
      <c r="F5930" t="inlineStr">
        <is>
          <t>VÄRMLANDS LÄN</t>
        </is>
      </c>
      <c r="G5930" t="inlineStr">
        <is>
          <t>SÄFFLE</t>
        </is>
      </c>
      <c r="I5930" t="n">
        <v>1.3</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61441-2024</t>
        </is>
      </c>
      <c r="B5931" t="inlineStr">
        <is>
          <t>avverkningsanmälan</t>
        </is>
      </c>
      <c r="C5931" t="inlineStr">
        <is>
          <t>Föryngringsavverkning</t>
        </is>
      </c>
      <c r="D5931" s="1" t="n">
        <v>45646</v>
      </c>
      <c r="E5931" s="1" t="n">
        <v>46307</v>
      </c>
      <c r="F5931" t="inlineStr">
        <is>
          <t>VÄRMLANDS LÄN</t>
        </is>
      </c>
      <c r="G5931" t="inlineStr">
        <is>
          <t>KARLSTAD</t>
        </is>
      </c>
      <c r="I5931" t="n">
        <v>1.5</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33478-2025</t>
        </is>
      </c>
      <c r="B5932" t="inlineStr">
        <is>
          <t>avverkningsanmälan</t>
        </is>
      </c>
      <c r="C5932" t="inlineStr">
        <is>
          <t>Föryngringsavverkning</t>
        </is>
      </c>
      <c r="D5932" s="1" t="n">
        <v>45841</v>
      </c>
      <c r="E5932" s="1" t="n">
        <v>46307</v>
      </c>
      <c r="F5932" t="inlineStr">
        <is>
          <t>VÄRMLANDS LÄN</t>
        </is>
      </c>
      <c r="G5932" t="inlineStr">
        <is>
          <t>SUNNE</t>
        </is>
      </c>
      <c r="I5932" t="n">
        <v>1.9</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33412-2025</t>
        </is>
      </c>
      <c r="B5933" t="inlineStr">
        <is>
          <t>avverkningsanmälan</t>
        </is>
      </c>
      <c r="C5933" t="inlineStr">
        <is>
          <t>Föryngringsavverkning</t>
        </is>
      </c>
      <c r="D5933" s="1" t="n">
        <v>45841</v>
      </c>
      <c r="E5933" s="1" t="n">
        <v>46307</v>
      </c>
      <c r="F5933" t="inlineStr">
        <is>
          <t>VÄRMLANDS LÄN</t>
        </is>
      </c>
      <c r="G5933" t="inlineStr">
        <is>
          <t>ÅRJÄNG</t>
        </is>
      </c>
      <c r="I5933" t="n">
        <v>4.1</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27522-2024</t>
        </is>
      </c>
      <c r="B5934" t="inlineStr">
        <is>
          <t>avverkningsanmälan</t>
        </is>
      </c>
      <c r="C5934" t="inlineStr">
        <is>
          <t>Föryngringsavverkning</t>
        </is>
      </c>
      <c r="D5934" s="1" t="n">
        <v>45474</v>
      </c>
      <c r="E5934" s="1" t="n">
        <v>46307</v>
      </c>
      <c r="F5934" t="inlineStr">
        <is>
          <t>VÄRMLANDS LÄN</t>
        </is>
      </c>
      <c r="G5934" t="inlineStr">
        <is>
          <t>EDA</t>
        </is>
      </c>
      <c r="I5934" t="n">
        <v>1</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55254-2025</t>
        </is>
      </c>
      <c r="B5935" t="inlineStr">
        <is>
          <t>avverkningsanmälan</t>
        </is>
      </c>
      <c r="C5935" t="inlineStr">
        <is>
          <t>Föryngringsavverkning</t>
        </is>
      </c>
      <c r="D5935" s="1" t="n">
        <v>45968</v>
      </c>
      <c r="E5935" s="1" t="n">
        <v>46307</v>
      </c>
      <c r="F5935" t="inlineStr">
        <is>
          <t>VÄRMLANDS LÄN</t>
        </is>
      </c>
      <c r="G5935" t="inlineStr">
        <is>
          <t>MUNKFORS</t>
        </is>
      </c>
      <c r="I5935" t="n">
        <v>2.4</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33440-2025</t>
        </is>
      </c>
      <c r="B5936" t="inlineStr">
        <is>
          <t>avverkningsanmälan</t>
        </is>
      </c>
      <c r="C5936" t="inlineStr">
        <is>
          <t>Avverkning för att bevara och utveckla /försöksver</t>
        </is>
      </c>
      <c r="D5936" s="1" t="n">
        <v>45841</v>
      </c>
      <c r="E5936" s="1" t="n">
        <v>46307</v>
      </c>
      <c r="F5936" t="inlineStr">
        <is>
          <t>VÄRMLANDS LÄN</t>
        </is>
      </c>
      <c r="G5936" t="inlineStr">
        <is>
          <t>HAGFORS</t>
        </is>
      </c>
      <c r="H5936" t="inlineStr">
        <is>
          <t>Bergvik skog väst AB</t>
        </is>
      </c>
      <c r="I5936" t="n">
        <v>0.5</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34049-2023</t>
        </is>
      </c>
      <c r="B5937" t="inlineStr">
        <is>
          <t>avverkningsanmälan</t>
        </is>
      </c>
      <c r="C5937" t="inlineStr">
        <is>
          <t>Föryngringsavverkning</t>
        </is>
      </c>
      <c r="D5937" s="1" t="n">
        <v>45125</v>
      </c>
      <c r="E5937" s="1" t="n">
        <v>46307</v>
      </c>
      <c r="F5937" t="inlineStr">
        <is>
          <t>VÄRMLANDS LÄN</t>
        </is>
      </c>
      <c r="G5937" t="inlineStr">
        <is>
          <t>SUNNE</t>
        </is>
      </c>
      <c r="I5937" t="n">
        <v>9</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34053-2023</t>
        </is>
      </c>
      <c r="B5938" t="inlineStr">
        <is>
          <t>avverkningsanmälan</t>
        </is>
      </c>
      <c r="C5938" t="inlineStr">
        <is>
          <t>Föryngringsavverkning</t>
        </is>
      </c>
      <c r="D5938" s="1" t="n">
        <v>45125</v>
      </c>
      <c r="E5938" s="1" t="n">
        <v>46307</v>
      </c>
      <c r="F5938" t="inlineStr">
        <is>
          <t>VÄRMLANDS LÄN</t>
        </is>
      </c>
      <c r="G5938" t="inlineStr">
        <is>
          <t>SUNNE</t>
        </is>
      </c>
      <c r="I5938" t="n">
        <v>3.4</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55097-2025</t>
        </is>
      </c>
      <c r="B5939" t="inlineStr">
        <is>
          <t>avverkningsanmälan</t>
        </is>
      </c>
      <c r="C5939" t="inlineStr">
        <is>
          <t>Föryngringsavverkning</t>
        </is>
      </c>
      <c r="D5939" s="1" t="n">
        <v>45968</v>
      </c>
      <c r="E5939" s="1" t="n">
        <v>46307</v>
      </c>
      <c r="F5939" t="inlineStr">
        <is>
          <t>VÄRMLANDS LÄN</t>
        </is>
      </c>
      <c r="G5939" t="inlineStr">
        <is>
          <t>EDA</t>
        </is>
      </c>
      <c r="I5939" t="n">
        <v>4.5</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33407-2025</t>
        </is>
      </c>
      <c r="B5940" t="inlineStr">
        <is>
          <t>avverkningsanmälan</t>
        </is>
      </c>
      <c r="C5940" t="inlineStr">
        <is>
          <t>Avverkning för annat ändamål</t>
        </is>
      </c>
      <c r="D5940" s="1" t="n">
        <v>45841</v>
      </c>
      <c r="E5940" s="1" t="n">
        <v>46307</v>
      </c>
      <c r="F5940" t="inlineStr">
        <is>
          <t>VÄRMLANDS LÄN</t>
        </is>
      </c>
      <c r="G5940" t="inlineStr">
        <is>
          <t>FILIPSTAD</t>
        </is>
      </c>
      <c r="H5940" t="inlineStr">
        <is>
          <t>Bergvik skog väst AB</t>
        </is>
      </c>
      <c r="I5940" t="n">
        <v>2.8</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33416-2025</t>
        </is>
      </c>
      <c r="B5941" t="inlineStr">
        <is>
          <t>avverkningsanmälan</t>
        </is>
      </c>
      <c r="C5941" t="inlineStr">
        <is>
          <t>Föryngringsavverkning</t>
        </is>
      </c>
      <c r="D5941" s="1" t="n">
        <v>45841</v>
      </c>
      <c r="E5941" s="1" t="n">
        <v>46307</v>
      </c>
      <c r="F5941" t="inlineStr">
        <is>
          <t>VÄRMLANDS LÄN</t>
        </is>
      </c>
      <c r="G5941" t="inlineStr">
        <is>
          <t>EDA</t>
        </is>
      </c>
      <c r="I5941" t="n">
        <v>0.5</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47239-2022</t>
        </is>
      </c>
      <c r="B5942" t="inlineStr">
        <is>
          <t>avverkningsanmälan</t>
        </is>
      </c>
      <c r="C5942" t="inlineStr">
        <is>
          <t>Föryngringsavverkning</t>
        </is>
      </c>
      <c r="D5942" s="1" t="n">
        <v>44852</v>
      </c>
      <c r="E5942" s="1" t="n">
        <v>46307</v>
      </c>
      <c r="F5942" t="inlineStr">
        <is>
          <t>VÄRMLANDS LÄN</t>
        </is>
      </c>
      <c r="G5942" t="inlineStr">
        <is>
          <t>ARVIKA</t>
        </is>
      </c>
      <c r="I5942" t="n">
        <v>1.5</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19494-2023</t>
        </is>
      </c>
      <c r="B5943" t="inlineStr">
        <is>
          <t>avverkningsanmälan</t>
        </is>
      </c>
      <c r="C5943" t="inlineStr">
        <is>
          <t>Föryngringsavverkning</t>
        </is>
      </c>
      <c r="D5943" s="1" t="n">
        <v>45050</v>
      </c>
      <c r="E5943" s="1" t="n">
        <v>46307</v>
      </c>
      <c r="F5943" t="inlineStr">
        <is>
          <t>VÄRMLANDS LÄN</t>
        </is>
      </c>
      <c r="G5943" t="inlineStr">
        <is>
          <t>SUNNE</t>
        </is>
      </c>
      <c r="I5943" t="n">
        <v>1</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19720-2023</t>
        </is>
      </c>
      <c r="B5944" t="inlineStr">
        <is>
          <t>avverkningsanmälan</t>
        </is>
      </c>
      <c r="C5944" t="inlineStr">
        <is>
          <t>Föryngringsavverkning</t>
        </is>
      </c>
      <c r="D5944" s="1" t="n">
        <v>45051</v>
      </c>
      <c r="E5944" s="1" t="n">
        <v>46307</v>
      </c>
      <c r="F5944" t="inlineStr">
        <is>
          <t>VÄRMLANDS LÄN</t>
        </is>
      </c>
      <c r="G5944" t="inlineStr">
        <is>
          <t>ARVIKA</t>
        </is>
      </c>
      <c r="I5944" t="n">
        <v>2.6</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59784-2023</t>
        </is>
      </c>
      <c r="B5945" t="inlineStr">
        <is>
          <t>avverkningsanmälan</t>
        </is>
      </c>
      <c r="C5945" t="inlineStr">
        <is>
          <t>Föryngringsavverkning</t>
        </is>
      </c>
      <c r="D5945" s="1" t="n">
        <v>45257</v>
      </c>
      <c r="E5945" s="1" t="n">
        <v>46307</v>
      </c>
      <c r="F5945" t="inlineStr">
        <is>
          <t>VÄRMLANDS LÄN</t>
        </is>
      </c>
      <c r="G5945" t="inlineStr">
        <is>
          <t>ÅRJÄNG</t>
        </is>
      </c>
      <c r="I5945" t="n">
        <v>3.1</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59801-2023</t>
        </is>
      </c>
      <c r="B5946" t="inlineStr">
        <is>
          <t>avverkningsanmälan</t>
        </is>
      </c>
      <c r="C5946" t="inlineStr">
        <is>
          <t>Föryngringsavverkning</t>
        </is>
      </c>
      <c r="D5946" s="1" t="n">
        <v>45254</v>
      </c>
      <c r="E5946" s="1" t="n">
        <v>46307</v>
      </c>
      <c r="F5946" t="inlineStr">
        <is>
          <t>VÄRMLANDS LÄN</t>
        </is>
      </c>
      <c r="G5946" t="inlineStr">
        <is>
          <t>ÅRJÄNG</t>
        </is>
      </c>
      <c r="I5946" t="n">
        <v>13.8</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33765-2022</t>
        </is>
      </c>
      <c r="B5947" t="inlineStr">
        <is>
          <t>avverkningsanmälan</t>
        </is>
      </c>
      <c r="C5947" t="inlineStr">
        <is>
          <t>Föryngringsavverkning</t>
        </is>
      </c>
      <c r="D5947" s="1" t="n">
        <v>44790</v>
      </c>
      <c r="E5947" s="1" t="n">
        <v>46307</v>
      </c>
      <c r="F5947" t="inlineStr">
        <is>
          <t>VÄRMLANDS LÄN</t>
        </is>
      </c>
      <c r="G5947" t="inlineStr">
        <is>
          <t>SUNNE</t>
        </is>
      </c>
      <c r="I5947" t="n">
        <v>1</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33516-2025</t>
        </is>
      </c>
      <c r="B5948" t="inlineStr">
        <is>
          <t>avverkningsanmälan</t>
        </is>
      </c>
      <c r="C5948" t="inlineStr">
        <is>
          <t>Föryngringsavverkning</t>
        </is>
      </c>
      <c r="D5948" s="1" t="n">
        <v>45841</v>
      </c>
      <c r="E5948" s="1" t="n">
        <v>46307</v>
      </c>
      <c r="F5948" t="inlineStr">
        <is>
          <t>VÄRMLANDS LÄN</t>
        </is>
      </c>
      <c r="G5948" t="inlineStr">
        <is>
          <t>SUNNE</t>
        </is>
      </c>
      <c r="I5948" t="n">
        <v>0.9</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38991-2023</t>
        </is>
      </c>
      <c r="B5949" t="inlineStr">
        <is>
          <t>avverkningsanmälan</t>
        </is>
      </c>
      <c r="C5949" t="inlineStr">
        <is>
          <t>Föryngringsavverkning</t>
        </is>
      </c>
      <c r="D5949" s="1" t="n">
        <v>45163</v>
      </c>
      <c r="E5949" s="1" t="n">
        <v>46307</v>
      </c>
      <c r="F5949" t="inlineStr">
        <is>
          <t>VÄRMLANDS LÄN</t>
        </is>
      </c>
      <c r="G5949" t="inlineStr">
        <is>
          <t>TORSBY</t>
        </is>
      </c>
      <c r="I5949" t="n">
        <v>2.4</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33526-2025</t>
        </is>
      </c>
      <c r="B5950" t="inlineStr">
        <is>
          <t>avverkningsanmälan</t>
        </is>
      </c>
      <c r="C5950" t="inlineStr">
        <is>
          <t>Föryngringsavverkning</t>
        </is>
      </c>
      <c r="D5950" s="1" t="n">
        <v>45841</v>
      </c>
      <c r="E5950" s="1" t="n">
        <v>46307</v>
      </c>
      <c r="F5950" t="inlineStr">
        <is>
          <t>VÄRMLANDS LÄN</t>
        </is>
      </c>
      <c r="G5950" t="inlineStr">
        <is>
          <t>ÅRJÄNG</t>
        </is>
      </c>
      <c r="I5950" t="n">
        <v>0.7</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27311-2022</t>
        </is>
      </c>
      <c r="B5951" t="inlineStr">
        <is>
          <t>avverkningsanmälan</t>
        </is>
      </c>
      <c r="C5951" t="inlineStr">
        <is>
          <t>Föryngringsavverkning</t>
        </is>
      </c>
      <c r="D5951" s="1" t="n">
        <v>44728</v>
      </c>
      <c r="E5951" s="1" t="n">
        <v>46307</v>
      </c>
      <c r="F5951" t="inlineStr">
        <is>
          <t>VÄRMLANDS LÄN</t>
        </is>
      </c>
      <c r="G5951" t="inlineStr">
        <is>
          <t>ÅRJÄNG</t>
        </is>
      </c>
      <c r="I5951" t="n">
        <v>3.5</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23813-2022</t>
        </is>
      </c>
      <c r="B5952" t="inlineStr">
        <is>
          <t>avverkningsanmälan</t>
        </is>
      </c>
      <c r="C5952" t="inlineStr">
        <is>
          <t>Föryngringsavverkning</t>
        </is>
      </c>
      <c r="D5952" s="1" t="n">
        <v>44722</v>
      </c>
      <c r="E5952" s="1" t="n">
        <v>46307</v>
      </c>
      <c r="F5952" t="inlineStr">
        <is>
          <t>VÄRMLANDS LÄN</t>
        </is>
      </c>
      <c r="G5952" t="inlineStr">
        <is>
          <t>ARVIKA</t>
        </is>
      </c>
      <c r="I5952" t="n">
        <v>4.1</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53440-2023</t>
        </is>
      </c>
      <c r="B5953" t="inlineStr">
        <is>
          <t>avverkningsanmälan</t>
        </is>
      </c>
      <c r="C5953" t="inlineStr">
        <is>
          <t>Föryngringsavverkning</t>
        </is>
      </c>
      <c r="D5953" s="1" t="n">
        <v>45223</v>
      </c>
      <c r="E5953" s="1" t="n">
        <v>46307</v>
      </c>
      <c r="F5953" t="inlineStr">
        <is>
          <t>VÄRMLANDS LÄN</t>
        </is>
      </c>
      <c r="G5953" t="inlineStr">
        <is>
          <t>SÄFFLE</t>
        </is>
      </c>
      <c r="I5953" t="n">
        <v>19.1</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15453-2024</t>
        </is>
      </c>
      <c r="B5954" t="inlineStr">
        <is>
          <t>avverkningsanmälan</t>
        </is>
      </c>
      <c r="C5954" t="inlineStr">
        <is>
          <t>Föryngringsavverkning</t>
        </is>
      </c>
      <c r="D5954" s="1" t="n">
        <v>45401</v>
      </c>
      <c r="E5954" s="1" t="n">
        <v>46307</v>
      </c>
      <c r="F5954" t="inlineStr">
        <is>
          <t>VÄRMLANDS LÄN</t>
        </is>
      </c>
      <c r="G5954" t="inlineStr">
        <is>
          <t>SUNNE</t>
        </is>
      </c>
      <c r="I5954" t="n">
        <v>1.4</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15465-2024</t>
        </is>
      </c>
      <c r="B5955" t="inlineStr">
        <is>
          <t>avverkningsanmälan</t>
        </is>
      </c>
      <c r="C5955" t="inlineStr">
        <is>
          <t>Föryngringsavverkning</t>
        </is>
      </c>
      <c r="D5955" s="1" t="n">
        <v>45401</v>
      </c>
      <c r="E5955" s="1" t="n">
        <v>46307</v>
      </c>
      <c r="F5955" t="inlineStr">
        <is>
          <t>VÄRMLANDS LÄN</t>
        </is>
      </c>
      <c r="G5955" t="inlineStr">
        <is>
          <t>TORSBY</t>
        </is>
      </c>
      <c r="H5955" t="inlineStr">
        <is>
          <t>Bergvik skog väst AB</t>
        </is>
      </c>
      <c r="I5955" t="n">
        <v>24.6</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33567-2025</t>
        </is>
      </c>
      <c r="B5956" t="inlineStr">
        <is>
          <t>avverkningsanmälan</t>
        </is>
      </c>
      <c r="C5956" t="inlineStr">
        <is>
          <t>Föryngringsavverkning</t>
        </is>
      </c>
      <c r="D5956" s="1" t="n">
        <v>45841</v>
      </c>
      <c r="E5956" s="1" t="n">
        <v>46307</v>
      </c>
      <c r="F5956" t="inlineStr">
        <is>
          <t>VÄRMLANDS LÄN</t>
        </is>
      </c>
      <c r="G5956" t="inlineStr">
        <is>
          <t>TORSBY</t>
        </is>
      </c>
      <c r="I5956" t="n">
        <v>1.2</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33187-2022</t>
        </is>
      </c>
      <c r="B5957" t="inlineStr">
        <is>
          <t>avverkningsanmälan</t>
        </is>
      </c>
      <c r="C5957" t="inlineStr">
        <is>
          <t>Föryngringsavverkning</t>
        </is>
      </c>
      <c r="D5957" s="1" t="n">
        <v>44785</v>
      </c>
      <c r="E5957" s="1" t="n">
        <v>46307</v>
      </c>
      <c r="F5957" t="inlineStr">
        <is>
          <t>VÄRMLANDS LÄN</t>
        </is>
      </c>
      <c r="G5957" t="inlineStr">
        <is>
          <t>ARVIKA</t>
        </is>
      </c>
      <c r="I5957" t="n">
        <v>0.7</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55514-2025</t>
        </is>
      </c>
      <c r="B5958" t="inlineStr">
        <is>
          <t>avverkningsanmälan</t>
        </is>
      </c>
      <c r="C5958" t="inlineStr">
        <is>
          <t>Föryngringsavverkning</t>
        </is>
      </c>
      <c r="D5958" s="1" t="n">
        <v>45971</v>
      </c>
      <c r="E5958" s="1" t="n">
        <v>46307</v>
      </c>
      <c r="F5958" t="inlineStr">
        <is>
          <t>VÄRMLANDS LÄN</t>
        </is>
      </c>
      <c r="G5958" t="inlineStr">
        <is>
          <t>FILIPSTAD</t>
        </is>
      </c>
      <c r="H5958" t="inlineStr">
        <is>
          <t>Bergvik skog väst AB</t>
        </is>
      </c>
      <c r="I5958" t="n">
        <v>13.3</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32968-2024</t>
        </is>
      </c>
      <c r="B5959" t="inlineStr">
        <is>
          <t>avverkningsanmälan</t>
        </is>
      </c>
      <c r="C5959" t="inlineStr">
        <is>
          <t>Föryngringsavverkning</t>
        </is>
      </c>
      <c r="D5959" s="1" t="n">
        <v>45517</v>
      </c>
      <c r="E5959" s="1" t="n">
        <v>46307</v>
      </c>
      <c r="F5959" t="inlineStr">
        <is>
          <t>VÄRMLANDS LÄN</t>
        </is>
      </c>
      <c r="G5959" t="inlineStr">
        <is>
          <t>SÄFFLE</t>
        </is>
      </c>
      <c r="I5959" t="n">
        <v>2.1</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33521-2025</t>
        </is>
      </c>
      <c r="B5960" t="inlineStr">
        <is>
          <t>avverkningsanmälan</t>
        </is>
      </c>
      <c r="C5960" t="inlineStr">
        <is>
          <t>Föryngringsavverkning</t>
        </is>
      </c>
      <c r="D5960" s="1" t="n">
        <v>45841</v>
      </c>
      <c r="E5960" s="1" t="n">
        <v>46307</v>
      </c>
      <c r="F5960" t="inlineStr">
        <is>
          <t>VÄRMLANDS LÄN</t>
        </is>
      </c>
      <c r="G5960" t="inlineStr">
        <is>
          <t>ARVIKA</t>
        </is>
      </c>
      <c r="I5960" t="n">
        <v>7.3</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17910-2024</t>
        </is>
      </c>
      <c r="B5961" t="inlineStr">
        <is>
          <t>avverkningsanmälan</t>
        </is>
      </c>
      <c r="C5961" t="inlineStr">
        <is>
          <t>Föryngringsavverkning</t>
        </is>
      </c>
      <c r="D5961" s="1" t="n">
        <v>45419</v>
      </c>
      <c r="E5961" s="1" t="n">
        <v>46307</v>
      </c>
      <c r="F5961" t="inlineStr">
        <is>
          <t>VÄRMLANDS LÄN</t>
        </is>
      </c>
      <c r="G5961" t="inlineStr">
        <is>
          <t>GRUMS</t>
        </is>
      </c>
      <c r="I5961" t="n">
        <v>6.8</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58133-2022</t>
        </is>
      </c>
      <c r="B5962" t="inlineStr">
        <is>
          <t>avverkningsanmälan</t>
        </is>
      </c>
      <c r="C5962" t="inlineStr">
        <is>
          <t>Föryngringsavverkning</t>
        </is>
      </c>
      <c r="D5962" s="1" t="n">
        <v>44900</v>
      </c>
      <c r="E5962" s="1" t="n">
        <v>46307</v>
      </c>
      <c r="F5962" t="inlineStr">
        <is>
          <t>VÄRMLANDS LÄN</t>
        </is>
      </c>
      <c r="G5962" t="inlineStr">
        <is>
          <t>ARVIKA</t>
        </is>
      </c>
      <c r="I5962" t="n">
        <v>1.4</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55526-2025</t>
        </is>
      </c>
      <c r="B5963" t="inlineStr">
        <is>
          <t>avverkningsanmälan</t>
        </is>
      </c>
      <c r="C5963" t="inlineStr">
        <is>
          <t>Föryngringsavverkning</t>
        </is>
      </c>
      <c r="D5963" s="1" t="n">
        <v>45971</v>
      </c>
      <c r="E5963" s="1" t="n">
        <v>46307</v>
      </c>
      <c r="F5963" t="inlineStr">
        <is>
          <t>VÄRMLANDS LÄN</t>
        </is>
      </c>
      <c r="G5963" t="inlineStr">
        <is>
          <t>EDA</t>
        </is>
      </c>
      <c r="I5963" t="n">
        <v>2.5</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3885-2024</t>
        </is>
      </c>
      <c r="B5964" t="inlineStr">
        <is>
          <t>avverkningsanmälan</t>
        </is>
      </c>
      <c r="C5964" t="inlineStr">
        <is>
          <t>Föryngringsavverkning</t>
        </is>
      </c>
      <c r="D5964" s="1" t="n">
        <v>45322</v>
      </c>
      <c r="E5964" s="1" t="n">
        <v>46307</v>
      </c>
      <c r="F5964" t="inlineStr">
        <is>
          <t>VÄRMLANDS LÄN</t>
        </is>
      </c>
      <c r="G5964" t="inlineStr">
        <is>
          <t>KARLSTAD</t>
        </is>
      </c>
      <c r="I5964" t="n">
        <v>2</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2191-2025</t>
        </is>
      </c>
      <c r="B5965" t="inlineStr">
        <is>
          <t>avverkningsanmälan</t>
        </is>
      </c>
      <c r="C5965" t="inlineStr">
        <is>
          <t>Föryngringsavverkning</t>
        </is>
      </c>
      <c r="D5965" s="1" t="n">
        <v>45672</v>
      </c>
      <c r="E5965" s="1" t="n">
        <v>46307</v>
      </c>
      <c r="F5965" t="inlineStr">
        <is>
          <t>VÄRMLANDS LÄN</t>
        </is>
      </c>
      <c r="G5965" t="inlineStr">
        <is>
          <t>SÄFFLE</t>
        </is>
      </c>
      <c r="I5965" t="n">
        <v>46.5</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55540-2025</t>
        </is>
      </c>
      <c r="B5966" t="inlineStr">
        <is>
          <t>avverkningsanmälan</t>
        </is>
      </c>
      <c r="C5966" t="inlineStr">
        <is>
          <t>Föryngringsavverkning</t>
        </is>
      </c>
      <c r="D5966" s="1" t="n">
        <v>45971</v>
      </c>
      <c r="E5966" s="1" t="n">
        <v>46307</v>
      </c>
      <c r="F5966" t="inlineStr">
        <is>
          <t>VÄRMLANDS LÄN</t>
        </is>
      </c>
      <c r="G5966" t="inlineStr">
        <is>
          <t>ÅRJÄNG</t>
        </is>
      </c>
      <c r="I5966" t="n">
        <v>4.7</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26686-2022</t>
        </is>
      </c>
      <c r="B5967" t="inlineStr">
        <is>
          <t>avverkningsanmälan</t>
        </is>
      </c>
      <c r="C5967" t="inlineStr">
        <is>
          <t>Föryngringsavverkning</t>
        </is>
      </c>
      <c r="D5967" s="1" t="n">
        <v>44739</v>
      </c>
      <c r="E5967" s="1" t="n">
        <v>46307</v>
      </c>
      <c r="F5967" t="inlineStr">
        <is>
          <t>VÄRMLANDS LÄN</t>
        </is>
      </c>
      <c r="G5967" t="inlineStr">
        <is>
          <t>TORSBY</t>
        </is>
      </c>
      <c r="I5967" t="n">
        <v>0.8</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53813-2024</t>
        </is>
      </c>
      <c r="B5968" t="inlineStr">
        <is>
          <t>avverkningsanmälan</t>
        </is>
      </c>
      <c r="C5968" t="inlineStr">
        <is>
          <t>Föryngringsavverkning</t>
        </is>
      </c>
      <c r="D5968" s="1" t="n">
        <v>45615</v>
      </c>
      <c r="E5968" s="1" t="n">
        <v>46307</v>
      </c>
      <c r="F5968" t="inlineStr">
        <is>
          <t>VÄRMLANDS LÄN</t>
        </is>
      </c>
      <c r="G5968" t="inlineStr">
        <is>
          <t>HAGFORS</t>
        </is>
      </c>
      <c r="I5968" t="n">
        <v>2.9</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55442-2025</t>
        </is>
      </c>
      <c r="B5969" t="inlineStr">
        <is>
          <t>avverkningsanmälan</t>
        </is>
      </c>
      <c r="C5969" t="inlineStr">
        <is>
          <t>Föryngringsavverkning</t>
        </is>
      </c>
      <c r="D5969" s="1" t="n">
        <v>45971</v>
      </c>
      <c r="E5969" s="1" t="n">
        <v>46307</v>
      </c>
      <c r="F5969" t="inlineStr">
        <is>
          <t>VÄRMLANDS LÄN</t>
        </is>
      </c>
      <c r="G5969" t="inlineStr">
        <is>
          <t>EDA</t>
        </is>
      </c>
      <c r="H5969" t="inlineStr">
        <is>
          <t>Bergvik skog väst AB</t>
        </is>
      </c>
      <c r="I5969" t="n">
        <v>2.1</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55480-2025</t>
        </is>
      </c>
      <c r="B5970" t="inlineStr">
        <is>
          <t>avverkningsanmälan</t>
        </is>
      </c>
      <c r="C5970" t="inlineStr">
        <is>
          <t>Föryngringsavverkning</t>
        </is>
      </c>
      <c r="D5970" s="1" t="n">
        <v>45971</v>
      </c>
      <c r="E5970" s="1" t="n">
        <v>46307</v>
      </c>
      <c r="F5970" t="inlineStr">
        <is>
          <t>VÄRMLANDS LÄN</t>
        </is>
      </c>
      <c r="G5970" t="inlineStr">
        <is>
          <t>HAGFORS</t>
        </is>
      </c>
      <c r="H5970" t="inlineStr">
        <is>
          <t>Bergvik skog väst AB</t>
        </is>
      </c>
      <c r="I5970" t="n">
        <v>2.9</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55592-2025</t>
        </is>
      </c>
      <c r="B5971" t="inlineStr">
        <is>
          <t>avverkningsanmälan</t>
        </is>
      </c>
      <c r="C5971" t="inlineStr">
        <is>
          <t>Föryngringsavverkning</t>
        </is>
      </c>
      <c r="D5971" s="1" t="n">
        <v>45971</v>
      </c>
      <c r="E5971" s="1" t="n">
        <v>46307</v>
      </c>
      <c r="F5971" t="inlineStr">
        <is>
          <t>VÄRMLANDS LÄN</t>
        </is>
      </c>
      <c r="G5971" t="inlineStr">
        <is>
          <t>ÅRJÄNG</t>
        </is>
      </c>
      <c r="I5971" t="n">
        <v>2.4</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16635-2024</t>
        </is>
      </c>
      <c r="B5972" t="inlineStr">
        <is>
          <t>avverkningsanmälan</t>
        </is>
      </c>
      <c r="C5972" t="inlineStr">
        <is>
          <t>Föryngringsavverkning</t>
        </is>
      </c>
      <c r="D5972" s="1" t="n">
        <v>45408</v>
      </c>
      <c r="E5972" s="1" t="n">
        <v>46307</v>
      </c>
      <c r="F5972" t="inlineStr">
        <is>
          <t>VÄRMLANDS LÄN</t>
        </is>
      </c>
      <c r="G5972" t="inlineStr">
        <is>
          <t>GRUMS</t>
        </is>
      </c>
      <c r="I5972" t="n">
        <v>0.7</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48405-2023</t>
        </is>
      </c>
      <c r="B5973" t="inlineStr">
        <is>
          <t>avverkningsanmälan</t>
        </is>
      </c>
      <c r="C5973" t="inlineStr">
        <is>
          <t>Avverkning för annat ändamål</t>
        </is>
      </c>
      <c r="D5973" s="1" t="n">
        <v>45201</v>
      </c>
      <c r="E5973" s="1" t="n">
        <v>46307</v>
      </c>
      <c r="F5973" t="inlineStr">
        <is>
          <t>VÄRMLANDS LÄN</t>
        </is>
      </c>
      <c r="G5973" t="inlineStr">
        <is>
          <t>KRISTINEHAMN</t>
        </is>
      </c>
      <c r="I5973" t="n">
        <v>2</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18356-2023</t>
        </is>
      </c>
      <c r="B5974" t="inlineStr">
        <is>
          <t>avverkningsanmälan</t>
        </is>
      </c>
      <c r="C5974" t="inlineStr">
        <is>
          <t>Föryngringsavverkning</t>
        </is>
      </c>
      <c r="D5974" s="1" t="n">
        <v>45041</v>
      </c>
      <c r="E5974" s="1" t="n">
        <v>46307</v>
      </c>
      <c r="F5974" t="inlineStr">
        <is>
          <t>VÄRMLANDS LÄN</t>
        </is>
      </c>
      <c r="G5974" t="inlineStr">
        <is>
          <t>KARLSTAD</t>
        </is>
      </c>
      <c r="I5974" t="n">
        <v>3.3</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55523-2025</t>
        </is>
      </c>
      <c r="B5975" t="inlineStr">
        <is>
          <t>avverkningsanmälan</t>
        </is>
      </c>
      <c r="C5975" t="inlineStr">
        <is>
          <t>Föryngringsavverkning</t>
        </is>
      </c>
      <c r="D5975" s="1" t="n">
        <v>45971</v>
      </c>
      <c r="E5975" s="1" t="n">
        <v>46307</v>
      </c>
      <c r="F5975" t="inlineStr">
        <is>
          <t>VÄRMLANDS LÄN</t>
        </is>
      </c>
      <c r="G5975" t="inlineStr">
        <is>
          <t>EDA</t>
        </is>
      </c>
      <c r="I5975" t="n">
        <v>0.9</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38076-2024</t>
        </is>
      </c>
      <c r="B5976" t="inlineStr">
        <is>
          <t>avverkningsanmälan</t>
        </is>
      </c>
      <c r="C5976" t="inlineStr">
        <is>
          <t>Föryngringsavverkning</t>
        </is>
      </c>
      <c r="D5976" s="1" t="n">
        <v>45544</v>
      </c>
      <c r="E5976" s="1" t="n">
        <v>46307</v>
      </c>
      <c r="F5976" t="inlineStr">
        <is>
          <t>VÄRMLANDS LÄN</t>
        </is>
      </c>
      <c r="G5976" t="inlineStr">
        <is>
          <t>TORSBY</t>
        </is>
      </c>
      <c r="I5976" t="n">
        <v>6.3</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61119-2024</t>
        </is>
      </c>
      <c r="B5977" t="inlineStr">
        <is>
          <t>avverkningsanmälan</t>
        </is>
      </c>
      <c r="C5977" t="inlineStr">
        <is>
          <t>Föryngringsavverkning</t>
        </is>
      </c>
      <c r="D5977" s="1" t="n">
        <v>45645</v>
      </c>
      <c r="E5977" s="1" t="n">
        <v>46307</v>
      </c>
      <c r="F5977" t="inlineStr">
        <is>
          <t>VÄRMLANDS LÄN</t>
        </is>
      </c>
      <c r="G5977" t="inlineStr">
        <is>
          <t>ÅRJÄNG</t>
        </is>
      </c>
      <c r="I5977" t="n">
        <v>2.4</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1432-2025</t>
        </is>
      </c>
      <c r="B5978" t="inlineStr">
        <is>
          <t>avverkningsanmälan</t>
        </is>
      </c>
      <c r="C5978" t="inlineStr">
        <is>
          <t>Föryngringsavverkning</t>
        </is>
      </c>
      <c r="D5978" s="1" t="n">
        <v>45669</v>
      </c>
      <c r="E5978" s="1" t="n">
        <v>46307</v>
      </c>
      <c r="F5978" t="inlineStr">
        <is>
          <t>VÄRMLANDS LÄN</t>
        </is>
      </c>
      <c r="G5978" t="inlineStr">
        <is>
          <t>TORSBY</t>
        </is>
      </c>
      <c r="I5978" t="n">
        <v>0.6</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43633-2024</t>
        </is>
      </c>
      <c r="B5979" t="inlineStr">
        <is>
          <t>avverkningsanmälan</t>
        </is>
      </c>
      <c r="C5979" t="inlineStr">
        <is>
          <t>Föryngringsavverkning</t>
        </is>
      </c>
      <c r="D5979" s="1" t="n">
        <v>45569</v>
      </c>
      <c r="E5979" s="1" t="n">
        <v>46307</v>
      </c>
      <c r="F5979" t="inlineStr">
        <is>
          <t>VÄRMLANDS LÄN</t>
        </is>
      </c>
      <c r="G5979" t="inlineStr">
        <is>
          <t>FILIPSTAD</t>
        </is>
      </c>
      <c r="H5979" t="inlineStr">
        <is>
          <t>Bergvik skog väst AB</t>
        </is>
      </c>
      <c r="I5979" t="n">
        <v>5</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55579-2025</t>
        </is>
      </c>
      <c r="B5980" t="inlineStr">
        <is>
          <t>avverkningsanmälan</t>
        </is>
      </c>
      <c r="C5980" t="inlineStr">
        <is>
          <t>Föryngringsavverkning</t>
        </is>
      </c>
      <c r="D5980" s="1" t="n">
        <v>45971</v>
      </c>
      <c r="E5980" s="1" t="n">
        <v>46307</v>
      </c>
      <c r="F5980" t="inlineStr">
        <is>
          <t>VÄRMLANDS LÄN</t>
        </is>
      </c>
      <c r="G5980" t="inlineStr">
        <is>
          <t>FILIPSTAD</t>
        </is>
      </c>
      <c r="H5980" t="inlineStr">
        <is>
          <t>Bergvik skog väst AB</t>
        </is>
      </c>
      <c r="I5980" t="n">
        <v>8.699999999999999</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60383-2024</t>
        </is>
      </c>
      <c r="B5981" t="inlineStr">
        <is>
          <t>avverkningsanmälan</t>
        </is>
      </c>
      <c r="C5981" t="inlineStr">
        <is>
          <t>Föryngringsavverkning</t>
        </is>
      </c>
      <c r="D5981" s="1" t="n">
        <v>45643</v>
      </c>
      <c r="E5981" s="1" t="n">
        <v>46307</v>
      </c>
      <c r="F5981" t="inlineStr">
        <is>
          <t>VÄRMLANDS LÄN</t>
        </is>
      </c>
      <c r="G5981" t="inlineStr">
        <is>
          <t>TORSBY</t>
        </is>
      </c>
      <c r="I5981" t="n">
        <v>3.1</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33318-2022</t>
        </is>
      </c>
      <c r="B5982" t="inlineStr">
        <is>
          <t>avverkningsanmälan</t>
        </is>
      </c>
      <c r="C5982" t="inlineStr">
        <is>
          <t>Föryngringsavverkning</t>
        </is>
      </c>
      <c r="D5982" s="1" t="n">
        <v>44788</v>
      </c>
      <c r="E5982" s="1" t="n">
        <v>46307</v>
      </c>
      <c r="F5982" t="inlineStr">
        <is>
          <t>VÄRMLANDS LÄN</t>
        </is>
      </c>
      <c r="G5982" t="inlineStr">
        <is>
          <t>SUNNE</t>
        </is>
      </c>
      <c r="I5982" t="n">
        <v>2.3</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55662-2025</t>
        </is>
      </c>
      <c r="B5983" t="inlineStr">
        <is>
          <t>avverkningsanmälan</t>
        </is>
      </c>
      <c r="C5983" t="inlineStr">
        <is>
          <t>Föryngringsavverkning</t>
        </is>
      </c>
      <c r="D5983" s="1" t="n">
        <v>45972</v>
      </c>
      <c r="E5983" s="1" t="n">
        <v>46307</v>
      </c>
      <c r="F5983" t="inlineStr">
        <is>
          <t>VÄRMLANDS LÄN</t>
        </is>
      </c>
      <c r="G5983" t="inlineStr">
        <is>
          <t>ÅRJÄNG</t>
        </is>
      </c>
      <c r="I5983" t="n">
        <v>1</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55668-2025</t>
        </is>
      </c>
      <c r="B5984" t="inlineStr">
        <is>
          <t>avverkningsanmälan</t>
        </is>
      </c>
      <c r="C5984" t="inlineStr">
        <is>
          <t>Föryngringsavverkning</t>
        </is>
      </c>
      <c r="D5984" s="1" t="n">
        <v>45972</v>
      </c>
      <c r="E5984" s="1" t="n">
        <v>46307</v>
      </c>
      <c r="F5984" t="inlineStr">
        <is>
          <t>VÄRMLANDS LÄN</t>
        </is>
      </c>
      <c r="G5984" t="inlineStr">
        <is>
          <t>FILIPSTAD</t>
        </is>
      </c>
      <c r="H5984" t="inlineStr">
        <is>
          <t>Bergvik skog väst AB</t>
        </is>
      </c>
      <c r="I5984" t="n">
        <v>1.1</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34284-2025</t>
        </is>
      </c>
      <c r="B5985" t="inlineStr">
        <is>
          <t>avverkningsanmälan</t>
        </is>
      </c>
      <c r="C5985" t="inlineStr">
        <is>
          <t>Föryngringsavverkning</t>
        </is>
      </c>
      <c r="D5985" s="1" t="n">
        <v>45846</v>
      </c>
      <c r="E5985" s="1" t="n">
        <v>46307</v>
      </c>
      <c r="F5985" t="inlineStr">
        <is>
          <t>VÄRMLANDS LÄN</t>
        </is>
      </c>
      <c r="G5985" t="inlineStr">
        <is>
          <t>ARVIKA</t>
        </is>
      </c>
      <c r="H5985" t="inlineStr">
        <is>
          <t>Bergvik skog väst AB</t>
        </is>
      </c>
      <c r="I5985" t="n">
        <v>0.7</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29129-2022</t>
        </is>
      </c>
      <c r="B5986" t="inlineStr">
        <is>
          <t>avverkningsanmälan</t>
        </is>
      </c>
      <c r="C5986" t="inlineStr">
        <is>
          <t>Föryngringsavverkning</t>
        </is>
      </c>
      <c r="D5986" s="1" t="n">
        <v>44750</v>
      </c>
      <c r="E5986" s="1" t="n">
        <v>46307</v>
      </c>
      <c r="F5986" t="inlineStr">
        <is>
          <t>VÄRMLANDS LÄN</t>
        </is>
      </c>
      <c r="G5986" t="inlineStr">
        <is>
          <t>SUNNE</t>
        </is>
      </c>
      <c r="I5986" t="n">
        <v>2.1</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55534-2025</t>
        </is>
      </c>
      <c r="B5987" t="inlineStr">
        <is>
          <t>avverkningsanmälan</t>
        </is>
      </c>
      <c r="C5987" t="inlineStr">
        <is>
          <t>Föryngringsavverkning</t>
        </is>
      </c>
      <c r="D5987" s="1" t="n">
        <v>45971</v>
      </c>
      <c r="E5987" s="1" t="n">
        <v>46307</v>
      </c>
      <c r="F5987" t="inlineStr">
        <is>
          <t>VÄRMLANDS LÄN</t>
        </is>
      </c>
      <c r="G5987" t="inlineStr">
        <is>
          <t>ÅRJÄNG</t>
        </is>
      </c>
      <c r="I5987" t="n">
        <v>4.7</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55478-2025</t>
        </is>
      </c>
      <c r="B5988" t="inlineStr">
        <is>
          <t>avverkningsanmälan</t>
        </is>
      </c>
      <c r="C5988" t="inlineStr">
        <is>
          <t>Föryngringsavverkning</t>
        </is>
      </c>
      <c r="D5988" s="1" t="n">
        <v>45971</v>
      </c>
      <c r="E5988" s="1" t="n">
        <v>46307</v>
      </c>
      <c r="F5988" t="inlineStr">
        <is>
          <t>VÄRMLANDS LÄN</t>
        </is>
      </c>
      <c r="G5988" t="inlineStr">
        <is>
          <t>EDA</t>
        </is>
      </c>
      <c r="H5988" t="inlineStr">
        <is>
          <t>Bergvik skog väst AB</t>
        </is>
      </c>
      <c r="I5988" t="n">
        <v>1.8</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59053-2023</t>
        </is>
      </c>
      <c r="B5989" t="inlineStr">
        <is>
          <t>avverkningsanmälan</t>
        </is>
      </c>
      <c r="C5989" t="inlineStr">
        <is>
          <t>Föryngringsavverkning</t>
        </is>
      </c>
      <c r="D5989" s="1" t="n">
        <v>45252</v>
      </c>
      <c r="E5989" s="1" t="n">
        <v>46307</v>
      </c>
      <c r="F5989" t="inlineStr">
        <is>
          <t>VÄRMLANDS LÄN</t>
        </is>
      </c>
      <c r="G5989" t="inlineStr">
        <is>
          <t>KARLSTAD</t>
        </is>
      </c>
      <c r="I5989" t="n">
        <v>21.7</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15912-2025</t>
        </is>
      </c>
      <c r="B5990" t="inlineStr">
        <is>
          <t>avverkningsanmälan</t>
        </is>
      </c>
      <c r="C5990" t="inlineStr">
        <is>
          <t>Föryngringsavverkning</t>
        </is>
      </c>
      <c r="D5990" s="1" t="n">
        <v>45749</v>
      </c>
      <c r="E5990" s="1" t="n">
        <v>46307</v>
      </c>
      <c r="F5990" t="inlineStr">
        <is>
          <t>VÄRMLANDS LÄN</t>
        </is>
      </c>
      <c r="G5990" t="inlineStr">
        <is>
          <t>SUNNE</t>
        </is>
      </c>
      <c r="I5990" t="n">
        <v>0.6</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15954-2025</t>
        </is>
      </c>
      <c r="B5991" t="inlineStr">
        <is>
          <t>avverkningsanmälan</t>
        </is>
      </c>
      <c r="C5991" t="inlineStr">
        <is>
          <t>Föryngringsavverkning</t>
        </is>
      </c>
      <c r="D5991" s="1" t="n">
        <v>45749</v>
      </c>
      <c r="E5991" s="1" t="n">
        <v>46307</v>
      </c>
      <c r="F5991" t="inlineStr">
        <is>
          <t>VÄRMLANDS LÄN</t>
        </is>
      </c>
      <c r="G5991" t="inlineStr">
        <is>
          <t>ÅRJÄNG</t>
        </is>
      </c>
      <c r="H5991" t="inlineStr">
        <is>
          <t>Bergvik skog väst AB</t>
        </is>
      </c>
      <c r="I5991" t="n">
        <v>4.2</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34316-2025</t>
        </is>
      </c>
      <c r="B5992" t="inlineStr">
        <is>
          <t>avverkningsanmälan</t>
        </is>
      </c>
      <c r="C5992" t="inlineStr">
        <is>
          <t>Föryngringsavverkning</t>
        </is>
      </c>
      <c r="D5992" s="1" t="n">
        <v>45846</v>
      </c>
      <c r="E5992" s="1" t="n">
        <v>46307</v>
      </c>
      <c r="F5992" t="inlineStr">
        <is>
          <t>VÄRMLANDS LÄN</t>
        </is>
      </c>
      <c r="G5992" t="inlineStr">
        <is>
          <t>ARVIKA</t>
        </is>
      </c>
      <c r="H5992" t="inlineStr">
        <is>
          <t>Bergvik skog väst AB</t>
        </is>
      </c>
      <c r="I5992" t="n">
        <v>14</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30180-2022</t>
        </is>
      </c>
      <c r="B5993" t="inlineStr">
        <is>
          <t>avverkningsanmälan</t>
        </is>
      </c>
      <c r="C5993" t="inlineStr">
        <is>
          <t>Föryngringsavverkning</t>
        </is>
      </c>
      <c r="D5993" s="1" t="n">
        <v>44757</v>
      </c>
      <c r="E5993" s="1" t="n">
        <v>46307</v>
      </c>
      <c r="F5993" t="inlineStr">
        <is>
          <t>VÄRMLANDS LÄN</t>
        </is>
      </c>
      <c r="G5993" t="inlineStr">
        <is>
          <t>HAGFORS</t>
        </is>
      </c>
      <c r="H5993" t="inlineStr">
        <is>
          <t>Bergvik skog väst AB</t>
        </is>
      </c>
      <c r="I5993" t="n">
        <v>3</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27088-2022</t>
        </is>
      </c>
      <c r="B5994" t="inlineStr">
        <is>
          <t>avverkningsanmälan</t>
        </is>
      </c>
      <c r="C5994" t="inlineStr">
        <is>
          <t>Föryngringsavverkning</t>
        </is>
      </c>
      <c r="D5994" s="1" t="n">
        <v>44741</v>
      </c>
      <c r="E5994" s="1" t="n">
        <v>46307</v>
      </c>
      <c r="F5994" t="inlineStr">
        <is>
          <t>VÄRMLANDS LÄN</t>
        </is>
      </c>
      <c r="G5994" t="inlineStr">
        <is>
          <t>SUNNE</t>
        </is>
      </c>
      <c r="I5994" t="n">
        <v>1.4</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34285-2025</t>
        </is>
      </c>
      <c r="B5995" t="inlineStr">
        <is>
          <t>avverkningsanmälan</t>
        </is>
      </c>
      <c r="C5995" t="inlineStr">
        <is>
          <t>Föryngringsavverkning</t>
        </is>
      </c>
      <c r="D5995" s="1" t="n">
        <v>45846</v>
      </c>
      <c r="E5995" s="1" t="n">
        <v>46307</v>
      </c>
      <c r="F5995" t="inlineStr">
        <is>
          <t>VÄRMLANDS LÄN</t>
        </is>
      </c>
      <c r="G5995" t="inlineStr">
        <is>
          <t>ARVIKA</t>
        </is>
      </c>
      <c r="H5995" t="inlineStr">
        <is>
          <t>Bergvik skog väst AB</t>
        </is>
      </c>
      <c r="I5995" t="n">
        <v>1.8</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34140-2025</t>
        </is>
      </c>
      <c r="B5996" t="inlineStr">
        <is>
          <t>avverkningsanmälan</t>
        </is>
      </c>
      <c r="C5996" t="inlineStr">
        <is>
          <t>Föryngringsavverkning</t>
        </is>
      </c>
      <c r="D5996" s="1" t="n">
        <v>45845</v>
      </c>
      <c r="E5996" s="1" t="n">
        <v>46307</v>
      </c>
      <c r="F5996" t="inlineStr">
        <is>
          <t>VÄRMLANDS LÄN</t>
        </is>
      </c>
      <c r="G5996" t="inlineStr">
        <is>
          <t>TORSBY</t>
        </is>
      </c>
      <c r="I5996" t="n">
        <v>0.9</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34137-2025</t>
        </is>
      </c>
      <c r="B5997" t="inlineStr">
        <is>
          <t>avverkningsanmälan</t>
        </is>
      </c>
      <c r="C5997" t="inlineStr">
        <is>
          <t>Föryngringsavverkning</t>
        </is>
      </c>
      <c r="D5997" s="1" t="n">
        <v>45845</v>
      </c>
      <c r="E5997" s="1" t="n">
        <v>46307</v>
      </c>
      <c r="F5997" t="inlineStr">
        <is>
          <t>VÄRMLANDS LÄN</t>
        </is>
      </c>
      <c r="G5997" t="inlineStr">
        <is>
          <t>TORSBY</t>
        </is>
      </c>
      <c r="I5997" t="n">
        <v>1.2</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34138-2025</t>
        </is>
      </c>
      <c r="B5998" t="inlineStr">
        <is>
          <t>avverkningsanmälan</t>
        </is>
      </c>
      <c r="C5998" t="inlineStr">
        <is>
          <t>Föryngringsavverkning</t>
        </is>
      </c>
      <c r="D5998" s="1" t="n">
        <v>45845</v>
      </c>
      <c r="E5998" s="1" t="n">
        <v>46307</v>
      </c>
      <c r="F5998" t="inlineStr">
        <is>
          <t>VÄRMLANDS LÄN</t>
        </is>
      </c>
      <c r="G5998" t="inlineStr">
        <is>
          <t>TORSBY</t>
        </is>
      </c>
      <c r="I5998" t="n">
        <v>2.7</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34146-2025</t>
        </is>
      </c>
      <c r="B5999" t="inlineStr">
        <is>
          <t>avverkningsanmälan</t>
        </is>
      </c>
      <c r="C5999" t="inlineStr">
        <is>
          <t>Föryngringsavverkning</t>
        </is>
      </c>
      <c r="D5999" s="1" t="n">
        <v>45845</v>
      </c>
      <c r="E5999" s="1" t="n">
        <v>46307</v>
      </c>
      <c r="F5999" t="inlineStr">
        <is>
          <t>VÄRMLANDS LÄN</t>
        </is>
      </c>
      <c r="G5999" t="inlineStr">
        <is>
          <t>TORSBY</t>
        </is>
      </c>
      <c r="I5999" t="n">
        <v>0.6</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54155-2024</t>
        </is>
      </c>
      <c r="B6000" t="inlineStr">
        <is>
          <t>avverkningsanmälan</t>
        </is>
      </c>
      <c r="C6000" t="inlineStr">
        <is>
          <t>Föryngringsavverkning</t>
        </is>
      </c>
      <c r="D6000" s="1" t="n">
        <v>45616</v>
      </c>
      <c r="E6000" s="1" t="n">
        <v>46307</v>
      </c>
      <c r="F6000" t="inlineStr">
        <is>
          <t>VÄRMLANDS LÄN</t>
        </is>
      </c>
      <c r="G6000" t="inlineStr">
        <is>
          <t>ARVIKA</t>
        </is>
      </c>
      <c r="H6000" t="inlineStr">
        <is>
          <t>Bergvik skog väst AB</t>
        </is>
      </c>
      <c r="I6000" t="n">
        <v>1</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65085-2023</t>
        </is>
      </c>
      <c r="B6001" t="inlineStr">
        <is>
          <t>avverkningsanmälan</t>
        </is>
      </c>
      <c r="C6001" t="inlineStr">
        <is>
          <t>Föryngringsavverkning</t>
        </is>
      </c>
      <c r="D6001" s="1" t="n">
        <v>45288</v>
      </c>
      <c r="E6001" s="1" t="n">
        <v>46307</v>
      </c>
      <c r="F6001" t="inlineStr">
        <is>
          <t>VÄRMLANDS LÄN</t>
        </is>
      </c>
      <c r="G6001" t="inlineStr">
        <is>
          <t>KARLSTAD</t>
        </is>
      </c>
      <c r="I6001" t="n">
        <v>0.9</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57293-2024</t>
        </is>
      </c>
      <c r="B6002" t="inlineStr">
        <is>
          <t>avverkningsanmälan</t>
        </is>
      </c>
      <c r="C6002" t="inlineStr">
        <is>
          <t>Föryngringsavverkning</t>
        </is>
      </c>
      <c r="D6002" s="1" t="n">
        <v>45629</v>
      </c>
      <c r="E6002" s="1" t="n">
        <v>46307</v>
      </c>
      <c r="F6002" t="inlineStr">
        <is>
          <t>VÄRMLANDS LÄN</t>
        </is>
      </c>
      <c r="G6002" t="inlineStr">
        <is>
          <t>EDA</t>
        </is>
      </c>
      <c r="I6002" t="n">
        <v>0.9</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57322-2024</t>
        </is>
      </c>
      <c r="B6003" t="inlineStr">
        <is>
          <t>avverkningsanmälan</t>
        </is>
      </c>
      <c r="C6003" t="inlineStr">
        <is>
          <t>Föryngringsavverkning</t>
        </is>
      </c>
      <c r="D6003" s="1" t="n">
        <v>45629</v>
      </c>
      <c r="E6003" s="1" t="n">
        <v>46307</v>
      </c>
      <c r="F6003" t="inlineStr">
        <is>
          <t>VÄRMLANDS LÄN</t>
        </is>
      </c>
      <c r="G6003" t="inlineStr">
        <is>
          <t>KARLSTAD</t>
        </is>
      </c>
      <c r="I6003" t="n">
        <v>1.3</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34148-2025</t>
        </is>
      </c>
      <c r="B6004" t="inlineStr">
        <is>
          <t>avverkningsanmälan</t>
        </is>
      </c>
      <c r="C6004" t="inlineStr">
        <is>
          <t>Föryngringsavverkning</t>
        </is>
      </c>
      <c r="D6004" s="1" t="n">
        <v>45844</v>
      </c>
      <c r="E6004" s="1" t="n">
        <v>46307</v>
      </c>
      <c r="F6004" t="inlineStr">
        <is>
          <t>VÄRMLANDS LÄN</t>
        </is>
      </c>
      <c r="G6004" t="inlineStr">
        <is>
          <t>ÅRJÄNG</t>
        </is>
      </c>
      <c r="I6004" t="n">
        <v>1.2</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35969-2022</t>
        </is>
      </c>
      <c r="B6005" t="inlineStr">
        <is>
          <t>avverkningsanmälan</t>
        </is>
      </c>
      <c r="C6005" t="inlineStr">
        <is>
          <t>Föryngringsavverkning</t>
        </is>
      </c>
      <c r="D6005" s="1" t="n">
        <v>44802</v>
      </c>
      <c r="E6005" s="1" t="n">
        <v>46307</v>
      </c>
      <c r="F6005" t="inlineStr">
        <is>
          <t>VÄRMLANDS LÄN</t>
        </is>
      </c>
      <c r="G6005" t="inlineStr">
        <is>
          <t>ARVIKA</t>
        </is>
      </c>
      <c r="I6005" t="n">
        <v>2.2</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21790-2023</t>
        </is>
      </c>
      <c r="B6006" t="inlineStr">
        <is>
          <t>avverkningsanmälan</t>
        </is>
      </c>
      <c r="C6006" t="inlineStr">
        <is>
          <t>Avverkning för annat ändamål</t>
        </is>
      </c>
      <c r="D6006" s="1" t="n">
        <v>45067</v>
      </c>
      <c r="E6006" s="1" t="n">
        <v>46307</v>
      </c>
      <c r="F6006" t="inlineStr">
        <is>
          <t>VÄRMLANDS LÄN</t>
        </is>
      </c>
      <c r="G6006" t="inlineStr">
        <is>
          <t>TORSBY</t>
        </is>
      </c>
      <c r="H6006" t="inlineStr">
        <is>
          <t>Övriga statliga verk och myndigheter</t>
        </is>
      </c>
      <c r="I6006" t="n">
        <v>1.1</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55622-2025</t>
        </is>
      </c>
      <c r="B6007" t="inlineStr">
        <is>
          <t>avverkningsanmälan</t>
        </is>
      </c>
      <c r="C6007" t="inlineStr">
        <is>
          <t>Föryngringsavverkning</t>
        </is>
      </c>
      <c r="D6007" s="1" t="n">
        <v>45971</v>
      </c>
      <c r="E6007" s="1" t="n">
        <v>46307</v>
      </c>
      <c r="F6007" t="inlineStr">
        <is>
          <t>VÄRMLANDS LÄN</t>
        </is>
      </c>
      <c r="G6007" t="inlineStr">
        <is>
          <t>TORSBY</t>
        </is>
      </c>
      <c r="H6007" t="inlineStr">
        <is>
          <t>Kyrkan</t>
        </is>
      </c>
      <c r="I6007" t="n">
        <v>19</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13286-2025</t>
        </is>
      </c>
      <c r="B6008" t="inlineStr">
        <is>
          <t>avverkningsanmälan</t>
        </is>
      </c>
      <c r="C6008" t="inlineStr">
        <is>
          <t>Föryngringsavverkning</t>
        </is>
      </c>
      <c r="D6008" s="1" t="n">
        <v>45735</v>
      </c>
      <c r="E6008" s="1" t="n">
        <v>46307</v>
      </c>
      <c r="F6008" t="inlineStr">
        <is>
          <t>VÄRMLANDS LÄN</t>
        </is>
      </c>
      <c r="G6008" t="inlineStr">
        <is>
          <t>ARVIKA</t>
        </is>
      </c>
      <c r="H6008" t="inlineStr">
        <is>
          <t>Bergvik skog väst AB</t>
        </is>
      </c>
      <c r="I6008" t="n">
        <v>0.7</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34369-2025</t>
        </is>
      </c>
      <c r="B6009" t="inlineStr">
        <is>
          <t>avverkningsanmälan</t>
        </is>
      </c>
      <c r="C6009" t="inlineStr">
        <is>
          <t>Föryngringsavverkning</t>
        </is>
      </c>
      <c r="D6009" s="1" t="n">
        <v>45846</v>
      </c>
      <c r="E6009" s="1" t="n">
        <v>46307</v>
      </c>
      <c r="F6009" t="inlineStr">
        <is>
          <t>VÄRMLANDS LÄN</t>
        </is>
      </c>
      <c r="G6009" t="inlineStr">
        <is>
          <t>ARVIKA</t>
        </is>
      </c>
      <c r="H6009" t="inlineStr">
        <is>
          <t>Bergvik skog väst AB</t>
        </is>
      </c>
      <c r="I6009" t="n">
        <v>11.6</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31247-2025</t>
        </is>
      </c>
      <c r="B6010" t="inlineStr">
        <is>
          <t>avverkningsanmälan</t>
        </is>
      </c>
      <c r="C6010" t="inlineStr">
        <is>
          <t>Avverkning för annat ändamål</t>
        </is>
      </c>
      <c r="D6010" s="1" t="n">
        <v>45832</v>
      </c>
      <c r="E6010" s="1" t="n">
        <v>46307</v>
      </c>
      <c r="F6010" t="inlineStr">
        <is>
          <t>VÄRMLANDS LÄN</t>
        </is>
      </c>
      <c r="G6010" t="inlineStr">
        <is>
          <t>SÄFFLE</t>
        </is>
      </c>
      <c r="I6010" t="n">
        <v>11.5</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37623-2023</t>
        </is>
      </c>
      <c r="B6011" t="inlineStr">
        <is>
          <t>avverkningsanmälan</t>
        </is>
      </c>
      <c r="C6011" t="inlineStr">
        <is>
          <t>Föryngringsavverkning</t>
        </is>
      </c>
      <c r="D6011" s="1" t="n">
        <v>45159</v>
      </c>
      <c r="E6011" s="1" t="n">
        <v>46307</v>
      </c>
      <c r="F6011" t="inlineStr">
        <is>
          <t>VÄRMLANDS LÄN</t>
        </is>
      </c>
      <c r="G6011" t="inlineStr">
        <is>
          <t>TORSBY</t>
        </is>
      </c>
      <c r="I6011" t="n">
        <v>1.4</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33998-2025</t>
        </is>
      </c>
      <c r="B6012" t="inlineStr">
        <is>
          <t>avverkningsanmälan</t>
        </is>
      </c>
      <c r="C6012" t="inlineStr">
        <is>
          <t>Föryngringsavverkning</t>
        </is>
      </c>
      <c r="D6012" s="1" t="n">
        <v>45843</v>
      </c>
      <c r="E6012" s="1" t="n">
        <v>46307</v>
      </c>
      <c r="F6012" t="inlineStr">
        <is>
          <t>VÄRMLANDS LÄN</t>
        </is>
      </c>
      <c r="G6012" t="inlineStr">
        <is>
          <t>ÅRJÄNG</t>
        </is>
      </c>
      <c r="H6012" t="inlineStr">
        <is>
          <t>Kyrkan</t>
        </is>
      </c>
      <c r="I6012" t="n">
        <v>2</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37676-2023</t>
        </is>
      </c>
      <c r="B6013" t="inlineStr">
        <is>
          <t>avverkningsanmälan</t>
        </is>
      </c>
      <c r="C6013" t="inlineStr">
        <is>
          <t>Avverkning för annat ändamål</t>
        </is>
      </c>
      <c r="D6013" s="1" t="n">
        <v>45159</v>
      </c>
      <c r="E6013" s="1" t="n">
        <v>46307</v>
      </c>
      <c r="F6013" t="inlineStr">
        <is>
          <t>VÄRMLANDS LÄN</t>
        </is>
      </c>
      <c r="G6013" t="inlineStr">
        <is>
          <t>GRUMS</t>
        </is>
      </c>
      <c r="I6013" t="n">
        <v>0.5</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55818-2025</t>
        </is>
      </c>
      <c r="B6014" t="inlineStr">
        <is>
          <t>avverkningsanmälan</t>
        </is>
      </c>
      <c r="C6014" t="inlineStr">
        <is>
          <t>Föryngringsavverkning</t>
        </is>
      </c>
      <c r="D6014" s="1" t="n">
        <v>45972</v>
      </c>
      <c r="E6014" s="1" t="n">
        <v>46307</v>
      </c>
      <c r="F6014" t="inlineStr">
        <is>
          <t>VÄRMLANDS LÄN</t>
        </is>
      </c>
      <c r="G6014" t="inlineStr">
        <is>
          <t>STORFORS</t>
        </is>
      </c>
      <c r="I6014" t="n">
        <v>1.7</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55528-2025</t>
        </is>
      </c>
      <c r="B6015" t="inlineStr">
        <is>
          <t>avverkningsanmälan</t>
        </is>
      </c>
      <c r="C6015" t="inlineStr">
        <is>
          <t>Föryngringsavverkning</t>
        </is>
      </c>
      <c r="D6015" s="1" t="n">
        <v>45971</v>
      </c>
      <c r="E6015" s="1" t="n">
        <v>46307</v>
      </c>
      <c r="F6015" t="inlineStr">
        <is>
          <t>VÄRMLANDS LÄN</t>
        </is>
      </c>
      <c r="G6015" t="inlineStr">
        <is>
          <t>EDA</t>
        </is>
      </c>
      <c r="I6015" t="n">
        <v>0.6</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61232-2024</t>
        </is>
      </c>
      <c r="B6016" t="inlineStr">
        <is>
          <t>avverkningsanmälan</t>
        </is>
      </c>
      <c r="C6016" t="inlineStr">
        <is>
          <t>Avverkning för att bevara och utveckla /försöksver</t>
        </is>
      </c>
      <c r="D6016" s="1" t="n">
        <v>45645</v>
      </c>
      <c r="E6016" s="1" t="n">
        <v>46307</v>
      </c>
      <c r="F6016" t="inlineStr">
        <is>
          <t>VÄRMLANDS LÄN</t>
        </is>
      </c>
      <c r="G6016" t="inlineStr">
        <is>
          <t>HAGFORS</t>
        </is>
      </c>
      <c r="H6016" t="inlineStr">
        <is>
          <t>Bergvik skog väst AB</t>
        </is>
      </c>
      <c r="I6016" t="n">
        <v>6.4</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55910-2025</t>
        </is>
      </c>
      <c r="B6017" t="inlineStr">
        <is>
          <t>avverkningsanmälan</t>
        </is>
      </c>
      <c r="C6017" t="inlineStr">
        <is>
          <t>Föryngringsavverkning</t>
        </is>
      </c>
      <c r="D6017" s="1" t="n">
        <v>45972</v>
      </c>
      <c r="E6017" s="1" t="n">
        <v>46307</v>
      </c>
      <c r="F6017" t="inlineStr">
        <is>
          <t>VÄRMLANDS LÄN</t>
        </is>
      </c>
      <c r="G6017" t="inlineStr">
        <is>
          <t>KARLSTAD</t>
        </is>
      </c>
      <c r="I6017" t="n">
        <v>2.4</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34268-2025</t>
        </is>
      </c>
      <c r="B6018" t="inlineStr">
        <is>
          <t>avverkningsanmälan</t>
        </is>
      </c>
      <c r="C6018" t="inlineStr">
        <is>
          <t>Föryngringsavverkning</t>
        </is>
      </c>
      <c r="D6018" s="1" t="n">
        <v>45845</v>
      </c>
      <c r="E6018" s="1" t="n">
        <v>46307</v>
      </c>
      <c r="F6018" t="inlineStr">
        <is>
          <t>VÄRMLANDS LÄN</t>
        </is>
      </c>
      <c r="G6018" t="inlineStr">
        <is>
          <t>TORSBY</t>
        </is>
      </c>
      <c r="H6018" t="inlineStr">
        <is>
          <t>Bergvik skog väst AB</t>
        </is>
      </c>
      <c r="I6018" t="n">
        <v>19.7</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26189-2024</t>
        </is>
      </c>
      <c r="B6019" t="inlineStr">
        <is>
          <t>avverkningsanmälan</t>
        </is>
      </c>
      <c r="C6019" t="inlineStr">
        <is>
          <t>Föryngringsavverkning</t>
        </is>
      </c>
      <c r="D6019" s="1" t="n">
        <v>45468</v>
      </c>
      <c r="E6019" s="1" t="n">
        <v>46307</v>
      </c>
      <c r="F6019" t="inlineStr">
        <is>
          <t>VÄRMLANDS LÄN</t>
        </is>
      </c>
      <c r="G6019" t="inlineStr">
        <is>
          <t>STORFORS</t>
        </is>
      </c>
      <c r="H6019" t="inlineStr">
        <is>
          <t>Bergvik skog väst AB</t>
        </is>
      </c>
      <c r="I6019" t="n">
        <v>2</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33454-2025</t>
        </is>
      </c>
      <c r="B6020" t="inlineStr">
        <is>
          <t>avverkningsanmälan</t>
        </is>
      </c>
      <c r="C6020" t="inlineStr">
        <is>
          <t>Föryngringsavverkning</t>
        </is>
      </c>
      <c r="D6020" s="1" t="n">
        <v>45841</v>
      </c>
      <c r="E6020" s="1" t="n">
        <v>46307</v>
      </c>
      <c r="F6020" t="inlineStr">
        <is>
          <t>VÄRMLANDS LÄN</t>
        </is>
      </c>
      <c r="G6020" t="inlineStr">
        <is>
          <t>HAGFORS</t>
        </is>
      </c>
      <c r="H6020" t="inlineStr">
        <is>
          <t>Bergvik skog väst AB</t>
        </is>
      </c>
      <c r="I6020" t="n">
        <v>6.1</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8281-2023</t>
        </is>
      </c>
      <c r="B6021" t="inlineStr">
        <is>
          <t>avverkningsanmälan</t>
        </is>
      </c>
      <c r="C6021" t="inlineStr">
        <is>
          <t>Föryngringsavverkning</t>
        </is>
      </c>
      <c r="D6021" s="1" t="n">
        <v>44974</v>
      </c>
      <c r="E6021" s="1" t="n">
        <v>46307</v>
      </c>
      <c r="F6021" t="inlineStr">
        <is>
          <t>VÄRMLANDS LÄN</t>
        </is>
      </c>
      <c r="G6021" t="inlineStr">
        <is>
          <t>TORSBY</t>
        </is>
      </c>
      <c r="I6021" t="n">
        <v>1.9</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55519-2025</t>
        </is>
      </c>
      <c r="B6022" t="inlineStr">
        <is>
          <t>avverkningsanmälan</t>
        </is>
      </c>
      <c r="C6022" t="inlineStr">
        <is>
          <t>Föryngringsavverkning</t>
        </is>
      </c>
      <c r="D6022" s="1" t="n">
        <v>45971</v>
      </c>
      <c r="E6022" s="1" t="n">
        <v>46307</v>
      </c>
      <c r="F6022" t="inlineStr">
        <is>
          <t>VÄRMLANDS LÄN</t>
        </is>
      </c>
      <c r="G6022" t="inlineStr">
        <is>
          <t>HAGFORS</t>
        </is>
      </c>
      <c r="H6022" t="inlineStr">
        <is>
          <t>Bergvik skog väst AB</t>
        </is>
      </c>
      <c r="I6022" t="n">
        <v>4.1</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40612-2023</t>
        </is>
      </c>
      <c r="B6023" t="inlineStr">
        <is>
          <t>avverkningsanmälan</t>
        </is>
      </c>
      <c r="C6023" t="inlineStr">
        <is>
          <t>Föryngringsavverkning</t>
        </is>
      </c>
      <c r="D6023" s="1" t="n">
        <v>45170</v>
      </c>
      <c r="E6023" s="1" t="n">
        <v>46307</v>
      </c>
      <c r="F6023" t="inlineStr">
        <is>
          <t>VÄRMLANDS LÄN</t>
        </is>
      </c>
      <c r="G6023" t="inlineStr">
        <is>
          <t>SUNNE</t>
        </is>
      </c>
      <c r="I6023" t="n">
        <v>2.1</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687-2024</t>
        </is>
      </c>
      <c r="B6024" t="inlineStr">
        <is>
          <t>avverkningsanmälan</t>
        </is>
      </c>
      <c r="C6024" t="inlineStr">
        <is>
          <t>Föryngringsavverkning</t>
        </is>
      </c>
      <c r="D6024" s="1" t="n">
        <v>45300</v>
      </c>
      <c r="E6024" s="1" t="n">
        <v>46307</v>
      </c>
      <c r="F6024" t="inlineStr">
        <is>
          <t>VÄRMLANDS LÄN</t>
        </is>
      </c>
      <c r="G6024" t="inlineStr">
        <is>
          <t>ÅRJÄNG</t>
        </is>
      </c>
      <c r="I6024" t="n">
        <v>1.1</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34107-2025</t>
        </is>
      </c>
      <c r="B6025" t="inlineStr">
        <is>
          <t>avverkningsanmälan</t>
        </is>
      </c>
      <c r="C6025" t="inlineStr">
        <is>
          <t>Föryngringsavverkning</t>
        </is>
      </c>
      <c r="D6025" s="1" t="n">
        <v>45845</v>
      </c>
      <c r="E6025" s="1" t="n">
        <v>46307</v>
      </c>
      <c r="F6025" t="inlineStr">
        <is>
          <t>VÄRMLANDS LÄN</t>
        </is>
      </c>
      <c r="G6025" t="inlineStr">
        <is>
          <t>HAGFORS</t>
        </is>
      </c>
      <c r="I6025" t="n">
        <v>0.5</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34133-2025</t>
        </is>
      </c>
      <c r="B6026" t="inlineStr">
        <is>
          <t>avverkningsanmälan</t>
        </is>
      </c>
      <c r="C6026" t="inlineStr">
        <is>
          <t>Föryngringsavverkning</t>
        </is>
      </c>
      <c r="D6026" s="1" t="n">
        <v>45845</v>
      </c>
      <c r="E6026" s="1" t="n">
        <v>46307</v>
      </c>
      <c r="F6026" t="inlineStr">
        <is>
          <t>VÄRMLANDS LÄN</t>
        </is>
      </c>
      <c r="G6026" t="inlineStr">
        <is>
          <t>HAGFORS</t>
        </is>
      </c>
      <c r="I6026" t="n">
        <v>3.5</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34149-2025</t>
        </is>
      </c>
      <c r="B6027" t="inlineStr">
        <is>
          <t>avverkningsanmälan</t>
        </is>
      </c>
      <c r="C6027" t="inlineStr">
        <is>
          <t>Föryngringsavverkning</t>
        </is>
      </c>
      <c r="D6027" s="1" t="n">
        <v>45845</v>
      </c>
      <c r="E6027" s="1" t="n">
        <v>46307</v>
      </c>
      <c r="F6027" t="inlineStr">
        <is>
          <t>VÄRMLANDS LÄN</t>
        </is>
      </c>
      <c r="G6027" t="inlineStr">
        <is>
          <t>HAGFORS</t>
        </is>
      </c>
      <c r="I6027" t="n">
        <v>1.4</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34008-2025</t>
        </is>
      </c>
      <c r="B6028" t="inlineStr">
        <is>
          <t>avverkningsanmälan</t>
        </is>
      </c>
      <c r="C6028" t="inlineStr">
        <is>
          <t>Avverkning för annat ändamål</t>
        </is>
      </c>
      <c r="D6028" s="1" t="n">
        <v>45844</v>
      </c>
      <c r="E6028" s="1" t="n">
        <v>46307</v>
      </c>
      <c r="F6028" t="inlineStr">
        <is>
          <t>VÄRMLANDS LÄN</t>
        </is>
      </c>
      <c r="G6028" t="inlineStr">
        <is>
          <t>SUNNE</t>
        </is>
      </c>
      <c r="I6028" t="n">
        <v>0.4</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34009-2025</t>
        </is>
      </c>
      <c r="B6029" t="inlineStr">
        <is>
          <t>avverkningsanmälan</t>
        </is>
      </c>
      <c r="C6029" t="inlineStr">
        <is>
          <t>Avverkning för annat ändamål</t>
        </is>
      </c>
      <c r="D6029" s="1" t="n">
        <v>45844</v>
      </c>
      <c r="E6029" s="1" t="n">
        <v>46307</v>
      </c>
      <c r="F6029" t="inlineStr">
        <is>
          <t>VÄRMLANDS LÄN</t>
        </is>
      </c>
      <c r="G6029" t="inlineStr">
        <is>
          <t>SUNNE</t>
        </is>
      </c>
      <c r="I6029" t="n">
        <v>0.2</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53202-2023</t>
        </is>
      </c>
      <c r="B6030" t="inlineStr">
        <is>
          <t>avverkningsanmälan</t>
        </is>
      </c>
      <c r="C6030" t="inlineStr">
        <is>
          <t>Avverkning för annat ändamål</t>
        </is>
      </c>
      <c r="D6030" s="1" t="n">
        <v>45229</v>
      </c>
      <c r="E6030" s="1" t="n">
        <v>46307</v>
      </c>
      <c r="F6030" t="inlineStr">
        <is>
          <t>VÄRMLANDS LÄN</t>
        </is>
      </c>
      <c r="G6030" t="inlineStr">
        <is>
          <t>STORFORS</t>
        </is>
      </c>
      <c r="I6030" t="n">
        <v>7.6</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53210-2023</t>
        </is>
      </c>
      <c r="B6031" t="inlineStr">
        <is>
          <t>avverkningsanmälan</t>
        </is>
      </c>
      <c r="C6031" t="inlineStr">
        <is>
          <t>Föryngringsavverkning</t>
        </is>
      </c>
      <c r="D6031" s="1" t="n">
        <v>45222</v>
      </c>
      <c r="E6031" s="1" t="n">
        <v>46307</v>
      </c>
      <c r="F6031" t="inlineStr">
        <is>
          <t>VÄRMLANDS LÄN</t>
        </is>
      </c>
      <c r="G6031" t="inlineStr">
        <is>
          <t>FILIPSTAD</t>
        </is>
      </c>
      <c r="I6031" t="n">
        <v>4.9</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711-2024</t>
        </is>
      </c>
      <c r="B6032" t="inlineStr">
        <is>
          <t>avverkningsanmälan</t>
        </is>
      </c>
      <c r="C6032" t="inlineStr">
        <is>
          <t>Avverkning för annat ändamål</t>
        </is>
      </c>
      <c r="D6032" s="1" t="n">
        <v>45300</v>
      </c>
      <c r="E6032" s="1" t="n">
        <v>46307</v>
      </c>
      <c r="F6032" t="inlineStr">
        <is>
          <t>VÄRMLANDS LÄN</t>
        </is>
      </c>
      <c r="G6032" t="inlineStr">
        <is>
          <t>EDA</t>
        </is>
      </c>
      <c r="I6032" t="n">
        <v>0.7</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713-2024</t>
        </is>
      </c>
      <c r="B6033" t="inlineStr">
        <is>
          <t>avverkningsanmälan</t>
        </is>
      </c>
      <c r="C6033" t="inlineStr">
        <is>
          <t>Föryngringsavverkning</t>
        </is>
      </c>
      <c r="D6033" s="1" t="n">
        <v>45300</v>
      </c>
      <c r="E6033" s="1" t="n">
        <v>46307</v>
      </c>
      <c r="F6033" t="inlineStr">
        <is>
          <t>VÄRMLANDS LÄN</t>
        </is>
      </c>
      <c r="G6033" t="inlineStr">
        <is>
          <t>ÅRJÄNG</t>
        </is>
      </c>
      <c r="H6033" t="inlineStr">
        <is>
          <t>Kyrkan</t>
        </is>
      </c>
      <c r="I6033" t="n">
        <v>4.4</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34164-2025</t>
        </is>
      </c>
      <c r="B6034" t="inlineStr">
        <is>
          <t>avverkningsanmälan</t>
        </is>
      </c>
      <c r="C6034" t="inlineStr">
        <is>
          <t>Föryngringsavverkning</t>
        </is>
      </c>
      <c r="D6034" s="1" t="n">
        <v>45845</v>
      </c>
      <c r="E6034" s="1" t="n">
        <v>46307</v>
      </c>
      <c r="F6034" t="inlineStr">
        <is>
          <t>VÄRMLANDS LÄN</t>
        </is>
      </c>
      <c r="G6034" t="inlineStr">
        <is>
          <t>SUNNE</t>
        </is>
      </c>
      <c r="I6034" t="n">
        <v>0.8</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13784-2024</t>
        </is>
      </c>
      <c r="B6035" t="inlineStr">
        <is>
          <t>avverkningsanmälan</t>
        </is>
      </c>
      <c r="C6035" t="inlineStr">
        <is>
          <t>Föryngringsavverkning</t>
        </is>
      </c>
      <c r="D6035" s="1" t="n">
        <v>45391</v>
      </c>
      <c r="E6035" s="1" t="n">
        <v>46307</v>
      </c>
      <c r="F6035" t="inlineStr">
        <is>
          <t>VÄRMLANDS LÄN</t>
        </is>
      </c>
      <c r="G6035" t="inlineStr">
        <is>
          <t>ÅRJÄNG</t>
        </is>
      </c>
      <c r="I6035" t="n">
        <v>2.1</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8361-2025</t>
        </is>
      </c>
      <c r="B6036" t="inlineStr">
        <is>
          <t>avverkningsanmälan</t>
        </is>
      </c>
      <c r="C6036" t="inlineStr">
        <is>
          <t>Föryngringsavverkning</t>
        </is>
      </c>
      <c r="D6036" s="1" t="n">
        <v>45708</v>
      </c>
      <c r="E6036" s="1" t="n">
        <v>46307</v>
      </c>
      <c r="F6036" t="inlineStr">
        <is>
          <t>VÄRMLANDS LÄN</t>
        </is>
      </c>
      <c r="G6036" t="inlineStr">
        <is>
          <t>GRUMS</t>
        </is>
      </c>
      <c r="I6036" t="n">
        <v>2.3</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28382-2022</t>
        </is>
      </c>
      <c r="B6037" t="inlineStr">
        <is>
          <t>avverkningsanmälan</t>
        </is>
      </c>
      <c r="C6037" t="inlineStr">
        <is>
          <t>Föryngringsavverkning</t>
        </is>
      </c>
      <c r="D6037" s="1" t="n">
        <v>44747</v>
      </c>
      <c r="E6037" s="1" t="n">
        <v>46307</v>
      </c>
      <c r="F6037" t="inlineStr">
        <is>
          <t>VÄRMLANDS LÄN</t>
        </is>
      </c>
      <c r="G6037" t="inlineStr">
        <is>
          <t>ÅRJÄNG</t>
        </is>
      </c>
      <c r="H6037" t="inlineStr">
        <is>
          <t>Naturvårdsverket</t>
        </is>
      </c>
      <c r="I6037" t="n">
        <v>1</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34179-2025</t>
        </is>
      </c>
      <c r="B6038" t="inlineStr">
        <is>
          <t>avverkningsanmälan</t>
        </is>
      </c>
      <c r="C6038" t="inlineStr">
        <is>
          <t>Föryngringsavverkning</t>
        </is>
      </c>
      <c r="D6038" s="1" t="n">
        <v>45845</v>
      </c>
      <c r="E6038" s="1" t="n">
        <v>46307</v>
      </c>
      <c r="F6038" t="inlineStr">
        <is>
          <t>VÄRMLANDS LÄN</t>
        </is>
      </c>
      <c r="G6038" t="inlineStr">
        <is>
          <t>TORSBY</t>
        </is>
      </c>
      <c r="I6038" t="n">
        <v>0.5</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28439-2022</t>
        </is>
      </c>
      <c r="B6039" t="inlineStr">
        <is>
          <t>avverkningsanmälan</t>
        </is>
      </c>
      <c r="C6039" t="inlineStr">
        <is>
          <t>Föryngringsavverkning</t>
        </is>
      </c>
      <c r="D6039" s="1" t="n">
        <v>44747</v>
      </c>
      <c r="E6039" s="1" t="n">
        <v>46307</v>
      </c>
      <c r="F6039" t="inlineStr">
        <is>
          <t>VÄRMLANDS LÄN</t>
        </is>
      </c>
      <c r="G6039" t="inlineStr">
        <is>
          <t>ÅRJÄNG</t>
        </is>
      </c>
      <c r="I6039" t="n">
        <v>8.699999999999999</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18439-2025</t>
        </is>
      </c>
      <c r="B6040" t="inlineStr">
        <is>
          <t>avverkningsanmälan</t>
        </is>
      </c>
      <c r="C6040" t="inlineStr">
        <is>
          <t>Föryngringsavverkning</t>
        </is>
      </c>
      <c r="D6040" s="1" t="n">
        <v>45762</v>
      </c>
      <c r="E6040" s="1" t="n">
        <v>46307</v>
      </c>
      <c r="F6040" t="inlineStr">
        <is>
          <t>VÄRMLANDS LÄN</t>
        </is>
      </c>
      <c r="G6040" t="inlineStr">
        <is>
          <t>FORSHAGA</t>
        </is>
      </c>
      <c r="H6040" t="inlineStr">
        <is>
          <t>Bergvik skog väst AB</t>
        </is>
      </c>
      <c r="I6040" t="n">
        <v>1.2</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47398-2023</t>
        </is>
      </c>
      <c r="B6041" t="inlineStr">
        <is>
          <t>avverkningsanmälan</t>
        </is>
      </c>
      <c r="C6041" t="inlineStr">
        <is>
          <t>Föryngringsavverkning</t>
        </is>
      </c>
      <c r="D6041" s="1" t="n">
        <v>45202</v>
      </c>
      <c r="E6041" s="1" t="n">
        <v>46307</v>
      </c>
      <c r="F6041" t="inlineStr">
        <is>
          <t>VÄRMLANDS LÄN</t>
        </is>
      </c>
      <c r="G6041" t="inlineStr">
        <is>
          <t>KRISTINEHAMN</t>
        </is>
      </c>
      <c r="I6041" t="n">
        <v>2.8</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9261-2024</t>
        </is>
      </c>
      <c r="B6042" t="inlineStr">
        <is>
          <t>avverkningsanmälan</t>
        </is>
      </c>
      <c r="C6042" t="inlineStr">
        <is>
          <t>Avverkning för annat ändamål</t>
        </is>
      </c>
      <c r="D6042" s="1" t="n">
        <v>45358</v>
      </c>
      <c r="E6042" s="1" t="n">
        <v>46307</v>
      </c>
      <c r="F6042" t="inlineStr">
        <is>
          <t>VÄRMLANDS LÄN</t>
        </is>
      </c>
      <c r="G6042" t="inlineStr">
        <is>
          <t>SÄFFLE</t>
        </is>
      </c>
      <c r="I6042" t="n">
        <v>6</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55419-2025</t>
        </is>
      </c>
      <c r="B6043" t="inlineStr">
        <is>
          <t>avverkningsanmälan</t>
        </is>
      </c>
      <c r="C6043" t="inlineStr">
        <is>
          <t>Föryngringsavverkning</t>
        </is>
      </c>
      <c r="D6043" s="1" t="n">
        <v>45971</v>
      </c>
      <c r="E6043" s="1" t="n">
        <v>46307</v>
      </c>
      <c r="F6043" t="inlineStr">
        <is>
          <t>VÄRMLANDS LÄN</t>
        </is>
      </c>
      <c r="G6043" t="inlineStr">
        <is>
          <t>KARLSTAD</t>
        </is>
      </c>
      <c r="I6043" t="n">
        <v>5</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6930-2025</t>
        </is>
      </c>
      <c r="B6044" t="inlineStr">
        <is>
          <t>avverkningsanmälan</t>
        </is>
      </c>
      <c r="C6044" t="inlineStr">
        <is>
          <t>Föryngringsavverkning</t>
        </is>
      </c>
      <c r="D6044" s="1" t="n">
        <v>45701</v>
      </c>
      <c r="E6044" s="1" t="n">
        <v>46307</v>
      </c>
      <c r="F6044" t="inlineStr">
        <is>
          <t>VÄRMLANDS LÄN</t>
        </is>
      </c>
      <c r="G6044" t="inlineStr">
        <is>
          <t>SUNNE</t>
        </is>
      </c>
      <c r="I6044" t="n">
        <v>1.6</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68153-2021</t>
        </is>
      </c>
      <c r="B6045" t="inlineStr">
        <is>
          <t>avverkningsanmälan</t>
        </is>
      </c>
      <c r="C6045" t="inlineStr">
        <is>
          <t>Föryngringsavverkning</t>
        </is>
      </c>
      <c r="D6045" s="1" t="n">
        <v>44526</v>
      </c>
      <c r="E6045" s="1" t="n">
        <v>46307</v>
      </c>
      <c r="F6045" t="inlineStr">
        <is>
          <t>VÄRMLANDS LÄN</t>
        </is>
      </c>
      <c r="G6045" t="inlineStr">
        <is>
          <t>TORSBY</t>
        </is>
      </c>
      <c r="I6045" t="n">
        <v>1</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6933-2025</t>
        </is>
      </c>
      <c r="B6046" t="inlineStr">
        <is>
          <t>avverkningsanmälan</t>
        </is>
      </c>
      <c r="C6046" t="inlineStr">
        <is>
          <t>Föryngringsavverkning</t>
        </is>
      </c>
      <c r="D6046" s="1" t="n">
        <v>45701</v>
      </c>
      <c r="E6046" s="1" t="n">
        <v>46307</v>
      </c>
      <c r="F6046" t="inlineStr">
        <is>
          <t>VÄRMLANDS LÄN</t>
        </is>
      </c>
      <c r="G6046" t="inlineStr">
        <is>
          <t>KRISTINEHAMN</t>
        </is>
      </c>
      <c r="H6046" t="inlineStr">
        <is>
          <t>Naturvårdsverket</t>
        </is>
      </c>
      <c r="I6046" t="n">
        <v>1.6</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28091-2025</t>
        </is>
      </c>
      <c r="B6047" t="inlineStr">
        <is>
          <t>avverkningsanmälan</t>
        </is>
      </c>
      <c r="C6047" t="inlineStr">
        <is>
          <t>Föryngringsavverkning</t>
        </is>
      </c>
      <c r="D6047" s="1" t="n">
        <v>45817</v>
      </c>
      <c r="E6047" s="1" t="n">
        <v>46307</v>
      </c>
      <c r="F6047" t="inlineStr">
        <is>
          <t>VÄRMLANDS LÄN</t>
        </is>
      </c>
      <c r="G6047" t="inlineStr">
        <is>
          <t>EDA</t>
        </is>
      </c>
      <c r="I6047" t="n">
        <v>0.9</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34249-2025</t>
        </is>
      </c>
      <c r="B6048" t="inlineStr">
        <is>
          <t>avverkningsanmälan</t>
        </is>
      </c>
      <c r="C6048" t="inlineStr">
        <is>
          <t>Avverkning för annat ändamål</t>
        </is>
      </c>
      <c r="D6048" s="1" t="n">
        <v>45845</v>
      </c>
      <c r="E6048" s="1" t="n">
        <v>46307</v>
      </c>
      <c r="F6048" t="inlineStr">
        <is>
          <t>VÄRMLANDS LÄN</t>
        </is>
      </c>
      <c r="G6048" t="inlineStr">
        <is>
          <t>SUNNE</t>
        </is>
      </c>
      <c r="I6048" t="n">
        <v>0.3</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56391-2025</t>
        </is>
      </c>
      <c r="B6049" t="inlineStr">
        <is>
          <t>avverkningsanmälan</t>
        </is>
      </c>
      <c r="C6049" t="inlineStr">
        <is>
          <t>Föryngringsavverkning</t>
        </is>
      </c>
      <c r="D6049" s="1" t="n">
        <v>45974</v>
      </c>
      <c r="E6049" s="1" t="n">
        <v>46307</v>
      </c>
      <c r="F6049" t="inlineStr">
        <is>
          <t>VÄRMLANDS LÄN</t>
        </is>
      </c>
      <c r="G6049" t="inlineStr">
        <is>
          <t>SUNNE</t>
        </is>
      </c>
      <c r="I6049" t="n">
        <v>1.4</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56086-2025</t>
        </is>
      </c>
      <c r="B6050" t="inlineStr">
        <is>
          <t>avverkningsanmälan</t>
        </is>
      </c>
      <c r="C6050" t="inlineStr">
        <is>
          <t>Föryngringsavverkning</t>
        </is>
      </c>
      <c r="D6050" s="1" t="n">
        <v>45973</v>
      </c>
      <c r="E6050" s="1" t="n">
        <v>46307</v>
      </c>
      <c r="F6050" t="inlineStr">
        <is>
          <t>VÄRMLANDS LÄN</t>
        </is>
      </c>
      <c r="G6050" t="inlineStr">
        <is>
          <t>FILIPSTAD</t>
        </is>
      </c>
      <c r="H6050" t="inlineStr">
        <is>
          <t>Bergvik skog väst AB</t>
        </is>
      </c>
      <c r="I6050" t="n">
        <v>2.1</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6978-2025</t>
        </is>
      </c>
      <c r="B6051" t="inlineStr">
        <is>
          <t>avverkningsanmälan</t>
        </is>
      </c>
      <c r="C6051" t="inlineStr">
        <is>
          <t>Föryngringsavverkning</t>
        </is>
      </c>
      <c r="D6051" s="1" t="n">
        <v>45701</v>
      </c>
      <c r="E6051" s="1" t="n">
        <v>46307</v>
      </c>
      <c r="F6051" t="inlineStr">
        <is>
          <t>VÄRMLANDS LÄN</t>
        </is>
      </c>
      <c r="G6051" t="inlineStr">
        <is>
          <t>ARVIKA</t>
        </is>
      </c>
      <c r="I6051" t="n">
        <v>1.5</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56096-2025</t>
        </is>
      </c>
      <c r="B6052" t="inlineStr">
        <is>
          <t>avverkningsanmälan</t>
        </is>
      </c>
      <c r="C6052" t="inlineStr">
        <is>
          <t>Föryngringsavverkning</t>
        </is>
      </c>
      <c r="D6052" s="1" t="n">
        <v>45973</v>
      </c>
      <c r="E6052" s="1" t="n">
        <v>46307</v>
      </c>
      <c r="F6052" t="inlineStr">
        <is>
          <t>VÄRMLANDS LÄN</t>
        </is>
      </c>
      <c r="G6052" t="inlineStr">
        <is>
          <t>ÅRJÄNG</t>
        </is>
      </c>
      <c r="H6052" t="inlineStr">
        <is>
          <t>Kyrkan</t>
        </is>
      </c>
      <c r="I6052" t="n">
        <v>10.5</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19702-2022</t>
        </is>
      </c>
      <c r="B6053" t="inlineStr">
        <is>
          <t>avverkningsanmälan</t>
        </is>
      </c>
      <c r="C6053" t="inlineStr">
        <is>
          <t>Föryngringsavverkning</t>
        </is>
      </c>
      <c r="D6053" s="1" t="n">
        <v>44694</v>
      </c>
      <c r="E6053" s="1" t="n">
        <v>46307</v>
      </c>
      <c r="F6053" t="inlineStr">
        <is>
          <t>VÄRMLANDS LÄN</t>
        </is>
      </c>
      <c r="G6053" t="inlineStr">
        <is>
          <t>HAGFORS</t>
        </is>
      </c>
      <c r="H6053" t="inlineStr">
        <is>
          <t>Bergvik skog väst AB</t>
        </is>
      </c>
      <c r="I6053" t="n">
        <v>24.6</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1265-2024</t>
        </is>
      </c>
      <c r="B6054" t="inlineStr">
        <is>
          <t>avverkningsanmälan</t>
        </is>
      </c>
      <c r="C6054" t="inlineStr">
        <is>
          <t>Föryngringsavverkning</t>
        </is>
      </c>
      <c r="D6054" s="1" t="n">
        <v>45302</v>
      </c>
      <c r="E6054" s="1" t="n">
        <v>46307</v>
      </c>
      <c r="F6054" t="inlineStr">
        <is>
          <t>VÄRMLANDS LÄN</t>
        </is>
      </c>
      <c r="G6054" t="inlineStr">
        <is>
          <t>KRISTINEHAMN</t>
        </is>
      </c>
      <c r="I6054" t="n">
        <v>0.5</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8835-2025</t>
        </is>
      </c>
      <c r="B6055" t="inlineStr">
        <is>
          <t>avverkningsanmälan</t>
        </is>
      </c>
      <c r="C6055" t="inlineStr">
        <is>
          <t>Föryngringsavverkning</t>
        </is>
      </c>
      <c r="D6055" s="1" t="n">
        <v>45712</v>
      </c>
      <c r="E6055" s="1" t="n">
        <v>46307</v>
      </c>
      <c r="F6055" t="inlineStr">
        <is>
          <t>VÄRMLANDS LÄN</t>
        </is>
      </c>
      <c r="G6055" t="inlineStr">
        <is>
          <t>ÅRJÄNG</t>
        </is>
      </c>
      <c r="I6055" t="n">
        <v>7.3</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8892-2025</t>
        </is>
      </c>
      <c r="B6056" t="inlineStr">
        <is>
          <t>avverkningsanmälan</t>
        </is>
      </c>
      <c r="C6056" t="inlineStr">
        <is>
          <t>Föryngringsavverkning</t>
        </is>
      </c>
      <c r="D6056" s="1" t="n">
        <v>45713</v>
      </c>
      <c r="E6056" s="1" t="n">
        <v>46307</v>
      </c>
      <c r="F6056" t="inlineStr">
        <is>
          <t>VÄRMLANDS LÄN</t>
        </is>
      </c>
      <c r="G6056" t="inlineStr">
        <is>
          <t>KARLSTAD</t>
        </is>
      </c>
      <c r="I6056" t="n">
        <v>4.8</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62333-2023</t>
        </is>
      </c>
      <c r="B6057" t="inlineStr">
        <is>
          <t>avverkningsanmälan</t>
        </is>
      </c>
      <c r="C6057" t="inlineStr">
        <is>
          <t>Föryngringsavverkning</t>
        </is>
      </c>
      <c r="D6057" s="1" t="n">
        <v>45267</v>
      </c>
      <c r="E6057" s="1" t="n">
        <v>46307</v>
      </c>
      <c r="F6057" t="inlineStr">
        <is>
          <t>VÄRMLANDS LÄN</t>
        </is>
      </c>
      <c r="G6057" t="inlineStr">
        <is>
          <t>EDA</t>
        </is>
      </c>
      <c r="I6057" t="n">
        <v>1.5</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59192-2023</t>
        </is>
      </c>
      <c r="B6058" t="inlineStr">
        <is>
          <t>avverkningsanmälan</t>
        </is>
      </c>
      <c r="C6058" t="inlineStr">
        <is>
          <t>Föryngringsavverkning</t>
        </is>
      </c>
      <c r="D6058" s="1" t="n">
        <v>45253</v>
      </c>
      <c r="E6058" s="1" t="n">
        <v>46307</v>
      </c>
      <c r="F6058" t="inlineStr">
        <is>
          <t>VÄRMLANDS LÄN</t>
        </is>
      </c>
      <c r="G6058" t="inlineStr">
        <is>
          <t>EDA</t>
        </is>
      </c>
      <c r="I6058" t="n">
        <v>5</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17473-2025</t>
        </is>
      </c>
      <c r="B6059" t="inlineStr">
        <is>
          <t>avverkningsanmälan</t>
        </is>
      </c>
      <c r="C6059" t="inlineStr">
        <is>
          <t>Föryngringsavverkning</t>
        </is>
      </c>
      <c r="D6059" s="1" t="n">
        <v>45757</v>
      </c>
      <c r="E6059" s="1" t="n">
        <v>46307</v>
      </c>
      <c r="F6059" t="inlineStr">
        <is>
          <t>VÄRMLANDS LÄN</t>
        </is>
      </c>
      <c r="G6059" t="inlineStr">
        <is>
          <t>KIL</t>
        </is>
      </c>
      <c r="I6059" t="n">
        <v>2.5</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17604-2025</t>
        </is>
      </c>
      <c r="B6060" t="inlineStr">
        <is>
          <t>avverkningsanmälan</t>
        </is>
      </c>
      <c r="C6060" t="inlineStr">
        <is>
          <t>Föryngringsavverkning</t>
        </is>
      </c>
      <c r="D6060" s="1" t="n">
        <v>45757</v>
      </c>
      <c r="E6060" s="1" t="n">
        <v>46307</v>
      </c>
      <c r="F6060" t="inlineStr">
        <is>
          <t>VÄRMLANDS LÄN</t>
        </is>
      </c>
      <c r="G6060" t="inlineStr">
        <is>
          <t>SUNNE</t>
        </is>
      </c>
      <c r="H6060" t="inlineStr">
        <is>
          <t>Övriga Aktiebolag</t>
        </is>
      </c>
      <c r="I6060" t="n">
        <v>12.3</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21954-2025</t>
        </is>
      </c>
      <c r="B6061" t="inlineStr">
        <is>
          <t>avverkningsanmälan</t>
        </is>
      </c>
      <c r="C6061" t="inlineStr">
        <is>
          <t>Föryngringsavverkning</t>
        </is>
      </c>
      <c r="D6061" s="1" t="n">
        <v>45784</v>
      </c>
      <c r="E6061" s="1" t="n">
        <v>46307</v>
      </c>
      <c r="F6061" t="inlineStr">
        <is>
          <t>VÄRMLANDS LÄN</t>
        </is>
      </c>
      <c r="G6061" t="inlineStr">
        <is>
          <t>HAGFORS</t>
        </is>
      </c>
      <c r="I6061" t="n">
        <v>1.8</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59625-2024</t>
        </is>
      </c>
      <c r="B6062" t="inlineStr">
        <is>
          <t>avverkningsanmälan</t>
        </is>
      </c>
      <c r="C6062" t="inlineStr">
        <is>
          <t>Föryngringsavverkning</t>
        </is>
      </c>
      <c r="D6062" s="1" t="n">
        <v>45638</v>
      </c>
      <c r="E6062" s="1" t="n">
        <v>46307</v>
      </c>
      <c r="F6062" t="inlineStr">
        <is>
          <t>VÄRMLANDS LÄN</t>
        </is>
      </c>
      <c r="G6062" t="inlineStr">
        <is>
          <t>ARVIKA</t>
        </is>
      </c>
      <c r="I6062" t="n">
        <v>1.8</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43067-2023</t>
        </is>
      </c>
      <c r="B6063" t="inlineStr">
        <is>
          <t>avverkningsanmälan</t>
        </is>
      </c>
      <c r="C6063" t="inlineStr">
        <is>
          <t>Föryngringsavverkning</t>
        </is>
      </c>
      <c r="D6063" s="1" t="n">
        <v>45182</v>
      </c>
      <c r="E6063" s="1" t="n">
        <v>46307</v>
      </c>
      <c r="F6063" t="inlineStr">
        <is>
          <t>VÄRMLANDS LÄN</t>
        </is>
      </c>
      <c r="G6063" t="inlineStr">
        <is>
          <t>SUNNE</t>
        </is>
      </c>
      <c r="I6063" t="n">
        <v>4.9</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8359-2025</t>
        </is>
      </c>
      <c r="B6064" t="inlineStr">
        <is>
          <t>avverkningsanmälan</t>
        </is>
      </c>
      <c r="C6064" t="inlineStr">
        <is>
          <t>Föryngringsavverkning</t>
        </is>
      </c>
      <c r="D6064" s="1" t="n">
        <v>45708</v>
      </c>
      <c r="E6064" s="1" t="n">
        <v>46307</v>
      </c>
      <c r="F6064" t="inlineStr">
        <is>
          <t>VÄRMLANDS LÄN</t>
        </is>
      </c>
      <c r="G6064" t="inlineStr">
        <is>
          <t>GRUMS</t>
        </is>
      </c>
      <c r="I6064" t="n">
        <v>4.3</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58653-2024</t>
        </is>
      </c>
      <c r="B6065" t="inlineStr">
        <is>
          <t>avverkningsanmälan</t>
        </is>
      </c>
      <c r="C6065" t="inlineStr">
        <is>
          <t>Föryngringsavverkning</t>
        </is>
      </c>
      <c r="D6065" s="1" t="n">
        <v>45635</v>
      </c>
      <c r="E6065" s="1" t="n">
        <v>46307</v>
      </c>
      <c r="F6065" t="inlineStr">
        <is>
          <t>VÄRMLANDS LÄN</t>
        </is>
      </c>
      <c r="G6065" t="inlineStr">
        <is>
          <t>KARLSTAD</t>
        </is>
      </c>
      <c r="I6065" t="n">
        <v>18.5</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56187-2025</t>
        </is>
      </c>
      <c r="B6066" t="inlineStr">
        <is>
          <t>avverkningsanmälan</t>
        </is>
      </c>
      <c r="C6066" t="inlineStr">
        <is>
          <t>Föryngringsavverkning</t>
        </is>
      </c>
      <c r="D6066" s="1" t="n">
        <v>45974</v>
      </c>
      <c r="E6066" s="1" t="n">
        <v>46307</v>
      </c>
      <c r="F6066" t="inlineStr">
        <is>
          <t>VÄRMLANDS LÄN</t>
        </is>
      </c>
      <c r="G6066" t="inlineStr">
        <is>
          <t>TORSBY</t>
        </is>
      </c>
      <c r="I6066" t="n">
        <v>6.3</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27061-2024</t>
        </is>
      </c>
      <c r="B6067" t="inlineStr">
        <is>
          <t>avverkningsanmälan</t>
        </is>
      </c>
      <c r="C6067" t="inlineStr">
        <is>
          <t>Föryngringsavverkning</t>
        </is>
      </c>
      <c r="D6067" s="1" t="n">
        <v>45471</v>
      </c>
      <c r="E6067" s="1" t="n">
        <v>46307</v>
      </c>
      <c r="F6067" t="inlineStr">
        <is>
          <t>VÄRMLANDS LÄN</t>
        </is>
      </c>
      <c r="G6067" t="inlineStr">
        <is>
          <t>SUNNE</t>
        </is>
      </c>
      <c r="I6067" t="n">
        <v>1.9</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27115-2024</t>
        </is>
      </c>
      <c r="B6068" t="inlineStr">
        <is>
          <t>avverkningsanmälan</t>
        </is>
      </c>
      <c r="C6068" t="inlineStr">
        <is>
          <t>Föryngringsavverkning</t>
        </is>
      </c>
      <c r="D6068" s="1" t="n">
        <v>45471</v>
      </c>
      <c r="E6068" s="1" t="n">
        <v>46307</v>
      </c>
      <c r="F6068" t="inlineStr">
        <is>
          <t>VÄRMLANDS LÄN</t>
        </is>
      </c>
      <c r="G6068" t="inlineStr">
        <is>
          <t>TORSBY</t>
        </is>
      </c>
      <c r="I6068" t="n">
        <v>1.2</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27144-2024</t>
        </is>
      </c>
      <c r="B6069" t="inlineStr">
        <is>
          <t>avverkningsanmälan</t>
        </is>
      </c>
      <c r="C6069" t="inlineStr">
        <is>
          <t>Föryngringsavverkning</t>
        </is>
      </c>
      <c r="D6069" s="1" t="n">
        <v>45471</v>
      </c>
      <c r="E6069" s="1" t="n">
        <v>46307</v>
      </c>
      <c r="F6069" t="inlineStr">
        <is>
          <t>VÄRMLANDS LÄN</t>
        </is>
      </c>
      <c r="G6069" t="inlineStr">
        <is>
          <t>TORSBY</t>
        </is>
      </c>
      <c r="I6069" t="n">
        <v>3.5</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27153-2024</t>
        </is>
      </c>
      <c r="B6070" t="inlineStr">
        <is>
          <t>avverkningsanmälan</t>
        </is>
      </c>
      <c r="C6070" t="inlineStr">
        <is>
          <t>Avverkning för annat ändamål</t>
        </is>
      </c>
      <c r="D6070" s="1" t="n">
        <v>45471</v>
      </c>
      <c r="E6070" s="1" t="n">
        <v>46307</v>
      </c>
      <c r="F6070" t="inlineStr">
        <is>
          <t>VÄRMLANDS LÄN</t>
        </is>
      </c>
      <c r="G6070" t="inlineStr">
        <is>
          <t>ARVIKA</t>
        </is>
      </c>
      <c r="H6070" t="inlineStr">
        <is>
          <t>Bergvik skog väst AB</t>
        </is>
      </c>
      <c r="I6070" t="n">
        <v>0.5</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25090-2023</t>
        </is>
      </c>
      <c r="B6071" t="inlineStr">
        <is>
          <t>avverkningsanmälan</t>
        </is>
      </c>
      <c r="C6071" t="inlineStr">
        <is>
          <t>Föryngringsavverkning</t>
        </is>
      </c>
      <c r="D6071" s="1" t="n">
        <v>45086</v>
      </c>
      <c r="E6071" s="1" t="n">
        <v>46307</v>
      </c>
      <c r="F6071" t="inlineStr">
        <is>
          <t>VÄRMLANDS LÄN</t>
        </is>
      </c>
      <c r="G6071" t="inlineStr">
        <is>
          <t>TORSBY</t>
        </is>
      </c>
      <c r="H6071" t="inlineStr">
        <is>
          <t>Bergvik skog väst AB</t>
        </is>
      </c>
      <c r="I6071" t="n">
        <v>8.1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19198-2025</t>
        </is>
      </c>
      <c r="B6072" t="inlineStr">
        <is>
          <t>avverkningsanmälan</t>
        </is>
      </c>
      <c r="C6072" t="inlineStr">
        <is>
          <t>Föryngringsavverkning</t>
        </is>
      </c>
      <c r="D6072" s="1" t="n">
        <v>45769</v>
      </c>
      <c r="E6072" s="1" t="n">
        <v>46307</v>
      </c>
      <c r="F6072" t="inlineStr">
        <is>
          <t>VÄRMLANDS LÄN</t>
        </is>
      </c>
      <c r="G6072" t="inlineStr">
        <is>
          <t>SUNNE</t>
        </is>
      </c>
      <c r="I6072" t="n">
        <v>3.6</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19515-2025</t>
        </is>
      </c>
      <c r="B6073" t="inlineStr">
        <is>
          <t>avverkningsanmälan</t>
        </is>
      </c>
      <c r="C6073" t="inlineStr">
        <is>
          <t>Föryngringsavverkning</t>
        </is>
      </c>
      <c r="D6073" s="1" t="n">
        <v>45770</v>
      </c>
      <c r="E6073" s="1" t="n">
        <v>46307</v>
      </c>
      <c r="F6073" t="inlineStr">
        <is>
          <t>VÄRMLANDS LÄN</t>
        </is>
      </c>
      <c r="G6073" t="inlineStr">
        <is>
          <t>HAGFORS</t>
        </is>
      </c>
      <c r="I6073" t="n">
        <v>2.7</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22041-2025</t>
        </is>
      </c>
      <c r="B6074" t="inlineStr">
        <is>
          <t>avverkningsanmälan</t>
        </is>
      </c>
      <c r="C6074" t="inlineStr">
        <is>
          <t>Föryngringsavverkning</t>
        </is>
      </c>
      <c r="D6074" s="1" t="n">
        <v>45785</v>
      </c>
      <c r="E6074" s="1" t="n">
        <v>46307</v>
      </c>
      <c r="F6074" t="inlineStr">
        <is>
          <t>VÄRMLANDS LÄN</t>
        </is>
      </c>
      <c r="G6074" t="inlineStr">
        <is>
          <t>ARVIKA</t>
        </is>
      </c>
      <c r="I6074" t="n">
        <v>2.6</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47759-2024</t>
        </is>
      </c>
      <c r="B6075" t="inlineStr">
        <is>
          <t>avverkningsanmälan</t>
        </is>
      </c>
      <c r="C6075" t="inlineStr">
        <is>
          <t>Föryngringsavverkning</t>
        </is>
      </c>
      <c r="D6075" s="1" t="n">
        <v>45588</v>
      </c>
      <c r="E6075" s="1" t="n">
        <v>46307</v>
      </c>
      <c r="F6075" t="inlineStr">
        <is>
          <t>VÄRMLANDS LÄN</t>
        </is>
      </c>
      <c r="G6075" t="inlineStr">
        <is>
          <t>EDA</t>
        </is>
      </c>
      <c r="I6075" t="n">
        <v>3.7</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51009-2024</t>
        </is>
      </c>
      <c r="B6076" t="inlineStr">
        <is>
          <t>avverkningsanmälan</t>
        </is>
      </c>
      <c r="C6076" t="inlineStr">
        <is>
          <t>Föryngringsavverkning</t>
        </is>
      </c>
      <c r="D6076" s="1" t="n">
        <v>45603</v>
      </c>
      <c r="E6076" s="1" t="n">
        <v>46307</v>
      </c>
      <c r="F6076" t="inlineStr">
        <is>
          <t>VÄRMLANDS LÄN</t>
        </is>
      </c>
      <c r="G6076" t="inlineStr">
        <is>
          <t>SUNNE</t>
        </is>
      </c>
      <c r="I6076" t="n">
        <v>2.8</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40968-2022</t>
        </is>
      </c>
      <c r="B6077" t="inlineStr">
        <is>
          <t>avverkningsanmälan</t>
        </is>
      </c>
      <c r="C6077" t="inlineStr">
        <is>
          <t>Föryngringsavverkning</t>
        </is>
      </c>
      <c r="D6077" s="1" t="n">
        <v>44823</v>
      </c>
      <c r="E6077" s="1" t="n">
        <v>46307</v>
      </c>
      <c r="F6077" t="inlineStr">
        <is>
          <t>VÄRMLANDS LÄN</t>
        </is>
      </c>
      <c r="G6077" t="inlineStr">
        <is>
          <t>FORSHAGA</t>
        </is>
      </c>
      <c r="I6077" t="n">
        <v>16.5</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39633-2023</t>
        </is>
      </c>
      <c r="B6078" t="inlineStr">
        <is>
          <t>avverkningsanmälan</t>
        </is>
      </c>
      <c r="C6078" t="inlineStr">
        <is>
          <t>Föryngringsavverkning</t>
        </is>
      </c>
      <c r="D6078" s="1" t="n">
        <v>45167</v>
      </c>
      <c r="E6078" s="1" t="n">
        <v>46307</v>
      </c>
      <c r="F6078" t="inlineStr">
        <is>
          <t>VÄRMLANDS LÄN</t>
        </is>
      </c>
      <c r="G6078" t="inlineStr">
        <is>
          <t>FILIPSTAD</t>
        </is>
      </c>
      <c r="H6078" t="inlineStr">
        <is>
          <t>Bergvik skog väst AB</t>
        </is>
      </c>
      <c r="I6078" t="n">
        <v>3.5</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38882-2022</t>
        </is>
      </c>
      <c r="B6079" t="inlineStr">
        <is>
          <t>avverkningsanmälan</t>
        </is>
      </c>
      <c r="C6079" t="inlineStr">
        <is>
          <t>Föryngringsavverkning</t>
        </is>
      </c>
      <c r="D6079" s="1" t="n">
        <v>44816</v>
      </c>
      <c r="E6079" s="1" t="n">
        <v>46307</v>
      </c>
      <c r="F6079" t="inlineStr">
        <is>
          <t>VÄRMLANDS LÄN</t>
        </is>
      </c>
      <c r="G6079" t="inlineStr">
        <is>
          <t>TORSBY</t>
        </is>
      </c>
      <c r="I6079" t="n">
        <v>1.8</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55938-2025</t>
        </is>
      </c>
      <c r="B6080" t="inlineStr">
        <is>
          <t>avverkningsanmälan</t>
        </is>
      </c>
      <c r="C6080" t="inlineStr">
        <is>
          <t>Föryngringsavverkning</t>
        </is>
      </c>
      <c r="D6080" s="1" t="n">
        <v>45973</v>
      </c>
      <c r="E6080" s="1" t="n">
        <v>46307</v>
      </c>
      <c r="F6080" t="inlineStr">
        <is>
          <t>VÄRMLANDS LÄN</t>
        </is>
      </c>
      <c r="G6080" t="inlineStr">
        <is>
          <t>TORSBY</t>
        </is>
      </c>
      <c r="H6080" t="inlineStr">
        <is>
          <t>Bergvik skog väst AB</t>
        </is>
      </c>
      <c r="I6080" t="n">
        <v>21.2</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18389-2022</t>
        </is>
      </c>
      <c r="B6081" t="inlineStr">
        <is>
          <t>avverkningsanmälan</t>
        </is>
      </c>
      <c r="C6081" t="inlineStr">
        <is>
          <t>Föryngringsavverkning</t>
        </is>
      </c>
      <c r="D6081" s="1" t="n">
        <v>44685</v>
      </c>
      <c r="E6081" s="1" t="n">
        <v>46307</v>
      </c>
      <c r="F6081" t="inlineStr">
        <is>
          <t>VÄRMLANDS LÄN</t>
        </is>
      </c>
      <c r="G6081" t="inlineStr">
        <is>
          <t>ÅRJÄNG</t>
        </is>
      </c>
      <c r="I6081" t="n">
        <v>11.1</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34575-2025</t>
        </is>
      </c>
      <c r="B6082" t="inlineStr">
        <is>
          <t>avverkningsanmälan</t>
        </is>
      </c>
      <c r="C6082" t="inlineStr">
        <is>
          <t>Föryngringsavverkning</t>
        </is>
      </c>
      <c r="D6082" s="1" t="n">
        <v>45847</v>
      </c>
      <c r="E6082" s="1" t="n">
        <v>46307</v>
      </c>
      <c r="F6082" t="inlineStr">
        <is>
          <t>VÄRMLANDS LÄN</t>
        </is>
      </c>
      <c r="G6082" t="inlineStr">
        <is>
          <t>SÄFFLE</t>
        </is>
      </c>
      <c r="I6082" t="n">
        <v>0.7</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34581-2025</t>
        </is>
      </c>
      <c r="B6083" t="inlineStr">
        <is>
          <t>avverkningsanmälan</t>
        </is>
      </c>
      <c r="C6083" t="inlineStr">
        <is>
          <t>Föryngringsavverkning</t>
        </is>
      </c>
      <c r="D6083" s="1" t="n">
        <v>45847</v>
      </c>
      <c r="E6083" s="1" t="n">
        <v>46307</v>
      </c>
      <c r="F6083" t="inlineStr">
        <is>
          <t>VÄRMLANDS LÄN</t>
        </is>
      </c>
      <c r="G6083" t="inlineStr">
        <is>
          <t>SÄFFLE</t>
        </is>
      </c>
      <c r="I6083" t="n">
        <v>3.9</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63785-2023</t>
        </is>
      </c>
      <c r="B6084" t="inlineStr">
        <is>
          <t>avverkningsanmälan</t>
        </is>
      </c>
      <c r="C6084" t="inlineStr">
        <is>
          <t>Föryngringsavverkning</t>
        </is>
      </c>
      <c r="D6084" s="1" t="n">
        <v>45278</v>
      </c>
      <c r="E6084" s="1" t="n">
        <v>46307</v>
      </c>
      <c r="F6084" t="inlineStr">
        <is>
          <t>VÄRMLANDS LÄN</t>
        </is>
      </c>
      <c r="G6084" t="inlineStr">
        <is>
          <t>SÄFFLE</t>
        </is>
      </c>
      <c r="H6084" t="inlineStr">
        <is>
          <t>Kommuner</t>
        </is>
      </c>
      <c r="I6084" t="n">
        <v>1.9</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63803-2023</t>
        </is>
      </c>
      <c r="B6085" t="inlineStr">
        <is>
          <t>avverkningsanmälan</t>
        </is>
      </c>
      <c r="C6085" t="inlineStr">
        <is>
          <t>Föryngringsavverkning</t>
        </is>
      </c>
      <c r="D6085" s="1" t="n">
        <v>45278</v>
      </c>
      <c r="E6085" s="1" t="n">
        <v>46307</v>
      </c>
      <c r="F6085" t="inlineStr">
        <is>
          <t>VÄRMLANDS LÄN</t>
        </is>
      </c>
      <c r="G6085" t="inlineStr">
        <is>
          <t>SÄFFLE</t>
        </is>
      </c>
      <c r="H6085" t="inlineStr">
        <is>
          <t>Kommuner</t>
        </is>
      </c>
      <c r="I6085" t="n">
        <v>2.6</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36360-2023</t>
        </is>
      </c>
      <c r="B6086" t="inlineStr">
        <is>
          <t>avverkningsanmälan</t>
        </is>
      </c>
      <c r="C6086" t="inlineStr">
        <is>
          <t>Föryngringsavverkning</t>
        </is>
      </c>
      <c r="D6086" s="1" t="n">
        <v>45152</v>
      </c>
      <c r="E6086" s="1" t="n">
        <v>46307</v>
      </c>
      <c r="F6086" t="inlineStr">
        <is>
          <t>VÄRMLANDS LÄN</t>
        </is>
      </c>
      <c r="G6086" t="inlineStr">
        <is>
          <t>HAGFORS</t>
        </is>
      </c>
      <c r="I6086" t="n">
        <v>1.5</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43635-2023</t>
        </is>
      </c>
      <c r="B6087" t="inlineStr">
        <is>
          <t>avverkningsanmälan</t>
        </is>
      </c>
      <c r="C6087" t="inlineStr">
        <is>
          <t>Föryngringsavverkning</t>
        </is>
      </c>
      <c r="D6087" s="1" t="n">
        <v>45186</v>
      </c>
      <c r="E6087" s="1" t="n">
        <v>46307</v>
      </c>
      <c r="F6087" t="inlineStr">
        <is>
          <t>VÄRMLANDS LÄN</t>
        </is>
      </c>
      <c r="G6087" t="inlineStr">
        <is>
          <t>FILIPSTAD</t>
        </is>
      </c>
      <c r="I6087" t="n">
        <v>15.3</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34723-2022</t>
        </is>
      </c>
      <c r="B6088" t="inlineStr">
        <is>
          <t>avverkningsanmälan</t>
        </is>
      </c>
      <c r="C6088" t="inlineStr">
        <is>
          <t>Föryngringsavverkning</t>
        </is>
      </c>
      <c r="D6088" s="1" t="n">
        <v>44795</v>
      </c>
      <c r="E6088" s="1" t="n">
        <v>46307</v>
      </c>
      <c r="F6088" t="inlineStr">
        <is>
          <t>VÄRMLANDS LÄN</t>
        </is>
      </c>
      <c r="G6088" t="inlineStr">
        <is>
          <t>SUNNE</t>
        </is>
      </c>
      <c r="I6088" t="n">
        <v>1.8</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64121-2023</t>
        </is>
      </c>
      <c r="B6089" t="inlineStr">
        <is>
          <t>avverkningsanmälan</t>
        </is>
      </c>
      <c r="C6089" t="inlineStr">
        <is>
          <t>Avverkning för annat ändamål</t>
        </is>
      </c>
      <c r="D6089" s="1" t="n">
        <v>45279</v>
      </c>
      <c r="E6089" s="1" t="n">
        <v>46307</v>
      </c>
      <c r="F6089" t="inlineStr">
        <is>
          <t>VÄRMLANDS LÄN</t>
        </is>
      </c>
      <c r="G6089" t="inlineStr">
        <is>
          <t>FORSHAGA</t>
        </is>
      </c>
      <c r="I6089" t="n">
        <v>0.1</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64140-2023</t>
        </is>
      </c>
      <c r="B6090" t="inlineStr">
        <is>
          <t>avverkningsanmälan</t>
        </is>
      </c>
      <c r="C6090" t="inlineStr">
        <is>
          <t>Föryngringsavverkning</t>
        </is>
      </c>
      <c r="D6090" s="1" t="n">
        <v>45279</v>
      </c>
      <c r="E6090" s="1" t="n">
        <v>46307</v>
      </c>
      <c r="F6090" t="inlineStr">
        <is>
          <t>VÄRMLANDS LÄN</t>
        </is>
      </c>
      <c r="G6090" t="inlineStr">
        <is>
          <t>KIL</t>
        </is>
      </c>
      <c r="I6090" t="n">
        <v>1.4</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42801-2024</t>
        </is>
      </c>
      <c r="B6091" t="inlineStr">
        <is>
          <t>avverkningsanmälan</t>
        </is>
      </c>
      <c r="C6091" t="inlineStr">
        <is>
          <t>Föryngringsavverkning</t>
        </is>
      </c>
      <c r="D6091" s="1" t="n">
        <v>45565</v>
      </c>
      <c r="E6091" s="1" t="n">
        <v>46307</v>
      </c>
      <c r="F6091" t="inlineStr">
        <is>
          <t>VÄRMLANDS LÄN</t>
        </is>
      </c>
      <c r="G6091" t="inlineStr">
        <is>
          <t>HAGFORS</t>
        </is>
      </c>
      <c r="I6091" t="n">
        <v>1.3</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31166-2022</t>
        </is>
      </c>
      <c r="B6092" t="inlineStr">
        <is>
          <t>avverkningsanmälan</t>
        </is>
      </c>
      <c r="C6092" t="inlineStr">
        <is>
          <t>Föryngringsavverkning</t>
        </is>
      </c>
      <c r="D6092" s="1" t="n">
        <v>44770</v>
      </c>
      <c r="E6092" s="1" t="n">
        <v>46307</v>
      </c>
      <c r="F6092" t="inlineStr">
        <is>
          <t>VÄRMLANDS LÄN</t>
        </is>
      </c>
      <c r="G6092" t="inlineStr">
        <is>
          <t>HAGFORS</t>
        </is>
      </c>
      <c r="H6092" t="inlineStr">
        <is>
          <t>Bergvik skog väst AB</t>
        </is>
      </c>
      <c r="I6092" t="n">
        <v>1.8</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56201-2025</t>
        </is>
      </c>
      <c r="B6093" t="inlineStr">
        <is>
          <t>avverkningsanmälan</t>
        </is>
      </c>
      <c r="C6093" t="inlineStr">
        <is>
          <t>Föryngringsavverkning</t>
        </is>
      </c>
      <c r="D6093" s="1" t="n">
        <v>45974</v>
      </c>
      <c r="E6093" s="1" t="n">
        <v>46307</v>
      </c>
      <c r="F6093" t="inlineStr">
        <is>
          <t>VÄRMLANDS LÄN</t>
        </is>
      </c>
      <c r="G6093" t="inlineStr">
        <is>
          <t>FILIPSTAD</t>
        </is>
      </c>
      <c r="H6093" t="inlineStr">
        <is>
          <t>Bergvik skog väst AB</t>
        </is>
      </c>
      <c r="I6093" t="n">
        <v>0.4</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64155-2023</t>
        </is>
      </c>
      <c r="B6094" t="inlineStr">
        <is>
          <t>avverkningsanmälan</t>
        </is>
      </c>
      <c r="C6094" t="inlineStr">
        <is>
          <t>Föryngringsavverkning</t>
        </is>
      </c>
      <c r="D6094" s="1" t="n">
        <v>45279</v>
      </c>
      <c r="E6094" s="1" t="n">
        <v>46307</v>
      </c>
      <c r="F6094" t="inlineStr">
        <is>
          <t>VÄRMLANDS LÄN</t>
        </is>
      </c>
      <c r="G6094" t="inlineStr">
        <is>
          <t>HAGFORS</t>
        </is>
      </c>
      <c r="I6094" t="n">
        <v>1</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52078-2023</t>
        </is>
      </c>
      <c r="B6095" t="inlineStr">
        <is>
          <t>avverkningsanmälan</t>
        </is>
      </c>
      <c r="C6095" t="inlineStr">
        <is>
          <t>Föryngringsavverkning</t>
        </is>
      </c>
      <c r="D6095" s="1" t="n">
        <v>45223</v>
      </c>
      <c r="E6095" s="1" t="n">
        <v>46307</v>
      </c>
      <c r="F6095" t="inlineStr">
        <is>
          <t>VÄRMLANDS LÄN</t>
        </is>
      </c>
      <c r="G6095" t="inlineStr">
        <is>
          <t>TORSBY</t>
        </is>
      </c>
      <c r="I6095" t="n">
        <v>7.1</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34583-2025</t>
        </is>
      </c>
      <c r="B6096" t="inlineStr">
        <is>
          <t>avverkningsanmälan</t>
        </is>
      </c>
      <c r="C6096" t="inlineStr">
        <is>
          <t>Föryngringsavverkning</t>
        </is>
      </c>
      <c r="D6096" s="1" t="n">
        <v>45847</v>
      </c>
      <c r="E6096" s="1" t="n">
        <v>46307</v>
      </c>
      <c r="F6096" t="inlineStr">
        <is>
          <t>VÄRMLANDS LÄN</t>
        </is>
      </c>
      <c r="G6096" t="inlineStr">
        <is>
          <t>SÄFFLE</t>
        </is>
      </c>
      <c r="I6096" t="n">
        <v>2.7</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7215-2025</t>
        </is>
      </c>
      <c r="B6097" t="inlineStr">
        <is>
          <t>avverkningsanmälan</t>
        </is>
      </c>
      <c r="C6097" t="inlineStr">
        <is>
          <t>Föryngringsavverkning</t>
        </is>
      </c>
      <c r="D6097" s="1" t="n">
        <v>45702</v>
      </c>
      <c r="E6097" s="1" t="n">
        <v>46307</v>
      </c>
      <c r="F6097" t="inlineStr">
        <is>
          <t>VÄRMLANDS LÄN</t>
        </is>
      </c>
      <c r="G6097" t="inlineStr">
        <is>
          <t>TORSBY</t>
        </is>
      </c>
      <c r="I6097" t="n">
        <v>1</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55867-2025</t>
        </is>
      </c>
      <c r="B6098" t="inlineStr">
        <is>
          <t>avverkningsanmälan</t>
        </is>
      </c>
      <c r="C6098" t="inlineStr">
        <is>
          <t>Föryngringsavverkning</t>
        </is>
      </c>
      <c r="D6098" s="1" t="n">
        <v>45973</v>
      </c>
      <c r="E6098" s="1" t="n">
        <v>46307</v>
      </c>
      <c r="F6098" t="inlineStr">
        <is>
          <t>VÄRMLANDS LÄN</t>
        </is>
      </c>
      <c r="G6098" t="inlineStr">
        <is>
          <t>SUNNE</t>
        </is>
      </c>
      <c r="I6098" t="n">
        <v>0.7</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53639-2024</t>
        </is>
      </c>
      <c r="B6099" t="inlineStr">
        <is>
          <t>avverkningsanmälan</t>
        </is>
      </c>
      <c r="C6099" t="inlineStr">
        <is>
          <t>Föryngringsavverkning</t>
        </is>
      </c>
      <c r="D6099" s="1" t="n">
        <v>45614</v>
      </c>
      <c r="E6099" s="1" t="n">
        <v>46307</v>
      </c>
      <c r="F6099" t="inlineStr">
        <is>
          <t>VÄRMLANDS LÄN</t>
        </is>
      </c>
      <c r="G6099" t="inlineStr">
        <is>
          <t>EDA</t>
        </is>
      </c>
      <c r="I6099" t="n">
        <v>0.9</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53656-2024</t>
        </is>
      </c>
      <c r="B6100" t="inlineStr">
        <is>
          <t>avverkningsanmälan</t>
        </is>
      </c>
      <c r="C6100" t="inlineStr">
        <is>
          <t>Föryngringsavverkning</t>
        </is>
      </c>
      <c r="D6100" s="1" t="n">
        <v>45615</v>
      </c>
      <c r="E6100" s="1" t="n">
        <v>46307</v>
      </c>
      <c r="F6100" t="inlineStr">
        <is>
          <t>VÄRMLANDS LÄN</t>
        </is>
      </c>
      <c r="G6100" t="inlineStr">
        <is>
          <t>KARLSTAD</t>
        </is>
      </c>
      <c r="I6100" t="n">
        <v>1.5</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13341-2023</t>
        </is>
      </c>
      <c r="B6101" t="inlineStr">
        <is>
          <t>avverkningsanmälan</t>
        </is>
      </c>
      <c r="C6101" t="inlineStr">
        <is>
          <t>Föryngringsavverkning</t>
        </is>
      </c>
      <c r="D6101" s="1" t="n">
        <v>45005</v>
      </c>
      <c r="E6101" s="1" t="n">
        <v>46307</v>
      </c>
      <c r="F6101" t="inlineStr">
        <is>
          <t>VÄRMLANDS LÄN</t>
        </is>
      </c>
      <c r="G6101" t="inlineStr">
        <is>
          <t>ARVIKA</t>
        </is>
      </c>
      <c r="I6101" t="n">
        <v>3.4</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292-2024</t>
        </is>
      </c>
      <c r="B6102" t="inlineStr">
        <is>
          <t>avverkningsanmälan</t>
        </is>
      </c>
      <c r="C6102" t="inlineStr">
        <is>
          <t>Föryngringsavverkning</t>
        </is>
      </c>
      <c r="D6102" s="1" t="n">
        <v>45295</v>
      </c>
      <c r="E6102" s="1" t="n">
        <v>46307</v>
      </c>
      <c r="F6102" t="inlineStr">
        <is>
          <t>VÄRMLANDS LÄN</t>
        </is>
      </c>
      <c r="G6102" t="inlineStr">
        <is>
          <t>SÄFFLE</t>
        </is>
      </c>
      <c r="I6102" t="n">
        <v>7.2</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298-2024</t>
        </is>
      </c>
      <c r="B6103" t="inlineStr">
        <is>
          <t>avverkningsanmälan</t>
        </is>
      </c>
      <c r="C6103" t="inlineStr">
        <is>
          <t>Föryngringsavverkning</t>
        </is>
      </c>
      <c r="D6103" s="1" t="n">
        <v>45295</v>
      </c>
      <c r="E6103" s="1" t="n">
        <v>46307</v>
      </c>
      <c r="F6103" t="inlineStr">
        <is>
          <t>VÄRMLANDS LÄN</t>
        </is>
      </c>
      <c r="G6103" t="inlineStr">
        <is>
          <t>ARVIKA</t>
        </is>
      </c>
      <c r="I6103" t="n">
        <v>3.3</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45069-2023</t>
        </is>
      </c>
      <c r="B6104" t="inlineStr">
        <is>
          <t>avverkningsanmälan</t>
        </is>
      </c>
      <c r="C6104" t="inlineStr">
        <is>
          <t>Föryngringsavverkning</t>
        </is>
      </c>
      <c r="D6104" s="1" t="n">
        <v>45191</v>
      </c>
      <c r="E6104" s="1" t="n">
        <v>46307</v>
      </c>
      <c r="F6104" t="inlineStr">
        <is>
          <t>VÄRMLANDS LÄN</t>
        </is>
      </c>
      <c r="G6104" t="inlineStr">
        <is>
          <t>ARVIKA</t>
        </is>
      </c>
      <c r="I6104" t="n">
        <v>0.7</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56167-2025</t>
        </is>
      </c>
      <c r="B6105" t="inlineStr">
        <is>
          <t>avverkningsanmälan</t>
        </is>
      </c>
      <c r="C6105" t="inlineStr">
        <is>
          <t>Föryngringsavverkning</t>
        </is>
      </c>
      <c r="D6105" s="1" t="n">
        <v>45974</v>
      </c>
      <c r="E6105" s="1" t="n">
        <v>46307</v>
      </c>
      <c r="F6105" t="inlineStr">
        <is>
          <t>VÄRMLANDS LÄN</t>
        </is>
      </c>
      <c r="G6105" t="inlineStr">
        <is>
          <t>FILIPSTAD</t>
        </is>
      </c>
      <c r="H6105" t="inlineStr">
        <is>
          <t>Bergvik skog väst AB</t>
        </is>
      </c>
      <c r="I6105" t="n">
        <v>1.4</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56182-2025</t>
        </is>
      </c>
      <c r="B6106" t="inlineStr">
        <is>
          <t>avverkningsanmälan</t>
        </is>
      </c>
      <c r="C6106" t="inlineStr">
        <is>
          <t>Föryngringsavverkning</t>
        </is>
      </c>
      <c r="D6106" s="1" t="n">
        <v>45974</v>
      </c>
      <c r="E6106" s="1" t="n">
        <v>46307</v>
      </c>
      <c r="F6106" t="inlineStr">
        <is>
          <t>VÄRMLANDS LÄN</t>
        </is>
      </c>
      <c r="G6106" t="inlineStr">
        <is>
          <t>FILIPSTAD</t>
        </is>
      </c>
      <c r="H6106" t="inlineStr">
        <is>
          <t>Bergvik skog väst AB</t>
        </is>
      </c>
      <c r="I6106" t="n">
        <v>0.5</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56184-2025</t>
        </is>
      </c>
      <c r="B6107" t="inlineStr">
        <is>
          <t>avverkningsanmälan</t>
        </is>
      </c>
      <c r="C6107" t="inlineStr">
        <is>
          <t>Föryngringsavverkning</t>
        </is>
      </c>
      <c r="D6107" s="1" t="n">
        <v>45974</v>
      </c>
      <c r="E6107" s="1" t="n">
        <v>46307</v>
      </c>
      <c r="F6107" t="inlineStr">
        <is>
          <t>VÄRMLANDS LÄN</t>
        </is>
      </c>
      <c r="G6107" t="inlineStr">
        <is>
          <t>FILIPSTAD</t>
        </is>
      </c>
      <c r="H6107" t="inlineStr">
        <is>
          <t>Bergvik skog väst AB</t>
        </is>
      </c>
      <c r="I6107" t="n">
        <v>2</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34495-2025</t>
        </is>
      </c>
      <c r="B6108" t="inlineStr">
        <is>
          <t>avverkningsanmälan</t>
        </is>
      </c>
      <c r="C6108" t="inlineStr">
        <is>
          <t>Föryngringsavverkning</t>
        </is>
      </c>
      <c r="D6108" s="1" t="n">
        <v>45847</v>
      </c>
      <c r="E6108" s="1" t="n">
        <v>46307</v>
      </c>
      <c r="F6108" t="inlineStr">
        <is>
          <t>VÄRMLANDS LÄN</t>
        </is>
      </c>
      <c r="G6108" t="inlineStr">
        <is>
          <t>TORSBY</t>
        </is>
      </c>
      <c r="H6108" t="inlineStr">
        <is>
          <t>Övriga Aktiebolag</t>
        </is>
      </c>
      <c r="I6108" t="n">
        <v>3.4</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12993-2025</t>
        </is>
      </c>
      <c r="B6109" t="inlineStr">
        <is>
          <t>avverkningsanmälan</t>
        </is>
      </c>
      <c r="C6109" t="inlineStr">
        <is>
          <t>Föryngringsavverkning</t>
        </is>
      </c>
      <c r="D6109" s="1" t="n">
        <v>45734</v>
      </c>
      <c r="E6109" s="1" t="n">
        <v>46307</v>
      </c>
      <c r="F6109" t="inlineStr">
        <is>
          <t>VÄRMLANDS LÄN</t>
        </is>
      </c>
      <c r="G6109" t="inlineStr">
        <is>
          <t>ÅRJÄNG</t>
        </is>
      </c>
      <c r="I6109" t="n">
        <v>1.1</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24630-2024</t>
        </is>
      </c>
      <c r="B6110" t="inlineStr">
        <is>
          <t>avverkningsanmälan</t>
        </is>
      </c>
      <c r="C6110" t="inlineStr">
        <is>
          <t>Föryngringsavverkning</t>
        </is>
      </c>
      <c r="D6110" s="1" t="n">
        <v>45460</v>
      </c>
      <c r="E6110" s="1" t="n">
        <v>46307</v>
      </c>
      <c r="F6110" t="inlineStr">
        <is>
          <t>VÄRMLANDS LÄN</t>
        </is>
      </c>
      <c r="G6110" t="inlineStr">
        <is>
          <t>TORSBY</t>
        </is>
      </c>
      <c r="I6110" t="n">
        <v>1.1</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56062-2025</t>
        </is>
      </c>
      <c r="B6111" t="inlineStr">
        <is>
          <t>avverkningsanmälan</t>
        </is>
      </c>
      <c r="C6111" t="inlineStr">
        <is>
          <t>Föryngringsavverkning</t>
        </is>
      </c>
      <c r="D6111" s="1" t="n">
        <v>45973</v>
      </c>
      <c r="E6111" s="1" t="n">
        <v>46307</v>
      </c>
      <c r="F6111" t="inlineStr">
        <is>
          <t>VÄRMLANDS LÄN</t>
        </is>
      </c>
      <c r="G6111" t="inlineStr">
        <is>
          <t>FILIPSTAD</t>
        </is>
      </c>
      <c r="H6111" t="inlineStr">
        <is>
          <t>Bergvik skog väst AB</t>
        </is>
      </c>
      <c r="I6111" t="n">
        <v>9.199999999999999</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55958-2025</t>
        </is>
      </c>
      <c r="B6112" t="inlineStr">
        <is>
          <t>avverkningsanmälan</t>
        </is>
      </c>
      <c r="C6112" t="inlineStr">
        <is>
          <t>Föryngringsavverkning</t>
        </is>
      </c>
      <c r="D6112" s="1" t="n">
        <v>45973</v>
      </c>
      <c r="E6112" s="1" t="n">
        <v>46307</v>
      </c>
      <c r="F6112" t="inlineStr">
        <is>
          <t>VÄRMLANDS LÄN</t>
        </is>
      </c>
      <c r="G6112" t="inlineStr">
        <is>
          <t>TORSBY</t>
        </is>
      </c>
      <c r="I6112" t="n">
        <v>0.8</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34578-2025</t>
        </is>
      </c>
      <c r="B6113" t="inlineStr">
        <is>
          <t>avverkningsanmälan</t>
        </is>
      </c>
      <c r="C6113" t="inlineStr">
        <is>
          <t>Föryngringsavverkning</t>
        </is>
      </c>
      <c r="D6113" s="1" t="n">
        <v>45847</v>
      </c>
      <c r="E6113" s="1" t="n">
        <v>46307</v>
      </c>
      <c r="F6113" t="inlineStr">
        <is>
          <t>VÄRMLANDS LÄN</t>
        </is>
      </c>
      <c r="G6113" t="inlineStr">
        <is>
          <t>SÄFFLE</t>
        </is>
      </c>
      <c r="I6113" t="n">
        <v>1.3</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56027-2025</t>
        </is>
      </c>
      <c r="B6114" t="inlineStr">
        <is>
          <t>avverkningsanmälan</t>
        </is>
      </c>
      <c r="C6114" t="inlineStr">
        <is>
          <t>Föryngringsavverkning</t>
        </is>
      </c>
      <c r="D6114" s="1" t="n">
        <v>45973</v>
      </c>
      <c r="E6114" s="1" t="n">
        <v>46307</v>
      </c>
      <c r="F6114" t="inlineStr">
        <is>
          <t>VÄRMLANDS LÄN</t>
        </is>
      </c>
      <c r="G6114" t="inlineStr">
        <is>
          <t>ÅRJÄNG</t>
        </is>
      </c>
      <c r="I6114" t="n">
        <v>2.7</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9630-2025</t>
        </is>
      </c>
      <c r="B6115" t="inlineStr">
        <is>
          <t>avverkningsanmälan</t>
        </is>
      </c>
      <c r="C6115" t="inlineStr">
        <is>
          <t>Föryngringsavverkning</t>
        </is>
      </c>
      <c r="D6115" s="1" t="n">
        <v>45715</v>
      </c>
      <c r="E6115" s="1" t="n">
        <v>46307</v>
      </c>
      <c r="F6115" t="inlineStr">
        <is>
          <t>VÄRMLANDS LÄN</t>
        </is>
      </c>
      <c r="G6115" t="inlineStr">
        <is>
          <t>ÅRJÄNG</t>
        </is>
      </c>
      <c r="I6115" t="n">
        <v>0.4</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17817-2025</t>
        </is>
      </c>
      <c r="B6116" t="inlineStr">
        <is>
          <t>avverkningsanmälan</t>
        </is>
      </c>
      <c r="C6116" t="inlineStr">
        <is>
          <t>Föryngringsavverkning</t>
        </is>
      </c>
      <c r="D6116" s="1" t="n">
        <v>45758</v>
      </c>
      <c r="E6116" s="1" t="n">
        <v>46307</v>
      </c>
      <c r="F6116" t="inlineStr">
        <is>
          <t>VÄRMLANDS LÄN</t>
        </is>
      </c>
      <c r="G6116" t="inlineStr">
        <is>
          <t>SUNNE</t>
        </is>
      </c>
      <c r="I6116" t="n">
        <v>1.7</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56130-2025</t>
        </is>
      </c>
      <c r="B6117" t="inlineStr">
        <is>
          <t>avverkningsanmälan</t>
        </is>
      </c>
      <c r="C6117" t="inlineStr">
        <is>
          <t>Föryngringsavverkning</t>
        </is>
      </c>
      <c r="D6117" s="1" t="n">
        <v>45973</v>
      </c>
      <c r="E6117" s="1" t="n">
        <v>46307</v>
      </c>
      <c r="F6117" t="inlineStr">
        <is>
          <t>VÄRMLANDS LÄN</t>
        </is>
      </c>
      <c r="G6117" t="inlineStr">
        <is>
          <t>TORSBY</t>
        </is>
      </c>
      <c r="I6117" t="n">
        <v>1.1</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10587-2024</t>
        </is>
      </c>
      <c r="B6118" t="inlineStr">
        <is>
          <t>avverkningsanmälan</t>
        </is>
      </c>
      <c r="C6118" t="inlineStr">
        <is>
          <t>Föryngringsavverkning</t>
        </is>
      </c>
      <c r="D6118" s="1" t="n">
        <v>45366</v>
      </c>
      <c r="E6118" s="1" t="n">
        <v>46307</v>
      </c>
      <c r="F6118" t="inlineStr">
        <is>
          <t>VÄRMLANDS LÄN</t>
        </is>
      </c>
      <c r="G6118" t="inlineStr">
        <is>
          <t>TORSBY</t>
        </is>
      </c>
      <c r="I6118" t="n">
        <v>3.7</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37913-2022</t>
        </is>
      </c>
      <c r="B6119" t="inlineStr">
        <is>
          <t>avverkningsanmälan</t>
        </is>
      </c>
      <c r="C6119" t="inlineStr">
        <is>
          <t>Föryngringsavverkning</t>
        </is>
      </c>
      <c r="D6119" s="1" t="n">
        <v>44811</v>
      </c>
      <c r="E6119" s="1" t="n">
        <v>46307</v>
      </c>
      <c r="F6119" t="inlineStr">
        <is>
          <t>VÄRMLANDS LÄN</t>
        </is>
      </c>
      <c r="G6119" t="inlineStr">
        <is>
          <t>TORSBY</t>
        </is>
      </c>
      <c r="I6119" t="n">
        <v>3.7</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16103-2025</t>
        </is>
      </c>
      <c r="B6120" t="inlineStr">
        <is>
          <t>avverkningsanmälan</t>
        </is>
      </c>
      <c r="C6120" t="inlineStr">
        <is>
          <t>Avverkning för annat ändamål</t>
        </is>
      </c>
      <c r="D6120" s="1" t="n">
        <v>45750</v>
      </c>
      <c r="E6120" s="1" t="n">
        <v>46307</v>
      </c>
      <c r="F6120" t="inlineStr">
        <is>
          <t>VÄRMLANDS LÄN</t>
        </is>
      </c>
      <c r="G6120" t="inlineStr">
        <is>
          <t>FILIPSTAD</t>
        </is>
      </c>
      <c r="I6120" t="n">
        <v>0.5</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35337-2022</t>
        </is>
      </c>
      <c r="B6121" t="inlineStr">
        <is>
          <t>avverkningsanmälan</t>
        </is>
      </c>
      <c r="C6121" t="inlineStr">
        <is>
          <t>Föryngringsavverkning</t>
        </is>
      </c>
      <c r="D6121" s="1" t="n">
        <v>44798</v>
      </c>
      <c r="E6121" s="1" t="n">
        <v>46307</v>
      </c>
      <c r="F6121" t="inlineStr">
        <is>
          <t>VÄRMLANDS LÄN</t>
        </is>
      </c>
      <c r="G6121" t="inlineStr">
        <is>
          <t>SUNNE</t>
        </is>
      </c>
      <c r="I6121" t="n">
        <v>1</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6447-2025</t>
        </is>
      </c>
      <c r="B6122" t="inlineStr">
        <is>
          <t>avverkningsanmälan</t>
        </is>
      </c>
      <c r="C6122" t="inlineStr">
        <is>
          <t>Föryngringsavverkning</t>
        </is>
      </c>
      <c r="D6122" s="1" t="n">
        <v>45699</v>
      </c>
      <c r="E6122" s="1" t="n">
        <v>46307</v>
      </c>
      <c r="F6122" t="inlineStr">
        <is>
          <t>VÄRMLANDS LÄN</t>
        </is>
      </c>
      <c r="G6122" t="inlineStr">
        <is>
          <t>SÄFFLE</t>
        </is>
      </c>
      <c r="H6122" t="inlineStr">
        <is>
          <t>Bergvik skog väst AB</t>
        </is>
      </c>
      <c r="I6122" t="n">
        <v>3.9</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13453-2025</t>
        </is>
      </c>
      <c r="B6123" t="inlineStr">
        <is>
          <t>avverkningsanmälan</t>
        </is>
      </c>
      <c r="C6123" t="inlineStr">
        <is>
          <t>Föryngringsavverkning</t>
        </is>
      </c>
      <c r="D6123" s="1" t="n">
        <v>45736</v>
      </c>
      <c r="E6123" s="1" t="n">
        <v>46307</v>
      </c>
      <c r="F6123" t="inlineStr">
        <is>
          <t>VÄRMLANDS LÄN</t>
        </is>
      </c>
      <c r="G6123" t="inlineStr">
        <is>
          <t>EDA</t>
        </is>
      </c>
      <c r="I6123" t="n">
        <v>3.9</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47694-2022</t>
        </is>
      </c>
      <c r="B6124" t="inlineStr">
        <is>
          <t>avverkningsanmälan</t>
        </is>
      </c>
      <c r="C6124" t="inlineStr">
        <is>
          <t>Föryngringsavverkning</t>
        </is>
      </c>
      <c r="D6124" s="1" t="n">
        <v>44854</v>
      </c>
      <c r="E6124" s="1" t="n">
        <v>46307</v>
      </c>
      <c r="F6124" t="inlineStr">
        <is>
          <t>VÄRMLANDS LÄN</t>
        </is>
      </c>
      <c r="G6124" t="inlineStr">
        <is>
          <t>TORSBY</t>
        </is>
      </c>
      <c r="I6124" t="n">
        <v>7.9</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3590-2025</t>
        </is>
      </c>
      <c r="B6125" t="inlineStr">
        <is>
          <t>avverkningsanmälan</t>
        </is>
      </c>
      <c r="C6125" t="inlineStr">
        <is>
          <t>Föryngringsavverkning</t>
        </is>
      </c>
      <c r="D6125" s="1" t="n">
        <v>45680</v>
      </c>
      <c r="E6125" s="1" t="n">
        <v>46307</v>
      </c>
      <c r="F6125" t="inlineStr">
        <is>
          <t>VÄRMLANDS LÄN</t>
        </is>
      </c>
      <c r="G6125" t="inlineStr">
        <is>
          <t>ARVIKA</t>
        </is>
      </c>
      <c r="I6125" t="n">
        <v>2.3</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34451-2025</t>
        </is>
      </c>
      <c r="B6126" t="inlineStr">
        <is>
          <t>avverkningsanmälan</t>
        </is>
      </c>
      <c r="C6126" t="inlineStr">
        <is>
          <t>Föryngringsavverkning</t>
        </is>
      </c>
      <c r="D6126" s="1" t="n">
        <v>45846</v>
      </c>
      <c r="E6126" s="1" t="n">
        <v>46307</v>
      </c>
      <c r="F6126" t="inlineStr">
        <is>
          <t>VÄRMLANDS LÄN</t>
        </is>
      </c>
      <c r="G6126" t="inlineStr">
        <is>
          <t>TORSBY</t>
        </is>
      </c>
      <c r="I6126" t="n">
        <v>2.3</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26090-2022</t>
        </is>
      </c>
      <c r="B6127" t="inlineStr">
        <is>
          <t>avverkningsanmälan</t>
        </is>
      </c>
      <c r="C6127" t="inlineStr">
        <is>
          <t>Föryngringsavverkning</t>
        </is>
      </c>
      <c r="D6127" s="1" t="n">
        <v>44734</v>
      </c>
      <c r="E6127" s="1" t="n">
        <v>46307</v>
      </c>
      <c r="F6127" t="inlineStr">
        <is>
          <t>VÄRMLANDS LÄN</t>
        </is>
      </c>
      <c r="G6127" t="inlineStr">
        <is>
          <t>ARVIKA</t>
        </is>
      </c>
      <c r="I6127" t="n">
        <v>1.4</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55895-2025</t>
        </is>
      </c>
      <c r="B6128" t="inlineStr">
        <is>
          <t>avverkningsanmälan</t>
        </is>
      </c>
      <c r="C6128" t="inlineStr">
        <is>
          <t>Föryngringsavverkning</t>
        </is>
      </c>
      <c r="D6128" s="1" t="n">
        <v>45973</v>
      </c>
      <c r="E6128" s="1" t="n">
        <v>46307</v>
      </c>
      <c r="F6128" t="inlineStr">
        <is>
          <t>VÄRMLANDS LÄN</t>
        </is>
      </c>
      <c r="G6128" t="inlineStr">
        <is>
          <t>HAGFORS</t>
        </is>
      </c>
      <c r="I6128" t="n">
        <v>6.9</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34580-2025</t>
        </is>
      </c>
      <c r="B6129" t="inlineStr">
        <is>
          <t>avverkningsanmälan</t>
        </is>
      </c>
      <c r="C6129" t="inlineStr">
        <is>
          <t>Föryngringsavverkning</t>
        </is>
      </c>
      <c r="D6129" s="1" t="n">
        <v>45847</v>
      </c>
      <c r="E6129" s="1" t="n">
        <v>46307</v>
      </c>
      <c r="F6129" t="inlineStr">
        <is>
          <t>VÄRMLANDS LÄN</t>
        </is>
      </c>
      <c r="G6129" t="inlineStr">
        <is>
          <t>SÄFFLE</t>
        </is>
      </c>
      <c r="I6129" t="n">
        <v>1.2</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32405-2022</t>
        </is>
      </c>
      <c r="B6130" t="inlineStr">
        <is>
          <t>avverkningsanmälan</t>
        </is>
      </c>
      <c r="C6130" t="inlineStr">
        <is>
          <t>Föryngringsavverkning</t>
        </is>
      </c>
      <c r="D6130" s="1" t="n">
        <v>44782</v>
      </c>
      <c r="E6130" s="1" t="n">
        <v>46307</v>
      </c>
      <c r="F6130" t="inlineStr">
        <is>
          <t>VÄRMLANDS LÄN</t>
        </is>
      </c>
      <c r="G6130" t="inlineStr">
        <is>
          <t>SUNNE</t>
        </is>
      </c>
      <c r="I6130" t="n">
        <v>4.1</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37742-2023</t>
        </is>
      </c>
      <c r="B6131" t="inlineStr">
        <is>
          <t>avverkningsanmälan</t>
        </is>
      </c>
      <c r="C6131" t="inlineStr">
        <is>
          <t>Föryngringsavverkning</t>
        </is>
      </c>
      <c r="D6131" s="1" t="n">
        <v>45159</v>
      </c>
      <c r="E6131" s="1" t="n">
        <v>46307</v>
      </c>
      <c r="F6131" t="inlineStr">
        <is>
          <t>VÄRMLANDS LÄN</t>
        </is>
      </c>
      <c r="G6131" t="inlineStr">
        <is>
          <t>KRISTINEHAMN</t>
        </is>
      </c>
      <c r="H6131" t="inlineStr">
        <is>
          <t>Sveaskog</t>
        </is>
      </c>
      <c r="I6131" t="n">
        <v>1.9</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63807-2023</t>
        </is>
      </c>
      <c r="B6132" t="inlineStr">
        <is>
          <t>avverkningsanmälan</t>
        </is>
      </c>
      <c r="C6132" t="inlineStr">
        <is>
          <t>Föryngringsavverkning</t>
        </is>
      </c>
      <c r="D6132" s="1" t="n">
        <v>45278</v>
      </c>
      <c r="E6132" s="1" t="n">
        <v>46307</v>
      </c>
      <c r="F6132" t="inlineStr">
        <is>
          <t>VÄRMLANDS LÄN</t>
        </is>
      </c>
      <c r="G6132" t="inlineStr">
        <is>
          <t>SÄFFLE</t>
        </is>
      </c>
      <c r="H6132" t="inlineStr">
        <is>
          <t>Kommuner</t>
        </is>
      </c>
      <c r="I6132" t="n">
        <v>0.7</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21045-2023</t>
        </is>
      </c>
      <c r="B6133" t="inlineStr">
        <is>
          <t>avverkningsanmälan</t>
        </is>
      </c>
      <c r="C6133" t="inlineStr">
        <is>
          <t>Föryngringsavverkning</t>
        </is>
      </c>
      <c r="D6133" s="1" t="n">
        <v>45061</v>
      </c>
      <c r="E6133" s="1" t="n">
        <v>46307</v>
      </c>
      <c r="F6133" t="inlineStr">
        <is>
          <t>VÄRMLANDS LÄN</t>
        </is>
      </c>
      <c r="G6133" t="inlineStr">
        <is>
          <t>EDA</t>
        </is>
      </c>
      <c r="I6133" t="n">
        <v>1.4</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26611-2025</t>
        </is>
      </c>
      <c r="B6134" t="inlineStr">
        <is>
          <t>avverkningsanmälan</t>
        </is>
      </c>
      <c r="C6134" t="inlineStr">
        <is>
          <t>Föryngringsavverkning</t>
        </is>
      </c>
      <c r="D6134" s="1" t="n">
        <v>45808</v>
      </c>
      <c r="E6134" s="1" t="n">
        <v>46307</v>
      </c>
      <c r="F6134" t="inlineStr">
        <is>
          <t>VÄRMLANDS LÄN</t>
        </is>
      </c>
      <c r="G6134" t="inlineStr">
        <is>
          <t>SÄFFLE</t>
        </is>
      </c>
      <c r="I6134" t="n">
        <v>2.4</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31316-2025</t>
        </is>
      </c>
      <c r="B6135" t="inlineStr">
        <is>
          <t>avverkningsanmälan</t>
        </is>
      </c>
      <c r="C6135" t="inlineStr">
        <is>
          <t>Föryngringsavverkning</t>
        </is>
      </c>
      <c r="D6135" s="1" t="n">
        <v>45833</v>
      </c>
      <c r="E6135" s="1" t="n">
        <v>46307</v>
      </c>
      <c r="F6135" t="inlineStr">
        <is>
          <t>VÄRMLANDS LÄN</t>
        </is>
      </c>
      <c r="G6135" t="inlineStr">
        <is>
          <t>TORSBY</t>
        </is>
      </c>
      <c r="I6135" t="n">
        <v>1.4</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9506-2025</t>
        </is>
      </c>
      <c r="B6136" t="inlineStr">
        <is>
          <t>avverkningsanmälan</t>
        </is>
      </c>
      <c r="C6136" t="inlineStr">
        <is>
          <t>Föryngringsavverkning</t>
        </is>
      </c>
      <c r="D6136" s="1" t="n">
        <v>45715</v>
      </c>
      <c r="E6136" s="1" t="n">
        <v>46307</v>
      </c>
      <c r="F6136" t="inlineStr">
        <is>
          <t>VÄRMLANDS LÄN</t>
        </is>
      </c>
      <c r="G6136" t="inlineStr">
        <is>
          <t>EDA</t>
        </is>
      </c>
      <c r="I6136" t="n">
        <v>3.9</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15120-2025</t>
        </is>
      </c>
      <c r="B6137" t="inlineStr">
        <is>
          <t>avverkningsanmälan</t>
        </is>
      </c>
      <c r="C6137" t="inlineStr">
        <is>
          <t>Föryngringsavverkning</t>
        </is>
      </c>
      <c r="D6137" s="1" t="n">
        <v>45744</v>
      </c>
      <c r="E6137" s="1" t="n">
        <v>46307</v>
      </c>
      <c r="F6137" t="inlineStr">
        <is>
          <t>VÄRMLANDS LÄN</t>
        </is>
      </c>
      <c r="G6137" t="inlineStr">
        <is>
          <t>ARVIKA</t>
        </is>
      </c>
      <c r="I6137" t="n">
        <v>1</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42319-2023</t>
        </is>
      </c>
      <c r="B6138" t="inlineStr">
        <is>
          <t>avverkningsanmälan</t>
        </is>
      </c>
      <c r="C6138" t="inlineStr">
        <is>
          <t>Föryngringsavverkning</t>
        </is>
      </c>
      <c r="D6138" s="1" t="n">
        <v>45180</v>
      </c>
      <c r="E6138" s="1" t="n">
        <v>46307</v>
      </c>
      <c r="F6138" t="inlineStr">
        <is>
          <t>VÄRMLANDS LÄN</t>
        </is>
      </c>
      <c r="G6138" t="inlineStr">
        <is>
          <t>SÄFFLE</t>
        </is>
      </c>
      <c r="I6138" t="n">
        <v>0.4</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41654-2024</t>
        </is>
      </c>
      <c r="B6139" t="inlineStr">
        <is>
          <t>avverkningsanmälan</t>
        </is>
      </c>
      <c r="C6139" t="inlineStr">
        <is>
          <t>Föryngringsavverkning</t>
        </is>
      </c>
      <c r="D6139" s="1" t="n">
        <v>45560</v>
      </c>
      <c r="E6139" s="1" t="n">
        <v>46307</v>
      </c>
      <c r="F6139" t="inlineStr">
        <is>
          <t>VÄRMLANDS LÄN</t>
        </is>
      </c>
      <c r="G6139" t="inlineStr">
        <is>
          <t>KARLSTAD</t>
        </is>
      </c>
      <c r="I6139" t="n">
        <v>2.4</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56008-2025</t>
        </is>
      </c>
      <c r="B6140" t="inlineStr">
        <is>
          <t>avverkningsanmälan</t>
        </is>
      </c>
      <c r="C6140" t="inlineStr">
        <is>
          <t>Föryngringsavverkning</t>
        </is>
      </c>
      <c r="D6140" s="1" t="n">
        <v>45973</v>
      </c>
      <c r="E6140" s="1" t="n">
        <v>46307</v>
      </c>
      <c r="F6140" t="inlineStr">
        <is>
          <t>VÄRMLANDS LÄN</t>
        </is>
      </c>
      <c r="G6140" t="inlineStr">
        <is>
          <t>FILIPSTAD</t>
        </is>
      </c>
      <c r="H6140" t="inlineStr">
        <is>
          <t>Bergvik skog väst AB</t>
        </is>
      </c>
      <c r="I6140" t="n">
        <v>8.199999999999999</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6703-2025</t>
        </is>
      </c>
      <c r="B6141" t="inlineStr">
        <is>
          <t>avverkningsanmälan</t>
        </is>
      </c>
      <c r="C6141" t="inlineStr">
        <is>
          <t>Föryngringsavverkning</t>
        </is>
      </c>
      <c r="D6141" s="1" t="n">
        <v>45700</v>
      </c>
      <c r="E6141" s="1" t="n">
        <v>46307</v>
      </c>
      <c r="F6141" t="inlineStr">
        <is>
          <t>VÄRMLANDS LÄN</t>
        </is>
      </c>
      <c r="G6141" t="inlineStr">
        <is>
          <t>SUNNE</t>
        </is>
      </c>
      <c r="I6141" t="n">
        <v>2.6</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45752-2024</t>
        </is>
      </c>
      <c r="B6142" t="inlineStr">
        <is>
          <t>avverkningsanmälan</t>
        </is>
      </c>
      <c r="C6142" t="inlineStr">
        <is>
          <t>Föryngringsavverkning</t>
        </is>
      </c>
      <c r="D6142" s="1" t="n">
        <v>45579</v>
      </c>
      <c r="E6142" s="1" t="n">
        <v>46307</v>
      </c>
      <c r="F6142" t="inlineStr">
        <is>
          <t>VÄRMLANDS LÄN</t>
        </is>
      </c>
      <c r="G6142" t="inlineStr">
        <is>
          <t>SUNNE</t>
        </is>
      </c>
      <c r="I6142" t="n">
        <v>2.6</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56083-2025</t>
        </is>
      </c>
      <c r="B6143" t="inlineStr">
        <is>
          <t>avverkningsanmälan</t>
        </is>
      </c>
      <c r="C6143" t="inlineStr">
        <is>
          <t>Föryngringsavverkning</t>
        </is>
      </c>
      <c r="D6143" s="1" t="n">
        <v>45973</v>
      </c>
      <c r="E6143" s="1" t="n">
        <v>46307</v>
      </c>
      <c r="F6143" t="inlineStr">
        <is>
          <t>VÄRMLANDS LÄN</t>
        </is>
      </c>
      <c r="G6143" t="inlineStr">
        <is>
          <t>FILIPSTAD</t>
        </is>
      </c>
      <c r="H6143" t="inlineStr">
        <is>
          <t>Bergvik skog väst AB</t>
        </is>
      </c>
      <c r="I6143" t="n">
        <v>0.9</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7496-2024</t>
        </is>
      </c>
      <c r="B6144" t="inlineStr">
        <is>
          <t>avverkningsanmälan</t>
        </is>
      </c>
      <c r="C6144" t="inlineStr">
        <is>
          <t>Föryngringsavverkning</t>
        </is>
      </c>
      <c r="D6144" s="1" t="n">
        <v>45346</v>
      </c>
      <c r="E6144" s="1" t="n">
        <v>46307</v>
      </c>
      <c r="F6144" t="inlineStr">
        <is>
          <t>VÄRMLANDS LÄN</t>
        </is>
      </c>
      <c r="G6144" t="inlineStr">
        <is>
          <t>SUNNE</t>
        </is>
      </c>
      <c r="I6144" t="n">
        <v>0.4</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20032-2025</t>
        </is>
      </c>
      <c r="B6145" t="inlineStr">
        <is>
          <t>avverkningsanmälan</t>
        </is>
      </c>
      <c r="C6145" t="inlineStr">
        <is>
          <t>Föryngringsavverkning</t>
        </is>
      </c>
      <c r="D6145" s="1" t="n">
        <v>45772</v>
      </c>
      <c r="E6145" s="1" t="n">
        <v>46307</v>
      </c>
      <c r="F6145" t="inlineStr">
        <is>
          <t>VÄRMLANDS LÄN</t>
        </is>
      </c>
      <c r="G6145" t="inlineStr">
        <is>
          <t>SUNNE</t>
        </is>
      </c>
      <c r="I6145" t="n">
        <v>1.2</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56315-2025</t>
        </is>
      </c>
      <c r="B6146" t="inlineStr">
        <is>
          <t>avverkningsanmälan</t>
        </is>
      </c>
      <c r="C6146" t="inlineStr">
        <is>
          <t>Avverkning för annat ändamål</t>
        </is>
      </c>
      <c r="D6146" s="1" t="n">
        <v>45974</v>
      </c>
      <c r="E6146" s="1" t="n">
        <v>46307</v>
      </c>
      <c r="F6146" t="inlineStr">
        <is>
          <t>VÄRMLANDS LÄN</t>
        </is>
      </c>
      <c r="G6146" t="inlineStr">
        <is>
          <t>KRISTINEHAMN</t>
        </is>
      </c>
      <c r="I6146" t="n">
        <v>1.1</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54076-2025</t>
        </is>
      </c>
      <c r="B6147" t="inlineStr">
        <is>
          <t>avverkningsanmälan</t>
        </is>
      </c>
      <c r="C6147" t="inlineStr">
        <is>
          <t>Föryngringsavverkning</t>
        </is>
      </c>
      <c r="D6147" s="1" t="n">
        <v>45964</v>
      </c>
      <c r="E6147" s="1" t="n">
        <v>46307</v>
      </c>
      <c r="F6147" t="inlineStr">
        <is>
          <t>VÄRMLANDS LÄN</t>
        </is>
      </c>
      <c r="G6147" t="inlineStr">
        <is>
          <t>TORSBY</t>
        </is>
      </c>
      <c r="H6147" t="inlineStr">
        <is>
          <t>Övriga statliga verk och myndigheter</t>
        </is>
      </c>
      <c r="I6147" t="n">
        <v>1</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1257-2025</t>
        </is>
      </c>
      <c r="B6148" t="inlineStr">
        <is>
          <t>avverkningsanmälan</t>
        </is>
      </c>
      <c r="C6148" t="inlineStr">
        <is>
          <t>Föryngringsavverkning</t>
        </is>
      </c>
      <c r="D6148" s="1" t="n">
        <v>45667</v>
      </c>
      <c r="E6148" s="1" t="n">
        <v>46307</v>
      </c>
      <c r="F6148" t="inlineStr">
        <is>
          <t>VÄRMLANDS LÄN</t>
        </is>
      </c>
      <c r="G6148" t="inlineStr">
        <is>
          <t>ARVIKA</t>
        </is>
      </c>
      <c r="H6148" t="inlineStr">
        <is>
          <t>Bergvik skog väst AB</t>
        </is>
      </c>
      <c r="I6148" t="n">
        <v>2.6</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51662-2024</t>
        </is>
      </c>
      <c r="B6149" t="inlineStr">
        <is>
          <t>avverkningsanmälan</t>
        </is>
      </c>
      <c r="C6149" t="inlineStr">
        <is>
          <t>Föryngringsavverkning</t>
        </is>
      </c>
      <c r="D6149" s="1" t="n">
        <v>45606</v>
      </c>
      <c r="E6149" s="1" t="n">
        <v>46307</v>
      </c>
      <c r="F6149" t="inlineStr">
        <is>
          <t>VÄRMLANDS LÄN</t>
        </is>
      </c>
      <c r="G6149" t="inlineStr">
        <is>
          <t>TORSBY</t>
        </is>
      </c>
      <c r="I6149" t="n">
        <v>1.3</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23264-2022</t>
        </is>
      </c>
      <c r="B6150" t="inlineStr">
        <is>
          <t>avverkningsanmälan</t>
        </is>
      </c>
      <c r="C6150" t="inlineStr">
        <is>
          <t>Föryngringsavverkning</t>
        </is>
      </c>
      <c r="D6150" s="1" t="n">
        <v>44720</v>
      </c>
      <c r="E6150" s="1" t="n">
        <v>46307</v>
      </c>
      <c r="F6150" t="inlineStr">
        <is>
          <t>VÄRMLANDS LÄN</t>
        </is>
      </c>
      <c r="G6150" t="inlineStr">
        <is>
          <t>TORSBY</t>
        </is>
      </c>
      <c r="I6150" t="n">
        <v>3</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56033-2025</t>
        </is>
      </c>
      <c r="B6151" t="inlineStr">
        <is>
          <t>avverkningsanmälan</t>
        </is>
      </c>
      <c r="C6151" t="inlineStr">
        <is>
          <t>Föryngringsavverkning</t>
        </is>
      </c>
      <c r="D6151" s="1" t="n">
        <v>45973</v>
      </c>
      <c r="E6151" s="1" t="n">
        <v>46307</v>
      </c>
      <c r="F6151" t="inlineStr">
        <is>
          <t>VÄRMLANDS LÄN</t>
        </is>
      </c>
      <c r="G6151" t="inlineStr">
        <is>
          <t>TORSBY</t>
        </is>
      </c>
      <c r="H6151" t="inlineStr">
        <is>
          <t>Bergvik skog väst AB</t>
        </is>
      </c>
      <c r="I6151" t="n">
        <v>5.3</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34839-2025</t>
        </is>
      </c>
      <c r="B6152" t="inlineStr">
        <is>
          <t>avverkningsanmälan</t>
        </is>
      </c>
      <c r="C6152" t="inlineStr">
        <is>
          <t>Föryngringsavverkning</t>
        </is>
      </c>
      <c r="D6152" s="1" t="n">
        <v>45849</v>
      </c>
      <c r="E6152" s="1" t="n">
        <v>46307</v>
      </c>
      <c r="F6152" t="inlineStr">
        <is>
          <t>VÄRMLANDS LÄN</t>
        </is>
      </c>
      <c r="G6152" t="inlineStr">
        <is>
          <t>ÅRJÄNG</t>
        </is>
      </c>
      <c r="I6152" t="n">
        <v>3.7</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47141-2022</t>
        </is>
      </c>
      <c r="B6153" t="inlineStr">
        <is>
          <t>avverkningsanmälan</t>
        </is>
      </c>
      <c r="C6153" t="inlineStr">
        <is>
          <t>Föryngringsavverkning</t>
        </is>
      </c>
      <c r="D6153" s="1" t="n">
        <v>44852</v>
      </c>
      <c r="E6153" s="1" t="n">
        <v>46307</v>
      </c>
      <c r="F6153" t="inlineStr">
        <is>
          <t>VÄRMLANDS LÄN</t>
        </is>
      </c>
      <c r="G6153" t="inlineStr">
        <is>
          <t>TORSBY</t>
        </is>
      </c>
      <c r="I6153" t="n">
        <v>2.6</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55863-2025</t>
        </is>
      </c>
      <c r="B6154" t="inlineStr">
        <is>
          <t>avverkningsanmälan</t>
        </is>
      </c>
      <c r="C6154" t="inlineStr">
        <is>
          <t>Föryngringsavverkning</t>
        </is>
      </c>
      <c r="D6154" s="1" t="n">
        <v>45973</v>
      </c>
      <c r="E6154" s="1" t="n">
        <v>46307</v>
      </c>
      <c r="F6154" t="inlineStr">
        <is>
          <t>VÄRMLANDS LÄN</t>
        </is>
      </c>
      <c r="G6154" t="inlineStr">
        <is>
          <t>TORSBY</t>
        </is>
      </c>
      <c r="I6154" t="n">
        <v>6.6</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31936-2023</t>
        </is>
      </c>
      <c r="B6155" t="inlineStr">
        <is>
          <t>avverkningsanmälan</t>
        </is>
      </c>
      <c r="C6155" t="inlineStr">
        <is>
          <t>Föryngringsavverkning</t>
        </is>
      </c>
      <c r="D6155" s="1" t="n">
        <v>45107</v>
      </c>
      <c r="E6155" s="1" t="n">
        <v>46307</v>
      </c>
      <c r="F6155" t="inlineStr">
        <is>
          <t>VÄRMLANDS LÄN</t>
        </is>
      </c>
      <c r="G6155" t="inlineStr">
        <is>
          <t>TORSBY</t>
        </is>
      </c>
      <c r="I6155" t="n">
        <v>1.6</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31964-2023</t>
        </is>
      </c>
      <c r="B6156" t="inlineStr">
        <is>
          <t>avverkningsanmälan</t>
        </is>
      </c>
      <c r="C6156" t="inlineStr">
        <is>
          <t>Föryngringsavverkning</t>
        </is>
      </c>
      <c r="D6156" s="1" t="n">
        <v>45107</v>
      </c>
      <c r="E6156" s="1" t="n">
        <v>46307</v>
      </c>
      <c r="F6156" t="inlineStr">
        <is>
          <t>VÄRMLANDS LÄN</t>
        </is>
      </c>
      <c r="G6156" t="inlineStr">
        <is>
          <t>GRUMS</t>
        </is>
      </c>
      <c r="I6156" t="n">
        <v>2.3</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20985-2024</t>
        </is>
      </c>
      <c r="B6157" t="inlineStr">
        <is>
          <t>avverkningsanmälan</t>
        </is>
      </c>
      <c r="C6157" t="inlineStr">
        <is>
          <t>Föryngringsavverkning</t>
        </is>
      </c>
      <c r="D6157" s="1" t="n">
        <v>45439</v>
      </c>
      <c r="E6157" s="1" t="n">
        <v>46307</v>
      </c>
      <c r="F6157" t="inlineStr">
        <is>
          <t>VÄRMLANDS LÄN</t>
        </is>
      </c>
      <c r="G6157" t="inlineStr">
        <is>
          <t>TORSBY</t>
        </is>
      </c>
      <c r="I6157" t="n">
        <v>3.2</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21851-2023</t>
        </is>
      </c>
      <c r="B6158" t="inlineStr">
        <is>
          <t>avverkningsanmälan</t>
        </is>
      </c>
      <c r="C6158" t="inlineStr">
        <is>
          <t>Föryngringsavverkning</t>
        </is>
      </c>
      <c r="D6158" s="1" t="n">
        <v>45068</v>
      </c>
      <c r="E6158" s="1" t="n">
        <v>46307</v>
      </c>
      <c r="F6158" t="inlineStr">
        <is>
          <t>VÄRMLANDS LÄN</t>
        </is>
      </c>
      <c r="G6158" t="inlineStr">
        <is>
          <t>ARVIKA</t>
        </is>
      </c>
      <c r="I6158" t="n">
        <v>1.5</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35064-2025</t>
        </is>
      </c>
      <c r="B6159" t="inlineStr">
        <is>
          <t>avverkningsanmälan</t>
        </is>
      </c>
      <c r="C6159" t="inlineStr">
        <is>
          <t>Föryngringsavverkning</t>
        </is>
      </c>
      <c r="D6159" s="1" t="n">
        <v>45852</v>
      </c>
      <c r="E6159" s="1" t="n">
        <v>46307</v>
      </c>
      <c r="F6159" t="inlineStr">
        <is>
          <t>VÄRMLANDS LÄN</t>
        </is>
      </c>
      <c r="G6159" t="inlineStr">
        <is>
          <t>SUNNE</t>
        </is>
      </c>
      <c r="H6159" t="inlineStr">
        <is>
          <t>Kyrkan</t>
        </is>
      </c>
      <c r="I6159" t="n">
        <v>0.6</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2945-2024</t>
        </is>
      </c>
      <c r="B6160" t="inlineStr">
        <is>
          <t>avverkningsanmälan</t>
        </is>
      </c>
      <c r="C6160" t="inlineStr">
        <is>
          <t>Föryngringsavverkning</t>
        </is>
      </c>
      <c r="D6160" s="1" t="n">
        <v>45315</v>
      </c>
      <c r="E6160" s="1" t="n">
        <v>46307</v>
      </c>
      <c r="F6160" t="inlineStr">
        <is>
          <t>VÄRMLANDS LÄN</t>
        </is>
      </c>
      <c r="G6160" t="inlineStr">
        <is>
          <t>KRISTINEHAMN</t>
        </is>
      </c>
      <c r="I6160" t="n">
        <v>3.4</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57990-2023</t>
        </is>
      </c>
      <c r="B6161" t="inlineStr">
        <is>
          <t>avverkningsanmälan</t>
        </is>
      </c>
      <c r="C6161" t="inlineStr">
        <is>
          <t>Föryngringsavverkning</t>
        </is>
      </c>
      <c r="D6161" s="1" t="n">
        <v>45247</v>
      </c>
      <c r="E6161" s="1" t="n">
        <v>46307</v>
      </c>
      <c r="F6161" t="inlineStr">
        <is>
          <t>VÄRMLANDS LÄN</t>
        </is>
      </c>
      <c r="G6161" t="inlineStr">
        <is>
          <t>TORSBY</t>
        </is>
      </c>
      <c r="I6161" t="n">
        <v>1.3</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57898-2023</t>
        </is>
      </c>
      <c r="B6162" t="inlineStr">
        <is>
          <t>avverkningsanmälan</t>
        </is>
      </c>
      <c r="C6162" t="inlineStr">
        <is>
          <t>Föryngringsavverkning</t>
        </is>
      </c>
      <c r="D6162" s="1" t="n">
        <v>45247</v>
      </c>
      <c r="E6162" s="1" t="n">
        <v>46307</v>
      </c>
      <c r="F6162" t="inlineStr">
        <is>
          <t>VÄRMLANDS LÄN</t>
        </is>
      </c>
      <c r="G6162" t="inlineStr">
        <is>
          <t>SUNNE</t>
        </is>
      </c>
      <c r="I6162" t="n">
        <v>3.1</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35253-2022</t>
        </is>
      </c>
      <c r="B6163" t="inlineStr">
        <is>
          <t>avverkningsanmälan</t>
        </is>
      </c>
      <c r="C6163" t="inlineStr">
        <is>
          <t>Föryngringsavverkning</t>
        </is>
      </c>
      <c r="D6163" s="1" t="n">
        <v>44797</v>
      </c>
      <c r="E6163" s="1" t="n">
        <v>46307</v>
      </c>
      <c r="F6163" t="inlineStr">
        <is>
          <t>VÄRMLANDS LÄN</t>
        </is>
      </c>
      <c r="G6163" t="inlineStr">
        <is>
          <t>GRUMS</t>
        </is>
      </c>
      <c r="I6163" t="n">
        <v>0.7</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6944-2025</t>
        </is>
      </c>
      <c r="B6164" t="inlineStr">
        <is>
          <t>avverkningsanmälan</t>
        </is>
      </c>
      <c r="C6164" t="inlineStr">
        <is>
          <t>Föryngringsavverkning</t>
        </is>
      </c>
      <c r="D6164" s="1" t="n">
        <v>45701</v>
      </c>
      <c r="E6164" s="1" t="n">
        <v>46307</v>
      </c>
      <c r="F6164" t="inlineStr">
        <is>
          <t>VÄRMLANDS LÄN</t>
        </is>
      </c>
      <c r="G6164" t="inlineStr">
        <is>
          <t>SUNNE</t>
        </is>
      </c>
      <c r="H6164" t="inlineStr">
        <is>
          <t>Bergvik skog väst AB</t>
        </is>
      </c>
      <c r="I6164" t="n">
        <v>2.8</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34840-2025</t>
        </is>
      </c>
      <c r="B6165" t="inlineStr">
        <is>
          <t>avverkningsanmälan</t>
        </is>
      </c>
      <c r="C6165" t="inlineStr">
        <is>
          <t>Föryngringsavverkning</t>
        </is>
      </c>
      <c r="D6165" s="1" t="n">
        <v>45849</v>
      </c>
      <c r="E6165" s="1" t="n">
        <v>46307</v>
      </c>
      <c r="F6165" t="inlineStr">
        <is>
          <t>VÄRMLANDS LÄN</t>
        </is>
      </c>
      <c r="G6165" t="inlineStr">
        <is>
          <t>ÅRJÄNG</t>
        </is>
      </c>
      <c r="I6165" t="n">
        <v>2.3</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56023-2025</t>
        </is>
      </c>
      <c r="B6166" t="inlineStr">
        <is>
          <t>avverkningsanmälan</t>
        </is>
      </c>
      <c r="C6166" t="inlineStr">
        <is>
          <t>Föryngringsavverkning</t>
        </is>
      </c>
      <c r="D6166" s="1" t="n">
        <v>45973</v>
      </c>
      <c r="E6166" s="1" t="n">
        <v>46307</v>
      </c>
      <c r="F6166" t="inlineStr">
        <is>
          <t>VÄRMLANDS LÄN</t>
        </is>
      </c>
      <c r="G6166" t="inlineStr">
        <is>
          <t>MUNKFORS</t>
        </is>
      </c>
      <c r="H6166" t="inlineStr">
        <is>
          <t>Bergvik skog väst AB</t>
        </is>
      </c>
      <c r="I6166" t="n">
        <v>5.8</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35449-2024</t>
        </is>
      </c>
      <c r="B6167" t="inlineStr">
        <is>
          <t>avverkningsanmälan</t>
        </is>
      </c>
      <c r="C6167" t="inlineStr">
        <is>
          <t>Föryngringsavverkning</t>
        </is>
      </c>
      <c r="D6167" s="1" t="n">
        <v>45531</v>
      </c>
      <c r="E6167" s="1" t="n">
        <v>46307</v>
      </c>
      <c r="F6167" t="inlineStr">
        <is>
          <t>VÄRMLANDS LÄN</t>
        </is>
      </c>
      <c r="G6167" t="inlineStr">
        <is>
          <t>KIL</t>
        </is>
      </c>
      <c r="I6167" t="n">
        <v>6.8</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51281-2024</t>
        </is>
      </c>
      <c r="B6168" t="inlineStr">
        <is>
          <t>avverkningsanmälan</t>
        </is>
      </c>
      <c r="C6168" t="inlineStr">
        <is>
          <t>Föryngringsavverkning</t>
        </is>
      </c>
      <c r="D6168" s="1" t="n">
        <v>45603</v>
      </c>
      <c r="E6168" s="1" t="n">
        <v>46307</v>
      </c>
      <c r="F6168" t="inlineStr">
        <is>
          <t>VÄRMLANDS LÄN</t>
        </is>
      </c>
      <c r="G6168" t="inlineStr">
        <is>
          <t>SUNNE</t>
        </is>
      </c>
      <c r="I6168" t="n">
        <v>1</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35063-2025</t>
        </is>
      </c>
      <c r="B6169" t="inlineStr">
        <is>
          <t>avverkningsanmälan</t>
        </is>
      </c>
      <c r="C6169" t="inlineStr">
        <is>
          <t>Föryngringsavverkning</t>
        </is>
      </c>
      <c r="D6169" s="1" t="n">
        <v>45852</v>
      </c>
      <c r="E6169" s="1" t="n">
        <v>46307</v>
      </c>
      <c r="F6169" t="inlineStr">
        <is>
          <t>VÄRMLANDS LÄN</t>
        </is>
      </c>
      <c r="G6169" t="inlineStr">
        <is>
          <t>SUNNE</t>
        </is>
      </c>
      <c r="H6169" t="inlineStr">
        <is>
          <t>Kyrkan</t>
        </is>
      </c>
      <c r="I6169" t="n">
        <v>3</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56045-2025</t>
        </is>
      </c>
      <c r="B6170" t="inlineStr">
        <is>
          <t>avverkningsanmälan</t>
        </is>
      </c>
      <c r="C6170" t="inlineStr">
        <is>
          <t>Föryngringsavverkning</t>
        </is>
      </c>
      <c r="D6170" s="1" t="n">
        <v>45973</v>
      </c>
      <c r="E6170" s="1" t="n">
        <v>46307</v>
      </c>
      <c r="F6170" t="inlineStr">
        <is>
          <t>VÄRMLANDS LÄN</t>
        </is>
      </c>
      <c r="G6170" t="inlineStr">
        <is>
          <t>FILIPSTAD</t>
        </is>
      </c>
      <c r="H6170" t="inlineStr">
        <is>
          <t>Bergvik skog väst AB</t>
        </is>
      </c>
      <c r="I6170" t="n">
        <v>3.6</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56052-2025</t>
        </is>
      </c>
      <c r="B6171" t="inlineStr">
        <is>
          <t>avverkningsanmälan</t>
        </is>
      </c>
      <c r="C6171" t="inlineStr">
        <is>
          <t>Föryngringsavverkning</t>
        </is>
      </c>
      <c r="D6171" s="1" t="n">
        <v>45973</v>
      </c>
      <c r="E6171" s="1" t="n">
        <v>46307</v>
      </c>
      <c r="F6171" t="inlineStr">
        <is>
          <t>VÄRMLANDS LÄN</t>
        </is>
      </c>
      <c r="G6171" t="inlineStr">
        <is>
          <t>TORSBY</t>
        </is>
      </c>
      <c r="H6171" t="inlineStr">
        <is>
          <t>Bergvik skog väst AB</t>
        </is>
      </c>
      <c r="I6171" t="n">
        <v>2.3</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41208-2023</t>
        </is>
      </c>
      <c r="B6172" t="inlineStr">
        <is>
          <t>avverkningsanmälan</t>
        </is>
      </c>
      <c r="C6172" t="inlineStr">
        <is>
          <t>Föryngringsavverkning</t>
        </is>
      </c>
      <c r="D6172" s="1" t="n">
        <v>45174</v>
      </c>
      <c r="E6172" s="1" t="n">
        <v>46307</v>
      </c>
      <c r="F6172" t="inlineStr">
        <is>
          <t>VÄRMLANDS LÄN</t>
        </is>
      </c>
      <c r="G6172" t="inlineStr">
        <is>
          <t>SUNNE</t>
        </is>
      </c>
      <c r="I6172" t="n">
        <v>1.6</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3861-2025</t>
        </is>
      </c>
      <c r="B6173" t="inlineStr">
        <is>
          <t>avverkningsanmälan</t>
        </is>
      </c>
      <c r="C6173" t="inlineStr">
        <is>
          <t>Föryngringsavverkning</t>
        </is>
      </c>
      <c r="D6173" s="1" t="n">
        <v>45683</v>
      </c>
      <c r="E6173" s="1" t="n">
        <v>46307</v>
      </c>
      <c r="F6173" t="inlineStr">
        <is>
          <t>VÄRMLANDS LÄN</t>
        </is>
      </c>
      <c r="G6173" t="inlineStr">
        <is>
          <t>ÅRJÄNG</t>
        </is>
      </c>
      <c r="I6173" t="n">
        <v>2.4</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34795-2025</t>
        </is>
      </c>
      <c r="B6174" t="inlineStr">
        <is>
          <t>avverkningsanmälan</t>
        </is>
      </c>
      <c r="C6174" t="inlineStr">
        <is>
          <t>Föryngringsavverkning</t>
        </is>
      </c>
      <c r="D6174" s="1" t="n">
        <v>45848</v>
      </c>
      <c r="E6174" s="1" t="n">
        <v>46307</v>
      </c>
      <c r="F6174" t="inlineStr">
        <is>
          <t>VÄRMLANDS LÄN</t>
        </is>
      </c>
      <c r="G6174" t="inlineStr">
        <is>
          <t>EDA</t>
        </is>
      </c>
      <c r="I6174" t="n">
        <v>1.9</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61206-2024</t>
        </is>
      </c>
      <c r="B6175" t="inlineStr">
        <is>
          <t>avverkningsanmälan</t>
        </is>
      </c>
      <c r="C6175" t="inlineStr">
        <is>
          <t>Föryngringsavverkning</t>
        </is>
      </c>
      <c r="D6175" s="1" t="n">
        <v>45645</v>
      </c>
      <c r="E6175" s="1" t="n">
        <v>46307</v>
      </c>
      <c r="F6175" t="inlineStr">
        <is>
          <t>VÄRMLANDS LÄN</t>
        </is>
      </c>
      <c r="G6175" t="inlineStr">
        <is>
          <t>TORSBY</t>
        </is>
      </c>
      <c r="I6175" t="n">
        <v>1</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57392-2023</t>
        </is>
      </c>
      <c r="B6176" t="inlineStr">
        <is>
          <t>avverkningsanmälan</t>
        </is>
      </c>
      <c r="C6176" t="inlineStr">
        <is>
          <t>Föryngringsavverkning</t>
        </is>
      </c>
      <c r="D6176" s="1" t="n">
        <v>45245</v>
      </c>
      <c r="E6176" s="1" t="n">
        <v>46307</v>
      </c>
      <c r="F6176" t="inlineStr">
        <is>
          <t>VÄRMLANDS LÄN</t>
        </is>
      </c>
      <c r="G6176" t="inlineStr">
        <is>
          <t>SUNNE</t>
        </is>
      </c>
      <c r="I6176" t="n">
        <v>1.5</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28195-2022</t>
        </is>
      </c>
      <c r="B6177" t="inlineStr">
        <is>
          <t>avverkningsanmälan</t>
        </is>
      </c>
      <c r="C6177" t="inlineStr">
        <is>
          <t>Föryngringsavverkning</t>
        </is>
      </c>
      <c r="D6177" s="1" t="n">
        <v>44746</v>
      </c>
      <c r="E6177" s="1" t="n">
        <v>46307</v>
      </c>
      <c r="F6177" t="inlineStr">
        <is>
          <t>VÄRMLANDS LÄN</t>
        </is>
      </c>
      <c r="G6177" t="inlineStr">
        <is>
          <t>KIL</t>
        </is>
      </c>
      <c r="H6177" t="inlineStr">
        <is>
          <t>Bergvik skog väst AB</t>
        </is>
      </c>
      <c r="I6177" t="n">
        <v>2.1</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12630-2025</t>
        </is>
      </c>
      <c r="B6178" t="inlineStr">
        <is>
          <t>avverkningsanmälan</t>
        </is>
      </c>
      <c r="C6178" t="inlineStr">
        <is>
          <t>Föryngringsavverkning</t>
        </is>
      </c>
      <c r="D6178" s="1" t="n">
        <v>45733</v>
      </c>
      <c r="E6178" s="1" t="n">
        <v>46307</v>
      </c>
      <c r="F6178" t="inlineStr">
        <is>
          <t>VÄRMLANDS LÄN</t>
        </is>
      </c>
      <c r="G6178" t="inlineStr">
        <is>
          <t>SÄFFLE</t>
        </is>
      </c>
      <c r="I6178" t="n">
        <v>1.4</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35077-2025</t>
        </is>
      </c>
      <c r="B6179" t="inlineStr">
        <is>
          <t>avverkningsanmälan</t>
        </is>
      </c>
      <c r="C6179" t="inlineStr">
        <is>
          <t>Föryngringsavverkning</t>
        </is>
      </c>
      <c r="D6179" s="1" t="n">
        <v>45852</v>
      </c>
      <c r="E6179" s="1" t="n">
        <v>46307</v>
      </c>
      <c r="F6179" t="inlineStr">
        <is>
          <t>VÄRMLANDS LÄN</t>
        </is>
      </c>
      <c r="G6179" t="inlineStr">
        <is>
          <t>SUNNE</t>
        </is>
      </c>
      <c r="H6179" t="inlineStr">
        <is>
          <t>Bergvik skog väst AB</t>
        </is>
      </c>
      <c r="I6179" t="n">
        <v>5.3</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34831-2025</t>
        </is>
      </c>
      <c r="B6180" t="inlineStr">
        <is>
          <t>avverkningsanmälan</t>
        </is>
      </c>
      <c r="C6180" t="inlineStr">
        <is>
          <t>Föryngringsavverkning</t>
        </is>
      </c>
      <c r="D6180" s="1" t="n">
        <v>45849</v>
      </c>
      <c r="E6180" s="1" t="n">
        <v>46307</v>
      </c>
      <c r="F6180" t="inlineStr">
        <is>
          <t>VÄRMLANDS LÄN</t>
        </is>
      </c>
      <c r="G6180" t="inlineStr">
        <is>
          <t>ÅRJÄNG</t>
        </is>
      </c>
      <c r="I6180" t="n">
        <v>5.4</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51088-2023</t>
        </is>
      </c>
      <c r="B6181" t="inlineStr">
        <is>
          <t>avverkningsanmälan</t>
        </is>
      </c>
      <c r="C6181" t="inlineStr">
        <is>
          <t>Föryngringsavverkning</t>
        </is>
      </c>
      <c r="D6181" s="1" t="n">
        <v>45218</v>
      </c>
      <c r="E6181" s="1" t="n">
        <v>46307</v>
      </c>
      <c r="F6181" t="inlineStr">
        <is>
          <t>VÄRMLANDS LÄN</t>
        </is>
      </c>
      <c r="G6181" t="inlineStr">
        <is>
          <t>KARLSTAD</t>
        </is>
      </c>
      <c r="I6181" t="n">
        <v>9.800000000000001</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30077-2025</t>
        </is>
      </c>
      <c r="B6182" t="inlineStr">
        <is>
          <t>avverkningsanmälan</t>
        </is>
      </c>
      <c r="C6182" t="inlineStr">
        <is>
          <t>Föryngringsavverkning</t>
        </is>
      </c>
      <c r="D6182" s="1" t="n">
        <v>45826</v>
      </c>
      <c r="E6182" s="1" t="n">
        <v>46307</v>
      </c>
      <c r="F6182" t="inlineStr">
        <is>
          <t>VÄRMLANDS LÄN</t>
        </is>
      </c>
      <c r="G6182" t="inlineStr">
        <is>
          <t>FILIPSTAD</t>
        </is>
      </c>
      <c r="H6182" t="inlineStr">
        <is>
          <t>Bergvik skog väst AB</t>
        </is>
      </c>
      <c r="I6182" t="n">
        <v>3</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40036-2022</t>
        </is>
      </c>
      <c r="B6183" t="inlineStr">
        <is>
          <t>avverkningsanmälan</t>
        </is>
      </c>
      <c r="C6183" t="inlineStr">
        <is>
          <t>Föryngringsavverkning</t>
        </is>
      </c>
      <c r="D6183" s="1" t="n">
        <v>44820</v>
      </c>
      <c r="E6183" s="1" t="n">
        <v>46307</v>
      </c>
      <c r="F6183" t="inlineStr">
        <is>
          <t>VÄRMLANDS LÄN</t>
        </is>
      </c>
      <c r="G6183" t="inlineStr">
        <is>
          <t>TORSBY</t>
        </is>
      </c>
      <c r="I6183" t="n">
        <v>1</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14050-2025</t>
        </is>
      </c>
      <c r="B6184" t="inlineStr">
        <is>
          <t>avverkningsanmälan</t>
        </is>
      </c>
      <c r="C6184" t="inlineStr">
        <is>
          <t>Föryngringsavverkning</t>
        </is>
      </c>
      <c r="D6184" s="1" t="n">
        <v>45738</v>
      </c>
      <c r="E6184" s="1" t="n">
        <v>46307</v>
      </c>
      <c r="F6184" t="inlineStr">
        <is>
          <t>VÄRMLANDS LÄN</t>
        </is>
      </c>
      <c r="G6184" t="inlineStr">
        <is>
          <t>SUNNE</t>
        </is>
      </c>
      <c r="I6184" t="n">
        <v>1.4</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56511-2025</t>
        </is>
      </c>
      <c r="B6185" t="inlineStr">
        <is>
          <t>avverkningsanmälan</t>
        </is>
      </c>
      <c r="C6185" t="inlineStr">
        <is>
          <t>Avverkning för annat ändamål</t>
        </is>
      </c>
      <c r="D6185" s="1" t="n">
        <v>45975</v>
      </c>
      <c r="E6185" s="1" t="n">
        <v>46307</v>
      </c>
      <c r="F6185" t="inlineStr">
        <is>
          <t>VÄRMLANDS LÄN</t>
        </is>
      </c>
      <c r="G6185" t="inlineStr">
        <is>
          <t>EDA</t>
        </is>
      </c>
      <c r="I6185" t="n">
        <v>0.5</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14464-2025</t>
        </is>
      </c>
      <c r="B6186" t="inlineStr">
        <is>
          <t>avverkningsanmälan</t>
        </is>
      </c>
      <c r="C6186" t="inlineStr">
        <is>
          <t>Föryngringsavverkning</t>
        </is>
      </c>
      <c r="D6186" s="1" t="n">
        <v>45741</v>
      </c>
      <c r="E6186" s="1" t="n">
        <v>46307</v>
      </c>
      <c r="F6186" t="inlineStr">
        <is>
          <t>VÄRMLANDS LÄN</t>
        </is>
      </c>
      <c r="G6186" t="inlineStr">
        <is>
          <t>HAGFORS</t>
        </is>
      </c>
      <c r="H6186" t="inlineStr">
        <is>
          <t>Bergvik skog väst AB</t>
        </is>
      </c>
      <c r="I6186" t="n">
        <v>3.2</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16065-2022</t>
        </is>
      </c>
      <c r="B6187" t="inlineStr">
        <is>
          <t>avverkningsanmälan</t>
        </is>
      </c>
      <c r="C6187" t="inlineStr">
        <is>
          <t>Föryngringsavverkning</t>
        </is>
      </c>
      <c r="D6187" s="1" t="n">
        <v>44665</v>
      </c>
      <c r="E6187" s="1" t="n">
        <v>46307</v>
      </c>
      <c r="F6187" t="inlineStr">
        <is>
          <t>VÄRMLANDS LÄN</t>
        </is>
      </c>
      <c r="G6187" t="inlineStr">
        <is>
          <t>EDA</t>
        </is>
      </c>
      <c r="I6187" t="n">
        <v>1.2</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32009-2022</t>
        </is>
      </c>
      <c r="B6188" t="inlineStr">
        <is>
          <t>avverkningsanmälan</t>
        </is>
      </c>
      <c r="C6188" t="inlineStr">
        <is>
          <t>Föryngringsavverkning</t>
        </is>
      </c>
      <c r="D6188" s="1" t="n">
        <v>44778</v>
      </c>
      <c r="E6188" s="1" t="n">
        <v>46307</v>
      </c>
      <c r="F6188" t="inlineStr">
        <is>
          <t>VÄRMLANDS LÄN</t>
        </is>
      </c>
      <c r="G6188" t="inlineStr">
        <is>
          <t>ARVIKA</t>
        </is>
      </c>
      <c r="I6188" t="n">
        <v>1.3</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32011-2022</t>
        </is>
      </c>
      <c r="B6189" t="inlineStr">
        <is>
          <t>avverkningsanmälan</t>
        </is>
      </c>
      <c r="C6189" t="inlineStr">
        <is>
          <t>Föryngringsavverkning</t>
        </is>
      </c>
      <c r="D6189" s="1" t="n">
        <v>44778</v>
      </c>
      <c r="E6189" s="1" t="n">
        <v>46307</v>
      </c>
      <c r="F6189" t="inlineStr">
        <is>
          <t>VÄRMLANDS LÄN</t>
        </is>
      </c>
      <c r="G6189" t="inlineStr">
        <is>
          <t>SUNNE</t>
        </is>
      </c>
      <c r="I6189" t="n">
        <v>2.5</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56761-2025</t>
        </is>
      </c>
      <c r="B6190" t="inlineStr">
        <is>
          <t>avverkningsanmälan</t>
        </is>
      </c>
      <c r="C6190" t="inlineStr">
        <is>
          <t>Föryngringsavverkning</t>
        </is>
      </c>
      <c r="D6190" s="1" t="n">
        <v>45978</v>
      </c>
      <c r="E6190" s="1" t="n">
        <v>46307</v>
      </c>
      <c r="F6190" t="inlineStr">
        <is>
          <t>VÄRMLANDS LÄN</t>
        </is>
      </c>
      <c r="G6190" t="inlineStr">
        <is>
          <t>TORSBY</t>
        </is>
      </c>
      <c r="H6190" t="inlineStr">
        <is>
          <t>Bergvik skog väst AB</t>
        </is>
      </c>
      <c r="I6190" t="n">
        <v>2.4</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11904-2025</t>
        </is>
      </c>
      <c r="B6191" t="inlineStr">
        <is>
          <t>avverkningsanmälan</t>
        </is>
      </c>
      <c r="C6191" t="inlineStr">
        <is>
          <t>Föryngringsavverkning</t>
        </is>
      </c>
      <c r="D6191" s="1" t="n">
        <v>45728</v>
      </c>
      <c r="E6191" s="1" t="n">
        <v>46307</v>
      </c>
      <c r="F6191" t="inlineStr">
        <is>
          <t>VÄRMLANDS LÄN</t>
        </is>
      </c>
      <c r="G6191" t="inlineStr">
        <is>
          <t>SÄFFLE</t>
        </is>
      </c>
      <c r="I6191" t="n">
        <v>9</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29615-2025</t>
        </is>
      </c>
      <c r="B6192" t="inlineStr">
        <is>
          <t>avverkningsanmälan</t>
        </is>
      </c>
      <c r="C6192" t="inlineStr">
        <is>
          <t>Avverkning för annat ändamål</t>
        </is>
      </c>
      <c r="D6192" s="1" t="n">
        <v>45825</v>
      </c>
      <c r="E6192" s="1" t="n">
        <v>46307</v>
      </c>
      <c r="F6192" t="inlineStr">
        <is>
          <t>VÄRMLANDS LÄN</t>
        </is>
      </c>
      <c r="G6192" t="inlineStr">
        <is>
          <t>ARVIKA</t>
        </is>
      </c>
      <c r="H6192" t="inlineStr">
        <is>
          <t>Bergvik skog väst AB</t>
        </is>
      </c>
      <c r="I6192" t="n">
        <v>1.2</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13543-2025</t>
        </is>
      </c>
      <c r="B6193" t="inlineStr">
        <is>
          <t>avverkningsanmälan</t>
        </is>
      </c>
      <c r="C6193" t="inlineStr">
        <is>
          <t>Föryngringsavverkning</t>
        </is>
      </c>
      <c r="D6193" s="1" t="n">
        <v>45736</v>
      </c>
      <c r="E6193" s="1" t="n">
        <v>46307</v>
      </c>
      <c r="F6193" t="inlineStr">
        <is>
          <t>VÄRMLANDS LÄN</t>
        </is>
      </c>
      <c r="G6193" t="inlineStr">
        <is>
          <t>KARLSTAD</t>
        </is>
      </c>
      <c r="I6193" t="n">
        <v>4.7</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10180-2023</t>
        </is>
      </c>
      <c r="B6194" t="inlineStr">
        <is>
          <t>avverkningsanmälan</t>
        </is>
      </c>
      <c r="C6194" t="inlineStr">
        <is>
          <t>Föryngringsavverkning</t>
        </is>
      </c>
      <c r="D6194" s="1" t="n">
        <v>44986</v>
      </c>
      <c r="E6194" s="1" t="n">
        <v>46307</v>
      </c>
      <c r="F6194" t="inlineStr">
        <is>
          <t>VÄRMLANDS LÄN</t>
        </is>
      </c>
      <c r="G6194" t="inlineStr">
        <is>
          <t>ÅRJÄNG</t>
        </is>
      </c>
      <c r="I6194" t="n">
        <v>4.6</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35289-2025</t>
        </is>
      </c>
      <c r="B6195" t="inlineStr">
        <is>
          <t>avverkningsanmälan</t>
        </is>
      </c>
      <c r="C6195" t="inlineStr">
        <is>
          <t>Föryngringsavverkning</t>
        </is>
      </c>
      <c r="D6195" s="1" t="n">
        <v>45854</v>
      </c>
      <c r="E6195" s="1" t="n">
        <v>46307</v>
      </c>
      <c r="F6195" t="inlineStr">
        <is>
          <t>VÄRMLANDS LÄN</t>
        </is>
      </c>
      <c r="G6195" t="inlineStr">
        <is>
          <t>HAGFORS</t>
        </is>
      </c>
      <c r="H6195" t="inlineStr">
        <is>
          <t>Kyrkan</t>
        </is>
      </c>
      <c r="I6195" t="n">
        <v>2.1</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29655-2022</t>
        </is>
      </c>
      <c r="B6196" t="inlineStr">
        <is>
          <t>avverkningsanmälan</t>
        </is>
      </c>
      <c r="C6196" t="inlineStr">
        <is>
          <t>Föryngringsavverkning</t>
        </is>
      </c>
      <c r="D6196" s="1" t="n">
        <v>44754</v>
      </c>
      <c r="E6196" s="1" t="n">
        <v>46307</v>
      </c>
      <c r="F6196" t="inlineStr">
        <is>
          <t>VÄRMLANDS LÄN</t>
        </is>
      </c>
      <c r="G6196" t="inlineStr">
        <is>
          <t>KARLSTAD</t>
        </is>
      </c>
      <c r="H6196" t="inlineStr">
        <is>
          <t>Kommuner</t>
        </is>
      </c>
      <c r="I6196" t="n">
        <v>0.7</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375-2025</t>
        </is>
      </c>
      <c r="B6197" t="inlineStr">
        <is>
          <t>avverkningsanmälan</t>
        </is>
      </c>
      <c r="C6197" t="inlineStr">
        <is>
          <t>Föryngringsavverkning</t>
        </is>
      </c>
      <c r="D6197" s="1" t="n">
        <v>45661</v>
      </c>
      <c r="E6197" s="1" t="n">
        <v>46307</v>
      </c>
      <c r="F6197" t="inlineStr">
        <is>
          <t>VÄRMLANDS LÄN</t>
        </is>
      </c>
      <c r="G6197" t="inlineStr">
        <is>
          <t>TORSBY</t>
        </is>
      </c>
      <c r="I6197" t="n">
        <v>5.5</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35191-2025</t>
        </is>
      </c>
      <c r="B6198" t="inlineStr">
        <is>
          <t>avverkningsanmälan</t>
        </is>
      </c>
      <c r="C6198" t="inlineStr">
        <is>
          <t>Föryngringsavverkning</t>
        </is>
      </c>
      <c r="D6198" s="1" t="n">
        <v>45853</v>
      </c>
      <c r="E6198" s="1" t="n">
        <v>46307</v>
      </c>
      <c r="F6198" t="inlineStr">
        <is>
          <t>VÄRMLANDS LÄN</t>
        </is>
      </c>
      <c r="G6198" t="inlineStr">
        <is>
          <t>TORSBY</t>
        </is>
      </c>
      <c r="H6198" t="inlineStr">
        <is>
          <t>Bergvik skog väst AB</t>
        </is>
      </c>
      <c r="I6198" t="n">
        <v>9.9</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38084-2023</t>
        </is>
      </c>
      <c r="B6199" t="inlineStr">
        <is>
          <t>avverkningsanmälan</t>
        </is>
      </c>
      <c r="C6199" t="inlineStr">
        <is>
          <t>Föryngringsavverkning</t>
        </is>
      </c>
      <c r="D6199" s="1" t="n">
        <v>45160</v>
      </c>
      <c r="E6199" s="1" t="n">
        <v>46307</v>
      </c>
      <c r="F6199" t="inlineStr">
        <is>
          <t>VÄRMLANDS LÄN</t>
        </is>
      </c>
      <c r="G6199" t="inlineStr">
        <is>
          <t>TORSBY</t>
        </is>
      </c>
      <c r="I6199" t="n">
        <v>1.4</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35185-2025</t>
        </is>
      </c>
      <c r="B6200" t="inlineStr">
        <is>
          <t>avverkningsanmälan</t>
        </is>
      </c>
      <c r="C6200" t="inlineStr">
        <is>
          <t>Föryngringsavverkning</t>
        </is>
      </c>
      <c r="D6200" s="1" t="n">
        <v>45853</v>
      </c>
      <c r="E6200" s="1" t="n">
        <v>46307</v>
      </c>
      <c r="F6200" t="inlineStr">
        <is>
          <t>VÄRMLANDS LÄN</t>
        </is>
      </c>
      <c r="G6200" t="inlineStr">
        <is>
          <t>TORSBY</t>
        </is>
      </c>
      <c r="H6200" t="inlineStr">
        <is>
          <t>Bergvik skog väst AB</t>
        </is>
      </c>
      <c r="I6200" t="n">
        <v>4</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35831-2023</t>
        </is>
      </c>
      <c r="B6201" t="inlineStr">
        <is>
          <t>avverkningsanmälan</t>
        </is>
      </c>
      <c r="C6201" t="inlineStr">
        <is>
          <t>Föryngringsavverkning</t>
        </is>
      </c>
      <c r="D6201" s="1" t="n">
        <v>45148</v>
      </c>
      <c r="E6201" s="1" t="n">
        <v>46307</v>
      </c>
      <c r="F6201" t="inlineStr">
        <is>
          <t>VÄRMLANDS LÄN</t>
        </is>
      </c>
      <c r="G6201" t="inlineStr">
        <is>
          <t>FORSHAGA</t>
        </is>
      </c>
      <c r="H6201" t="inlineStr">
        <is>
          <t>Kommuner</t>
        </is>
      </c>
      <c r="I6201" t="n">
        <v>2.2</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23358-2023</t>
        </is>
      </c>
      <c r="B6202" t="inlineStr">
        <is>
          <t>avverkningsanmälan</t>
        </is>
      </c>
      <c r="C6202" t="inlineStr">
        <is>
          <t>Föryngringsavverkning</t>
        </is>
      </c>
      <c r="D6202" s="1" t="n">
        <v>45076</v>
      </c>
      <c r="E6202" s="1" t="n">
        <v>46307</v>
      </c>
      <c r="F6202" t="inlineStr">
        <is>
          <t>VÄRMLANDS LÄN</t>
        </is>
      </c>
      <c r="G6202" t="inlineStr">
        <is>
          <t>ARVIKA</t>
        </is>
      </c>
      <c r="I6202" t="n">
        <v>0.7</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35863-2023</t>
        </is>
      </c>
      <c r="B6203" t="inlineStr">
        <is>
          <t>avverkningsanmälan</t>
        </is>
      </c>
      <c r="C6203" t="inlineStr">
        <is>
          <t>Föryngringsavverkning</t>
        </is>
      </c>
      <c r="D6203" s="1" t="n">
        <v>45148</v>
      </c>
      <c r="E6203" s="1" t="n">
        <v>46307</v>
      </c>
      <c r="F6203" t="inlineStr">
        <is>
          <t>VÄRMLANDS LÄN</t>
        </is>
      </c>
      <c r="G6203" t="inlineStr">
        <is>
          <t>FORSHAGA</t>
        </is>
      </c>
      <c r="H6203" t="inlineStr">
        <is>
          <t>Kommuner</t>
        </is>
      </c>
      <c r="I6203" t="n">
        <v>1.3</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26201-2024</t>
        </is>
      </c>
      <c r="B6204" t="inlineStr">
        <is>
          <t>avverkningsanmälan</t>
        </is>
      </c>
      <c r="C6204" t="inlineStr">
        <is>
          <t>Föryngringsavverkning</t>
        </is>
      </c>
      <c r="D6204" s="1" t="n">
        <v>45468</v>
      </c>
      <c r="E6204" s="1" t="n">
        <v>46307</v>
      </c>
      <c r="F6204" t="inlineStr">
        <is>
          <t>VÄRMLANDS LÄN</t>
        </is>
      </c>
      <c r="G6204" t="inlineStr">
        <is>
          <t>STORFORS</t>
        </is>
      </c>
      <c r="H6204" t="inlineStr">
        <is>
          <t>Bergvik skog väst AB</t>
        </is>
      </c>
      <c r="I6204" t="n">
        <v>25.4</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34163-2025</t>
        </is>
      </c>
      <c r="B6205" t="inlineStr">
        <is>
          <t>avverkningsanmälan</t>
        </is>
      </c>
      <c r="C6205" t="inlineStr">
        <is>
          <t>Föryngringsavverkning</t>
        </is>
      </c>
      <c r="D6205" s="1" t="n">
        <v>45844</v>
      </c>
      <c r="E6205" s="1" t="n">
        <v>46307</v>
      </c>
      <c r="F6205" t="inlineStr">
        <is>
          <t>VÄRMLANDS LÄN</t>
        </is>
      </c>
      <c r="G6205" t="inlineStr">
        <is>
          <t>ÅRJÄNG</t>
        </is>
      </c>
      <c r="I6205" t="n">
        <v>4.5</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69862-2021</t>
        </is>
      </c>
      <c r="B6206" t="inlineStr">
        <is>
          <t>avverkningsanmälan</t>
        </is>
      </c>
      <c r="C6206" t="inlineStr">
        <is>
          <t>Föryngringsavverkning</t>
        </is>
      </c>
      <c r="D6206" s="1" t="n">
        <v>44532</v>
      </c>
      <c r="E6206" s="1" t="n">
        <v>46307</v>
      </c>
      <c r="F6206" t="inlineStr">
        <is>
          <t>VÄRMLANDS LÄN</t>
        </is>
      </c>
      <c r="G6206" t="inlineStr">
        <is>
          <t>ÅRJÄNG</t>
        </is>
      </c>
      <c r="I6206" t="n">
        <v>1.6</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35312-2025</t>
        </is>
      </c>
      <c r="B6207" t="inlineStr">
        <is>
          <t>avverkningsanmälan</t>
        </is>
      </c>
      <c r="C6207" t="inlineStr">
        <is>
          <t>Föryngringsavverkning</t>
        </is>
      </c>
      <c r="D6207" s="1" t="n">
        <v>45854</v>
      </c>
      <c r="E6207" s="1" t="n">
        <v>46307</v>
      </c>
      <c r="F6207" t="inlineStr">
        <is>
          <t>VÄRMLANDS LÄN</t>
        </is>
      </c>
      <c r="G6207" t="inlineStr">
        <is>
          <t>HAGFORS</t>
        </is>
      </c>
      <c r="H6207" t="inlineStr">
        <is>
          <t>Kyrkan</t>
        </is>
      </c>
      <c r="I6207" t="n">
        <v>3.2</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29558-2024</t>
        </is>
      </c>
      <c r="B6208" t="inlineStr">
        <is>
          <t>avverkningsanmälan</t>
        </is>
      </c>
      <c r="C6208" t="inlineStr">
        <is>
          <t>Föryngringsavverkning</t>
        </is>
      </c>
      <c r="D6208" s="1" t="n">
        <v>45484</v>
      </c>
      <c r="E6208" s="1" t="n">
        <v>46307</v>
      </c>
      <c r="F6208" t="inlineStr">
        <is>
          <t>VÄRMLANDS LÄN</t>
        </is>
      </c>
      <c r="G6208" t="inlineStr">
        <is>
          <t>ÅRJÄNG</t>
        </is>
      </c>
      <c r="I6208" t="n">
        <v>1.1</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35218-2025</t>
        </is>
      </c>
      <c r="B6209" t="inlineStr">
        <is>
          <t>avverkningsanmälan</t>
        </is>
      </c>
      <c r="C6209" t="inlineStr">
        <is>
          <t>Föryngringsavverkning</t>
        </is>
      </c>
      <c r="D6209" s="1" t="n">
        <v>45853</v>
      </c>
      <c r="E6209" s="1" t="n">
        <v>46307</v>
      </c>
      <c r="F6209" t="inlineStr">
        <is>
          <t>VÄRMLANDS LÄN</t>
        </is>
      </c>
      <c r="G6209" t="inlineStr">
        <is>
          <t>SUNNE</t>
        </is>
      </c>
      <c r="I6209" t="n">
        <v>0.7</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56525-2025</t>
        </is>
      </c>
      <c r="B6210" t="inlineStr">
        <is>
          <t>avverkningsanmälan</t>
        </is>
      </c>
      <c r="C6210" t="inlineStr">
        <is>
          <t>Föryngringsavverkning</t>
        </is>
      </c>
      <c r="D6210" s="1" t="n">
        <v>45975</v>
      </c>
      <c r="E6210" s="1" t="n">
        <v>46307</v>
      </c>
      <c r="F6210" t="inlineStr">
        <is>
          <t>VÄRMLANDS LÄN</t>
        </is>
      </c>
      <c r="G6210" t="inlineStr">
        <is>
          <t>STORFORS</t>
        </is>
      </c>
      <c r="H6210" t="inlineStr">
        <is>
          <t>Bergvik skog väst AB</t>
        </is>
      </c>
      <c r="I6210" t="n">
        <v>5.1</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34159-2025</t>
        </is>
      </c>
      <c r="B6211" t="inlineStr">
        <is>
          <t>avverkningsanmälan</t>
        </is>
      </c>
      <c r="C6211" t="inlineStr">
        <is>
          <t>Föryngringsavverkning</t>
        </is>
      </c>
      <c r="D6211" s="1" t="n">
        <v>45844</v>
      </c>
      <c r="E6211" s="1" t="n">
        <v>46307</v>
      </c>
      <c r="F6211" t="inlineStr">
        <is>
          <t>VÄRMLANDS LÄN</t>
        </is>
      </c>
      <c r="G6211" t="inlineStr">
        <is>
          <t>ÅRJÄNG</t>
        </is>
      </c>
      <c r="I6211" t="n">
        <v>0.6</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64287-2023</t>
        </is>
      </c>
      <c r="B6212" t="inlineStr">
        <is>
          <t>avverkningsanmälan</t>
        </is>
      </c>
      <c r="C6212" t="inlineStr">
        <is>
          <t>Föryngringsavverkning</t>
        </is>
      </c>
      <c r="D6212" s="1" t="n">
        <v>45279</v>
      </c>
      <c r="E6212" s="1" t="n">
        <v>46307</v>
      </c>
      <c r="F6212" t="inlineStr">
        <is>
          <t>VÄRMLANDS LÄN</t>
        </is>
      </c>
      <c r="G6212" t="inlineStr">
        <is>
          <t>EDA</t>
        </is>
      </c>
      <c r="I6212" t="n">
        <v>1.8</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26265-2024</t>
        </is>
      </c>
      <c r="B6213" t="inlineStr">
        <is>
          <t>avverkningsanmälan</t>
        </is>
      </c>
      <c r="C6213" t="inlineStr">
        <is>
          <t>Föryngringsavverkning</t>
        </is>
      </c>
      <c r="D6213" s="1" t="n">
        <v>45468</v>
      </c>
      <c r="E6213" s="1" t="n">
        <v>46307</v>
      </c>
      <c r="F6213" t="inlineStr">
        <is>
          <t>VÄRMLANDS LÄN</t>
        </is>
      </c>
      <c r="G6213" t="inlineStr">
        <is>
          <t>ÅRJÄNG</t>
        </is>
      </c>
      <c r="I6213" t="n">
        <v>3.4</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64368-2023</t>
        </is>
      </c>
      <c r="B6214" t="inlineStr">
        <is>
          <t>avverkningsanmälan</t>
        </is>
      </c>
      <c r="C6214" t="inlineStr">
        <is>
          <t>Föryngringsavverkning</t>
        </is>
      </c>
      <c r="D6214" s="1" t="n">
        <v>45278</v>
      </c>
      <c r="E6214" s="1" t="n">
        <v>46307</v>
      </c>
      <c r="F6214" t="inlineStr">
        <is>
          <t>VÄRMLANDS LÄN</t>
        </is>
      </c>
      <c r="G6214" t="inlineStr">
        <is>
          <t>SÄFFLE</t>
        </is>
      </c>
      <c r="I6214" t="n">
        <v>2.8</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64381-2023</t>
        </is>
      </c>
      <c r="B6215" t="inlineStr">
        <is>
          <t>avverkningsanmälan</t>
        </is>
      </c>
      <c r="C6215" t="inlineStr">
        <is>
          <t>Avverkning för annat ändamål</t>
        </is>
      </c>
      <c r="D6215" s="1" t="n">
        <v>45280</v>
      </c>
      <c r="E6215" s="1" t="n">
        <v>46307</v>
      </c>
      <c r="F6215" t="inlineStr">
        <is>
          <t>VÄRMLANDS LÄN</t>
        </is>
      </c>
      <c r="G6215" t="inlineStr">
        <is>
          <t>ÅRJÄNG</t>
        </is>
      </c>
      <c r="I6215" t="n">
        <v>1.1</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36318-2022</t>
        </is>
      </c>
      <c r="B6216" t="inlineStr">
        <is>
          <t>avverkningsanmälan</t>
        </is>
      </c>
      <c r="C6216" t="inlineStr">
        <is>
          <t>Föryngringsavverkning</t>
        </is>
      </c>
      <c r="D6216" s="1" t="n">
        <v>44803</v>
      </c>
      <c r="E6216" s="1" t="n">
        <v>46307</v>
      </c>
      <c r="F6216" t="inlineStr">
        <is>
          <t>VÄRMLANDS LÄN</t>
        </is>
      </c>
      <c r="G6216" t="inlineStr">
        <is>
          <t>TORSBY</t>
        </is>
      </c>
      <c r="I6216" t="n">
        <v>0.6</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35342-2025</t>
        </is>
      </c>
      <c r="B6217" t="inlineStr">
        <is>
          <t>avverkningsanmälan</t>
        </is>
      </c>
      <c r="C6217" t="inlineStr">
        <is>
          <t>Föryngringsavverkning</t>
        </is>
      </c>
      <c r="D6217" s="1" t="n">
        <v>45854</v>
      </c>
      <c r="E6217" s="1" t="n">
        <v>46307</v>
      </c>
      <c r="F6217" t="inlineStr">
        <is>
          <t>VÄRMLANDS LÄN</t>
        </is>
      </c>
      <c r="G6217" t="inlineStr">
        <is>
          <t>ARVIKA</t>
        </is>
      </c>
      <c r="H6217" t="inlineStr">
        <is>
          <t>Bergvik skog väst AB</t>
        </is>
      </c>
      <c r="I6217" t="n">
        <v>2</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11290-2025</t>
        </is>
      </c>
      <c r="B6218" t="inlineStr">
        <is>
          <t>avverkningsanmälan</t>
        </is>
      </c>
      <c r="C6218" t="inlineStr">
        <is>
          <t>Föryngringsavverkning</t>
        </is>
      </c>
      <c r="D6218" s="1" t="n">
        <v>45726</v>
      </c>
      <c r="E6218" s="1" t="n">
        <v>46307</v>
      </c>
      <c r="F6218" t="inlineStr">
        <is>
          <t>VÄRMLANDS LÄN</t>
        </is>
      </c>
      <c r="G6218" t="inlineStr">
        <is>
          <t>STORFORS</t>
        </is>
      </c>
      <c r="I6218" t="n">
        <v>4.1</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35132-2022</t>
        </is>
      </c>
      <c r="B6219" t="inlineStr">
        <is>
          <t>avverkningsanmälan</t>
        </is>
      </c>
      <c r="C6219" t="inlineStr">
        <is>
          <t>Föryngringsavverkning</t>
        </is>
      </c>
      <c r="D6219" s="1" t="n">
        <v>44797</v>
      </c>
      <c r="E6219" s="1" t="n">
        <v>46307</v>
      </c>
      <c r="F6219" t="inlineStr">
        <is>
          <t>VÄRMLANDS LÄN</t>
        </is>
      </c>
      <c r="G6219" t="inlineStr">
        <is>
          <t>TORSBY</t>
        </is>
      </c>
      <c r="I6219" t="n">
        <v>2.1</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4510-2023</t>
        </is>
      </c>
      <c r="B6220" t="inlineStr">
        <is>
          <t>avverkningsanmälan</t>
        </is>
      </c>
      <c r="C6220" t="inlineStr">
        <is>
          <t>Föryngringsavverkning</t>
        </is>
      </c>
      <c r="D6220" s="1" t="n">
        <v>44956</v>
      </c>
      <c r="E6220" s="1" t="n">
        <v>46307</v>
      </c>
      <c r="F6220" t="inlineStr">
        <is>
          <t>VÄRMLANDS LÄN</t>
        </is>
      </c>
      <c r="G6220" t="inlineStr">
        <is>
          <t>TORSBY</t>
        </is>
      </c>
      <c r="I6220" t="n">
        <v>1.3</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1125-2025</t>
        </is>
      </c>
      <c r="B6221" t="inlineStr">
        <is>
          <t>avverkningsanmälan</t>
        </is>
      </c>
      <c r="C6221" t="inlineStr">
        <is>
          <t>Föryngringsavverkning</t>
        </is>
      </c>
      <c r="D6221" s="1" t="n">
        <v>45666</v>
      </c>
      <c r="E6221" s="1" t="n">
        <v>46307</v>
      </c>
      <c r="F6221" t="inlineStr">
        <is>
          <t>VÄRMLANDS LÄN</t>
        </is>
      </c>
      <c r="G6221" t="inlineStr">
        <is>
          <t>SUNNE</t>
        </is>
      </c>
      <c r="I6221" t="n">
        <v>0.9</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8966-2023</t>
        </is>
      </c>
      <c r="B6222" t="inlineStr">
        <is>
          <t>avverkningsanmälan</t>
        </is>
      </c>
      <c r="C6222" t="inlineStr">
        <is>
          <t>Föryngringsavverkning</t>
        </is>
      </c>
      <c r="D6222" s="1" t="n">
        <v>44979</v>
      </c>
      <c r="E6222" s="1" t="n">
        <v>46307</v>
      </c>
      <c r="F6222" t="inlineStr">
        <is>
          <t>VÄRMLANDS LÄN</t>
        </is>
      </c>
      <c r="G6222" t="inlineStr">
        <is>
          <t>EDA</t>
        </is>
      </c>
      <c r="I6222" t="n">
        <v>0.7</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23754-2024</t>
        </is>
      </c>
      <c r="B6223" t="inlineStr">
        <is>
          <t>avverkningsanmälan</t>
        </is>
      </c>
      <c r="C6223" t="inlineStr">
        <is>
          <t>Föryngringsavverkning</t>
        </is>
      </c>
      <c r="D6223" s="1" t="n">
        <v>45455</v>
      </c>
      <c r="E6223" s="1" t="n">
        <v>46307</v>
      </c>
      <c r="F6223" t="inlineStr">
        <is>
          <t>VÄRMLANDS LÄN</t>
        </is>
      </c>
      <c r="G6223" t="inlineStr">
        <is>
          <t>ÅRJÄNG</t>
        </is>
      </c>
      <c r="I6223" t="n">
        <v>0.9</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21140-2025</t>
        </is>
      </c>
      <c r="B6224" t="inlineStr">
        <is>
          <t>avverkningsanmälan</t>
        </is>
      </c>
      <c r="C6224" t="inlineStr">
        <is>
          <t>Avverkning för annat ändamål</t>
        </is>
      </c>
      <c r="D6224" s="1" t="n">
        <v>45778</v>
      </c>
      <c r="E6224" s="1" t="n">
        <v>46307</v>
      </c>
      <c r="F6224" t="inlineStr">
        <is>
          <t>VÄRMLANDS LÄN</t>
        </is>
      </c>
      <c r="G6224" t="inlineStr">
        <is>
          <t>EDA</t>
        </is>
      </c>
      <c r="I6224" t="n">
        <v>1.4</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46-2025</t>
        </is>
      </c>
      <c r="B6225" t="inlineStr">
        <is>
          <t>avverkningsanmälan</t>
        </is>
      </c>
      <c r="C6225" t="inlineStr">
        <is>
          <t>Föryngringsavverkning</t>
        </is>
      </c>
      <c r="D6225" s="1" t="n">
        <v>45659</v>
      </c>
      <c r="E6225" s="1" t="n">
        <v>46307</v>
      </c>
      <c r="F6225" t="inlineStr">
        <is>
          <t>VÄRMLANDS LÄN</t>
        </is>
      </c>
      <c r="G6225" t="inlineStr">
        <is>
          <t>ARVIKA</t>
        </is>
      </c>
      <c r="I6225" t="n">
        <v>1.4</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99-2025</t>
        </is>
      </c>
      <c r="B6226" t="inlineStr">
        <is>
          <t>avverkningsanmälan</t>
        </is>
      </c>
      <c r="C6226" t="inlineStr">
        <is>
          <t>Föryngringsavverkning</t>
        </is>
      </c>
      <c r="D6226" s="1" t="n">
        <v>45649</v>
      </c>
      <c r="E6226" s="1" t="n">
        <v>46307</v>
      </c>
      <c r="F6226" t="inlineStr">
        <is>
          <t>VÄRMLANDS LÄN</t>
        </is>
      </c>
      <c r="G6226" t="inlineStr">
        <is>
          <t>ÅRJÄNG</t>
        </is>
      </c>
      <c r="I6226" t="n">
        <v>0.6</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1090-2025</t>
        </is>
      </c>
      <c r="B6227" t="inlineStr">
        <is>
          <t>avverkningsanmälan</t>
        </is>
      </c>
      <c r="C6227" t="inlineStr">
        <is>
          <t>Föryngringsavverkning</t>
        </is>
      </c>
      <c r="D6227" s="1" t="n">
        <v>45666</v>
      </c>
      <c r="E6227" s="1" t="n">
        <v>46307</v>
      </c>
      <c r="F6227" t="inlineStr">
        <is>
          <t>VÄRMLANDS LÄN</t>
        </is>
      </c>
      <c r="G6227" t="inlineStr">
        <is>
          <t>KRISTINEHAMN</t>
        </is>
      </c>
      <c r="I6227" t="n">
        <v>9.300000000000001</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1092-2025</t>
        </is>
      </c>
      <c r="B6228" t="inlineStr">
        <is>
          <t>avverkningsanmälan</t>
        </is>
      </c>
      <c r="C6228" t="inlineStr">
        <is>
          <t>Föryngringsavverkning</t>
        </is>
      </c>
      <c r="D6228" s="1" t="n">
        <v>45666</v>
      </c>
      <c r="E6228" s="1" t="n">
        <v>46307</v>
      </c>
      <c r="F6228" t="inlineStr">
        <is>
          <t>VÄRMLANDS LÄN</t>
        </is>
      </c>
      <c r="G6228" t="inlineStr">
        <is>
          <t>TORSBY</t>
        </is>
      </c>
      <c r="I6228" t="n">
        <v>2.6</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4545-2024</t>
        </is>
      </c>
      <c r="B6229" t="inlineStr">
        <is>
          <t>avverkningsanmälan</t>
        </is>
      </c>
      <c r="C6229" t="inlineStr">
        <is>
          <t>Föryngringsavverkning</t>
        </is>
      </c>
      <c r="D6229" s="1" t="n">
        <v>45327</v>
      </c>
      <c r="E6229" s="1" t="n">
        <v>46307</v>
      </c>
      <c r="F6229" t="inlineStr">
        <is>
          <t>VÄRMLANDS LÄN</t>
        </is>
      </c>
      <c r="G6229" t="inlineStr">
        <is>
          <t>ÅRJÄNG</t>
        </is>
      </c>
      <c r="I6229" t="n">
        <v>1.2</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19638-2025</t>
        </is>
      </c>
      <c r="B6230" t="inlineStr">
        <is>
          <t>avverkningsanmälan</t>
        </is>
      </c>
      <c r="C6230" t="inlineStr">
        <is>
          <t>Föryngringsavverkning</t>
        </is>
      </c>
      <c r="D6230" s="1" t="n">
        <v>45770</v>
      </c>
      <c r="E6230" s="1" t="n">
        <v>46307</v>
      </c>
      <c r="F6230" t="inlineStr">
        <is>
          <t>VÄRMLANDS LÄN</t>
        </is>
      </c>
      <c r="G6230" t="inlineStr">
        <is>
          <t>KRISTINEHAMN</t>
        </is>
      </c>
      <c r="I6230" t="n">
        <v>6.4</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35582-2025</t>
        </is>
      </c>
      <c r="B6231" t="inlineStr">
        <is>
          <t>avverkningsanmälan</t>
        </is>
      </c>
      <c r="C6231" t="inlineStr">
        <is>
          <t>Föryngringsavverkning</t>
        </is>
      </c>
      <c r="D6231" s="1" t="n">
        <v>45856</v>
      </c>
      <c r="E6231" s="1" t="n">
        <v>46307</v>
      </c>
      <c r="F6231" t="inlineStr">
        <is>
          <t>VÄRMLANDS LÄN</t>
        </is>
      </c>
      <c r="G6231" t="inlineStr">
        <is>
          <t>EDA</t>
        </is>
      </c>
      <c r="I6231" t="n">
        <v>0.5</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9721-2025</t>
        </is>
      </c>
      <c r="B6232" t="inlineStr">
        <is>
          <t>avverkningsanmälan</t>
        </is>
      </c>
      <c r="C6232" t="inlineStr">
        <is>
          <t>Föryngringsavverkning</t>
        </is>
      </c>
      <c r="D6232" s="1" t="n">
        <v>45716</v>
      </c>
      <c r="E6232" s="1" t="n">
        <v>46307</v>
      </c>
      <c r="F6232" t="inlineStr">
        <is>
          <t>VÄRMLANDS LÄN</t>
        </is>
      </c>
      <c r="G6232" t="inlineStr">
        <is>
          <t>ARVIKA</t>
        </is>
      </c>
      <c r="H6232" t="inlineStr">
        <is>
          <t>Bergvik skog väst AB</t>
        </is>
      </c>
      <c r="I6232" t="n">
        <v>0.9</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17562-2024</t>
        </is>
      </c>
      <c r="B6233" t="inlineStr">
        <is>
          <t>avverkningsanmälan</t>
        </is>
      </c>
      <c r="C6233" t="inlineStr">
        <is>
          <t>Föryngringsavverkning</t>
        </is>
      </c>
      <c r="D6233" s="1" t="n">
        <v>45415</v>
      </c>
      <c r="E6233" s="1" t="n">
        <v>46307</v>
      </c>
      <c r="F6233" t="inlineStr">
        <is>
          <t>VÄRMLANDS LÄN</t>
        </is>
      </c>
      <c r="G6233" t="inlineStr">
        <is>
          <t>TORSBY</t>
        </is>
      </c>
      <c r="I6233" t="n">
        <v>2.5</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8910-2025</t>
        </is>
      </c>
      <c r="B6234" t="inlineStr">
        <is>
          <t>avverkningsanmälan</t>
        </is>
      </c>
      <c r="C6234" t="inlineStr">
        <is>
          <t>Föryngringsavverkning</t>
        </is>
      </c>
      <c r="D6234" s="1" t="n">
        <v>45713</v>
      </c>
      <c r="E6234" s="1" t="n">
        <v>46307</v>
      </c>
      <c r="F6234" t="inlineStr">
        <is>
          <t>VÄRMLANDS LÄN</t>
        </is>
      </c>
      <c r="G6234" t="inlineStr">
        <is>
          <t>KIL</t>
        </is>
      </c>
      <c r="I6234" t="n">
        <v>1.9</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8916-2025</t>
        </is>
      </c>
      <c r="B6235" t="inlineStr">
        <is>
          <t>avverkningsanmälan</t>
        </is>
      </c>
      <c r="C6235" t="inlineStr">
        <is>
          <t>Föryngringsavverkning</t>
        </is>
      </c>
      <c r="D6235" s="1" t="n">
        <v>45713</v>
      </c>
      <c r="E6235" s="1" t="n">
        <v>46307</v>
      </c>
      <c r="F6235" t="inlineStr">
        <is>
          <t>VÄRMLANDS LÄN</t>
        </is>
      </c>
      <c r="G6235" t="inlineStr">
        <is>
          <t>KIL</t>
        </is>
      </c>
      <c r="I6235" t="n">
        <v>2.4</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41321-2023</t>
        </is>
      </c>
      <c r="B6236" t="inlineStr">
        <is>
          <t>avverkningsanmälan</t>
        </is>
      </c>
      <c r="C6236" t="inlineStr">
        <is>
          <t>Föryngringsavverkning</t>
        </is>
      </c>
      <c r="D6236" s="1" t="n">
        <v>45174</v>
      </c>
      <c r="E6236" s="1" t="n">
        <v>46307</v>
      </c>
      <c r="F6236" t="inlineStr">
        <is>
          <t>VÄRMLANDS LÄN</t>
        </is>
      </c>
      <c r="G6236" t="inlineStr">
        <is>
          <t>KARLSTAD</t>
        </is>
      </c>
      <c r="I6236" t="n">
        <v>1</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21384-2025</t>
        </is>
      </c>
      <c r="B6237" t="inlineStr">
        <is>
          <t>avverkningsanmälan</t>
        </is>
      </c>
      <c r="C6237" t="inlineStr">
        <is>
          <t>Föryngringsavverkning</t>
        </is>
      </c>
      <c r="D6237" s="1" t="n">
        <v>45782</v>
      </c>
      <c r="E6237" s="1" t="n">
        <v>46307</v>
      </c>
      <c r="F6237" t="inlineStr">
        <is>
          <t>VÄRMLANDS LÄN</t>
        </is>
      </c>
      <c r="G6237" t="inlineStr">
        <is>
          <t>KRISTINEHAMN</t>
        </is>
      </c>
      <c r="I6237" t="n">
        <v>1.7</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60763-2024</t>
        </is>
      </c>
      <c r="B6238" t="inlineStr">
        <is>
          <t>avverkningsanmälan</t>
        </is>
      </c>
      <c r="C6238" t="inlineStr">
        <is>
          <t>Avverkning för att bevara och utveckla /försöksver</t>
        </is>
      </c>
      <c r="D6238" s="1" t="n">
        <v>45644</v>
      </c>
      <c r="E6238" s="1" t="n">
        <v>46307</v>
      </c>
      <c r="F6238" t="inlineStr">
        <is>
          <t>VÄRMLANDS LÄN</t>
        </is>
      </c>
      <c r="G6238" t="inlineStr">
        <is>
          <t>SUNNE</t>
        </is>
      </c>
      <c r="I6238" t="n">
        <v>0.6</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44504-2023</t>
        </is>
      </c>
      <c r="B6239" t="inlineStr">
        <is>
          <t>avverkningsanmälan</t>
        </is>
      </c>
      <c r="C6239" t="inlineStr">
        <is>
          <t>Föryngringsavverkning</t>
        </is>
      </c>
      <c r="D6239" s="1" t="n">
        <v>45189</v>
      </c>
      <c r="E6239" s="1" t="n">
        <v>46307</v>
      </c>
      <c r="F6239" t="inlineStr">
        <is>
          <t>VÄRMLANDS LÄN</t>
        </is>
      </c>
      <c r="G6239" t="inlineStr">
        <is>
          <t>SÄFFLE</t>
        </is>
      </c>
      <c r="I6239" t="n">
        <v>2.3</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36251-2022</t>
        </is>
      </c>
      <c r="B6240" t="inlineStr">
        <is>
          <t>avverkningsanmälan</t>
        </is>
      </c>
      <c r="C6240" t="inlineStr">
        <is>
          <t>Avverkning för annat ändamål</t>
        </is>
      </c>
      <c r="D6240" s="1" t="n">
        <v>44803</v>
      </c>
      <c r="E6240" s="1" t="n">
        <v>46307</v>
      </c>
      <c r="F6240" t="inlineStr">
        <is>
          <t>VÄRMLANDS LÄN</t>
        </is>
      </c>
      <c r="G6240" t="inlineStr">
        <is>
          <t>FILIPSTAD</t>
        </is>
      </c>
      <c r="H6240" t="inlineStr">
        <is>
          <t>Bergvik skog väst AB</t>
        </is>
      </c>
      <c r="I6240" t="n">
        <v>4</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34408-2024</t>
        </is>
      </c>
      <c r="B6241" t="inlineStr">
        <is>
          <t>avverkningsanmälan</t>
        </is>
      </c>
      <c r="C6241" t="inlineStr">
        <is>
          <t>Avverkning för annat ändamål</t>
        </is>
      </c>
      <c r="D6241" s="1" t="n">
        <v>45525</v>
      </c>
      <c r="E6241" s="1" t="n">
        <v>46307</v>
      </c>
      <c r="F6241" t="inlineStr">
        <is>
          <t>VÄRMLANDS LÄN</t>
        </is>
      </c>
      <c r="G6241" t="inlineStr">
        <is>
          <t>KIL</t>
        </is>
      </c>
      <c r="I6241" t="n">
        <v>0.4</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35395-2025</t>
        </is>
      </c>
      <c r="B6242" t="inlineStr">
        <is>
          <t>avverkningsanmälan</t>
        </is>
      </c>
      <c r="C6242" t="inlineStr">
        <is>
          <t>Föryngringsavverkning</t>
        </is>
      </c>
      <c r="D6242" s="1" t="n">
        <v>45855</v>
      </c>
      <c r="E6242" s="1" t="n">
        <v>46307</v>
      </c>
      <c r="F6242" t="inlineStr">
        <is>
          <t>VÄRMLANDS LÄN</t>
        </is>
      </c>
      <c r="G6242" t="inlineStr">
        <is>
          <t>ARVIKA</t>
        </is>
      </c>
      <c r="H6242" t="inlineStr">
        <is>
          <t>Bergvik skog väst AB</t>
        </is>
      </c>
      <c r="I6242" t="n">
        <v>5.3</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35552-2025</t>
        </is>
      </c>
      <c r="B6243" t="inlineStr">
        <is>
          <t>avverkningsanmälan</t>
        </is>
      </c>
      <c r="C6243" t="inlineStr">
        <is>
          <t>Föryngringsavverkning</t>
        </is>
      </c>
      <c r="D6243" s="1" t="n">
        <v>45856</v>
      </c>
      <c r="E6243" s="1" t="n">
        <v>46307</v>
      </c>
      <c r="F6243" t="inlineStr">
        <is>
          <t>VÄRMLANDS LÄN</t>
        </is>
      </c>
      <c r="G6243" t="inlineStr">
        <is>
          <t>TORSBY</t>
        </is>
      </c>
      <c r="H6243" t="inlineStr">
        <is>
          <t>Bergvik skog väst AB</t>
        </is>
      </c>
      <c r="I6243" t="n">
        <v>12.3</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34427-2024</t>
        </is>
      </c>
      <c r="B6244" t="inlineStr">
        <is>
          <t>avverkningsanmälan</t>
        </is>
      </c>
      <c r="C6244" t="inlineStr">
        <is>
          <t>Avverkning för att bevara och utveckla /försöksver</t>
        </is>
      </c>
      <c r="D6244" s="1" t="n">
        <v>45525</v>
      </c>
      <c r="E6244" s="1" t="n">
        <v>46307</v>
      </c>
      <c r="F6244" t="inlineStr">
        <is>
          <t>VÄRMLANDS LÄN</t>
        </is>
      </c>
      <c r="G6244" t="inlineStr">
        <is>
          <t>FORSHAGA</t>
        </is>
      </c>
      <c r="H6244" t="inlineStr">
        <is>
          <t>Bergvik skog väst AB</t>
        </is>
      </c>
      <c r="I6244" t="n">
        <v>2.6</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36290-2022</t>
        </is>
      </c>
      <c r="B6245" t="inlineStr">
        <is>
          <t>avverkningsanmälan</t>
        </is>
      </c>
      <c r="C6245" t="inlineStr">
        <is>
          <t>Föryngringsavverkning</t>
        </is>
      </c>
      <c r="D6245" s="1" t="n">
        <v>44803</v>
      </c>
      <c r="E6245" s="1" t="n">
        <v>46307</v>
      </c>
      <c r="F6245" t="inlineStr">
        <is>
          <t>VÄRMLANDS LÄN</t>
        </is>
      </c>
      <c r="G6245" t="inlineStr">
        <is>
          <t>TORSBY</t>
        </is>
      </c>
      <c r="I6245" t="n">
        <v>4.7</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7745-2023</t>
        </is>
      </c>
      <c r="B6246" t="inlineStr">
        <is>
          <t>avverkningsanmälan</t>
        </is>
      </c>
      <c r="C6246" t="inlineStr">
        <is>
          <t>Föryngringsavverkning</t>
        </is>
      </c>
      <c r="D6246" s="1" t="n">
        <v>44973</v>
      </c>
      <c r="E6246" s="1" t="n">
        <v>46307</v>
      </c>
      <c r="F6246" t="inlineStr">
        <is>
          <t>VÄRMLANDS LÄN</t>
        </is>
      </c>
      <c r="G6246" t="inlineStr">
        <is>
          <t>TORSBY</t>
        </is>
      </c>
      <c r="I6246" t="n">
        <v>3.3</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35564-2025</t>
        </is>
      </c>
      <c r="B6247" t="inlineStr">
        <is>
          <t>avverkningsanmälan</t>
        </is>
      </c>
      <c r="C6247" t="inlineStr">
        <is>
          <t>Föryngringsavverkning</t>
        </is>
      </c>
      <c r="D6247" s="1" t="n">
        <v>45856</v>
      </c>
      <c r="E6247" s="1" t="n">
        <v>46307</v>
      </c>
      <c r="F6247" t="inlineStr">
        <is>
          <t>VÄRMLANDS LÄN</t>
        </is>
      </c>
      <c r="G6247" t="inlineStr">
        <is>
          <t>SUNNE</t>
        </is>
      </c>
      <c r="H6247" t="inlineStr">
        <is>
          <t>Bergvik skog väst AB</t>
        </is>
      </c>
      <c r="I6247" t="n">
        <v>2.3</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35571-2025</t>
        </is>
      </c>
      <c r="B6248" t="inlineStr">
        <is>
          <t>avverkningsanmälan</t>
        </is>
      </c>
      <c r="C6248" t="inlineStr">
        <is>
          <t>Föryngringsavverkning</t>
        </is>
      </c>
      <c r="D6248" s="1" t="n">
        <v>45856</v>
      </c>
      <c r="E6248" s="1" t="n">
        <v>46307</v>
      </c>
      <c r="F6248" t="inlineStr">
        <is>
          <t>VÄRMLANDS LÄN</t>
        </is>
      </c>
      <c r="G6248" t="inlineStr">
        <is>
          <t>ARVIKA</t>
        </is>
      </c>
      <c r="I6248" t="n">
        <v>1.6</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35558-2025</t>
        </is>
      </c>
      <c r="B6249" t="inlineStr">
        <is>
          <t>avverkningsanmälan</t>
        </is>
      </c>
      <c r="C6249" t="inlineStr">
        <is>
          <t>Föryngringsavverkning</t>
        </is>
      </c>
      <c r="D6249" s="1" t="n">
        <v>45856</v>
      </c>
      <c r="E6249" s="1" t="n">
        <v>46307</v>
      </c>
      <c r="F6249" t="inlineStr">
        <is>
          <t>VÄRMLANDS LÄN</t>
        </is>
      </c>
      <c r="G6249" t="inlineStr">
        <is>
          <t>SUNNE</t>
        </is>
      </c>
      <c r="H6249" t="inlineStr">
        <is>
          <t>Bergvik skog väst AB</t>
        </is>
      </c>
      <c r="I6249" t="n">
        <v>0.7</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40465-2023</t>
        </is>
      </c>
      <c r="B6250" t="inlineStr">
        <is>
          <t>avverkningsanmälan</t>
        </is>
      </c>
      <c r="C6250" t="inlineStr">
        <is>
          <t>Föryngringsavverkning</t>
        </is>
      </c>
      <c r="D6250" s="1" t="n">
        <v>45170</v>
      </c>
      <c r="E6250" s="1" t="n">
        <v>46307</v>
      </c>
      <c r="F6250" t="inlineStr">
        <is>
          <t>VÄRMLANDS LÄN</t>
        </is>
      </c>
      <c r="G6250" t="inlineStr">
        <is>
          <t>ÅRJÄNG</t>
        </is>
      </c>
      <c r="I6250" t="n">
        <v>1.7</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13309-2023</t>
        </is>
      </c>
      <c r="B6251" t="inlineStr">
        <is>
          <t>avverkningsanmälan</t>
        </is>
      </c>
      <c r="C6251" t="inlineStr">
        <is>
          <t>Föryngringsavverkning</t>
        </is>
      </c>
      <c r="D6251" s="1" t="n">
        <v>45005</v>
      </c>
      <c r="E6251" s="1" t="n">
        <v>46307</v>
      </c>
      <c r="F6251" t="inlineStr">
        <is>
          <t>VÄRMLANDS LÄN</t>
        </is>
      </c>
      <c r="G6251" t="inlineStr">
        <is>
          <t>SÄFFLE</t>
        </is>
      </c>
      <c r="I6251" t="n">
        <v>3.5</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12280-2024</t>
        </is>
      </c>
      <c r="B6252" t="inlineStr">
        <is>
          <t>avverkningsanmälan</t>
        </is>
      </c>
      <c r="C6252" t="inlineStr">
        <is>
          <t>Föryngringsavverkning</t>
        </is>
      </c>
      <c r="D6252" s="1" t="n">
        <v>45378</v>
      </c>
      <c r="E6252" s="1" t="n">
        <v>46307</v>
      </c>
      <c r="F6252" t="inlineStr">
        <is>
          <t>VÄRMLANDS LÄN</t>
        </is>
      </c>
      <c r="G6252" t="inlineStr">
        <is>
          <t>KIL</t>
        </is>
      </c>
      <c r="I6252" t="n">
        <v>0.3</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35574-2025</t>
        </is>
      </c>
      <c r="B6253" t="inlineStr">
        <is>
          <t>avverkningsanmälan</t>
        </is>
      </c>
      <c r="C6253" t="inlineStr">
        <is>
          <t>Föryngringsavverkning</t>
        </is>
      </c>
      <c r="D6253" s="1" t="n">
        <v>45856</v>
      </c>
      <c r="E6253" s="1" t="n">
        <v>46307</v>
      </c>
      <c r="F6253" t="inlineStr">
        <is>
          <t>VÄRMLANDS LÄN</t>
        </is>
      </c>
      <c r="G6253" t="inlineStr">
        <is>
          <t>SUNNE</t>
        </is>
      </c>
      <c r="H6253" t="inlineStr">
        <is>
          <t>Kyrkan</t>
        </is>
      </c>
      <c r="I6253" t="n">
        <v>1.9</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12304-2024</t>
        </is>
      </c>
      <c r="B6254" t="inlineStr">
        <is>
          <t>avverkningsanmälan</t>
        </is>
      </c>
      <c r="C6254" t="inlineStr">
        <is>
          <t>Föryngringsavverkning</t>
        </is>
      </c>
      <c r="D6254" s="1" t="n">
        <v>45378</v>
      </c>
      <c r="E6254" s="1" t="n">
        <v>46307</v>
      </c>
      <c r="F6254" t="inlineStr">
        <is>
          <t>VÄRMLANDS LÄN</t>
        </is>
      </c>
      <c r="G6254" t="inlineStr">
        <is>
          <t>SUNNE</t>
        </is>
      </c>
      <c r="I6254" t="n">
        <v>3.3</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29908-2022</t>
        </is>
      </c>
      <c r="B6255" t="inlineStr">
        <is>
          <t>avverkningsanmälan</t>
        </is>
      </c>
      <c r="C6255" t="inlineStr">
        <is>
          <t>Föryngringsavverkning</t>
        </is>
      </c>
      <c r="D6255" s="1" t="n">
        <v>44756</v>
      </c>
      <c r="E6255" s="1" t="n">
        <v>46307</v>
      </c>
      <c r="F6255" t="inlineStr">
        <is>
          <t>VÄRMLANDS LÄN</t>
        </is>
      </c>
      <c r="G6255" t="inlineStr">
        <is>
          <t>TORSBY</t>
        </is>
      </c>
      <c r="H6255" t="inlineStr">
        <is>
          <t>Kommuner</t>
        </is>
      </c>
      <c r="I6255" t="n">
        <v>1.9</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35425-2025</t>
        </is>
      </c>
      <c r="B6256" t="inlineStr">
        <is>
          <t>avverkningsanmälan</t>
        </is>
      </c>
      <c r="C6256" t="inlineStr">
        <is>
          <t>Föryngringsavverkning</t>
        </is>
      </c>
      <c r="D6256" s="1" t="n">
        <v>45855</v>
      </c>
      <c r="E6256" s="1" t="n">
        <v>46307</v>
      </c>
      <c r="F6256" t="inlineStr">
        <is>
          <t>VÄRMLANDS LÄN</t>
        </is>
      </c>
      <c r="G6256" t="inlineStr">
        <is>
          <t>GRUMS</t>
        </is>
      </c>
      <c r="I6256" t="n">
        <v>0.5</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56714-2025</t>
        </is>
      </c>
      <c r="B6257" t="inlineStr">
        <is>
          <t>avverkningsanmälan</t>
        </is>
      </c>
      <c r="C6257" t="inlineStr">
        <is>
          <t>Föryngringsavverkning</t>
        </is>
      </c>
      <c r="D6257" s="1" t="n">
        <v>45975</v>
      </c>
      <c r="E6257" s="1" t="n">
        <v>46307</v>
      </c>
      <c r="F6257" t="inlineStr">
        <is>
          <t>VÄRMLANDS LÄN</t>
        </is>
      </c>
      <c r="G6257" t="inlineStr">
        <is>
          <t>HAGFORS</t>
        </is>
      </c>
      <c r="I6257" t="n">
        <v>2.6</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40366-2022</t>
        </is>
      </c>
      <c r="B6258" t="inlineStr">
        <is>
          <t>avverkningsanmälan</t>
        </is>
      </c>
      <c r="C6258" t="inlineStr">
        <is>
          <t>Föryngringsavverkning</t>
        </is>
      </c>
      <c r="D6258" s="1" t="n">
        <v>44823</v>
      </c>
      <c r="E6258" s="1" t="n">
        <v>46307</v>
      </c>
      <c r="F6258" t="inlineStr">
        <is>
          <t>VÄRMLANDS LÄN</t>
        </is>
      </c>
      <c r="G6258" t="inlineStr">
        <is>
          <t>ÅRJÄNG</t>
        </is>
      </c>
      <c r="I6258" t="n">
        <v>3.2</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9840-2023</t>
        </is>
      </c>
      <c r="B6259" t="inlineStr">
        <is>
          <t>avverkningsanmälan</t>
        </is>
      </c>
      <c r="C6259" t="inlineStr">
        <is>
          <t>Föryngringsavverkning</t>
        </is>
      </c>
      <c r="D6259" s="1" t="n">
        <v>44984</v>
      </c>
      <c r="E6259" s="1" t="n">
        <v>46307</v>
      </c>
      <c r="F6259" t="inlineStr">
        <is>
          <t>VÄRMLANDS LÄN</t>
        </is>
      </c>
      <c r="G6259" t="inlineStr">
        <is>
          <t>SUNNE</t>
        </is>
      </c>
      <c r="I6259" t="n">
        <v>0.8</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37144-2024</t>
        </is>
      </c>
      <c r="B6260" t="inlineStr">
        <is>
          <t>avverkningsanmälan</t>
        </is>
      </c>
      <c r="C6260" t="inlineStr">
        <is>
          <t>Föryngringsavverkning</t>
        </is>
      </c>
      <c r="D6260" s="1" t="n">
        <v>45538</v>
      </c>
      <c r="E6260" s="1" t="n">
        <v>46307</v>
      </c>
      <c r="F6260" t="inlineStr">
        <is>
          <t>VÄRMLANDS LÄN</t>
        </is>
      </c>
      <c r="G6260" t="inlineStr">
        <is>
          <t>ARVIKA</t>
        </is>
      </c>
      <c r="I6260" t="n">
        <v>1.1</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8613-2024</t>
        </is>
      </c>
      <c r="B6261" t="inlineStr">
        <is>
          <t>avverkningsanmälan</t>
        </is>
      </c>
      <c r="C6261" t="inlineStr">
        <is>
          <t>Föryngringsavverkning</t>
        </is>
      </c>
      <c r="D6261" s="1" t="n">
        <v>45355</v>
      </c>
      <c r="E6261" s="1" t="n">
        <v>46307</v>
      </c>
      <c r="F6261" t="inlineStr">
        <is>
          <t>VÄRMLANDS LÄN</t>
        </is>
      </c>
      <c r="G6261" t="inlineStr">
        <is>
          <t>STORFORS</t>
        </is>
      </c>
      <c r="H6261" t="inlineStr">
        <is>
          <t>Kyrkan</t>
        </is>
      </c>
      <c r="I6261" t="n">
        <v>5.5</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22866-2023</t>
        </is>
      </c>
      <c r="B6262" t="inlineStr">
        <is>
          <t>avverkningsanmälan</t>
        </is>
      </c>
      <c r="C6262" t="inlineStr">
        <is>
          <t>Avverkning för annat ändamål</t>
        </is>
      </c>
      <c r="D6262" s="1" t="n">
        <v>45072</v>
      </c>
      <c r="E6262" s="1" t="n">
        <v>46307</v>
      </c>
      <c r="F6262" t="inlineStr">
        <is>
          <t>VÄRMLANDS LÄN</t>
        </is>
      </c>
      <c r="G6262" t="inlineStr">
        <is>
          <t>FILIPSTAD</t>
        </is>
      </c>
      <c r="H6262" t="inlineStr">
        <is>
          <t>Bergvik skog väst AB</t>
        </is>
      </c>
      <c r="I6262" t="n">
        <v>1.6</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24506-2024</t>
        </is>
      </c>
      <c r="B6263" t="inlineStr">
        <is>
          <t>avverkningsanmälan</t>
        </is>
      </c>
      <c r="C6263" t="inlineStr">
        <is>
          <t>Föryngringsavverkning</t>
        </is>
      </c>
      <c r="D6263" s="1" t="n">
        <v>45460</v>
      </c>
      <c r="E6263" s="1" t="n">
        <v>46307</v>
      </c>
      <c r="F6263" t="inlineStr">
        <is>
          <t>VÄRMLANDS LÄN</t>
        </is>
      </c>
      <c r="G6263" t="inlineStr">
        <is>
          <t>SUNNE</t>
        </is>
      </c>
      <c r="I6263" t="n">
        <v>5</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35408-2025</t>
        </is>
      </c>
      <c r="B6264" t="inlineStr">
        <is>
          <t>avverkningsanmälan</t>
        </is>
      </c>
      <c r="C6264" t="inlineStr">
        <is>
          <t>Föryngringsavverkning</t>
        </is>
      </c>
      <c r="D6264" s="1" t="n">
        <v>45855</v>
      </c>
      <c r="E6264" s="1" t="n">
        <v>46307</v>
      </c>
      <c r="F6264" t="inlineStr">
        <is>
          <t>VÄRMLANDS LÄN</t>
        </is>
      </c>
      <c r="G6264" t="inlineStr">
        <is>
          <t>TORSBY</t>
        </is>
      </c>
      <c r="H6264" t="inlineStr">
        <is>
          <t>Bergvik skog väst AB</t>
        </is>
      </c>
      <c r="I6264" t="n">
        <v>3</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61609-2023</t>
        </is>
      </c>
      <c r="B6265" t="inlineStr">
        <is>
          <t>avverkningsanmälan</t>
        </is>
      </c>
      <c r="C6265" t="inlineStr">
        <is>
          <t>Föryngringsavverkning</t>
        </is>
      </c>
      <c r="D6265" s="1" t="n">
        <v>45265</v>
      </c>
      <c r="E6265" s="1" t="n">
        <v>46307</v>
      </c>
      <c r="F6265" t="inlineStr">
        <is>
          <t>VÄRMLANDS LÄN</t>
        </is>
      </c>
      <c r="G6265" t="inlineStr">
        <is>
          <t>SUNNE</t>
        </is>
      </c>
      <c r="I6265" t="n">
        <v>2.1</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22757-2024</t>
        </is>
      </c>
      <c r="B6266" t="inlineStr">
        <is>
          <t>avverkningsanmälan</t>
        </is>
      </c>
      <c r="C6266" t="inlineStr">
        <is>
          <t>Föryngringsavverkning</t>
        </is>
      </c>
      <c r="D6266" s="1" t="n">
        <v>45448</v>
      </c>
      <c r="E6266" s="1" t="n">
        <v>46307</v>
      </c>
      <c r="F6266" t="inlineStr">
        <is>
          <t>VÄRMLANDS LÄN</t>
        </is>
      </c>
      <c r="G6266" t="inlineStr">
        <is>
          <t>MUNKFORS</t>
        </is>
      </c>
      <c r="I6266" t="n">
        <v>0.5</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23813-2025</t>
        </is>
      </c>
      <c r="B6267" t="inlineStr">
        <is>
          <t>avverkningsanmälan</t>
        </is>
      </c>
      <c r="C6267" t="inlineStr">
        <is>
          <t>Föryngringsavverkning</t>
        </is>
      </c>
      <c r="D6267" s="1" t="n">
        <v>45793</v>
      </c>
      <c r="E6267" s="1" t="n">
        <v>46307</v>
      </c>
      <c r="F6267" t="inlineStr">
        <is>
          <t>VÄRMLANDS LÄN</t>
        </is>
      </c>
      <c r="G6267" t="inlineStr">
        <is>
          <t>HAGFORS</t>
        </is>
      </c>
      <c r="I6267" t="n">
        <v>1.6</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23072-2022</t>
        </is>
      </c>
      <c r="B6268" t="inlineStr">
        <is>
          <t>avverkningsanmälan</t>
        </is>
      </c>
      <c r="C6268" t="inlineStr">
        <is>
          <t>Föryngringsavverkning</t>
        </is>
      </c>
      <c r="D6268" s="1" t="n">
        <v>44718</v>
      </c>
      <c r="E6268" s="1" t="n">
        <v>46307</v>
      </c>
      <c r="F6268" t="inlineStr">
        <is>
          <t>VÄRMLANDS LÄN</t>
        </is>
      </c>
      <c r="G6268" t="inlineStr">
        <is>
          <t>ARVIKA</t>
        </is>
      </c>
      <c r="I6268" t="n">
        <v>2</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47332-2022</t>
        </is>
      </c>
      <c r="B6269" t="inlineStr">
        <is>
          <t>avverkningsanmälan</t>
        </is>
      </c>
      <c r="C6269" t="inlineStr">
        <is>
          <t>Föryngringsavverkning</t>
        </is>
      </c>
      <c r="D6269" s="1" t="n">
        <v>44853</v>
      </c>
      <c r="E6269" s="1" t="n">
        <v>46307</v>
      </c>
      <c r="F6269" t="inlineStr">
        <is>
          <t>VÄRMLANDS LÄN</t>
        </is>
      </c>
      <c r="G6269" t="inlineStr">
        <is>
          <t>ÅRJÄNG</t>
        </is>
      </c>
      <c r="I6269" t="n">
        <v>8.199999999999999</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47336-2022</t>
        </is>
      </c>
      <c r="B6270" t="inlineStr">
        <is>
          <t>avverkningsanmälan</t>
        </is>
      </c>
      <c r="C6270" t="inlineStr">
        <is>
          <t>Föryngringsavverkning</t>
        </is>
      </c>
      <c r="D6270" s="1" t="n">
        <v>44853</v>
      </c>
      <c r="E6270" s="1" t="n">
        <v>46307</v>
      </c>
      <c r="F6270" t="inlineStr">
        <is>
          <t>VÄRMLANDS LÄN</t>
        </is>
      </c>
      <c r="G6270" t="inlineStr">
        <is>
          <t>SÄFFLE</t>
        </is>
      </c>
      <c r="I6270" t="n">
        <v>1</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35414-2025</t>
        </is>
      </c>
      <c r="B6271" t="inlineStr">
        <is>
          <t>avverkningsanmälan</t>
        </is>
      </c>
      <c r="C6271" t="inlineStr">
        <is>
          <t>Föryngringsavverkning</t>
        </is>
      </c>
      <c r="D6271" s="1" t="n">
        <v>45855</v>
      </c>
      <c r="E6271" s="1" t="n">
        <v>46307</v>
      </c>
      <c r="F6271" t="inlineStr">
        <is>
          <t>VÄRMLANDS LÄN</t>
        </is>
      </c>
      <c r="G6271" t="inlineStr">
        <is>
          <t>ÅRJÄNG</t>
        </is>
      </c>
      <c r="H6271" t="inlineStr">
        <is>
          <t>Bergvik skog väst AB</t>
        </is>
      </c>
      <c r="I6271" t="n">
        <v>6.8</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53137-2023</t>
        </is>
      </c>
      <c r="B6272" t="inlineStr">
        <is>
          <t>avverkningsanmälan</t>
        </is>
      </c>
      <c r="C6272" t="inlineStr">
        <is>
          <t>Föryngringsavverkning</t>
        </is>
      </c>
      <c r="D6272" s="1" t="n">
        <v>45229</v>
      </c>
      <c r="E6272" s="1" t="n">
        <v>46307</v>
      </c>
      <c r="F6272" t="inlineStr">
        <is>
          <t>VÄRMLANDS LÄN</t>
        </is>
      </c>
      <c r="G6272" t="inlineStr">
        <is>
          <t>GRUMS</t>
        </is>
      </c>
      <c r="I6272" t="n">
        <v>1</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8911-2024</t>
        </is>
      </c>
      <c r="B6273" t="inlineStr">
        <is>
          <t>avverkningsanmälan</t>
        </is>
      </c>
      <c r="C6273" t="inlineStr">
        <is>
          <t>Föryngringsavverkning</t>
        </is>
      </c>
      <c r="D6273" s="1" t="n">
        <v>45357</v>
      </c>
      <c r="E6273" s="1" t="n">
        <v>46307</v>
      </c>
      <c r="F6273" t="inlineStr">
        <is>
          <t>VÄRMLANDS LÄN</t>
        </is>
      </c>
      <c r="G6273" t="inlineStr">
        <is>
          <t>SUNNE</t>
        </is>
      </c>
      <c r="I6273" t="n">
        <v>0.7</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57379-2022</t>
        </is>
      </c>
      <c r="B6274" t="inlineStr">
        <is>
          <t>avverkningsanmälan</t>
        </is>
      </c>
      <c r="C6274" t="inlineStr">
        <is>
          <t>Avverkning för annat ändamål</t>
        </is>
      </c>
      <c r="D6274" s="1" t="n">
        <v>44896</v>
      </c>
      <c r="E6274" s="1" t="n">
        <v>46307</v>
      </c>
      <c r="F6274" t="inlineStr">
        <is>
          <t>VÄRMLANDS LÄN</t>
        </is>
      </c>
      <c r="G6274" t="inlineStr">
        <is>
          <t>HAGFORS</t>
        </is>
      </c>
      <c r="I6274" t="n">
        <v>1.9</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12716-2025</t>
        </is>
      </c>
      <c r="B6275" t="inlineStr">
        <is>
          <t>avverkningsanmälan</t>
        </is>
      </c>
      <c r="C6275" t="inlineStr">
        <is>
          <t>Föryngringsavverkning</t>
        </is>
      </c>
      <c r="D6275" s="1" t="n">
        <v>45733</v>
      </c>
      <c r="E6275" s="1" t="n">
        <v>46307</v>
      </c>
      <c r="F6275" t="inlineStr">
        <is>
          <t>VÄRMLANDS LÄN</t>
        </is>
      </c>
      <c r="G6275" t="inlineStr">
        <is>
          <t>EDA</t>
        </is>
      </c>
      <c r="I6275" t="n">
        <v>0.8</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49780-2024</t>
        </is>
      </c>
      <c r="B6276" t="inlineStr">
        <is>
          <t>avverkningsanmälan</t>
        </is>
      </c>
      <c r="C6276" t="inlineStr">
        <is>
          <t>Föryngringsavverkning</t>
        </is>
      </c>
      <c r="D6276" s="1" t="n">
        <v>45597</v>
      </c>
      <c r="E6276" s="1" t="n">
        <v>46307</v>
      </c>
      <c r="F6276" t="inlineStr">
        <is>
          <t>VÄRMLANDS LÄN</t>
        </is>
      </c>
      <c r="G6276" t="inlineStr">
        <is>
          <t>ÅRJÄNG</t>
        </is>
      </c>
      <c r="I6276" t="n">
        <v>1.6</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31086-2023</t>
        </is>
      </c>
      <c r="B6277" t="inlineStr">
        <is>
          <t>avverkningsanmälan</t>
        </is>
      </c>
      <c r="C6277" t="inlineStr">
        <is>
          <t>Föryngringsavverkning</t>
        </is>
      </c>
      <c r="D6277" s="1" t="n">
        <v>45113</v>
      </c>
      <c r="E6277" s="1" t="n">
        <v>46307</v>
      </c>
      <c r="F6277" t="inlineStr">
        <is>
          <t>VÄRMLANDS LÄN</t>
        </is>
      </c>
      <c r="G6277" t="inlineStr">
        <is>
          <t>SÄFFLE</t>
        </is>
      </c>
      <c r="I6277" t="n">
        <v>2</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31089-2023</t>
        </is>
      </c>
      <c r="B6278" t="inlineStr">
        <is>
          <t>avverkningsanmälan</t>
        </is>
      </c>
      <c r="C6278" t="inlineStr">
        <is>
          <t>Föryngringsavverkning</t>
        </is>
      </c>
      <c r="D6278" s="1" t="n">
        <v>45113</v>
      </c>
      <c r="E6278" s="1" t="n">
        <v>46307</v>
      </c>
      <c r="F6278" t="inlineStr">
        <is>
          <t>VÄRMLANDS LÄN</t>
        </is>
      </c>
      <c r="G6278" t="inlineStr">
        <is>
          <t>SÄFFLE</t>
        </is>
      </c>
      <c r="I6278" t="n">
        <v>2.3</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35756-2025</t>
        </is>
      </c>
      <c r="B6279" t="inlineStr">
        <is>
          <t>avverkningsanmälan</t>
        </is>
      </c>
      <c r="C6279" t="inlineStr">
        <is>
          <t>Föryngringsavverkning</t>
        </is>
      </c>
      <c r="D6279" s="1" t="n">
        <v>45860</v>
      </c>
      <c r="E6279" s="1" t="n">
        <v>46307</v>
      </c>
      <c r="F6279" t="inlineStr">
        <is>
          <t>VÄRMLANDS LÄN</t>
        </is>
      </c>
      <c r="G6279" t="inlineStr">
        <is>
          <t>SUNNE</t>
        </is>
      </c>
      <c r="I6279" t="n">
        <v>7.5</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35609-2025</t>
        </is>
      </c>
      <c r="B6280" t="inlineStr">
        <is>
          <t>avverkningsanmälan</t>
        </is>
      </c>
      <c r="C6280" t="inlineStr">
        <is>
          <t>Föryngringsavverkning</t>
        </is>
      </c>
      <c r="D6280" s="1" t="n">
        <v>45859</v>
      </c>
      <c r="E6280" s="1" t="n">
        <v>46307</v>
      </c>
      <c r="F6280" t="inlineStr">
        <is>
          <t>VÄRMLANDS LÄN</t>
        </is>
      </c>
      <c r="G6280" t="inlineStr">
        <is>
          <t>SUNNE</t>
        </is>
      </c>
      <c r="H6280" t="inlineStr">
        <is>
          <t>Bergvik skog väst AB</t>
        </is>
      </c>
      <c r="I6280" t="n">
        <v>0.8</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29426-2022</t>
        </is>
      </c>
      <c r="B6281" t="inlineStr">
        <is>
          <t>avverkningsanmälan</t>
        </is>
      </c>
      <c r="C6281" t="inlineStr">
        <is>
          <t>Föryngringsavverkning</t>
        </is>
      </c>
      <c r="D6281" s="1" t="n">
        <v>44753</v>
      </c>
      <c r="E6281" s="1" t="n">
        <v>46307</v>
      </c>
      <c r="F6281" t="inlineStr">
        <is>
          <t>VÄRMLANDS LÄN</t>
        </is>
      </c>
      <c r="G6281" t="inlineStr">
        <is>
          <t>GRUMS</t>
        </is>
      </c>
      <c r="H6281" t="inlineStr">
        <is>
          <t>Bergvik skog väst AB</t>
        </is>
      </c>
      <c r="I6281" t="n">
        <v>14.4</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21145-2022</t>
        </is>
      </c>
      <c r="B6282" t="inlineStr">
        <is>
          <t>avverkningsanmälan</t>
        </is>
      </c>
      <c r="C6282" t="inlineStr">
        <is>
          <t>Föryngringsavverkning</t>
        </is>
      </c>
      <c r="D6282" s="1" t="n">
        <v>44704</v>
      </c>
      <c r="E6282" s="1" t="n">
        <v>46307</v>
      </c>
      <c r="F6282" t="inlineStr">
        <is>
          <t>VÄRMLANDS LÄN</t>
        </is>
      </c>
      <c r="G6282" t="inlineStr">
        <is>
          <t>ÅRJÄNG</t>
        </is>
      </c>
      <c r="I6282" t="n">
        <v>8.300000000000001</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28411-2024</t>
        </is>
      </c>
      <c r="B6283" t="inlineStr">
        <is>
          <t>avverkningsanmälan</t>
        </is>
      </c>
      <c r="C6283" t="inlineStr">
        <is>
          <t>Föryngringsavverkning</t>
        </is>
      </c>
      <c r="D6283" s="1" t="n">
        <v>45477</v>
      </c>
      <c r="E6283" s="1" t="n">
        <v>46307</v>
      </c>
      <c r="F6283" t="inlineStr">
        <is>
          <t>VÄRMLANDS LÄN</t>
        </is>
      </c>
      <c r="G6283" t="inlineStr">
        <is>
          <t>ARVIKA</t>
        </is>
      </c>
      <c r="H6283" t="inlineStr">
        <is>
          <t>Bergvik skog väst AB</t>
        </is>
      </c>
      <c r="I6283" t="n">
        <v>0.9</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17184-2023</t>
        </is>
      </c>
      <c r="B6284" t="inlineStr">
        <is>
          <t>avverkningsanmälan</t>
        </is>
      </c>
      <c r="C6284" t="inlineStr">
        <is>
          <t>Föryngringsavverkning</t>
        </is>
      </c>
      <c r="D6284" s="1" t="n">
        <v>45034</v>
      </c>
      <c r="E6284" s="1" t="n">
        <v>46307</v>
      </c>
      <c r="F6284" t="inlineStr">
        <is>
          <t>VÄRMLANDS LÄN</t>
        </is>
      </c>
      <c r="G6284" t="inlineStr">
        <is>
          <t>TORSBY</t>
        </is>
      </c>
      <c r="I6284" t="n">
        <v>1.3</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7222-2024</t>
        </is>
      </c>
      <c r="B6285" t="inlineStr">
        <is>
          <t>avverkningsanmälan</t>
        </is>
      </c>
      <c r="C6285" t="inlineStr">
        <is>
          <t>Föryngringsavverkning</t>
        </is>
      </c>
      <c r="D6285" s="1" t="n">
        <v>45344</v>
      </c>
      <c r="E6285" s="1" t="n">
        <v>46307</v>
      </c>
      <c r="F6285" t="inlineStr">
        <is>
          <t>VÄRMLANDS LÄN</t>
        </is>
      </c>
      <c r="G6285" t="inlineStr">
        <is>
          <t>KRISTINEHAMN</t>
        </is>
      </c>
      <c r="H6285" t="inlineStr">
        <is>
          <t>Naturvårdsverket</t>
        </is>
      </c>
      <c r="I6285" t="n">
        <v>0.7</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29473-2024</t>
        </is>
      </c>
      <c r="B6286" t="inlineStr">
        <is>
          <t>avverkningsanmälan</t>
        </is>
      </c>
      <c r="C6286" t="inlineStr">
        <is>
          <t>Avverkning för annat ändamål</t>
        </is>
      </c>
      <c r="D6286" s="1" t="n">
        <v>45484</v>
      </c>
      <c r="E6286" s="1" t="n">
        <v>46307</v>
      </c>
      <c r="F6286" t="inlineStr">
        <is>
          <t>VÄRMLANDS LÄN</t>
        </is>
      </c>
      <c r="G6286" t="inlineStr">
        <is>
          <t>FILIPSTAD</t>
        </is>
      </c>
      <c r="I6286" t="n">
        <v>1.1</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3550-2024</t>
        </is>
      </c>
      <c r="B6287" t="inlineStr">
        <is>
          <t>avverkningsanmälan</t>
        </is>
      </c>
      <c r="C6287" t="inlineStr">
        <is>
          <t>Föryngringsavverkning</t>
        </is>
      </c>
      <c r="D6287" s="1" t="n">
        <v>45320</v>
      </c>
      <c r="E6287" s="1" t="n">
        <v>46307</v>
      </c>
      <c r="F6287" t="inlineStr">
        <is>
          <t>VÄRMLANDS LÄN</t>
        </is>
      </c>
      <c r="G6287" t="inlineStr">
        <is>
          <t>KARLSTAD</t>
        </is>
      </c>
      <c r="I6287" t="n">
        <v>1.3</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42408-2022</t>
        </is>
      </c>
      <c r="B6288" t="inlineStr">
        <is>
          <t>avverkningsanmälan</t>
        </is>
      </c>
      <c r="C6288" t="inlineStr">
        <is>
          <t>Föryngringsavverkning</t>
        </is>
      </c>
      <c r="D6288" s="1" t="n">
        <v>44831</v>
      </c>
      <c r="E6288" s="1" t="n">
        <v>46307</v>
      </c>
      <c r="F6288" t="inlineStr">
        <is>
          <t>VÄRMLANDS LÄN</t>
        </is>
      </c>
      <c r="G6288" t="inlineStr">
        <is>
          <t>KRISTINEHAMN</t>
        </is>
      </c>
      <c r="I6288" t="n">
        <v>0.9</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63095-2023</t>
        </is>
      </c>
      <c r="B6289" t="inlineStr">
        <is>
          <t>avverkningsanmälan</t>
        </is>
      </c>
      <c r="C6289" t="inlineStr">
        <is>
          <t>Föryngringsavverkning</t>
        </is>
      </c>
      <c r="D6289" s="1" t="n">
        <v>45273</v>
      </c>
      <c r="E6289" s="1" t="n">
        <v>46307</v>
      </c>
      <c r="F6289" t="inlineStr">
        <is>
          <t>VÄRMLANDS LÄN</t>
        </is>
      </c>
      <c r="G6289" t="inlineStr">
        <is>
          <t>SUNNE</t>
        </is>
      </c>
      <c r="I6289" t="n">
        <v>0.4</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56746-2025</t>
        </is>
      </c>
      <c r="B6290" t="inlineStr">
        <is>
          <t>avverkningsanmälan</t>
        </is>
      </c>
      <c r="C6290" t="inlineStr">
        <is>
          <t>Föryngringsavverkning</t>
        </is>
      </c>
      <c r="D6290" s="1" t="n">
        <v>45978</v>
      </c>
      <c r="E6290" s="1" t="n">
        <v>46307</v>
      </c>
      <c r="F6290" t="inlineStr">
        <is>
          <t>VÄRMLANDS LÄN</t>
        </is>
      </c>
      <c r="G6290" t="inlineStr">
        <is>
          <t>ARVIKA</t>
        </is>
      </c>
      <c r="I6290" t="n">
        <v>4.6</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17065-2025</t>
        </is>
      </c>
      <c r="B6291" t="inlineStr">
        <is>
          <t>avverkningsanmälan</t>
        </is>
      </c>
      <c r="C6291" t="inlineStr">
        <is>
          <t>Föryngringsavverkning</t>
        </is>
      </c>
      <c r="D6291" s="1" t="n">
        <v>45754</v>
      </c>
      <c r="E6291" s="1" t="n">
        <v>46307</v>
      </c>
      <c r="F6291" t="inlineStr">
        <is>
          <t>VÄRMLANDS LÄN</t>
        </is>
      </c>
      <c r="G6291" t="inlineStr">
        <is>
          <t>TORSBY</t>
        </is>
      </c>
      <c r="I6291" t="n">
        <v>2.2</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35613-2025</t>
        </is>
      </c>
      <c r="B6292" t="inlineStr">
        <is>
          <t>avverkningsanmälan</t>
        </is>
      </c>
      <c r="C6292" t="inlineStr">
        <is>
          <t>Föryngringsavverkning</t>
        </is>
      </c>
      <c r="D6292" s="1" t="n">
        <v>45859</v>
      </c>
      <c r="E6292" s="1" t="n">
        <v>46307</v>
      </c>
      <c r="F6292" t="inlineStr">
        <is>
          <t>VÄRMLANDS LÄN</t>
        </is>
      </c>
      <c r="G6292" t="inlineStr">
        <is>
          <t>SUNNE</t>
        </is>
      </c>
      <c r="H6292" t="inlineStr">
        <is>
          <t>Bergvik skog väst AB</t>
        </is>
      </c>
      <c r="I6292" t="n">
        <v>1.4</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33671-2022</t>
        </is>
      </c>
      <c r="B6293" t="inlineStr">
        <is>
          <t>avverkningsanmälan</t>
        </is>
      </c>
      <c r="C6293" t="inlineStr">
        <is>
          <t>Föryngringsavverkning</t>
        </is>
      </c>
      <c r="D6293" s="1" t="n">
        <v>44789</v>
      </c>
      <c r="E6293" s="1" t="n">
        <v>46307</v>
      </c>
      <c r="F6293" t="inlineStr">
        <is>
          <t>VÄRMLANDS LÄN</t>
        </is>
      </c>
      <c r="G6293" t="inlineStr">
        <is>
          <t>FILIPSTAD</t>
        </is>
      </c>
      <c r="H6293" t="inlineStr">
        <is>
          <t>Bergvik skog väst AB</t>
        </is>
      </c>
      <c r="I6293" t="n">
        <v>10.6</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8766-2024</t>
        </is>
      </c>
      <c r="B6294" t="inlineStr">
        <is>
          <t>avverkningsanmälan</t>
        </is>
      </c>
      <c r="C6294" t="inlineStr">
        <is>
          <t>Föryngringsavverkning</t>
        </is>
      </c>
      <c r="D6294" s="1" t="n">
        <v>45352</v>
      </c>
      <c r="E6294" s="1" t="n">
        <v>46307</v>
      </c>
      <c r="F6294" t="inlineStr">
        <is>
          <t>VÄRMLANDS LÄN</t>
        </is>
      </c>
      <c r="G6294" t="inlineStr">
        <is>
          <t>SÄFFLE</t>
        </is>
      </c>
      <c r="I6294" t="n">
        <v>1</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8788-2024</t>
        </is>
      </c>
      <c r="B6295" t="inlineStr">
        <is>
          <t>avverkningsanmälan</t>
        </is>
      </c>
      <c r="C6295" t="inlineStr">
        <is>
          <t>Föryngringsavverkning</t>
        </is>
      </c>
      <c r="D6295" s="1" t="n">
        <v>45356</v>
      </c>
      <c r="E6295" s="1" t="n">
        <v>46307</v>
      </c>
      <c r="F6295" t="inlineStr">
        <is>
          <t>VÄRMLANDS LÄN</t>
        </is>
      </c>
      <c r="G6295" t="inlineStr">
        <is>
          <t>GRUMS</t>
        </is>
      </c>
      <c r="I6295" t="n">
        <v>0.9</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43442-2023</t>
        </is>
      </c>
      <c r="B6296" t="inlineStr">
        <is>
          <t>avverkningsanmälan</t>
        </is>
      </c>
      <c r="C6296" t="inlineStr">
        <is>
          <t>Föryngringsavverkning</t>
        </is>
      </c>
      <c r="D6296" s="1" t="n">
        <v>45184</v>
      </c>
      <c r="E6296" s="1" t="n">
        <v>46307</v>
      </c>
      <c r="F6296" t="inlineStr">
        <is>
          <t>VÄRMLANDS LÄN</t>
        </is>
      </c>
      <c r="G6296" t="inlineStr">
        <is>
          <t>EDA</t>
        </is>
      </c>
      <c r="I6296" t="n">
        <v>0.9</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60903-2023</t>
        </is>
      </c>
      <c r="B6297" t="inlineStr">
        <is>
          <t>avverkningsanmälan</t>
        </is>
      </c>
      <c r="C6297" t="inlineStr">
        <is>
          <t>Föryngringsavverkning</t>
        </is>
      </c>
      <c r="D6297" s="1" t="n">
        <v>45261</v>
      </c>
      <c r="E6297" s="1" t="n">
        <v>46307</v>
      </c>
      <c r="F6297" t="inlineStr">
        <is>
          <t>VÄRMLANDS LÄN</t>
        </is>
      </c>
      <c r="G6297" t="inlineStr">
        <is>
          <t>ÅRJÄNG</t>
        </is>
      </c>
      <c r="I6297" t="n">
        <v>2.1</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502-2024</t>
        </is>
      </c>
      <c r="B6298" t="inlineStr">
        <is>
          <t>avverkningsanmälan</t>
        </is>
      </c>
      <c r="C6298" t="inlineStr">
        <is>
          <t>Föryngringsavverkning</t>
        </is>
      </c>
      <c r="D6298" s="1" t="n">
        <v>45299</v>
      </c>
      <c r="E6298" s="1" t="n">
        <v>46307</v>
      </c>
      <c r="F6298" t="inlineStr">
        <is>
          <t>VÄRMLANDS LÄN</t>
        </is>
      </c>
      <c r="G6298" t="inlineStr">
        <is>
          <t>TORSBY</t>
        </is>
      </c>
      <c r="I6298" t="n">
        <v>1.9</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35612-2025</t>
        </is>
      </c>
      <c r="B6299" t="inlineStr">
        <is>
          <t>avverkningsanmälan</t>
        </is>
      </c>
      <c r="C6299" t="inlineStr">
        <is>
          <t>Föryngringsavverkning</t>
        </is>
      </c>
      <c r="D6299" s="1" t="n">
        <v>45859</v>
      </c>
      <c r="E6299" s="1" t="n">
        <v>46307</v>
      </c>
      <c r="F6299" t="inlineStr">
        <is>
          <t>VÄRMLANDS LÄN</t>
        </is>
      </c>
      <c r="G6299" t="inlineStr">
        <is>
          <t>SUNNE</t>
        </is>
      </c>
      <c r="H6299" t="inlineStr">
        <is>
          <t>Bergvik skog väst AB</t>
        </is>
      </c>
      <c r="I6299" t="n">
        <v>0.7</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72073-2021</t>
        </is>
      </c>
      <c r="B6300" t="inlineStr">
        <is>
          <t>avverkningsanmälan</t>
        </is>
      </c>
      <c r="C6300" t="inlineStr">
        <is>
          <t>Föryngringsavverkning</t>
        </is>
      </c>
      <c r="D6300" s="1" t="n">
        <v>44544</v>
      </c>
      <c r="E6300" s="1" t="n">
        <v>46307</v>
      </c>
      <c r="F6300" t="inlineStr">
        <is>
          <t>VÄRMLANDS LÄN</t>
        </is>
      </c>
      <c r="G6300" t="inlineStr">
        <is>
          <t>KIL</t>
        </is>
      </c>
      <c r="I6300" t="n">
        <v>9.6</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2519-2022</t>
        </is>
      </c>
      <c r="B6301" t="inlineStr">
        <is>
          <t>avverkningsanmälan</t>
        </is>
      </c>
      <c r="C6301" t="inlineStr">
        <is>
          <t>Föryngringsavverkning</t>
        </is>
      </c>
      <c r="D6301" s="1" t="n">
        <v>44579</v>
      </c>
      <c r="E6301" s="1" t="n">
        <v>46307</v>
      </c>
      <c r="F6301" t="inlineStr">
        <is>
          <t>VÄRMLANDS LÄN</t>
        </is>
      </c>
      <c r="G6301" t="inlineStr">
        <is>
          <t>SUNNE</t>
        </is>
      </c>
      <c r="I6301" t="n">
        <v>0.8</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14801-2025</t>
        </is>
      </c>
      <c r="B6302" t="inlineStr">
        <is>
          <t>avverkningsanmälan</t>
        </is>
      </c>
      <c r="C6302" t="inlineStr">
        <is>
          <t>Föryngringsavverkning</t>
        </is>
      </c>
      <c r="D6302" s="1" t="n">
        <v>45743</v>
      </c>
      <c r="E6302" s="1" t="n">
        <v>46307</v>
      </c>
      <c r="F6302" t="inlineStr">
        <is>
          <t>VÄRMLANDS LÄN</t>
        </is>
      </c>
      <c r="G6302" t="inlineStr">
        <is>
          <t>TORSBY</t>
        </is>
      </c>
      <c r="I6302" t="n">
        <v>4.8</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35676-2025</t>
        </is>
      </c>
      <c r="B6303" t="inlineStr">
        <is>
          <t>avverkningsanmälan</t>
        </is>
      </c>
      <c r="C6303" t="inlineStr">
        <is>
          <t>Föryngringsavverkning</t>
        </is>
      </c>
      <c r="D6303" s="1" t="n">
        <v>45859</v>
      </c>
      <c r="E6303" s="1" t="n">
        <v>46307</v>
      </c>
      <c r="F6303" t="inlineStr">
        <is>
          <t>VÄRMLANDS LÄN</t>
        </is>
      </c>
      <c r="G6303" t="inlineStr">
        <is>
          <t>ARVIKA</t>
        </is>
      </c>
      <c r="I6303" t="n">
        <v>2.4</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14877-2025</t>
        </is>
      </c>
      <c r="B6304" t="inlineStr">
        <is>
          <t>avverkningsanmälan</t>
        </is>
      </c>
      <c r="C6304" t="inlineStr">
        <is>
          <t>Föryngringsavverkning</t>
        </is>
      </c>
      <c r="D6304" s="1" t="n">
        <v>45743</v>
      </c>
      <c r="E6304" s="1" t="n">
        <v>46307</v>
      </c>
      <c r="F6304" t="inlineStr">
        <is>
          <t>VÄRMLANDS LÄN</t>
        </is>
      </c>
      <c r="G6304" t="inlineStr">
        <is>
          <t>SUNNE</t>
        </is>
      </c>
      <c r="I6304" t="n">
        <v>8.6</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38933-2023</t>
        </is>
      </c>
      <c r="B6305" t="inlineStr">
        <is>
          <t>avverkningsanmälan</t>
        </is>
      </c>
      <c r="C6305" t="inlineStr">
        <is>
          <t>Föryngringsavverkning</t>
        </is>
      </c>
      <c r="D6305" s="1" t="n">
        <v>45163</v>
      </c>
      <c r="E6305" s="1" t="n">
        <v>46307</v>
      </c>
      <c r="F6305" t="inlineStr">
        <is>
          <t>VÄRMLANDS LÄN</t>
        </is>
      </c>
      <c r="G6305" t="inlineStr">
        <is>
          <t>KARLSTAD</t>
        </is>
      </c>
      <c r="I6305" t="n">
        <v>1.2</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18117-2025</t>
        </is>
      </c>
      <c r="B6306" t="inlineStr">
        <is>
          <t>avverkningsanmälan</t>
        </is>
      </c>
      <c r="C6306" t="inlineStr">
        <is>
          <t>Föryngringsavverkning</t>
        </is>
      </c>
      <c r="D6306" s="1" t="n">
        <v>45761</v>
      </c>
      <c r="E6306" s="1" t="n">
        <v>46307</v>
      </c>
      <c r="F6306" t="inlineStr">
        <is>
          <t>VÄRMLANDS LÄN</t>
        </is>
      </c>
      <c r="G6306" t="inlineStr">
        <is>
          <t>KIL</t>
        </is>
      </c>
      <c r="I6306" t="n">
        <v>0.6</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47019-2023</t>
        </is>
      </c>
      <c r="B6307" t="inlineStr">
        <is>
          <t>avverkningsanmälan</t>
        </is>
      </c>
      <c r="C6307" t="inlineStr">
        <is>
          <t>Föryngringsavverkning</t>
        </is>
      </c>
      <c r="D6307" s="1" t="n">
        <v>45201</v>
      </c>
      <c r="E6307" s="1" t="n">
        <v>46307</v>
      </c>
      <c r="F6307" t="inlineStr">
        <is>
          <t>VÄRMLANDS LÄN</t>
        </is>
      </c>
      <c r="G6307" t="inlineStr">
        <is>
          <t>HAGFORS</t>
        </is>
      </c>
      <c r="I6307" t="n">
        <v>2.2</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56848-2025</t>
        </is>
      </c>
      <c r="B6308" t="inlineStr">
        <is>
          <t>avverkningsanmälan</t>
        </is>
      </c>
      <c r="C6308" t="inlineStr">
        <is>
          <t>Föryngringsavverkning</t>
        </is>
      </c>
      <c r="D6308" s="1" t="n">
        <v>45978</v>
      </c>
      <c r="E6308" s="1" t="n">
        <v>46307</v>
      </c>
      <c r="F6308" t="inlineStr">
        <is>
          <t>VÄRMLANDS LÄN</t>
        </is>
      </c>
      <c r="G6308" t="inlineStr">
        <is>
          <t>TORSBY</t>
        </is>
      </c>
      <c r="H6308" t="inlineStr">
        <is>
          <t>Bergvik skog väst AB</t>
        </is>
      </c>
      <c r="I6308" t="n">
        <v>1.1</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618-2024</t>
        </is>
      </c>
      <c r="B6309" t="inlineStr">
        <is>
          <t>avverkningsanmälan</t>
        </is>
      </c>
      <c r="C6309" t="inlineStr">
        <is>
          <t>Föryngringsavverkning</t>
        </is>
      </c>
      <c r="D6309" s="1" t="n">
        <v>45299</v>
      </c>
      <c r="E6309" s="1" t="n">
        <v>46307</v>
      </c>
      <c r="F6309" t="inlineStr">
        <is>
          <t>VÄRMLANDS LÄN</t>
        </is>
      </c>
      <c r="G6309" t="inlineStr">
        <is>
          <t>KARLSTAD</t>
        </is>
      </c>
      <c r="I6309" t="n">
        <v>10.9</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680-2024</t>
        </is>
      </c>
      <c r="B6310" t="inlineStr">
        <is>
          <t>avverkningsanmälan</t>
        </is>
      </c>
      <c r="C6310" t="inlineStr">
        <is>
          <t>Föryngringsavverkning</t>
        </is>
      </c>
      <c r="D6310" s="1" t="n">
        <v>45300</v>
      </c>
      <c r="E6310" s="1" t="n">
        <v>46307</v>
      </c>
      <c r="F6310" t="inlineStr">
        <is>
          <t>VÄRMLANDS LÄN</t>
        </is>
      </c>
      <c r="G6310" t="inlineStr">
        <is>
          <t>GRUMS</t>
        </is>
      </c>
      <c r="I6310" t="n">
        <v>0.8</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6968-2025</t>
        </is>
      </c>
      <c r="B6311" t="inlineStr">
        <is>
          <t>avverkningsanmälan</t>
        </is>
      </c>
      <c r="C6311" t="inlineStr">
        <is>
          <t>Föryngringsavverkning</t>
        </is>
      </c>
      <c r="D6311" s="1" t="n">
        <v>45701</v>
      </c>
      <c r="E6311" s="1" t="n">
        <v>46307</v>
      </c>
      <c r="F6311" t="inlineStr">
        <is>
          <t>VÄRMLANDS LÄN</t>
        </is>
      </c>
      <c r="G6311" t="inlineStr">
        <is>
          <t>TORSBY</t>
        </is>
      </c>
      <c r="I6311" t="n">
        <v>0.9</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30094-2023</t>
        </is>
      </c>
      <c r="B6312" t="inlineStr">
        <is>
          <t>avverkningsanmälan</t>
        </is>
      </c>
      <c r="C6312" t="inlineStr">
        <is>
          <t>Föryngringsavverkning</t>
        </is>
      </c>
      <c r="D6312" s="1" t="n">
        <v>45110</v>
      </c>
      <c r="E6312" s="1" t="n">
        <v>46307</v>
      </c>
      <c r="F6312" t="inlineStr">
        <is>
          <t>VÄRMLANDS LÄN</t>
        </is>
      </c>
      <c r="G6312" t="inlineStr">
        <is>
          <t>KARLSTAD</t>
        </is>
      </c>
      <c r="I6312" t="n">
        <v>6</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35855-2025</t>
        </is>
      </c>
      <c r="B6313" t="inlineStr">
        <is>
          <t>avverkningsanmälan</t>
        </is>
      </c>
      <c r="C6313" t="inlineStr">
        <is>
          <t>Föryngringsavverkning</t>
        </is>
      </c>
      <c r="D6313" s="1" t="n">
        <v>45861</v>
      </c>
      <c r="E6313" s="1" t="n">
        <v>46307</v>
      </c>
      <c r="F6313" t="inlineStr">
        <is>
          <t>VÄRMLANDS LÄN</t>
        </is>
      </c>
      <c r="G6313" t="inlineStr">
        <is>
          <t>TORSBY</t>
        </is>
      </c>
      <c r="I6313" t="n">
        <v>0.6</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69354-2021</t>
        </is>
      </c>
      <c r="B6314" t="inlineStr">
        <is>
          <t>avverkningsanmälan</t>
        </is>
      </c>
      <c r="C6314" t="inlineStr">
        <is>
          <t>Föryngringsavverkning</t>
        </is>
      </c>
      <c r="D6314" s="1" t="n">
        <v>44531</v>
      </c>
      <c r="E6314" s="1" t="n">
        <v>46307</v>
      </c>
      <c r="F6314" t="inlineStr">
        <is>
          <t>VÄRMLANDS LÄN</t>
        </is>
      </c>
      <c r="G6314" t="inlineStr">
        <is>
          <t>ARVIKA</t>
        </is>
      </c>
      <c r="H6314" t="inlineStr">
        <is>
          <t>Bergvik skog väst AB</t>
        </is>
      </c>
      <c r="I6314" t="n">
        <v>2.2</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35818-2025</t>
        </is>
      </c>
      <c r="B6315" t="inlineStr">
        <is>
          <t>avverkningsanmälan</t>
        </is>
      </c>
      <c r="C6315" t="inlineStr">
        <is>
          <t>Föryngringsavverkning</t>
        </is>
      </c>
      <c r="D6315" s="1" t="n">
        <v>45861</v>
      </c>
      <c r="E6315" s="1" t="n">
        <v>46307</v>
      </c>
      <c r="F6315" t="inlineStr">
        <is>
          <t>VÄRMLANDS LÄN</t>
        </is>
      </c>
      <c r="G6315" t="inlineStr">
        <is>
          <t>ARVIKA</t>
        </is>
      </c>
      <c r="H6315" t="inlineStr">
        <is>
          <t>Bergvik skog väst AB</t>
        </is>
      </c>
      <c r="I6315" t="n">
        <v>7.5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62173-2023</t>
        </is>
      </c>
      <c r="B6316" t="inlineStr">
        <is>
          <t>avverkningsanmälan</t>
        </is>
      </c>
      <c r="C6316" t="inlineStr">
        <is>
          <t>Föryngringsavverkning</t>
        </is>
      </c>
      <c r="D6316" s="1" t="n">
        <v>45267</v>
      </c>
      <c r="E6316" s="1" t="n">
        <v>46307</v>
      </c>
      <c r="F6316" t="inlineStr">
        <is>
          <t>VÄRMLANDS LÄN</t>
        </is>
      </c>
      <c r="G6316" t="inlineStr">
        <is>
          <t>EDA</t>
        </is>
      </c>
      <c r="I6316" t="n">
        <v>1.2</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14478-2025</t>
        </is>
      </c>
      <c r="B6317" t="inlineStr">
        <is>
          <t>avverkningsanmälan</t>
        </is>
      </c>
      <c r="C6317" t="inlineStr">
        <is>
          <t>Föryngringsavverkning</t>
        </is>
      </c>
      <c r="D6317" s="1" t="n">
        <v>45741</v>
      </c>
      <c r="E6317" s="1" t="n">
        <v>46307</v>
      </c>
      <c r="F6317" t="inlineStr">
        <is>
          <t>VÄRMLANDS LÄN</t>
        </is>
      </c>
      <c r="G6317" t="inlineStr">
        <is>
          <t>ARVIKA</t>
        </is>
      </c>
      <c r="I6317" t="n">
        <v>0.5</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44005-2023</t>
        </is>
      </c>
      <c r="B6318" t="inlineStr">
        <is>
          <t>avverkningsanmälan</t>
        </is>
      </c>
      <c r="C6318" t="inlineStr">
        <is>
          <t>Föryngringsavverkning</t>
        </is>
      </c>
      <c r="D6318" s="1" t="n">
        <v>45188</v>
      </c>
      <c r="E6318" s="1" t="n">
        <v>46307</v>
      </c>
      <c r="F6318" t="inlineStr">
        <is>
          <t>VÄRMLANDS LÄN</t>
        </is>
      </c>
      <c r="G6318" t="inlineStr">
        <is>
          <t>ARVIKA</t>
        </is>
      </c>
      <c r="I6318" t="n">
        <v>6.6</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44006-2023</t>
        </is>
      </c>
      <c r="B6319" t="inlineStr">
        <is>
          <t>avverkningsanmälan</t>
        </is>
      </c>
      <c r="C6319" t="inlineStr">
        <is>
          <t>Föryngringsavverkning</t>
        </is>
      </c>
      <c r="D6319" s="1" t="n">
        <v>45188</v>
      </c>
      <c r="E6319" s="1" t="n">
        <v>46307</v>
      </c>
      <c r="F6319" t="inlineStr">
        <is>
          <t>VÄRMLANDS LÄN</t>
        </is>
      </c>
      <c r="G6319" t="inlineStr">
        <is>
          <t>EDA</t>
        </is>
      </c>
      <c r="I6319" t="n">
        <v>1.1</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16309-2023</t>
        </is>
      </c>
      <c r="B6320" t="inlineStr">
        <is>
          <t>avverkningsanmälan</t>
        </is>
      </c>
      <c r="C6320" t="inlineStr">
        <is>
          <t>Föryngringsavverkning</t>
        </is>
      </c>
      <c r="D6320" s="1" t="n">
        <v>45028</v>
      </c>
      <c r="E6320" s="1" t="n">
        <v>46307</v>
      </c>
      <c r="F6320" t="inlineStr">
        <is>
          <t>VÄRMLANDS LÄN</t>
        </is>
      </c>
      <c r="G6320" t="inlineStr">
        <is>
          <t>TORSBY</t>
        </is>
      </c>
      <c r="I6320" t="n">
        <v>2.1</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46257-2022</t>
        </is>
      </c>
      <c r="B6321" t="inlineStr">
        <is>
          <t>avverkningsanmälan</t>
        </is>
      </c>
      <c r="C6321" t="inlineStr">
        <is>
          <t>Avverkning för annat ändamål</t>
        </is>
      </c>
      <c r="D6321" s="1" t="n">
        <v>44847</v>
      </c>
      <c r="E6321" s="1" t="n">
        <v>46307</v>
      </c>
      <c r="F6321" t="inlineStr">
        <is>
          <t>VÄRMLANDS LÄN</t>
        </is>
      </c>
      <c r="G6321" t="inlineStr">
        <is>
          <t>FILIPSTAD</t>
        </is>
      </c>
      <c r="I6321" t="n">
        <v>0.3</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36827-2022</t>
        </is>
      </c>
      <c r="B6322" t="inlineStr">
        <is>
          <t>avverkningsanmälan</t>
        </is>
      </c>
      <c r="C6322" t="inlineStr">
        <is>
          <t>Föryngringsavverkning</t>
        </is>
      </c>
      <c r="D6322" s="1" t="n">
        <v>44805</v>
      </c>
      <c r="E6322" s="1" t="n">
        <v>46307</v>
      </c>
      <c r="F6322" t="inlineStr">
        <is>
          <t>VÄRMLANDS LÄN</t>
        </is>
      </c>
      <c r="G6322" t="inlineStr">
        <is>
          <t>FILIPSTAD</t>
        </is>
      </c>
      <c r="H6322" t="inlineStr">
        <is>
          <t>Bergvik skog väst AB</t>
        </is>
      </c>
      <c r="I6322" t="n">
        <v>3.8</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35869-2025</t>
        </is>
      </c>
      <c r="B6323" t="inlineStr">
        <is>
          <t>avverkningsanmälan</t>
        </is>
      </c>
      <c r="C6323" t="inlineStr">
        <is>
          <t>Föryngringsavverkning</t>
        </is>
      </c>
      <c r="D6323" s="1" t="n">
        <v>45862</v>
      </c>
      <c r="E6323" s="1" t="n">
        <v>46307</v>
      </c>
      <c r="F6323" t="inlineStr">
        <is>
          <t>VÄRMLANDS LÄN</t>
        </is>
      </c>
      <c r="G6323" t="inlineStr">
        <is>
          <t>ÅRJÄNG</t>
        </is>
      </c>
      <c r="H6323" t="inlineStr">
        <is>
          <t>Bergvik skog väst AB</t>
        </is>
      </c>
      <c r="I6323" t="n">
        <v>4.1</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29958-2024</t>
        </is>
      </c>
      <c r="B6324" t="inlineStr">
        <is>
          <t>avverkningsanmälan</t>
        </is>
      </c>
      <c r="C6324" t="inlineStr">
        <is>
          <t>Föryngringsavverkning</t>
        </is>
      </c>
      <c r="D6324" s="1" t="n">
        <v>45488</v>
      </c>
      <c r="E6324" s="1" t="n">
        <v>46307</v>
      </c>
      <c r="F6324" t="inlineStr">
        <is>
          <t>VÄRMLANDS LÄN</t>
        </is>
      </c>
      <c r="G6324" t="inlineStr">
        <is>
          <t>SUNNE</t>
        </is>
      </c>
      <c r="I6324" t="n">
        <v>0.9</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30011-2024</t>
        </is>
      </c>
      <c r="B6325" t="inlineStr">
        <is>
          <t>avverkningsanmälan</t>
        </is>
      </c>
      <c r="C6325" t="inlineStr">
        <is>
          <t>Föryngringsavverkning</t>
        </is>
      </c>
      <c r="D6325" s="1" t="n">
        <v>45488</v>
      </c>
      <c r="E6325" s="1" t="n">
        <v>46307</v>
      </c>
      <c r="F6325" t="inlineStr">
        <is>
          <t>VÄRMLANDS LÄN</t>
        </is>
      </c>
      <c r="G6325" t="inlineStr">
        <is>
          <t>TORSBY</t>
        </is>
      </c>
      <c r="H6325" t="inlineStr">
        <is>
          <t>Kommuner</t>
        </is>
      </c>
      <c r="I6325" t="n">
        <v>4.7</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1700-2024</t>
        </is>
      </c>
      <c r="B6326" t="inlineStr">
        <is>
          <t>avverkningsanmälan</t>
        </is>
      </c>
      <c r="C6326" t="inlineStr">
        <is>
          <t>Föryngringsavverkning</t>
        </is>
      </c>
      <c r="D6326" s="1" t="n">
        <v>45307</v>
      </c>
      <c r="E6326" s="1" t="n">
        <v>46307</v>
      </c>
      <c r="F6326" t="inlineStr">
        <is>
          <t>VÄRMLANDS LÄN</t>
        </is>
      </c>
      <c r="G6326" t="inlineStr">
        <is>
          <t>TORSBY</t>
        </is>
      </c>
      <c r="I6326" t="n">
        <v>2.5</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46299-2022</t>
        </is>
      </c>
      <c r="B6327" t="inlineStr">
        <is>
          <t>avverkningsanmälan</t>
        </is>
      </c>
      <c r="C6327" t="inlineStr">
        <is>
          <t>Föryngringsavverkning</t>
        </is>
      </c>
      <c r="D6327" s="1" t="n">
        <v>44847</v>
      </c>
      <c r="E6327" s="1" t="n">
        <v>46307</v>
      </c>
      <c r="F6327" t="inlineStr">
        <is>
          <t>VÄRMLANDS LÄN</t>
        </is>
      </c>
      <c r="G6327" t="inlineStr">
        <is>
          <t>GRUMS</t>
        </is>
      </c>
      <c r="I6327" t="n">
        <v>2</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46687-2023</t>
        </is>
      </c>
      <c r="B6328" t="inlineStr">
        <is>
          <t>avverkningsanmälan</t>
        </is>
      </c>
      <c r="C6328" t="inlineStr">
        <is>
          <t>Föryngringsavverkning</t>
        </is>
      </c>
      <c r="D6328" s="1" t="n">
        <v>45198</v>
      </c>
      <c r="E6328" s="1" t="n">
        <v>46307</v>
      </c>
      <c r="F6328" t="inlineStr">
        <is>
          <t>VÄRMLANDS LÄN</t>
        </is>
      </c>
      <c r="G6328" t="inlineStr">
        <is>
          <t>ARVIKA</t>
        </is>
      </c>
      <c r="I6328" t="n">
        <v>14.9</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1279-2025</t>
        </is>
      </c>
      <c r="B6329" t="inlineStr">
        <is>
          <t>avverkningsanmälan</t>
        </is>
      </c>
      <c r="C6329" t="inlineStr">
        <is>
          <t>Föryngringsavverkning</t>
        </is>
      </c>
      <c r="D6329" s="1" t="n">
        <v>45667</v>
      </c>
      <c r="E6329" s="1" t="n">
        <v>46307</v>
      </c>
      <c r="F6329" t="inlineStr">
        <is>
          <t>VÄRMLANDS LÄN</t>
        </is>
      </c>
      <c r="G6329" t="inlineStr">
        <is>
          <t>ÅRJÄNG</t>
        </is>
      </c>
      <c r="I6329" t="n">
        <v>2.6</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37611-2022</t>
        </is>
      </c>
      <c r="B6330" t="inlineStr">
        <is>
          <t>avverkningsanmälan</t>
        </is>
      </c>
      <c r="C6330" t="inlineStr">
        <is>
          <t>Föryngringsavverkning</t>
        </is>
      </c>
      <c r="D6330" s="1" t="n">
        <v>44809</v>
      </c>
      <c r="E6330" s="1" t="n">
        <v>46307</v>
      </c>
      <c r="F6330" t="inlineStr">
        <is>
          <t>VÄRMLANDS LÄN</t>
        </is>
      </c>
      <c r="G6330" t="inlineStr">
        <is>
          <t>FILIPSTAD</t>
        </is>
      </c>
      <c r="I6330" t="n">
        <v>5.4</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62596-2022</t>
        </is>
      </c>
      <c r="B6331" t="inlineStr">
        <is>
          <t>avverkningsanmälan</t>
        </is>
      </c>
      <c r="C6331" t="inlineStr">
        <is>
          <t>Föryngringsavverkning</t>
        </is>
      </c>
      <c r="D6331" s="1" t="n">
        <v>44917</v>
      </c>
      <c r="E6331" s="1" t="n">
        <v>46307</v>
      </c>
      <c r="F6331" t="inlineStr">
        <is>
          <t>VÄRMLANDS LÄN</t>
        </is>
      </c>
      <c r="G6331" t="inlineStr">
        <is>
          <t>ARVIKA</t>
        </is>
      </c>
      <c r="I6331" t="n">
        <v>1</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62601-2022</t>
        </is>
      </c>
      <c r="B6332" t="inlineStr">
        <is>
          <t>avverkningsanmälan</t>
        </is>
      </c>
      <c r="C6332" t="inlineStr">
        <is>
          <t>Föryngringsavverkning</t>
        </is>
      </c>
      <c r="D6332" s="1" t="n">
        <v>44917</v>
      </c>
      <c r="E6332" s="1" t="n">
        <v>46307</v>
      </c>
      <c r="F6332" t="inlineStr">
        <is>
          <t>VÄRMLANDS LÄN</t>
        </is>
      </c>
      <c r="G6332" t="inlineStr">
        <is>
          <t>ARVIKA</t>
        </is>
      </c>
      <c r="I6332" t="n">
        <v>0.5</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56872-2025</t>
        </is>
      </c>
      <c r="B6333" t="inlineStr">
        <is>
          <t>avverkningsanmälan</t>
        </is>
      </c>
      <c r="C6333" t="inlineStr">
        <is>
          <t>Föryngringsavverkning</t>
        </is>
      </c>
      <c r="D6333" s="1" t="n">
        <v>45978</v>
      </c>
      <c r="E6333" s="1" t="n">
        <v>46307</v>
      </c>
      <c r="F6333" t="inlineStr">
        <is>
          <t>VÄRMLANDS LÄN</t>
        </is>
      </c>
      <c r="G6333" t="inlineStr">
        <is>
          <t>KARLSTAD</t>
        </is>
      </c>
      <c r="I6333" t="n">
        <v>2.5</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56784-2025</t>
        </is>
      </c>
      <c r="B6334" t="inlineStr">
        <is>
          <t>avverkningsanmälan</t>
        </is>
      </c>
      <c r="C6334" t="inlineStr">
        <is>
          <t>Föryngringsavverkning</t>
        </is>
      </c>
      <c r="D6334" s="1" t="n">
        <v>45978</v>
      </c>
      <c r="E6334" s="1" t="n">
        <v>46307</v>
      </c>
      <c r="F6334" t="inlineStr">
        <is>
          <t>VÄRMLANDS LÄN</t>
        </is>
      </c>
      <c r="G6334" t="inlineStr">
        <is>
          <t>TORSBY</t>
        </is>
      </c>
      <c r="H6334" t="inlineStr">
        <is>
          <t>Bergvik skog väst AB</t>
        </is>
      </c>
      <c r="I6334" t="n">
        <v>5.7</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48805-2022</t>
        </is>
      </c>
      <c r="B6335" t="inlineStr">
        <is>
          <t>avverkningsanmälan</t>
        </is>
      </c>
      <c r="C6335" t="inlineStr">
        <is>
          <t>Föryngringsavverkning</t>
        </is>
      </c>
      <c r="D6335" s="1" t="n">
        <v>44854</v>
      </c>
      <c r="E6335" s="1" t="n">
        <v>46307</v>
      </c>
      <c r="F6335" t="inlineStr">
        <is>
          <t>VÄRMLANDS LÄN</t>
        </is>
      </c>
      <c r="G6335" t="inlineStr">
        <is>
          <t>ÅRJÄNG</t>
        </is>
      </c>
      <c r="I6335" t="n">
        <v>4</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30958-2025</t>
        </is>
      </c>
      <c r="B6336" t="inlineStr">
        <is>
          <t>avverkningsanmälan</t>
        </is>
      </c>
      <c r="C6336" t="inlineStr">
        <is>
          <t>Föryngringsavverkning</t>
        </is>
      </c>
      <c r="D6336" s="1" t="n">
        <v>45832</v>
      </c>
      <c r="E6336" s="1" t="n">
        <v>46307</v>
      </c>
      <c r="F6336" t="inlineStr">
        <is>
          <t>VÄRMLANDS LÄN</t>
        </is>
      </c>
      <c r="G6336" t="inlineStr">
        <is>
          <t>TORSBY</t>
        </is>
      </c>
      <c r="I6336" t="n">
        <v>28.5</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62258-2023</t>
        </is>
      </c>
      <c r="B6337" t="inlineStr">
        <is>
          <t>avverkningsanmälan</t>
        </is>
      </c>
      <c r="C6337" t="inlineStr">
        <is>
          <t>Föryngringsavverkning</t>
        </is>
      </c>
      <c r="D6337" s="1" t="n">
        <v>45266</v>
      </c>
      <c r="E6337" s="1" t="n">
        <v>46307</v>
      </c>
      <c r="F6337" t="inlineStr">
        <is>
          <t>VÄRMLANDS LÄN</t>
        </is>
      </c>
      <c r="G6337" t="inlineStr">
        <is>
          <t>TORSBY</t>
        </is>
      </c>
      <c r="I6337" t="n">
        <v>7.8</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31896-2022</t>
        </is>
      </c>
      <c r="B6338" t="inlineStr">
        <is>
          <t>avverkningsanmälan</t>
        </is>
      </c>
      <c r="C6338" t="inlineStr">
        <is>
          <t>Föryngringsavverkning</t>
        </is>
      </c>
      <c r="D6338" s="1" t="n">
        <v>44777</v>
      </c>
      <c r="E6338" s="1" t="n">
        <v>46307</v>
      </c>
      <c r="F6338" t="inlineStr">
        <is>
          <t>VÄRMLANDS LÄN</t>
        </is>
      </c>
      <c r="G6338" t="inlineStr">
        <is>
          <t>SUNNE</t>
        </is>
      </c>
      <c r="I6338" t="n">
        <v>3.8</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55137-2023</t>
        </is>
      </c>
      <c r="B6339" t="inlineStr">
        <is>
          <t>avverkningsanmälan</t>
        </is>
      </c>
      <c r="C6339" t="inlineStr">
        <is>
          <t>Föryngringsavverkning</t>
        </is>
      </c>
      <c r="D6339" s="1" t="n">
        <v>45237</v>
      </c>
      <c r="E6339" s="1" t="n">
        <v>46307</v>
      </c>
      <c r="F6339" t="inlineStr">
        <is>
          <t>VÄRMLANDS LÄN</t>
        </is>
      </c>
      <c r="G6339" t="inlineStr">
        <is>
          <t>FORSHAGA</t>
        </is>
      </c>
      <c r="I6339" t="n">
        <v>1</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36042-2025</t>
        </is>
      </c>
      <c r="B6340" t="inlineStr">
        <is>
          <t>avverkningsanmälan</t>
        </is>
      </c>
      <c r="C6340" t="inlineStr">
        <is>
          <t>Föryngringsavverkning</t>
        </is>
      </c>
      <c r="D6340" s="1" t="n">
        <v>45866</v>
      </c>
      <c r="E6340" s="1" t="n">
        <v>46307</v>
      </c>
      <c r="F6340" t="inlineStr">
        <is>
          <t>VÄRMLANDS LÄN</t>
        </is>
      </c>
      <c r="G6340" t="inlineStr">
        <is>
          <t>ARVIKA</t>
        </is>
      </c>
      <c r="I6340" t="n">
        <v>1.2</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28284-2024</t>
        </is>
      </c>
      <c r="B6341" t="inlineStr">
        <is>
          <t>avverkningsanmälan</t>
        </is>
      </c>
      <c r="C6341" t="inlineStr">
        <is>
          <t>Föryngringsavverkning</t>
        </is>
      </c>
      <c r="D6341" s="1" t="n">
        <v>45477</v>
      </c>
      <c r="E6341" s="1" t="n">
        <v>46307</v>
      </c>
      <c r="F6341" t="inlineStr">
        <is>
          <t>VÄRMLANDS LÄN</t>
        </is>
      </c>
      <c r="G6341" t="inlineStr">
        <is>
          <t>TORSBY</t>
        </is>
      </c>
      <c r="I6341" t="n">
        <v>0.8</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16525-2023</t>
        </is>
      </c>
      <c r="B6342" t="inlineStr">
        <is>
          <t>avverkningsanmälan</t>
        </is>
      </c>
      <c r="C6342" t="inlineStr">
        <is>
          <t>Föryngringsavverkning</t>
        </is>
      </c>
      <c r="D6342" s="1" t="n">
        <v>45029</v>
      </c>
      <c r="E6342" s="1" t="n">
        <v>46307</v>
      </c>
      <c r="F6342" t="inlineStr">
        <is>
          <t>VÄRMLANDS LÄN</t>
        </is>
      </c>
      <c r="G6342" t="inlineStr">
        <is>
          <t>HAGFORS</t>
        </is>
      </c>
      <c r="H6342" t="inlineStr">
        <is>
          <t>Bergvik skog väst AB</t>
        </is>
      </c>
      <c r="I6342" t="n">
        <v>2.8</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35980-2025</t>
        </is>
      </c>
      <c r="B6343" t="inlineStr">
        <is>
          <t>avverkningsanmälan</t>
        </is>
      </c>
      <c r="C6343" t="inlineStr">
        <is>
          <t>Föryngringsavverkning</t>
        </is>
      </c>
      <c r="D6343" s="1" t="n">
        <v>45863</v>
      </c>
      <c r="E6343" s="1" t="n">
        <v>46307</v>
      </c>
      <c r="F6343" t="inlineStr">
        <is>
          <t>VÄRMLANDS LÄN</t>
        </is>
      </c>
      <c r="G6343" t="inlineStr">
        <is>
          <t>TORSBY</t>
        </is>
      </c>
      <c r="H6343" t="inlineStr">
        <is>
          <t>Bergvik skog väst AB</t>
        </is>
      </c>
      <c r="I6343" t="n">
        <v>2.7</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10873-2023</t>
        </is>
      </c>
      <c r="B6344" t="inlineStr">
        <is>
          <t>avverkningsanmälan</t>
        </is>
      </c>
      <c r="C6344" t="inlineStr">
        <is>
          <t>Föryngringsavverkning</t>
        </is>
      </c>
      <c r="D6344" s="1" t="n">
        <v>44991</v>
      </c>
      <c r="E6344" s="1" t="n">
        <v>46307</v>
      </c>
      <c r="F6344" t="inlineStr">
        <is>
          <t>VÄRMLANDS LÄN</t>
        </is>
      </c>
      <c r="G6344" t="inlineStr">
        <is>
          <t>ÅRJÄNG</t>
        </is>
      </c>
      <c r="I6344" t="n">
        <v>2</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21632-2024</t>
        </is>
      </c>
      <c r="B6345" t="inlineStr">
        <is>
          <t>avverkningsanmälan</t>
        </is>
      </c>
      <c r="C6345" t="inlineStr">
        <is>
          <t>Föryngringsavverkning</t>
        </is>
      </c>
      <c r="D6345" s="1" t="n">
        <v>45442</v>
      </c>
      <c r="E6345" s="1" t="n">
        <v>46307</v>
      </c>
      <c r="F6345" t="inlineStr">
        <is>
          <t>VÄRMLANDS LÄN</t>
        </is>
      </c>
      <c r="G6345" t="inlineStr">
        <is>
          <t>SUNNE</t>
        </is>
      </c>
      <c r="H6345" t="inlineStr">
        <is>
          <t>Bergvik skog väst AB</t>
        </is>
      </c>
      <c r="I6345" t="n">
        <v>0.7</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19630-2025</t>
        </is>
      </c>
      <c r="B6346" t="inlineStr">
        <is>
          <t>avverkningsanmälan</t>
        </is>
      </c>
      <c r="C6346" t="inlineStr">
        <is>
          <t>Föryngringsavverkning</t>
        </is>
      </c>
      <c r="D6346" s="1" t="n">
        <v>45770</v>
      </c>
      <c r="E6346" s="1" t="n">
        <v>46307</v>
      </c>
      <c r="F6346" t="inlineStr">
        <is>
          <t>VÄRMLANDS LÄN</t>
        </is>
      </c>
      <c r="G6346" t="inlineStr">
        <is>
          <t>TORSBY</t>
        </is>
      </c>
      <c r="I6346" t="n">
        <v>3.1</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18877-2022</t>
        </is>
      </c>
      <c r="B6347" t="inlineStr">
        <is>
          <t>avverkningsanmälan</t>
        </is>
      </c>
      <c r="C6347" t="inlineStr">
        <is>
          <t>Föryngringsavverkning</t>
        </is>
      </c>
      <c r="D6347" s="1" t="n">
        <v>44690</v>
      </c>
      <c r="E6347" s="1" t="n">
        <v>46307</v>
      </c>
      <c r="F6347" t="inlineStr">
        <is>
          <t>VÄRMLANDS LÄN</t>
        </is>
      </c>
      <c r="G6347" t="inlineStr">
        <is>
          <t>TORSBY</t>
        </is>
      </c>
      <c r="I6347" t="n">
        <v>3.1</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26862-2022</t>
        </is>
      </c>
      <c r="B6348" t="inlineStr">
        <is>
          <t>avverkningsanmälan</t>
        </is>
      </c>
      <c r="C6348" t="inlineStr">
        <is>
          <t>Föryngringsavverkning</t>
        </is>
      </c>
      <c r="D6348" s="1" t="n">
        <v>44740</v>
      </c>
      <c r="E6348" s="1" t="n">
        <v>46307</v>
      </c>
      <c r="F6348" t="inlineStr">
        <is>
          <t>VÄRMLANDS LÄN</t>
        </is>
      </c>
      <c r="G6348" t="inlineStr">
        <is>
          <t>SUNNE</t>
        </is>
      </c>
      <c r="I6348" t="n">
        <v>1.5</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62032-2024</t>
        </is>
      </c>
      <c r="B6349" t="inlineStr">
        <is>
          <t>avverkningsanmälan</t>
        </is>
      </c>
      <c r="C6349" t="inlineStr">
        <is>
          <t>Föryngringsavverkning</t>
        </is>
      </c>
      <c r="D6349" s="1" t="n">
        <v>45656</v>
      </c>
      <c r="E6349" s="1" t="n">
        <v>46307</v>
      </c>
      <c r="F6349" t="inlineStr">
        <is>
          <t>VÄRMLANDS LÄN</t>
        </is>
      </c>
      <c r="G6349" t="inlineStr">
        <is>
          <t>KRISTINEHAMN</t>
        </is>
      </c>
      <c r="I6349" t="n">
        <v>0.9</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39029-2022</t>
        </is>
      </c>
      <c r="B6350" t="inlineStr">
        <is>
          <t>avverkningsanmälan</t>
        </is>
      </c>
      <c r="C6350" t="inlineStr">
        <is>
          <t>Föryngringsavverkning</t>
        </is>
      </c>
      <c r="D6350" s="1" t="n">
        <v>44817</v>
      </c>
      <c r="E6350" s="1" t="n">
        <v>46307</v>
      </c>
      <c r="F6350" t="inlineStr">
        <is>
          <t>VÄRMLANDS LÄN</t>
        </is>
      </c>
      <c r="G6350" t="inlineStr">
        <is>
          <t>HAGFORS</t>
        </is>
      </c>
      <c r="H6350" t="inlineStr">
        <is>
          <t>Bergvik skog väst AB</t>
        </is>
      </c>
      <c r="I6350" t="n">
        <v>1.4</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25961-2025</t>
        </is>
      </c>
      <c r="B6351" t="inlineStr">
        <is>
          <t>avverkningsanmälan</t>
        </is>
      </c>
      <c r="C6351" t="inlineStr">
        <is>
          <t>Föryngringsavverkning</t>
        </is>
      </c>
      <c r="D6351" s="1" t="n">
        <v>45804</v>
      </c>
      <c r="E6351" s="1" t="n">
        <v>46307</v>
      </c>
      <c r="F6351" t="inlineStr">
        <is>
          <t>VÄRMLANDS LÄN</t>
        </is>
      </c>
      <c r="G6351" t="inlineStr">
        <is>
          <t>TORSBY</t>
        </is>
      </c>
      <c r="I6351" t="n">
        <v>17.8</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61981-2024</t>
        </is>
      </c>
      <c r="B6352" t="inlineStr">
        <is>
          <t>avverkningsanmälan</t>
        </is>
      </c>
      <c r="C6352" t="inlineStr">
        <is>
          <t>Föryngringsavverkning</t>
        </is>
      </c>
      <c r="D6352" s="1" t="n">
        <v>45653</v>
      </c>
      <c r="E6352" s="1" t="n">
        <v>46307</v>
      </c>
      <c r="F6352" t="inlineStr">
        <is>
          <t>VÄRMLANDS LÄN</t>
        </is>
      </c>
      <c r="G6352" t="inlineStr">
        <is>
          <t>HAGFORS</t>
        </is>
      </c>
      <c r="I6352" t="n">
        <v>0.7</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21251-2024</t>
        </is>
      </c>
      <c r="B6353" t="inlineStr">
        <is>
          <t>avverkningsanmälan</t>
        </is>
      </c>
      <c r="C6353" t="inlineStr">
        <is>
          <t>Föryngringsavverkning</t>
        </is>
      </c>
      <c r="D6353" s="1" t="n">
        <v>45440</v>
      </c>
      <c r="E6353" s="1" t="n">
        <v>46307</v>
      </c>
      <c r="F6353" t="inlineStr">
        <is>
          <t>VÄRMLANDS LÄN</t>
        </is>
      </c>
      <c r="G6353" t="inlineStr">
        <is>
          <t>SUNNE</t>
        </is>
      </c>
      <c r="I6353" t="n">
        <v>0.7</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37279-2022</t>
        </is>
      </c>
      <c r="B6354" t="inlineStr">
        <is>
          <t>avverkningsanmälan</t>
        </is>
      </c>
      <c r="C6354" t="inlineStr">
        <is>
          <t>Föryngringsavverkning</t>
        </is>
      </c>
      <c r="D6354" s="1" t="n">
        <v>44807</v>
      </c>
      <c r="E6354" s="1" t="n">
        <v>46307</v>
      </c>
      <c r="F6354" t="inlineStr">
        <is>
          <t>VÄRMLANDS LÄN</t>
        </is>
      </c>
      <c r="G6354" t="inlineStr">
        <is>
          <t>TORSBY</t>
        </is>
      </c>
      <c r="I6354" t="n">
        <v>18.2</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21260-2024</t>
        </is>
      </c>
      <c r="B6355" t="inlineStr">
        <is>
          <t>avverkningsanmälan</t>
        </is>
      </c>
      <c r="C6355" t="inlineStr">
        <is>
          <t>Föryngringsavverkning</t>
        </is>
      </c>
      <c r="D6355" s="1" t="n">
        <v>45440</v>
      </c>
      <c r="E6355" s="1" t="n">
        <v>46307</v>
      </c>
      <c r="F6355" t="inlineStr">
        <is>
          <t>VÄRMLANDS LÄN</t>
        </is>
      </c>
      <c r="G6355" t="inlineStr">
        <is>
          <t>EDA</t>
        </is>
      </c>
      <c r="I6355" t="n">
        <v>5.8</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56571-2024</t>
        </is>
      </c>
      <c r="B6356" t="inlineStr">
        <is>
          <t>avverkningsanmälan</t>
        </is>
      </c>
      <c r="C6356" t="inlineStr">
        <is>
          <t>Föryngringsavverkning</t>
        </is>
      </c>
      <c r="D6356" s="1" t="n">
        <v>45625</v>
      </c>
      <c r="E6356" s="1" t="n">
        <v>46307</v>
      </c>
      <c r="F6356" t="inlineStr">
        <is>
          <t>VÄRMLANDS LÄN</t>
        </is>
      </c>
      <c r="G6356" t="inlineStr">
        <is>
          <t>TORSBY</t>
        </is>
      </c>
      <c r="I6356" t="n">
        <v>0.8</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375-2023</t>
        </is>
      </c>
      <c r="B6357" t="inlineStr">
        <is>
          <t>avverkningsanmälan</t>
        </is>
      </c>
      <c r="C6357" t="inlineStr">
        <is>
          <t>Föryngringsavverkning</t>
        </is>
      </c>
      <c r="D6357" s="1" t="n">
        <v>44922</v>
      </c>
      <c r="E6357" s="1" t="n">
        <v>46307</v>
      </c>
      <c r="F6357" t="inlineStr">
        <is>
          <t>VÄRMLANDS LÄN</t>
        </is>
      </c>
      <c r="G6357" t="inlineStr">
        <is>
          <t>ARVIKA</t>
        </is>
      </c>
      <c r="I6357" t="n">
        <v>1.4</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35322-2023</t>
        </is>
      </c>
      <c r="B6358" t="inlineStr">
        <is>
          <t>avverkningsanmälan</t>
        </is>
      </c>
      <c r="C6358" t="inlineStr">
        <is>
          <t>Föryngringsavverkning</t>
        </is>
      </c>
      <c r="D6358" s="1" t="n">
        <v>45146</v>
      </c>
      <c r="E6358" s="1" t="n">
        <v>46307</v>
      </c>
      <c r="F6358" t="inlineStr">
        <is>
          <t>VÄRMLANDS LÄN</t>
        </is>
      </c>
      <c r="G6358" t="inlineStr">
        <is>
          <t>SUNNE</t>
        </is>
      </c>
      <c r="I6358" t="n">
        <v>0.7</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61864-2024</t>
        </is>
      </c>
      <c r="B6359" t="inlineStr">
        <is>
          <t>avverkningsanmälan</t>
        </is>
      </c>
      <c r="C6359" t="inlineStr">
        <is>
          <t>Föryngringsavverkning</t>
        </is>
      </c>
      <c r="D6359" s="1" t="n">
        <v>45650</v>
      </c>
      <c r="E6359" s="1" t="n">
        <v>46307</v>
      </c>
      <c r="F6359" t="inlineStr">
        <is>
          <t>VÄRMLANDS LÄN</t>
        </is>
      </c>
      <c r="G6359" t="inlineStr">
        <is>
          <t>ARVIKA</t>
        </is>
      </c>
      <c r="I6359" t="n">
        <v>13.3</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6687-2023</t>
        </is>
      </c>
      <c r="B6360" t="inlineStr">
        <is>
          <t>avverkningsanmälan</t>
        </is>
      </c>
      <c r="C6360" t="inlineStr">
        <is>
          <t>Föryngringsavverkning</t>
        </is>
      </c>
      <c r="D6360" s="1" t="n">
        <v>44966</v>
      </c>
      <c r="E6360" s="1" t="n">
        <v>46307</v>
      </c>
      <c r="F6360" t="inlineStr">
        <is>
          <t>VÄRMLANDS LÄN</t>
        </is>
      </c>
      <c r="G6360" t="inlineStr">
        <is>
          <t>KIL</t>
        </is>
      </c>
      <c r="I6360" t="n">
        <v>1.2</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6713-2023</t>
        </is>
      </c>
      <c r="B6361" t="inlineStr">
        <is>
          <t>avverkningsanmälan</t>
        </is>
      </c>
      <c r="C6361" t="inlineStr">
        <is>
          <t>Föryngringsavverkning</t>
        </is>
      </c>
      <c r="D6361" s="1" t="n">
        <v>44960</v>
      </c>
      <c r="E6361" s="1" t="n">
        <v>46307</v>
      </c>
      <c r="F6361" t="inlineStr">
        <is>
          <t>VÄRMLANDS LÄN</t>
        </is>
      </c>
      <c r="G6361" t="inlineStr">
        <is>
          <t>TORSBY</t>
        </is>
      </c>
      <c r="I6361" t="n">
        <v>4.2</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56785-2025</t>
        </is>
      </c>
      <c r="B6362" t="inlineStr">
        <is>
          <t>avverkningsanmälan</t>
        </is>
      </c>
      <c r="C6362" t="inlineStr">
        <is>
          <t>Föryngringsavverkning</t>
        </is>
      </c>
      <c r="D6362" s="1" t="n">
        <v>45978</v>
      </c>
      <c r="E6362" s="1" t="n">
        <v>46307</v>
      </c>
      <c r="F6362" t="inlineStr">
        <is>
          <t>VÄRMLANDS LÄN</t>
        </is>
      </c>
      <c r="G6362" t="inlineStr">
        <is>
          <t>TORSBY</t>
        </is>
      </c>
      <c r="H6362" t="inlineStr">
        <is>
          <t>Bergvik skog väst AB</t>
        </is>
      </c>
      <c r="I6362" t="n">
        <v>0.8</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57008-2025</t>
        </is>
      </c>
      <c r="B6363" t="inlineStr">
        <is>
          <t>avverkningsanmälan</t>
        </is>
      </c>
      <c r="C6363" t="inlineStr">
        <is>
          <t>Föryngringsavverkning</t>
        </is>
      </c>
      <c r="D6363" s="1" t="n">
        <v>45977</v>
      </c>
      <c r="E6363" s="1" t="n">
        <v>46307</v>
      </c>
      <c r="F6363" t="inlineStr">
        <is>
          <t>VÄRMLANDS LÄN</t>
        </is>
      </c>
      <c r="G6363" t="inlineStr">
        <is>
          <t>SÄFFLE</t>
        </is>
      </c>
      <c r="I6363" t="n">
        <v>1.7</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30339-2022</t>
        </is>
      </c>
      <c r="B6364" t="inlineStr">
        <is>
          <t>avverkningsanmälan</t>
        </is>
      </c>
      <c r="C6364" t="inlineStr">
        <is>
          <t>Föryngringsavverkning</t>
        </is>
      </c>
      <c r="D6364" s="1" t="n">
        <v>44760</v>
      </c>
      <c r="E6364" s="1" t="n">
        <v>46307</v>
      </c>
      <c r="F6364" t="inlineStr">
        <is>
          <t>VÄRMLANDS LÄN</t>
        </is>
      </c>
      <c r="G6364" t="inlineStr">
        <is>
          <t>GRUMS</t>
        </is>
      </c>
      <c r="I6364" t="n">
        <v>5.3</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17082-2025</t>
        </is>
      </c>
      <c r="B6365" t="inlineStr">
        <is>
          <t>avverkningsanmälan</t>
        </is>
      </c>
      <c r="C6365" t="inlineStr">
        <is>
          <t>Föryngringsavverkning</t>
        </is>
      </c>
      <c r="D6365" s="1" t="n">
        <v>45755</v>
      </c>
      <c r="E6365" s="1" t="n">
        <v>46307</v>
      </c>
      <c r="F6365" t="inlineStr">
        <is>
          <t>VÄRMLANDS LÄN</t>
        </is>
      </c>
      <c r="G6365" t="inlineStr">
        <is>
          <t>KARLSTAD</t>
        </is>
      </c>
      <c r="I6365" t="n">
        <v>2.2</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21155-2023</t>
        </is>
      </c>
      <c r="B6366" t="inlineStr">
        <is>
          <t>avverkningsanmälan</t>
        </is>
      </c>
      <c r="C6366" t="inlineStr">
        <is>
          <t>Föryngringsavverkning</t>
        </is>
      </c>
      <c r="D6366" s="1" t="n">
        <v>45057</v>
      </c>
      <c r="E6366" s="1" t="n">
        <v>46307</v>
      </c>
      <c r="F6366" t="inlineStr">
        <is>
          <t>VÄRMLANDS LÄN</t>
        </is>
      </c>
      <c r="G6366" t="inlineStr">
        <is>
          <t>HAGFORS</t>
        </is>
      </c>
      <c r="I6366" t="n">
        <v>1.6</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40714-2022</t>
        </is>
      </c>
      <c r="B6367" t="inlineStr">
        <is>
          <t>avverkningsanmälan</t>
        </is>
      </c>
      <c r="C6367" t="inlineStr">
        <is>
          <t>Föryngringsavverkning</t>
        </is>
      </c>
      <c r="D6367" s="1" t="n">
        <v>44824</v>
      </c>
      <c r="E6367" s="1" t="n">
        <v>46307</v>
      </c>
      <c r="F6367" t="inlineStr">
        <is>
          <t>VÄRMLANDS LÄN</t>
        </is>
      </c>
      <c r="G6367" t="inlineStr">
        <is>
          <t>SUNNE</t>
        </is>
      </c>
      <c r="I6367" t="n">
        <v>7.3</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5221-2024</t>
        </is>
      </c>
      <c r="B6368" t="inlineStr">
        <is>
          <t>avverkningsanmälan</t>
        </is>
      </c>
      <c r="C6368" t="inlineStr">
        <is>
          <t>Föryngringsavverkning</t>
        </is>
      </c>
      <c r="D6368" s="1" t="n">
        <v>45330</v>
      </c>
      <c r="E6368" s="1" t="n">
        <v>46307</v>
      </c>
      <c r="F6368" t="inlineStr">
        <is>
          <t>VÄRMLANDS LÄN</t>
        </is>
      </c>
      <c r="G6368" t="inlineStr">
        <is>
          <t>SÄFFLE</t>
        </is>
      </c>
      <c r="I6368" t="n">
        <v>1</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9662-2024</t>
        </is>
      </c>
      <c r="B6369" t="inlineStr">
        <is>
          <t>avverkningsanmälan</t>
        </is>
      </c>
      <c r="C6369" t="inlineStr">
        <is>
          <t>Föryngringsavverkning</t>
        </is>
      </c>
      <c r="D6369" s="1" t="n">
        <v>45362</v>
      </c>
      <c r="E6369" s="1" t="n">
        <v>46307</v>
      </c>
      <c r="F6369" t="inlineStr">
        <is>
          <t>VÄRMLANDS LÄN</t>
        </is>
      </c>
      <c r="G6369" t="inlineStr">
        <is>
          <t>ÅRJÄNG</t>
        </is>
      </c>
      <c r="I6369" t="n">
        <v>5.7</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58437-2023</t>
        </is>
      </c>
      <c r="B6370" t="inlineStr">
        <is>
          <t>avverkningsanmälan</t>
        </is>
      </c>
      <c r="C6370" t="inlineStr">
        <is>
          <t>Föryngringsavverkning</t>
        </is>
      </c>
      <c r="D6370" s="1" t="n">
        <v>45250</v>
      </c>
      <c r="E6370" s="1" t="n">
        <v>46307</v>
      </c>
      <c r="F6370" t="inlineStr">
        <is>
          <t>VÄRMLANDS LÄN</t>
        </is>
      </c>
      <c r="G6370" t="inlineStr">
        <is>
          <t>HAGFORS</t>
        </is>
      </c>
      <c r="I6370" t="n">
        <v>0.6</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11102-2025</t>
        </is>
      </c>
      <c r="B6371" t="inlineStr">
        <is>
          <t>avverkningsanmälan</t>
        </is>
      </c>
      <c r="C6371" t="inlineStr">
        <is>
          <t>Föryngringsavverkning</t>
        </is>
      </c>
      <c r="D6371" s="1" t="n">
        <v>45723</v>
      </c>
      <c r="E6371" s="1" t="n">
        <v>46307</v>
      </c>
      <c r="F6371" t="inlineStr">
        <is>
          <t>VÄRMLANDS LÄN</t>
        </is>
      </c>
      <c r="G6371" t="inlineStr">
        <is>
          <t>EDA</t>
        </is>
      </c>
      <c r="I6371" t="n">
        <v>16.5</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11160-2025</t>
        </is>
      </c>
      <c r="B6372" t="inlineStr">
        <is>
          <t>avverkningsanmälan</t>
        </is>
      </c>
      <c r="C6372" t="inlineStr">
        <is>
          <t>Föryngringsavverkning</t>
        </is>
      </c>
      <c r="D6372" s="1" t="n">
        <v>45723</v>
      </c>
      <c r="E6372" s="1" t="n">
        <v>46307</v>
      </c>
      <c r="F6372" t="inlineStr">
        <is>
          <t>VÄRMLANDS LÄN</t>
        </is>
      </c>
      <c r="G6372" t="inlineStr">
        <is>
          <t>HAGFORS</t>
        </is>
      </c>
      <c r="I6372" t="n">
        <v>1.2</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11180-2025</t>
        </is>
      </c>
      <c r="B6373" t="inlineStr">
        <is>
          <t>avverkningsanmälan</t>
        </is>
      </c>
      <c r="C6373" t="inlineStr">
        <is>
          <t>Föryngringsavverkning</t>
        </is>
      </c>
      <c r="D6373" s="1" t="n">
        <v>45725</v>
      </c>
      <c r="E6373" s="1" t="n">
        <v>46307</v>
      </c>
      <c r="F6373" t="inlineStr">
        <is>
          <t>VÄRMLANDS LÄN</t>
        </is>
      </c>
      <c r="G6373" t="inlineStr">
        <is>
          <t>HAGFORS</t>
        </is>
      </c>
      <c r="I6373" t="n">
        <v>0.6</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7794-2024</t>
        </is>
      </c>
      <c r="B6374" t="inlineStr">
        <is>
          <t>avverkningsanmälan</t>
        </is>
      </c>
      <c r="C6374" t="inlineStr">
        <is>
          <t>Föryngringsavverkning</t>
        </is>
      </c>
      <c r="D6374" s="1" t="n">
        <v>45349</v>
      </c>
      <c r="E6374" s="1" t="n">
        <v>46307</v>
      </c>
      <c r="F6374" t="inlineStr">
        <is>
          <t>VÄRMLANDS LÄN</t>
        </is>
      </c>
      <c r="G6374" t="inlineStr">
        <is>
          <t>ÅRJÄNG</t>
        </is>
      </c>
      <c r="I6374" t="n">
        <v>0.6</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54487-2022</t>
        </is>
      </c>
      <c r="B6375" t="inlineStr">
        <is>
          <t>avverkningsanmälan</t>
        </is>
      </c>
      <c r="C6375" t="inlineStr">
        <is>
          <t>Föryngringsavverkning</t>
        </is>
      </c>
      <c r="D6375" s="1" t="n">
        <v>44882</v>
      </c>
      <c r="E6375" s="1" t="n">
        <v>46307</v>
      </c>
      <c r="F6375" t="inlineStr">
        <is>
          <t>VÄRMLANDS LÄN</t>
        </is>
      </c>
      <c r="G6375" t="inlineStr">
        <is>
          <t>SUNNE</t>
        </is>
      </c>
      <c r="I6375" t="n">
        <v>4.7</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18076-2023</t>
        </is>
      </c>
      <c r="B6376" t="inlineStr">
        <is>
          <t>avverkningsanmälan</t>
        </is>
      </c>
      <c r="C6376" t="inlineStr">
        <is>
          <t>Avverkning för annat ändamål</t>
        </is>
      </c>
      <c r="D6376" s="1" t="n">
        <v>45040</v>
      </c>
      <c r="E6376" s="1" t="n">
        <v>46307</v>
      </c>
      <c r="F6376" t="inlineStr">
        <is>
          <t>VÄRMLANDS LÄN</t>
        </is>
      </c>
      <c r="G6376" t="inlineStr">
        <is>
          <t>EDA</t>
        </is>
      </c>
      <c r="I6376" t="n">
        <v>1.4</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27712-2025</t>
        </is>
      </c>
      <c r="B6377" t="inlineStr">
        <is>
          <t>avverkningsanmälan</t>
        </is>
      </c>
      <c r="C6377" t="inlineStr">
        <is>
          <t>Föryngringsavverkning</t>
        </is>
      </c>
      <c r="D6377" s="1" t="n">
        <v>45813</v>
      </c>
      <c r="E6377" s="1" t="n">
        <v>46307</v>
      </c>
      <c r="F6377" t="inlineStr">
        <is>
          <t>VÄRMLANDS LÄN</t>
        </is>
      </c>
      <c r="G6377" t="inlineStr">
        <is>
          <t>ARVIKA</t>
        </is>
      </c>
      <c r="I6377" t="n">
        <v>1.4</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2134-2024</t>
        </is>
      </c>
      <c r="B6378" t="inlineStr">
        <is>
          <t>avverkningsanmälan</t>
        </is>
      </c>
      <c r="C6378" t="inlineStr">
        <is>
          <t>Föryngringsavverkning</t>
        </is>
      </c>
      <c r="D6378" s="1" t="n">
        <v>45309</v>
      </c>
      <c r="E6378" s="1" t="n">
        <v>46307</v>
      </c>
      <c r="F6378" t="inlineStr">
        <is>
          <t>VÄRMLANDS LÄN</t>
        </is>
      </c>
      <c r="G6378" t="inlineStr">
        <is>
          <t>ARVIKA</t>
        </is>
      </c>
      <c r="I6378" t="n">
        <v>3.3</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20191-2025</t>
        </is>
      </c>
      <c r="B6379" t="inlineStr">
        <is>
          <t>avverkningsanmälan</t>
        </is>
      </c>
      <c r="C6379" t="inlineStr">
        <is>
          <t>Föryngringsavverkning</t>
        </is>
      </c>
      <c r="D6379" s="1" t="n">
        <v>45772</v>
      </c>
      <c r="E6379" s="1" t="n">
        <v>46307</v>
      </c>
      <c r="F6379" t="inlineStr">
        <is>
          <t>VÄRMLANDS LÄN</t>
        </is>
      </c>
      <c r="G6379" t="inlineStr">
        <is>
          <t>TORSBY</t>
        </is>
      </c>
      <c r="H6379" t="inlineStr">
        <is>
          <t>Bergvik skog väst AB</t>
        </is>
      </c>
      <c r="I6379" t="n">
        <v>1.4</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18544-2023</t>
        </is>
      </c>
      <c r="B6380" t="inlineStr">
        <is>
          <t>avverkningsanmälan</t>
        </is>
      </c>
      <c r="C6380" t="inlineStr">
        <is>
          <t>Föryngringsavverkning</t>
        </is>
      </c>
      <c r="D6380" s="1" t="n">
        <v>45041</v>
      </c>
      <c r="E6380" s="1" t="n">
        <v>46307</v>
      </c>
      <c r="F6380" t="inlineStr">
        <is>
          <t>VÄRMLANDS LÄN</t>
        </is>
      </c>
      <c r="G6380" t="inlineStr">
        <is>
          <t>TORSBY</t>
        </is>
      </c>
      <c r="I6380" t="n">
        <v>1.7</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5271-2025</t>
        </is>
      </c>
      <c r="B6381" t="inlineStr">
        <is>
          <t>avverkningsanmälan</t>
        </is>
      </c>
      <c r="C6381" t="inlineStr">
        <is>
          <t>Föryngringsavverkning</t>
        </is>
      </c>
      <c r="D6381" s="1" t="n">
        <v>45692</v>
      </c>
      <c r="E6381" s="1" t="n">
        <v>46307</v>
      </c>
      <c r="F6381" t="inlineStr">
        <is>
          <t>VÄRMLANDS LÄN</t>
        </is>
      </c>
      <c r="G6381" t="inlineStr">
        <is>
          <t>SÄFFLE</t>
        </is>
      </c>
      <c r="I6381" t="n">
        <v>19.2</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5272-2025</t>
        </is>
      </c>
      <c r="B6382" t="inlineStr">
        <is>
          <t>avverkningsanmälan</t>
        </is>
      </c>
      <c r="C6382" t="inlineStr">
        <is>
          <t>Föryngringsavverkning</t>
        </is>
      </c>
      <c r="D6382" s="1" t="n">
        <v>45692</v>
      </c>
      <c r="E6382" s="1" t="n">
        <v>46307</v>
      </c>
      <c r="F6382" t="inlineStr">
        <is>
          <t>VÄRMLANDS LÄN</t>
        </is>
      </c>
      <c r="G6382" t="inlineStr">
        <is>
          <t>SÄFFLE</t>
        </is>
      </c>
      <c r="I6382" t="n">
        <v>20.8</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56629-2025</t>
        </is>
      </c>
      <c r="B6383" t="inlineStr">
        <is>
          <t>avverkningsanmälan</t>
        </is>
      </c>
      <c r="C6383" t="inlineStr">
        <is>
          <t>Föryngringsavverkning</t>
        </is>
      </c>
      <c r="D6383" s="1" t="n">
        <v>45975</v>
      </c>
      <c r="E6383" s="1" t="n">
        <v>46307</v>
      </c>
      <c r="F6383" t="inlineStr">
        <is>
          <t>VÄRMLANDS LÄN</t>
        </is>
      </c>
      <c r="G6383" t="inlineStr">
        <is>
          <t>ÅRJÄNG</t>
        </is>
      </c>
      <c r="H6383" t="inlineStr">
        <is>
          <t>Övriga Aktiebolag</t>
        </is>
      </c>
      <c r="I6383" t="n">
        <v>2.7</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13275-2025</t>
        </is>
      </c>
      <c r="B6384" t="inlineStr">
        <is>
          <t>avverkningsanmälan</t>
        </is>
      </c>
      <c r="C6384" t="inlineStr">
        <is>
          <t>Föryngringsavverkning</t>
        </is>
      </c>
      <c r="D6384" s="1" t="n">
        <v>45735</v>
      </c>
      <c r="E6384" s="1" t="n">
        <v>46307</v>
      </c>
      <c r="F6384" t="inlineStr">
        <is>
          <t>VÄRMLANDS LÄN</t>
        </is>
      </c>
      <c r="G6384" t="inlineStr">
        <is>
          <t>SUNNE</t>
        </is>
      </c>
      <c r="H6384" t="inlineStr">
        <is>
          <t>Bergvik skog väst AB</t>
        </is>
      </c>
      <c r="I6384" t="n">
        <v>1.3</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38753-2022</t>
        </is>
      </c>
      <c r="B6385" t="inlineStr">
        <is>
          <t>avverkningsanmälan</t>
        </is>
      </c>
      <c r="C6385" t="inlineStr">
        <is>
          <t>Föryngringsavverkning</t>
        </is>
      </c>
      <c r="D6385" s="1" t="n">
        <v>44816</v>
      </c>
      <c r="E6385" s="1" t="n">
        <v>46307</v>
      </c>
      <c r="F6385" t="inlineStr">
        <is>
          <t>VÄRMLANDS LÄN</t>
        </is>
      </c>
      <c r="G6385" t="inlineStr">
        <is>
          <t>SUNNE</t>
        </is>
      </c>
      <c r="I6385" t="n">
        <v>1.1</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7494-2022</t>
        </is>
      </c>
      <c r="B6386" t="inlineStr">
        <is>
          <t>avverkningsanmälan</t>
        </is>
      </c>
      <c r="C6386" t="inlineStr">
        <is>
          <t>Föryngringsavverkning</t>
        </is>
      </c>
      <c r="D6386" s="1" t="n">
        <v>44607</v>
      </c>
      <c r="E6386" s="1" t="n">
        <v>46307</v>
      </c>
      <c r="F6386" t="inlineStr">
        <is>
          <t>VÄRMLANDS LÄN</t>
        </is>
      </c>
      <c r="G6386" t="inlineStr">
        <is>
          <t>SUNNE</t>
        </is>
      </c>
      <c r="I6386" t="n">
        <v>2.4</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17142-2025</t>
        </is>
      </c>
      <c r="B6387" t="inlineStr">
        <is>
          <t>avverkningsanmälan</t>
        </is>
      </c>
      <c r="C6387" t="inlineStr">
        <is>
          <t>Föryngringsavverkning</t>
        </is>
      </c>
      <c r="D6387" s="1" t="n">
        <v>45755</v>
      </c>
      <c r="E6387" s="1" t="n">
        <v>46307</v>
      </c>
      <c r="F6387" t="inlineStr">
        <is>
          <t>VÄRMLANDS LÄN</t>
        </is>
      </c>
      <c r="G6387" t="inlineStr">
        <is>
          <t>ARVIKA</t>
        </is>
      </c>
      <c r="I6387" t="n">
        <v>1.5</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62600-2022</t>
        </is>
      </c>
      <c r="B6388" t="inlineStr">
        <is>
          <t>avverkningsanmälan</t>
        </is>
      </c>
      <c r="C6388" t="inlineStr">
        <is>
          <t>Föryngringsavverkning</t>
        </is>
      </c>
      <c r="D6388" s="1" t="n">
        <v>44917</v>
      </c>
      <c r="E6388" s="1" t="n">
        <v>46307</v>
      </c>
      <c r="F6388" t="inlineStr">
        <is>
          <t>VÄRMLANDS LÄN</t>
        </is>
      </c>
      <c r="G6388" t="inlineStr">
        <is>
          <t>ARVIKA</t>
        </is>
      </c>
      <c r="I6388" t="n">
        <v>2.1</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36256-2025</t>
        </is>
      </c>
      <c r="B6389" t="inlineStr">
        <is>
          <t>avverkningsanmälan</t>
        </is>
      </c>
      <c r="C6389" t="inlineStr">
        <is>
          <t>Föryngringsavverkning</t>
        </is>
      </c>
      <c r="D6389" s="1" t="n">
        <v>45867</v>
      </c>
      <c r="E6389" s="1" t="n">
        <v>46307</v>
      </c>
      <c r="F6389" t="inlineStr">
        <is>
          <t>VÄRMLANDS LÄN</t>
        </is>
      </c>
      <c r="G6389" t="inlineStr">
        <is>
          <t>TORSBY</t>
        </is>
      </c>
      <c r="H6389" t="inlineStr">
        <is>
          <t>Bergvik skog väst AB</t>
        </is>
      </c>
      <c r="I6389" t="n">
        <v>5.6</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54977-2022</t>
        </is>
      </c>
      <c r="B6390" t="inlineStr">
        <is>
          <t>avverkningsanmälan</t>
        </is>
      </c>
      <c r="C6390" t="inlineStr">
        <is>
          <t>Föryngringsavverkning</t>
        </is>
      </c>
      <c r="D6390" s="1" t="n">
        <v>44886</v>
      </c>
      <c r="E6390" s="1" t="n">
        <v>46307</v>
      </c>
      <c r="F6390" t="inlineStr">
        <is>
          <t>VÄRMLANDS LÄN</t>
        </is>
      </c>
      <c r="G6390" t="inlineStr">
        <is>
          <t>SUNNE</t>
        </is>
      </c>
      <c r="I6390" t="n">
        <v>0.9</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67457-2021</t>
        </is>
      </c>
      <c r="B6391" t="inlineStr">
        <is>
          <t>avverkningsanmälan</t>
        </is>
      </c>
      <c r="C6391" t="inlineStr">
        <is>
          <t>Föryngringsavverkning</t>
        </is>
      </c>
      <c r="D6391" s="1" t="n">
        <v>44524</v>
      </c>
      <c r="E6391" s="1" t="n">
        <v>46307</v>
      </c>
      <c r="F6391" t="inlineStr">
        <is>
          <t>VÄRMLANDS LÄN</t>
        </is>
      </c>
      <c r="G6391" t="inlineStr">
        <is>
          <t>TORSBY</t>
        </is>
      </c>
      <c r="I6391" t="n">
        <v>7.6</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21688-2024</t>
        </is>
      </c>
      <c r="B6392" t="inlineStr">
        <is>
          <t>avverkningsanmälan</t>
        </is>
      </c>
      <c r="C6392" t="inlineStr">
        <is>
          <t>Föryngringsavverkning</t>
        </is>
      </c>
      <c r="D6392" s="1" t="n">
        <v>45442</v>
      </c>
      <c r="E6392" s="1" t="n">
        <v>46307</v>
      </c>
      <c r="F6392" t="inlineStr">
        <is>
          <t>VÄRMLANDS LÄN</t>
        </is>
      </c>
      <c r="G6392" t="inlineStr">
        <is>
          <t>KRISTINEHAMN</t>
        </is>
      </c>
      <c r="I6392" t="n">
        <v>1</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10684-2024</t>
        </is>
      </c>
      <c r="B6393" t="inlineStr">
        <is>
          <t>avverkningsanmälan</t>
        </is>
      </c>
      <c r="C6393" t="inlineStr">
        <is>
          <t>Föryngringsavverkning</t>
        </is>
      </c>
      <c r="D6393" s="1" t="n">
        <v>45369</v>
      </c>
      <c r="E6393" s="1" t="n">
        <v>46307</v>
      </c>
      <c r="F6393" t="inlineStr">
        <is>
          <t>VÄRMLANDS LÄN</t>
        </is>
      </c>
      <c r="G6393" t="inlineStr">
        <is>
          <t>TORSBY</t>
        </is>
      </c>
      <c r="I6393" t="n">
        <v>1.3</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21706-2024</t>
        </is>
      </c>
      <c r="B6394" t="inlineStr">
        <is>
          <t>avverkningsanmälan</t>
        </is>
      </c>
      <c r="C6394" t="inlineStr">
        <is>
          <t>Föryngringsavverkning</t>
        </is>
      </c>
      <c r="D6394" s="1" t="n">
        <v>45442</v>
      </c>
      <c r="E6394" s="1" t="n">
        <v>46307</v>
      </c>
      <c r="F6394" t="inlineStr">
        <is>
          <t>VÄRMLANDS LÄN</t>
        </is>
      </c>
      <c r="G6394" t="inlineStr">
        <is>
          <t>ÅRJÄNG</t>
        </is>
      </c>
      <c r="I6394" t="n">
        <v>10.4</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56477-2025</t>
        </is>
      </c>
      <c r="B6395" t="inlineStr">
        <is>
          <t>avverkningsanmälan</t>
        </is>
      </c>
      <c r="C6395" t="inlineStr">
        <is>
          <t>Föryngringsavverkning</t>
        </is>
      </c>
      <c r="D6395" s="1" t="n">
        <v>45975</v>
      </c>
      <c r="E6395" s="1" t="n">
        <v>46307</v>
      </c>
      <c r="F6395" t="inlineStr">
        <is>
          <t>VÄRMLANDS LÄN</t>
        </is>
      </c>
      <c r="G6395" t="inlineStr">
        <is>
          <t>HAGFORS</t>
        </is>
      </c>
      <c r="H6395" t="inlineStr">
        <is>
          <t>Bergvik skog väst AB</t>
        </is>
      </c>
      <c r="I6395" t="n">
        <v>4.8</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36258-2025</t>
        </is>
      </c>
      <c r="B6396" t="inlineStr">
        <is>
          <t>avverkningsanmälan</t>
        </is>
      </c>
      <c r="C6396" t="inlineStr">
        <is>
          <t>Föryngringsavverkning</t>
        </is>
      </c>
      <c r="D6396" s="1" t="n">
        <v>45867</v>
      </c>
      <c r="E6396" s="1" t="n">
        <v>46307</v>
      </c>
      <c r="F6396" t="inlineStr">
        <is>
          <t>VÄRMLANDS LÄN</t>
        </is>
      </c>
      <c r="G6396" t="inlineStr">
        <is>
          <t>TORSBY</t>
        </is>
      </c>
      <c r="H6396" t="inlineStr">
        <is>
          <t>Bergvik skog väst AB</t>
        </is>
      </c>
      <c r="I6396" t="n">
        <v>13.7</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5072-2025</t>
        </is>
      </c>
      <c r="B6397" t="inlineStr">
        <is>
          <t>avverkningsanmälan</t>
        </is>
      </c>
      <c r="C6397" t="inlineStr">
        <is>
          <t>Föryngringsavverkning</t>
        </is>
      </c>
      <c r="D6397" s="1" t="n">
        <v>45691</v>
      </c>
      <c r="E6397" s="1" t="n">
        <v>46307</v>
      </c>
      <c r="F6397" t="inlineStr">
        <is>
          <t>VÄRMLANDS LÄN</t>
        </is>
      </c>
      <c r="G6397" t="inlineStr">
        <is>
          <t>ARVIKA</t>
        </is>
      </c>
      <c r="I6397" t="n">
        <v>3.3</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32604-2025</t>
        </is>
      </c>
      <c r="B6398" t="inlineStr">
        <is>
          <t>avverkningsanmälan</t>
        </is>
      </c>
      <c r="C6398" t="inlineStr">
        <is>
          <t>Föryngringsavverkning</t>
        </is>
      </c>
      <c r="D6398" s="1" t="n">
        <v>45838</v>
      </c>
      <c r="E6398" s="1" t="n">
        <v>46307</v>
      </c>
      <c r="F6398" t="inlineStr">
        <is>
          <t>VÄRMLANDS LÄN</t>
        </is>
      </c>
      <c r="G6398" t="inlineStr">
        <is>
          <t>HAGFORS</t>
        </is>
      </c>
      <c r="I6398" t="n">
        <v>2.3</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43040-2023</t>
        </is>
      </c>
      <c r="B6399" t="inlineStr">
        <is>
          <t>avverkningsanmälan</t>
        </is>
      </c>
      <c r="C6399" t="inlineStr">
        <is>
          <t>Föryngringsavverkning</t>
        </is>
      </c>
      <c r="D6399" s="1" t="n">
        <v>45182</v>
      </c>
      <c r="E6399" s="1" t="n">
        <v>46307</v>
      </c>
      <c r="F6399" t="inlineStr">
        <is>
          <t>VÄRMLANDS LÄN</t>
        </is>
      </c>
      <c r="G6399" t="inlineStr">
        <is>
          <t>ÅRJÄNG</t>
        </is>
      </c>
      <c r="I6399" t="n">
        <v>1.5</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5754-2025</t>
        </is>
      </c>
      <c r="B6400" t="inlineStr">
        <is>
          <t>avverkningsanmälan</t>
        </is>
      </c>
      <c r="C6400" t="inlineStr">
        <is>
          <t>Föryngringsavverkning</t>
        </is>
      </c>
      <c r="D6400" s="1" t="n">
        <v>45694</v>
      </c>
      <c r="E6400" s="1" t="n">
        <v>46307</v>
      </c>
      <c r="F6400" t="inlineStr">
        <is>
          <t>VÄRMLANDS LÄN</t>
        </is>
      </c>
      <c r="G6400" t="inlineStr">
        <is>
          <t>KIL</t>
        </is>
      </c>
      <c r="I6400" t="n">
        <v>0.9</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20652-2022</t>
        </is>
      </c>
      <c r="B6401" t="inlineStr">
        <is>
          <t>avverkningsanmälan</t>
        </is>
      </c>
      <c r="C6401" t="inlineStr">
        <is>
          <t>Avverkning för annat ändamål</t>
        </is>
      </c>
      <c r="D6401" s="1" t="n">
        <v>44700</v>
      </c>
      <c r="E6401" s="1" t="n">
        <v>46307</v>
      </c>
      <c r="F6401" t="inlineStr">
        <is>
          <t>VÄRMLANDS LÄN</t>
        </is>
      </c>
      <c r="G6401" t="inlineStr">
        <is>
          <t>HAGFORS</t>
        </is>
      </c>
      <c r="H6401" t="inlineStr">
        <is>
          <t>Bergvik skog väst AB</t>
        </is>
      </c>
      <c r="I6401" t="n">
        <v>0.3</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32176-2022</t>
        </is>
      </c>
      <c r="B6402" t="inlineStr">
        <is>
          <t>avverkningsanmälan</t>
        </is>
      </c>
      <c r="C6402" t="inlineStr">
        <is>
          <t>Föryngringsavverkning</t>
        </is>
      </c>
      <c r="D6402" s="1" t="n">
        <v>44780</v>
      </c>
      <c r="E6402" s="1" t="n">
        <v>46307</v>
      </c>
      <c r="F6402" t="inlineStr">
        <is>
          <t>VÄRMLANDS LÄN</t>
        </is>
      </c>
      <c r="G6402" t="inlineStr">
        <is>
          <t>ARVIKA</t>
        </is>
      </c>
      <c r="I6402" t="n">
        <v>1.9</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60893-2023</t>
        </is>
      </c>
      <c r="B6403" t="inlineStr">
        <is>
          <t>avverkningsanmälan</t>
        </is>
      </c>
      <c r="C6403" t="inlineStr">
        <is>
          <t>Föryngringsavverkning</t>
        </is>
      </c>
      <c r="D6403" s="1" t="n">
        <v>45261</v>
      </c>
      <c r="E6403" s="1" t="n">
        <v>46307</v>
      </c>
      <c r="F6403" t="inlineStr">
        <is>
          <t>VÄRMLANDS LÄN</t>
        </is>
      </c>
      <c r="G6403" t="inlineStr">
        <is>
          <t>EDA</t>
        </is>
      </c>
      <c r="I6403" t="n">
        <v>5.6</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8212-2025</t>
        </is>
      </c>
      <c r="B6404" t="inlineStr">
        <is>
          <t>avverkningsanmälan</t>
        </is>
      </c>
      <c r="C6404" t="inlineStr">
        <is>
          <t>Föryngringsavverkning</t>
        </is>
      </c>
      <c r="D6404" s="1" t="n">
        <v>45707</v>
      </c>
      <c r="E6404" s="1" t="n">
        <v>46307</v>
      </c>
      <c r="F6404" t="inlineStr">
        <is>
          <t>VÄRMLANDS LÄN</t>
        </is>
      </c>
      <c r="G6404" t="inlineStr">
        <is>
          <t>KARLSTAD</t>
        </is>
      </c>
      <c r="I6404" t="n">
        <v>1.3</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56795-2025</t>
        </is>
      </c>
      <c r="B6405" t="inlineStr">
        <is>
          <t>avverkningsanmälan</t>
        </is>
      </c>
      <c r="C6405" t="inlineStr">
        <is>
          <t>Föryngringsavverkning</t>
        </is>
      </c>
      <c r="D6405" s="1" t="n">
        <v>45978</v>
      </c>
      <c r="E6405" s="1" t="n">
        <v>46307</v>
      </c>
      <c r="F6405" t="inlineStr">
        <is>
          <t>VÄRMLANDS LÄN</t>
        </is>
      </c>
      <c r="G6405" t="inlineStr">
        <is>
          <t>KARLSTAD</t>
        </is>
      </c>
      <c r="H6405" t="inlineStr">
        <is>
          <t>Naturvårdsverket</t>
        </is>
      </c>
      <c r="I6405" t="n">
        <v>16</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57244-2023</t>
        </is>
      </c>
      <c r="B6406" t="inlineStr">
        <is>
          <t>avverkningsanmälan</t>
        </is>
      </c>
      <c r="C6406" t="inlineStr">
        <is>
          <t>Föryngringsavverkning</t>
        </is>
      </c>
      <c r="D6406" s="1" t="n">
        <v>45245</v>
      </c>
      <c r="E6406" s="1" t="n">
        <v>46307</v>
      </c>
      <c r="F6406" t="inlineStr">
        <is>
          <t>VÄRMLANDS LÄN</t>
        </is>
      </c>
      <c r="G6406" t="inlineStr">
        <is>
          <t>FILIPSTAD</t>
        </is>
      </c>
      <c r="H6406" t="inlineStr">
        <is>
          <t>Bergvik skog väst AB</t>
        </is>
      </c>
      <c r="I6406" t="n">
        <v>1.6</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27515-2023</t>
        </is>
      </c>
      <c r="B6407" t="inlineStr">
        <is>
          <t>avverkningsanmälan</t>
        </is>
      </c>
      <c r="C6407" t="inlineStr">
        <is>
          <t>Föryngringsavverkning</t>
        </is>
      </c>
      <c r="D6407" s="1" t="n">
        <v>45097</v>
      </c>
      <c r="E6407" s="1" t="n">
        <v>46307</v>
      </c>
      <c r="F6407" t="inlineStr">
        <is>
          <t>VÄRMLANDS LÄN</t>
        </is>
      </c>
      <c r="G6407" t="inlineStr">
        <is>
          <t>KRISTINEHAMN</t>
        </is>
      </c>
      <c r="I6407" t="n">
        <v>2.7</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56468-2025</t>
        </is>
      </c>
      <c r="B6408" t="inlineStr">
        <is>
          <t>avverkningsanmälan</t>
        </is>
      </c>
      <c r="C6408" t="inlineStr">
        <is>
          <t>Föryngringsavverkning</t>
        </is>
      </c>
      <c r="D6408" s="1" t="n">
        <v>45975</v>
      </c>
      <c r="E6408" s="1" t="n">
        <v>46307</v>
      </c>
      <c r="F6408" t="inlineStr">
        <is>
          <t>VÄRMLANDS LÄN</t>
        </is>
      </c>
      <c r="G6408" t="inlineStr">
        <is>
          <t>HAGFORS</t>
        </is>
      </c>
      <c r="H6408" t="inlineStr">
        <is>
          <t>Bergvik skog väst AB</t>
        </is>
      </c>
      <c r="I6408" t="n">
        <v>2.4</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56772-2025</t>
        </is>
      </c>
      <c r="B6409" t="inlineStr">
        <is>
          <t>avverkningsanmälan</t>
        </is>
      </c>
      <c r="C6409" t="inlineStr">
        <is>
          <t>Föryngringsavverkning</t>
        </is>
      </c>
      <c r="D6409" s="1" t="n">
        <v>45978</v>
      </c>
      <c r="E6409" s="1" t="n">
        <v>46307</v>
      </c>
      <c r="F6409" t="inlineStr">
        <is>
          <t>VÄRMLANDS LÄN</t>
        </is>
      </c>
      <c r="G6409" t="inlineStr">
        <is>
          <t>TORSBY</t>
        </is>
      </c>
      <c r="I6409" t="n">
        <v>2</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101-2022</t>
        </is>
      </c>
      <c r="B6410" t="inlineStr">
        <is>
          <t>avverkningsanmälan</t>
        </is>
      </c>
      <c r="C6410" t="inlineStr">
        <is>
          <t>Föryngringsavverkning</t>
        </is>
      </c>
      <c r="D6410" s="1" t="n">
        <v>44564</v>
      </c>
      <c r="E6410" s="1" t="n">
        <v>46307</v>
      </c>
      <c r="F6410" t="inlineStr">
        <is>
          <t>VÄRMLANDS LÄN</t>
        </is>
      </c>
      <c r="G6410" t="inlineStr">
        <is>
          <t>SÄFFLE</t>
        </is>
      </c>
      <c r="I6410" t="n">
        <v>2.5</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25400-2023</t>
        </is>
      </c>
      <c r="B6411" t="inlineStr">
        <is>
          <t>avverkningsanmälan</t>
        </is>
      </c>
      <c r="C6411" t="inlineStr">
        <is>
          <t>Föryngringsavverkning</t>
        </is>
      </c>
      <c r="D6411" s="1" t="n">
        <v>45089</v>
      </c>
      <c r="E6411" s="1" t="n">
        <v>46307</v>
      </c>
      <c r="F6411" t="inlineStr">
        <is>
          <t>VÄRMLANDS LÄN</t>
        </is>
      </c>
      <c r="G6411" t="inlineStr">
        <is>
          <t>ARVIKA</t>
        </is>
      </c>
      <c r="I6411" t="n">
        <v>1.7</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56778-2025</t>
        </is>
      </c>
      <c r="B6412" t="inlineStr">
        <is>
          <t>avverkningsanmälan</t>
        </is>
      </c>
      <c r="C6412" t="inlineStr">
        <is>
          <t>Föryngringsavverkning</t>
        </is>
      </c>
      <c r="D6412" s="1" t="n">
        <v>45978</v>
      </c>
      <c r="E6412" s="1" t="n">
        <v>46307</v>
      </c>
      <c r="F6412" t="inlineStr">
        <is>
          <t>VÄRMLANDS LÄN</t>
        </is>
      </c>
      <c r="G6412" t="inlineStr">
        <is>
          <t>TORSBY</t>
        </is>
      </c>
      <c r="I6412" t="n">
        <v>3.8</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73251-2021</t>
        </is>
      </c>
      <c r="B6413" t="inlineStr">
        <is>
          <t>avverkningsanmälan</t>
        </is>
      </c>
      <c r="C6413" t="inlineStr">
        <is>
          <t>Föryngringsavverkning</t>
        </is>
      </c>
      <c r="D6413" s="1" t="n">
        <v>44550</v>
      </c>
      <c r="E6413" s="1" t="n">
        <v>46307</v>
      </c>
      <c r="F6413" t="inlineStr">
        <is>
          <t>VÄRMLANDS LÄN</t>
        </is>
      </c>
      <c r="G6413" t="inlineStr">
        <is>
          <t>KIL</t>
        </is>
      </c>
      <c r="I6413" t="n">
        <v>1.2</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73264-2021</t>
        </is>
      </c>
      <c r="B6414" t="inlineStr">
        <is>
          <t>avverkningsanmälan</t>
        </is>
      </c>
      <c r="C6414" t="inlineStr">
        <is>
          <t>Föryngringsavverkning</t>
        </is>
      </c>
      <c r="D6414" s="1" t="n">
        <v>44550</v>
      </c>
      <c r="E6414" s="1" t="n">
        <v>46307</v>
      </c>
      <c r="F6414" t="inlineStr">
        <is>
          <t>VÄRMLANDS LÄN</t>
        </is>
      </c>
      <c r="G6414" t="inlineStr">
        <is>
          <t>FORSHAGA</t>
        </is>
      </c>
      <c r="I6414" t="n">
        <v>7.9</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73266-2021</t>
        </is>
      </c>
      <c r="B6415" t="inlineStr">
        <is>
          <t>avverkningsanmälan</t>
        </is>
      </c>
      <c r="C6415" t="inlineStr">
        <is>
          <t>Föryngringsavverkning</t>
        </is>
      </c>
      <c r="D6415" s="1" t="n">
        <v>44550</v>
      </c>
      <c r="E6415" s="1" t="n">
        <v>46307</v>
      </c>
      <c r="F6415" t="inlineStr">
        <is>
          <t>VÄRMLANDS LÄN</t>
        </is>
      </c>
      <c r="G6415" t="inlineStr">
        <is>
          <t>FORSHAGA</t>
        </is>
      </c>
      <c r="I6415" t="n">
        <v>0.9</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10752-2023</t>
        </is>
      </c>
      <c r="B6416" t="inlineStr">
        <is>
          <t>avverkningsanmälan</t>
        </is>
      </c>
      <c r="C6416" t="inlineStr">
        <is>
          <t>Föryngringsavverkning</t>
        </is>
      </c>
      <c r="D6416" s="1" t="n">
        <v>44988</v>
      </c>
      <c r="E6416" s="1" t="n">
        <v>46307</v>
      </c>
      <c r="F6416" t="inlineStr">
        <is>
          <t>VÄRMLANDS LÄN</t>
        </is>
      </c>
      <c r="G6416" t="inlineStr">
        <is>
          <t>SÄFFLE</t>
        </is>
      </c>
      <c r="I6416" t="n">
        <v>0.7</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47456-2023</t>
        </is>
      </c>
      <c r="B6417" t="inlineStr">
        <is>
          <t>avverkningsanmälan</t>
        </is>
      </c>
      <c r="C6417" t="inlineStr">
        <is>
          <t>Föryngringsavverkning</t>
        </is>
      </c>
      <c r="D6417" s="1" t="n">
        <v>45202</v>
      </c>
      <c r="E6417" s="1" t="n">
        <v>46307</v>
      </c>
      <c r="F6417" t="inlineStr">
        <is>
          <t>VÄRMLANDS LÄN</t>
        </is>
      </c>
      <c r="G6417" t="inlineStr">
        <is>
          <t>SUNNE</t>
        </is>
      </c>
      <c r="I6417" t="n">
        <v>2.3</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47467-2023</t>
        </is>
      </c>
      <c r="B6418" t="inlineStr">
        <is>
          <t>avverkningsanmälan</t>
        </is>
      </c>
      <c r="C6418" t="inlineStr">
        <is>
          <t>Föryngringsavverkning</t>
        </is>
      </c>
      <c r="D6418" s="1" t="n">
        <v>45202</v>
      </c>
      <c r="E6418" s="1" t="n">
        <v>46307</v>
      </c>
      <c r="F6418" t="inlineStr">
        <is>
          <t>VÄRMLANDS LÄN</t>
        </is>
      </c>
      <c r="G6418" t="inlineStr">
        <is>
          <t>KRISTINEHAMN</t>
        </is>
      </c>
      <c r="I6418" t="n">
        <v>0.7</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12670-2023</t>
        </is>
      </c>
      <c r="B6419" t="inlineStr">
        <is>
          <t>avverkningsanmälan</t>
        </is>
      </c>
      <c r="C6419" t="inlineStr">
        <is>
          <t>Föryngringsavverkning</t>
        </is>
      </c>
      <c r="D6419" s="1" t="n">
        <v>45000</v>
      </c>
      <c r="E6419" s="1" t="n">
        <v>46307</v>
      </c>
      <c r="F6419" t="inlineStr">
        <is>
          <t>VÄRMLANDS LÄN</t>
        </is>
      </c>
      <c r="G6419" t="inlineStr">
        <is>
          <t>TORSBY</t>
        </is>
      </c>
      <c r="I6419" t="n">
        <v>3.7</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56411-2025</t>
        </is>
      </c>
      <c r="B6420" t="inlineStr">
        <is>
          <t>avverkningsanmälan</t>
        </is>
      </c>
      <c r="C6420" t="inlineStr">
        <is>
          <t>Föryngringsavverkning</t>
        </is>
      </c>
      <c r="D6420" s="1" t="n">
        <v>45975</v>
      </c>
      <c r="E6420" s="1" t="n">
        <v>46307</v>
      </c>
      <c r="F6420" t="inlineStr">
        <is>
          <t>VÄRMLANDS LÄN</t>
        </is>
      </c>
      <c r="G6420" t="inlineStr">
        <is>
          <t>HAGFORS</t>
        </is>
      </c>
      <c r="H6420" t="inlineStr">
        <is>
          <t>Bergvik skog väst AB</t>
        </is>
      </c>
      <c r="I6420" t="n">
        <v>1.9</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36279-2025</t>
        </is>
      </c>
      <c r="B6421" t="inlineStr">
        <is>
          <t>avverkningsanmälan</t>
        </is>
      </c>
      <c r="C6421" t="inlineStr">
        <is>
          <t>Föryngringsavverkning</t>
        </is>
      </c>
      <c r="D6421" s="1" t="n">
        <v>45867</v>
      </c>
      <c r="E6421" s="1" t="n">
        <v>46307</v>
      </c>
      <c r="F6421" t="inlineStr">
        <is>
          <t>VÄRMLANDS LÄN</t>
        </is>
      </c>
      <c r="G6421" t="inlineStr">
        <is>
          <t>TORSBY</t>
        </is>
      </c>
      <c r="I6421" t="n">
        <v>1.9</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21585-2024</t>
        </is>
      </c>
      <c r="B6422" t="inlineStr">
        <is>
          <t>avverkningsanmälan</t>
        </is>
      </c>
      <c r="C6422" t="inlineStr">
        <is>
          <t>Föryngringsavverkning</t>
        </is>
      </c>
      <c r="D6422" s="1" t="n">
        <v>45441</v>
      </c>
      <c r="E6422" s="1" t="n">
        <v>46307</v>
      </c>
      <c r="F6422" t="inlineStr">
        <is>
          <t>VÄRMLANDS LÄN</t>
        </is>
      </c>
      <c r="G6422" t="inlineStr">
        <is>
          <t>TORSBY</t>
        </is>
      </c>
      <c r="I6422" t="n">
        <v>1.8</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4299-2022</t>
        </is>
      </c>
      <c r="B6423" t="inlineStr">
        <is>
          <t>avverkningsanmälan</t>
        </is>
      </c>
      <c r="C6423" t="inlineStr">
        <is>
          <t>Föryngringsavverkning</t>
        </is>
      </c>
      <c r="D6423" s="1" t="n">
        <v>44588</v>
      </c>
      <c r="E6423" s="1" t="n">
        <v>46307</v>
      </c>
      <c r="F6423" t="inlineStr">
        <is>
          <t>VÄRMLANDS LÄN</t>
        </is>
      </c>
      <c r="G6423" t="inlineStr">
        <is>
          <t>ARVIKA</t>
        </is>
      </c>
      <c r="I6423" t="n">
        <v>2.4</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23793-2023</t>
        </is>
      </c>
      <c r="B6424" t="inlineStr">
        <is>
          <t>avverkningsanmälan</t>
        </is>
      </c>
      <c r="C6424" t="inlineStr">
        <is>
          <t>Föryngringsavverkning</t>
        </is>
      </c>
      <c r="D6424" s="1" t="n">
        <v>45078</v>
      </c>
      <c r="E6424" s="1" t="n">
        <v>46307</v>
      </c>
      <c r="F6424" t="inlineStr">
        <is>
          <t>VÄRMLANDS LÄN</t>
        </is>
      </c>
      <c r="G6424" t="inlineStr">
        <is>
          <t>SUNNE</t>
        </is>
      </c>
      <c r="I6424" t="n">
        <v>3.3</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53962-2025</t>
        </is>
      </c>
      <c r="B6425" t="inlineStr">
        <is>
          <t>avverkningsanmälan</t>
        </is>
      </c>
      <c r="C6425" t="inlineStr">
        <is>
          <t>Föryngringsavverkning</t>
        </is>
      </c>
      <c r="D6425" s="1" t="n">
        <v>45961</v>
      </c>
      <c r="E6425" s="1" t="n">
        <v>46307</v>
      </c>
      <c r="F6425" t="inlineStr">
        <is>
          <t>VÄRMLANDS LÄN</t>
        </is>
      </c>
      <c r="G6425" t="inlineStr">
        <is>
          <t>ARVIKA</t>
        </is>
      </c>
      <c r="I6425" t="n">
        <v>5.9</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59012-2024</t>
        </is>
      </c>
      <c r="B6426" t="inlineStr">
        <is>
          <t>avverkningsanmälan</t>
        </is>
      </c>
      <c r="C6426" t="inlineStr">
        <is>
          <t>Föryngringsavverkning</t>
        </is>
      </c>
      <c r="D6426" s="1" t="n">
        <v>45636</v>
      </c>
      <c r="E6426" s="1" t="n">
        <v>46307</v>
      </c>
      <c r="F6426" t="inlineStr">
        <is>
          <t>VÄRMLANDS LÄN</t>
        </is>
      </c>
      <c r="G6426" t="inlineStr">
        <is>
          <t>KIL</t>
        </is>
      </c>
      <c r="I6426" t="n">
        <v>1.6</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56871-2025</t>
        </is>
      </c>
      <c r="B6427" t="inlineStr">
        <is>
          <t>avverkningsanmälan</t>
        </is>
      </c>
      <c r="C6427" t="inlineStr">
        <is>
          <t>Föryngringsavverkning</t>
        </is>
      </c>
      <c r="D6427" s="1" t="n">
        <v>45978</v>
      </c>
      <c r="E6427" s="1" t="n">
        <v>46307</v>
      </c>
      <c r="F6427" t="inlineStr">
        <is>
          <t>VÄRMLANDS LÄN</t>
        </is>
      </c>
      <c r="G6427" t="inlineStr">
        <is>
          <t>KARLSTAD</t>
        </is>
      </c>
      <c r="I6427" t="n">
        <v>1.8</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56522-2021</t>
        </is>
      </c>
      <c r="B6428" t="inlineStr">
        <is>
          <t>avverkningsanmälan</t>
        </is>
      </c>
      <c r="C6428" t="inlineStr">
        <is>
          <t>Föryngringsavverkning</t>
        </is>
      </c>
      <c r="D6428" s="1" t="n">
        <v>44480</v>
      </c>
      <c r="E6428" s="1" t="n">
        <v>46307</v>
      </c>
      <c r="F6428" t="inlineStr">
        <is>
          <t>VÄRMLANDS LÄN</t>
        </is>
      </c>
      <c r="G6428" t="inlineStr">
        <is>
          <t>KRISTINEHAMN</t>
        </is>
      </c>
      <c r="I6428" t="n">
        <v>3.2</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30836-2025</t>
        </is>
      </c>
      <c r="B6429" t="inlineStr">
        <is>
          <t>avverkningsanmälan</t>
        </is>
      </c>
      <c r="C6429" t="inlineStr">
        <is>
          <t>Föryngringsavverkning</t>
        </is>
      </c>
      <c r="D6429" s="1" t="n">
        <v>45831</v>
      </c>
      <c r="E6429" s="1" t="n">
        <v>46307</v>
      </c>
      <c r="F6429" t="inlineStr">
        <is>
          <t>VÄRMLANDS LÄN</t>
        </is>
      </c>
      <c r="G6429" t="inlineStr">
        <is>
          <t>TORSBY</t>
        </is>
      </c>
      <c r="I6429" t="n">
        <v>1.1</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33143-2025</t>
        </is>
      </c>
      <c r="B6430" t="inlineStr">
        <is>
          <t>avverkningsanmälan</t>
        </is>
      </c>
      <c r="C6430" t="inlineStr">
        <is>
          <t>Föryngringsavverkning</t>
        </is>
      </c>
      <c r="D6430" s="1" t="n">
        <v>45840</v>
      </c>
      <c r="E6430" s="1" t="n">
        <v>46307</v>
      </c>
      <c r="F6430" t="inlineStr">
        <is>
          <t>VÄRMLANDS LÄN</t>
        </is>
      </c>
      <c r="G6430" t="inlineStr">
        <is>
          <t>STORFORS</t>
        </is>
      </c>
      <c r="H6430" t="inlineStr">
        <is>
          <t>Bergvik skog väst AB</t>
        </is>
      </c>
      <c r="I6430" t="n">
        <v>4.2</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44189-2022</t>
        </is>
      </c>
      <c r="B6431" t="inlineStr">
        <is>
          <t>avverkningsanmälan</t>
        </is>
      </c>
      <c r="C6431" t="inlineStr">
        <is>
          <t>Föryngringsavverkning</t>
        </is>
      </c>
      <c r="D6431" s="1" t="n">
        <v>44839</v>
      </c>
      <c r="E6431" s="1" t="n">
        <v>46307</v>
      </c>
      <c r="F6431" t="inlineStr">
        <is>
          <t>VÄRMLANDS LÄN</t>
        </is>
      </c>
      <c r="G6431" t="inlineStr">
        <is>
          <t>EDA</t>
        </is>
      </c>
      <c r="I6431" t="n">
        <v>1.7</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36431-2025</t>
        </is>
      </c>
      <c r="B6432" t="inlineStr">
        <is>
          <t>avverkningsanmälan</t>
        </is>
      </c>
      <c r="C6432" t="inlineStr">
        <is>
          <t>Föryngringsavverkning</t>
        </is>
      </c>
      <c r="D6432" s="1" t="n">
        <v>45869</v>
      </c>
      <c r="E6432" s="1" t="n">
        <v>46307</v>
      </c>
      <c r="F6432" t="inlineStr">
        <is>
          <t>VÄRMLANDS LÄN</t>
        </is>
      </c>
      <c r="G6432" t="inlineStr">
        <is>
          <t>ARVIKA</t>
        </is>
      </c>
      <c r="H6432" t="inlineStr">
        <is>
          <t>Bergvik skog väst AB</t>
        </is>
      </c>
      <c r="I6432" t="n">
        <v>10.2</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36548-2025</t>
        </is>
      </c>
      <c r="B6433" t="inlineStr">
        <is>
          <t>avverkningsanmälan</t>
        </is>
      </c>
      <c r="C6433" t="inlineStr">
        <is>
          <t>Föryngringsavverkning</t>
        </is>
      </c>
      <c r="D6433" s="1" t="n">
        <v>45869</v>
      </c>
      <c r="E6433" s="1" t="n">
        <v>46307</v>
      </c>
      <c r="F6433" t="inlineStr">
        <is>
          <t>VÄRMLANDS LÄN</t>
        </is>
      </c>
      <c r="G6433" t="inlineStr">
        <is>
          <t>TORSBY</t>
        </is>
      </c>
      <c r="I6433" t="n">
        <v>7.1</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61546-2023</t>
        </is>
      </c>
      <c r="B6434" t="inlineStr">
        <is>
          <t>avverkningsanmälan</t>
        </is>
      </c>
      <c r="C6434" t="inlineStr">
        <is>
          <t>Föryngringsavverkning</t>
        </is>
      </c>
      <c r="D6434" s="1" t="n">
        <v>45265</v>
      </c>
      <c r="E6434" s="1" t="n">
        <v>46307</v>
      </c>
      <c r="F6434" t="inlineStr">
        <is>
          <t>VÄRMLANDS LÄN</t>
        </is>
      </c>
      <c r="G6434" t="inlineStr">
        <is>
          <t>EDA</t>
        </is>
      </c>
      <c r="I6434" t="n">
        <v>12</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60018-2023</t>
        </is>
      </c>
      <c r="B6435" t="inlineStr">
        <is>
          <t>avverkningsanmälan</t>
        </is>
      </c>
      <c r="C6435" t="inlineStr">
        <is>
          <t>Föryngringsavverkning</t>
        </is>
      </c>
      <c r="D6435" s="1" t="n">
        <v>45258</v>
      </c>
      <c r="E6435" s="1" t="n">
        <v>46307</v>
      </c>
      <c r="F6435" t="inlineStr">
        <is>
          <t>VÄRMLANDS LÄN</t>
        </is>
      </c>
      <c r="G6435" t="inlineStr">
        <is>
          <t>SÄFFLE</t>
        </is>
      </c>
      <c r="I6435" t="n">
        <v>5.6</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56416-2025</t>
        </is>
      </c>
      <c r="B6436" t="inlineStr">
        <is>
          <t>avverkningsanmälan</t>
        </is>
      </c>
      <c r="C6436" t="inlineStr">
        <is>
          <t>Föryngringsavverkning</t>
        </is>
      </c>
      <c r="D6436" s="1" t="n">
        <v>45975</v>
      </c>
      <c r="E6436" s="1" t="n">
        <v>46307</v>
      </c>
      <c r="F6436" t="inlineStr">
        <is>
          <t>VÄRMLANDS LÄN</t>
        </is>
      </c>
      <c r="G6436" t="inlineStr">
        <is>
          <t>SÄFFLE</t>
        </is>
      </c>
      <c r="I6436" t="n">
        <v>4.3</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36466-2025</t>
        </is>
      </c>
      <c r="B6437" t="inlineStr">
        <is>
          <t>avverkningsanmälan</t>
        </is>
      </c>
      <c r="C6437" t="inlineStr">
        <is>
          <t>Föryngringsavverkning</t>
        </is>
      </c>
      <c r="D6437" s="1" t="n">
        <v>45869</v>
      </c>
      <c r="E6437" s="1" t="n">
        <v>46307</v>
      </c>
      <c r="F6437" t="inlineStr">
        <is>
          <t>VÄRMLANDS LÄN</t>
        </is>
      </c>
      <c r="G6437" t="inlineStr">
        <is>
          <t>ARVIKA</t>
        </is>
      </c>
      <c r="I6437" t="n">
        <v>2.2</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60022-2023</t>
        </is>
      </c>
      <c r="B6438" t="inlineStr">
        <is>
          <t>avverkningsanmälan</t>
        </is>
      </c>
      <c r="C6438" t="inlineStr">
        <is>
          <t>Föryngringsavverkning</t>
        </is>
      </c>
      <c r="D6438" s="1" t="n">
        <v>45258</v>
      </c>
      <c r="E6438" s="1" t="n">
        <v>46307</v>
      </c>
      <c r="F6438" t="inlineStr">
        <is>
          <t>VÄRMLANDS LÄN</t>
        </is>
      </c>
      <c r="G6438" t="inlineStr">
        <is>
          <t>KARLSTAD</t>
        </is>
      </c>
      <c r="I6438" t="n">
        <v>0.8</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21465-2022</t>
        </is>
      </c>
      <c r="B6439" t="inlineStr">
        <is>
          <t>avverkningsanmälan</t>
        </is>
      </c>
      <c r="C6439" t="inlineStr">
        <is>
          <t>Föryngringsavverkning</t>
        </is>
      </c>
      <c r="D6439" s="1" t="n">
        <v>44706</v>
      </c>
      <c r="E6439" s="1" t="n">
        <v>46307</v>
      </c>
      <c r="F6439" t="inlineStr">
        <is>
          <t>VÄRMLANDS LÄN</t>
        </is>
      </c>
      <c r="G6439" t="inlineStr">
        <is>
          <t>TORSBY</t>
        </is>
      </c>
      <c r="I6439" t="n">
        <v>1.9</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1527-2024</t>
        </is>
      </c>
      <c r="B6440" t="inlineStr">
        <is>
          <t>avverkningsanmälan</t>
        </is>
      </c>
      <c r="C6440" t="inlineStr">
        <is>
          <t>Föryngringsavverkning</t>
        </is>
      </c>
      <c r="D6440" s="1" t="n">
        <v>45306</v>
      </c>
      <c r="E6440" s="1" t="n">
        <v>46307</v>
      </c>
      <c r="F6440" t="inlineStr">
        <is>
          <t>VÄRMLANDS LÄN</t>
        </is>
      </c>
      <c r="G6440" t="inlineStr">
        <is>
          <t>TORSBY</t>
        </is>
      </c>
      <c r="I6440" t="n">
        <v>2.9</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36461-2025</t>
        </is>
      </c>
      <c r="B6441" t="inlineStr">
        <is>
          <t>avverkningsanmälan</t>
        </is>
      </c>
      <c r="C6441" t="inlineStr">
        <is>
          <t>Föryngringsavverkning</t>
        </is>
      </c>
      <c r="D6441" s="1" t="n">
        <v>45869</v>
      </c>
      <c r="E6441" s="1" t="n">
        <v>46307</v>
      </c>
      <c r="F6441" t="inlineStr">
        <is>
          <t>VÄRMLANDS LÄN</t>
        </is>
      </c>
      <c r="G6441" t="inlineStr">
        <is>
          <t>ÅRJÄNG</t>
        </is>
      </c>
      <c r="I6441" t="n">
        <v>3.7</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36582-2025</t>
        </is>
      </c>
      <c r="B6442" t="inlineStr">
        <is>
          <t>avverkningsanmälan</t>
        </is>
      </c>
      <c r="C6442" t="inlineStr">
        <is>
          <t>Föryngringsavverkning</t>
        </is>
      </c>
      <c r="D6442" s="1" t="n">
        <v>45870</v>
      </c>
      <c r="E6442" s="1" t="n">
        <v>46307</v>
      </c>
      <c r="F6442" t="inlineStr">
        <is>
          <t>VÄRMLANDS LÄN</t>
        </is>
      </c>
      <c r="G6442" t="inlineStr">
        <is>
          <t>FILIPSTAD</t>
        </is>
      </c>
      <c r="H6442" t="inlineStr">
        <is>
          <t>Bergvik skog väst AB</t>
        </is>
      </c>
      <c r="I6442" t="n">
        <v>4.7</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56717-2025</t>
        </is>
      </c>
      <c r="B6443" t="inlineStr">
        <is>
          <t>avverkningsanmälan</t>
        </is>
      </c>
      <c r="C6443" t="inlineStr">
        <is>
          <t>Föryngringsavverkning</t>
        </is>
      </c>
      <c r="D6443" s="1" t="n">
        <v>45975</v>
      </c>
      <c r="E6443" s="1" t="n">
        <v>46307</v>
      </c>
      <c r="F6443" t="inlineStr">
        <is>
          <t>VÄRMLANDS LÄN</t>
        </is>
      </c>
      <c r="G6443" t="inlineStr">
        <is>
          <t>MUNKFORS</t>
        </is>
      </c>
      <c r="I6443" t="n">
        <v>3.1</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30710-2022</t>
        </is>
      </c>
      <c r="B6444" t="inlineStr">
        <is>
          <t>avverkningsanmälan</t>
        </is>
      </c>
      <c r="C6444" t="inlineStr">
        <is>
          <t>Föryngringsavverkning</t>
        </is>
      </c>
      <c r="D6444" s="1" t="n">
        <v>44763</v>
      </c>
      <c r="E6444" s="1" t="n">
        <v>46307</v>
      </c>
      <c r="F6444" t="inlineStr">
        <is>
          <t>VÄRMLANDS LÄN</t>
        </is>
      </c>
      <c r="G6444" t="inlineStr">
        <is>
          <t>HAGFORS</t>
        </is>
      </c>
      <c r="I6444" t="n">
        <v>3.5</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10501-2023</t>
        </is>
      </c>
      <c r="B6445" t="inlineStr">
        <is>
          <t>avverkningsanmälan</t>
        </is>
      </c>
      <c r="C6445" t="inlineStr">
        <is>
          <t>Föryngringsavverkning</t>
        </is>
      </c>
      <c r="D6445" s="1" t="n">
        <v>44987</v>
      </c>
      <c r="E6445" s="1" t="n">
        <v>46307</v>
      </c>
      <c r="F6445" t="inlineStr">
        <is>
          <t>VÄRMLANDS LÄN</t>
        </is>
      </c>
      <c r="G6445" t="inlineStr">
        <is>
          <t>KRISTINEHAMN</t>
        </is>
      </c>
      <c r="I6445" t="n">
        <v>1.1</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10510-2023</t>
        </is>
      </c>
      <c r="B6446" t="inlineStr">
        <is>
          <t>avverkningsanmälan</t>
        </is>
      </c>
      <c r="C6446" t="inlineStr">
        <is>
          <t>Föryngringsavverkning</t>
        </is>
      </c>
      <c r="D6446" s="1" t="n">
        <v>44987</v>
      </c>
      <c r="E6446" s="1" t="n">
        <v>46307</v>
      </c>
      <c r="F6446" t="inlineStr">
        <is>
          <t>VÄRMLANDS LÄN</t>
        </is>
      </c>
      <c r="G6446" t="inlineStr">
        <is>
          <t>ÅRJÄNG</t>
        </is>
      </c>
      <c r="I6446" t="n">
        <v>0.5</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52338-2023</t>
        </is>
      </c>
      <c r="B6447" t="inlineStr">
        <is>
          <t>avverkningsanmälan</t>
        </is>
      </c>
      <c r="C6447" t="inlineStr">
        <is>
          <t>Avverkning för annat ändamål</t>
        </is>
      </c>
      <c r="D6447" s="1" t="n">
        <v>45224</v>
      </c>
      <c r="E6447" s="1" t="n">
        <v>46307</v>
      </c>
      <c r="F6447" t="inlineStr">
        <is>
          <t>VÄRMLANDS LÄN</t>
        </is>
      </c>
      <c r="G6447" t="inlineStr">
        <is>
          <t>EDA</t>
        </is>
      </c>
      <c r="H6447" t="inlineStr">
        <is>
          <t>Bergvik skog väst AB</t>
        </is>
      </c>
      <c r="I6447" t="n">
        <v>0.8</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65036-2023</t>
        </is>
      </c>
      <c r="B6448" t="inlineStr">
        <is>
          <t>avverkningsanmälan</t>
        </is>
      </c>
      <c r="C6448" t="inlineStr">
        <is>
          <t>Avverkning för annat ändamål</t>
        </is>
      </c>
      <c r="D6448" s="1" t="n">
        <v>45287</v>
      </c>
      <c r="E6448" s="1" t="n">
        <v>46307</v>
      </c>
      <c r="F6448" t="inlineStr">
        <is>
          <t>VÄRMLANDS LÄN</t>
        </is>
      </c>
      <c r="G6448" t="inlineStr">
        <is>
          <t>ARVIKA</t>
        </is>
      </c>
      <c r="H6448" t="inlineStr">
        <is>
          <t>Bergvik skog väst AB</t>
        </is>
      </c>
      <c r="I6448" t="n">
        <v>4.1</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56786-2025</t>
        </is>
      </c>
      <c r="B6449" t="inlineStr">
        <is>
          <t>avverkningsanmälan</t>
        </is>
      </c>
      <c r="C6449" t="inlineStr">
        <is>
          <t>Föryngringsavverkning</t>
        </is>
      </c>
      <c r="D6449" s="1" t="n">
        <v>45978</v>
      </c>
      <c r="E6449" s="1" t="n">
        <v>46307</v>
      </c>
      <c r="F6449" t="inlineStr">
        <is>
          <t>VÄRMLANDS LÄN</t>
        </is>
      </c>
      <c r="G6449" t="inlineStr">
        <is>
          <t>TORSBY</t>
        </is>
      </c>
      <c r="H6449" t="inlineStr">
        <is>
          <t>Bergvik skog väst AB</t>
        </is>
      </c>
      <c r="I6449" t="n">
        <v>2.5</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1399-2024</t>
        </is>
      </c>
      <c r="B6450" t="inlineStr">
        <is>
          <t>avverkningsanmälan</t>
        </is>
      </c>
      <c r="C6450" t="inlineStr">
        <is>
          <t>Föryngringsavverkning</t>
        </is>
      </c>
      <c r="D6450" s="1" t="n">
        <v>45303</v>
      </c>
      <c r="E6450" s="1" t="n">
        <v>46307</v>
      </c>
      <c r="F6450" t="inlineStr">
        <is>
          <t>VÄRMLANDS LÄN</t>
        </is>
      </c>
      <c r="G6450" t="inlineStr">
        <is>
          <t>KRISTINEHAMN</t>
        </is>
      </c>
      <c r="I6450" t="n">
        <v>1</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56684-2025</t>
        </is>
      </c>
      <c r="B6451" t="inlineStr">
        <is>
          <t>avverkningsanmälan</t>
        </is>
      </c>
      <c r="C6451" t="inlineStr">
        <is>
          <t>Avverkning för annat ändamål</t>
        </is>
      </c>
      <c r="D6451" s="1" t="n">
        <v>45975</v>
      </c>
      <c r="E6451" s="1" t="n">
        <v>46307</v>
      </c>
      <c r="F6451" t="inlineStr">
        <is>
          <t>VÄRMLANDS LÄN</t>
        </is>
      </c>
      <c r="G6451" t="inlineStr">
        <is>
          <t>SÄFFLE</t>
        </is>
      </c>
      <c r="I6451" t="n">
        <v>3.9</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36450-2025</t>
        </is>
      </c>
      <c r="B6452" t="inlineStr">
        <is>
          <t>avverkningsanmälan</t>
        </is>
      </c>
      <c r="C6452" t="inlineStr">
        <is>
          <t>Föryngringsavverkning</t>
        </is>
      </c>
      <c r="D6452" s="1" t="n">
        <v>45869</v>
      </c>
      <c r="E6452" s="1" t="n">
        <v>46307</v>
      </c>
      <c r="F6452" t="inlineStr">
        <is>
          <t>VÄRMLANDS LÄN</t>
        </is>
      </c>
      <c r="G6452" t="inlineStr">
        <is>
          <t>ÅRJÄNG</t>
        </is>
      </c>
      <c r="I6452" t="n">
        <v>4.6</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23818-2022</t>
        </is>
      </c>
      <c r="B6453" t="inlineStr">
        <is>
          <t>avverkningsanmälan</t>
        </is>
      </c>
      <c r="C6453" t="inlineStr">
        <is>
          <t>Föryngringsavverkning</t>
        </is>
      </c>
      <c r="D6453" s="1" t="n">
        <v>44722</v>
      </c>
      <c r="E6453" s="1" t="n">
        <v>46307</v>
      </c>
      <c r="F6453" t="inlineStr">
        <is>
          <t>VÄRMLANDS LÄN</t>
        </is>
      </c>
      <c r="G6453" t="inlineStr">
        <is>
          <t>TORSBY</t>
        </is>
      </c>
      <c r="I6453" t="n">
        <v>23.5</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57240-2025</t>
        </is>
      </c>
      <c r="B6454" t="inlineStr">
        <is>
          <t>avverkningsanmälan</t>
        </is>
      </c>
      <c r="C6454" t="inlineStr">
        <is>
          <t>Föryngringsavverkning</t>
        </is>
      </c>
      <c r="D6454" s="1" t="n">
        <v>45979</v>
      </c>
      <c r="E6454" s="1" t="n">
        <v>46307</v>
      </c>
      <c r="F6454" t="inlineStr">
        <is>
          <t>VÄRMLANDS LÄN</t>
        </is>
      </c>
      <c r="G6454" t="inlineStr">
        <is>
          <t>ÅRJÄNG</t>
        </is>
      </c>
      <c r="I6454" t="n">
        <v>0.9</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57301-2025</t>
        </is>
      </c>
      <c r="B6455" t="inlineStr">
        <is>
          <t>avverkningsanmälan</t>
        </is>
      </c>
      <c r="C6455" t="inlineStr">
        <is>
          <t>Föryngringsavverkning</t>
        </is>
      </c>
      <c r="D6455" s="1" t="n">
        <v>45979</v>
      </c>
      <c r="E6455" s="1" t="n">
        <v>46307</v>
      </c>
      <c r="F6455" t="inlineStr">
        <is>
          <t>VÄRMLANDS LÄN</t>
        </is>
      </c>
      <c r="G6455" t="inlineStr">
        <is>
          <t>ÅRJÄNG</t>
        </is>
      </c>
      <c r="I6455" t="n">
        <v>1.6</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6751-2025</t>
        </is>
      </c>
      <c r="B6456" t="inlineStr">
        <is>
          <t>avverkningsanmälan</t>
        </is>
      </c>
      <c r="C6456" t="inlineStr">
        <is>
          <t>Föryngringsavverkning</t>
        </is>
      </c>
      <c r="D6456" s="1" t="n">
        <v>45700</v>
      </c>
      <c r="E6456" s="1" t="n">
        <v>46307</v>
      </c>
      <c r="F6456" t="inlineStr">
        <is>
          <t>VÄRMLANDS LÄN</t>
        </is>
      </c>
      <c r="G6456" t="inlineStr">
        <is>
          <t>GRUMS</t>
        </is>
      </c>
      <c r="I6456" t="n">
        <v>0.9</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57303-2025</t>
        </is>
      </c>
      <c r="B6457" t="inlineStr">
        <is>
          <t>avverkningsanmälan</t>
        </is>
      </c>
      <c r="C6457" t="inlineStr">
        <is>
          <t>Föryngringsavverkning</t>
        </is>
      </c>
      <c r="D6457" s="1" t="n">
        <v>45979</v>
      </c>
      <c r="E6457" s="1" t="n">
        <v>46307</v>
      </c>
      <c r="F6457" t="inlineStr">
        <is>
          <t>VÄRMLANDS LÄN</t>
        </is>
      </c>
      <c r="G6457" t="inlineStr">
        <is>
          <t>SUNNE</t>
        </is>
      </c>
      <c r="H6457" t="inlineStr">
        <is>
          <t>Kyrkan</t>
        </is>
      </c>
      <c r="I6457" t="n">
        <v>12</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52799-2023</t>
        </is>
      </c>
      <c r="B6458" t="inlineStr">
        <is>
          <t>avverkningsanmälan</t>
        </is>
      </c>
      <c r="C6458" t="inlineStr">
        <is>
          <t>Föryngringsavverkning</t>
        </is>
      </c>
      <c r="D6458" s="1" t="n">
        <v>45219</v>
      </c>
      <c r="E6458" s="1" t="n">
        <v>46307</v>
      </c>
      <c r="F6458" t="inlineStr">
        <is>
          <t>VÄRMLANDS LÄN</t>
        </is>
      </c>
      <c r="G6458" t="inlineStr">
        <is>
          <t>KARLSTAD</t>
        </is>
      </c>
      <c r="I6458" t="n">
        <v>4.3</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1675-2023</t>
        </is>
      </c>
      <c r="B6459" t="inlineStr">
        <is>
          <t>avverkningsanmälan</t>
        </is>
      </c>
      <c r="C6459" t="inlineStr">
        <is>
          <t>Föryngringsavverkning</t>
        </is>
      </c>
      <c r="D6459" s="1" t="n">
        <v>44938</v>
      </c>
      <c r="E6459" s="1" t="n">
        <v>46307</v>
      </c>
      <c r="F6459" t="inlineStr">
        <is>
          <t>VÄRMLANDS LÄN</t>
        </is>
      </c>
      <c r="G6459" t="inlineStr">
        <is>
          <t>KARLSTAD</t>
        </is>
      </c>
      <c r="I6459" t="n">
        <v>2</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7338-2025</t>
        </is>
      </c>
      <c r="B6460" t="inlineStr">
        <is>
          <t>avverkningsanmälan</t>
        </is>
      </c>
      <c r="C6460" t="inlineStr">
        <is>
          <t>Föryngringsavverkning</t>
        </is>
      </c>
      <c r="D6460" s="1" t="n">
        <v>45703</v>
      </c>
      <c r="E6460" s="1" t="n">
        <v>46307</v>
      </c>
      <c r="F6460" t="inlineStr">
        <is>
          <t>VÄRMLANDS LÄN</t>
        </is>
      </c>
      <c r="G6460" t="inlineStr">
        <is>
          <t>SUNNE</t>
        </is>
      </c>
      <c r="I6460" t="n">
        <v>2.2</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3458-2025</t>
        </is>
      </c>
      <c r="B6461" t="inlineStr">
        <is>
          <t>avverkningsanmälan</t>
        </is>
      </c>
      <c r="C6461" t="inlineStr">
        <is>
          <t>Föryngringsavverkning</t>
        </is>
      </c>
      <c r="D6461" s="1" t="n">
        <v>45680</v>
      </c>
      <c r="E6461" s="1" t="n">
        <v>46307</v>
      </c>
      <c r="F6461" t="inlineStr">
        <is>
          <t>VÄRMLANDS LÄN</t>
        </is>
      </c>
      <c r="G6461" t="inlineStr">
        <is>
          <t>ÅRJÄNG</t>
        </is>
      </c>
      <c r="I6461" t="n">
        <v>1.4</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3479-2025</t>
        </is>
      </c>
      <c r="B6462" t="inlineStr">
        <is>
          <t>avverkningsanmälan</t>
        </is>
      </c>
      <c r="C6462" t="inlineStr">
        <is>
          <t>Föryngringsavverkning</t>
        </is>
      </c>
      <c r="D6462" s="1" t="n">
        <v>45680</v>
      </c>
      <c r="E6462" s="1" t="n">
        <v>46307</v>
      </c>
      <c r="F6462" t="inlineStr">
        <is>
          <t>VÄRMLANDS LÄN</t>
        </is>
      </c>
      <c r="G6462" t="inlineStr">
        <is>
          <t>ÅRJÄNG</t>
        </is>
      </c>
      <c r="I6462" t="n">
        <v>2.2</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12395-2024</t>
        </is>
      </c>
      <c r="B6463" t="inlineStr">
        <is>
          <t>avverkningsanmälan</t>
        </is>
      </c>
      <c r="C6463" t="inlineStr">
        <is>
          <t>Föryngringsavverkning</t>
        </is>
      </c>
      <c r="D6463" s="1" t="n">
        <v>45379</v>
      </c>
      <c r="E6463" s="1" t="n">
        <v>46307</v>
      </c>
      <c r="F6463" t="inlineStr">
        <is>
          <t>VÄRMLANDS LÄN</t>
        </is>
      </c>
      <c r="G6463" t="inlineStr">
        <is>
          <t>KRISTINEHAMN</t>
        </is>
      </c>
      <c r="I6463" t="n">
        <v>4.7</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45992-2023</t>
        </is>
      </c>
      <c r="B6464" t="inlineStr">
        <is>
          <t>avverkningsanmälan</t>
        </is>
      </c>
      <c r="C6464" t="inlineStr">
        <is>
          <t>Föryngringsavverkning</t>
        </is>
      </c>
      <c r="D6464" s="1" t="n">
        <v>45196</v>
      </c>
      <c r="E6464" s="1" t="n">
        <v>46307</v>
      </c>
      <c r="F6464" t="inlineStr">
        <is>
          <t>VÄRMLANDS LÄN</t>
        </is>
      </c>
      <c r="G6464" t="inlineStr">
        <is>
          <t>SUNNE</t>
        </is>
      </c>
      <c r="I6464" t="n">
        <v>1.1</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57439-2025</t>
        </is>
      </c>
      <c r="B6465" t="inlineStr">
        <is>
          <t>avverkningsanmälan</t>
        </is>
      </c>
      <c r="C6465" t="inlineStr">
        <is>
          <t>Föryngringsavverkning</t>
        </is>
      </c>
      <c r="D6465" s="1" t="n">
        <v>45980</v>
      </c>
      <c r="E6465" s="1" t="n">
        <v>46307</v>
      </c>
      <c r="F6465" t="inlineStr">
        <is>
          <t>VÄRMLANDS LÄN</t>
        </is>
      </c>
      <c r="G6465" t="inlineStr">
        <is>
          <t>ÅRJÄNG</t>
        </is>
      </c>
      <c r="I6465" t="n">
        <v>4.4</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59694-2022</t>
        </is>
      </c>
      <c r="B6466" t="inlineStr">
        <is>
          <t>avverkningsanmälan</t>
        </is>
      </c>
      <c r="C6466" t="inlineStr">
        <is>
          <t>Föryngringsavverkning</t>
        </is>
      </c>
      <c r="D6466" s="1" t="n">
        <v>44908</v>
      </c>
      <c r="E6466" s="1" t="n">
        <v>46307</v>
      </c>
      <c r="F6466" t="inlineStr">
        <is>
          <t>VÄRMLANDS LÄN</t>
        </is>
      </c>
      <c r="G6466" t="inlineStr">
        <is>
          <t>SUNNE</t>
        </is>
      </c>
      <c r="I6466" t="n">
        <v>1.6</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14644-2023</t>
        </is>
      </c>
      <c r="B6467" t="inlineStr">
        <is>
          <t>avverkningsanmälan</t>
        </is>
      </c>
      <c r="C6467" t="inlineStr">
        <is>
          <t>Föryngringsavverkning</t>
        </is>
      </c>
      <c r="D6467" s="1" t="n">
        <v>45012</v>
      </c>
      <c r="E6467" s="1" t="n">
        <v>46307</v>
      </c>
      <c r="F6467" t="inlineStr">
        <is>
          <t>VÄRMLANDS LÄN</t>
        </is>
      </c>
      <c r="G6467" t="inlineStr">
        <is>
          <t>SÄFFLE</t>
        </is>
      </c>
      <c r="I6467" t="n">
        <v>1.3</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36923-2025</t>
        </is>
      </c>
      <c r="B6468" t="inlineStr">
        <is>
          <t>avverkningsanmälan</t>
        </is>
      </c>
      <c r="C6468" t="inlineStr">
        <is>
          <t>Föryngringsavverkning</t>
        </is>
      </c>
      <c r="D6468" s="1" t="n">
        <v>45874</v>
      </c>
      <c r="E6468" s="1" t="n">
        <v>46307</v>
      </c>
      <c r="F6468" t="inlineStr">
        <is>
          <t>VÄRMLANDS LÄN</t>
        </is>
      </c>
      <c r="G6468" t="inlineStr">
        <is>
          <t>SUNNE</t>
        </is>
      </c>
      <c r="H6468" t="inlineStr">
        <is>
          <t>Bergvik skog väst AB</t>
        </is>
      </c>
      <c r="I6468" t="n">
        <v>6</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36930-2025</t>
        </is>
      </c>
      <c r="B6469" t="inlineStr">
        <is>
          <t>avverkningsanmälan</t>
        </is>
      </c>
      <c r="C6469" t="inlineStr">
        <is>
          <t>Föryngringsavverkning</t>
        </is>
      </c>
      <c r="D6469" s="1" t="n">
        <v>45874</v>
      </c>
      <c r="E6469" s="1" t="n">
        <v>46307</v>
      </c>
      <c r="F6469" t="inlineStr">
        <is>
          <t>VÄRMLANDS LÄN</t>
        </is>
      </c>
      <c r="G6469" t="inlineStr">
        <is>
          <t>EDA</t>
        </is>
      </c>
      <c r="I6469" t="n">
        <v>1</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10574-2023</t>
        </is>
      </c>
      <c r="B6470" t="inlineStr">
        <is>
          <t>avverkningsanmälan</t>
        </is>
      </c>
      <c r="C6470" t="inlineStr">
        <is>
          <t>Föryngringsavverkning</t>
        </is>
      </c>
      <c r="D6470" s="1" t="n">
        <v>44984</v>
      </c>
      <c r="E6470" s="1" t="n">
        <v>46307</v>
      </c>
      <c r="F6470" t="inlineStr">
        <is>
          <t>VÄRMLANDS LÄN</t>
        </is>
      </c>
      <c r="G6470" t="inlineStr">
        <is>
          <t>ÅRJÄNG</t>
        </is>
      </c>
      <c r="I6470" t="n">
        <v>1.7</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44098-2023</t>
        </is>
      </c>
      <c r="B6471" t="inlineStr">
        <is>
          <t>avverkningsanmälan</t>
        </is>
      </c>
      <c r="C6471" t="inlineStr">
        <is>
          <t>Föryngringsavverkning</t>
        </is>
      </c>
      <c r="D6471" s="1" t="n">
        <v>45188</v>
      </c>
      <c r="E6471" s="1" t="n">
        <v>46307</v>
      </c>
      <c r="F6471" t="inlineStr">
        <is>
          <t>VÄRMLANDS LÄN</t>
        </is>
      </c>
      <c r="G6471" t="inlineStr">
        <is>
          <t>MUNKFORS</t>
        </is>
      </c>
      <c r="I6471" t="n">
        <v>3.6</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35134-2022</t>
        </is>
      </c>
      <c r="B6472" t="inlineStr">
        <is>
          <t>avverkningsanmälan</t>
        </is>
      </c>
      <c r="C6472" t="inlineStr">
        <is>
          <t>Föryngringsavverkning</t>
        </is>
      </c>
      <c r="D6472" s="1" t="n">
        <v>44797</v>
      </c>
      <c r="E6472" s="1" t="n">
        <v>46307</v>
      </c>
      <c r="F6472" t="inlineStr">
        <is>
          <t>VÄRMLANDS LÄN</t>
        </is>
      </c>
      <c r="G6472" t="inlineStr">
        <is>
          <t>TORSBY</t>
        </is>
      </c>
      <c r="I6472" t="n">
        <v>1.3</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10513-2024</t>
        </is>
      </c>
      <c r="B6473" t="inlineStr">
        <is>
          <t>avverkningsanmälan</t>
        </is>
      </c>
      <c r="C6473" t="inlineStr">
        <is>
          <t>Föryngringsavverkning</t>
        </is>
      </c>
      <c r="D6473" s="1" t="n">
        <v>45366</v>
      </c>
      <c r="E6473" s="1" t="n">
        <v>46307</v>
      </c>
      <c r="F6473" t="inlineStr">
        <is>
          <t>VÄRMLANDS LÄN</t>
        </is>
      </c>
      <c r="G6473" t="inlineStr">
        <is>
          <t>ARVIKA</t>
        </is>
      </c>
      <c r="I6473" t="n">
        <v>3.3</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62901-2021</t>
        </is>
      </c>
      <c r="B6474" t="inlineStr">
        <is>
          <t>avverkningsanmälan</t>
        </is>
      </c>
      <c r="C6474" t="inlineStr">
        <is>
          <t>Föryngringsavverkning</t>
        </is>
      </c>
      <c r="D6474" s="1" t="n">
        <v>44504</v>
      </c>
      <c r="E6474" s="1" t="n">
        <v>46307</v>
      </c>
      <c r="F6474" t="inlineStr">
        <is>
          <t>VÄRMLANDS LÄN</t>
        </is>
      </c>
      <c r="G6474" t="inlineStr">
        <is>
          <t>ÅRJÄNG</t>
        </is>
      </c>
      <c r="I6474" t="n">
        <v>0.5</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38184-2024</t>
        </is>
      </c>
      <c r="B6475" t="inlineStr">
        <is>
          <t>avverkningsanmälan</t>
        </is>
      </c>
      <c r="C6475" t="inlineStr">
        <is>
          <t>Föryngringsavverkning</t>
        </is>
      </c>
      <c r="D6475" s="1" t="n">
        <v>45545</v>
      </c>
      <c r="E6475" s="1" t="n">
        <v>46307</v>
      </c>
      <c r="F6475" t="inlineStr">
        <is>
          <t>VÄRMLANDS LÄN</t>
        </is>
      </c>
      <c r="G6475" t="inlineStr">
        <is>
          <t>TORSBY</t>
        </is>
      </c>
      <c r="I6475" t="n">
        <v>2.4</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58531-2023</t>
        </is>
      </c>
      <c r="B6476" t="inlineStr">
        <is>
          <t>avverkningsanmälan</t>
        </is>
      </c>
      <c r="C6476" t="inlineStr">
        <is>
          <t>Föryngringsavverkning</t>
        </is>
      </c>
      <c r="D6476" s="1" t="n">
        <v>45250</v>
      </c>
      <c r="E6476" s="1" t="n">
        <v>46307</v>
      </c>
      <c r="F6476" t="inlineStr">
        <is>
          <t>VÄRMLANDS LÄN</t>
        </is>
      </c>
      <c r="G6476" t="inlineStr">
        <is>
          <t>SUNNE</t>
        </is>
      </c>
      <c r="I6476" t="n">
        <v>0.6</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55621-2022</t>
        </is>
      </c>
      <c r="B6477" t="inlineStr">
        <is>
          <t>avverkningsanmälan</t>
        </is>
      </c>
      <c r="C6477" t="inlineStr">
        <is>
          <t>Föryngringsavverkning</t>
        </is>
      </c>
      <c r="D6477" s="1" t="n">
        <v>44888</v>
      </c>
      <c r="E6477" s="1" t="n">
        <v>46307</v>
      </c>
      <c r="F6477" t="inlineStr">
        <is>
          <t>VÄRMLANDS LÄN</t>
        </is>
      </c>
      <c r="G6477" t="inlineStr">
        <is>
          <t>KARLSTAD</t>
        </is>
      </c>
      <c r="H6477" t="inlineStr">
        <is>
          <t>Bergvik skog väst AB</t>
        </is>
      </c>
      <c r="I6477" t="n">
        <v>8.300000000000001</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46108-2023</t>
        </is>
      </c>
      <c r="B6478" t="inlineStr">
        <is>
          <t>avverkningsanmälan</t>
        </is>
      </c>
      <c r="C6478" t="inlineStr">
        <is>
          <t>Föryngringsavverkning</t>
        </is>
      </c>
      <c r="D6478" s="1" t="n">
        <v>45196</v>
      </c>
      <c r="E6478" s="1" t="n">
        <v>46307</v>
      </c>
      <c r="F6478" t="inlineStr">
        <is>
          <t>VÄRMLANDS LÄN</t>
        </is>
      </c>
      <c r="G6478" t="inlineStr">
        <is>
          <t>ARVIKA</t>
        </is>
      </c>
      <c r="I6478" t="n">
        <v>2.2</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36899-2025</t>
        </is>
      </c>
      <c r="B6479" t="inlineStr">
        <is>
          <t>avverkningsanmälan</t>
        </is>
      </c>
      <c r="C6479" t="inlineStr">
        <is>
          <t>Avverkning för annat ändamål</t>
        </is>
      </c>
      <c r="D6479" s="1" t="n">
        <v>45874</v>
      </c>
      <c r="E6479" s="1" t="n">
        <v>46307</v>
      </c>
      <c r="F6479" t="inlineStr">
        <is>
          <t>VÄRMLANDS LÄN</t>
        </is>
      </c>
      <c r="G6479" t="inlineStr">
        <is>
          <t>SÄFFLE</t>
        </is>
      </c>
      <c r="I6479" t="n">
        <v>0.8</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15780-2023</t>
        </is>
      </c>
      <c r="B6480" t="inlineStr">
        <is>
          <t>avverkningsanmälan</t>
        </is>
      </c>
      <c r="C6480" t="inlineStr">
        <is>
          <t>Föryngringsavverkning</t>
        </is>
      </c>
      <c r="D6480" s="1" t="n">
        <v>45021</v>
      </c>
      <c r="E6480" s="1" t="n">
        <v>46307</v>
      </c>
      <c r="F6480" t="inlineStr">
        <is>
          <t>VÄRMLANDS LÄN</t>
        </is>
      </c>
      <c r="G6480" t="inlineStr">
        <is>
          <t>SÄFFLE</t>
        </is>
      </c>
      <c r="I6480" t="n">
        <v>6.3</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1165-2024</t>
        </is>
      </c>
      <c r="B6481" t="inlineStr">
        <is>
          <t>avverkningsanmälan</t>
        </is>
      </c>
      <c r="C6481" t="inlineStr">
        <is>
          <t>Föryngringsavverkning</t>
        </is>
      </c>
      <c r="D6481" s="1" t="n">
        <v>45302</v>
      </c>
      <c r="E6481" s="1" t="n">
        <v>46307</v>
      </c>
      <c r="F6481" t="inlineStr">
        <is>
          <t>VÄRMLANDS LÄN</t>
        </is>
      </c>
      <c r="G6481" t="inlineStr">
        <is>
          <t>KARLSTAD</t>
        </is>
      </c>
      <c r="I6481" t="n">
        <v>6</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46138-2023</t>
        </is>
      </c>
      <c r="B6482" t="inlineStr">
        <is>
          <t>avverkningsanmälan</t>
        </is>
      </c>
      <c r="C6482" t="inlineStr">
        <is>
          <t>Föryngringsavverkning</t>
        </is>
      </c>
      <c r="D6482" s="1" t="n">
        <v>45196</v>
      </c>
      <c r="E6482" s="1" t="n">
        <v>46307</v>
      </c>
      <c r="F6482" t="inlineStr">
        <is>
          <t>VÄRMLANDS LÄN</t>
        </is>
      </c>
      <c r="G6482" t="inlineStr">
        <is>
          <t>SUNNE</t>
        </is>
      </c>
      <c r="I6482" t="n">
        <v>0.6</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57078-2025</t>
        </is>
      </c>
      <c r="B6483" t="inlineStr">
        <is>
          <t>avverkningsanmälan</t>
        </is>
      </c>
      <c r="C6483" t="inlineStr">
        <is>
          <t>Föryngringsavverkning</t>
        </is>
      </c>
      <c r="D6483" s="1" t="n">
        <v>45979</v>
      </c>
      <c r="E6483" s="1" t="n">
        <v>46307</v>
      </c>
      <c r="F6483" t="inlineStr">
        <is>
          <t>VÄRMLANDS LÄN</t>
        </is>
      </c>
      <c r="G6483" t="inlineStr">
        <is>
          <t>ÅRJÄNG</t>
        </is>
      </c>
      <c r="I6483" t="n">
        <v>1.5</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10338-2025</t>
        </is>
      </c>
      <c r="B6484" t="inlineStr">
        <is>
          <t>avverkningsanmälan</t>
        </is>
      </c>
      <c r="C6484" t="inlineStr">
        <is>
          <t>Föryngringsavverkning</t>
        </is>
      </c>
      <c r="D6484" s="1" t="n">
        <v>45720</v>
      </c>
      <c r="E6484" s="1" t="n">
        <v>46307</v>
      </c>
      <c r="F6484" t="inlineStr">
        <is>
          <t>VÄRMLANDS LÄN</t>
        </is>
      </c>
      <c r="G6484" t="inlineStr">
        <is>
          <t>FILIPSTAD</t>
        </is>
      </c>
      <c r="H6484" t="inlineStr">
        <is>
          <t>Bergvik skog väst AB</t>
        </is>
      </c>
      <c r="I6484" t="n">
        <v>2.3</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61675-2024</t>
        </is>
      </c>
      <c r="B6485" t="inlineStr">
        <is>
          <t>avverkningsanmälan</t>
        </is>
      </c>
      <c r="C6485" t="inlineStr">
        <is>
          <t>Föryngringsavverkning</t>
        </is>
      </c>
      <c r="D6485" s="1" t="n">
        <v>45647</v>
      </c>
      <c r="E6485" s="1" t="n">
        <v>46307</v>
      </c>
      <c r="F6485" t="inlineStr">
        <is>
          <t>VÄRMLANDS LÄN</t>
        </is>
      </c>
      <c r="G6485" t="inlineStr">
        <is>
          <t>KRISTINEHAMN</t>
        </is>
      </c>
      <c r="I6485" t="n">
        <v>0.7</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10382-2025</t>
        </is>
      </c>
      <c r="B6486" t="inlineStr">
        <is>
          <t>avverkningsanmälan</t>
        </is>
      </c>
      <c r="C6486" t="inlineStr">
        <is>
          <t>Föryngringsavverkning</t>
        </is>
      </c>
      <c r="D6486" s="1" t="n">
        <v>45720</v>
      </c>
      <c r="E6486" s="1" t="n">
        <v>46307</v>
      </c>
      <c r="F6486" t="inlineStr">
        <is>
          <t>VÄRMLANDS LÄN</t>
        </is>
      </c>
      <c r="G6486" t="inlineStr">
        <is>
          <t>HAGFORS</t>
        </is>
      </c>
      <c r="I6486" t="n">
        <v>4.7</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33782-2023</t>
        </is>
      </c>
      <c r="B6487" t="inlineStr">
        <is>
          <t>avverkningsanmälan</t>
        </is>
      </c>
      <c r="C6487" t="inlineStr">
        <is>
          <t>Föryngringsavverkning</t>
        </is>
      </c>
      <c r="D6487" s="1" t="n">
        <v>45120</v>
      </c>
      <c r="E6487" s="1" t="n">
        <v>46307</v>
      </c>
      <c r="F6487" t="inlineStr">
        <is>
          <t>VÄRMLANDS LÄN</t>
        </is>
      </c>
      <c r="G6487" t="inlineStr">
        <is>
          <t>TORSBY</t>
        </is>
      </c>
      <c r="I6487" t="n">
        <v>4.1</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56641-2023</t>
        </is>
      </c>
      <c r="B6488" t="inlineStr">
        <is>
          <t>avverkningsanmälan</t>
        </is>
      </c>
      <c r="C6488" t="inlineStr">
        <is>
          <t>Föryngringsavverkning</t>
        </is>
      </c>
      <c r="D6488" s="1" t="n">
        <v>45243</v>
      </c>
      <c r="E6488" s="1" t="n">
        <v>46307</v>
      </c>
      <c r="F6488" t="inlineStr">
        <is>
          <t>VÄRMLANDS LÄN</t>
        </is>
      </c>
      <c r="G6488" t="inlineStr">
        <is>
          <t>KIL</t>
        </is>
      </c>
      <c r="I6488" t="n">
        <v>1.3</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975-2025</t>
        </is>
      </c>
      <c r="B6489" t="inlineStr">
        <is>
          <t>avverkningsanmälan</t>
        </is>
      </c>
      <c r="C6489" t="inlineStr">
        <is>
          <t>Föryngringsavverkning</t>
        </is>
      </c>
      <c r="D6489" s="1" t="n">
        <v>45665</v>
      </c>
      <c r="E6489" s="1" t="n">
        <v>46307</v>
      </c>
      <c r="F6489" t="inlineStr">
        <is>
          <t>VÄRMLANDS LÄN</t>
        </is>
      </c>
      <c r="G6489" t="inlineStr">
        <is>
          <t>GRUMS</t>
        </is>
      </c>
      <c r="I6489" t="n">
        <v>2.4</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33831-2023</t>
        </is>
      </c>
      <c r="B6490" t="inlineStr">
        <is>
          <t>avverkningsanmälan</t>
        </is>
      </c>
      <c r="C6490" t="inlineStr">
        <is>
          <t>Föryngringsavverkning</t>
        </is>
      </c>
      <c r="D6490" s="1" t="n">
        <v>45121</v>
      </c>
      <c r="E6490" s="1" t="n">
        <v>46307</v>
      </c>
      <c r="F6490" t="inlineStr">
        <is>
          <t>VÄRMLANDS LÄN</t>
        </is>
      </c>
      <c r="G6490" t="inlineStr">
        <is>
          <t>ÅRJÄNG</t>
        </is>
      </c>
      <c r="I6490" t="n">
        <v>2.3</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61229-2022</t>
        </is>
      </c>
      <c r="B6491" t="inlineStr">
        <is>
          <t>avverkningsanmälan</t>
        </is>
      </c>
      <c r="C6491" t="inlineStr">
        <is>
          <t>Föryngringsavverkning</t>
        </is>
      </c>
      <c r="D6491" s="1" t="n">
        <v>44915</v>
      </c>
      <c r="E6491" s="1" t="n">
        <v>46307</v>
      </c>
      <c r="F6491" t="inlineStr">
        <is>
          <t>VÄRMLANDS LÄN</t>
        </is>
      </c>
      <c r="G6491" t="inlineStr">
        <is>
          <t>KIL</t>
        </is>
      </c>
      <c r="I6491" t="n">
        <v>1.3</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61231-2022</t>
        </is>
      </c>
      <c r="B6492" t="inlineStr">
        <is>
          <t>avverkningsanmälan</t>
        </is>
      </c>
      <c r="C6492" t="inlineStr">
        <is>
          <t>Föryngringsavverkning</t>
        </is>
      </c>
      <c r="D6492" s="1" t="n">
        <v>44915</v>
      </c>
      <c r="E6492" s="1" t="n">
        <v>46307</v>
      </c>
      <c r="F6492" t="inlineStr">
        <is>
          <t>VÄRMLANDS LÄN</t>
        </is>
      </c>
      <c r="G6492" t="inlineStr">
        <is>
          <t>FORSHAGA</t>
        </is>
      </c>
      <c r="I6492" t="n">
        <v>2.6</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39167-2022</t>
        </is>
      </c>
      <c r="B6493" t="inlineStr">
        <is>
          <t>avverkningsanmälan</t>
        </is>
      </c>
      <c r="C6493" t="inlineStr">
        <is>
          <t>Föryngringsavverkning</t>
        </is>
      </c>
      <c r="D6493" s="1" t="n">
        <v>44817</v>
      </c>
      <c r="E6493" s="1" t="n">
        <v>46307</v>
      </c>
      <c r="F6493" t="inlineStr">
        <is>
          <t>VÄRMLANDS LÄN</t>
        </is>
      </c>
      <c r="G6493" t="inlineStr">
        <is>
          <t>SUNNE</t>
        </is>
      </c>
      <c r="I6493" t="n">
        <v>1.9</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57387-2025</t>
        </is>
      </c>
      <c r="B6494" t="inlineStr">
        <is>
          <t>avverkningsanmälan</t>
        </is>
      </c>
      <c r="C6494" t="inlineStr">
        <is>
          <t>Föryngringsavverkning</t>
        </is>
      </c>
      <c r="D6494" s="1" t="n">
        <v>45980</v>
      </c>
      <c r="E6494" s="1" t="n">
        <v>46307</v>
      </c>
      <c r="F6494" t="inlineStr">
        <is>
          <t>VÄRMLANDS LÄN</t>
        </is>
      </c>
      <c r="G6494" t="inlineStr">
        <is>
          <t>MUNKFORS</t>
        </is>
      </c>
      <c r="H6494" t="inlineStr">
        <is>
          <t>Kyrkan</t>
        </is>
      </c>
      <c r="I6494" t="n">
        <v>3.6</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57433-2025</t>
        </is>
      </c>
      <c r="B6495" t="inlineStr">
        <is>
          <t>avverkningsanmälan</t>
        </is>
      </c>
      <c r="C6495" t="inlineStr">
        <is>
          <t>Föryngringsavverkning</t>
        </is>
      </c>
      <c r="D6495" s="1" t="n">
        <v>45980</v>
      </c>
      <c r="E6495" s="1" t="n">
        <v>46307</v>
      </c>
      <c r="F6495" t="inlineStr">
        <is>
          <t>VÄRMLANDS LÄN</t>
        </is>
      </c>
      <c r="G6495" t="inlineStr">
        <is>
          <t>EDA</t>
        </is>
      </c>
      <c r="I6495" t="n">
        <v>1.4</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36855-2025</t>
        </is>
      </c>
      <c r="B6496" t="inlineStr">
        <is>
          <t>avverkningsanmälan</t>
        </is>
      </c>
      <c r="C6496" t="inlineStr">
        <is>
          <t>Föryngringsavverkning</t>
        </is>
      </c>
      <c r="D6496" s="1" t="n">
        <v>45874</v>
      </c>
      <c r="E6496" s="1" t="n">
        <v>46307</v>
      </c>
      <c r="F6496" t="inlineStr">
        <is>
          <t>VÄRMLANDS LÄN</t>
        </is>
      </c>
      <c r="G6496" t="inlineStr">
        <is>
          <t>SÄFFLE</t>
        </is>
      </c>
      <c r="I6496" t="n">
        <v>2.8</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36856-2025</t>
        </is>
      </c>
      <c r="B6497" t="inlineStr">
        <is>
          <t>avverkningsanmälan</t>
        </is>
      </c>
      <c r="C6497" t="inlineStr">
        <is>
          <t>Föryngringsavverkning</t>
        </is>
      </c>
      <c r="D6497" s="1" t="n">
        <v>45874</v>
      </c>
      <c r="E6497" s="1" t="n">
        <v>46307</v>
      </c>
      <c r="F6497" t="inlineStr">
        <is>
          <t>VÄRMLANDS LÄN</t>
        </is>
      </c>
      <c r="G6497" t="inlineStr">
        <is>
          <t>TORSBY</t>
        </is>
      </c>
      <c r="I6497" t="n">
        <v>4.4</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2315-2024</t>
        </is>
      </c>
      <c r="B6498" t="inlineStr">
        <is>
          <t>avverkningsanmälan</t>
        </is>
      </c>
      <c r="C6498" t="inlineStr">
        <is>
          <t>Föryngringsavverkning</t>
        </is>
      </c>
      <c r="D6498" s="1" t="n">
        <v>45310</v>
      </c>
      <c r="E6498" s="1" t="n">
        <v>46307</v>
      </c>
      <c r="F6498" t="inlineStr">
        <is>
          <t>VÄRMLANDS LÄN</t>
        </is>
      </c>
      <c r="G6498" t="inlineStr">
        <is>
          <t>HAGFORS</t>
        </is>
      </c>
      <c r="H6498" t="inlineStr">
        <is>
          <t>Kyrkan</t>
        </is>
      </c>
      <c r="I6498" t="n">
        <v>2.3</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57462-2025</t>
        </is>
      </c>
      <c r="B6499" t="inlineStr">
        <is>
          <t>avverkningsanmälan</t>
        </is>
      </c>
      <c r="C6499" t="inlineStr">
        <is>
          <t>Föryngringsavverkning</t>
        </is>
      </c>
      <c r="D6499" s="1" t="n">
        <v>45980</v>
      </c>
      <c r="E6499" s="1" t="n">
        <v>46307</v>
      </c>
      <c r="F6499" t="inlineStr">
        <is>
          <t>VÄRMLANDS LÄN</t>
        </is>
      </c>
      <c r="G6499" t="inlineStr">
        <is>
          <t>HAGFORS</t>
        </is>
      </c>
      <c r="I6499" t="n">
        <v>1</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57466-2025</t>
        </is>
      </c>
      <c r="B6500" t="inlineStr">
        <is>
          <t>avverkningsanmälan</t>
        </is>
      </c>
      <c r="C6500" t="inlineStr">
        <is>
          <t>Föryngringsavverkning</t>
        </is>
      </c>
      <c r="D6500" s="1" t="n">
        <v>45980</v>
      </c>
      <c r="E6500" s="1" t="n">
        <v>46307</v>
      </c>
      <c r="F6500" t="inlineStr">
        <is>
          <t>VÄRMLANDS LÄN</t>
        </is>
      </c>
      <c r="G6500" t="inlineStr">
        <is>
          <t>KARLSTAD</t>
        </is>
      </c>
      <c r="I6500" t="n">
        <v>1.1</v>
      </c>
      <c r="J6500" t="n">
        <v>0</v>
      </c>
      <c r="K6500" t="n">
        <v>0</v>
      </c>
      <c r="L6500" t="n">
        <v>0</v>
      </c>
      <c r="M6500" t="n">
        <v>0</v>
      </c>
      <c r="N6500" t="n">
        <v>0</v>
      </c>
      <c r="O6500" t="n">
        <v>0</v>
      </c>
      <c r="P6500" t="n">
        <v>0</v>
      </c>
      <c r="Q6500" t="n">
        <v>0</v>
      </c>
      <c r="R6500" t="n">
        <v>0</v>
      </c>
      <c r="S6500" t="n">
        <v>0</v>
      </c>
      <c r="T6500" t="n">
        <v>0</v>
      </c>
      <c r="U6500" t="n">
        <v>0</v>
      </c>
      <c r="V6500" s="2" t="inlineStr"/>
      <c r="Z6500">
        <f>HYPERLINK("https://klasma.github.io/Logging_1780/knärot/A 57466-2025 karta knärot.png", "A 57466-2025")</f>
        <v/>
      </c>
      <c r="AA6500">
        <f>HYPERLINK("https://klasma.github.io/Logging_1780/klagomål/A 57466-2025 FSC-klagomål.docx", "A 57466-2025")</f>
        <v/>
      </c>
      <c r="AB6500">
        <f>HYPERLINK("https://klasma.github.io/Logging_1780/klagomålsmail/A 57466-2025 FSC-klagomål mail.docx", "A 57466-2025")</f>
        <v/>
      </c>
      <c r="AC6500">
        <f>HYPERLINK("https://klasma.github.io/Logging_1780/tillsyn/A 57466-2025 tillsynsbegäran.docx", "A 57466-2025")</f>
        <v/>
      </c>
      <c r="AD6500">
        <f>HYPERLINK("https://klasma.github.io/Logging_1780/tillsynsmail/A 57466-2025 tillsynsbegäran mail.docx", "A 57466-2025")</f>
        <v/>
      </c>
    </row>
    <row r="6501" ht="15" customHeight="1">
      <c r="A6501" t="inlineStr">
        <is>
          <t>A 2-2023</t>
        </is>
      </c>
      <c r="B6501" t="inlineStr">
        <is>
          <t>avverkningsanmälan</t>
        </is>
      </c>
      <c r="C6501" t="inlineStr">
        <is>
          <t>Föryngringsavverkning</t>
        </is>
      </c>
      <c r="D6501" s="1" t="n">
        <v>44927</v>
      </c>
      <c r="E6501" s="1" t="n">
        <v>46307</v>
      </c>
      <c r="F6501" t="inlineStr">
        <is>
          <t>VÄRMLANDS LÄN</t>
        </is>
      </c>
      <c r="G6501" t="inlineStr">
        <is>
          <t>KIL</t>
        </is>
      </c>
      <c r="I6501" t="n">
        <v>1.3</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36898-2025</t>
        </is>
      </c>
      <c r="B6502" t="inlineStr">
        <is>
          <t>avverkningsanmälan</t>
        </is>
      </c>
      <c r="C6502" t="inlineStr">
        <is>
          <t>Föryngringsavverkning</t>
        </is>
      </c>
      <c r="D6502" s="1" t="n">
        <v>45874</v>
      </c>
      <c r="E6502" s="1" t="n">
        <v>46307</v>
      </c>
      <c r="F6502" t="inlineStr">
        <is>
          <t>VÄRMLANDS LÄN</t>
        </is>
      </c>
      <c r="G6502" t="inlineStr">
        <is>
          <t>SUNNE</t>
        </is>
      </c>
      <c r="H6502" t="inlineStr">
        <is>
          <t>Bergvik skog väst AB</t>
        </is>
      </c>
      <c r="I6502" t="n">
        <v>0.9</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56029-2023</t>
        </is>
      </c>
      <c r="B6503" t="inlineStr">
        <is>
          <t>avverkningsanmälan</t>
        </is>
      </c>
      <c r="C6503" t="inlineStr">
        <is>
          <t>Föryngringsavverkning</t>
        </is>
      </c>
      <c r="D6503" s="1" t="n">
        <v>45233</v>
      </c>
      <c r="E6503" s="1" t="n">
        <v>46307</v>
      </c>
      <c r="F6503" t="inlineStr">
        <is>
          <t>VÄRMLANDS LÄN</t>
        </is>
      </c>
      <c r="G6503" t="inlineStr">
        <is>
          <t>SUNNE</t>
        </is>
      </c>
      <c r="I6503" t="n">
        <v>2</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59288-2024</t>
        </is>
      </c>
      <c r="B6504" t="inlineStr">
        <is>
          <t>avverkningsanmälan</t>
        </is>
      </c>
      <c r="C6504" t="inlineStr">
        <is>
          <t>Föryngringsavverkning</t>
        </is>
      </c>
      <c r="D6504" s="1" t="n">
        <v>45636</v>
      </c>
      <c r="E6504" s="1" t="n">
        <v>46307</v>
      </c>
      <c r="F6504" t="inlineStr">
        <is>
          <t>VÄRMLANDS LÄN</t>
        </is>
      </c>
      <c r="G6504" t="inlineStr">
        <is>
          <t>SUNNE</t>
        </is>
      </c>
      <c r="I6504" t="n">
        <v>5.5</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63919-2021</t>
        </is>
      </c>
      <c r="B6505" t="inlineStr">
        <is>
          <t>avverkningsanmälan</t>
        </is>
      </c>
      <c r="C6505" t="inlineStr">
        <is>
          <t>Föryngringsavverkning</t>
        </is>
      </c>
      <c r="D6505" s="1" t="n">
        <v>44509</v>
      </c>
      <c r="E6505" s="1" t="n">
        <v>46307</v>
      </c>
      <c r="F6505" t="inlineStr">
        <is>
          <t>VÄRMLANDS LÄN</t>
        </is>
      </c>
      <c r="G6505" t="inlineStr">
        <is>
          <t>GRUMS</t>
        </is>
      </c>
      <c r="I6505" t="n">
        <v>5.2</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379-2023</t>
        </is>
      </c>
      <c r="B6506" t="inlineStr">
        <is>
          <t>avverkningsanmälan</t>
        </is>
      </c>
      <c r="C6506" t="inlineStr">
        <is>
          <t>Föryngringsavverkning</t>
        </is>
      </c>
      <c r="D6506" s="1" t="n">
        <v>44922</v>
      </c>
      <c r="E6506" s="1" t="n">
        <v>46307</v>
      </c>
      <c r="F6506" t="inlineStr">
        <is>
          <t>VÄRMLANDS LÄN</t>
        </is>
      </c>
      <c r="G6506" t="inlineStr">
        <is>
          <t>ARVIKA</t>
        </is>
      </c>
      <c r="I6506" t="n">
        <v>1.7</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29603-2024</t>
        </is>
      </c>
      <c r="B6507" t="inlineStr">
        <is>
          <t>avverkningsanmälan</t>
        </is>
      </c>
      <c r="C6507" t="inlineStr">
        <is>
          <t>Föryngringsavverkning</t>
        </is>
      </c>
      <c r="D6507" s="1" t="n">
        <v>45484</v>
      </c>
      <c r="E6507" s="1" t="n">
        <v>46307</v>
      </c>
      <c r="F6507" t="inlineStr">
        <is>
          <t>VÄRMLANDS LÄN</t>
        </is>
      </c>
      <c r="G6507" t="inlineStr">
        <is>
          <t>ÅRJÄNG</t>
        </is>
      </c>
      <c r="I6507" t="n">
        <v>7.5</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57306-2025</t>
        </is>
      </c>
      <c r="B6508" t="inlineStr">
        <is>
          <t>avverkningsanmälan</t>
        </is>
      </c>
      <c r="C6508" t="inlineStr">
        <is>
          <t>Föryngringsavverkning</t>
        </is>
      </c>
      <c r="D6508" s="1" t="n">
        <v>45979</v>
      </c>
      <c r="E6508" s="1" t="n">
        <v>46307</v>
      </c>
      <c r="F6508" t="inlineStr">
        <is>
          <t>VÄRMLANDS LÄN</t>
        </is>
      </c>
      <c r="G6508" t="inlineStr">
        <is>
          <t>SUNNE</t>
        </is>
      </c>
      <c r="H6508" t="inlineStr">
        <is>
          <t>Kyrkan</t>
        </is>
      </c>
      <c r="I6508" t="n">
        <v>1.8</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14972-2023</t>
        </is>
      </c>
      <c r="B6509" t="inlineStr">
        <is>
          <t>avverkningsanmälan</t>
        </is>
      </c>
      <c r="C6509" t="inlineStr">
        <is>
          <t>Föryngringsavverkning</t>
        </is>
      </c>
      <c r="D6509" s="1" t="n">
        <v>45015</v>
      </c>
      <c r="E6509" s="1" t="n">
        <v>46307</v>
      </c>
      <c r="F6509" t="inlineStr">
        <is>
          <t>VÄRMLANDS LÄN</t>
        </is>
      </c>
      <c r="G6509" t="inlineStr">
        <is>
          <t>EDA</t>
        </is>
      </c>
      <c r="I6509" t="n">
        <v>13.5</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36819-2025</t>
        </is>
      </c>
      <c r="B6510" t="inlineStr">
        <is>
          <t>avverkningsanmälan</t>
        </is>
      </c>
      <c r="C6510" t="inlineStr">
        <is>
          <t>Föryngringsavverkning</t>
        </is>
      </c>
      <c r="D6510" s="1" t="n">
        <v>45873</v>
      </c>
      <c r="E6510" s="1" t="n">
        <v>46307</v>
      </c>
      <c r="F6510" t="inlineStr">
        <is>
          <t>VÄRMLANDS LÄN</t>
        </is>
      </c>
      <c r="G6510" t="inlineStr">
        <is>
          <t>ÅRJÄNG</t>
        </is>
      </c>
      <c r="I6510" t="n">
        <v>2.3</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34568-2022</t>
        </is>
      </c>
      <c r="B6511" t="inlineStr">
        <is>
          <t>avverkningsanmälan</t>
        </is>
      </c>
      <c r="C6511" t="inlineStr">
        <is>
          <t>Föryngringsavverkning</t>
        </is>
      </c>
      <c r="D6511" s="1" t="n">
        <v>44795</v>
      </c>
      <c r="E6511" s="1" t="n">
        <v>46307</v>
      </c>
      <c r="F6511" t="inlineStr">
        <is>
          <t>VÄRMLANDS LÄN</t>
        </is>
      </c>
      <c r="G6511" t="inlineStr">
        <is>
          <t>TORSBY</t>
        </is>
      </c>
      <c r="I6511" t="n">
        <v>0.7</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62554-2022</t>
        </is>
      </c>
      <c r="B6512" t="inlineStr">
        <is>
          <t>avverkningsanmälan</t>
        </is>
      </c>
      <c r="C6512" t="inlineStr">
        <is>
          <t>Föryngringsavverkning</t>
        </is>
      </c>
      <c r="D6512" s="1" t="n">
        <v>44924</v>
      </c>
      <c r="E6512" s="1" t="n">
        <v>46307</v>
      </c>
      <c r="F6512" t="inlineStr">
        <is>
          <t>VÄRMLANDS LÄN</t>
        </is>
      </c>
      <c r="G6512" t="inlineStr">
        <is>
          <t>GRUMS</t>
        </is>
      </c>
      <c r="I6512" t="n">
        <v>0.6</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42163-2022</t>
        </is>
      </c>
      <c r="B6513" t="inlineStr">
        <is>
          <t>avverkningsanmälan</t>
        </is>
      </c>
      <c r="C6513" t="inlineStr">
        <is>
          <t>Föryngringsavverkning</t>
        </is>
      </c>
      <c r="D6513" s="1" t="n">
        <v>44830</v>
      </c>
      <c r="E6513" s="1" t="n">
        <v>46307</v>
      </c>
      <c r="F6513" t="inlineStr">
        <is>
          <t>VÄRMLANDS LÄN</t>
        </is>
      </c>
      <c r="G6513" t="inlineStr">
        <is>
          <t>ARVIKA</t>
        </is>
      </c>
      <c r="H6513" t="inlineStr">
        <is>
          <t>Bergvik skog väst AB</t>
        </is>
      </c>
      <c r="I6513" t="n">
        <v>1.3</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15546-2025</t>
        </is>
      </c>
      <c r="B6514" t="inlineStr">
        <is>
          <t>avverkningsanmälan</t>
        </is>
      </c>
      <c r="C6514" t="inlineStr">
        <is>
          <t>Föryngringsavverkning</t>
        </is>
      </c>
      <c r="D6514" s="1" t="n">
        <v>45747</v>
      </c>
      <c r="E6514" s="1" t="n">
        <v>46307</v>
      </c>
      <c r="F6514" t="inlineStr">
        <is>
          <t>VÄRMLANDS LÄN</t>
        </is>
      </c>
      <c r="G6514" t="inlineStr">
        <is>
          <t>ÅRJÄNG</t>
        </is>
      </c>
      <c r="I6514" t="n">
        <v>2.2</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13021-2023</t>
        </is>
      </c>
      <c r="B6515" t="inlineStr">
        <is>
          <t>avverkningsanmälan</t>
        </is>
      </c>
      <c r="C6515" t="inlineStr">
        <is>
          <t>Föryngringsavverkning</t>
        </is>
      </c>
      <c r="D6515" s="1" t="n">
        <v>45002</v>
      </c>
      <c r="E6515" s="1" t="n">
        <v>46307</v>
      </c>
      <c r="F6515" t="inlineStr">
        <is>
          <t>VÄRMLANDS LÄN</t>
        </is>
      </c>
      <c r="G6515" t="inlineStr">
        <is>
          <t>KRISTINEHAMN</t>
        </is>
      </c>
      <c r="I6515" t="n">
        <v>4</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2885-2025</t>
        </is>
      </c>
      <c r="B6516" t="inlineStr">
        <is>
          <t>avverkningsanmälan</t>
        </is>
      </c>
      <c r="C6516" t="inlineStr">
        <is>
          <t>Föryngringsavverkning</t>
        </is>
      </c>
      <c r="D6516" s="1" t="n">
        <v>45677</v>
      </c>
      <c r="E6516" s="1" t="n">
        <v>46307</v>
      </c>
      <c r="F6516" t="inlineStr">
        <is>
          <t>VÄRMLANDS LÄN</t>
        </is>
      </c>
      <c r="G6516" t="inlineStr">
        <is>
          <t>SÄFFLE</t>
        </is>
      </c>
      <c r="I6516" t="n">
        <v>6.8</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36752-2025</t>
        </is>
      </c>
      <c r="B6517" t="inlineStr">
        <is>
          <t>avverkningsanmälan</t>
        </is>
      </c>
      <c r="C6517" t="inlineStr">
        <is>
          <t>Föryngringsavverkning</t>
        </is>
      </c>
      <c r="D6517" s="1" t="n">
        <v>45873</v>
      </c>
      <c r="E6517" s="1" t="n">
        <v>46307</v>
      </c>
      <c r="F6517" t="inlineStr">
        <is>
          <t>VÄRMLANDS LÄN</t>
        </is>
      </c>
      <c r="G6517" t="inlineStr">
        <is>
          <t>ÅRJÄNG</t>
        </is>
      </c>
      <c r="I6517" t="n">
        <v>1.7</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36852-2025</t>
        </is>
      </c>
      <c r="B6518" t="inlineStr">
        <is>
          <t>avverkningsanmälan</t>
        </is>
      </c>
      <c r="C6518" t="inlineStr">
        <is>
          <t>Föryngringsavverkning</t>
        </is>
      </c>
      <c r="D6518" s="1" t="n">
        <v>45874</v>
      </c>
      <c r="E6518" s="1" t="n">
        <v>46307</v>
      </c>
      <c r="F6518" t="inlineStr">
        <is>
          <t>VÄRMLANDS LÄN</t>
        </is>
      </c>
      <c r="G6518" t="inlineStr">
        <is>
          <t>ARVIKA</t>
        </is>
      </c>
      <c r="H6518" t="inlineStr">
        <is>
          <t>Bergvik skog väst AB</t>
        </is>
      </c>
      <c r="I6518" t="n">
        <v>14</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3410-2025</t>
        </is>
      </c>
      <c r="B6519" t="inlineStr">
        <is>
          <t>avverkningsanmälan</t>
        </is>
      </c>
      <c r="C6519" t="inlineStr">
        <is>
          <t>Föryngringsavverkning</t>
        </is>
      </c>
      <c r="D6519" s="1" t="n">
        <v>45679</v>
      </c>
      <c r="E6519" s="1" t="n">
        <v>46307</v>
      </c>
      <c r="F6519" t="inlineStr">
        <is>
          <t>VÄRMLANDS LÄN</t>
        </is>
      </c>
      <c r="G6519" t="inlineStr">
        <is>
          <t>KARLSTAD</t>
        </is>
      </c>
      <c r="I6519" t="n">
        <v>11.4</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6278-2023</t>
        </is>
      </c>
      <c r="B6520" t="inlineStr">
        <is>
          <t>avverkningsanmälan</t>
        </is>
      </c>
      <c r="C6520" t="inlineStr">
        <is>
          <t>Föryngringsavverkning</t>
        </is>
      </c>
      <c r="D6520" s="1" t="n">
        <v>44965</v>
      </c>
      <c r="E6520" s="1" t="n">
        <v>46307</v>
      </c>
      <c r="F6520" t="inlineStr">
        <is>
          <t>VÄRMLANDS LÄN</t>
        </is>
      </c>
      <c r="G6520" t="inlineStr">
        <is>
          <t>KRISTINEHAMN</t>
        </is>
      </c>
      <c r="I6520" t="n">
        <v>5.7</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11452-2024</t>
        </is>
      </c>
      <c r="B6521" t="inlineStr">
        <is>
          <t>avverkningsanmälan</t>
        </is>
      </c>
      <c r="C6521" t="inlineStr">
        <is>
          <t>Föryngringsavverkning</t>
        </is>
      </c>
      <c r="D6521" s="1" t="n">
        <v>45372</v>
      </c>
      <c r="E6521" s="1" t="n">
        <v>46307</v>
      </c>
      <c r="F6521" t="inlineStr">
        <is>
          <t>VÄRMLANDS LÄN</t>
        </is>
      </c>
      <c r="G6521" t="inlineStr">
        <is>
          <t>STORFORS</t>
        </is>
      </c>
      <c r="H6521" t="inlineStr">
        <is>
          <t>Bergvik skog väst AB</t>
        </is>
      </c>
      <c r="I6521" t="n">
        <v>4.6</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36885-2025</t>
        </is>
      </c>
      <c r="B6522" t="inlineStr">
        <is>
          <t>avverkningsanmälan</t>
        </is>
      </c>
      <c r="C6522" t="inlineStr">
        <is>
          <t>Föryngringsavverkning</t>
        </is>
      </c>
      <c r="D6522" s="1" t="n">
        <v>45874</v>
      </c>
      <c r="E6522" s="1" t="n">
        <v>46307</v>
      </c>
      <c r="F6522" t="inlineStr">
        <is>
          <t>VÄRMLANDS LÄN</t>
        </is>
      </c>
      <c r="G6522" t="inlineStr">
        <is>
          <t>SUNNE</t>
        </is>
      </c>
      <c r="H6522" t="inlineStr">
        <is>
          <t>Bergvik skog väst AB</t>
        </is>
      </c>
      <c r="I6522" t="n">
        <v>3.6</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37006-2025</t>
        </is>
      </c>
      <c r="B6523" t="inlineStr">
        <is>
          <t>avverkningsanmälan</t>
        </is>
      </c>
      <c r="C6523" t="inlineStr">
        <is>
          <t>Föryngringsavverkning</t>
        </is>
      </c>
      <c r="D6523" s="1" t="n">
        <v>45874</v>
      </c>
      <c r="E6523" s="1" t="n">
        <v>46307</v>
      </c>
      <c r="F6523" t="inlineStr">
        <is>
          <t>VÄRMLANDS LÄN</t>
        </is>
      </c>
      <c r="G6523" t="inlineStr">
        <is>
          <t>SUNNE</t>
        </is>
      </c>
      <c r="I6523" t="n">
        <v>1</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33273-2025</t>
        </is>
      </c>
      <c r="B6524" t="inlineStr">
        <is>
          <t>avverkningsanmälan</t>
        </is>
      </c>
      <c r="C6524" t="inlineStr">
        <is>
          <t>Föryngringsavverkning</t>
        </is>
      </c>
      <c r="D6524" s="1" t="n">
        <v>45840</v>
      </c>
      <c r="E6524" s="1" t="n">
        <v>46307</v>
      </c>
      <c r="F6524" t="inlineStr">
        <is>
          <t>VÄRMLANDS LÄN</t>
        </is>
      </c>
      <c r="G6524" t="inlineStr">
        <is>
          <t>STORFORS</t>
        </is>
      </c>
      <c r="H6524" t="inlineStr">
        <is>
          <t>Bergvik skog väst AB</t>
        </is>
      </c>
      <c r="I6524" t="n">
        <v>1.2</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41895-2023</t>
        </is>
      </c>
      <c r="B6525" t="inlineStr">
        <is>
          <t>avverkningsanmälan</t>
        </is>
      </c>
      <c r="C6525" t="inlineStr">
        <is>
          <t>Föryngringsavverkning</t>
        </is>
      </c>
      <c r="D6525" s="1" t="n">
        <v>45176</v>
      </c>
      <c r="E6525" s="1" t="n">
        <v>46307</v>
      </c>
      <c r="F6525" t="inlineStr">
        <is>
          <t>VÄRMLANDS LÄN</t>
        </is>
      </c>
      <c r="G6525" t="inlineStr">
        <is>
          <t>HAMMARÖ</t>
        </is>
      </c>
      <c r="H6525" t="inlineStr">
        <is>
          <t>Övriga Aktiebolag</t>
        </is>
      </c>
      <c r="I6525" t="n">
        <v>0.6</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56714-2022</t>
        </is>
      </c>
      <c r="B6526" t="inlineStr">
        <is>
          <t>avverkningsanmälan</t>
        </is>
      </c>
      <c r="C6526" t="inlineStr">
        <is>
          <t>Föryngringsavverkning</t>
        </is>
      </c>
      <c r="D6526" s="1" t="n">
        <v>44893</v>
      </c>
      <c r="E6526" s="1" t="n">
        <v>46307</v>
      </c>
      <c r="F6526" t="inlineStr">
        <is>
          <t>VÄRMLANDS LÄN</t>
        </is>
      </c>
      <c r="G6526" t="inlineStr">
        <is>
          <t>ARVIKA</t>
        </is>
      </c>
      <c r="I6526" t="n">
        <v>4.1</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57446-2025</t>
        </is>
      </c>
      <c r="B6527" t="inlineStr">
        <is>
          <t>avverkningsanmälan</t>
        </is>
      </c>
      <c r="C6527" t="inlineStr">
        <is>
          <t>Föryngringsavverkning</t>
        </is>
      </c>
      <c r="D6527" s="1" t="n">
        <v>45980</v>
      </c>
      <c r="E6527" s="1" t="n">
        <v>46307</v>
      </c>
      <c r="F6527" t="inlineStr">
        <is>
          <t>VÄRMLANDS LÄN</t>
        </is>
      </c>
      <c r="G6527" t="inlineStr">
        <is>
          <t>TORSBY</t>
        </is>
      </c>
      <c r="I6527" t="n">
        <v>1.8</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57460-2025</t>
        </is>
      </c>
      <c r="B6528" t="inlineStr">
        <is>
          <t>avverkningsanmälan</t>
        </is>
      </c>
      <c r="C6528" t="inlineStr">
        <is>
          <t>Föryngringsavverkning</t>
        </is>
      </c>
      <c r="D6528" s="1" t="n">
        <v>45980</v>
      </c>
      <c r="E6528" s="1" t="n">
        <v>46307</v>
      </c>
      <c r="F6528" t="inlineStr">
        <is>
          <t>VÄRMLANDS LÄN</t>
        </is>
      </c>
      <c r="G6528" t="inlineStr">
        <is>
          <t>HAGFORS</t>
        </is>
      </c>
      <c r="H6528" t="inlineStr">
        <is>
          <t>Kyrkan</t>
        </is>
      </c>
      <c r="I6528" t="n">
        <v>3.2</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51895-2022</t>
        </is>
      </c>
      <c r="B6529" t="inlineStr">
        <is>
          <t>avverkningsanmälan</t>
        </is>
      </c>
      <c r="C6529" t="inlineStr">
        <is>
          <t>Föryngringsavverkning</t>
        </is>
      </c>
      <c r="D6529" s="1" t="n">
        <v>44872</v>
      </c>
      <c r="E6529" s="1" t="n">
        <v>46307</v>
      </c>
      <c r="F6529" t="inlineStr">
        <is>
          <t>VÄRMLANDS LÄN</t>
        </is>
      </c>
      <c r="G6529" t="inlineStr">
        <is>
          <t>ÅRJÄNG</t>
        </is>
      </c>
      <c r="H6529" t="inlineStr">
        <is>
          <t>Kyrkan</t>
        </is>
      </c>
      <c r="I6529" t="n">
        <v>3.1</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36642-2025</t>
        </is>
      </c>
      <c r="B6530" t="inlineStr">
        <is>
          <t>avverkningsanmälan</t>
        </is>
      </c>
      <c r="C6530" t="inlineStr">
        <is>
          <t>Föryngringsavverkning</t>
        </is>
      </c>
      <c r="D6530" s="1" t="n">
        <v>45871</v>
      </c>
      <c r="E6530" s="1" t="n">
        <v>46307</v>
      </c>
      <c r="F6530" t="inlineStr">
        <is>
          <t>VÄRMLANDS LÄN</t>
        </is>
      </c>
      <c r="G6530" t="inlineStr">
        <is>
          <t>SÄFFLE</t>
        </is>
      </c>
      <c r="I6530" t="n">
        <v>1</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16358-2023</t>
        </is>
      </c>
      <c r="B6531" t="inlineStr">
        <is>
          <t>avverkningsanmälan</t>
        </is>
      </c>
      <c r="C6531" t="inlineStr">
        <is>
          <t>Föryngringsavverkning</t>
        </is>
      </c>
      <c r="D6531" s="1" t="n">
        <v>45028</v>
      </c>
      <c r="E6531" s="1" t="n">
        <v>46307</v>
      </c>
      <c r="F6531" t="inlineStr">
        <is>
          <t>VÄRMLANDS LÄN</t>
        </is>
      </c>
      <c r="G6531" t="inlineStr">
        <is>
          <t>SUNNE</t>
        </is>
      </c>
      <c r="I6531" t="n">
        <v>0.6</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57172-2022</t>
        </is>
      </c>
      <c r="B6532" t="inlineStr">
        <is>
          <t>avverkningsanmälan</t>
        </is>
      </c>
      <c r="C6532" t="inlineStr">
        <is>
          <t>Föryngringsavverkning</t>
        </is>
      </c>
      <c r="D6532" s="1" t="n">
        <v>44895</v>
      </c>
      <c r="E6532" s="1" t="n">
        <v>46307</v>
      </c>
      <c r="F6532" t="inlineStr">
        <is>
          <t>VÄRMLANDS LÄN</t>
        </is>
      </c>
      <c r="G6532" t="inlineStr">
        <is>
          <t>TORSBY</t>
        </is>
      </c>
      <c r="I6532" t="n">
        <v>3.8</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14626-2025</t>
        </is>
      </c>
      <c r="B6533" t="inlineStr">
        <is>
          <t>avverkningsanmälan</t>
        </is>
      </c>
      <c r="C6533" t="inlineStr">
        <is>
          <t>Föryngringsavverkning</t>
        </is>
      </c>
      <c r="D6533" s="1" t="n">
        <v>45742</v>
      </c>
      <c r="E6533" s="1" t="n">
        <v>46307</v>
      </c>
      <c r="F6533" t="inlineStr">
        <is>
          <t>VÄRMLANDS LÄN</t>
        </is>
      </c>
      <c r="G6533" t="inlineStr">
        <is>
          <t>ARVIKA</t>
        </is>
      </c>
      <c r="I6533" t="n">
        <v>14.9</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19586-2025</t>
        </is>
      </c>
      <c r="B6534" t="inlineStr">
        <is>
          <t>avverkningsanmälan</t>
        </is>
      </c>
      <c r="C6534" t="inlineStr">
        <is>
          <t>Föryngringsavverkning</t>
        </is>
      </c>
      <c r="D6534" s="1" t="n">
        <v>45770</v>
      </c>
      <c r="E6534" s="1" t="n">
        <v>46307</v>
      </c>
      <c r="F6534" t="inlineStr">
        <is>
          <t>VÄRMLANDS LÄN</t>
        </is>
      </c>
      <c r="G6534" t="inlineStr">
        <is>
          <t>ARVIKA</t>
        </is>
      </c>
      <c r="I6534" t="n">
        <v>4</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42388-2022</t>
        </is>
      </c>
      <c r="B6535" t="inlineStr">
        <is>
          <t>avverkningsanmälan</t>
        </is>
      </c>
      <c r="C6535" t="inlineStr">
        <is>
          <t>Föryngringsavverkning</t>
        </is>
      </c>
      <c r="D6535" s="1" t="n">
        <v>44831</v>
      </c>
      <c r="E6535" s="1" t="n">
        <v>46307</v>
      </c>
      <c r="F6535" t="inlineStr">
        <is>
          <t>VÄRMLANDS LÄN</t>
        </is>
      </c>
      <c r="G6535" t="inlineStr">
        <is>
          <t>SUNNE</t>
        </is>
      </c>
      <c r="I6535" t="n">
        <v>2.9</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19591-2025</t>
        </is>
      </c>
      <c r="B6536" t="inlineStr">
        <is>
          <t>avverkningsanmälan</t>
        </is>
      </c>
      <c r="C6536" t="inlineStr">
        <is>
          <t>Föryngringsavverkning</t>
        </is>
      </c>
      <c r="D6536" s="1" t="n">
        <v>45770</v>
      </c>
      <c r="E6536" s="1" t="n">
        <v>46307</v>
      </c>
      <c r="F6536" t="inlineStr">
        <is>
          <t>VÄRMLANDS LÄN</t>
        </is>
      </c>
      <c r="G6536" t="inlineStr">
        <is>
          <t>ARVIKA</t>
        </is>
      </c>
      <c r="I6536" t="n">
        <v>2.4</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41843-2023</t>
        </is>
      </c>
      <c r="B6537" t="inlineStr">
        <is>
          <t>avverkningsanmälan</t>
        </is>
      </c>
      <c r="C6537" t="inlineStr">
        <is>
          <t>Föryngringsavverkning</t>
        </is>
      </c>
      <c r="D6537" s="1" t="n">
        <v>45176</v>
      </c>
      <c r="E6537" s="1" t="n">
        <v>46307</v>
      </c>
      <c r="F6537" t="inlineStr">
        <is>
          <t>VÄRMLANDS LÄN</t>
        </is>
      </c>
      <c r="G6537" t="inlineStr">
        <is>
          <t>TORSBY</t>
        </is>
      </c>
      <c r="I6537" t="n">
        <v>2.2</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41857-2023</t>
        </is>
      </c>
      <c r="B6538" t="inlineStr">
        <is>
          <t>avverkningsanmälan</t>
        </is>
      </c>
      <c r="C6538" t="inlineStr">
        <is>
          <t>Avverkning för annat ändamål</t>
        </is>
      </c>
      <c r="D6538" s="1" t="n">
        <v>45176</v>
      </c>
      <c r="E6538" s="1" t="n">
        <v>46307</v>
      </c>
      <c r="F6538" t="inlineStr">
        <is>
          <t>VÄRMLANDS LÄN</t>
        </is>
      </c>
      <c r="G6538" t="inlineStr">
        <is>
          <t>KRISTINEHAMN</t>
        </is>
      </c>
      <c r="H6538" t="inlineStr">
        <is>
          <t>Naturvårdsverket</t>
        </is>
      </c>
      <c r="I6538" t="n">
        <v>1.8</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52187-2023</t>
        </is>
      </c>
      <c r="B6539" t="inlineStr">
        <is>
          <t>avverkningsanmälan</t>
        </is>
      </c>
      <c r="C6539" t="inlineStr">
        <is>
          <t>Föryngringsavverkning</t>
        </is>
      </c>
      <c r="D6539" s="1" t="n">
        <v>45224</v>
      </c>
      <c r="E6539" s="1" t="n">
        <v>46307</v>
      </c>
      <c r="F6539" t="inlineStr">
        <is>
          <t>VÄRMLANDS LÄN</t>
        </is>
      </c>
      <c r="G6539" t="inlineStr">
        <is>
          <t>EDA</t>
        </is>
      </c>
      <c r="I6539" t="n">
        <v>1.5</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51915-2023</t>
        </is>
      </c>
      <c r="B6540" t="inlineStr">
        <is>
          <t>avverkningsanmälan</t>
        </is>
      </c>
      <c r="C6540" t="inlineStr">
        <is>
          <t>Föryngringsavverkning</t>
        </is>
      </c>
      <c r="D6540" s="1" t="n">
        <v>45223</v>
      </c>
      <c r="E6540" s="1" t="n">
        <v>46307</v>
      </c>
      <c r="F6540" t="inlineStr">
        <is>
          <t>VÄRMLANDS LÄN</t>
        </is>
      </c>
      <c r="G6540" t="inlineStr">
        <is>
          <t>HAGFORS</t>
        </is>
      </c>
      <c r="H6540" t="inlineStr">
        <is>
          <t>Bergvik skog väst AB</t>
        </is>
      </c>
      <c r="I6540" t="n">
        <v>3</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57198-2025</t>
        </is>
      </c>
      <c r="B6541" t="inlineStr">
        <is>
          <t>avverkningsanmälan</t>
        </is>
      </c>
      <c r="C6541" t="inlineStr">
        <is>
          <t>Föryngringsavverkning</t>
        </is>
      </c>
      <c r="D6541" s="1" t="n">
        <v>45979</v>
      </c>
      <c r="E6541" s="1" t="n">
        <v>46307</v>
      </c>
      <c r="F6541" t="inlineStr">
        <is>
          <t>VÄRMLANDS LÄN</t>
        </is>
      </c>
      <c r="G6541" t="inlineStr">
        <is>
          <t>HAGFORS</t>
        </is>
      </c>
      <c r="H6541" t="inlineStr">
        <is>
          <t>Bergvik skog väst AB</t>
        </is>
      </c>
      <c r="I6541" t="n">
        <v>1.1</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52278-2023</t>
        </is>
      </c>
      <c r="B6542" t="inlineStr">
        <is>
          <t>avverkningsanmälan</t>
        </is>
      </c>
      <c r="C6542" t="inlineStr">
        <is>
          <t>Föryngringsavverkning</t>
        </is>
      </c>
      <c r="D6542" s="1" t="n">
        <v>45224</v>
      </c>
      <c r="E6542" s="1" t="n">
        <v>46307</v>
      </c>
      <c r="F6542" t="inlineStr">
        <is>
          <t>VÄRMLANDS LÄN</t>
        </is>
      </c>
      <c r="G6542" t="inlineStr">
        <is>
          <t>ÅRJÄNG</t>
        </is>
      </c>
      <c r="I6542" t="n">
        <v>3.1</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44694-2022</t>
        </is>
      </c>
      <c r="B6543" t="inlineStr">
        <is>
          <t>avverkningsanmälan</t>
        </is>
      </c>
      <c r="C6543" t="inlineStr">
        <is>
          <t>Föryngringsavverkning</t>
        </is>
      </c>
      <c r="D6543" s="1" t="n">
        <v>44840</v>
      </c>
      <c r="E6543" s="1" t="n">
        <v>46307</v>
      </c>
      <c r="F6543" t="inlineStr">
        <is>
          <t>VÄRMLANDS LÄN</t>
        </is>
      </c>
      <c r="G6543" t="inlineStr">
        <is>
          <t>EDA</t>
        </is>
      </c>
      <c r="I6543" t="n">
        <v>1.1</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44708-2022</t>
        </is>
      </c>
      <c r="B6544" t="inlineStr">
        <is>
          <t>avverkningsanmälan</t>
        </is>
      </c>
      <c r="C6544" t="inlineStr">
        <is>
          <t>Föryngringsavverkning</t>
        </is>
      </c>
      <c r="D6544" s="1" t="n">
        <v>44840</v>
      </c>
      <c r="E6544" s="1" t="n">
        <v>46307</v>
      </c>
      <c r="F6544" t="inlineStr">
        <is>
          <t>VÄRMLANDS LÄN</t>
        </is>
      </c>
      <c r="G6544" t="inlineStr">
        <is>
          <t>TORSBY</t>
        </is>
      </c>
      <c r="I6544" t="n">
        <v>2.4</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4495-2025</t>
        </is>
      </c>
      <c r="B6545" t="inlineStr">
        <is>
          <t>avverkningsanmälan</t>
        </is>
      </c>
      <c r="C6545" t="inlineStr">
        <is>
          <t>Föryngringsavverkning</t>
        </is>
      </c>
      <c r="D6545" s="1" t="n">
        <v>45686</v>
      </c>
      <c r="E6545" s="1" t="n">
        <v>46307</v>
      </c>
      <c r="F6545" t="inlineStr">
        <is>
          <t>VÄRMLANDS LÄN</t>
        </is>
      </c>
      <c r="G6545" t="inlineStr">
        <is>
          <t>KRISTINEHAMN</t>
        </is>
      </c>
      <c r="I6545" t="n">
        <v>7</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19527-2023</t>
        </is>
      </c>
      <c r="B6546" t="inlineStr">
        <is>
          <t>avverkningsanmälan</t>
        </is>
      </c>
      <c r="C6546" t="inlineStr">
        <is>
          <t>Föryngringsavverkning</t>
        </is>
      </c>
      <c r="D6546" s="1" t="n">
        <v>45050</v>
      </c>
      <c r="E6546" s="1" t="n">
        <v>46307</v>
      </c>
      <c r="F6546" t="inlineStr">
        <is>
          <t>VÄRMLANDS LÄN</t>
        </is>
      </c>
      <c r="G6546" t="inlineStr">
        <is>
          <t>TORSBY</t>
        </is>
      </c>
      <c r="I6546" t="n">
        <v>1.9</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1834-2023</t>
        </is>
      </c>
      <c r="B6547" t="inlineStr">
        <is>
          <t>avverkningsanmälan</t>
        </is>
      </c>
      <c r="C6547" t="inlineStr">
        <is>
          <t>Föryngringsavverkning</t>
        </is>
      </c>
      <c r="D6547" s="1" t="n">
        <v>44938</v>
      </c>
      <c r="E6547" s="1" t="n">
        <v>46307</v>
      </c>
      <c r="F6547" t="inlineStr">
        <is>
          <t>VÄRMLANDS LÄN</t>
        </is>
      </c>
      <c r="G6547" t="inlineStr">
        <is>
          <t>SÄFFLE</t>
        </is>
      </c>
      <c r="I6547" t="n">
        <v>10.7</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57346-2025</t>
        </is>
      </c>
      <c r="B6548" t="inlineStr">
        <is>
          <t>avverkningsanmälan</t>
        </is>
      </c>
      <c r="C6548" t="inlineStr">
        <is>
          <t>Föryngringsavverkning</t>
        </is>
      </c>
      <c r="D6548" s="1" t="n">
        <v>45980</v>
      </c>
      <c r="E6548" s="1" t="n">
        <v>46307</v>
      </c>
      <c r="F6548" t="inlineStr">
        <is>
          <t>VÄRMLANDS LÄN</t>
        </is>
      </c>
      <c r="G6548" t="inlineStr">
        <is>
          <t>SÄFFLE</t>
        </is>
      </c>
      <c r="I6548" t="n">
        <v>3.2</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1512-2025</t>
        </is>
      </c>
      <c r="B6549" t="inlineStr">
        <is>
          <t>avverkningsanmälan</t>
        </is>
      </c>
      <c r="C6549" t="inlineStr">
        <is>
          <t>Föryngringsavverkning</t>
        </is>
      </c>
      <c r="D6549" s="1" t="n">
        <v>45670</v>
      </c>
      <c r="E6549" s="1" t="n">
        <v>46307</v>
      </c>
      <c r="F6549" t="inlineStr">
        <is>
          <t>VÄRMLANDS LÄN</t>
        </is>
      </c>
      <c r="G6549" t="inlineStr">
        <is>
          <t>TORSBY</t>
        </is>
      </c>
      <c r="I6549" t="n">
        <v>2.7</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36751-2025</t>
        </is>
      </c>
      <c r="B6550" t="inlineStr">
        <is>
          <t>avverkningsanmälan</t>
        </is>
      </c>
      <c r="C6550" t="inlineStr">
        <is>
          <t>Föryngringsavverkning</t>
        </is>
      </c>
      <c r="D6550" s="1" t="n">
        <v>45873</v>
      </c>
      <c r="E6550" s="1" t="n">
        <v>46307</v>
      </c>
      <c r="F6550" t="inlineStr">
        <is>
          <t>VÄRMLANDS LÄN</t>
        </is>
      </c>
      <c r="G6550" t="inlineStr">
        <is>
          <t>ÅRJÄNG</t>
        </is>
      </c>
      <c r="I6550" t="n">
        <v>1.7</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48108-2023</t>
        </is>
      </c>
      <c r="B6551" t="inlineStr">
        <is>
          <t>avverkningsanmälan</t>
        </is>
      </c>
      <c r="C6551" t="inlineStr">
        <is>
          <t>Föryngringsavverkning</t>
        </is>
      </c>
      <c r="D6551" s="1" t="n">
        <v>45205</v>
      </c>
      <c r="E6551" s="1" t="n">
        <v>46307</v>
      </c>
      <c r="F6551" t="inlineStr">
        <is>
          <t>VÄRMLANDS LÄN</t>
        </is>
      </c>
      <c r="G6551" t="inlineStr">
        <is>
          <t>SUNNE</t>
        </is>
      </c>
      <c r="I6551" t="n">
        <v>0.8</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48130-2023</t>
        </is>
      </c>
      <c r="B6552" t="inlineStr">
        <is>
          <t>avverkningsanmälan</t>
        </is>
      </c>
      <c r="C6552" t="inlineStr">
        <is>
          <t>Föryngringsavverkning</t>
        </is>
      </c>
      <c r="D6552" s="1" t="n">
        <v>45201</v>
      </c>
      <c r="E6552" s="1" t="n">
        <v>46307</v>
      </c>
      <c r="F6552" t="inlineStr">
        <is>
          <t>VÄRMLANDS LÄN</t>
        </is>
      </c>
      <c r="G6552" t="inlineStr">
        <is>
          <t>ÅRJÄNG</t>
        </is>
      </c>
      <c r="I6552" t="n">
        <v>3</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57003-2025</t>
        </is>
      </c>
      <c r="B6553" t="inlineStr">
        <is>
          <t>avverkningsanmälan</t>
        </is>
      </c>
      <c r="C6553" t="inlineStr">
        <is>
          <t>Föryngringsavverkning</t>
        </is>
      </c>
      <c r="D6553" s="1" t="n">
        <v>45978</v>
      </c>
      <c r="E6553" s="1" t="n">
        <v>46307</v>
      </c>
      <c r="F6553" t="inlineStr">
        <is>
          <t>VÄRMLANDS LÄN</t>
        </is>
      </c>
      <c r="G6553" t="inlineStr">
        <is>
          <t>ÅRJÄNG</t>
        </is>
      </c>
      <c r="I6553" t="n">
        <v>3</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51778-2022</t>
        </is>
      </c>
      <c r="B6554" t="inlineStr">
        <is>
          <t>avverkningsanmälan</t>
        </is>
      </c>
      <c r="C6554" t="inlineStr">
        <is>
          <t>Föryngringsavverkning</t>
        </is>
      </c>
      <c r="D6554" s="1" t="n">
        <v>44872</v>
      </c>
      <c r="E6554" s="1" t="n">
        <v>46307</v>
      </c>
      <c r="F6554" t="inlineStr">
        <is>
          <t>VÄRMLANDS LÄN</t>
        </is>
      </c>
      <c r="G6554" t="inlineStr">
        <is>
          <t>EDA</t>
        </is>
      </c>
      <c r="I6554" t="n">
        <v>1.9</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12271-2025</t>
        </is>
      </c>
      <c r="B6555" t="inlineStr">
        <is>
          <t>avverkningsanmälan</t>
        </is>
      </c>
      <c r="C6555" t="inlineStr">
        <is>
          <t>Föryngringsavverkning</t>
        </is>
      </c>
      <c r="D6555" s="1" t="n">
        <v>45729</v>
      </c>
      <c r="E6555" s="1" t="n">
        <v>46307</v>
      </c>
      <c r="F6555" t="inlineStr">
        <is>
          <t>VÄRMLANDS LÄN</t>
        </is>
      </c>
      <c r="G6555" t="inlineStr">
        <is>
          <t>SUNNE</t>
        </is>
      </c>
      <c r="I6555" t="n">
        <v>2</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40001-2023</t>
        </is>
      </c>
      <c r="B6556" t="inlineStr">
        <is>
          <t>avverkningsanmälan</t>
        </is>
      </c>
      <c r="C6556" t="inlineStr">
        <is>
          <t>Föryngringsavverkning</t>
        </is>
      </c>
      <c r="D6556" s="1" t="n">
        <v>45168</v>
      </c>
      <c r="E6556" s="1" t="n">
        <v>46307</v>
      </c>
      <c r="F6556" t="inlineStr">
        <is>
          <t>VÄRMLANDS LÄN</t>
        </is>
      </c>
      <c r="G6556" t="inlineStr">
        <is>
          <t>KARLSTAD</t>
        </is>
      </c>
      <c r="I6556" t="n">
        <v>1.1</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36822-2025</t>
        </is>
      </c>
      <c r="B6557" t="inlineStr">
        <is>
          <t>avverkningsanmälan</t>
        </is>
      </c>
      <c r="C6557" t="inlineStr">
        <is>
          <t>Föryngringsavverkning</t>
        </is>
      </c>
      <c r="D6557" s="1" t="n">
        <v>45873</v>
      </c>
      <c r="E6557" s="1" t="n">
        <v>46307</v>
      </c>
      <c r="F6557" t="inlineStr">
        <is>
          <t>VÄRMLANDS LÄN</t>
        </is>
      </c>
      <c r="G6557" t="inlineStr">
        <is>
          <t>SUNNE</t>
        </is>
      </c>
      <c r="I6557" t="n">
        <v>1.6</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36827-2025</t>
        </is>
      </c>
      <c r="B6558" t="inlineStr">
        <is>
          <t>avverkningsanmälan</t>
        </is>
      </c>
      <c r="C6558" t="inlineStr">
        <is>
          <t>Föryngringsavverkning</t>
        </is>
      </c>
      <c r="D6558" s="1" t="n">
        <v>45874</v>
      </c>
      <c r="E6558" s="1" t="n">
        <v>46307</v>
      </c>
      <c r="F6558" t="inlineStr">
        <is>
          <t>VÄRMLANDS LÄN</t>
        </is>
      </c>
      <c r="G6558" t="inlineStr">
        <is>
          <t>ÅRJÄNG</t>
        </is>
      </c>
      <c r="I6558" t="n">
        <v>0.7</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17635-2022</t>
        </is>
      </c>
      <c r="B6559" t="inlineStr">
        <is>
          <t>avverkningsanmälan</t>
        </is>
      </c>
      <c r="C6559" t="inlineStr">
        <is>
          <t>Föryngringsavverkning</t>
        </is>
      </c>
      <c r="D6559" s="1" t="n">
        <v>44680</v>
      </c>
      <c r="E6559" s="1" t="n">
        <v>46307</v>
      </c>
      <c r="F6559" t="inlineStr">
        <is>
          <t>VÄRMLANDS LÄN</t>
        </is>
      </c>
      <c r="G6559" t="inlineStr">
        <is>
          <t>KIL</t>
        </is>
      </c>
      <c r="I6559" t="n">
        <v>0.9</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36780-2025</t>
        </is>
      </c>
      <c r="B6560" t="inlineStr">
        <is>
          <t>avverkningsanmälan</t>
        </is>
      </c>
      <c r="C6560" t="inlineStr">
        <is>
          <t>Föryngringsavverkning</t>
        </is>
      </c>
      <c r="D6560" s="1" t="n">
        <v>45873</v>
      </c>
      <c r="E6560" s="1" t="n">
        <v>46307</v>
      </c>
      <c r="F6560" t="inlineStr">
        <is>
          <t>VÄRMLANDS LÄN</t>
        </is>
      </c>
      <c r="G6560" t="inlineStr">
        <is>
          <t>ÅRJÄNG</t>
        </is>
      </c>
      <c r="I6560" t="n">
        <v>0.7</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36831-2025</t>
        </is>
      </c>
      <c r="B6561" t="inlineStr">
        <is>
          <t>avverkningsanmälan</t>
        </is>
      </c>
      <c r="C6561" t="inlineStr">
        <is>
          <t>Föryngringsavverkning</t>
        </is>
      </c>
      <c r="D6561" s="1" t="n">
        <v>45874</v>
      </c>
      <c r="E6561" s="1" t="n">
        <v>46307</v>
      </c>
      <c r="F6561" t="inlineStr">
        <is>
          <t>VÄRMLANDS LÄN</t>
        </is>
      </c>
      <c r="G6561" t="inlineStr">
        <is>
          <t>ÅRJÄNG</t>
        </is>
      </c>
      <c r="I6561" t="n">
        <v>1.7</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20319-2025</t>
        </is>
      </c>
      <c r="B6562" t="inlineStr">
        <is>
          <t>avverkningsanmälan</t>
        </is>
      </c>
      <c r="C6562" t="inlineStr">
        <is>
          <t>Föryngringsavverkning</t>
        </is>
      </c>
      <c r="D6562" s="1" t="n">
        <v>45775</v>
      </c>
      <c r="E6562" s="1" t="n">
        <v>46307</v>
      </c>
      <c r="F6562" t="inlineStr">
        <is>
          <t>VÄRMLANDS LÄN</t>
        </is>
      </c>
      <c r="G6562" t="inlineStr">
        <is>
          <t>ARVIKA</t>
        </is>
      </c>
      <c r="H6562" t="inlineStr">
        <is>
          <t>Bergvik skog väst AB</t>
        </is>
      </c>
      <c r="I6562" t="n">
        <v>2.9</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20322-2025</t>
        </is>
      </c>
      <c r="B6563" t="inlineStr">
        <is>
          <t>avverkningsanmälan</t>
        </is>
      </c>
      <c r="C6563" t="inlineStr">
        <is>
          <t>Avverkning för annat ändamål</t>
        </is>
      </c>
      <c r="D6563" s="1" t="n">
        <v>45775</v>
      </c>
      <c r="E6563" s="1" t="n">
        <v>46307</v>
      </c>
      <c r="F6563" t="inlineStr">
        <is>
          <t>VÄRMLANDS LÄN</t>
        </is>
      </c>
      <c r="G6563" t="inlineStr">
        <is>
          <t>SÄFFLE</t>
        </is>
      </c>
      <c r="I6563" t="n">
        <v>5</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36865-2025</t>
        </is>
      </c>
      <c r="B6564" t="inlineStr">
        <is>
          <t>avverkningsanmälan</t>
        </is>
      </c>
      <c r="C6564" t="inlineStr">
        <is>
          <t>Föryngringsavverkning</t>
        </is>
      </c>
      <c r="D6564" s="1" t="n">
        <v>45874</v>
      </c>
      <c r="E6564" s="1" t="n">
        <v>46307</v>
      </c>
      <c r="F6564" t="inlineStr">
        <is>
          <t>VÄRMLANDS LÄN</t>
        </is>
      </c>
      <c r="G6564" t="inlineStr">
        <is>
          <t>ÅRJÄNG</t>
        </is>
      </c>
      <c r="I6564" t="n">
        <v>1.6</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29269-2025</t>
        </is>
      </c>
      <c r="B6565" t="inlineStr">
        <is>
          <t>avverkningsanmälan</t>
        </is>
      </c>
      <c r="C6565" t="inlineStr">
        <is>
          <t>Föryngringsavverkning</t>
        </is>
      </c>
      <c r="D6565" s="1" t="n">
        <v>45824</v>
      </c>
      <c r="E6565" s="1" t="n">
        <v>46307</v>
      </c>
      <c r="F6565" t="inlineStr">
        <is>
          <t>VÄRMLANDS LÄN</t>
        </is>
      </c>
      <c r="G6565" t="inlineStr">
        <is>
          <t>HAGFORS</t>
        </is>
      </c>
      <c r="H6565" t="inlineStr">
        <is>
          <t>Bergvik skog väst AB</t>
        </is>
      </c>
      <c r="I6565" t="n">
        <v>26.5</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5256-2023</t>
        </is>
      </c>
      <c r="B6566" t="inlineStr">
        <is>
          <t>avverkningsanmälan</t>
        </is>
      </c>
      <c r="C6566" t="inlineStr">
        <is>
          <t>Föryngringsavverkning</t>
        </is>
      </c>
      <c r="D6566" s="1" t="n">
        <v>44959</v>
      </c>
      <c r="E6566" s="1" t="n">
        <v>46307</v>
      </c>
      <c r="F6566" t="inlineStr">
        <is>
          <t>VÄRMLANDS LÄN</t>
        </is>
      </c>
      <c r="G6566" t="inlineStr">
        <is>
          <t>ÅRJÄNG</t>
        </is>
      </c>
      <c r="I6566" t="n">
        <v>1.7</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30132-2022</t>
        </is>
      </c>
      <c r="B6567" t="inlineStr">
        <is>
          <t>avverkningsanmälan</t>
        </is>
      </c>
      <c r="C6567" t="inlineStr">
        <is>
          <t>Föryngringsavverkning</t>
        </is>
      </c>
      <c r="D6567" s="1" t="n">
        <v>44757</v>
      </c>
      <c r="E6567" s="1" t="n">
        <v>46307</v>
      </c>
      <c r="F6567" t="inlineStr">
        <is>
          <t>VÄRMLANDS LÄN</t>
        </is>
      </c>
      <c r="G6567" t="inlineStr">
        <is>
          <t>SUNNE</t>
        </is>
      </c>
      <c r="I6567" t="n">
        <v>0.7</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18244-2023</t>
        </is>
      </c>
      <c r="B6568" t="inlineStr">
        <is>
          <t>avverkningsanmälan</t>
        </is>
      </c>
      <c r="C6568" t="inlineStr">
        <is>
          <t>Föryngringsavverkning</t>
        </is>
      </c>
      <c r="D6568" s="1" t="n">
        <v>45041</v>
      </c>
      <c r="E6568" s="1" t="n">
        <v>46307</v>
      </c>
      <c r="F6568" t="inlineStr">
        <is>
          <t>VÄRMLANDS LÄN</t>
        </is>
      </c>
      <c r="G6568" t="inlineStr">
        <is>
          <t>TORSBY</t>
        </is>
      </c>
      <c r="I6568" t="n">
        <v>0.6</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8918-2025</t>
        </is>
      </c>
      <c r="B6569" t="inlineStr">
        <is>
          <t>avverkningsanmälan</t>
        </is>
      </c>
      <c r="C6569" t="inlineStr">
        <is>
          <t>Föryngringsavverkning</t>
        </is>
      </c>
      <c r="D6569" s="1" t="n">
        <v>45713</v>
      </c>
      <c r="E6569" s="1" t="n">
        <v>46307</v>
      </c>
      <c r="F6569" t="inlineStr">
        <is>
          <t>VÄRMLANDS LÄN</t>
        </is>
      </c>
      <c r="G6569" t="inlineStr">
        <is>
          <t>ÅRJÄNG</t>
        </is>
      </c>
      <c r="I6569" t="n">
        <v>1.7</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5787-2025</t>
        </is>
      </c>
      <c r="B6570" t="inlineStr">
        <is>
          <t>avverkningsanmälan</t>
        </is>
      </c>
      <c r="C6570" t="inlineStr">
        <is>
          <t>Föryngringsavverkning</t>
        </is>
      </c>
      <c r="D6570" s="1" t="n">
        <v>45694</v>
      </c>
      <c r="E6570" s="1" t="n">
        <v>46307</v>
      </c>
      <c r="F6570" t="inlineStr">
        <is>
          <t>VÄRMLANDS LÄN</t>
        </is>
      </c>
      <c r="G6570" t="inlineStr">
        <is>
          <t>SUNNE</t>
        </is>
      </c>
      <c r="I6570" t="n">
        <v>0.6</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37029-2025</t>
        </is>
      </c>
      <c r="B6571" t="inlineStr">
        <is>
          <t>avverkningsanmälan</t>
        </is>
      </c>
      <c r="C6571" t="inlineStr">
        <is>
          <t>Föryngringsavverkning</t>
        </is>
      </c>
      <c r="D6571" s="1" t="n">
        <v>45874</v>
      </c>
      <c r="E6571" s="1" t="n">
        <v>46307</v>
      </c>
      <c r="F6571" t="inlineStr">
        <is>
          <t>VÄRMLANDS LÄN</t>
        </is>
      </c>
      <c r="G6571" t="inlineStr">
        <is>
          <t>ARVIKA</t>
        </is>
      </c>
      <c r="I6571" t="n">
        <v>0.9</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57137-2025</t>
        </is>
      </c>
      <c r="B6572" t="inlineStr">
        <is>
          <t>avverkningsanmälan</t>
        </is>
      </c>
      <c r="C6572" t="inlineStr">
        <is>
          <t>Föryngringsavverkning</t>
        </is>
      </c>
      <c r="D6572" s="1" t="n">
        <v>45979</v>
      </c>
      <c r="E6572" s="1" t="n">
        <v>46307</v>
      </c>
      <c r="F6572" t="inlineStr">
        <is>
          <t>VÄRMLANDS LÄN</t>
        </is>
      </c>
      <c r="G6572" t="inlineStr">
        <is>
          <t>TORSBY</t>
        </is>
      </c>
      <c r="H6572" t="inlineStr">
        <is>
          <t>Övriga statliga verk och myndigheter</t>
        </is>
      </c>
      <c r="I6572" t="n">
        <v>0.8</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57485-2025</t>
        </is>
      </c>
      <c r="B6573" t="inlineStr">
        <is>
          <t>avverkningsanmälan</t>
        </is>
      </c>
      <c r="C6573" t="inlineStr">
        <is>
          <t>Föryngringsavverkning</t>
        </is>
      </c>
      <c r="D6573" s="1" t="n">
        <v>45980</v>
      </c>
      <c r="E6573" s="1" t="n">
        <v>46307</v>
      </c>
      <c r="F6573" t="inlineStr">
        <is>
          <t>VÄRMLANDS LÄN</t>
        </is>
      </c>
      <c r="G6573" t="inlineStr">
        <is>
          <t>ARVIKA</t>
        </is>
      </c>
      <c r="I6573" t="n">
        <v>3.4</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57004-2025</t>
        </is>
      </c>
      <c r="B6574" t="inlineStr">
        <is>
          <t>avverkningsanmälan</t>
        </is>
      </c>
      <c r="C6574" t="inlineStr">
        <is>
          <t>Föryngringsavverkning</t>
        </is>
      </c>
      <c r="D6574" s="1" t="n">
        <v>45978</v>
      </c>
      <c r="E6574" s="1" t="n">
        <v>46307</v>
      </c>
      <c r="F6574" t="inlineStr">
        <is>
          <t>VÄRMLANDS LÄN</t>
        </is>
      </c>
      <c r="G6574" t="inlineStr">
        <is>
          <t>ÅRJÄNG</t>
        </is>
      </c>
      <c r="I6574" t="n">
        <v>2.2</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57005-2025</t>
        </is>
      </c>
      <c r="B6575" t="inlineStr">
        <is>
          <t>avverkningsanmälan</t>
        </is>
      </c>
      <c r="C6575" t="inlineStr">
        <is>
          <t>Föryngringsavverkning</t>
        </is>
      </c>
      <c r="D6575" s="1" t="n">
        <v>45978</v>
      </c>
      <c r="E6575" s="1" t="n">
        <v>46307</v>
      </c>
      <c r="F6575" t="inlineStr">
        <is>
          <t>VÄRMLANDS LÄN</t>
        </is>
      </c>
      <c r="G6575" t="inlineStr">
        <is>
          <t>ÅRJÄNG</t>
        </is>
      </c>
      <c r="I6575" t="n">
        <v>1.8</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57011-2025</t>
        </is>
      </c>
      <c r="B6576" t="inlineStr">
        <is>
          <t>avverkningsanmälan</t>
        </is>
      </c>
      <c r="C6576" t="inlineStr">
        <is>
          <t>Föryngringsavverkning</t>
        </is>
      </c>
      <c r="D6576" s="1" t="n">
        <v>45978</v>
      </c>
      <c r="E6576" s="1" t="n">
        <v>46307</v>
      </c>
      <c r="F6576" t="inlineStr">
        <is>
          <t>VÄRMLANDS LÄN</t>
        </is>
      </c>
      <c r="G6576" t="inlineStr">
        <is>
          <t>KIL</t>
        </is>
      </c>
      <c r="H6576" t="inlineStr">
        <is>
          <t>Kommuner</t>
        </is>
      </c>
      <c r="I6576" t="n">
        <v>1</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46447-2023</t>
        </is>
      </c>
      <c r="B6577" t="inlineStr">
        <is>
          <t>avverkningsanmälan</t>
        </is>
      </c>
      <c r="C6577" t="inlineStr">
        <is>
          <t>Föryngringsavverkning</t>
        </is>
      </c>
      <c r="D6577" s="1" t="n">
        <v>45197</v>
      </c>
      <c r="E6577" s="1" t="n">
        <v>46307</v>
      </c>
      <c r="F6577" t="inlineStr">
        <is>
          <t>VÄRMLANDS LÄN</t>
        </is>
      </c>
      <c r="G6577" t="inlineStr">
        <is>
          <t>MUNKFORS</t>
        </is>
      </c>
      <c r="H6577" t="inlineStr">
        <is>
          <t>Bergvik skog väst AB</t>
        </is>
      </c>
      <c r="I6577" t="n">
        <v>1.4</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22242-2025</t>
        </is>
      </c>
      <c r="B6578" t="inlineStr">
        <is>
          <t>avverkningsanmälan</t>
        </is>
      </c>
      <c r="C6578" t="inlineStr">
        <is>
          <t>Föryngringsavverkning</t>
        </is>
      </c>
      <c r="D6578" s="1" t="n">
        <v>45785</v>
      </c>
      <c r="E6578" s="1" t="n">
        <v>46307</v>
      </c>
      <c r="F6578" t="inlineStr">
        <is>
          <t>VÄRMLANDS LÄN</t>
        </is>
      </c>
      <c r="G6578" t="inlineStr">
        <is>
          <t>KARLSTAD</t>
        </is>
      </c>
      <c r="I6578" t="n">
        <v>0.9</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66642-2021</t>
        </is>
      </c>
      <c r="B6579" t="inlineStr">
        <is>
          <t>avverkningsanmälan</t>
        </is>
      </c>
      <c r="C6579" t="inlineStr">
        <is>
          <t>Föryngringsavverkning</t>
        </is>
      </c>
      <c r="D6579" s="1" t="n">
        <v>44519</v>
      </c>
      <c r="E6579" s="1" t="n">
        <v>46307</v>
      </c>
      <c r="F6579" t="inlineStr">
        <is>
          <t>VÄRMLANDS LÄN</t>
        </is>
      </c>
      <c r="G6579" t="inlineStr">
        <is>
          <t>KARLSTAD</t>
        </is>
      </c>
      <c r="I6579" t="n">
        <v>18.2</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51843-2022</t>
        </is>
      </c>
      <c r="B6580" t="inlineStr">
        <is>
          <t>avverkningsanmälan</t>
        </is>
      </c>
      <c r="C6580" t="inlineStr">
        <is>
          <t>Föryngringsavverkning</t>
        </is>
      </c>
      <c r="D6580" s="1" t="n">
        <v>44872</v>
      </c>
      <c r="E6580" s="1" t="n">
        <v>46307</v>
      </c>
      <c r="F6580" t="inlineStr">
        <is>
          <t>VÄRMLANDS LÄN</t>
        </is>
      </c>
      <c r="G6580" t="inlineStr">
        <is>
          <t>TORSBY</t>
        </is>
      </c>
      <c r="I6580" t="n">
        <v>0.7</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20156-2023</t>
        </is>
      </c>
      <c r="B6581" t="inlineStr">
        <is>
          <t>avverkningsanmälan</t>
        </is>
      </c>
      <c r="C6581" t="inlineStr">
        <is>
          <t>Föryngringsavverkning</t>
        </is>
      </c>
      <c r="D6581" s="1" t="n">
        <v>45055</v>
      </c>
      <c r="E6581" s="1" t="n">
        <v>46307</v>
      </c>
      <c r="F6581" t="inlineStr">
        <is>
          <t>VÄRMLANDS LÄN</t>
        </is>
      </c>
      <c r="G6581" t="inlineStr">
        <is>
          <t>SUNNE</t>
        </is>
      </c>
      <c r="I6581" t="n">
        <v>3.3</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63040-2023</t>
        </is>
      </c>
      <c r="B6582" t="inlineStr">
        <is>
          <t>avverkningsanmälan</t>
        </is>
      </c>
      <c r="C6582" t="inlineStr">
        <is>
          <t>Föryngringsavverkning</t>
        </is>
      </c>
      <c r="D6582" s="1" t="n">
        <v>45272</v>
      </c>
      <c r="E6582" s="1" t="n">
        <v>46307</v>
      </c>
      <c r="F6582" t="inlineStr">
        <is>
          <t>VÄRMLANDS LÄN</t>
        </is>
      </c>
      <c r="G6582" t="inlineStr">
        <is>
          <t>EDA</t>
        </is>
      </c>
      <c r="I6582" t="n">
        <v>3</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63090-2023</t>
        </is>
      </c>
      <c r="B6583" t="inlineStr">
        <is>
          <t>avverkningsanmälan</t>
        </is>
      </c>
      <c r="C6583" t="inlineStr">
        <is>
          <t>Föryngringsavverkning</t>
        </is>
      </c>
      <c r="D6583" s="1" t="n">
        <v>45273</v>
      </c>
      <c r="E6583" s="1" t="n">
        <v>46307</v>
      </c>
      <c r="F6583" t="inlineStr">
        <is>
          <t>VÄRMLANDS LÄN</t>
        </is>
      </c>
      <c r="G6583" t="inlineStr">
        <is>
          <t>SUNNE</t>
        </is>
      </c>
      <c r="I6583" t="n">
        <v>4.5</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43083-2022</t>
        </is>
      </c>
      <c r="B6584" t="inlineStr">
        <is>
          <t>avverkningsanmälan</t>
        </is>
      </c>
      <c r="C6584" t="inlineStr">
        <is>
          <t>Föryngringsavverkning</t>
        </is>
      </c>
      <c r="D6584" s="1" t="n">
        <v>44833</v>
      </c>
      <c r="E6584" s="1" t="n">
        <v>46307</v>
      </c>
      <c r="F6584" t="inlineStr">
        <is>
          <t>VÄRMLANDS LÄN</t>
        </is>
      </c>
      <c r="G6584" t="inlineStr">
        <is>
          <t>SUNNE</t>
        </is>
      </c>
      <c r="I6584" t="n">
        <v>3.1</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43111-2022</t>
        </is>
      </c>
      <c r="B6585" t="inlineStr">
        <is>
          <t>avverkningsanmälan</t>
        </is>
      </c>
      <c r="C6585" t="inlineStr">
        <is>
          <t>Föryngringsavverkning</t>
        </is>
      </c>
      <c r="D6585" s="1" t="n">
        <v>44833</v>
      </c>
      <c r="E6585" s="1" t="n">
        <v>46307</v>
      </c>
      <c r="F6585" t="inlineStr">
        <is>
          <t>VÄRMLANDS LÄN</t>
        </is>
      </c>
      <c r="G6585" t="inlineStr">
        <is>
          <t>TORSBY</t>
        </is>
      </c>
      <c r="I6585" t="n">
        <v>0.8</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38705-2022</t>
        </is>
      </c>
      <c r="B6586" t="inlineStr">
        <is>
          <t>avverkningsanmälan</t>
        </is>
      </c>
      <c r="C6586" t="inlineStr">
        <is>
          <t>Föryngringsavverkning</t>
        </is>
      </c>
      <c r="D6586" s="1" t="n">
        <v>44814</v>
      </c>
      <c r="E6586" s="1" t="n">
        <v>46307</v>
      </c>
      <c r="F6586" t="inlineStr">
        <is>
          <t>VÄRMLANDS LÄN</t>
        </is>
      </c>
      <c r="G6586" t="inlineStr">
        <is>
          <t>ARVIKA</t>
        </is>
      </c>
      <c r="I6586" t="n">
        <v>2.1</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36296-2022</t>
        </is>
      </c>
      <c r="B6587" t="inlineStr">
        <is>
          <t>avverkningsanmälan</t>
        </is>
      </c>
      <c r="C6587" t="inlineStr">
        <is>
          <t>Föryngringsavverkning</t>
        </is>
      </c>
      <c r="D6587" s="1" t="n">
        <v>44803</v>
      </c>
      <c r="E6587" s="1" t="n">
        <v>46307</v>
      </c>
      <c r="F6587" t="inlineStr">
        <is>
          <t>VÄRMLANDS LÄN</t>
        </is>
      </c>
      <c r="G6587" t="inlineStr">
        <is>
          <t>KIL</t>
        </is>
      </c>
      <c r="I6587" t="n">
        <v>2.8</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37334-2025</t>
        </is>
      </c>
      <c r="B6588" t="inlineStr">
        <is>
          <t>avverkningsanmälan</t>
        </is>
      </c>
      <c r="C6588" t="inlineStr">
        <is>
          <t>Föryngringsavverkning</t>
        </is>
      </c>
      <c r="D6588" s="1" t="n">
        <v>45876</v>
      </c>
      <c r="E6588" s="1" t="n">
        <v>46307</v>
      </c>
      <c r="F6588" t="inlineStr">
        <is>
          <t>VÄRMLANDS LÄN</t>
        </is>
      </c>
      <c r="G6588" t="inlineStr">
        <is>
          <t>TORSBY</t>
        </is>
      </c>
      <c r="I6588" t="n">
        <v>1.7</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37339-2025</t>
        </is>
      </c>
      <c r="B6589" t="inlineStr">
        <is>
          <t>avverkningsanmälan</t>
        </is>
      </c>
      <c r="C6589" t="inlineStr">
        <is>
          <t>Föryngringsavverkning</t>
        </is>
      </c>
      <c r="D6589" s="1" t="n">
        <v>45876</v>
      </c>
      <c r="E6589" s="1" t="n">
        <v>46307</v>
      </c>
      <c r="F6589" t="inlineStr">
        <is>
          <t>VÄRMLANDS LÄN</t>
        </is>
      </c>
      <c r="G6589" t="inlineStr">
        <is>
          <t>TORSBY</t>
        </is>
      </c>
      <c r="I6589" t="n">
        <v>0.7</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37027-2025</t>
        </is>
      </c>
      <c r="B6590" t="inlineStr">
        <is>
          <t>avverkningsanmälan</t>
        </is>
      </c>
      <c r="C6590" t="inlineStr">
        <is>
          <t>Föryngringsavverkning</t>
        </is>
      </c>
      <c r="D6590" s="1" t="n">
        <v>45874</v>
      </c>
      <c r="E6590" s="1" t="n">
        <v>46307</v>
      </c>
      <c r="F6590" t="inlineStr">
        <is>
          <t>VÄRMLANDS LÄN</t>
        </is>
      </c>
      <c r="G6590" t="inlineStr">
        <is>
          <t>HAGFORS</t>
        </is>
      </c>
      <c r="I6590" t="n">
        <v>2.7</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29301-2024</t>
        </is>
      </c>
      <c r="B6591" t="inlineStr">
        <is>
          <t>avverkningsanmälan</t>
        </is>
      </c>
      <c r="C6591" t="inlineStr">
        <is>
          <t>Föryngringsavverkning</t>
        </is>
      </c>
      <c r="D6591" s="1" t="n">
        <v>45483</v>
      </c>
      <c r="E6591" s="1" t="n">
        <v>46307</v>
      </c>
      <c r="F6591" t="inlineStr">
        <is>
          <t>VÄRMLANDS LÄN</t>
        </is>
      </c>
      <c r="G6591" t="inlineStr">
        <is>
          <t>ARVIKA</t>
        </is>
      </c>
      <c r="I6591" t="n">
        <v>2.4</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49585-2023</t>
        </is>
      </c>
      <c r="B6592" t="inlineStr">
        <is>
          <t>avverkningsanmälan</t>
        </is>
      </c>
      <c r="C6592" t="inlineStr">
        <is>
          <t>Föryngringsavverkning</t>
        </is>
      </c>
      <c r="D6592" s="1" t="n">
        <v>45211</v>
      </c>
      <c r="E6592" s="1" t="n">
        <v>46307</v>
      </c>
      <c r="F6592" t="inlineStr">
        <is>
          <t>VÄRMLANDS LÄN</t>
        </is>
      </c>
      <c r="G6592" t="inlineStr">
        <is>
          <t>HAGFORS</t>
        </is>
      </c>
      <c r="I6592" t="n">
        <v>2.2</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41569-2022</t>
        </is>
      </c>
      <c r="B6593" t="inlineStr">
        <is>
          <t>avverkningsanmälan</t>
        </is>
      </c>
      <c r="C6593" t="inlineStr">
        <is>
          <t>Föryngringsavverkning</t>
        </is>
      </c>
      <c r="D6593" s="1" t="n">
        <v>44827</v>
      </c>
      <c r="E6593" s="1" t="n">
        <v>46307</v>
      </c>
      <c r="F6593" t="inlineStr">
        <is>
          <t>VÄRMLANDS LÄN</t>
        </is>
      </c>
      <c r="G6593" t="inlineStr">
        <is>
          <t>SUNNE</t>
        </is>
      </c>
      <c r="I6593" t="n">
        <v>2.5</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45056-2022</t>
        </is>
      </c>
      <c r="B6594" t="inlineStr">
        <is>
          <t>avverkningsanmälan</t>
        </is>
      </c>
      <c r="C6594" t="inlineStr">
        <is>
          <t>Föryngringsavverkning</t>
        </is>
      </c>
      <c r="D6594" s="1" t="n">
        <v>44841</v>
      </c>
      <c r="E6594" s="1" t="n">
        <v>46307</v>
      </c>
      <c r="F6594" t="inlineStr">
        <is>
          <t>VÄRMLANDS LÄN</t>
        </is>
      </c>
      <c r="G6594" t="inlineStr">
        <is>
          <t>TORSBY</t>
        </is>
      </c>
      <c r="I6594" t="n">
        <v>1.9</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37312-2025</t>
        </is>
      </c>
      <c r="B6595" t="inlineStr">
        <is>
          <t>avverkningsanmälan</t>
        </is>
      </c>
      <c r="C6595" t="inlineStr">
        <is>
          <t>Föryngringsavverkning</t>
        </is>
      </c>
      <c r="D6595" s="1" t="n">
        <v>45876</v>
      </c>
      <c r="E6595" s="1" t="n">
        <v>46307</v>
      </c>
      <c r="F6595" t="inlineStr">
        <is>
          <t>VÄRMLANDS LÄN</t>
        </is>
      </c>
      <c r="G6595" t="inlineStr">
        <is>
          <t>SUNNE</t>
        </is>
      </c>
      <c r="I6595" t="n">
        <v>1.1</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37314-2025</t>
        </is>
      </c>
      <c r="B6596" t="inlineStr">
        <is>
          <t>avverkningsanmälan</t>
        </is>
      </c>
      <c r="C6596" t="inlineStr">
        <is>
          <t>Föryngringsavverkning</t>
        </is>
      </c>
      <c r="D6596" s="1" t="n">
        <v>45876</v>
      </c>
      <c r="E6596" s="1" t="n">
        <v>46307</v>
      </c>
      <c r="F6596" t="inlineStr">
        <is>
          <t>VÄRMLANDS LÄN</t>
        </is>
      </c>
      <c r="G6596" t="inlineStr">
        <is>
          <t>SUNNE</t>
        </is>
      </c>
      <c r="I6596" t="n">
        <v>5.1</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37030-2025</t>
        </is>
      </c>
      <c r="B6597" t="inlineStr">
        <is>
          <t>avverkningsanmälan</t>
        </is>
      </c>
      <c r="C6597" t="inlineStr">
        <is>
          <t>Föryngringsavverkning</t>
        </is>
      </c>
      <c r="D6597" s="1" t="n">
        <v>45874</v>
      </c>
      <c r="E6597" s="1" t="n">
        <v>46307</v>
      </c>
      <c r="F6597" t="inlineStr">
        <is>
          <t>VÄRMLANDS LÄN</t>
        </is>
      </c>
      <c r="G6597" t="inlineStr">
        <is>
          <t>ARVIKA</t>
        </is>
      </c>
      <c r="I6597" t="n">
        <v>1.3</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37031-2025</t>
        </is>
      </c>
      <c r="B6598" t="inlineStr">
        <is>
          <t>avverkningsanmälan</t>
        </is>
      </c>
      <c r="C6598" t="inlineStr">
        <is>
          <t>Föryngringsavverkning</t>
        </is>
      </c>
      <c r="D6598" s="1" t="n">
        <v>45874</v>
      </c>
      <c r="E6598" s="1" t="n">
        <v>46307</v>
      </c>
      <c r="F6598" t="inlineStr">
        <is>
          <t>VÄRMLANDS LÄN</t>
        </is>
      </c>
      <c r="G6598" t="inlineStr">
        <is>
          <t>ARVIKA</t>
        </is>
      </c>
      <c r="I6598" t="n">
        <v>12.4</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26302-2023</t>
        </is>
      </c>
      <c r="B6599" t="inlineStr">
        <is>
          <t>avverkningsanmälan</t>
        </is>
      </c>
      <c r="C6599" t="inlineStr">
        <is>
          <t>Föryngringsavverkning</t>
        </is>
      </c>
      <c r="D6599" s="1" t="n">
        <v>45091</v>
      </c>
      <c r="E6599" s="1" t="n">
        <v>46307</v>
      </c>
      <c r="F6599" t="inlineStr">
        <is>
          <t>VÄRMLANDS LÄN</t>
        </is>
      </c>
      <c r="G6599" t="inlineStr">
        <is>
          <t>SUNNE</t>
        </is>
      </c>
      <c r="I6599" t="n">
        <v>1.2</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862-2024</t>
        </is>
      </c>
      <c r="B6600" t="inlineStr">
        <is>
          <t>avverkningsanmälan</t>
        </is>
      </c>
      <c r="C6600" t="inlineStr">
        <is>
          <t>Föryngringsavverkning</t>
        </is>
      </c>
      <c r="D6600" s="1" t="n">
        <v>45301</v>
      </c>
      <c r="E6600" s="1" t="n">
        <v>46307</v>
      </c>
      <c r="F6600" t="inlineStr">
        <is>
          <t>VÄRMLANDS LÄN</t>
        </is>
      </c>
      <c r="G6600" t="inlineStr">
        <is>
          <t>EDA</t>
        </is>
      </c>
      <c r="I6600" t="n">
        <v>0.8</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25338-2023</t>
        </is>
      </c>
      <c r="B6601" t="inlineStr">
        <is>
          <t>avverkningsanmälan</t>
        </is>
      </c>
      <c r="C6601" t="inlineStr">
        <is>
          <t>Föryngringsavverkning</t>
        </is>
      </c>
      <c r="D6601" s="1" t="n">
        <v>45087</v>
      </c>
      <c r="E6601" s="1" t="n">
        <v>46307</v>
      </c>
      <c r="F6601" t="inlineStr">
        <is>
          <t>VÄRMLANDS LÄN</t>
        </is>
      </c>
      <c r="G6601" t="inlineStr">
        <is>
          <t>FILIPSTAD</t>
        </is>
      </c>
      <c r="I6601" t="n">
        <v>0.9</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25349-2023</t>
        </is>
      </c>
      <c r="B6602" t="inlineStr">
        <is>
          <t>avverkningsanmälan</t>
        </is>
      </c>
      <c r="C6602" t="inlineStr">
        <is>
          <t>Föryngringsavverkning</t>
        </is>
      </c>
      <c r="D6602" s="1" t="n">
        <v>45087</v>
      </c>
      <c r="E6602" s="1" t="n">
        <v>46307</v>
      </c>
      <c r="F6602" t="inlineStr">
        <is>
          <t>VÄRMLANDS LÄN</t>
        </is>
      </c>
      <c r="G6602" t="inlineStr">
        <is>
          <t>HAGFORS</t>
        </is>
      </c>
      <c r="I6602" t="n">
        <v>0.8</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42067-2022</t>
        </is>
      </c>
      <c r="B6603" t="inlineStr">
        <is>
          <t>avverkningsanmälan</t>
        </is>
      </c>
      <c r="C6603" t="inlineStr">
        <is>
          <t>Föryngringsavverkning</t>
        </is>
      </c>
      <c r="D6603" s="1" t="n">
        <v>44830</v>
      </c>
      <c r="E6603" s="1" t="n">
        <v>46307</v>
      </c>
      <c r="F6603" t="inlineStr">
        <is>
          <t>VÄRMLANDS LÄN</t>
        </is>
      </c>
      <c r="G6603" t="inlineStr">
        <is>
          <t>SÄFFLE</t>
        </is>
      </c>
      <c r="I6603" t="n">
        <v>1.4</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37145-2025</t>
        </is>
      </c>
      <c r="B6604" t="inlineStr">
        <is>
          <t>avverkningsanmälan</t>
        </is>
      </c>
      <c r="C6604" t="inlineStr">
        <is>
          <t>Föryngringsavverkning</t>
        </is>
      </c>
      <c r="D6604" s="1" t="n">
        <v>45875</v>
      </c>
      <c r="E6604" s="1" t="n">
        <v>46307</v>
      </c>
      <c r="F6604" t="inlineStr">
        <is>
          <t>VÄRMLANDS LÄN</t>
        </is>
      </c>
      <c r="G6604" t="inlineStr">
        <is>
          <t>STORFORS</t>
        </is>
      </c>
      <c r="I6604" t="n">
        <v>0.6</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26309-2023</t>
        </is>
      </c>
      <c r="B6605" t="inlineStr">
        <is>
          <t>avverkningsanmälan</t>
        </is>
      </c>
      <c r="C6605" t="inlineStr">
        <is>
          <t>Föryngringsavverkning</t>
        </is>
      </c>
      <c r="D6605" s="1" t="n">
        <v>45091</v>
      </c>
      <c r="E6605" s="1" t="n">
        <v>46307</v>
      </c>
      <c r="F6605" t="inlineStr">
        <is>
          <t>VÄRMLANDS LÄN</t>
        </is>
      </c>
      <c r="G6605" t="inlineStr">
        <is>
          <t>SUNNE</t>
        </is>
      </c>
      <c r="I6605" t="n">
        <v>1.2</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61304-2023</t>
        </is>
      </c>
      <c r="B6606" t="inlineStr">
        <is>
          <t>avverkningsanmälan</t>
        </is>
      </c>
      <c r="C6606" t="inlineStr">
        <is>
          <t>Föryngringsavverkning</t>
        </is>
      </c>
      <c r="D6606" s="1" t="n">
        <v>45264</v>
      </c>
      <c r="E6606" s="1" t="n">
        <v>46307</v>
      </c>
      <c r="F6606" t="inlineStr">
        <is>
          <t>VÄRMLANDS LÄN</t>
        </is>
      </c>
      <c r="G6606" t="inlineStr">
        <is>
          <t>HAGFORS</t>
        </is>
      </c>
      <c r="I6606" t="n">
        <v>1.5</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55433-2025</t>
        </is>
      </c>
      <c r="B6607" t="inlineStr">
        <is>
          <t>avverkningsanmälan</t>
        </is>
      </c>
      <c r="C6607" t="inlineStr">
        <is>
          <t>Föryngringsavverkning</t>
        </is>
      </c>
      <c r="D6607" s="1" t="n">
        <v>45971</v>
      </c>
      <c r="E6607" s="1" t="n">
        <v>46307</v>
      </c>
      <c r="F6607" t="inlineStr">
        <is>
          <t>VÄRMLANDS LÄN</t>
        </is>
      </c>
      <c r="G6607" t="inlineStr">
        <is>
          <t>FORSHAGA</t>
        </is>
      </c>
      <c r="I6607" t="n">
        <v>14.2</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37266-2025</t>
        </is>
      </c>
      <c r="B6608" t="inlineStr">
        <is>
          <t>avverkningsanmälan</t>
        </is>
      </c>
      <c r="C6608" t="inlineStr">
        <is>
          <t>Föryngringsavverkning</t>
        </is>
      </c>
      <c r="D6608" s="1" t="n">
        <v>45876</v>
      </c>
      <c r="E6608" s="1" t="n">
        <v>46307</v>
      </c>
      <c r="F6608" t="inlineStr">
        <is>
          <t>VÄRMLANDS LÄN</t>
        </is>
      </c>
      <c r="G6608" t="inlineStr">
        <is>
          <t>KRISTINEHAMN</t>
        </is>
      </c>
      <c r="H6608" t="inlineStr">
        <is>
          <t>Sveaskog</t>
        </is>
      </c>
      <c r="I6608" t="n">
        <v>1.4</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5482-2022</t>
        </is>
      </c>
      <c r="B6609" t="inlineStr">
        <is>
          <t>avverkningsanmälan</t>
        </is>
      </c>
      <c r="C6609" t="inlineStr">
        <is>
          <t>Föryngringsavverkning</t>
        </is>
      </c>
      <c r="D6609" s="1" t="n">
        <v>44595</v>
      </c>
      <c r="E6609" s="1" t="n">
        <v>46307</v>
      </c>
      <c r="F6609" t="inlineStr">
        <is>
          <t>VÄRMLANDS LÄN</t>
        </is>
      </c>
      <c r="G6609" t="inlineStr">
        <is>
          <t>HAGFORS</t>
        </is>
      </c>
      <c r="I6609" t="n">
        <v>4.9</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37348-2025</t>
        </is>
      </c>
      <c r="B6610" t="inlineStr">
        <is>
          <t>avverkningsanmälan</t>
        </is>
      </c>
      <c r="C6610" t="inlineStr">
        <is>
          <t>Föryngringsavverkning</t>
        </is>
      </c>
      <c r="D6610" s="1" t="n">
        <v>45876</v>
      </c>
      <c r="E6610" s="1" t="n">
        <v>46307</v>
      </c>
      <c r="F6610" t="inlineStr">
        <is>
          <t>VÄRMLANDS LÄN</t>
        </is>
      </c>
      <c r="G6610" t="inlineStr">
        <is>
          <t>TORSBY</t>
        </is>
      </c>
      <c r="I6610" t="n">
        <v>0.8</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25444-2023</t>
        </is>
      </c>
      <c r="B6611" t="inlineStr">
        <is>
          <t>avverkningsanmälan</t>
        </is>
      </c>
      <c r="C6611" t="inlineStr">
        <is>
          <t>Föryngringsavverkning</t>
        </is>
      </c>
      <c r="D6611" s="1" t="n">
        <v>45089</v>
      </c>
      <c r="E6611" s="1" t="n">
        <v>46307</v>
      </c>
      <c r="F6611" t="inlineStr">
        <is>
          <t>VÄRMLANDS LÄN</t>
        </is>
      </c>
      <c r="G6611" t="inlineStr">
        <is>
          <t>EDA</t>
        </is>
      </c>
      <c r="I6611" t="n">
        <v>1.4</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18576-2025</t>
        </is>
      </c>
      <c r="B6612" t="inlineStr">
        <is>
          <t>avverkningsanmälan</t>
        </is>
      </c>
      <c r="C6612" t="inlineStr">
        <is>
          <t>Föryngringsavverkning</t>
        </is>
      </c>
      <c r="D6612" s="1" t="n">
        <v>45763</v>
      </c>
      <c r="E6612" s="1" t="n">
        <v>46307</v>
      </c>
      <c r="F6612" t="inlineStr">
        <is>
          <t>VÄRMLANDS LÄN</t>
        </is>
      </c>
      <c r="G6612" t="inlineStr">
        <is>
          <t>TORSBY</t>
        </is>
      </c>
      <c r="I6612" t="n">
        <v>0.6</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42624-2022</t>
        </is>
      </c>
      <c r="B6613" t="inlineStr">
        <is>
          <t>avverkningsanmälan</t>
        </is>
      </c>
      <c r="C6613" t="inlineStr">
        <is>
          <t>Föryngringsavverkning</t>
        </is>
      </c>
      <c r="D6613" s="1" t="n">
        <v>44831</v>
      </c>
      <c r="E6613" s="1" t="n">
        <v>46307</v>
      </c>
      <c r="F6613" t="inlineStr">
        <is>
          <t>VÄRMLANDS LÄN</t>
        </is>
      </c>
      <c r="G6613" t="inlineStr">
        <is>
          <t>SUNNE</t>
        </is>
      </c>
      <c r="I6613" t="n">
        <v>1.9</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18584-2025</t>
        </is>
      </c>
      <c r="B6614" t="inlineStr">
        <is>
          <t>avverkningsanmälan</t>
        </is>
      </c>
      <c r="C6614" t="inlineStr">
        <is>
          <t>Föryngringsavverkning</t>
        </is>
      </c>
      <c r="D6614" s="1" t="n">
        <v>45763</v>
      </c>
      <c r="E6614" s="1" t="n">
        <v>46307</v>
      </c>
      <c r="F6614" t="inlineStr">
        <is>
          <t>VÄRMLANDS LÄN</t>
        </is>
      </c>
      <c r="G6614" t="inlineStr">
        <is>
          <t>TORSBY</t>
        </is>
      </c>
      <c r="H6614" t="inlineStr">
        <is>
          <t>Kyrkan</t>
        </is>
      </c>
      <c r="I6614" t="n">
        <v>4.5</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40808-2023</t>
        </is>
      </c>
      <c r="B6615" t="inlineStr">
        <is>
          <t>avverkningsanmälan</t>
        </is>
      </c>
      <c r="C6615" t="inlineStr">
        <is>
          <t>Föryngringsavverkning</t>
        </is>
      </c>
      <c r="D6615" s="1" t="n">
        <v>45171</v>
      </c>
      <c r="E6615" s="1" t="n">
        <v>46307</v>
      </c>
      <c r="F6615" t="inlineStr">
        <is>
          <t>VÄRMLANDS LÄN</t>
        </is>
      </c>
      <c r="G6615" t="inlineStr">
        <is>
          <t>SÄFFLE</t>
        </is>
      </c>
      <c r="I6615" t="n">
        <v>0.3</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37267-2025</t>
        </is>
      </c>
      <c r="B6616" t="inlineStr">
        <is>
          <t>avverkningsanmälan</t>
        </is>
      </c>
      <c r="C6616" t="inlineStr">
        <is>
          <t>Föryngringsavverkning</t>
        </is>
      </c>
      <c r="D6616" s="1" t="n">
        <v>45876</v>
      </c>
      <c r="E6616" s="1" t="n">
        <v>46307</v>
      </c>
      <c r="F6616" t="inlineStr">
        <is>
          <t>VÄRMLANDS LÄN</t>
        </is>
      </c>
      <c r="G6616" t="inlineStr">
        <is>
          <t>KRISTINEHAMN</t>
        </is>
      </c>
      <c r="H6616" t="inlineStr">
        <is>
          <t>Sveaskog</t>
        </is>
      </c>
      <c r="I6616" t="n">
        <v>3.7</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2265-2024</t>
        </is>
      </c>
      <c r="B6617" t="inlineStr">
        <is>
          <t>avverkningsanmälan</t>
        </is>
      </c>
      <c r="C6617" t="inlineStr">
        <is>
          <t>Föryngringsavverkning</t>
        </is>
      </c>
      <c r="D6617" s="1" t="n">
        <v>45310</v>
      </c>
      <c r="E6617" s="1" t="n">
        <v>46307</v>
      </c>
      <c r="F6617" t="inlineStr">
        <is>
          <t>VÄRMLANDS LÄN</t>
        </is>
      </c>
      <c r="G6617" t="inlineStr">
        <is>
          <t>EDA</t>
        </is>
      </c>
      <c r="I6617" t="n">
        <v>0.7</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731-2024</t>
        </is>
      </c>
      <c r="B6618" t="inlineStr">
        <is>
          <t>avverkningsanmälan</t>
        </is>
      </c>
      <c r="C6618" t="inlineStr">
        <is>
          <t>Föryngringsavverkning</t>
        </is>
      </c>
      <c r="D6618" s="1" t="n">
        <v>45300</v>
      </c>
      <c r="E6618" s="1" t="n">
        <v>46307</v>
      </c>
      <c r="F6618" t="inlineStr">
        <is>
          <t>VÄRMLANDS LÄN</t>
        </is>
      </c>
      <c r="G6618" t="inlineStr">
        <is>
          <t>TORSBY</t>
        </is>
      </c>
      <c r="I6618" t="n">
        <v>1.9</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34402-2022</t>
        </is>
      </c>
      <c r="B6619" t="inlineStr">
        <is>
          <t>avverkningsanmälan</t>
        </is>
      </c>
      <c r="C6619" t="inlineStr">
        <is>
          <t>Föryngringsavverkning</t>
        </is>
      </c>
      <c r="D6619" s="1" t="n">
        <v>44792</v>
      </c>
      <c r="E6619" s="1" t="n">
        <v>46307</v>
      </c>
      <c r="F6619" t="inlineStr">
        <is>
          <t>VÄRMLANDS LÄN</t>
        </is>
      </c>
      <c r="G6619" t="inlineStr">
        <is>
          <t>KIL</t>
        </is>
      </c>
      <c r="I6619" t="n">
        <v>1.3</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59624-2022</t>
        </is>
      </c>
      <c r="B6620" t="inlineStr">
        <is>
          <t>avverkningsanmälan</t>
        </is>
      </c>
      <c r="C6620" t="inlineStr">
        <is>
          <t>Föryngringsavverkning</t>
        </is>
      </c>
      <c r="D6620" s="1" t="n">
        <v>44907</v>
      </c>
      <c r="E6620" s="1" t="n">
        <v>46307</v>
      </c>
      <c r="F6620" t="inlineStr">
        <is>
          <t>VÄRMLANDS LÄN</t>
        </is>
      </c>
      <c r="G6620" t="inlineStr">
        <is>
          <t>ÅRJÄNG</t>
        </is>
      </c>
      <c r="I6620" t="n">
        <v>1</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50372-2024</t>
        </is>
      </c>
      <c r="B6621" t="inlineStr">
        <is>
          <t>avverkningsanmälan</t>
        </is>
      </c>
      <c r="C6621" t="inlineStr">
        <is>
          <t>Föryngringsavverkning</t>
        </is>
      </c>
      <c r="D6621" s="1" t="n">
        <v>45601</v>
      </c>
      <c r="E6621" s="1" t="n">
        <v>46307</v>
      </c>
      <c r="F6621" t="inlineStr">
        <is>
          <t>VÄRMLANDS LÄN</t>
        </is>
      </c>
      <c r="G6621" t="inlineStr">
        <is>
          <t>TORSBY</t>
        </is>
      </c>
      <c r="H6621" t="inlineStr">
        <is>
          <t>Övriga Aktiebolag</t>
        </is>
      </c>
      <c r="I6621" t="n">
        <v>1.9</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36721-2024</t>
        </is>
      </c>
      <c r="B6622" t="inlineStr">
        <is>
          <t>avverkningsanmälan</t>
        </is>
      </c>
      <c r="C6622" t="inlineStr">
        <is>
          <t>Föryngringsavverkning</t>
        </is>
      </c>
      <c r="D6622" s="1" t="n">
        <v>45537</v>
      </c>
      <c r="E6622" s="1" t="n">
        <v>46307</v>
      </c>
      <c r="F6622" t="inlineStr">
        <is>
          <t>VÄRMLANDS LÄN</t>
        </is>
      </c>
      <c r="G6622" t="inlineStr">
        <is>
          <t>SÄFFLE</t>
        </is>
      </c>
      <c r="I6622" t="n">
        <v>1.3</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37484-2025</t>
        </is>
      </c>
      <c r="B6623" t="inlineStr">
        <is>
          <t>avverkningsanmälan</t>
        </is>
      </c>
      <c r="C6623" t="inlineStr">
        <is>
          <t>Föryngringsavverkning</t>
        </is>
      </c>
      <c r="D6623" s="1" t="n">
        <v>45877</v>
      </c>
      <c r="E6623" s="1" t="n">
        <v>46307</v>
      </c>
      <c r="F6623" t="inlineStr">
        <is>
          <t>VÄRMLANDS LÄN</t>
        </is>
      </c>
      <c r="G6623" t="inlineStr">
        <is>
          <t>ÅRJÄNG</t>
        </is>
      </c>
      <c r="I6623" t="n">
        <v>2.2</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37507-2025</t>
        </is>
      </c>
      <c r="B6624" t="inlineStr">
        <is>
          <t>avverkningsanmälan</t>
        </is>
      </c>
      <c r="C6624" t="inlineStr">
        <is>
          <t>Föryngringsavverkning</t>
        </is>
      </c>
      <c r="D6624" s="1" t="n">
        <v>45877</v>
      </c>
      <c r="E6624" s="1" t="n">
        <v>46307</v>
      </c>
      <c r="F6624" t="inlineStr">
        <is>
          <t>VÄRMLANDS LÄN</t>
        </is>
      </c>
      <c r="G6624" t="inlineStr">
        <is>
          <t>ÅRJÄNG</t>
        </is>
      </c>
      <c r="I6624" t="n">
        <v>1.1</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57236-2023</t>
        </is>
      </c>
      <c r="B6625" t="inlineStr">
        <is>
          <t>avverkningsanmälan</t>
        </is>
      </c>
      <c r="C6625" t="inlineStr">
        <is>
          <t>Föryngringsavverkning</t>
        </is>
      </c>
      <c r="D6625" s="1" t="n">
        <v>45245</v>
      </c>
      <c r="E6625" s="1" t="n">
        <v>46307</v>
      </c>
      <c r="F6625" t="inlineStr">
        <is>
          <t>VÄRMLANDS LÄN</t>
        </is>
      </c>
      <c r="G6625" t="inlineStr">
        <is>
          <t>GRUMS</t>
        </is>
      </c>
      <c r="I6625" t="n">
        <v>1.9</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57237-2023</t>
        </is>
      </c>
      <c r="B6626" t="inlineStr">
        <is>
          <t>avverkningsanmälan</t>
        </is>
      </c>
      <c r="C6626" t="inlineStr">
        <is>
          <t>Föryngringsavverkning</t>
        </is>
      </c>
      <c r="D6626" s="1" t="n">
        <v>45245</v>
      </c>
      <c r="E6626" s="1" t="n">
        <v>46307</v>
      </c>
      <c r="F6626" t="inlineStr">
        <is>
          <t>VÄRMLANDS LÄN</t>
        </is>
      </c>
      <c r="G6626" t="inlineStr">
        <is>
          <t>GRUMS</t>
        </is>
      </c>
      <c r="I6626" t="n">
        <v>18.2</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11620-2023</t>
        </is>
      </c>
      <c r="B6627" t="inlineStr">
        <is>
          <t>avverkningsanmälan</t>
        </is>
      </c>
      <c r="C6627" t="inlineStr">
        <is>
          <t>Föryngringsavverkning</t>
        </is>
      </c>
      <c r="D6627" s="1" t="n">
        <v>44994</v>
      </c>
      <c r="E6627" s="1" t="n">
        <v>46307</v>
      </c>
      <c r="F6627" t="inlineStr">
        <is>
          <t>VÄRMLANDS LÄN</t>
        </is>
      </c>
      <c r="G6627" t="inlineStr">
        <is>
          <t>KARLSTAD</t>
        </is>
      </c>
      <c r="H6627" t="inlineStr">
        <is>
          <t>Kommuner</t>
        </is>
      </c>
      <c r="I6627" t="n">
        <v>1.7</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58085-2025</t>
        </is>
      </c>
      <c r="B6628" t="inlineStr">
        <is>
          <t>avverkningsanmälan</t>
        </is>
      </c>
      <c r="C6628" t="inlineStr">
        <is>
          <t>Föryngringsavverkning</t>
        </is>
      </c>
      <c r="D6628" s="1" t="n">
        <v>45982</v>
      </c>
      <c r="E6628" s="1" t="n">
        <v>46307</v>
      </c>
      <c r="F6628" t="inlineStr">
        <is>
          <t>VÄRMLANDS LÄN</t>
        </is>
      </c>
      <c r="G6628" t="inlineStr">
        <is>
          <t>SÄFFLE</t>
        </is>
      </c>
      <c r="I6628" t="n">
        <v>1.3</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2077-2024</t>
        </is>
      </c>
      <c r="B6629" t="inlineStr">
        <is>
          <t>avverkningsanmälan</t>
        </is>
      </c>
      <c r="C6629" t="inlineStr">
        <is>
          <t>Föryngringsavverkning</t>
        </is>
      </c>
      <c r="D6629" s="1" t="n">
        <v>45309</v>
      </c>
      <c r="E6629" s="1" t="n">
        <v>46307</v>
      </c>
      <c r="F6629" t="inlineStr">
        <is>
          <t>VÄRMLANDS LÄN</t>
        </is>
      </c>
      <c r="G6629" t="inlineStr">
        <is>
          <t>KIL</t>
        </is>
      </c>
      <c r="I6629" t="n">
        <v>0.8</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37566-2025</t>
        </is>
      </c>
      <c r="B6630" t="inlineStr">
        <is>
          <t>avverkningsanmälan</t>
        </is>
      </c>
      <c r="C6630" t="inlineStr">
        <is>
          <t>Föryngringsavverkning</t>
        </is>
      </c>
      <c r="D6630" s="1" t="n">
        <v>45880</v>
      </c>
      <c r="E6630" s="1" t="n">
        <v>46307</v>
      </c>
      <c r="F6630" t="inlineStr">
        <is>
          <t>VÄRMLANDS LÄN</t>
        </is>
      </c>
      <c r="G6630" t="inlineStr">
        <is>
          <t>TORSBY</t>
        </is>
      </c>
      <c r="I6630" t="n">
        <v>3.6</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19011-2023</t>
        </is>
      </c>
      <c r="B6631" t="inlineStr">
        <is>
          <t>avverkningsanmälan</t>
        </is>
      </c>
      <c r="C6631" t="inlineStr">
        <is>
          <t>Föryngringsavverkning</t>
        </is>
      </c>
      <c r="D6631" s="1" t="n">
        <v>45045</v>
      </c>
      <c r="E6631" s="1" t="n">
        <v>46307</v>
      </c>
      <c r="F6631" t="inlineStr">
        <is>
          <t>VÄRMLANDS LÄN</t>
        </is>
      </c>
      <c r="G6631" t="inlineStr">
        <is>
          <t>SUNNE</t>
        </is>
      </c>
      <c r="I6631" t="n">
        <v>0.6</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46058-2023</t>
        </is>
      </c>
      <c r="B6632" t="inlineStr">
        <is>
          <t>avverkningsanmälan</t>
        </is>
      </c>
      <c r="C6632" t="inlineStr">
        <is>
          <t>Föryngringsavverkning</t>
        </is>
      </c>
      <c r="D6632" s="1" t="n">
        <v>45196</v>
      </c>
      <c r="E6632" s="1" t="n">
        <v>46307</v>
      </c>
      <c r="F6632" t="inlineStr">
        <is>
          <t>VÄRMLANDS LÄN</t>
        </is>
      </c>
      <c r="G6632" t="inlineStr">
        <is>
          <t>SUNNE</t>
        </is>
      </c>
      <c r="I6632" t="n">
        <v>1.8</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37399-2025</t>
        </is>
      </c>
      <c r="B6633" t="inlineStr">
        <is>
          <t>avverkningsanmälan</t>
        </is>
      </c>
      <c r="C6633" t="inlineStr">
        <is>
          <t>Föryngringsavverkning</t>
        </is>
      </c>
      <c r="D6633" s="1" t="n">
        <v>45877</v>
      </c>
      <c r="E6633" s="1" t="n">
        <v>46307</v>
      </c>
      <c r="F6633" t="inlineStr">
        <is>
          <t>VÄRMLANDS LÄN</t>
        </is>
      </c>
      <c r="G6633" t="inlineStr">
        <is>
          <t>ARVIKA</t>
        </is>
      </c>
      <c r="I6633" t="n">
        <v>4.1</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50852-2023</t>
        </is>
      </c>
      <c r="B6634" t="inlineStr">
        <is>
          <t>avverkningsanmälan</t>
        </is>
      </c>
      <c r="C6634" t="inlineStr">
        <is>
          <t>Föryngringsavverkning</t>
        </is>
      </c>
      <c r="D6634" s="1" t="n">
        <v>45218</v>
      </c>
      <c r="E6634" s="1" t="n">
        <v>46307</v>
      </c>
      <c r="F6634" t="inlineStr">
        <is>
          <t>VÄRMLANDS LÄN</t>
        </is>
      </c>
      <c r="G6634" t="inlineStr">
        <is>
          <t>TORSBY</t>
        </is>
      </c>
      <c r="I6634" t="n">
        <v>3.8</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52982-2023</t>
        </is>
      </c>
      <c r="B6635" t="inlineStr">
        <is>
          <t>avverkningsanmälan</t>
        </is>
      </c>
      <c r="C6635" t="inlineStr">
        <is>
          <t>Föryngringsavverkning</t>
        </is>
      </c>
      <c r="D6635" s="1" t="n">
        <v>45226</v>
      </c>
      <c r="E6635" s="1" t="n">
        <v>46307</v>
      </c>
      <c r="F6635" t="inlineStr">
        <is>
          <t>VÄRMLANDS LÄN</t>
        </is>
      </c>
      <c r="G6635" t="inlineStr">
        <is>
          <t>TORSBY</t>
        </is>
      </c>
      <c r="I6635" t="n">
        <v>35.5</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15333-2025</t>
        </is>
      </c>
      <c r="B6636" t="inlineStr">
        <is>
          <t>avverkningsanmälan</t>
        </is>
      </c>
      <c r="C6636" t="inlineStr">
        <is>
          <t>Föryngringsavverkning</t>
        </is>
      </c>
      <c r="D6636" s="1" t="n">
        <v>45746</v>
      </c>
      <c r="E6636" s="1" t="n">
        <v>46307</v>
      </c>
      <c r="F6636" t="inlineStr">
        <is>
          <t>VÄRMLANDS LÄN</t>
        </is>
      </c>
      <c r="G6636" t="inlineStr">
        <is>
          <t>SÄFFLE</t>
        </is>
      </c>
      <c r="I6636" t="n">
        <v>1</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61206-2023</t>
        </is>
      </c>
      <c r="B6637" t="inlineStr">
        <is>
          <t>avverkningsanmälan</t>
        </is>
      </c>
      <c r="C6637" t="inlineStr">
        <is>
          <t>Föryngringsavverkning</t>
        </is>
      </c>
      <c r="D6637" s="1" t="n">
        <v>45264</v>
      </c>
      <c r="E6637" s="1" t="n">
        <v>46307</v>
      </c>
      <c r="F6637" t="inlineStr">
        <is>
          <t>VÄRMLANDS LÄN</t>
        </is>
      </c>
      <c r="G6637" t="inlineStr">
        <is>
          <t>ARVIKA</t>
        </is>
      </c>
      <c r="I6637" t="n">
        <v>1.7</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61210-2023</t>
        </is>
      </c>
      <c r="B6638" t="inlineStr">
        <is>
          <t>avverkningsanmälan</t>
        </is>
      </c>
      <c r="C6638" t="inlineStr">
        <is>
          <t>Föryngringsavverkning</t>
        </is>
      </c>
      <c r="D6638" s="1" t="n">
        <v>45264</v>
      </c>
      <c r="E6638" s="1" t="n">
        <v>46307</v>
      </c>
      <c r="F6638" t="inlineStr">
        <is>
          <t>VÄRMLANDS LÄN</t>
        </is>
      </c>
      <c r="G6638" t="inlineStr">
        <is>
          <t>KIL</t>
        </is>
      </c>
      <c r="I6638" t="n">
        <v>7.7</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33088-2022</t>
        </is>
      </c>
      <c r="B6639" t="inlineStr">
        <is>
          <t>avverkningsanmälan</t>
        </is>
      </c>
      <c r="C6639" t="inlineStr">
        <is>
          <t>Föryngringsavverkning</t>
        </is>
      </c>
      <c r="D6639" s="1" t="n">
        <v>44785</v>
      </c>
      <c r="E6639" s="1" t="n">
        <v>46307</v>
      </c>
      <c r="F6639" t="inlineStr">
        <is>
          <t>VÄRMLANDS LÄN</t>
        </is>
      </c>
      <c r="G6639" t="inlineStr">
        <is>
          <t>ARVIKA</t>
        </is>
      </c>
      <c r="I6639" t="n">
        <v>3</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61223-2023</t>
        </is>
      </c>
      <c r="B6640" t="inlineStr">
        <is>
          <t>avverkningsanmälan</t>
        </is>
      </c>
      <c r="C6640" t="inlineStr">
        <is>
          <t>Föryngringsavverkning</t>
        </is>
      </c>
      <c r="D6640" s="1" t="n">
        <v>45264</v>
      </c>
      <c r="E6640" s="1" t="n">
        <v>46307</v>
      </c>
      <c r="F6640" t="inlineStr">
        <is>
          <t>VÄRMLANDS LÄN</t>
        </is>
      </c>
      <c r="G6640" t="inlineStr">
        <is>
          <t>SÄFFLE</t>
        </is>
      </c>
      <c r="I6640" t="n">
        <v>4.3</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57639-2025</t>
        </is>
      </c>
      <c r="B6641" t="inlineStr">
        <is>
          <t>avverkningsanmälan</t>
        </is>
      </c>
      <c r="C6641" t="inlineStr">
        <is>
          <t>Föryngringsavverkning</t>
        </is>
      </c>
      <c r="D6641" s="1" t="n">
        <v>45981</v>
      </c>
      <c r="E6641" s="1" t="n">
        <v>46307</v>
      </c>
      <c r="F6641" t="inlineStr">
        <is>
          <t>VÄRMLANDS LÄN</t>
        </is>
      </c>
      <c r="G6641" t="inlineStr">
        <is>
          <t>EDA</t>
        </is>
      </c>
      <c r="I6641" t="n">
        <v>2.2</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57641-2025</t>
        </is>
      </c>
      <c r="B6642" t="inlineStr">
        <is>
          <t>avverkningsanmälan</t>
        </is>
      </c>
      <c r="C6642" t="inlineStr">
        <is>
          <t>Föryngringsavverkning</t>
        </is>
      </c>
      <c r="D6642" s="1" t="n">
        <v>45981</v>
      </c>
      <c r="E6642" s="1" t="n">
        <v>46307</v>
      </c>
      <c r="F6642" t="inlineStr">
        <is>
          <t>VÄRMLANDS LÄN</t>
        </is>
      </c>
      <c r="G6642" t="inlineStr">
        <is>
          <t>EDA</t>
        </is>
      </c>
      <c r="I6642" t="n">
        <v>2</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17135-2025</t>
        </is>
      </c>
      <c r="B6643" t="inlineStr">
        <is>
          <t>avverkningsanmälan</t>
        </is>
      </c>
      <c r="C6643" t="inlineStr">
        <is>
          <t>Föryngringsavverkning</t>
        </is>
      </c>
      <c r="D6643" s="1" t="n">
        <v>45755</v>
      </c>
      <c r="E6643" s="1" t="n">
        <v>46307</v>
      </c>
      <c r="F6643" t="inlineStr">
        <is>
          <t>VÄRMLANDS LÄN</t>
        </is>
      </c>
      <c r="G6643" t="inlineStr">
        <is>
          <t>FORSHAGA</t>
        </is>
      </c>
      <c r="I6643" t="n">
        <v>10.3</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65012-2021</t>
        </is>
      </c>
      <c r="B6644" t="inlineStr">
        <is>
          <t>avverkningsanmälan</t>
        </is>
      </c>
      <c r="C6644" t="inlineStr">
        <is>
          <t>Föryngringsavverkning</t>
        </is>
      </c>
      <c r="D6644" s="1" t="n">
        <v>44514</v>
      </c>
      <c r="E6644" s="1" t="n">
        <v>46307</v>
      </c>
      <c r="F6644" t="inlineStr">
        <is>
          <t>VÄRMLANDS LÄN</t>
        </is>
      </c>
      <c r="G6644" t="inlineStr">
        <is>
          <t>SUNNE</t>
        </is>
      </c>
      <c r="I6644" t="n">
        <v>0.9</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56875-2022</t>
        </is>
      </c>
      <c r="B6645" t="inlineStr">
        <is>
          <t>avverkningsanmälan</t>
        </is>
      </c>
      <c r="C6645" t="inlineStr">
        <is>
          <t>Föryngringsavverkning</t>
        </is>
      </c>
      <c r="D6645" s="1" t="n">
        <v>44894</v>
      </c>
      <c r="E6645" s="1" t="n">
        <v>46307</v>
      </c>
      <c r="F6645" t="inlineStr">
        <is>
          <t>VÄRMLANDS LÄN</t>
        </is>
      </c>
      <c r="G6645" t="inlineStr">
        <is>
          <t>KRISTINEHAMN</t>
        </is>
      </c>
      <c r="I6645" t="n">
        <v>3.8</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8830-2024</t>
        </is>
      </c>
      <c r="B6646" t="inlineStr">
        <is>
          <t>avverkningsanmälan</t>
        </is>
      </c>
      <c r="C6646" t="inlineStr">
        <is>
          <t>Föryngringsavverkning</t>
        </is>
      </c>
      <c r="D6646" s="1" t="n">
        <v>45356</v>
      </c>
      <c r="E6646" s="1" t="n">
        <v>46307</v>
      </c>
      <c r="F6646" t="inlineStr">
        <is>
          <t>VÄRMLANDS LÄN</t>
        </is>
      </c>
      <c r="G6646" t="inlineStr">
        <is>
          <t>HAGFORS</t>
        </is>
      </c>
      <c r="I6646" t="n">
        <v>1.8</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1464-2023</t>
        </is>
      </c>
      <c r="B6647" t="inlineStr">
        <is>
          <t>avverkningsanmälan</t>
        </is>
      </c>
      <c r="C6647" t="inlineStr">
        <is>
          <t>Föryngringsavverkning</t>
        </is>
      </c>
      <c r="D6647" s="1" t="n">
        <v>44937</v>
      </c>
      <c r="E6647" s="1" t="n">
        <v>46307</v>
      </c>
      <c r="F6647" t="inlineStr">
        <is>
          <t>VÄRMLANDS LÄN</t>
        </is>
      </c>
      <c r="G6647" t="inlineStr">
        <is>
          <t>HAGFORS</t>
        </is>
      </c>
      <c r="H6647" t="inlineStr">
        <is>
          <t>Bergvik skog väst AB</t>
        </is>
      </c>
      <c r="I6647" t="n">
        <v>6</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2351-2024</t>
        </is>
      </c>
      <c r="B6648" t="inlineStr">
        <is>
          <t>avverkningsanmälan</t>
        </is>
      </c>
      <c r="C6648" t="inlineStr">
        <is>
          <t>Föryngringsavverkning</t>
        </is>
      </c>
      <c r="D6648" s="1" t="n">
        <v>45310</v>
      </c>
      <c r="E6648" s="1" t="n">
        <v>46307</v>
      </c>
      <c r="F6648" t="inlineStr">
        <is>
          <t>VÄRMLANDS LÄN</t>
        </is>
      </c>
      <c r="G6648" t="inlineStr">
        <is>
          <t>SÄFFLE</t>
        </is>
      </c>
      <c r="I6648" t="n">
        <v>3.2</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57216-2023</t>
        </is>
      </c>
      <c r="B6649" t="inlineStr">
        <is>
          <t>avverkningsanmälan</t>
        </is>
      </c>
      <c r="C6649" t="inlineStr">
        <is>
          <t>Föryngringsavverkning</t>
        </is>
      </c>
      <c r="D6649" s="1" t="n">
        <v>45245</v>
      </c>
      <c r="E6649" s="1" t="n">
        <v>46307</v>
      </c>
      <c r="F6649" t="inlineStr">
        <is>
          <t>VÄRMLANDS LÄN</t>
        </is>
      </c>
      <c r="G6649" t="inlineStr">
        <is>
          <t>TORSBY</t>
        </is>
      </c>
      <c r="I6649" t="n">
        <v>2.8</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41270-2023</t>
        </is>
      </c>
      <c r="B6650" t="inlineStr">
        <is>
          <t>avverkningsanmälan</t>
        </is>
      </c>
      <c r="C6650" t="inlineStr">
        <is>
          <t>Föryngringsavverkning</t>
        </is>
      </c>
      <c r="D6650" s="1" t="n">
        <v>45174</v>
      </c>
      <c r="E6650" s="1" t="n">
        <v>46307</v>
      </c>
      <c r="F6650" t="inlineStr">
        <is>
          <t>VÄRMLANDS LÄN</t>
        </is>
      </c>
      <c r="G6650" t="inlineStr">
        <is>
          <t>TORSBY</t>
        </is>
      </c>
      <c r="I6650" t="n">
        <v>1</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17579-2024</t>
        </is>
      </c>
      <c r="B6651" t="inlineStr">
        <is>
          <t>avverkningsanmälan</t>
        </is>
      </c>
      <c r="C6651" t="inlineStr">
        <is>
          <t>Föryngringsavverkning</t>
        </is>
      </c>
      <c r="D6651" s="1" t="n">
        <v>45415</v>
      </c>
      <c r="E6651" s="1" t="n">
        <v>46307</v>
      </c>
      <c r="F6651" t="inlineStr">
        <is>
          <t>VÄRMLANDS LÄN</t>
        </is>
      </c>
      <c r="G6651" t="inlineStr">
        <is>
          <t>SUNNE</t>
        </is>
      </c>
      <c r="I6651" t="n">
        <v>1.1</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43558-2024</t>
        </is>
      </c>
      <c r="B6652" t="inlineStr">
        <is>
          <t>avverkningsanmälan</t>
        </is>
      </c>
      <c r="C6652" t="inlineStr">
        <is>
          <t>Föryngringsavverkning</t>
        </is>
      </c>
      <c r="D6652" s="1" t="n">
        <v>45569</v>
      </c>
      <c r="E6652" s="1" t="n">
        <v>46307</v>
      </c>
      <c r="F6652" t="inlineStr">
        <is>
          <t>VÄRMLANDS LÄN</t>
        </is>
      </c>
      <c r="G6652" t="inlineStr">
        <is>
          <t>HAGFORS</t>
        </is>
      </c>
      <c r="H6652" t="inlineStr">
        <is>
          <t>Bergvik skog väst AB</t>
        </is>
      </c>
      <c r="I6652" t="n">
        <v>3.9</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61565-2024</t>
        </is>
      </c>
      <c r="B6653" t="inlineStr">
        <is>
          <t>avverkningsanmälan</t>
        </is>
      </c>
      <c r="C6653" t="inlineStr">
        <is>
          <t>Avverkning för att bevara och utveckla /försöksver</t>
        </is>
      </c>
      <c r="D6653" s="1" t="n">
        <v>45646</v>
      </c>
      <c r="E6653" s="1" t="n">
        <v>46307</v>
      </c>
      <c r="F6653" t="inlineStr">
        <is>
          <t>VÄRMLANDS LÄN</t>
        </is>
      </c>
      <c r="G6653" t="inlineStr">
        <is>
          <t>TORSBY</t>
        </is>
      </c>
      <c r="H6653" t="inlineStr">
        <is>
          <t>Bergvik skog väst AB</t>
        </is>
      </c>
      <c r="I6653" t="n">
        <v>14.4</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19218-2025</t>
        </is>
      </c>
      <c r="B6654" t="inlineStr">
        <is>
          <t>avverkningsanmälan</t>
        </is>
      </c>
      <c r="C6654" t="inlineStr">
        <is>
          <t>Föryngringsavverkning</t>
        </is>
      </c>
      <c r="D6654" s="1" t="n">
        <v>45769</v>
      </c>
      <c r="E6654" s="1" t="n">
        <v>46307</v>
      </c>
      <c r="F6654" t="inlineStr">
        <is>
          <t>VÄRMLANDS LÄN</t>
        </is>
      </c>
      <c r="G6654" t="inlineStr">
        <is>
          <t>SÄFFLE</t>
        </is>
      </c>
      <c r="I6654" t="n">
        <v>2</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9144-2024</t>
        </is>
      </c>
      <c r="B6655" t="inlineStr">
        <is>
          <t>avverkningsanmälan</t>
        </is>
      </c>
      <c r="C6655" t="inlineStr">
        <is>
          <t>Föryngringsavverkning</t>
        </is>
      </c>
      <c r="D6655" s="1" t="n">
        <v>45358</v>
      </c>
      <c r="E6655" s="1" t="n">
        <v>46307</v>
      </c>
      <c r="F6655" t="inlineStr">
        <is>
          <t>VÄRMLANDS LÄN</t>
        </is>
      </c>
      <c r="G6655" t="inlineStr">
        <is>
          <t>GRUMS</t>
        </is>
      </c>
      <c r="I6655" t="n">
        <v>0.8</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33525-2022</t>
        </is>
      </c>
      <c r="B6656" t="inlineStr">
        <is>
          <t>avverkningsanmälan</t>
        </is>
      </c>
      <c r="C6656" t="inlineStr">
        <is>
          <t>Föryngringsavverkning</t>
        </is>
      </c>
      <c r="D6656" s="1" t="n">
        <v>44789</v>
      </c>
      <c r="E6656" s="1" t="n">
        <v>46307</v>
      </c>
      <c r="F6656" t="inlineStr">
        <is>
          <t>VÄRMLANDS LÄN</t>
        </is>
      </c>
      <c r="G6656" t="inlineStr">
        <is>
          <t>ÅRJÄNG</t>
        </is>
      </c>
      <c r="I6656" t="n">
        <v>2.2</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37416-2025</t>
        </is>
      </c>
      <c r="B6657" t="inlineStr">
        <is>
          <t>avverkningsanmälan</t>
        </is>
      </c>
      <c r="C6657" t="inlineStr">
        <is>
          <t>Föryngringsavverkning</t>
        </is>
      </c>
      <c r="D6657" s="1" t="n">
        <v>45877</v>
      </c>
      <c r="E6657" s="1" t="n">
        <v>46307</v>
      </c>
      <c r="F6657" t="inlineStr">
        <is>
          <t>VÄRMLANDS LÄN</t>
        </is>
      </c>
      <c r="G6657" t="inlineStr">
        <is>
          <t>ÅRJÄNG</t>
        </is>
      </c>
      <c r="I6657" t="n">
        <v>3.8</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37724-2025</t>
        </is>
      </c>
      <c r="B6658" t="inlineStr">
        <is>
          <t>avverkningsanmälan</t>
        </is>
      </c>
      <c r="C6658" t="inlineStr">
        <is>
          <t>Föryngringsavverkning</t>
        </is>
      </c>
      <c r="D6658" s="1" t="n">
        <v>45880</v>
      </c>
      <c r="E6658" s="1" t="n">
        <v>46307</v>
      </c>
      <c r="F6658" t="inlineStr">
        <is>
          <t>VÄRMLANDS LÄN</t>
        </is>
      </c>
      <c r="G6658" t="inlineStr">
        <is>
          <t>KARLSTAD</t>
        </is>
      </c>
      <c r="I6658" t="n">
        <v>0.5</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53832-2022</t>
        </is>
      </c>
      <c r="B6659" t="inlineStr">
        <is>
          <t>avverkningsanmälan</t>
        </is>
      </c>
      <c r="C6659" t="inlineStr">
        <is>
          <t>Föryngringsavverkning</t>
        </is>
      </c>
      <c r="D6659" s="1" t="n">
        <v>44880</v>
      </c>
      <c r="E6659" s="1" t="n">
        <v>46307</v>
      </c>
      <c r="F6659" t="inlineStr">
        <is>
          <t>VÄRMLANDS LÄN</t>
        </is>
      </c>
      <c r="G6659" t="inlineStr">
        <is>
          <t>SÄFFLE</t>
        </is>
      </c>
      <c r="I6659" t="n">
        <v>4.9</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22386-2025</t>
        </is>
      </c>
      <c r="B6660" t="inlineStr">
        <is>
          <t>avverkningsanmälan</t>
        </is>
      </c>
      <c r="C6660" t="inlineStr">
        <is>
          <t>Föryngringsavverkning</t>
        </is>
      </c>
      <c r="D6660" s="1" t="n">
        <v>45786</v>
      </c>
      <c r="E6660" s="1" t="n">
        <v>46307</v>
      </c>
      <c r="F6660" t="inlineStr">
        <is>
          <t>VÄRMLANDS LÄN</t>
        </is>
      </c>
      <c r="G6660" t="inlineStr">
        <is>
          <t>TORSBY</t>
        </is>
      </c>
      <c r="I6660" t="n">
        <v>5.2</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40447-2022</t>
        </is>
      </c>
      <c r="B6661" t="inlineStr">
        <is>
          <t>avverkningsanmälan</t>
        </is>
      </c>
      <c r="C6661" t="inlineStr">
        <is>
          <t>Föryngringsavverkning</t>
        </is>
      </c>
      <c r="D6661" s="1" t="n">
        <v>44823</v>
      </c>
      <c r="E6661" s="1" t="n">
        <v>46307</v>
      </c>
      <c r="F6661" t="inlineStr">
        <is>
          <t>VÄRMLANDS LÄN</t>
        </is>
      </c>
      <c r="G6661" t="inlineStr">
        <is>
          <t>ÅRJÄNG</t>
        </is>
      </c>
      <c r="I6661" t="n">
        <v>10.4</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20898-2023</t>
        </is>
      </c>
      <c r="B6662" t="inlineStr">
        <is>
          <t>avverkningsanmälan</t>
        </is>
      </c>
      <c r="C6662" t="inlineStr">
        <is>
          <t>Föryngringsavverkning</t>
        </is>
      </c>
      <c r="D6662" s="1" t="n">
        <v>45059</v>
      </c>
      <c r="E6662" s="1" t="n">
        <v>46307</v>
      </c>
      <c r="F6662" t="inlineStr">
        <is>
          <t>VÄRMLANDS LÄN</t>
        </is>
      </c>
      <c r="G6662" t="inlineStr">
        <is>
          <t>TORSBY</t>
        </is>
      </c>
      <c r="I6662" t="n">
        <v>3.1</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37705-2025</t>
        </is>
      </c>
      <c r="B6663" t="inlineStr">
        <is>
          <t>avverkningsanmälan</t>
        </is>
      </c>
      <c r="C6663" t="inlineStr">
        <is>
          <t>Föryngringsavverkning</t>
        </is>
      </c>
      <c r="D6663" s="1" t="n">
        <v>45880</v>
      </c>
      <c r="E6663" s="1" t="n">
        <v>46307</v>
      </c>
      <c r="F6663" t="inlineStr">
        <is>
          <t>VÄRMLANDS LÄN</t>
        </is>
      </c>
      <c r="G6663" t="inlineStr">
        <is>
          <t>SUNNE</t>
        </is>
      </c>
      <c r="I6663" t="n">
        <v>2.4</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59224-2021</t>
        </is>
      </c>
      <c r="B6664" t="inlineStr">
        <is>
          <t>avverkningsanmälan</t>
        </is>
      </c>
      <c r="C6664" t="inlineStr">
        <is>
          <t>Föryngringsavverkning</t>
        </is>
      </c>
      <c r="D6664" s="1" t="n">
        <v>44490</v>
      </c>
      <c r="E6664" s="1" t="n">
        <v>46307</v>
      </c>
      <c r="F6664" t="inlineStr">
        <is>
          <t>VÄRMLANDS LÄN</t>
        </is>
      </c>
      <c r="G6664" t="inlineStr">
        <is>
          <t>SÄFFLE</t>
        </is>
      </c>
      <c r="I6664" t="n">
        <v>2.8</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33455-2022</t>
        </is>
      </c>
      <c r="B6665" t="inlineStr">
        <is>
          <t>avverkningsanmälan</t>
        </is>
      </c>
      <c r="C6665" t="inlineStr">
        <is>
          <t>Föryngringsavverkning</t>
        </is>
      </c>
      <c r="D6665" s="1" t="n">
        <v>44788</v>
      </c>
      <c r="E6665" s="1" t="n">
        <v>46307</v>
      </c>
      <c r="F6665" t="inlineStr">
        <is>
          <t>VÄRMLANDS LÄN</t>
        </is>
      </c>
      <c r="G6665" t="inlineStr">
        <is>
          <t>SUNNE</t>
        </is>
      </c>
      <c r="I6665" t="n">
        <v>0.8</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8692-2023</t>
        </is>
      </c>
      <c r="B6666" t="inlineStr">
        <is>
          <t>avverkningsanmälan</t>
        </is>
      </c>
      <c r="C6666" t="inlineStr">
        <is>
          <t>Föryngringsavverkning</t>
        </is>
      </c>
      <c r="D6666" s="1" t="n">
        <v>44978</v>
      </c>
      <c r="E6666" s="1" t="n">
        <v>46307</v>
      </c>
      <c r="F6666" t="inlineStr">
        <is>
          <t>VÄRMLANDS LÄN</t>
        </is>
      </c>
      <c r="G6666" t="inlineStr">
        <is>
          <t>SUNNE</t>
        </is>
      </c>
      <c r="I6666" t="n">
        <v>1.6</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44815-2024</t>
        </is>
      </c>
      <c r="B6667" t="inlineStr">
        <is>
          <t>avverkningsanmälan</t>
        </is>
      </c>
      <c r="C6667" t="inlineStr">
        <is>
          <t>Föryngringsavverkning</t>
        </is>
      </c>
      <c r="D6667" s="1" t="n">
        <v>45574</v>
      </c>
      <c r="E6667" s="1" t="n">
        <v>46307</v>
      </c>
      <c r="F6667" t="inlineStr">
        <is>
          <t>VÄRMLANDS LÄN</t>
        </is>
      </c>
      <c r="G6667" t="inlineStr">
        <is>
          <t>SUNNE</t>
        </is>
      </c>
      <c r="I6667" t="n">
        <v>1</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37517-2025</t>
        </is>
      </c>
      <c r="B6668" t="inlineStr">
        <is>
          <t>avverkningsanmälan</t>
        </is>
      </c>
      <c r="C6668" t="inlineStr">
        <is>
          <t>Föryngringsavverkning</t>
        </is>
      </c>
      <c r="D6668" s="1" t="n">
        <v>45877</v>
      </c>
      <c r="E6668" s="1" t="n">
        <v>46307</v>
      </c>
      <c r="F6668" t="inlineStr">
        <is>
          <t>VÄRMLANDS LÄN</t>
        </is>
      </c>
      <c r="G6668" t="inlineStr">
        <is>
          <t>GRUMS</t>
        </is>
      </c>
      <c r="I6668" t="n">
        <v>2.9</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44284-2023</t>
        </is>
      </c>
      <c r="B6669" t="inlineStr">
        <is>
          <t>avverkningsanmälan</t>
        </is>
      </c>
      <c r="C6669" t="inlineStr">
        <is>
          <t>Föryngringsavverkning</t>
        </is>
      </c>
      <c r="D6669" s="1" t="n">
        <v>45188</v>
      </c>
      <c r="E6669" s="1" t="n">
        <v>46307</v>
      </c>
      <c r="F6669" t="inlineStr">
        <is>
          <t>VÄRMLANDS LÄN</t>
        </is>
      </c>
      <c r="G6669" t="inlineStr">
        <is>
          <t>SUNNE</t>
        </is>
      </c>
      <c r="I6669" t="n">
        <v>2.5</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18392-2023</t>
        </is>
      </c>
      <c r="B6670" t="inlineStr">
        <is>
          <t>avverkningsanmälan</t>
        </is>
      </c>
      <c r="C6670" t="inlineStr">
        <is>
          <t>Föryngringsavverkning</t>
        </is>
      </c>
      <c r="D6670" s="1" t="n">
        <v>45042</v>
      </c>
      <c r="E6670" s="1" t="n">
        <v>46307</v>
      </c>
      <c r="F6670" t="inlineStr">
        <is>
          <t>VÄRMLANDS LÄN</t>
        </is>
      </c>
      <c r="G6670" t="inlineStr">
        <is>
          <t>SUNNE</t>
        </is>
      </c>
      <c r="I6670" t="n">
        <v>3.8</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50138-2023</t>
        </is>
      </c>
      <c r="B6671" t="inlineStr">
        <is>
          <t>avverkningsanmälan</t>
        </is>
      </c>
      <c r="C6671" t="inlineStr">
        <is>
          <t>Föryngringsavverkning</t>
        </is>
      </c>
      <c r="D6671" s="1" t="n">
        <v>45215</v>
      </c>
      <c r="E6671" s="1" t="n">
        <v>46307</v>
      </c>
      <c r="F6671" t="inlineStr">
        <is>
          <t>VÄRMLANDS LÄN</t>
        </is>
      </c>
      <c r="G6671" t="inlineStr">
        <is>
          <t>TORSBY</t>
        </is>
      </c>
      <c r="I6671" t="n">
        <v>2.6</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2440-2022</t>
        </is>
      </c>
      <c r="B6672" t="inlineStr">
        <is>
          <t>avverkningsanmälan</t>
        </is>
      </c>
      <c r="C6672" t="inlineStr">
        <is>
          <t>Föryngringsavverkning</t>
        </is>
      </c>
      <c r="D6672" s="1" t="n">
        <v>44579</v>
      </c>
      <c r="E6672" s="1" t="n">
        <v>46307</v>
      </c>
      <c r="F6672" t="inlineStr">
        <is>
          <t>VÄRMLANDS LÄN</t>
        </is>
      </c>
      <c r="G6672" t="inlineStr">
        <is>
          <t>FILIPSTAD</t>
        </is>
      </c>
      <c r="I6672" t="n">
        <v>1.6</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47236-2022</t>
        </is>
      </c>
      <c r="B6673" t="inlineStr">
        <is>
          <t>avverkningsanmälan</t>
        </is>
      </c>
      <c r="C6673" t="inlineStr">
        <is>
          <t>Föryngringsavverkning</t>
        </is>
      </c>
      <c r="D6673" s="1" t="n">
        <v>44852</v>
      </c>
      <c r="E6673" s="1" t="n">
        <v>46307</v>
      </c>
      <c r="F6673" t="inlineStr">
        <is>
          <t>VÄRMLANDS LÄN</t>
        </is>
      </c>
      <c r="G6673" t="inlineStr">
        <is>
          <t>SÄFFLE</t>
        </is>
      </c>
      <c r="I6673" t="n">
        <v>1.6</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8620-2025</t>
        </is>
      </c>
      <c r="B6674" t="inlineStr">
        <is>
          <t>avverkningsanmälan</t>
        </is>
      </c>
      <c r="C6674" t="inlineStr">
        <is>
          <t>Föryngringsavverkning</t>
        </is>
      </c>
      <c r="D6674" s="1" t="n">
        <v>45711</v>
      </c>
      <c r="E6674" s="1" t="n">
        <v>46307</v>
      </c>
      <c r="F6674" t="inlineStr">
        <is>
          <t>VÄRMLANDS LÄN</t>
        </is>
      </c>
      <c r="G6674" t="inlineStr">
        <is>
          <t>SÄFFLE</t>
        </is>
      </c>
      <c r="I6674" t="n">
        <v>4.4</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8633-2025</t>
        </is>
      </c>
      <c r="B6675" t="inlineStr">
        <is>
          <t>avverkningsanmälan</t>
        </is>
      </c>
      <c r="C6675" t="inlineStr">
        <is>
          <t>Föryngringsavverkning</t>
        </is>
      </c>
      <c r="D6675" s="1" t="n">
        <v>45711</v>
      </c>
      <c r="E6675" s="1" t="n">
        <v>46307</v>
      </c>
      <c r="F6675" t="inlineStr">
        <is>
          <t>VÄRMLANDS LÄN</t>
        </is>
      </c>
      <c r="G6675" t="inlineStr">
        <is>
          <t>ARVIKA</t>
        </is>
      </c>
      <c r="H6675" t="inlineStr">
        <is>
          <t>Bergvik skog väst AB</t>
        </is>
      </c>
      <c r="I6675" t="n">
        <v>1</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8634-2025</t>
        </is>
      </c>
      <c r="B6676" t="inlineStr">
        <is>
          <t>avverkningsanmälan</t>
        </is>
      </c>
      <c r="C6676" t="inlineStr">
        <is>
          <t>Föryngringsavverkning</t>
        </is>
      </c>
      <c r="D6676" s="1" t="n">
        <v>45711</v>
      </c>
      <c r="E6676" s="1" t="n">
        <v>46307</v>
      </c>
      <c r="F6676" t="inlineStr">
        <is>
          <t>VÄRMLANDS LÄN</t>
        </is>
      </c>
      <c r="G6676" t="inlineStr">
        <is>
          <t>KARLSTAD</t>
        </is>
      </c>
      <c r="I6676" t="n">
        <v>7.7</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29893-2024</t>
        </is>
      </c>
      <c r="B6677" t="inlineStr">
        <is>
          <t>avverkningsanmälan</t>
        </is>
      </c>
      <c r="C6677" t="inlineStr">
        <is>
          <t>Föryngringsavverkning</t>
        </is>
      </c>
      <c r="D6677" s="1" t="n">
        <v>45487</v>
      </c>
      <c r="E6677" s="1" t="n">
        <v>46307</v>
      </c>
      <c r="F6677" t="inlineStr">
        <is>
          <t>VÄRMLANDS LÄN</t>
        </is>
      </c>
      <c r="G6677" t="inlineStr">
        <is>
          <t>KARLSTAD</t>
        </is>
      </c>
      <c r="I6677" t="n">
        <v>2.8</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37662-2025</t>
        </is>
      </c>
      <c r="B6678" t="inlineStr">
        <is>
          <t>avverkningsanmälan</t>
        </is>
      </c>
      <c r="C6678" t="inlineStr">
        <is>
          <t>Föryngringsavverkning</t>
        </is>
      </c>
      <c r="D6678" s="1" t="n">
        <v>45880</v>
      </c>
      <c r="E6678" s="1" t="n">
        <v>46307</v>
      </c>
      <c r="F6678" t="inlineStr">
        <is>
          <t>VÄRMLANDS LÄN</t>
        </is>
      </c>
      <c r="G6678" t="inlineStr">
        <is>
          <t>ÅRJÄNG</t>
        </is>
      </c>
      <c r="I6678" t="n">
        <v>1.8</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6653-2025</t>
        </is>
      </c>
      <c r="B6679" t="inlineStr">
        <is>
          <t>avverkningsanmälan</t>
        </is>
      </c>
      <c r="C6679" t="inlineStr">
        <is>
          <t>Föryngringsavverkning</t>
        </is>
      </c>
      <c r="D6679" s="1" t="n">
        <v>45700</v>
      </c>
      <c r="E6679" s="1" t="n">
        <v>46307</v>
      </c>
      <c r="F6679" t="inlineStr">
        <is>
          <t>VÄRMLANDS LÄN</t>
        </is>
      </c>
      <c r="G6679" t="inlineStr">
        <is>
          <t>TORSBY</t>
        </is>
      </c>
      <c r="I6679" t="n">
        <v>1.3</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9133-2023</t>
        </is>
      </c>
      <c r="B6680" t="inlineStr">
        <is>
          <t>avverkningsanmälan</t>
        </is>
      </c>
      <c r="C6680" t="inlineStr">
        <is>
          <t>Föryngringsavverkning</t>
        </is>
      </c>
      <c r="D6680" s="1" t="n">
        <v>44980</v>
      </c>
      <c r="E6680" s="1" t="n">
        <v>46307</v>
      </c>
      <c r="F6680" t="inlineStr">
        <is>
          <t>VÄRMLANDS LÄN</t>
        </is>
      </c>
      <c r="G6680" t="inlineStr">
        <is>
          <t>SUNNE</t>
        </is>
      </c>
      <c r="I6680" t="n">
        <v>1</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42537-2022</t>
        </is>
      </c>
      <c r="B6681" t="inlineStr">
        <is>
          <t>avverkningsanmälan</t>
        </is>
      </c>
      <c r="C6681" t="inlineStr">
        <is>
          <t>Föryngringsavverkning</t>
        </is>
      </c>
      <c r="D6681" s="1" t="n">
        <v>44831</v>
      </c>
      <c r="E6681" s="1" t="n">
        <v>46307</v>
      </c>
      <c r="F6681" t="inlineStr">
        <is>
          <t>VÄRMLANDS LÄN</t>
        </is>
      </c>
      <c r="G6681" t="inlineStr">
        <is>
          <t>SUNNE</t>
        </is>
      </c>
      <c r="I6681" t="n">
        <v>1.9</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41315-2022</t>
        </is>
      </c>
      <c r="B6682" t="inlineStr">
        <is>
          <t>avverkningsanmälan</t>
        </is>
      </c>
      <c r="C6682" t="inlineStr">
        <is>
          <t>Föryngringsavverkning</t>
        </is>
      </c>
      <c r="D6682" s="1" t="n">
        <v>44826</v>
      </c>
      <c r="E6682" s="1" t="n">
        <v>46307</v>
      </c>
      <c r="F6682" t="inlineStr">
        <is>
          <t>VÄRMLANDS LÄN</t>
        </is>
      </c>
      <c r="G6682" t="inlineStr">
        <is>
          <t>TORSBY</t>
        </is>
      </c>
      <c r="I6682" t="n">
        <v>5.5</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58062-2021</t>
        </is>
      </c>
      <c r="B6683" t="inlineStr">
        <is>
          <t>avverkningsanmälan</t>
        </is>
      </c>
      <c r="C6683" t="inlineStr">
        <is>
          <t>Föryngringsavverkning</t>
        </is>
      </c>
      <c r="D6683" s="1" t="n">
        <v>44487</v>
      </c>
      <c r="E6683" s="1" t="n">
        <v>46307</v>
      </c>
      <c r="F6683" t="inlineStr">
        <is>
          <t>VÄRMLANDS LÄN</t>
        </is>
      </c>
      <c r="G6683" t="inlineStr">
        <is>
          <t>TORSBY</t>
        </is>
      </c>
      <c r="I6683" t="n">
        <v>6</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4763-2023</t>
        </is>
      </c>
      <c r="B6684" t="inlineStr">
        <is>
          <t>avverkningsanmälan</t>
        </is>
      </c>
      <c r="C6684" t="inlineStr">
        <is>
          <t>Föryngringsavverkning</t>
        </is>
      </c>
      <c r="D6684" s="1" t="n">
        <v>44957</v>
      </c>
      <c r="E6684" s="1" t="n">
        <v>46307</v>
      </c>
      <c r="F6684" t="inlineStr">
        <is>
          <t>VÄRMLANDS LÄN</t>
        </is>
      </c>
      <c r="G6684" t="inlineStr">
        <is>
          <t>ÅRJÄNG</t>
        </is>
      </c>
      <c r="I6684" t="n">
        <v>0.8</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3582-2022</t>
        </is>
      </c>
      <c r="B6685" t="inlineStr">
        <is>
          <t>avverkningsanmälan</t>
        </is>
      </c>
      <c r="C6685" t="inlineStr">
        <is>
          <t>Föryngringsavverkning</t>
        </is>
      </c>
      <c r="D6685" s="1" t="n">
        <v>44586</v>
      </c>
      <c r="E6685" s="1" t="n">
        <v>46307</v>
      </c>
      <c r="F6685" t="inlineStr">
        <is>
          <t>VÄRMLANDS LÄN</t>
        </is>
      </c>
      <c r="G6685" t="inlineStr">
        <is>
          <t>SUNNE</t>
        </is>
      </c>
      <c r="I6685" t="n">
        <v>1</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37680-2025</t>
        </is>
      </c>
      <c r="B6686" t="inlineStr">
        <is>
          <t>avverkningsanmälan</t>
        </is>
      </c>
      <c r="C6686" t="inlineStr">
        <is>
          <t>Föryngringsavverkning</t>
        </is>
      </c>
      <c r="D6686" s="1" t="n">
        <v>45880</v>
      </c>
      <c r="E6686" s="1" t="n">
        <v>46307</v>
      </c>
      <c r="F6686" t="inlineStr">
        <is>
          <t>VÄRMLANDS LÄN</t>
        </is>
      </c>
      <c r="G6686" t="inlineStr">
        <is>
          <t>ÅRJÄNG</t>
        </is>
      </c>
      <c r="I6686" t="n">
        <v>2</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37681-2025</t>
        </is>
      </c>
      <c r="B6687" t="inlineStr">
        <is>
          <t>avverkningsanmälan</t>
        </is>
      </c>
      <c r="C6687" t="inlineStr">
        <is>
          <t>Föryngringsavverkning</t>
        </is>
      </c>
      <c r="D6687" s="1" t="n">
        <v>45880</v>
      </c>
      <c r="E6687" s="1" t="n">
        <v>46307</v>
      </c>
      <c r="F6687" t="inlineStr">
        <is>
          <t>VÄRMLANDS LÄN</t>
        </is>
      </c>
      <c r="G6687" t="inlineStr">
        <is>
          <t>ÅRJÄNG</t>
        </is>
      </c>
      <c r="I6687" t="n">
        <v>1.9</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59941-2023</t>
        </is>
      </c>
      <c r="B6688" t="inlineStr">
        <is>
          <t>avverkningsanmälan</t>
        </is>
      </c>
      <c r="C6688" t="inlineStr">
        <is>
          <t>Föryngringsavverkning</t>
        </is>
      </c>
      <c r="D6688" s="1" t="n">
        <v>45257</v>
      </c>
      <c r="E6688" s="1" t="n">
        <v>46307</v>
      </c>
      <c r="F6688" t="inlineStr">
        <is>
          <t>VÄRMLANDS LÄN</t>
        </is>
      </c>
      <c r="G6688" t="inlineStr">
        <is>
          <t>TORSBY</t>
        </is>
      </c>
      <c r="I6688" t="n">
        <v>1.2</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7927-2024</t>
        </is>
      </c>
      <c r="B6689" t="inlineStr">
        <is>
          <t>avverkningsanmälan</t>
        </is>
      </c>
      <c r="C6689" t="inlineStr">
        <is>
          <t>Föryngringsavverkning</t>
        </is>
      </c>
      <c r="D6689" s="1" t="n">
        <v>45350</v>
      </c>
      <c r="E6689" s="1" t="n">
        <v>46307</v>
      </c>
      <c r="F6689" t="inlineStr">
        <is>
          <t>VÄRMLANDS LÄN</t>
        </is>
      </c>
      <c r="G6689" t="inlineStr">
        <is>
          <t>TORSBY</t>
        </is>
      </c>
      <c r="I6689" t="n">
        <v>3.3</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60314-2023</t>
        </is>
      </c>
      <c r="B6690" t="inlineStr">
        <is>
          <t>avverkningsanmälan</t>
        </is>
      </c>
      <c r="C6690" t="inlineStr">
        <is>
          <t>Föryngringsavverkning</t>
        </is>
      </c>
      <c r="D6690" s="1" t="n">
        <v>45258</v>
      </c>
      <c r="E6690" s="1" t="n">
        <v>46307</v>
      </c>
      <c r="F6690" t="inlineStr">
        <is>
          <t>VÄRMLANDS LÄN</t>
        </is>
      </c>
      <c r="G6690" t="inlineStr">
        <is>
          <t>TORSBY</t>
        </is>
      </c>
      <c r="I6690" t="n">
        <v>0.1</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52580-2023</t>
        </is>
      </c>
      <c r="B6691" t="inlineStr">
        <is>
          <t>avverkningsanmälan</t>
        </is>
      </c>
      <c r="C6691" t="inlineStr">
        <is>
          <t>Föryngringsavverkning</t>
        </is>
      </c>
      <c r="D6691" s="1" t="n">
        <v>45225</v>
      </c>
      <c r="E6691" s="1" t="n">
        <v>46307</v>
      </c>
      <c r="F6691" t="inlineStr">
        <is>
          <t>VÄRMLANDS LÄN</t>
        </is>
      </c>
      <c r="G6691" t="inlineStr">
        <is>
          <t>TORSBY</t>
        </is>
      </c>
      <c r="I6691" t="n">
        <v>3.3</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64229-2023</t>
        </is>
      </c>
      <c r="B6692" t="inlineStr">
        <is>
          <t>avverkningsanmälan</t>
        </is>
      </c>
      <c r="C6692" t="inlineStr">
        <is>
          <t>Föryngringsavverkning</t>
        </is>
      </c>
      <c r="D6692" s="1" t="n">
        <v>45279</v>
      </c>
      <c r="E6692" s="1" t="n">
        <v>46307</v>
      </c>
      <c r="F6692" t="inlineStr">
        <is>
          <t>VÄRMLANDS LÄN</t>
        </is>
      </c>
      <c r="G6692" t="inlineStr">
        <is>
          <t>ÅRJÄNG</t>
        </is>
      </c>
      <c r="I6692" t="n">
        <v>0.7</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18269-2025</t>
        </is>
      </c>
      <c r="B6693" t="inlineStr">
        <is>
          <t>avverkningsanmälan</t>
        </is>
      </c>
      <c r="C6693" t="inlineStr">
        <is>
          <t>Föryngringsavverkning</t>
        </is>
      </c>
      <c r="D6693" s="1" t="n">
        <v>45762</v>
      </c>
      <c r="E6693" s="1" t="n">
        <v>46307</v>
      </c>
      <c r="F6693" t="inlineStr">
        <is>
          <t>VÄRMLANDS LÄN</t>
        </is>
      </c>
      <c r="G6693" t="inlineStr">
        <is>
          <t>ARVIKA</t>
        </is>
      </c>
      <c r="I6693" t="n">
        <v>1.1</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57814-2025</t>
        </is>
      </c>
      <c r="B6694" t="inlineStr">
        <is>
          <t>avverkningsanmälan</t>
        </is>
      </c>
      <c r="C6694" t="inlineStr">
        <is>
          <t>Föryngringsavverkning</t>
        </is>
      </c>
      <c r="D6694" s="1" t="n">
        <v>45981</v>
      </c>
      <c r="E6694" s="1" t="n">
        <v>46307</v>
      </c>
      <c r="F6694" t="inlineStr">
        <is>
          <t>VÄRMLANDS LÄN</t>
        </is>
      </c>
      <c r="G6694" t="inlineStr">
        <is>
          <t>HAGFORS</t>
        </is>
      </c>
      <c r="I6694" t="n">
        <v>2.8</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27811-2023</t>
        </is>
      </c>
      <c r="B6695" t="inlineStr">
        <is>
          <t>avverkningsanmälan</t>
        </is>
      </c>
      <c r="C6695" t="inlineStr">
        <is>
          <t>Föryngringsavverkning</t>
        </is>
      </c>
      <c r="D6695" s="1" t="n">
        <v>45098</v>
      </c>
      <c r="E6695" s="1" t="n">
        <v>46307</v>
      </c>
      <c r="F6695" t="inlineStr">
        <is>
          <t>VÄRMLANDS LÄN</t>
        </is>
      </c>
      <c r="G6695" t="inlineStr">
        <is>
          <t>SÄFFLE</t>
        </is>
      </c>
      <c r="I6695" t="n">
        <v>3</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41580-2022</t>
        </is>
      </c>
      <c r="B6696" t="inlineStr">
        <is>
          <t>avverkningsanmälan</t>
        </is>
      </c>
      <c r="C6696" t="inlineStr">
        <is>
          <t>Föryngringsavverkning</t>
        </is>
      </c>
      <c r="D6696" s="1" t="n">
        <v>44827</v>
      </c>
      <c r="E6696" s="1" t="n">
        <v>46307</v>
      </c>
      <c r="F6696" t="inlineStr">
        <is>
          <t>VÄRMLANDS LÄN</t>
        </is>
      </c>
      <c r="G6696" t="inlineStr">
        <is>
          <t>ARVIKA</t>
        </is>
      </c>
      <c r="I6696" t="n">
        <v>1.8</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26321-2023</t>
        </is>
      </c>
      <c r="B6697" t="inlineStr">
        <is>
          <t>avverkningsanmälan</t>
        </is>
      </c>
      <c r="C6697" t="inlineStr">
        <is>
          <t>Föryngringsavverkning</t>
        </is>
      </c>
      <c r="D6697" s="1" t="n">
        <v>45091</v>
      </c>
      <c r="E6697" s="1" t="n">
        <v>46307</v>
      </c>
      <c r="F6697" t="inlineStr">
        <is>
          <t>VÄRMLANDS LÄN</t>
        </is>
      </c>
      <c r="G6697" t="inlineStr">
        <is>
          <t>ARVIKA</t>
        </is>
      </c>
      <c r="I6697" t="n">
        <v>2.4</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26324-2023</t>
        </is>
      </c>
      <c r="B6698" t="inlineStr">
        <is>
          <t>avverkningsanmälan</t>
        </is>
      </c>
      <c r="C6698" t="inlineStr">
        <is>
          <t>Föryngringsavverkning</t>
        </is>
      </c>
      <c r="D6698" s="1" t="n">
        <v>45091</v>
      </c>
      <c r="E6698" s="1" t="n">
        <v>46307</v>
      </c>
      <c r="F6698" t="inlineStr">
        <is>
          <t>VÄRMLANDS LÄN</t>
        </is>
      </c>
      <c r="G6698" t="inlineStr">
        <is>
          <t>ARVIKA</t>
        </is>
      </c>
      <c r="I6698" t="n">
        <v>1.1</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58106-2025</t>
        </is>
      </c>
      <c r="B6699" t="inlineStr">
        <is>
          <t>avverkningsanmälan</t>
        </is>
      </c>
      <c r="C6699" t="inlineStr">
        <is>
          <t>Föryngringsavverkning</t>
        </is>
      </c>
      <c r="D6699" s="1" t="n">
        <v>45982</v>
      </c>
      <c r="E6699" s="1" t="n">
        <v>46307</v>
      </c>
      <c r="F6699" t="inlineStr">
        <is>
          <t>VÄRMLANDS LÄN</t>
        </is>
      </c>
      <c r="G6699" t="inlineStr">
        <is>
          <t>SÄFFLE</t>
        </is>
      </c>
      <c r="I6699" t="n">
        <v>1.6</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36790-2024</t>
        </is>
      </c>
      <c r="B6700" t="inlineStr">
        <is>
          <t>avverkningsanmälan</t>
        </is>
      </c>
      <c r="C6700" t="inlineStr">
        <is>
          <t>Föryngringsavverkning</t>
        </is>
      </c>
      <c r="D6700" s="1" t="n">
        <v>45538</v>
      </c>
      <c r="E6700" s="1" t="n">
        <v>46307</v>
      </c>
      <c r="F6700" t="inlineStr">
        <is>
          <t>VÄRMLANDS LÄN</t>
        </is>
      </c>
      <c r="G6700" t="inlineStr">
        <is>
          <t>TORSBY</t>
        </is>
      </c>
      <c r="I6700" t="n">
        <v>0.7</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58135-2025</t>
        </is>
      </c>
      <c r="B6701" t="inlineStr">
        <is>
          <t>avverkningsanmälan</t>
        </is>
      </c>
      <c r="C6701" t="inlineStr">
        <is>
          <t>Föryngringsavverkning</t>
        </is>
      </c>
      <c r="D6701" s="1" t="n">
        <v>45982</v>
      </c>
      <c r="E6701" s="1" t="n">
        <v>46307</v>
      </c>
      <c r="F6701" t="inlineStr">
        <is>
          <t>VÄRMLANDS LÄN</t>
        </is>
      </c>
      <c r="G6701" t="inlineStr">
        <is>
          <t>ARVIKA</t>
        </is>
      </c>
      <c r="I6701" t="n">
        <v>0.7</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60541-2023</t>
        </is>
      </c>
      <c r="B6702" t="inlineStr">
        <is>
          <t>avverkningsanmälan</t>
        </is>
      </c>
      <c r="C6702" t="inlineStr">
        <is>
          <t>Föryngringsavverkning</t>
        </is>
      </c>
      <c r="D6702" s="1" t="n">
        <v>45259</v>
      </c>
      <c r="E6702" s="1" t="n">
        <v>46307</v>
      </c>
      <c r="F6702" t="inlineStr">
        <is>
          <t>VÄRMLANDS LÄN</t>
        </is>
      </c>
      <c r="G6702" t="inlineStr">
        <is>
          <t>SUNNE</t>
        </is>
      </c>
      <c r="I6702" t="n">
        <v>11.1</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7877-2025</t>
        </is>
      </c>
      <c r="B6703" t="inlineStr">
        <is>
          <t>avverkningsanmälan</t>
        </is>
      </c>
      <c r="C6703" t="inlineStr">
        <is>
          <t>Föryngringsavverkning</t>
        </is>
      </c>
      <c r="D6703" s="1" t="n">
        <v>45706</v>
      </c>
      <c r="E6703" s="1" t="n">
        <v>46307</v>
      </c>
      <c r="F6703" t="inlineStr">
        <is>
          <t>VÄRMLANDS LÄN</t>
        </is>
      </c>
      <c r="G6703" t="inlineStr">
        <is>
          <t>ÅRJÄNG</t>
        </is>
      </c>
      <c r="I6703" t="n">
        <v>2.8</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2783-2025</t>
        </is>
      </c>
      <c r="B6704" t="inlineStr">
        <is>
          <t>avverkningsanmälan</t>
        </is>
      </c>
      <c r="C6704" t="inlineStr">
        <is>
          <t>Föryngringsavverkning</t>
        </is>
      </c>
      <c r="D6704" s="1" t="n">
        <v>45676</v>
      </c>
      <c r="E6704" s="1" t="n">
        <v>46307</v>
      </c>
      <c r="F6704" t="inlineStr">
        <is>
          <t>VÄRMLANDS LÄN</t>
        </is>
      </c>
      <c r="G6704" t="inlineStr">
        <is>
          <t>SÄFFLE</t>
        </is>
      </c>
      <c r="I6704" t="n">
        <v>1.5</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2803-2025</t>
        </is>
      </c>
      <c r="B6705" t="inlineStr">
        <is>
          <t>avverkningsanmälan</t>
        </is>
      </c>
      <c r="C6705" t="inlineStr">
        <is>
          <t>Avverkning för annat ändamål</t>
        </is>
      </c>
      <c r="D6705" s="1" t="n">
        <v>45677</v>
      </c>
      <c r="E6705" s="1" t="n">
        <v>46307</v>
      </c>
      <c r="F6705" t="inlineStr">
        <is>
          <t>VÄRMLANDS LÄN</t>
        </is>
      </c>
      <c r="G6705" t="inlineStr">
        <is>
          <t>TORSBY</t>
        </is>
      </c>
      <c r="H6705" t="inlineStr">
        <is>
          <t>Bergvik skog väst AB</t>
        </is>
      </c>
      <c r="I6705" t="n">
        <v>0.6</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37758-2025</t>
        </is>
      </c>
      <c r="B6706" t="inlineStr">
        <is>
          <t>avverkningsanmälan</t>
        </is>
      </c>
      <c r="C6706" t="inlineStr">
        <is>
          <t>Föryngringsavverkning</t>
        </is>
      </c>
      <c r="D6706" s="1" t="n">
        <v>45880</v>
      </c>
      <c r="E6706" s="1" t="n">
        <v>46307</v>
      </c>
      <c r="F6706" t="inlineStr">
        <is>
          <t>VÄRMLANDS LÄN</t>
        </is>
      </c>
      <c r="G6706" t="inlineStr">
        <is>
          <t>KARLSTAD</t>
        </is>
      </c>
      <c r="I6706" t="n">
        <v>0.5</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19523-2022</t>
        </is>
      </c>
      <c r="B6707" t="inlineStr">
        <is>
          <t>avverkningsanmälan</t>
        </is>
      </c>
      <c r="C6707" t="inlineStr">
        <is>
          <t>Föryngringsavverkning</t>
        </is>
      </c>
      <c r="D6707" s="1" t="n">
        <v>44693</v>
      </c>
      <c r="E6707" s="1" t="n">
        <v>46307</v>
      </c>
      <c r="F6707" t="inlineStr">
        <is>
          <t>VÄRMLANDS LÄN</t>
        </is>
      </c>
      <c r="G6707" t="inlineStr">
        <is>
          <t>SUNNE</t>
        </is>
      </c>
      <c r="I6707" t="n">
        <v>1</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19526-2022</t>
        </is>
      </c>
      <c r="B6708" t="inlineStr">
        <is>
          <t>avverkningsanmälan</t>
        </is>
      </c>
      <c r="C6708" t="inlineStr">
        <is>
          <t>Föryngringsavverkning</t>
        </is>
      </c>
      <c r="D6708" s="1" t="n">
        <v>44693</v>
      </c>
      <c r="E6708" s="1" t="n">
        <v>46307</v>
      </c>
      <c r="F6708" t="inlineStr">
        <is>
          <t>VÄRMLANDS LÄN</t>
        </is>
      </c>
      <c r="G6708" t="inlineStr">
        <is>
          <t>SUNNE</t>
        </is>
      </c>
      <c r="I6708" t="n">
        <v>2.4</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13399-2022</t>
        </is>
      </c>
      <c r="B6709" t="inlineStr">
        <is>
          <t>avverkningsanmälan</t>
        </is>
      </c>
      <c r="C6709" t="inlineStr">
        <is>
          <t>Föryngringsavverkning</t>
        </is>
      </c>
      <c r="D6709" s="1" t="n">
        <v>44645</v>
      </c>
      <c r="E6709" s="1" t="n">
        <v>46307</v>
      </c>
      <c r="F6709" t="inlineStr">
        <is>
          <t>VÄRMLANDS LÄN</t>
        </is>
      </c>
      <c r="G6709" t="inlineStr">
        <is>
          <t>ARVIKA</t>
        </is>
      </c>
      <c r="H6709" t="inlineStr">
        <is>
          <t>Bergvik skog väst AB</t>
        </is>
      </c>
      <c r="I6709" t="n">
        <v>5.9</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47068-2022</t>
        </is>
      </c>
      <c r="B6710" t="inlineStr">
        <is>
          <t>avverkningsanmälan</t>
        </is>
      </c>
      <c r="C6710" t="inlineStr">
        <is>
          <t>Föryngringsavverkning</t>
        </is>
      </c>
      <c r="D6710" s="1" t="n">
        <v>44852</v>
      </c>
      <c r="E6710" s="1" t="n">
        <v>46307</v>
      </c>
      <c r="F6710" t="inlineStr">
        <is>
          <t>VÄRMLANDS LÄN</t>
        </is>
      </c>
      <c r="G6710" t="inlineStr">
        <is>
          <t>SUNNE</t>
        </is>
      </c>
      <c r="I6710" t="n">
        <v>7.9</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37736-2025</t>
        </is>
      </c>
      <c r="B6711" t="inlineStr">
        <is>
          <t>avverkningsanmälan</t>
        </is>
      </c>
      <c r="C6711" t="inlineStr">
        <is>
          <t>Föryngringsavverkning</t>
        </is>
      </c>
      <c r="D6711" s="1" t="n">
        <v>45880</v>
      </c>
      <c r="E6711" s="1" t="n">
        <v>46307</v>
      </c>
      <c r="F6711" t="inlineStr">
        <is>
          <t>VÄRMLANDS LÄN</t>
        </is>
      </c>
      <c r="G6711" t="inlineStr">
        <is>
          <t>TORSBY</t>
        </is>
      </c>
      <c r="I6711" t="n">
        <v>0.7</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63488-2023</t>
        </is>
      </c>
      <c r="B6712" t="inlineStr">
        <is>
          <t>avverkningsanmälan</t>
        </is>
      </c>
      <c r="C6712" t="inlineStr">
        <is>
          <t>Föryngringsavverkning</t>
        </is>
      </c>
      <c r="D6712" s="1" t="n">
        <v>45274</v>
      </c>
      <c r="E6712" s="1" t="n">
        <v>46307</v>
      </c>
      <c r="F6712" t="inlineStr">
        <is>
          <t>VÄRMLANDS LÄN</t>
        </is>
      </c>
      <c r="G6712" t="inlineStr">
        <is>
          <t>EDA</t>
        </is>
      </c>
      <c r="I6712" t="n">
        <v>2</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57151-2023</t>
        </is>
      </c>
      <c r="B6713" t="inlineStr">
        <is>
          <t>avverkningsanmälan</t>
        </is>
      </c>
      <c r="C6713" t="inlineStr">
        <is>
          <t>Föryngringsavverkning</t>
        </is>
      </c>
      <c r="D6713" s="1" t="n">
        <v>45245</v>
      </c>
      <c r="E6713" s="1" t="n">
        <v>46307</v>
      </c>
      <c r="F6713" t="inlineStr">
        <is>
          <t>VÄRMLANDS LÄN</t>
        </is>
      </c>
      <c r="G6713" t="inlineStr">
        <is>
          <t>KIL</t>
        </is>
      </c>
      <c r="I6713" t="n">
        <v>1.5</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57153-2023</t>
        </is>
      </c>
      <c r="B6714" t="inlineStr">
        <is>
          <t>avverkningsanmälan</t>
        </is>
      </c>
      <c r="C6714" t="inlineStr">
        <is>
          <t>Föryngringsavverkning</t>
        </is>
      </c>
      <c r="D6714" s="1" t="n">
        <v>45239</v>
      </c>
      <c r="E6714" s="1" t="n">
        <v>46307</v>
      </c>
      <c r="F6714" t="inlineStr">
        <is>
          <t>VÄRMLANDS LÄN</t>
        </is>
      </c>
      <c r="G6714" t="inlineStr">
        <is>
          <t>SÄFFLE</t>
        </is>
      </c>
      <c r="I6714" t="n">
        <v>4.1</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37555-2025</t>
        </is>
      </c>
      <c r="B6715" t="inlineStr">
        <is>
          <t>avverkningsanmälan</t>
        </is>
      </c>
      <c r="C6715" t="inlineStr">
        <is>
          <t>Föryngringsavverkning</t>
        </is>
      </c>
      <c r="D6715" s="1" t="n">
        <v>45880</v>
      </c>
      <c r="E6715" s="1" t="n">
        <v>46307</v>
      </c>
      <c r="F6715" t="inlineStr">
        <is>
          <t>VÄRMLANDS LÄN</t>
        </is>
      </c>
      <c r="G6715" t="inlineStr">
        <is>
          <t>ÅRJÄNG</t>
        </is>
      </c>
      <c r="I6715" t="n">
        <v>0.8</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37515-2025</t>
        </is>
      </c>
      <c r="B6716" t="inlineStr">
        <is>
          <t>avverkningsanmälan</t>
        </is>
      </c>
      <c r="C6716" t="inlineStr">
        <is>
          <t>Föryngringsavverkning</t>
        </is>
      </c>
      <c r="D6716" s="1" t="n">
        <v>45877</v>
      </c>
      <c r="E6716" s="1" t="n">
        <v>46307</v>
      </c>
      <c r="F6716" t="inlineStr">
        <is>
          <t>VÄRMLANDS LÄN</t>
        </is>
      </c>
      <c r="G6716" t="inlineStr">
        <is>
          <t>GRUMS</t>
        </is>
      </c>
      <c r="I6716" t="n">
        <v>0.5</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26901-2023</t>
        </is>
      </c>
      <c r="B6717" t="inlineStr">
        <is>
          <t>avverkningsanmälan</t>
        </is>
      </c>
      <c r="C6717" t="inlineStr">
        <is>
          <t>Föryngringsavverkning</t>
        </is>
      </c>
      <c r="D6717" s="1" t="n">
        <v>45093</v>
      </c>
      <c r="E6717" s="1" t="n">
        <v>46307</v>
      </c>
      <c r="F6717" t="inlineStr">
        <is>
          <t>VÄRMLANDS LÄN</t>
        </is>
      </c>
      <c r="G6717" t="inlineStr">
        <is>
          <t>SUNNE</t>
        </is>
      </c>
      <c r="I6717" t="n">
        <v>1.4</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16826-2024</t>
        </is>
      </c>
      <c r="B6718" t="inlineStr">
        <is>
          <t>avverkningsanmälan</t>
        </is>
      </c>
      <c r="C6718" t="inlineStr">
        <is>
          <t>Föryngringsavverkning</t>
        </is>
      </c>
      <c r="D6718" s="1" t="n">
        <v>45411</v>
      </c>
      <c r="E6718" s="1" t="n">
        <v>46307</v>
      </c>
      <c r="F6718" t="inlineStr">
        <is>
          <t>VÄRMLANDS LÄN</t>
        </is>
      </c>
      <c r="G6718" t="inlineStr">
        <is>
          <t>SUNNE</t>
        </is>
      </c>
      <c r="I6718" t="n">
        <v>0.6</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58039-2025</t>
        </is>
      </c>
      <c r="B6719" t="inlineStr">
        <is>
          <t>avverkningsanmälan</t>
        </is>
      </c>
      <c r="C6719" t="inlineStr">
        <is>
          <t>Föryngringsavverkning</t>
        </is>
      </c>
      <c r="D6719" s="1" t="n">
        <v>45982</v>
      </c>
      <c r="E6719" s="1" t="n">
        <v>46307</v>
      </c>
      <c r="F6719" t="inlineStr">
        <is>
          <t>VÄRMLANDS LÄN</t>
        </is>
      </c>
      <c r="G6719" t="inlineStr">
        <is>
          <t>ARVIKA</t>
        </is>
      </c>
      <c r="I6719" t="n">
        <v>1.8</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32444-2022</t>
        </is>
      </c>
      <c r="B6720" t="inlineStr">
        <is>
          <t>avverkningsanmälan</t>
        </is>
      </c>
      <c r="C6720" t="inlineStr">
        <is>
          <t>Föryngringsavverkning</t>
        </is>
      </c>
      <c r="D6720" s="1" t="n">
        <v>44782</v>
      </c>
      <c r="E6720" s="1" t="n">
        <v>46307</v>
      </c>
      <c r="F6720" t="inlineStr">
        <is>
          <t>VÄRMLANDS LÄN</t>
        </is>
      </c>
      <c r="G6720" t="inlineStr">
        <is>
          <t>TORSBY</t>
        </is>
      </c>
      <c r="H6720" t="inlineStr">
        <is>
          <t>Bergvik skog väst AB</t>
        </is>
      </c>
      <c r="I6720" t="n">
        <v>3.2</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14741-2023</t>
        </is>
      </c>
      <c r="B6721" t="inlineStr">
        <is>
          <t>avverkningsanmälan</t>
        </is>
      </c>
      <c r="C6721" t="inlineStr">
        <is>
          <t>Föryngringsavverkning</t>
        </is>
      </c>
      <c r="D6721" s="1" t="n">
        <v>45014</v>
      </c>
      <c r="E6721" s="1" t="n">
        <v>46307</v>
      </c>
      <c r="F6721" t="inlineStr">
        <is>
          <t>VÄRMLANDS LÄN</t>
        </is>
      </c>
      <c r="G6721" t="inlineStr">
        <is>
          <t>SUNNE</t>
        </is>
      </c>
      <c r="I6721" t="n">
        <v>1.4</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36674-2023</t>
        </is>
      </c>
      <c r="B6722" t="inlineStr">
        <is>
          <t>avverkningsanmälan</t>
        </is>
      </c>
      <c r="C6722" t="inlineStr">
        <is>
          <t>Föryngringsavverkning</t>
        </is>
      </c>
      <c r="D6722" s="1" t="n">
        <v>45153</v>
      </c>
      <c r="E6722" s="1" t="n">
        <v>46307</v>
      </c>
      <c r="F6722" t="inlineStr">
        <is>
          <t>VÄRMLANDS LÄN</t>
        </is>
      </c>
      <c r="G6722" t="inlineStr">
        <is>
          <t>TORSBY</t>
        </is>
      </c>
      <c r="I6722" t="n">
        <v>4.9</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49244-2022</t>
        </is>
      </c>
      <c r="B6723" t="inlineStr">
        <is>
          <t>avverkningsanmälan</t>
        </is>
      </c>
      <c r="C6723" t="inlineStr">
        <is>
          <t>Föryngringsavverkning</t>
        </is>
      </c>
      <c r="D6723" s="1" t="n">
        <v>44861</v>
      </c>
      <c r="E6723" s="1" t="n">
        <v>46307</v>
      </c>
      <c r="F6723" t="inlineStr">
        <is>
          <t>VÄRMLANDS LÄN</t>
        </is>
      </c>
      <c r="G6723" t="inlineStr">
        <is>
          <t>SUNNE</t>
        </is>
      </c>
      <c r="I6723" t="n">
        <v>2.2</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19675-2023</t>
        </is>
      </c>
      <c r="B6724" t="inlineStr">
        <is>
          <t>avverkningsanmälan</t>
        </is>
      </c>
      <c r="C6724" t="inlineStr">
        <is>
          <t>Föryngringsavverkning</t>
        </is>
      </c>
      <c r="D6724" s="1" t="n">
        <v>45051</v>
      </c>
      <c r="E6724" s="1" t="n">
        <v>46307</v>
      </c>
      <c r="F6724" t="inlineStr">
        <is>
          <t>VÄRMLANDS LÄN</t>
        </is>
      </c>
      <c r="G6724" t="inlineStr">
        <is>
          <t>TORSBY</t>
        </is>
      </c>
      <c r="I6724" t="n">
        <v>0.5</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9900-2023</t>
        </is>
      </c>
      <c r="B6725" t="inlineStr">
        <is>
          <t>avverkningsanmälan</t>
        </is>
      </c>
      <c r="C6725" t="inlineStr">
        <is>
          <t>Föryngringsavverkning</t>
        </is>
      </c>
      <c r="D6725" s="1" t="n">
        <v>44985</v>
      </c>
      <c r="E6725" s="1" t="n">
        <v>46307</v>
      </c>
      <c r="F6725" t="inlineStr">
        <is>
          <t>VÄRMLANDS LÄN</t>
        </is>
      </c>
      <c r="G6725" t="inlineStr">
        <is>
          <t>SUNNE</t>
        </is>
      </c>
      <c r="I6725" t="n">
        <v>2.4</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27677-2024</t>
        </is>
      </c>
      <c r="B6726" t="inlineStr">
        <is>
          <t>avverkningsanmälan</t>
        </is>
      </c>
      <c r="C6726" t="inlineStr">
        <is>
          <t>Föryngringsavverkning</t>
        </is>
      </c>
      <c r="D6726" s="1" t="n">
        <v>45475</v>
      </c>
      <c r="E6726" s="1" t="n">
        <v>46307</v>
      </c>
      <c r="F6726" t="inlineStr">
        <is>
          <t>VÄRMLANDS LÄN</t>
        </is>
      </c>
      <c r="G6726" t="inlineStr">
        <is>
          <t>TORSBY</t>
        </is>
      </c>
      <c r="I6726" t="n">
        <v>0.7</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32496-2022</t>
        </is>
      </c>
      <c r="B6727" t="inlineStr">
        <is>
          <t>avverkningsanmälan</t>
        </is>
      </c>
      <c r="C6727" t="inlineStr">
        <is>
          <t>Föryngringsavverkning</t>
        </is>
      </c>
      <c r="D6727" s="1" t="n">
        <v>44782</v>
      </c>
      <c r="E6727" s="1" t="n">
        <v>46307</v>
      </c>
      <c r="F6727" t="inlineStr">
        <is>
          <t>VÄRMLANDS LÄN</t>
        </is>
      </c>
      <c r="G6727" t="inlineStr">
        <is>
          <t>TORSBY</t>
        </is>
      </c>
      <c r="I6727" t="n">
        <v>1.9</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27678-2024</t>
        </is>
      </c>
      <c r="B6728" t="inlineStr">
        <is>
          <t>avverkningsanmälan</t>
        </is>
      </c>
      <c r="C6728" t="inlineStr">
        <is>
          <t>Föryngringsavverkning</t>
        </is>
      </c>
      <c r="D6728" s="1" t="n">
        <v>45475</v>
      </c>
      <c r="E6728" s="1" t="n">
        <v>46307</v>
      </c>
      <c r="F6728" t="inlineStr">
        <is>
          <t>VÄRMLANDS LÄN</t>
        </is>
      </c>
      <c r="G6728" t="inlineStr">
        <is>
          <t>TORSBY</t>
        </is>
      </c>
      <c r="I6728" t="n">
        <v>0.5</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45152-2023</t>
        </is>
      </c>
      <c r="B6729" t="inlineStr">
        <is>
          <t>avverkningsanmälan</t>
        </is>
      </c>
      <c r="C6729" t="inlineStr">
        <is>
          <t>Föryngringsavverkning</t>
        </is>
      </c>
      <c r="D6729" s="1" t="n">
        <v>45191</v>
      </c>
      <c r="E6729" s="1" t="n">
        <v>46307</v>
      </c>
      <c r="F6729" t="inlineStr">
        <is>
          <t>VÄRMLANDS LÄN</t>
        </is>
      </c>
      <c r="G6729" t="inlineStr">
        <is>
          <t>TORSBY</t>
        </is>
      </c>
      <c r="I6729" t="n">
        <v>2.3</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28005-2024</t>
        </is>
      </c>
      <c r="B6730" t="inlineStr">
        <is>
          <t>avverkningsanmälan</t>
        </is>
      </c>
      <c r="C6730" t="inlineStr">
        <is>
          <t>Föryngringsavverkning</t>
        </is>
      </c>
      <c r="D6730" s="1" t="n">
        <v>45476</v>
      </c>
      <c r="E6730" s="1" t="n">
        <v>46307</v>
      </c>
      <c r="F6730" t="inlineStr">
        <is>
          <t>VÄRMLANDS LÄN</t>
        </is>
      </c>
      <c r="G6730" t="inlineStr">
        <is>
          <t>TORSBY</t>
        </is>
      </c>
      <c r="I6730" t="n">
        <v>4.5</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20269-2025</t>
        </is>
      </c>
      <c r="B6731" t="inlineStr">
        <is>
          <t>avverkningsanmälan</t>
        </is>
      </c>
      <c r="C6731" t="inlineStr">
        <is>
          <t>Föryngringsavverkning</t>
        </is>
      </c>
      <c r="D6731" s="1" t="n">
        <v>45773</v>
      </c>
      <c r="E6731" s="1" t="n">
        <v>46307</v>
      </c>
      <c r="F6731" t="inlineStr">
        <is>
          <t>VÄRMLANDS LÄN</t>
        </is>
      </c>
      <c r="G6731" t="inlineStr">
        <is>
          <t>SUNNE</t>
        </is>
      </c>
      <c r="I6731" t="n">
        <v>0.9</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49840-2024</t>
        </is>
      </c>
      <c r="B6732" t="inlineStr">
        <is>
          <t>avverkningsanmälan</t>
        </is>
      </c>
      <c r="C6732" t="inlineStr">
        <is>
          <t>Föryngringsavverkning</t>
        </is>
      </c>
      <c r="D6732" s="1" t="n">
        <v>45597</v>
      </c>
      <c r="E6732" s="1" t="n">
        <v>46307</v>
      </c>
      <c r="F6732" t="inlineStr">
        <is>
          <t>VÄRMLANDS LÄN</t>
        </is>
      </c>
      <c r="G6732" t="inlineStr">
        <is>
          <t>TORSBY</t>
        </is>
      </c>
      <c r="I6732" t="n">
        <v>0.5</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28314-2025</t>
        </is>
      </c>
      <c r="B6733" t="inlineStr">
        <is>
          <t>avverkningsanmälan</t>
        </is>
      </c>
      <c r="C6733" t="inlineStr">
        <is>
          <t>Föryngringsavverkning</t>
        </is>
      </c>
      <c r="D6733" s="1" t="n">
        <v>45818</v>
      </c>
      <c r="E6733" s="1" t="n">
        <v>46307</v>
      </c>
      <c r="F6733" t="inlineStr">
        <is>
          <t>VÄRMLANDS LÄN</t>
        </is>
      </c>
      <c r="G6733" t="inlineStr">
        <is>
          <t>ÅRJÄNG</t>
        </is>
      </c>
      <c r="I6733" t="n">
        <v>2.5</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58019-2025</t>
        </is>
      </c>
      <c r="B6734" t="inlineStr">
        <is>
          <t>avverkningsanmälan</t>
        </is>
      </c>
      <c r="C6734" t="inlineStr">
        <is>
          <t>Föryngringsavverkning</t>
        </is>
      </c>
      <c r="D6734" s="1" t="n">
        <v>45982</v>
      </c>
      <c r="E6734" s="1" t="n">
        <v>46307</v>
      </c>
      <c r="F6734" t="inlineStr">
        <is>
          <t>VÄRMLANDS LÄN</t>
        </is>
      </c>
      <c r="G6734" t="inlineStr">
        <is>
          <t>FILIPSTAD</t>
        </is>
      </c>
      <c r="H6734" t="inlineStr">
        <is>
          <t>Bergvik skog väst AB</t>
        </is>
      </c>
      <c r="I6734" t="n">
        <v>28.4</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16153-2025</t>
        </is>
      </c>
      <c r="B6735" t="inlineStr">
        <is>
          <t>avverkningsanmälan</t>
        </is>
      </c>
      <c r="C6735" t="inlineStr">
        <is>
          <t>Föryngringsavverkning</t>
        </is>
      </c>
      <c r="D6735" s="1" t="n">
        <v>45750</v>
      </c>
      <c r="E6735" s="1" t="n">
        <v>46307</v>
      </c>
      <c r="F6735" t="inlineStr">
        <is>
          <t>VÄRMLANDS LÄN</t>
        </is>
      </c>
      <c r="G6735" t="inlineStr">
        <is>
          <t>HAGFORS</t>
        </is>
      </c>
      <c r="I6735" t="n">
        <v>1.7</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41322-2022</t>
        </is>
      </c>
      <c r="B6736" t="inlineStr">
        <is>
          <t>avverkningsanmälan</t>
        </is>
      </c>
      <c r="C6736" t="inlineStr">
        <is>
          <t>Föryngringsavverkning</t>
        </is>
      </c>
      <c r="D6736" s="1" t="n">
        <v>44826</v>
      </c>
      <c r="E6736" s="1" t="n">
        <v>46307</v>
      </c>
      <c r="F6736" t="inlineStr">
        <is>
          <t>VÄRMLANDS LÄN</t>
        </is>
      </c>
      <c r="G6736" t="inlineStr">
        <is>
          <t>TORSBY</t>
        </is>
      </c>
      <c r="I6736" t="n">
        <v>3.7</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13561-2023</t>
        </is>
      </c>
      <c r="B6737" t="inlineStr">
        <is>
          <t>avverkningsanmälan</t>
        </is>
      </c>
      <c r="C6737" t="inlineStr">
        <is>
          <t>Föryngringsavverkning</t>
        </is>
      </c>
      <c r="D6737" s="1" t="n">
        <v>45006</v>
      </c>
      <c r="E6737" s="1" t="n">
        <v>46307</v>
      </c>
      <c r="F6737" t="inlineStr">
        <is>
          <t>VÄRMLANDS LÄN</t>
        </is>
      </c>
      <c r="G6737" t="inlineStr">
        <is>
          <t>TORSBY</t>
        </is>
      </c>
      <c r="I6737" t="n">
        <v>4.2</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45304-2023</t>
        </is>
      </c>
      <c r="B6738" t="inlineStr">
        <is>
          <t>avverkningsanmälan</t>
        </is>
      </c>
      <c r="C6738" t="inlineStr">
        <is>
          <t>Föryngringsavverkning</t>
        </is>
      </c>
      <c r="D6738" s="1" t="n">
        <v>45191</v>
      </c>
      <c r="E6738" s="1" t="n">
        <v>46307</v>
      </c>
      <c r="F6738" t="inlineStr">
        <is>
          <t>VÄRMLANDS LÄN</t>
        </is>
      </c>
      <c r="G6738" t="inlineStr">
        <is>
          <t>SUNNE</t>
        </is>
      </c>
      <c r="I6738" t="n">
        <v>4.7</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4089-2022</t>
        </is>
      </c>
      <c r="B6739" t="inlineStr">
        <is>
          <t>avverkningsanmälan</t>
        </is>
      </c>
      <c r="C6739" t="inlineStr">
        <is>
          <t>Föryngringsavverkning</t>
        </is>
      </c>
      <c r="D6739" s="1" t="n">
        <v>44588</v>
      </c>
      <c r="E6739" s="1" t="n">
        <v>46307</v>
      </c>
      <c r="F6739" t="inlineStr">
        <is>
          <t>VÄRMLANDS LÄN</t>
        </is>
      </c>
      <c r="G6739" t="inlineStr">
        <is>
          <t>SUNNE</t>
        </is>
      </c>
      <c r="I6739" t="n">
        <v>0.9</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33756-2022</t>
        </is>
      </c>
      <c r="B6740" t="inlineStr">
        <is>
          <t>avverkningsanmälan</t>
        </is>
      </c>
      <c r="C6740" t="inlineStr">
        <is>
          <t>Föryngringsavverkning</t>
        </is>
      </c>
      <c r="D6740" s="1" t="n">
        <v>44790</v>
      </c>
      <c r="E6740" s="1" t="n">
        <v>46307</v>
      </c>
      <c r="F6740" t="inlineStr">
        <is>
          <t>VÄRMLANDS LÄN</t>
        </is>
      </c>
      <c r="G6740" t="inlineStr">
        <is>
          <t>SUNNE</t>
        </is>
      </c>
      <c r="I6740" t="n">
        <v>3.3</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13765-2025</t>
        </is>
      </c>
      <c r="B6741" t="inlineStr">
        <is>
          <t>avverkningsanmälan</t>
        </is>
      </c>
      <c r="C6741" t="inlineStr">
        <is>
          <t>Föryngringsavverkning</t>
        </is>
      </c>
      <c r="D6741" s="1" t="n">
        <v>45737</v>
      </c>
      <c r="E6741" s="1" t="n">
        <v>46307</v>
      </c>
      <c r="F6741" t="inlineStr">
        <is>
          <t>VÄRMLANDS LÄN</t>
        </is>
      </c>
      <c r="G6741" t="inlineStr">
        <is>
          <t>EDA</t>
        </is>
      </c>
      <c r="I6741" t="n">
        <v>0.6</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52081-2022</t>
        </is>
      </c>
      <c r="B6742" t="inlineStr">
        <is>
          <t>avverkningsanmälan</t>
        </is>
      </c>
      <c r="C6742" t="inlineStr">
        <is>
          <t>Föryngringsavverkning</t>
        </is>
      </c>
      <c r="D6742" s="1" t="n">
        <v>44868</v>
      </c>
      <c r="E6742" s="1" t="n">
        <v>46307</v>
      </c>
      <c r="F6742" t="inlineStr">
        <is>
          <t>VÄRMLANDS LÄN</t>
        </is>
      </c>
      <c r="G6742" t="inlineStr">
        <is>
          <t>SÄFFLE</t>
        </is>
      </c>
      <c r="I6742" t="n">
        <v>1.4</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40718-2022</t>
        </is>
      </c>
      <c r="B6743" t="inlineStr">
        <is>
          <t>avverkningsanmälan</t>
        </is>
      </c>
      <c r="C6743" t="inlineStr">
        <is>
          <t>Föryngringsavverkning</t>
        </is>
      </c>
      <c r="D6743" s="1" t="n">
        <v>44824</v>
      </c>
      <c r="E6743" s="1" t="n">
        <v>46307</v>
      </c>
      <c r="F6743" t="inlineStr">
        <is>
          <t>VÄRMLANDS LÄN</t>
        </is>
      </c>
      <c r="G6743" t="inlineStr">
        <is>
          <t>TORSBY</t>
        </is>
      </c>
      <c r="I6743" t="n">
        <v>2.6</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42701-2022</t>
        </is>
      </c>
      <c r="B6744" t="inlineStr">
        <is>
          <t>avverkningsanmälan</t>
        </is>
      </c>
      <c r="C6744" t="inlineStr">
        <is>
          <t>Föryngringsavverkning</t>
        </is>
      </c>
      <c r="D6744" s="1" t="n">
        <v>44832</v>
      </c>
      <c r="E6744" s="1" t="n">
        <v>46307</v>
      </c>
      <c r="F6744" t="inlineStr">
        <is>
          <t>VÄRMLANDS LÄN</t>
        </is>
      </c>
      <c r="G6744" t="inlineStr">
        <is>
          <t>TORSBY</t>
        </is>
      </c>
      <c r="I6744" t="n">
        <v>2.4</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32851-2022</t>
        </is>
      </c>
      <c r="B6745" t="inlineStr">
        <is>
          <t>avverkningsanmälan</t>
        </is>
      </c>
      <c r="C6745" t="inlineStr">
        <is>
          <t>Föryngringsavverkning</t>
        </is>
      </c>
      <c r="D6745" s="1" t="n">
        <v>44784</v>
      </c>
      <c r="E6745" s="1" t="n">
        <v>46307</v>
      </c>
      <c r="F6745" t="inlineStr">
        <is>
          <t>VÄRMLANDS LÄN</t>
        </is>
      </c>
      <c r="G6745" t="inlineStr">
        <is>
          <t>SUNNE</t>
        </is>
      </c>
      <c r="I6745" t="n">
        <v>1</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30808-2024</t>
        </is>
      </c>
      <c r="B6746" t="inlineStr">
        <is>
          <t>avverkningsanmälan</t>
        </is>
      </c>
      <c r="C6746" t="inlineStr">
        <is>
          <t>Föryngringsavverkning</t>
        </is>
      </c>
      <c r="D6746" s="1" t="n">
        <v>45497</v>
      </c>
      <c r="E6746" s="1" t="n">
        <v>46307</v>
      </c>
      <c r="F6746" t="inlineStr">
        <is>
          <t>VÄRMLANDS LÄN</t>
        </is>
      </c>
      <c r="G6746" t="inlineStr">
        <is>
          <t>SÄFFLE</t>
        </is>
      </c>
      <c r="I6746" t="n">
        <v>1.4</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59613-2024</t>
        </is>
      </c>
      <c r="B6747" t="inlineStr">
        <is>
          <t>avverkningsanmälan</t>
        </is>
      </c>
      <c r="C6747" t="inlineStr">
        <is>
          <t>Föryngringsavverkning</t>
        </is>
      </c>
      <c r="D6747" s="1" t="n">
        <v>45638</v>
      </c>
      <c r="E6747" s="1" t="n">
        <v>46307</v>
      </c>
      <c r="F6747" t="inlineStr">
        <is>
          <t>VÄRMLANDS LÄN</t>
        </is>
      </c>
      <c r="G6747" t="inlineStr">
        <is>
          <t>TORSBY</t>
        </is>
      </c>
      <c r="I6747" t="n">
        <v>4.6</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37629-2025</t>
        </is>
      </c>
      <c r="B6748" t="inlineStr">
        <is>
          <t>avverkningsanmälan</t>
        </is>
      </c>
      <c r="C6748" t="inlineStr">
        <is>
          <t>Föryngringsavverkning</t>
        </is>
      </c>
      <c r="D6748" s="1" t="n">
        <v>45880</v>
      </c>
      <c r="E6748" s="1" t="n">
        <v>46307</v>
      </c>
      <c r="F6748" t="inlineStr">
        <is>
          <t>VÄRMLANDS LÄN</t>
        </is>
      </c>
      <c r="G6748" t="inlineStr">
        <is>
          <t>SUNNE</t>
        </is>
      </c>
      <c r="I6748" t="n">
        <v>2.1</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37495-2025</t>
        </is>
      </c>
      <c r="B6749" t="inlineStr">
        <is>
          <t>avverkningsanmälan</t>
        </is>
      </c>
      <c r="C6749" t="inlineStr">
        <is>
          <t>Föryngringsavverkning</t>
        </is>
      </c>
      <c r="D6749" s="1" t="n">
        <v>45877</v>
      </c>
      <c r="E6749" s="1" t="n">
        <v>46307</v>
      </c>
      <c r="F6749" t="inlineStr">
        <is>
          <t>VÄRMLANDS LÄN</t>
        </is>
      </c>
      <c r="G6749" t="inlineStr">
        <is>
          <t>GRUMS</t>
        </is>
      </c>
      <c r="I6749" t="n">
        <v>1.9</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20-2024</t>
        </is>
      </c>
      <c r="B6750" t="inlineStr">
        <is>
          <t>avverkningsanmälan</t>
        </is>
      </c>
      <c r="C6750" t="inlineStr">
        <is>
          <t>Föryngringsavverkning</t>
        </is>
      </c>
      <c r="D6750" s="1" t="n">
        <v>45293</v>
      </c>
      <c r="E6750" s="1" t="n">
        <v>46307</v>
      </c>
      <c r="F6750" t="inlineStr">
        <is>
          <t>VÄRMLANDS LÄN</t>
        </is>
      </c>
      <c r="G6750" t="inlineStr">
        <is>
          <t>EDA</t>
        </is>
      </c>
      <c r="I6750" t="n">
        <v>0.9</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37575-2025</t>
        </is>
      </c>
      <c r="B6751" t="inlineStr">
        <is>
          <t>avverkningsanmälan</t>
        </is>
      </c>
      <c r="C6751" t="inlineStr">
        <is>
          <t>Föryngringsavverkning</t>
        </is>
      </c>
      <c r="D6751" s="1" t="n">
        <v>45880</v>
      </c>
      <c r="E6751" s="1" t="n">
        <v>46307</v>
      </c>
      <c r="F6751" t="inlineStr">
        <is>
          <t>VÄRMLANDS LÄN</t>
        </is>
      </c>
      <c r="G6751" t="inlineStr">
        <is>
          <t>TORSBY</t>
        </is>
      </c>
      <c r="I6751" t="n">
        <v>1.4</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67193-2021</t>
        </is>
      </c>
      <c r="B6752" t="inlineStr">
        <is>
          <t>avverkningsanmälan</t>
        </is>
      </c>
      <c r="C6752" t="inlineStr">
        <is>
          <t>Föryngringsavverkning</t>
        </is>
      </c>
      <c r="D6752" s="1" t="n">
        <v>44523</v>
      </c>
      <c r="E6752" s="1" t="n">
        <v>46307</v>
      </c>
      <c r="F6752" t="inlineStr">
        <is>
          <t>VÄRMLANDS LÄN</t>
        </is>
      </c>
      <c r="G6752" t="inlineStr">
        <is>
          <t>SUNNE</t>
        </is>
      </c>
      <c r="I6752" t="n">
        <v>3.5</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26042-2024</t>
        </is>
      </c>
      <c r="B6753" t="inlineStr">
        <is>
          <t>avverkningsanmälan</t>
        </is>
      </c>
      <c r="C6753" t="inlineStr">
        <is>
          <t>Föryngringsavverkning</t>
        </is>
      </c>
      <c r="D6753" s="1" t="n">
        <v>45468</v>
      </c>
      <c r="E6753" s="1" t="n">
        <v>46307</v>
      </c>
      <c r="F6753" t="inlineStr">
        <is>
          <t>VÄRMLANDS LÄN</t>
        </is>
      </c>
      <c r="G6753" t="inlineStr">
        <is>
          <t>TORSBY</t>
        </is>
      </c>
      <c r="I6753" t="n">
        <v>0.9</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57918-2025</t>
        </is>
      </c>
      <c r="B6754" t="inlineStr">
        <is>
          <t>avverkningsanmälan</t>
        </is>
      </c>
      <c r="C6754" t="inlineStr">
        <is>
          <t>Föryngringsavverkning</t>
        </is>
      </c>
      <c r="D6754" s="1" t="n">
        <v>45981</v>
      </c>
      <c r="E6754" s="1" t="n">
        <v>46307</v>
      </c>
      <c r="F6754" t="inlineStr">
        <is>
          <t>VÄRMLANDS LÄN</t>
        </is>
      </c>
      <c r="G6754" t="inlineStr">
        <is>
          <t>ARVIKA</t>
        </is>
      </c>
      <c r="I6754" t="n">
        <v>1.7</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58976-2024</t>
        </is>
      </c>
      <c r="B6755" t="inlineStr">
        <is>
          <t>avverkningsanmälan</t>
        </is>
      </c>
      <c r="C6755" t="inlineStr">
        <is>
          <t>Föryngringsavverkning</t>
        </is>
      </c>
      <c r="D6755" s="1" t="n">
        <v>45636</v>
      </c>
      <c r="E6755" s="1" t="n">
        <v>46307</v>
      </c>
      <c r="F6755" t="inlineStr">
        <is>
          <t>VÄRMLANDS LÄN</t>
        </is>
      </c>
      <c r="G6755" t="inlineStr">
        <is>
          <t>TORSBY</t>
        </is>
      </c>
      <c r="I6755" t="n">
        <v>0.6</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37832-2025</t>
        </is>
      </c>
      <c r="B6756" t="inlineStr">
        <is>
          <t>avverkningsanmälan</t>
        </is>
      </c>
      <c r="C6756" t="inlineStr">
        <is>
          <t>Föryngringsavverkning</t>
        </is>
      </c>
      <c r="D6756" s="1" t="n">
        <v>45881</v>
      </c>
      <c r="E6756" s="1" t="n">
        <v>46307</v>
      </c>
      <c r="F6756" t="inlineStr">
        <is>
          <t>VÄRMLANDS LÄN</t>
        </is>
      </c>
      <c r="G6756" t="inlineStr">
        <is>
          <t>SUNNE</t>
        </is>
      </c>
      <c r="H6756" t="inlineStr">
        <is>
          <t>Bergvik skog väst AB</t>
        </is>
      </c>
      <c r="I6756" t="n">
        <v>15.7</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37836-2025</t>
        </is>
      </c>
      <c r="B6757" t="inlineStr">
        <is>
          <t>avverkningsanmälan</t>
        </is>
      </c>
      <c r="C6757" t="inlineStr">
        <is>
          <t>Föryngringsavverkning</t>
        </is>
      </c>
      <c r="D6757" s="1" t="n">
        <v>45881</v>
      </c>
      <c r="E6757" s="1" t="n">
        <v>46307</v>
      </c>
      <c r="F6757" t="inlineStr">
        <is>
          <t>VÄRMLANDS LÄN</t>
        </is>
      </c>
      <c r="G6757" t="inlineStr">
        <is>
          <t>ARVIKA</t>
        </is>
      </c>
      <c r="H6757" t="inlineStr">
        <is>
          <t>Bergvik skog väst AB</t>
        </is>
      </c>
      <c r="I6757" t="n">
        <v>0.5</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64824-2023</t>
        </is>
      </c>
      <c r="B6758" t="inlineStr">
        <is>
          <t>avverkningsanmälan</t>
        </is>
      </c>
      <c r="C6758" t="inlineStr">
        <is>
          <t>Föryngringsavverkning</t>
        </is>
      </c>
      <c r="D6758" s="1" t="n">
        <v>45281</v>
      </c>
      <c r="E6758" s="1" t="n">
        <v>46307</v>
      </c>
      <c r="F6758" t="inlineStr">
        <is>
          <t>VÄRMLANDS LÄN</t>
        </is>
      </c>
      <c r="G6758" t="inlineStr">
        <is>
          <t>SÄFFLE</t>
        </is>
      </c>
      <c r="I6758" t="n">
        <v>1.4</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46221-2023</t>
        </is>
      </c>
      <c r="B6759" t="inlineStr">
        <is>
          <t>avverkningsanmälan</t>
        </is>
      </c>
      <c r="C6759" t="inlineStr">
        <is>
          <t>Föryngringsavverkning</t>
        </is>
      </c>
      <c r="D6759" s="1" t="n">
        <v>45196</v>
      </c>
      <c r="E6759" s="1" t="n">
        <v>46307</v>
      </c>
      <c r="F6759" t="inlineStr">
        <is>
          <t>VÄRMLANDS LÄN</t>
        </is>
      </c>
      <c r="G6759" t="inlineStr">
        <is>
          <t>TORSBY</t>
        </is>
      </c>
      <c r="I6759" t="n">
        <v>6.5</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15009-2025</t>
        </is>
      </c>
      <c r="B6760" t="inlineStr">
        <is>
          <t>avverkningsanmälan</t>
        </is>
      </c>
      <c r="C6760" t="inlineStr">
        <is>
          <t>Föryngringsavverkning</t>
        </is>
      </c>
      <c r="D6760" s="1" t="n">
        <v>45743</v>
      </c>
      <c r="E6760" s="1" t="n">
        <v>46307</v>
      </c>
      <c r="F6760" t="inlineStr">
        <is>
          <t>VÄRMLANDS LÄN</t>
        </is>
      </c>
      <c r="G6760" t="inlineStr">
        <is>
          <t>EDA</t>
        </is>
      </c>
      <c r="I6760" t="n">
        <v>1.6</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40009-2022</t>
        </is>
      </c>
      <c r="B6761" t="inlineStr">
        <is>
          <t>avverkningsanmälan</t>
        </is>
      </c>
      <c r="C6761" t="inlineStr">
        <is>
          <t>Avverkning för annat ändamål</t>
        </is>
      </c>
      <c r="D6761" s="1" t="n">
        <v>44820</v>
      </c>
      <c r="E6761" s="1" t="n">
        <v>46307</v>
      </c>
      <c r="F6761" t="inlineStr">
        <is>
          <t>VÄRMLANDS LÄN</t>
        </is>
      </c>
      <c r="G6761" t="inlineStr">
        <is>
          <t>TORSBY</t>
        </is>
      </c>
      <c r="I6761" t="n">
        <v>4.8</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46297-2023</t>
        </is>
      </c>
      <c r="B6762" t="inlineStr">
        <is>
          <t>avverkningsanmälan</t>
        </is>
      </c>
      <c r="C6762" t="inlineStr">
        <is>
          <t>Föryngringsavverkning</t>
        </is>
      </c>
      <c r="D6762" s="1" t="n">
        <v>45197</v>
      </c>
      <c r="E6762" s="1" t="n">
        <v>46307</v>
      </c>
      <c r="F6762" t="inlineStr">
        <is>
          <t>VÄRMLANDS LÄN</t>
        </is>
      </c>
      <c r="G6762" t="inlineStr">
        <is>
          <t>EDA</t>
        </is>
      </c>
      <c r="I6762" t="n">
        <v>2.4</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37932-2025</t>
        </is>
      </c>
      <c r="B6763" t="inlineStr">
        <is>
          <t>avverkningsanmälan</t>
        </is>
      </c>
      <c r="C6763" t="inlineStr">
        <is>
          <t>Avverkning för att bevara och utveckla /försöksver</t>
        </is>
      </c>
      <c r="D6763" s="1" t="n">
        <v>45881</v>
      </c>
      <c r="E6763" s="1" t="n">
        <v>46307</v>
      </c>
      <c r="F6763" t="inlineStr">
        <is>
          <t>VÄRMLANDS LÄN</t>
        </is>
      </c>
      <c r="G6763" t="inlineStr">
        <is>
          <t>KARLSTAD</t>
        </is>
      </c>
      <c r="H6763" t="inlineStr">
        <is>
          <t>Bergvik skog väst AB</t>
        </is>
      </c>
      <c r="I6763" t="n">
        <v>1.6</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37992-2025</t>
        </is>
      </c>
      <c r="B6764" t="inlineStr">
        <is>
          <t>avverkningsanmälan</t>
        </is>
      </c>
      <c r="C6764" t="inlineStr">
        <is>
          <t>Föryngringsavverkning</t>
        </is>
      </c>
      <c r="D6764" s="1" t="n">
        <v>45881</v>
      </c>
      <c r="E6764" s="1" t="n">
        <v>46307</v>
      </c>
      <c r="F6764" t="inlineStr">
        <is>
          <t>VÄRMLANDS LÄN</t>
        </is>
      </c>
      <c r="G6764" t="inlineStr">
        <is>
          <t>SUNNE</t>
        </is>
      </c>
      <c r="I6764" t="n">
        <v>1.1</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19242-2025</t>
        </is>
      </c>
      <c r="B6765" t="inlineStr">
        <is>
          <t>avverkningsanmälan</t>
        </is>
      </c>
      <c r="C6765" t="inlineStr">
        <is>
          <t>Föryngringsavverkning</t>
        </is>
      </c>
      <c r="D6765" s="1" t="n">
        <v>45769</v>
      </c>
      <c r="E6765" s="1" t="n">
        <v>46307</v>
      </c>
      <c r="F6765" t="inlineStr">
        <is>
          <t>VÄRMLANDS LÄN</t>
        </is>
      </c>
      <c r="G6765" t="inlineStr">
        <is>
          <t>ÅRJÄNG</t>
        </is>
      </c>
      <c r="I6765" t="n">
        <v>17.5</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56021-2023</t>
        </is>
      </c>
      <c r="B6766" t="inlineStr">
        <is>
          <t>avverkningsanmälan</t>
        </is>
      </c>
      <c r="C6766" t="inlineStr">
        <is>
          <t>Avverkning för annat ändamål</t>
        </is>
      </c>
      <c r="D6766" s="1" t="n">
        <v>45240</v>
      </c>
      <c r="E6766" s="1" t="n">
        <v>46307</v>
      </c>
      <c r="F6766" t="inlineStr">
        <is>
          <t>VÄRMLANDS LÄN</t>
        </is>
      </c>
      <c r="G6766" t="inlineStr">
        <is>
          <t>TORSBY</t>
        </is>
      </c>
      <c r="I6766" t="n">
        <v>2.1</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37990-2025</t>
        </is>
      </c>
      <c r="B6767" t="inlineStr">
        <is>
          <t>avverkningsanmälan</t>
        </is>
      </c>
      <c r="C6767" t="inlineStr">
        <is>
          <t>Föryngringsavverkning</t>
        </is>
      </c>
      <c r="D6767" s="1" t="n">
        <v>45881</v>
      </c>
      <c r="E6767" s="1" t="n">
        <v>46307</v>
      </c>
      <c r="F6767" t="inlineStr">
        <is>
          <t>VÄRMLANDS LÄN</t>
        </is>
      </c>
      <c r="G6767" t="inlineStr">
        <is>
          <t>SUNNE</t>
        </is>
      </c>
      <c r="I6767" t="n">
        <v>2</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57647-2023</t>
        </is>
      </c>
      <c r="B6768" t="inlineStr">
        <is>
          <t>avverkningsanmälan</t>
        </is>
      </c>
      <c r="C6768" t="inlineStr">
        <is>
          <t>Föryngringsavverkning</t>
        </is>
      </c>
      <c r="D6768" s="1" t="n">
        <v>45246</v>
      </c>
      <c r="E6768" s="1" t="n">
        <v>46307</v>
      </c>
      <c r="F6768" t="inlineStr">
        <is>
          <t>VÄRMLANDS LÄN</t>
        </is>
      </c>
      <c r="G6768" t="inlineStr">
        <is>
          <t>TORSBY</t>
        </is>
      </c>
      <c r="I6768" t="n">
        <v>10.3</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37081-2023</t>
        </is>
      </c>
      <c r="B6769" t="inlineStr">
        <is>
          <t>avverkningsanmälan</t>
        </is>
      </c>
      <c r="C6769" t="inlineStr">
        <is>
          <t>Föryngringsavverkning</t>
        </is>
      </c>
      <c r="D6769" s="1" t="n">
        <v>45155</v>
      </c>
      <c r="E6769" s="1" t="n">
        <v>46307</v>
      </c>
      <c r="F6769" t="inlineStr">
        <is>
          <t>VÄRMLANDS LÄN</t>
        </is>
      </c>
      <c r="G6769" t="inlineStr">
        <is>
          <t>TORSBY</t>
        </is>
      </c>
      <c r="I6769" t="n">
        <v>1.1</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37085-2023</t>
        </is>
      </c>
      <c r="B6770" t="inlineStr">
        <is>
          <t>avverkningsanmälan</t>
        </is>
      </c>
      <c r="C6770" t="inlineStr">
        <is>
          <t>Föryngringsavverkning</t>
        </is>
      </c>
      <c r="D6770" s="1" t="n">
        <v>45155</v>
      </c>
      <c r="E6770" s="1" t="n">
        <v>46307</v>
      </c>
      <c r="F6770" t="inlineStr">
        <is>
          <t>VÄRMLANDS LÄN</t>
        </is>
      </c>
      <c r="G6770" t="inlineStr">
        <is>
          <t>HAGFORS</t>
        </is>
      </c>
      <c r="H6770" t="inlineStr">
        <is>
          <t>Bergvik skog väst AB</t>
        </is>
      </c>
      <c r="I6770" t="n">
        <v>5.5</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38141-2025</t>
        </is>
      </c>
      <c r="B6771" t="inlineStr">
        <is>
          <t>avverkningsanmälan</t>
        </is>
      </c>
      <c r="C6771" t="inlineStr">
        <is>
          <t>Föryngringsavverkning</t>
        </is>
      </c>
      <c r="D6771" s="1" t="n">
        <v>45882</v>
      </c>
      <c r="E6771" s="1" t="n">
        <v>46307</v>
      </c>
      <c r="F6771" t="inlineStr">
        <is>
          <t>VÄRMLANDS LÄN</t>
        </is>
      </c>
      <c r="G6771" t="inlineStr">
        <is>
          <t>ARVIKA</t>
        </is>
      </c>
      <c r="I6771" t="n">
        <v>1.5</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924-2024</t>
        </is>
      </c>
      <c r="B6772" t="inlineStr">
        <is>
          <t>avverkningsanmälan</t>
        </is>
      </c>
      <c r="C6772" t="inlineStr">
        <is>
          <t>Föryngringsavverkning</t>
        </is>
      </c>
      <c r="D6772" s="1" t="n">
        <v>45301</v>
      </c>
      <c r="E6772" s="1" t="n">
        <v>46307</v>
      </c>
      <c r="F6772" t="inlineStr">
        <is>
          <t>VÄRMLANDS LÄN</t>
        </is>
      </c>
      <c r="G6772" t="inlineStr">
        <is>
          <t>TORSBY</t>
        </is>
      </c>
      <c r="I6772" t="n">
        <v>0.8</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13773-2025</t>
        </is>
      </c>
      <c r="B6773" t="inlineStr">
        <is>
          <t>avverkningsanmälan</t>
        </is>
      </c>
      <c r="C6773" t="inlineStr">
        <is>
          <t>Föryngringsavverkning</t>
        </is>
      </c>
      <c r="D6773" s="1" t="n">
        <v>45736</v>
      </c>
      <c r="E6773" s="1" t="n">
        <v>46307</v>
      </c>
      <c r="F6773" t="inlineStr">
        <is>
          <t>VÄRMLANDS LÄN</t>
        </is>
      </c>
      <c r="G6773" t="inlineStr">
        <is>
          <t>SÄFFLE</t>
        </is>
      </c>
      <c r="I6773" t="n">
        <v>10.7</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38011-2025</t>
        </is>
      </c>
      <c r="B6774" t="inlineStr">
        <is>
          <t>avverkningsanmälan</t>
        </is>
      </c>
      <c r="C6774" t="inlineStr">
        <is>
          <t>Föryngringsavverkning</t>
        </is>
      </c>
      <c r="D6774" s="1" t="n">
        <v>45882</v>
      </c>
      <c r="E6774" s="1" t="n">
        <v>46307</v>
      </c>
      <c r="F6774" t="inlineStr">
        <is>
          <t>VÄRMLANDS LÄN</t>
        </is>
      </c>
      <c r="G6774" t="inlineStr">
        <is>
          <t>SUNNE</t>
        </is>
      </c>
      <c r="I6774" t="n">
        <v>2.2</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38013-2025</t>
        </is>
      </c>
      <c r="B6775" t="inlineStr">
        <is>
          <t>avverkningsanmälan</t>
        </is>
      </c>
      <c r="C6775" t="inlineStr">
        <is>
          <t>Föryngringsavverkning</t>
        </is>
      </c>
      <c r="D6775" s="1" t="n">
        <v>45882</v>
      </c>
      <c r="E6775" s="1" t="n">
        <v>46307</v>
      </c>
      <c r="F6775" t="inlineStr">
        <is>
          <t>VÄRMLANDS LÄN</t>
        </is>
      </c>
      <c r="G6775" t="inlineStr">
        <is>
          <t>EDA</t>
        </is>
      </c>
      <c r="I6775" t="n">
        <v>0.6</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38014-2025</t>
        </is>
      </c>
      <c r="B6776" t="inlineStr">
        <is>
          <t>avverkningsanmälan</t>
        </is>
      </c>
      <c r="C6776" t="inlineStr">
        <is>
          <t>Föryngringsavverkning</t>
        </is>
      </c>
      <c r="D6776" s="1" t="n">
        <v>45882</v>
      </c>
      <c r="E6776" s="1" t="n">
        <v>46307</v>
      </c>
      <c r="F6776" t="inlineStr">
        <is>
          <t>VÄRMLANDS LÄN</t>
        </is>
      </c>
      <c r="G6776" t="inlineStr">
        <is>
          <t>EDA</t>
        </is>
      </c>
      <c r="I6776" t="n">
        <v>0.7</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57752-2025</t>
        </is>
      </c>
      <c r="B6777" t="inlineStr">
        <is>
          <t>avverkningsanmälan</t>
        </is>
      </c>
      <c r="C6777" t="inlineStr">
        <is>
          <t>Föryngringsavverkning</t>
        </is>
      </c>
      <c r="D6777" s="1" t="n">
        <v>45981</v>
      </c>
      <c r="E6777" s="1" t="n">
        <v>46307</v>
      </c>
      <c r="F6777" t="inlineStr">
        <is>
          <t>VÄRMLANDS LÄN</t>
        </is>
      </c>
      <c r="G6777" t="inlineStr">
        <is>
          <t>ÅRJÄNG</t>
        </is>
      </c>
      <c r="I6777" t="n">
        <v>4.3</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16977-2025</t>
        </is>
      </c>
      <c r="B6778" t="inlineStr">
        <is>
          <t>avverkningsanmälan</t>
        </is>
      </c>
      <c r="C6778" t="inlineStr">
        <is>
          <t>Föryngringsavverkning</t>
        </is>
      </c>
      <c r="D6778" s="1" t="n">
        <v>45755</v>
      </c>
      <c r="E6778" s="1" t="n">
        <v>46307</v>
      </c>
      <c r="F6778" t="inlineStr">
        <is>
          <t>VÄRMLANDS LÄN</t>
        </is>
      </c>
      <c r="G6778" t="inlineStr">
        <is>
          <t>ÅRJÄNG</t>
        </is>
      </c>
      <c r="I6778" t="n">
        <v>1.7</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64664-2021</t>
        </is>
      </c>
      <c r="B6779" t="inlineStr">
        <is>
          <t>avverkningsanmälan</t>
        </is>
      </c>
      <c r="C6779" t="inlineStr">
        <is>
          <t>Föryngringsavverkning</t>
        </is>
      </c>
      <c r="D6779" s="1" t="n">
        <v>44512</v>
      </c>
      <c r="E6779" s="1" t="n">
        <v>46307</v>
      </c>
      <c r="F6779" t="inlineStr">
        <is>
          <t>VÄRMLANDS LÄN</t>
        </is>
      </c>
      <c r="G6779" t="inlineStr">
        <is>
          <t>ARVIKA</t>
        </is>
      </c>
      <c r="I6779" t="n">
        <v>6.1</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61430-2023</t>
        </is>
      </c>
      <c r="B6780" t="inlineStr">
        <is>
          <t>avverkningsanmälan</t>
        </is>
      </c>
      <c r="C6780" t="inlineStr">
        <is>
          <t>Föryngringsavverkning</t>
        </is>
      </c>
      <c r="D6780" s="1" t="n">
        <v>45261</v>
      </c>
      <c r="E6780" s="1" t="n">
        <v>46307</v>
      </c>
      <c r="F6780" t="inlineStr">
        <is>
          <t>VÄRMLANDS LÄN</t>
        </is>
      </c>
      <c r="G6780" t="inlineStr">
        <is>
          <t>SUNNE</t>
        </is>
      </c>
      <c r="I6780" t="n">
        <v>2.2</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67933-2021</t>
        </is>
      </c>
      <c r="B6781" t="inlineStr">
        <is>
          <t>avverkningsanmälan</t>
        </is>
      </c>
      <c r="C6781" t="inlineStr">
        <is>
          <t>Föryngringsavverkning</t>
        </is>
      </c>
      <c r="D6781" s="1" t="n">
        <v>44525</v>
      </c>
      <c r="E6781" s="1" t="n">
        <v>46307</v>
      </c>
      <c r="F6781" t="inlineStr">
        <is>
          <t>VÄRMLANDS LÄN</t>
        </is>
      </c>
      <c r="G6781" t="inlineStr">
        <is>
          <t>TORSBY</t>
        </is>
      </c>
      <c r="H6781" t="inlineStr">
        <is>
          <t>Bergvik skog väst AB</t>
        </is>
      </c>
      <c r="I6781" t="n">
        <v>4</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30327-2022</t>
        </is>
      </c>
      <c r="B6782" t="inlineStr">
        <is>
          <t>avverkningsanmälan</t>
        </is>
      </c>
      <c r="C6782" t="inlineStr">
        <is>
          <t>Föryngringsavverkning</t>
        </is>
      </c>
      <c r="D6782" s="1" t="n">
        <v>44760</v>
      </c>
      <c r="E6782" s="1" t="n">
        <v>46307</v>
      </c>
      <c r="F6782" t="inlineStr">
        <is>
          <t>VÄRMLANDS LÄN</t>
        </is>
      </c>
      <c r="G6782" t="inlineStr">
        <is>
          <t>HAGFORS</t>
        </is>
      </c>
      <c r="I6782" t="n">
        <v>1.6</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37838-2025</t>
        </is>
      </c>
      <c r="B6783" t="inlineStr">
        <is>
          <t>avverkningsanmälan</t>
        </is>
      </c>
      <c r="C6783" t="inlineStr">
        <is>
          <t>Föryngringsavverkning</t>
        </is>
      </c>
      <c r="D6783" s="1" t="n">
        <v>45881</v>
      </c>
      <c r="E6783" s="1" t="n">
        <v>46307</v>
      </c>
      <c r="F6783" t="inlineStr">
        <is>
          <t>VÄRMLANDS LÄN</t>
        </is>
      </c>
      <c r="G6783" t="inlineStr">
        <is>
          <t>ARVIKA</t>
        </is>
      </c>
      <c r="H6783" t="inlineStr">
        <is>
          <t>Bergvik skog väst AB</t>
        </is>
      </c>
      <c r="I6783" t="n">
        <v>0.6</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57980-2023</t>
        </is>
      </c>
      <c r="B6784" t="inlineStr">
        <is>
          <t>avverkningsanmälan</t>
        </is>
      </c>
      <c r="C6784" t="inlineStr">
        <is>
          <t>Föryngringsavverkning</t>
        </is>
      </c>
      <c r="D6784" s="1" t="n">
        <v>45247</v>
      </c>
      <c r="E6784" s="1" t="n">
        <v>46307</v>
      </c>
      <c r="F6784" t="inlineStr">
        <is>
          <t>VÄRMLANDS LÄN</t>
        </is>
      </c>
      <c r="G6784" t="inlineStr">
        <is>
          <t>TORSBY</t>
        </is>
      </c>
      <c r="I6784" t="n">
        <v>0.7</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12273-2025</t>
        </is>
      </c>
      <c r="B6785" t="inlineStr">
        <is>
          <t>avverkningsanmälan</t>
        </is>
      </c>
      <c r="C6785" t="inlineStr">
        <is>
          <t>Föryngringsavverkning</t>
        </is>
      </c>
      <c r="D6785" s="1" t="n">
        <v>45729</v>
      </c>
      <c r="E6785" s="1" t="n">
        <v>46307</v>
      </c>
      <c r="F6785" t="inlineStr">
        <is>
          <t>VÄRMLANDS LÄN</t>
        </is>
      </c>
      <c r="G6785" t="inlineStr">
        <is>
          <t>SUNNE</t>
        </is>
      </c>
      <c r="I6785" t="n">
        <v>1.7</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18238-2025</t>
        </is>
      </c>
      <c r="B6786" t="inlineStr">
        <is>
          <t>avverkningsanmälan</t>
        </is>
      </c>
      <c r="C6786" t="inlineStr">
        <is>
          <t>Föryngringsavverkning</t>
        </is>
      </c>
      <c r="D6786" s="1" t="n">
        <v>45761</v>
      </c>
      <c r="E6786" s="1" t="n">
        <v>46307</v>
      </c>
      <c r="F6786" t="inlineStr">
        <is>
          <t>VÄRMLANDS LÄN</t>
        </is>
      </c>
      <c r="G6786" t="inlineStr">
        <is>
          <t>ARVIKA</t>
        </is>
      </c>
      <c r="I6786" t="n">
        <v>2.6</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14613-2025</t>
        </is>
      </c>
      <c r="B6787" t="inlineStr">
        <is>
          <t>avverkningsanmälan</t>
        </is>
      </c>
      <c r="C6787" t="inlineStr">
        <is>
          <t>Föryngringsavverkning</t>
        </is>
      </c>
      <c r="D6787" s="1" t="n">
        <v>45742</v>
      </c>
      <c r="E6787" s="1" t="n">
        <v>46307</v>
      </c>
      <c r="F6787" t="inlineStr">
        <is>
          <t>VÄRMLANDS LÄN</t>
        </is>
      </c>
      <c r="G6787" t="inlineStr">
        <is>
          <t>TORSBY</t>
        </is>
      </c>
      <c r="I6787" t="n">
        <v>1</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19705-2025</t>
        </is>
      </c>
      <c r="B6788" t="inlineStr">
        <is>
          <t>avverkningsanmälan</t>
        </is>
      </c>
      <c r="C6788" t="inlineStr">
        <is>
          <t>Föryngringsavverkning</t>
        </is>
      </c>
      <c r="D6788" s="1" t="n">
        <v>45771</v>
      </c>
      <c r="E6788" s="1" t="n">
        <v>46307</v>
      </c>
      <c r="F6788" t="inlineStr">
        <is>
          <t>VÄRMLANDS LÄN</t>
        </is>
      </c>
      <c r="G6788" t="inlineStr">
        <is>
          <t>FILIPSTAD</t>
        </is>
      </c>
      <c r="H6788" t="inlineStr">
        <is>
          <t>Bergvik skog väst AB</t>
        </is>
      </c>
      <c r="I6788" t="n">
        <v>6.9</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31075-2024</t>
        </is>
      </c>
      <c r="B6789" t="inlineStr">
        <is>
          <t>avverkningsanmälan</t>
        </is>
      </c>
      <c r="C6789" t="inlineStr">
        <is>
          <t>Föryngringsavverkning</t>
        </is>
      </c>
      <c r="D6789" s="1" t="n">
        <v>45502</v>
      </c>
      <c r="E6789" s="1" t="n">
        <v>46307</v>
      </c>
      <c r="F6789" t="inlineStr">
        <is>
          <t>VÄRMLANDS LÄN</t>
        </is>
      </c>
      <c r="G6789" t="inlineStr">
        <is>
          <t>SUNNE</t>
        </is>
      </c>
      <c r="I6789" t="n">
        <v>0.9</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19763-2025</t>
        </is>
      </c>
      <c r="B6790" t="inlineStr">
        <is>
          <t>avverkningsanmälan</t>
        </is>
      </c>
      <c r="C6790" t="inlineStr">
        <is>
          <t>Föryngringsavverkning</t>
        </is>
      </c>
      <c r="D6790" s="1" t="n">
        <v>45771</v>
      </c>
      <c r="E6790" s="1" t="n">
        <v>46307</v>
      </c>
      <c r="F6790" t="inlineStr">
        <is>
          <t>VÄRMLANDS LÄN</t>
        </is>
      </c>
      <c r="G6790" t="inlineStr">
        <is>
          <t>TORSBY</t>
        </is>
      </c>
      <c r="H6790" t="inlineStr">
        <is>
          <t>Bergvik skog väst AB</t>
        </is>
      </c>
      <c r="I6790" t="n">
        <v>1.9</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7443-2024</t>
        </is>
      </c>
      <c r="B6791" t="inlineStr">
        <is>
          <t>avverkningsanmälan</t>
        </is>
      </c>
      <c r="C6791" t="inlineStr">
        <is>
          <t>Föryngringsavverkning</t>
        </is>
      </c>
      <c r="D6791" s="1" t="n">
        <v>45345</v>
      </c>
      <c r="E6791" s="1" t="n">
        <v>46307</v>
      </c>
      <c r="F6791" t="inlineStr">
        <is>
          <t>VÄRMLANDS LÄN</t>
        </is>
      </c>
      <c r="G6791" t="inlineStr">
        <is>
          <t>ÅRJÄNG</t>
        </is>
      </c>
      <c r="I6791" t="n">
        <v>1.5</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5631-2025</t>
        </is>
      </c>
      <c r="B6792" t="inlineStr">
        <is>
          <t>avverkningsanmälan</t>
        </is>
      </c>
      <c r="C6792" t="inlineStr">
        <is>
          <t>Föryngringsavverkning</t>
        </is>
      </c>
      <c r="D6792" s="1" t="n">
        <v>45693</v>
      </c>
      <c r="E6792" s="1" t="n">
        <v>46307</v>
      </c>
      <c r="F6792" t="inlineStr">
        <is>
          <t>VÄRMLANDS LÄN</t>
        </is>
      </c>
      <c r="G6792" t="inlineStr">
        <is>
          <t>KARLSTAD</t>
        </is>
      </c>
      <c r="H6792" t="inlineStr">
        <is>
          <t>Bergvik skog väst AB</t>
        </is>
      </c>
      <c r="I6792" t="n">
        <v>4.3</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38175-2025</t>
        </is>
      </c>
      <c r="B6793" t="inlineStr">
        <is>
          <t>avverkningsanmälan</t>
        </is>
      </c>
      <c r="C6793" t="inlineStr">
        <is>
          <t>Föryngringsavverkning</t>
        </is>
      </c>
      <c r="D6793" s="1" t="n">
        <v>45882</v>
      </c>
      <c r="E6793" s="1" t="n">
        <v>46307</v>
      </c>
      <c r="F6793" t="inlineStr">
        <is>
          <t>VÄRMLANDS LÄN</t>
        </is>
      </c>
      <c r="G6793" t="inlineStr">
        <is>
          <t>FILIPSTAD</t>
        </is>
      </c>
      <c r="H6793" t="inlineStr">
        <is>
          <t>Bergvik skog väst AB</t>
        </is>
      </c>
      <c r="I6793" t="n">
        <v>3.4</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58050-2024</t>
        </is>
      </c>
      <c r="B6794" t="inlineStr">
        <is>
          <t>avverkningsanmälan</t>
        </is>
      </c>
      <c r="C6794" t="inlineStr">
        <is>
          <t>Föryngringsavverkning</t>
        </is>
      </c>
      <c r="D6794" s="1" t="n">
        <v>45631</v>
      </c>
      <c r="E6794" s="1" t="n">
        <v>46307</v>
      </c>
      <c r="F6794" t="inlineStr">
        <is>
          <t>VÄRMLANDS LÄN</t>
        </is>
      </c>
      <c r="G6794" t="inlineStr">
        <is>
          <t>MUNKFORS</t>
        </is>
      </c>
      <c r="I6794" t="n">
        <v>0.7</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37993-2025</t>
        </is>
      </c>
      <c r="B6795" t="inlineStr">
        <is>
          <t>avverkningsanmälan</t>
        </is>
      </c>
      <c r="C6795" t="inlineStr">
        <is>
          <t>Föryngringsavverkning</t>
        </is>
      </c>
      <c r="D6795" s="1" t="n">
        <v>45881</v>
      </c>
      <c r="E6795" s="1" t="n">
        <v>46307</v>
      </c>
      <c r="F6795" t="inlineStr">
        <is>
          <t>VÄRMLANDS LÄN</t>
        </is>
      </c>
      <c r="G6795" t="inlineStr">
        <is>
          <t>SUNNE</t>
        </is>
      </c>
      <c r="I6795" t="n">
        <v>3.9</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37822-2023</t>
        </is>
      </c>
      <c r="B6796" t="inlineStr">
        <is>
          <t>avverkningsanmälan</t>
        </is>
      </c>
      <c r="C6796" t="inlineStr">
        <is>
          <t>Föryngringsavverkning</t>
        </is>
      </c>
      <c r="D6796" s="1" t="n">
        <v>45160</v>
      </c>
      <c r="E6796" s="1" t="n">
        <v>46307</v>
      </c>
      <c r="F6796" t="inlineStr">
        <is>
          <t>VÄRMLANDS LÄN</t>
        </is>
      </c>
      <c r="G6796" t="inlineStr">
        <is>
          <t>TORSBY</t>
        </is>
      </c>
      <c r="I6796" t="n">
        <v>0.5</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30789-2024</t>
        </is>
      </c>
      <c r="B6797" t="inlineStr">
        <is>
          <t>avverkningsanmälan</t>
        </is>
      </c>
      <c r="C6797" t="inlineStr">
        <is>
          <t>Föryngringsavverkning</t>
        </is>
      </c>
      <c r="D6797" s="1" t="n">
        <v>45497</v>
      </c>
      <c r="E6797" s="1" t="n">
        <v>46307</v>
      </c>
      <c r="F6797" t="inlineStr">
        <is>
          <t>VÄRMLANDS LÄN</t>
        </is>
      </c>
      <c r="G6797" t="inlineStr">
        <is>
          <t>TORSBY</t>
        </is>
      </c>
      <c r="I6797" t="n">
        <v>5.2</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11914-2025</t>
        </is>
      </c>
      <c r="B6798" t="inlineStr">
        <is>
          <t>avverkningsanmälan</t>
        </is>
      </c>
      <c r="C6798" t="inlineStr">
        <is>
          <t>Föryngringsavverkning</t>
        </is>
      </c>
      <c r="D6798" s="1" t="n">
        <v>45728</v>
      </c>
      <c r="E6798" s="1" t="n">
        <v>46307</v>
      </c>
      <c r="F6798" t="inlineStr">
        <is>
          <t>VÄRMLANDS LÄN</t>
        </is>
      </c>
      <c r="G6798" t="inlineStr">
        <is>
          <t>SÄFFLE</t>
        </is>
      </c>
      <c r="I6798" t="n">
        <v>3.5</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17892-2023</t>
        </is>
      </c>
      <c r="B6799" t="inlineStr">
        <is>
          <t>avverkningsanmälan</t>
        </is>
      </c>
      <c r="C6799" t="inlineStr">
        <is>
          <t>Föryngringsavverkning</t>
        </is>
      </c>
      <c r="D6799" s="1" t="n">
        <v>45039</v>
      </c>
      <c r="E6799" s="1" t="n">
        <v>46307</v>
      </c>
      <c r="F6799" t="inlineStr">
        <is>
          <t>VÄRMLANDS LÄN</t>
        </is>
      </c>
      <c r="G6799" t="inlineStr">
        <is>
          <t>KARLSTAD</t>
        </is>
      </c>
      <c r="I6799" t="n">
        <v>1</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57872-2025</t>
        </is>
      </c>
      <c r="B6800" t="inlineStr">
        <is>
          <t>avverkningsanmälan</t>
        </is>
      </c>
      <c r="C6800" t="inlineStr">
        <is>
          <t>Föryngringsavverkning</t>
        </is>
      </c>
      <c r="D6800" s="1" t="n">
        <v>45981</v>
      </c>
      <c r="E6800" s="1" t="n">
        <v>46307</v>
      </c>
      <c r="F6800" t="inlineStr">
        <is>
          <t>VÄRMLANDS LÄN</t>
        </is>
      </c>
      <c r="G6800" t="inlineStr">
        <is>
          <t>FILIPSTAD</t>
        </is>
      </c>
      <c r="H6800" t="inlineStr">
        <is>
          <t>Bergvik skog väst AB</t>
        </is>
      </c>
      <c r="I6800" t="n">
        <v>4.4</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57931-2025</t>
        </is>
      </c>
      <c r="B6801" t="inlineStr">
        <is>
          <t>avverkningsanmälan</t>
        </is>
      </c>
      <c r="C6801" t="inlineStr">
        <is>
          <t>Föryngringsavverkning</t>
        </is>
      </c>
      <c r="D6801" s="1" t="n">
        <v>45981</v>
      </c>
      <c r="E6801" s="1" t="n">
        <v>46307</v>
      </c>
      <c r="F6801" t="inlineStr">
        <is>
          <t>VÄRMLANDS LÄN</t>
        </is>
      </c>
      <c r="G6801" t="inlineStr">
        <is>
          <t>TORSBY</t>
        </is>
      </c>
      <c r="I6801" t="n">
        <v>1</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66322-2021</t>
        </is>
      </c>
      <c r="B6802" t="inlineStr">
        <is>
          <t>avverkningsanmälan</t>
        </is>
      </c>
      <c r="C6802" t="inlineStr">
        <is>
          <t>Föryngringsavverkning</t>
        </is>
      </c>
      <c r="D6802" s="1" t="n">
        <v>44518</v>
      </c>
      <c r="E6802" s="1" t="n">
        <v>46307</v>
      </c>
      <c r="F6802" t="inlineStr">
        <is>
          <t>VÄRMLANDS LÄN</t>
        </is>
      </c>
      <c r="G6802" t="inlineStr">
        <is>
          <t>KARLSTAD</t>
        </is>
      </c>
      <c r="I6802" t="n">
        <v>3.5</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51493-2023</t>
        </is>
      </c>
      <c r="B6803" t="inlineStr">
        <is>
          <t>avverkningsanmälan</t>
        </is>
      </c>
      <c r="C6803" t="inlineStr">
        <is>
          <t>Föryngringsavverkning</t>
        </is>
      </c>
      <c r="D6803" s="1" t="n">
        <v>45215</v>
      </c>
      <c r="E6803" s="1" t="n">
        <v>46307</v>
      </c>
      <c r="F6803" t="inlineStr">
        <is>
          <t>VÄRMLANDS LÄN</t>
        </is>
      </c>
      <c r="G6803" t="inlineStr">
        <is>
          <t>ÅRJÄNG</t>
        </is>
      </c>
      <c r="H6803" t="inlineStr">
        <is>
          <t>Övriga Aktiebolag</t>
        </is>
      </c>
      <c r="I6803" t="n">
        <v>9.1</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13553-2026</t>
        </is>
      </c>
      <c r="B6804" t="inlineStr">
        <is>
          <t>avverkningsanmälan</t>
        </is>
      </c>
      <c r="C6804" t="inlineStr">
        <is>
          <t>Föryngringsavverkning</t>
        </is>
      </c>
      <c r="D6804" s="1" t="n">
        <v>46094</v>
      </c>
      <c r="E6804" s="1" t="n">
        <v>46307</v>
      </c>
      <c r="F6804" t="inlineStr">
        <is>
          <t>VÄRMLANDS LÄN</t>
        </is>
      </c>
      <c r="G6804" t="inlineStr">
        <is>
          <t>FILIPSTAD</t>
        </is>
      </c>
      <c r="H6804" t="inlineStr">
        <is>
          <t>Bergvik skog väst AB</t>
        </is>
      </c>
      <c r="I6804" t="n">
        <v>8.9</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58486-2023</t>
        </is>
      </c>
      <c r="B6805" t="inlineStr">
        <is>
          <t>avverkningsanmälan</t>
        </is>
      </c>
      <c r="C6805" t="inlineStr">
        <is>
          <t>Föryngringsavverkning</t>
        </is>
      </c>
      <c r="D6805" s="1" t="n">
        <v>45246</v>
      </c>
      <c r="E6805" s="1" t="n">
        <v>46307</v>
      </c>
      <c r="F6805" t="inlineStr">
        <is>
          <t>VÄRMLANDS LÄN</t>
        </is>
      </c>
      <c r="G6805" t="inlineStr">
        <is>
          <t>ÅRJÄNG</t>
        </is>
      </c>
      <c r="I6805" t="n">
        <v>8.5</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10379-2022</t>
        </is>
      </c>
      <c r="B6806" t="inlineStr">
        <is>
          <t>avverkningsanmälan</t>
        </is>
      </c>
      <c r="C6806" t="inlineStr">
        <is>
          <t>Föryngringsavverkning</t>
        </is>
      </c>
      <c r="D6806" s="1" t="n">
        <v>44623</v>
      </c>
      <c r="E6806" s="1" t="n">
        <v>46307</v>
      </c>
      <c r="F6806" t="inlineStr">
        <is>
          <t>VÄRMLANDS LÄN</t>
        </is>
      </c>
      <c r="G6806" t="inlineStr">
        <is>
          <t>SÄFFLE</t>
        </is>
      </c>
      <c r="I6806" t="n">
        <v>1.1</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13464-2026</t>
        </is>
      </c>
      <c r="B6807" t="inlineStr">
        <is>
          <t>avverkningsanmälan</t>
        </is>
      </c>
      <c r="C6807" t="inlineStr">
        <is>
          <t>Föryngringsavverkning</t>
        </is>
      </c>
      <c r="D6807" s="1" t="n">
        <v>46094</v>
      </c>
      <c r="E6807" s="1" t="n">
        <v>46307</v>
      </c>
      <c r="F6807" t="inlineStr">
        <is>
          <t>VÄRMLANDS LÄN</t>
        </is>
      </c>
      <c r="G6807" t="inlineStr">
        <is>
          <t>KRISTINEHAMN</t>
        </is>
      </c>
      <c r="H6807" t="inlineStr">
        <is>
          <t>Sveaskog</t>
        </is>
      </c>
      <c r="I6807" t="n">
        <v>3.5</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13651-2026</t>
        </is>
      </c>
      <c r="B6808" t="inlineStr">
        <is>
          <t>avverkningsanmälan</t>
        </is>
      </c>
      <c r="C6808" t="inlineStr">
        <is>
          <t>Föryngringsavverkning</t>
        </is>
      </c>
      <c r="D6808" s="1" t="n">
        <v>46097</v>
      </c>
      <c r="E6808" s="1" t="n">
        <v>46307</v>
      </c>
      <c r="F6808" t="inlineStr">
        <is>
          <t>VÄRMLANDS LÄN</t>
        </is>
      </c>
      <c r="G6808" t="inlineStr">
        <is>
          <t>TORSBY</t>
        </is>
      </c>
      <c r="I6808" t="n">
        <v>3</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37463-2022</t>
        </is>
      </c>
      <c r="B6809" t="inlineStr">
        <is>
          <t>avverkningsanmälan</t>
        </is>
      </c>
      <c r="C6809" t="inlineStr">
        <is>
          <t>Föryngringsavverkning</t>
        </is>
      </c>
      <c r="D6809" s="1" t="n">
        <v>44809</v>
      </c>
      <c r="E6809" s="1" t="n">
        <v>46307</v>
      </c>
      <c r="F6809" t="inlineStr">
        <is>
          <t>VÄRMLANDS LÄN</t>
        </is>
      </c>
      <c r="G6809" t="inlineStr">
        <is>
          <t>HAGFORS</t>
        </is>
      </c>
      <c r="I6809" t="n">
        <v>1.7</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36587-2024</t>
        </is>
      </c>
      <c r="B6810" t="inlineStr">
        <is>
          <t>avverkningsanmälan</t>
        </is>
      </c>
      <c r="C6810" t="inlineStr">
        <is>
          <t>Föryngringsavverkning</t>
        </is>
      </c>
      <c r="D6810" s="1" t="n">
        <v>45537</v>
      </c>
      <c r="E6810" s="1" t="n">
        <v>46307</v>
      </c>
      <c r="F6810" t="inlineStr">
        <is>
          <t>VÄRMLANDS LÄN</t>
        </is>
      </c>
      <c r="G6810" t="inlineStr">
        <is>
          <t>ÅRJÄNG</t>
        </is>
      </c>
      <c r="I6810" t="n">
        <v>2.6</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13411-2026</t>
        </is>
      </c>
      <c r="B6811" t="inlineStr">
        <is>
          <t>avverkningsanmälan</t>
        </is>
      </c>
      <c r="C6811" t="inlineStr">
        <is>
          <t>Föryngringsavverkning</t>
        </is>
      </c>
      <c r="D6811" s="1" t="n">
        <v>46094</v>
      </c>
      <c r="E6811" s="1" t="n">
        <v>46307</v>
      </c>
      <c r="F6811" t="inlineStr">
        <is>
          <t>VÄRMLANDS LÄN</t>
        </is>
      </c>
      <c r="G6811" t="inlineStr">
        <is>
          <t>HAGFORS</t>
        </is>
      </c>
      <c r="I6811" t="n">
        <v>0.8</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18309-2025</t>
        </is>
      </c>
      <c r="B6812" t="inlineStr">
        <is>
          <t>avverkningsanmälan</t>
        </is>
      </c>
      <c r="C6812" t="inlineStr">
        <is>
          <t>Föryngringsavverkning</t>
        </is>
      </c>
      <c r="D6812" s="1" t="n">
        <v>45762</v>
      </c>
      <c r="E6812" s="1" t="n">
        <v>46307</v>
      </c>
      <c r="F6812" t="inlineStr">
        <is>
          <t>VÄRMLANDS LÄN</t>
        </is>
      </c>
      <c r="G6812" t="inlineStr">
        <is>
          <t>ÅRJÄNG</t>
        </is>
      </c>
      <c r="I6812" t="n">
        <v>6.2</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13360-2026</t>
        </is>
      </c>
      <c r="B6813" t="inlineStr">
        <is>
          <t>avverkningsanmälan</t>
        </is>
      </c>
      <c r="C6813" t="inlineStr">
        <is>
          <t>Föryngringsavverkning</t>
        </is>
      </c>
      <c r="D6813" s="1" t="n">
        <v>46094</v>
      </c>
      <c r="E6813" s="1" t="n">
        <v>46307</v>
      </c>
      <c r="F6813" t="inlineStr">
        <is>
          <t>VÄRMLANDS LÄN</t>
        </is>
      </c>
      <c r="G6813" t="inlineStr">
        <is>
          <t>HAGFORS</t>
        </is>
      </c>
      <c r="H6813" t="inlineStr">
        <is>
          <t>Bergvik skog väst AB</t>
        </is>
      </c>
      <c r="I6813" t="n">
        <v>1.7</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31703-2024</t>
        </is>
      </c>
      <c r="B6814" t="inlineStr">
        <is>
          <t>avverkningsanmälan</t>
        </is>
      </c>
      <c r="C6814" t="inlineStr">
        <is>
          <t>Föryngringsavverkning</t>
        </is>
      </c>
      <c r="D6814" s="1" t="n">
        <v>45508</v>
      </c>
      <c r="E6814" s="1" t="n">
        <v>46307</v>
      </c>
      <c r="F6814" t="inlineStr">
        <is>
          <t>VÄRMLANDS LÄN</t>
        </is>
      </c>
      <c r="G6814" t="inlineStr">
        <is>
          <t>ARVIKA</t>
        </is>
      </c>
      <c r="I6814" t="n">
        <v>2.9</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13461-2026</t>
        </is>
      </c>
      <c r="B6815" t="inlineStr">
        <is>
          <t>avverkningsanmälan</t>
        </is>
      </c>
      <c r="C6815" t="inlineStr">
        <is>
          <t>Föryngringsavverkning</t>
        </is>
      </c>
      <c r="D6815" s="1" t="n">
        <v>46094</v>
      </c>
      <c r="E6815" s="1" t="n">
        <v>46307</v>
      </c>
      <c r="F6815" t="inlineStr">
        <is>
          <t>VÄRMLANDS LÄN</t>
        </is>
      </c>
      <c r="G6815" t="inlineStr">
        <is>
          <t>KRISTINEHAMN</t>
        </is>
      </c>
      <c r="H6815" t="inlineStr">
        <is>
          <t>Sveaskog</t>
        </is>
      </c>
      <c r="I6815" t="n">
        <v>0.8</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13462-2026</t>
        </is>
      </c>
      <c r="B6816" t="inlineStr">
        <is>
          <t>avverkningsanmälan</t>
        </is>
      </c>
      <c r="C6816" t="inlineStr">
        <is>
          <t>Föryngringsavverkning</t>
        </is>
      </c>
      <c r="D6816" s="1" t="n">
        <v>46094</v>
      </c>
      <c r="E6816" s="1" t="n">
        <v>46307</v>
      </c>
      <c r="F6816" t="inlineStr">
        <is>
          <t>VÄRMLANDS LÄN</t>
        </is>
      </c>
      <c r="G6816" t="inlineStr">
        <is>
          <t>KRISTINEHAMN</t>
        </is>
      </c>
      <c r="H6816" t="inlineStr">
        <is>
          <t>Sveaskog</t>
        </is>
      </c>
      <c r="I6816" t="n">
        <v>5.9</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13466-2026</t>
        </is>
      </c>
      <c r="B6817" t="inlineStr">
        <is>
          <t>avverkningsanmälan</t>
        </is>
      </c>
      <c r="C6817" t="inlineStr">
        <is>
          <t>Föryngringsavverkning</t>
        </is>
      </c>
      <c r="D6817" s="1" t="n">
        <v>46094</v>
      </c>
      <c r="E6817" s="1" t="n">
        <v>46307</v>
      </c>
      <c r="F6817" t="inlineStr">
        <is>
          <t>VÄRMLANDS LÄN</t>
        </is>
      </c>
      <c r="G6817" t="inlineStr">
        <is>
          <t>HAGFORS</t>
        </is>
      </c>
      <c r="I6817" t="n">
        <v>1.9</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13504-2026</t>
        </is>
      </c>
      <c r="B6818" t="inlineStr">
        <is>
          <t>avverkningsanmälan</t>
        </is>
      </c>
      <c r="C6818" t="inlineStr">
        <is>
          <t>Föryngringsavverkning</t>
        </is>
      </c>
      <c r="D6818" s="1" t="n">
        <v>46094</v>
      </c>
      <c r="E6818" s="1" t="n">
        <v>46307</v>
      </c>
      <c r="F6818" t="inlineStr">
        <is>
          <t>VÄRMLANDS LÄN</t>
        </is>
      </c>
      <c r="G6818" t="inlineStr">
        <is>
          <t>KIL</t>
        </is>
      </c>
      <c r="I6818" t="n">
        <v>2.2</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20509-2025</t>
        </is>
      </c>
      <c r="B6819" t="inlineStr">
        <is>
          <t>avverkningsanmälan</t>
        </is>
      </c>
      <c r="C6819" t="inlineStr">
        <is>
          <t>Föryngringsavverkning</t>
        </is>
      </c>
      <c r="D6819" s="1" t="n">
        <v>45775</v>
      </c>
      <c r="E6819" s="1" t="n">
        <v>46307</v>
      </c>
      <c r="F6819" t="inlineStr">
        <is>
          <t>VÄRMLANDS LÄN</t>
        </is>
      </c>
      <c r="G6819" t="inlineStr">
        <is>
          <t>KARLSTAD</t>
        </is>
      </c>
      <c r="I6819" t="n">
        <v>4.3</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58180-2025</t>
        </is>
      </c>
      <c r="B6820" t="inlineStr">
        <is>
          <t>avverkningsanmälan</t>
        </is>
      </c>
      <c r="C6820" t="inlineStr">
        <is>
          <t>Föryngringsavverkning</t>
        </is>
      </c>
      <c r="D6820" s="1" t="n">
        <v>45982</v>
      </c>
      <c r="E6820" s="1" t="n">
        <v>46307</v>
      </c>
      <c r="F6820" t="inlineStr">
        <is>
          <t>VÄRMLANDS LÄN</t>
        </is>
      </c>
      <c r="G6820" t="inlineStr">
        <is>
          <t>SUNNE</t>
        </is>
      </c>
      <c r="I6820" t="n">
        <v>3.7</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58246-2025</t>
        </is>
      </c>
      <c r="B6821" t="inlineStr">
        <is>
          <t>avverkningsanmälan</t>
        </is>
      </c>
      <c r="C6821" t="inlineStr">
        <is>
          <t>Föryngringsavverkning</t>
        </is>
      </c>
      <c r="D6821" s="1" t="n">
        <v>45981</v>
      </c>
      <c r="E6821" s="1" t="n">
        <v>46307</v>
      </c>
      <c r="F6821" t="inlineStr">
        <is>
          <t>VÄRMLANDS LÄN</t>
        </is>
      </c>
      <c r="G6821" t="inlineStr">
        <is>
          <t>TORSBY</t>
        </is>
      </c>
      <c r="I6821" t="n">
        <v>0.8</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13393-2026</t>
        </is>
      </c>
      <c r="B6822" t="inlineStr">
        <is>
          <t>avverkningsanmälan</t>
        </is>
      </c>
      <c r="C6822" t="inlineStr">
        <is>
          <t>Föryngringsavverkning</t>
        </is>
      </c>
      <c r="D6822" s="1" t="n">
        <v>46094</v>
      </c>
      <c r="E6822" s="1" t="n">
        <v>46307</v>
      </c>
      <c r="F6822" t="inlineStr">
        <is>
          <t>VÄRMLANDS LÄN</t>
        </is>
      </c>
      <c r="G6822" t="inlineStr">
        <is>
          <t>FILIPSTAD</t>
        </is>
      </c>
      <c r="H6822" t="inlineStr">
        <is>
          <t>Bergvik skog väst AB</t>
        </is>
      </c>
      <c r="I6822" t="n">
        <v>2.3</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4466-2025</t>
        </is>
      </c>
      <c r="B6823" t="inlineStr">
        <is>
          <t>avverkningsanmälan</t>
        </is>
      </c>
      <c r="C6823" t="inlineStr">
        <is>
          <t>Avverkning för annat ändamål</t>
        </is>
      </c>
      <c r="D6823" s="1" t="n">
        <v>45686</v>
      </c>
      <c r="E6823" s="1" t="n">
        <v>46307</v>
      </c>
      <c r="F6823" t="inlineStr">
        <is>
          <t>VÄRMLANDS LÄN</t>
        </is>
      </c>
      <c r="G6823" t="inlineStr">
        <is>
          <t>ARVIKA</t>
        </is>
      </c>
      <c r="I6823" t="n">
        <v>1.2</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834-2024</t>
        </is>
      </c>
      <c r="B6824" t="inlineStr">
        <is>
          <t>avverkningsanmälan</t>
        </is>
      </c>
      <c r="C6824" t="inlineStr">
        <is>
          <t>Föryngringsavverkning</t>
        </is>
      </c>
      <c r="D6824" s="1" t="n">
        <v>45300</v>
      </c>
      <c r="E6824" s="1" t="n">
        <v>46307</v>
      </c>
      <c r="F6824" t="inlineStr">
        <is>
          <t>VÄRMLANDS LÄN</t>
        </is>
      </c>
      <c r="G6824" t="inlineStr">
        <is>
          <t>SUNNE</t>
        </is>
      </c>
      <c r="H6824" t="inlineStr">
        <is>
          <t>Övriga statliga verk och myndigheter</t>
        </is>
      </c>
      <c r="I6824" t="n">
        <v>1.6</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6254-2025</t>
        </is>
      </c>
      <c r="B6825" t="inlineStr">
        <is>
          <t>avverkningsanmälan</t>
        </is>
      </c>
      <c r="C6825" t="inlineStr">
        <is>
          <t>Föryngringsavverkning</t>
        </is>
      </c>
      <c r="D6825" s="1" t="n">
        <v>45698</v>
      </c>
      <c r="E6825" s="1" t="n">
        <v>46307</v>
      </c>
      <c r="F6825" t="inlineStr">
        <is>
          <t>VÄRMLANDS LÄN</t>
        </is>
      </c>
      <c r="G6825" t="inlineStr">
        <is>
          <t>KARLSTAD</t>
        </is>
      </c>
      <c r="I6825" t="n">
        <v>20.6</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6269-2025</t>
        </is>
      </c>
      <c r="B6826" t="inlineStr">
        <is>
          <t>avverkningsanmälan</t>
        </is>
      </c>
      <c r="C6826" t="inlineStr">
        <is>
          <t>Föryngringsavverkning</t>
        </is>
      </c>
      <c r="D6826" s="1" t="n">
        <v>45698</v>
      </c>
      <c r="E6826" s="1" t="n">
        <v>46307</v>
      </c>
      <c r="F6826" t="inlineStr">
        <is>
          <t>VÄRMLANDS LÄN</t>
        </is>
      </c>
      <c r="G6826" t="inlineStr">
        <is>
          <t>KARLSTAD</t>
        </is>
      </c>
      <c r="I6826" t="n">
        <v>4.4</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13960-2026</t>
        </is>
      </c>
      <c r="B6827" t="inlineStr">
        <is>
          <t>avverkningsanmälan</t>
        </is>
      </c>
      <c r="C6827" t="inlineStr">
        <is>
          <t>Föryngringsavverkning</t>
        </is>
      </c>
      <c r="D6827" s="1" t="n">
        <v>46098</v>
      </c>
      <c r="E6827" s="1" t="n">
        <v>46307</v>
      </c>
      <c r="F6827" t="inlineStr">
        <is>
          <t>VÄRMLANDS LÄN</t>
        </is>
      </c>
      <c r="G6827" t="inlineStr">
        <is>
          <t>STORFORS</t>
        </is>
      </c>
      <c r="H6827" t="inlineStr">
        <is>
          <t>Bergvik skog väst AB</t>
        </is>
      </c>
      <c r="I6827" t="n">
        <v>7.7</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57892-2025</t>
        </is>
      </c>
      <c r="B6828" t="inlineStr">
        <is>
          <t>avverkningsanmälan</t>
        </is>
      </c>
      <c r="C6828" t="inlineStr">
        <is>
          <t>Föryngringsavverkning</t>
        </is>
      </c>
      <c r="D6828" s="1" t="n">
        <v>45981</v>
      </c>
      <c r="E6828" s="1" t="n">
        <v>46307</v>
      </c>
      <c r="F6828" t="inlineStr">
        <is>
          <t>VÄRMLANDS LÄN</t>
        </is>
      </c>
      <c r="G6828" t="inlineStr">
        <is>
          <t>EDA</t>
        </is>
      </c>
      <c r="I6828" t="n">
        <v>0.7</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57894-2025</t>
        </is>
      </c>
      <c r="B6829" t="inlineStr">
        <is>
          <t>avverkningsanmälan</t>
        </is>
      </c>
      <c r="C6829" t="inlineStr">
        <is>
          <t>Föryngringsavverkning</t>
        </is>
      </c>
      <c r="D6829" s="1" t="n">
        <v>45981</v>
      </c>
      <c r="E6829" s="1" t="n">
        <v>46307</v>
      </c>
      <c r="F6829" t="inlineStr">
        <is>
          <t>VÄRMLANDS LÄN</t>
        </is>
      </c>
      <c r="G6829" t="inlineStr">
        <is>
          <t>EDA</t>
        </is>
      </c>
      <c r="I6829" t="n">
        <v>1.2</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57902-2025</t>
        </is>
      </c>
      <c r="B6830" t="inlineStr">
        <is>
          <t>avverkningsanmälan</t>
        </is>
      </c>
      <c r="C6830" t="inlineStr">
        <is>
          <t>Föryngringsavverkning</t>
        </is>
      </c>
      <c r="D6830" s="1" t="n">
        <v>45981</v>
      </c>
      <c r="E6830" s="1" t="n">
        <v>46307</v>
      </c>
      <c r="F6830" t="inlineStr">
        <is>
          <t>VÄRMLANDS LÄN</t>
        </is>
      </c>
      <c r="G6830" t="inlineStr">
        <is>
          <t>SUNNE</t>
        </is>
      </c>
      <c r="I6830" t="n">
        <v>1.6</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13863-2026</t>
        </is>
      </c>
      <c r="B6831" t="inlineStr">
        <is>
          <t>avverkningsanmälan</t>
        </is>
      </c>
      <c r="C6831" t="inlineStr">
        <is>
          <t>Föryngringsavverkning</t>
        </is>
      </c>
      <c r="D6831" s="1" t="n">
        <v>46098</v>
      </c>
      <c r="E6831" s="1" t="n">
        <v>46307</v>
      </c>
      <c r="F6831" t="inlineStr">
        <is>
          <t>VÄRMLANDS LÄN</t>
        </is>
      </c>
      <c r="G6831" t="inlineStr">
        <is>
          <t>FILIPSTAD</t>
        </is>
      </c>
      <c r="H6831" t="inlineStr">
        <is>
          <t>Bergvik skog väst AB</t>
        </is>
      </c>
      <c r="I6831" t="n">
        <v>13.7</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13877-2026</t>
        </is>
      </c>
      <c r="B6832" t="inlineStr">
        <is>
          <t>avverkningsanmälan</t>
        </is>
      </c>
      <c r="C6832" t="inlineStr">
        <is>
          <t>Föryngringsavverkning</t>
        </is>
      </c>
      <c r="D6832" s="1" t="n">
        <v>46098</v>
      </c>
      <c r="E6832" s="1" t="n">
        <v>46307</v>
      </c>
      <c r="F6832" t="inlineStr">
        <is>
          <t>VÄRMLANDS LÄN</t>
        </is>
      </c>
      <c r="G6832" t="inlineStr">
        <is>
          <t>TORSBY</t>
        </is>
      </c>
      <c r="I6832" t="n">
        <v>6.6</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14206-2026</t>
        </is>
      </c>
      <c r="B6833" t="inlineStr">
        <is>
          <t>avverkningsanmälan</t>
        </is>
      </c>
      <c r="C6833" t="inlineStr">
        <is>
          <t>Föryngringsavverkning</t>
        </is>
      </c>
      <c r="D6833" s="1" t="n">
        <v>46099</v>
      </c>
      <c r="E6833" s="1" t="n">
        <v>46307</v>
      </c>
      <c r="F6833" t="inlineStr">
        <is>
          <t>VÄRMLANDS LÄN</t>
        </is>
      </c>
      <c r="G6833" t="inlineStr">
        <is>
          <t>EDA</t>
        </is>
      </c>
      <c r="I6833" t="n">
        <v>3.1</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31034-2023</t>
        </is>
      </c>
      <c r="B6834" t="inlineStr">
        <is>
          <t>avverkningsanmälan</t>
        </is>
      </c>
      <c r="C6834" t="inlineStr">
        <is>
          <t>Föryngringsavverkning</t>
        </is>
      </c>
      <c r="D6834" s="1" t="n">
        <v>45113</v>
      </c>
      <c r="E6834" s="1" t="n">
        <v>46307</v>
      </c>
      <c r="F6834" t="inlineStr">
        <is>
          <t>VÄRMLANDS LÄN</t>
        </is>
      </c>
      <c r="G6834" t="inlineStr">
        <is>
          <t>SUNNE</t>
        </is>
      </c>
      <c r="I6834" t="n">
        <v>3.2</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34707-2022</t>
        </is>
      </c>
      <c r="B6835" t="inlineStr">
        <is>
          <t>avverkningsanmälan</t>
        </is>
      </c>
      <c r="C6835" t="inlineStr">
        <is>
          <t>Föryngringsavverkning</t>
        </is>
      </c>
      <c r="D6835" s="1" t="n">
        <v>44795</v>
      </c>
      <c r="E6835" s="1" t="n">
        <v>46307</v>
      </c>
      <c r="F6835" t="inlineStr">
        <is>
          <t>VÄRMLANDS LÄN</t>
        </is>
      </c>
      <c r="G6835" t="inlineStr">
        <is>
          <t>SUNNE</t>
        </is>
      </c>
      <c r="H6835" t="inlineStr">
        <is>
          <t>Bergvik skog väst AB</t>
        </is>
      </c>
      <c r="I6835" t="n">
        <v>10.4</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55163-2024</t>
        </is>
      </c>
      <c r="B6836" t="inlineStr">
        <is>
          <t>avverkningsanmälan</t>
        </is>
      </c>
      <c r="C6836" t="inlineStr">
        <is>
          <t>Föryngringsavverkning</t>
        </is>
      </c>
      <c r="D6836" s="1" t="n">
        <v>45621</v>
      </c>
      <c r="E6836" s="1" t="n">
        <v>46307</v>
      </c>
      <c r="F6836" t="inlineStr">
        <is>
          <t>VÄRMLANDS LÄN</t>
        </is>
      </c>
      <c r="G6836" t="inlineStr">
        <is>
          <t>SUNNE</t>
        </is>
      </c>
      <c r="I6836" t="n">
        <v>0.9</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32980-2024</t>
        </is>
      </c>
      <c r="B6837" t="inlineStr">
        <is>
          <t>avverkningsanmälan</t>
        </is>
      </c>
      <c r="C6837" t="inlineStr">
        <is>
          <t>Föryngringsavverkning</t>
        </is>
      </c>
      <c r="D6837" s="1" t="n">
        <v>45517</v>
      </c>
      <c r="E6837" s="1" t="n">
        <v>46307</v>
      </c>
      <c r="F6837" t="inlineStr">
        <is>
          <t>VÄRMLANDS LÄN</t>
        </is>
      </c>
      <c r="G6837" t="inlineStr">
        <is>
          <t>SUNNE</t>
        </is>
      </c>
      <c r="I6837" t="n">
        <v>5.5</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21464-2023</t>
        </is>
      </c>
      <c r="B6838" t="inlineStr">
        <is>
          <t>avverkningsanmälan</t>
        </is>
      </c>
      <c r="C6838" t="inlineStr">
        <is>
          <t>Föryngringsavverkning</t>
        </is>
      </c>
      <c r="D6838" s="1" t="n">
        <v>45063</v>
      </c>
      <c r="E6838" s="1" t="n">
        <v>46307</v>
      </c>
      <c r="F6838" t="inlineStr">
        <is>
          <t>VÄRMLANDS LÄN</t>
        </is>
      </c>
      <c r="G6838" t="inlineStr">
        <is>
          <t>ARVIKA</t>
        </is>
      </c>
      <c r="I6838" t="n">
        <v>4.7</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14076-2026</t>
        </is>
      </c>
      <c r="B6839" t="inlineStr">
        <is>
          <t>avverkningsanmälan</t>
        </is>
      </c>
      <c r="C6839" t="inlineStr">
        <is>
          <t>Föryngringsavverkning</t>
        </is>
      </c>
      <c r="D6839" s="1" t="n">
        <v>46099</v>
      </c>
      <c r="E6839" s="1" t="n">
        <v>46307</v>
      </c>
      <c r="F6839" t="inlineStr">
        <is>
          <t>VÄRMLANDS LÄN</t>
        </is>
      </c>
      <c r="G6839" t="inlineStr">
        <is>
          <t>KARLSTAD</t>
        </is>
      </c>
      <c r="I6839" t="n">
        <v>3.8</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13955-2026</t>
        </is>
      </c>
      <c r="B6840" t="inlineStr">
        <is>
          <t>avverkningsanmälan</t>
        </is>
      </c>
      <c r="C6840" t="inlineStr">
        <is>
          <t>Föryngringsavverkning</t>
        </is>
      </c>
      <c r="D6840" s="1" t="n">
        <v>46098</v>
      </c>
      <c r="E6840" s="1" t="n">
        <v>46307</v>
      </c>
      <c r="F6840" t="inlineStr">
        <is>
          <t>VÄRMLANDS LÄN</t>
        </is>
      </c>
      <c r="G6840" t="inlineStr">
        <is>
          <t>FILIPSTAD</t>
        </is>
      </c>
      <c r="H6840" t="inlineStr">
        <is>
          <t>Bergvik skog väst AB</t>
        </is>
      </c>
      <c r="I6840" t="n">
        <v>1.6</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14042-2025</t>
        </is>
      </c>
      <c r="B6841" t="inlineStr">
        <is>
          <t>avverkningsanmälan</t>
        </is>
      </c>
      <c r="C6841" t="inlineStr">
        <is>
          <t>Föryngringsavverkning</t>
        </is>
      </c>
      <c r="D6841" s="1" t="n">
        <v>45740</v>
      </c>
      <c r="E6841" s="1" t="n">
        <v>46307</v>
      </c>
      <c r="F6841" t="inlineStr">
        <is>
          <t>VÄRMLANDS LÄN</t>
        </is>
      </c>
      <c r="G6841" t="inlineStr">
        <is>
          <t>SUNNE</t>
        </is>
      </c>
      <c r="H6841" t="inlineStr">
        <is>
          <t>Bergvik skog väst AB</t>
        </is>
      </c>
      <c r="I6841" t="n">
        <v>3.4</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14060-2025</t>
        </is>
      </c>
      <c r="B6842" t="inlineStr">
        <is>
          <t>avverkningsanmälan</t>
        </is>
      </c>
      <c r="C6842" t="inlineStr">
        <is>
          <t>Föryngringsavverkning</t>
        </is>
      </c>
      <c r="D6842" s="1" t="n">
        <v>45740</v>
      </c>
      <c r="E6842" s="1" t="n">
        <v>46307</v>
      </c>
      <c r="F6842" t="inlineStr">
        <is>
          <t>VÄRMLANDS LÄN</t>
        </is>
      </c>
      <c r="G6842" t="inlineStr">
        <is>
          <t>SUNNE</t>
        </is>
      </c>
      <c r="I6842" t="n">
        <v>3.3</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13999-2026</t>
        </is>
      </c>
      <c r="B6843" t="inlineStr">
        <is>
          <t>avverkningsanmälan</t>
        </is>
      </c>
      <c r="C6843" t="inlineStr">
        <is>
          <t>Föryngringsavverkning</t>
        </is>
      </c>
      <c r="D6843" s="1" t="n">
        <v>46098</v>
      </c>
      <c r="E6843" s="1" t="n">
        <v>46307</v>
      </c>
      <c r="F6843" t="inlineStr">
        <is>
          <t>VÄRMLANDS LÄN</t>
        </is>
      </c>
      <c r="G6843" t="inlineStr">
        <is>
          <t>ARVIKA</t>
        </is>
      </c>
      <c r="I6843" t="n">
        <v>1.9</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57952-2025</t>
        </is>
      </c>
      <c r="B6844" t="inlineStr">
        <is>
          <t>avverkningsanmälan</t>
        </is>
      </c>
      <c r="C6844" t="inlineStr">
        <is>
          <t>Föryngringsavverkning</t>
        </is>
      </c>
      <c r="D6844" s="1" t="n">
        <v>45982</v>
      </c>
      <c r="E6844" s="1" t="n">
        <v>46307</v>
      </c>
      <c r="F6844" t="inlineStr">
        <is>
          <t>VÄRMLANDS LÄN</t>
        </is>
      </c>
      <c r="G6844" t="inlineStr">
        <is>
          <t>ARVIKA</t>
        </is>
      </c>
      <c r="I6844" t="n">
        <v>2.5</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58178-2025</t>
        </is>
      </c>
      <c r="B6845" t="inlineStr">
        <is>
          <t>avverkningsanmälan</t>
        </is>
      </c>
      <c r="C6845" t="inlineStr">
        <is>
          <t>Föryngringsavverkning</t>
        </is>
      </c>
      <c r="D6845" s="1" t="n">
        <v>45982</v>
      </c>
      <c r="E6845" s="1" t="n">
        <v>46307</v>
      </c>
      <c r="F6845" t="inlineStr">
        <is>
          <t>VÄRMLANDS LÄN</t>
        </is>
      </c>
      <c r="G6845" t="inlineStr">
        <is>
          <t>SUNNE</t>
        </is>
      </c>
      <c r="I6845" t="n">
        <v>0.7</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54929-2024</t>
        </is>
      </c>
      <c r="B6846" t="inlineStr">
        <is>
          <t>avverkningsanmälan</t>
        </is>
      </c>
      <c r="C6846" t="inlineStr">
        <is>
          <t>Föryngringsavverkning</t>
        </is>
      </c>
      <c r="D6846" s="1" t="n">
        <v>45618</v>
      </c>
      <c r="E6846" s="1" t="n">
        <v>46307</v>
      </c>
      <c r="F6846" t="inlineStr">
        <is>
          <t>VÄRMLANDS LÄN</t>
        </is>
      </c>
      <c r="G6846" t="inlineStr">
        <is>
          <t>HAGFORS</t>
        </is>
      </c>
      <c r="H6846" t="inlineStr">
        <is>
          <t>Bergvik skog väst AB</t>
        </is>
      </c>
      <c r="I6846" t="n">
        <v>0.8</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13880-2026</t>
        </is>
      </c>
      <c r="B6847" t="inlineStr">
        <is>
          <t>avverkningsanmälan</t>
        </is>
      </c>
      <c r="C6847" t="inlineStr">
        <is>
          <t>Föryngringsavverkning</t>
        </is>
      </c>
      <c r="D6847" s="1" t="n">
        <v>46098</v>
      </c>
      <c r="E6847" s="1" t="n">
        <v>46307</v>
      </c>
      <c r="F6847" t="inlineStr">
        <is>
          <t>VÄRMLANDS LÄN</t>
        </is>
      </c>
      <c r="G6847" t="inlineStr">
        <is>
          <t>TORSBY</t>
        </is>
      </c>
      <c r="I6847" t="n">
        <v>3.3</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13884-2026</t>
        </is>
      </c>
      <c r="B6848" t="inlineStr">
        <is>
          <t>avverkningsanmälan</t>
        </is>
      </c>
      <c r="C6848" t="inlineStr">
        <is>
          <t>Föryngringsavverkning</t>
        </is>
      </c>
      <c r="D6848" s="1" t="n">
        <v>46098</v>
      </c>
      <c r="E6848" s="1" t="n">
        <v>46307</v>
      </c>
      <c r="F6848" t="inlineStr">
        <is>
          <t>VÄRMLANDS LÄN</t>
        </is>
      </c>
      <c r="G6848" t="inlineStr">
        <is>
          <t>TORSBY</t>
        </is>
      </c>
      <c r="I6848" t="n">
        <v>1.6</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6317-2025</t>
        </is>
      </c>
      <c r="B6849" t="inlineStr">
        <is>
          <t>avverkningsanmälan</t>
        </is>
      </c>
      <c r="C6849" t="inlineStr">
        <is>
          <t>Föryngringsavverkning</t>
        </is>
      </c>
      <c r="D6849" s="1" t="n">
        <v>45698</v>
      </c>
      <c r="E6849" s="1" t="n">
        <v>46307</v>
      </c>
      <c r="F6849" t="inlineStr">
        <is>
          <t>VÄRMLANDS LÄN</t>
        </is>
      </c>
      <c r="G6849" t="inlineStr">
        <is>
          <t>TORSBY</t>
        </is>
      </c>
      <c r="I6849" t="n">
        <v>5.8</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37854-2023</t>
        </is>
      </c>
      <c r="B6850" t="inlineStr">
        <is>
          <t>avverkningsanmälan</t>
        </is>
      </c>
      <c r="C6850" t="inlineStr">
        <is>
          <t>Föryngringsavverkning</t>
        </is>
      </c>
      <c r="D6850" s="1" t="n">
        <v>45158</v>
      </c>
      <c r="E6850" s="1" t="n">
        <v>46307</v>
      </c>
      <c r="F6850" t="inlineStr">
        <is>
          <t>VÄRMLANDS LÄN</t>
        </is>
      </c>
      <c r="G6850" t="inlineStr">
        <is>
          <t>ARVIKA</t>
        </is>
      </c>
      <c r="I6850" t="n">
        <v>1.2</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54828-2023</t>
        </is>
      </c>
      <c r="B6851" t="inlineStr">
        <is>
          <t>avverkningsanmälan</t>
        </is>
      </c>
      <c r="C6851" t="inlineStr">
        <is>
          <t>Föryngringsavverkning</t>
        </is>
      </c>
      <c r="D6851" s="1" t="n">
        <v>45229</v>
      </c>
      <c r="E6851" s="1" t="n">
        <v>46307</v>
      </c>
      <c r="F6851" t="inlineStr">
        <is>
          <t>VÄRMLANDS LÄN</t>
        </is>
      </c>
      <c r="G6851" t="inlineStr">
        <is>
          <t>FILIPSTAD</t>
        </is>
      </c>
      <c r="I6851" t="n">
        <v>1.3</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39601-2023</t>
        </is>
      </c>
      <c r="B6852" t="inlineStr">
        <is>
          <t>avverkningsanmälan</t>
        </is>
      </c>
      <c r="C6852" t="inlineStr">
        <is>
          <t>Föryngringsavverkning</t>
        </is>
      </c>
      <c r="D6852" s="1" t="n">
        <v>45163</v>
      </c>
      <c r="E6852" s="1" t="n">
        <v>46307</v>
      </c>
      <c r="F6852" t="inlineStr">
        <is>
          <t>VÄRMLANDS LÄN</t>
        </is>
      </c>
      <c r="G6852" t="inlineStr">
        <is>
          <t>ARVIKA</t>
        </is>
      </c>
      <c r="I6852" t="n">
        <v>1.9</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14208-2026</t>
        </is>
      </c>
      <c r="B6853" t="inlineStr">
        <is>
          <t>avverkningsanmälan</t>
        </is>
      </c>
      <c r="C6853" t="inlineStr">
        <is>
          <t>Föryngringsavverkning</t>
        </is>
      </c>
      <c r="D6853" s="1" t="n">
        <v>46099</v>
      </c>
      <c r="E6853" s="1" t="n">
        <v>46307</v>
      </c>
      <c r="F6853" t="inlineStr">
        <is>
          <t>VÄRMLANDS LÄN</t>
        </is>
      </c>
      <c r="G6853" t="inlineStr">
        <is>
          <t>EDA</t>
        </is>
      </c>
      <c r="I6853" t="n">
        <v>4.2</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6768-2025</t>
        </is>
      </c>
      <c r="B6854" t="inlineStr">
        <is>
          <t>avverkningsanmälan</t>
        </is>
      </c>
      <c r="C6854" t="inlineStr">
        <is>
          <t>Föryngringsavverkning</t>
        </is>
      </c>
      <c r="D6854" s="1" t="n">
        <v>45700</v>
      </c>
      <c r="E6854" s="1" t="n">
        <v>46307</v>
      </c>
      <c r="F6854" t="inlineStr">
        <is>
          <t>VÄRMLANDS LÄN</t>
        </is>
      </c>
      <c r="G6854" t="inlineStr">
        <is>
          <t>SÄFFLE</t>
        </is>
      </c>
      <c r="I6854" t="n">
        <v>1</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58747-2025</t>
        </is>
      </c>
      <c r="B6855" t="inlineStr">
        <is>
          <t>avverkningsanmälan</t>
        </is>
      </c>
      <c r="C6855" t="inlineStr">
        <is>
          <t>Föryngringsavverkning</t>
        </is>
      </c>
      <c r="D6855" s="1" t="n">
        <v>45986</v>
      </c>
      <c r="E6855" s="1" t="n">
        <v>46307</v>
      </c>
      <c r="F6855" t="inlineStr">
        <is>
          <t>VÄRMLANDS LÄN</t>
        </is>
      </c>
      <c r="G6855" t="inlineStr">
        <is>
          <t>GRUMS</t>
        </is>
      </c>
      <c r="I6855" t="n">
        <v>1.5</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14036-2026</t>
        </is>
      </c>
      <c r="B6856" t="inlineStr">
        <is>
          <t>avverkningsanmälan</t>
        </is>
      </c>
      <c r="C6856" t="inlineStr">
        <is>
          <t>Föryngringsavverkning</t>
        </is>
      </c>
      <c r="D6856" s="1" t="n">
        <v>46098</v>
      </c>
      <c r="E6856" s="1" t="n">
        <v>46307</v>
      </c>
      <c r="F6856" t="inlineStr">
        <is>
          <t>VÄRMLANDS LÄN</t>
        </is>
      </c>
      <c r="G6856" t="inlineStr">
        <is>
          <t>KIL</t>
        </is>
      </c>
      <c r="I6856" t="n">
        <v>0.5</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12252-2024</t>
        </is>
      </c>
      <c r="B6857" t="inlineStr">
        <is>
          <t>avverkningsanmälan</t>
        </is>
      </c>
      <c r="C6857" t="inlineStr">
        <is>
          <t>Föryngringsavverkning</t>
        </is>
      </c>
      <c r="D6857" s="1" t="n">
        <v>45378</v>
      </c>
      <c r="E6857" s="1" t="n">
        <v>46307</v>
      </c>
      <c r="F6857" t="inlineStr">
        <is>
          <t>VÄRMLANDS LÄN</t>
        </is>
      </c>
      <c r="G6857" t="inlineStr">
        <is>
          <t>KIL</t>
        </is>
      </c>
      <c r="I6857" t="n">
        <v>0.4</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54036-2022</t>
        </is>
      </c>
      <c r="B6858" t="inlineStr">
        <is>
          <t>avverkningsanmälan</t>
        </is>
      </c>
      <c r="C6858" t="inlineStr">
        <is>
          <t>Föryngringsavverkning</t>
        </is>
      </c>
      <c r="D6858" s="1" t="n">
        <v>44881</v>
      </c>
      <c r="E6858" s="1" t="n">
        <v>46307</v>
      </c>
      <c r="F6858" t="inlineStr">
        <is>
          <t>VÄRMLANDS LÄN</t>
        </is>
      </c>
      <c r="G6858" t="inlineStr">
        <is>
          <t>SUNNE</t>
        </is>
      </c>
      <c r="I6858" t="n">
        <v>2.3</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71292-2021</t>
        </is>
      </c>
      <c r="B6859" t="inlineStr">
        <is>
          <t>avverkningsanmälan</t>
        </is>
      </c>
      <c r="C6859" t="inlineStr">
        <is>
          <t>Föryngringsavverkning</t>
        </is>
      </c>
      <c r="D6859" s="1" t="n">
        <v>44538</v>
      </c>
      <c r="E6859" s="1" t="n">
        <v>46307</v>
      </c>
      <c r="F6859" t="inlineStr">
        <is>
          <t>VÄRMLANDS LÄN</t>
        </is>
      </c>
      <c r="G6859" t="inlineStr">
        <is>
          <t>SÄFFLE</t>
        </is>
      </c>
      <c r="I6859" t="n">
        <v>7.6</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13909-2026</t>
        </is>
      </c>
      <c r="B6860" t="inlineStr">
        <is>
          <t>avverkningsanmälan</t>
        </is>
      </c>
      <c r="C6860" t="inlineStr">
        <is>
          <t>Föryngringsavverkning</t>
        </is>
      </c>
      <c r="D6860" s="1" t="n">
        <v>46098</v>
      </c>
      <c r="E6860" s="1" t="n">
        <v>46307</v>
      </c>
      <c r="F6860" t="inlineStr">
        <is>
          <t>VÄRMLANDS LÄN</t>
        </is>
      </c>
      <c r="G6860" t="inlineStr">
        <is>
          <t>TORSBY</t>
        </is>
      </c>
      <c r="I6860" t="n">
        <v>0.8</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46792-2022</t>
        </is>
      </c>
      <c r="B6861" t="inlineStr">
        <is>
          <t>avverkningsanmälan</t>
        </is>
      </c>
      <c r="C6861" t="inlineStr">
        <is>
          <t>Föryngringsavverkning</t>
        </is>
      </c>
      <c r="D6861" s="1" t="n">
        <v>44851</v>
      </c>
      <c r="E6861" s="1" t="n">
        <v>46307</v>
      </c>
      <c r="F6861" t="inlineStr">
        <is>
          <t>VÄRMLANDS LÄN</t>
        </is>
      </c>
      <c r="G6861" t="inlineStr">
        <is>
          <t>HAGFORS</t>
        </is>
      </c>
      <c r="I6861" t="n">
        <v>1.6</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17756-2023</t>
        </is>
      </c>
      <c r="B6862" t="inlineStr">
        <is>
          <t>avverkningsanmälan</t>
        </is>
      </c>
      <c r="C6862" t="inlineStr">
        <is>
          <t>Föryngringsavverkning</t>
        </is>
      </c>
      <c r="D6862" s="1" t="n">
        <v>45037</v>
      </c>
      <c r="E6862" s="1" t="n">
        <v>46307</v>
      </c>
      <c r="F6862" t="inlineStr">
        <is>
          <t>VÄRMLANDS LÄN</t>
        </is>
      </c>
      <c r="G6862" t="inlineStr">
        <is>
          <t>STORFORS</t>
        </is>
      </c>
      <c r="I6862" t="n">
        <v>8.1</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35117-2024</t>
        </is>
      </c>
      <c r="B6863" t="inlineStr">
        <is>
          <t>avverkningsanmälan</t>
        </is>
      </c>
      <c r="C6863" t="inlineStr">
        <is>
          <t>Föryngringsavverkning</t>
        </is>
      </c>
      <c r="D6863" s="1" t="n">
        <v>45527</v>
      </c>
      <c r="E6863" s="1" t="n">
        <v>46307</v>
      </c>
      <c r="F6863" t="inlineStr">
        <is>
          <t>VÄRMLANDS LÄN</t>
        </is>
      </c>
      <c r="G6863" t="inlineStr">
        <is>
          <t>SÄFFLE</t>
        </is>
      </c>
      <c r="I6863" t="n">
        <v>4</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13837-2026</t>
        </is>
      </c>
      <c r="B6864" t="inlineStr">
        <is>
          <t>avverkningsanmälan</t>
        </is>
      </c>
      <c r="C6864" t="inlineStr">
        <is>
          <t>Föryngringsavverkning</t>
        </is>
      </c>
      <c r="D6864" s="1" t="n">
        <v>46098</v>
      </c>
      <c r="E6864" s="1" t="n">
        <v>46307</v>
      </c>
      <c r="F6864" t="inlineStr">
        <is>
          <t>VÄRMLANDS LÄN</t>
        </is>
      </c>
      <c r="G6864" t="inlineStr">
        <is>
          <t>TORSBY</t>
        </is>
      </c>
      <c r="I6864" t="n">
        <v>1.1</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13926-2026</t>
        </is>
      </c>
      <c r="B6865" t="inlineStr">
        <is>
          <t>avverkningsanmälan</t>
        </is>
      </c>
      <c r="C6865" t="inlineStr">
        <is>
          <t>Föryngringsavverkning</t>
        </is>
      </c>
      <c r="D6865" s="1" t="n">
        <v>46098</v>
      </c>
      <c r="E6865" s="1" t="n">
        <v>46307</v>
      </c>
      <c r="F6865" t="inlineStr">
        <is>
          <t>VÄRMLANDS LÄN</t>
        </is>
      </c>
      <c r="G6865" t="inlineStr">
        <is>
          <t>HAGFORS</t>
        </is>
      </c>
      <c r="H6865" t="inlineStr">
        <is>
          <t>Bergvik skog väst AB</t>
        </is>
      </c>
      <c r="I6865" t="n">
        <v>4.4</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25813-2023</t>
        </is>
      </c>
      <c r="B6866" t="inlineStr">
        <is>
          <t>avverkningsanmälan</t>
        </is>
      </c>
      <c r="C6866" t="inlineStr">
        <is>
          <t>Föryngringsavverkning</t>
        </is>
      </c>
      <c r="D6866" s="1" t="n">
        <v>45090</v>
      </c>
      <c r="E6866" s="1" t="n">
        <v>46307</v>
      </c>
      <c r="F6866" t="inlineStr">
        <is>
          <t>VÄRMLANDS LÄN</t>
        </is>
      </c>
      <c r="G6866" t="inlineStr">
        <is>
          <t>EDA</t>
        </is>
      </c>
      <c r="I6866" t="n">
        <v>6.4</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58571-2025</t>
        </is>
      </c>
      <c r="B6867" t="inlineStr">
        <is>
          <t>avverkningsanmälan</t>
        </is>
      </c>
      <c r="C6867" t="inlineStr">
        <is>
          <t>Föryngringsavverkning</t>
        </is>
      </c>
      <c r="D6867" s="1" t="n">
        <v>45986</v>
      </c>
      <c r="E6867" s="1" t="n">
        <v>46307</v>
      </c>
      <c r="F6867" t="inlineStr">
        <is>
          <t>VÄRMLANDS LÄN</t>
        </is>
      </c>
      <c r="G6867" t="inlineStr">
        <is>
          <t>ÅRJÄNG</t>
        </is>
      </c>
      <c r="I6867" t="n">
        <v>3</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24535-2024</t>
        </is>
      </c>
      <c r="B6868" t="inlineStr">
        <is>
          <t>avverkningsanmälan</t>
        </is>
      </c>
      <c r="C6868" t="inlineStr">
        <is>
          <t>Föryngringsavverkning</t>
        </is>
      </c>
      <c r="D6868" s="1" t="n">
        <v>45460</v>
      </c>
      <c r="E6868" s="1" t="n">
        <v>46307</v>
      </c>
      <c r="F6868" t="inlineStr">
        <is>
          <t>VÄRMLANDS LÄN</t>
        </is>
      </c>
      <c r="G6868" t="inlineStr">
        <is>
          <t>ARVIKA</t>
        </is>
      </c>
      <c r="H6868" t="inlineStr">
        <is>
          <t>Bergvik skog väst AB</t>
        </is>
      </c>
      <c r="I6868" t="n">
        <v>1.2</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13285-2025</t>
        </is>
      </c>
      <c r="B6869" t="inlineStr">
        <is>
          <t>avverkningsanmälan</t>
        </is>
      </c>
      <c r="C6869" t="inlineStr">
        <is>
          <t>Föryngringsavverkning</t>
        </is>
      </c>
      <c r="D6869" s="1" t="n">
        <v>45735</v>
      </c>
      <c r="E6869" s="1" t="n">
        <v>46307</v>
      </c>
      <c r="F6869" t="inlineStr">
        <is>
          <t>VÄRMLANDS LÄN</t>
        </is>
      </c>
      <c r="G6869" t="inlineStr">
        <is>
          <t>TORSBY</t>
        </is>
      </c>
      <c r="I6869" t="n">
        <v>0.7</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47037-2024</t>
        </is>
      </c>
      <c r="B6870" t="inlineStr">
        <is>
          <t>avverkningsanmälan</t>
        </is>
      </c>
      <c r="C6870" t="inlineStr">
        <is>
          <t>Föryngringsavverkning</t>
        </is>
      </c>
      <c r="D6870" s="1" t="n">
        <v>45586</v>
      </c>
      <c r="E6870" s="1" t="n">
        <v>46307</v>
      </c>
      <c r="F6870" t="inlineStr">
        <is>
          <t>VÄRMLANDS LÄN</t>
        </is>
      </c>
      <c r="G6870" t="inlineStr">
        <is>
          <t>SÄFFLE</t>
        </is>
      </c>
      <c r="I6870" t="n">
        <v>2.4</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47041-2024</t>
        </is>
      </c>
      <c r="B6871" t="inlineStr">
        <is>
          <t>avverkningsanmälan</t>
        </is>
      </c>
      <c r="C6871" t="inlineStr">
        <is>
          <t>Föryngringsavverkning</t>
        </is>
      </c>
      <c r="D6871" s="1" t="n">
        <v>45586</v>
      </c>
      <c r="E6871" s="1" t="n">
        <v>46307</v>
      </c>
      <c r="F6871" t="inlineStr">
        <is>
          <t>VÄRMLANDS LÄN</t>
        </is>
      </c>
      <c r="G6871" t="inlineStr">
        <is>
          <t>ARVIKA</t>
        </is>
      </c>
      <c r="H6871" t="inlineStr">
        <is>
          <t>Bergvik skog väst AB</t>
        </is>
      </c>
      <c r="I6871" t="n">
        <v>0.5</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13887-2026</t>
        </is>
      </c>
      <c r="B6872" t="inlineStr">
        <is>
          <t>avverkningsanmälan</t>
        </is>
      </c>
      <c r="C6872" t="inlineStr">
        <is>
          <t>Föryngringsavverkning</t>
        </is>
      </c>
      <c r="D6872" s="1" t="n">
        <v>46098</v>
      </c>
      <c r="E6872" s="1" t="n">
        <v>46307</v>
      </c>
      <c r="F6872" t="inlineStr">
        <is>
          <t>VÄRMLANDS LÄN</t>
        </is>
      </c>
      <c r="G6872" t="inlineStr">
        <is>
          <t>TORSBY</t>
        </is>
      </c>
      <c r="I6872" t="n">
        <v>4.5</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13891-2026</t>
        </is>
      </c>
      <c r="B6873" t="inlineStr">
        <is>
          <t>avverkningsanmälan</t>
        </is>
      </c>
      <c r="C6873" t="inlineStr">
        <is>
          <t>Föryngringsavverkning</t>
        </is>
      </c>
      <c r="D6873" s="1" t="n">
        <v>46098</v>
      </c>
      <c r="E6873" s="1" t="n">
        <v>46307</v>
      </c>
      <c r="F6873" t="inlineStr">
        <is>
          <t>VÄRMLANDS LÄN</t>
        </is>
      </c>
      <c r="G6873" t="inlineStr">
        <is>
          <t>TORSBY</t>
        </is>
      </c>
      <c r="I6873" t="n">
        <v>1</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13900-2026</t>
        </is>
      </c>
      <c r="B6874" t="inlineStr">
        <is>
          <t>avverkningsanmälan</t>
        </is>
      </c>
      <c r="C6874" t="inlineStr">
        <is>
          <t>Föryngringsavverkning</t>
        </is>
      </c>
      <c r="D6874" s="1" t="n">
        <v>46098</v>
      </c>
      <c r="E6874" s="1" t="n">
        <v>46307</v>
      </c>
      <c r="F6874" t="inlineStr">
        <is>
          <t>VÄRMLANDS LÄN</t>
        </is>
      </c>
      <c r="G6874" t="inlineStr">
        <is>
          <t>TORSBY</t>
        </is>
      </c>
      <c r="I6874" t="n">
        <v>1.1</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13895-2026</t>
        </is>
      </c>
      <c r="B6875" t="inlineStr">
        <is>
          <t>avverkningsanmälan</t>
        </is>
      </c>
      <c r="C6875" t="inlineStr">
        <is>
          <t>Föryngringsavverkning</t>
        </is>
      </c>
      <c r="D6875" s="1" t="n">
        <v>46098</v>
      </c>
      <c r="E6875" s="1" t="n">
        <v>46307</v>
      </c>
      <c r="F6875" t="inlineStr">
        <is>
          <t>VÄRMLANDS LÄN</t>
        </is>
      </c>
      <c r="G6875" t="inlineStr">
        <is>
          <t>TORSBY</t>
        </is>
      </c>
      <c r="I6875" t="n">
        <v>0.9</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47092-2024</t>
        </is>
      </c>
      <c r="B6876" t="inlineStr">
        <is>
          <t>avverkningsanmälan</t>
        </is>
      </c>
      <c r="C6876" t="inlineStr">
        <is>
          <t>Föryngringsavverkning</t>
        </is>
      </c>
      <c r="D6876" s="1" t="n">
        <v>45586</v>
      </c>
      <c r="E6876" s="1" t="n">
        <v>46307</v>
      </c>
      <c r="F6876" t="inlineStr">
        <is>
          <t>VÄRMLANDS LÄN</t>
        </is>
      </c>
      <c r="G6876" t="inlineStr">
        <is>
          <t>SUNNE</t>
        </is>
      </c>
      <c r="H6876" t="inlineStr">
        <is>
          <t>Kommuner</t>
        </is>
      </c>
      <c r="I6876" t="n">
        <v>1.1</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13979-2026</t>
        </is>
      </c>
      <c r="B6877" t="inlineStr">
        <is>
          <t>avverkningsanmälan</t>
        </is>
      </c>
      <c r="C6877" t="inlineStr">
        <is>
          <t>Föryngringsavverkning</t>
        </is>
      </c>
      <c r="D6877" s="1" t="n">
        <v>46098</v>
      </c>
      <c r="E6877" s="1" t="n">
        <v>46307</v>
      </c>
      <c r="F6877" t="inlineStr">
        <is>
          <t>VÄRMLANDS LÄN</t>
        </is>
      </c>
      <c r="G6877" t="inlineStr">
        <is>
          <t>ÅRJÄNG</t>
        </is>
      </c>
      <c r="I6877" t="n">
        <v>2.9</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34857-2022</t>
        </is>
      </c>
      <c r="B6878" t="inlineStr">
        <is>
          <t>avverkningsanmälan</t>
        </is>
      </c>
      <c r="C6878" t="inlineStr">
        <is>
          <t>Föryngringsavverkning</t>
        </is>
      </c>
      <c r="D6878" s="1" t="n">
        <v>44796</v>
      </c>
      <c r="E6878" s="1" t="n">
        <v>46307</v>
      </c>
      <c r="F6878" t="inlineStr">
        <is>
          <t>VÄRMLANDS LÄN</t>
        </is>
      </c>
      <c r="G6878" t="inlineStr">
        <is>
          <t>SUNNE</t>
        </is>
      </c>
      <c r="I6878" t="n">
        <v>1.5</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59438-2023</t>
        </is>
      </c>
      <c r="B6879" t="inlineStr">
        <is>
          <t>avverkningsanmälan</t>
        </is>
      </c>
      <c r="C6879" t="inlineStr">
        <is>
          <t>Föryngringsavverkning</t>
        </is>
      </c>
      <c r="D6879" s="1" t="n">
        <v>45253</v>
      </c>
      <c r="E6879" s="1" t="n">
        <v>46307</v>
      </c>
      <c r="F6879" t="inlineStr">
        <is>
          <t>VÄRMLANDS LÄN</t>
        </is>
      </c>
      <c r="G6879" t="inlineStr">
        <is>
          <t>SÄFFLE</t>
        </is>
      </c>
      <c r="I6879" t="n">
        <v>19.9</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70126-2021</t>
        </is>
      </c>
      <c r="B6880" t="inlineStr">
        <is>
          <t>avverkningsanmälan</t>
        </is>
      </c>
      <c r="C6880" t="inlineStr">
        <is>
          <t>Föryngringsavverkning</t>
        </is>
      </c>
      <c r="D6880" s="1" t="n">
        <v>44533</v>
      </c>
      <c r="E6880" s="1" t="n">
        <v>46307</v>
      </c>
      <c r="F6880" t="inlineStr">
        <is>
          <t>VÄRMLANDS LÄN</t>
        </is>
      </c>
      <c r="G6880" t="inlineStr">
        <is>
          <t>KRISTINEHAMN</t>
        </is>
      </c>
      <c r="I6880" t="n">
        <v>0.3</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58421-2025</t>
        </is>
      </c>
      <c r="B6881" t="inlineStr">
        <is>
          <t>avverkningsanmälan</t>
        </is>
      </c>
      <c r="C6881" t="inlineStr">
        <is>
          <t>Föryngringsavverkning</t>
        </is>
      </c>
      <c r="D6881" s="1" t="n">
        <v>45985</v>
      </c>
      <c r="E6881" s="1" t="n">
        <v>46307</v>
      </c>
      <c r="F6881" t="inlineStr">
        <is>
          <t>VÄRMLANDS LÄN</t>
        </is>
      </c>
      <c r="G6881" t="inlineStr">
        <is>
          <t>SUNNE</t>
        </is>
      </c>
      <c r="I6881" t="n">
        <v>1.1</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14079-2026</t>
        </is>
      </c>
      <c r="B6882" t="inlineStr">
        <is>
          <t>avverkningsanmälan</t>
        </is>
      </c>
      <c r="C6882" t="inlineStr">
        <is>
          <t>Avverkning för att bevara och utveckla /försöksver</t>
        </is>
      </c>
      <c r="D6882" s="1" t="n">
        <v>46099</v>
      </c>
      <c r="E6882" s="1" t="n">
        <v>46307</v>
      </c>
      <c r="F6882" t="inlineStr">
        <is>
          <t>VÄRMLANDS LÄN</t>
        </is>
      </c>
      <c r="G6882" t="inlineStr">
        <is>
          <t>KARLSTAD</t>
        </is>
      </c>
      <c r="H6882" t="inlineStr">
        <is>
          <t>Bergvik skog väst AB</t>
        </is>
      </c>
      <c r="I6882" t="n">
        <v>4</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13987-2026</t>
        </is>
      </c>
      <c r="B6883" t="inlineStr">
        <is>
          <t>avverkningsanmälan</t>
        </is>
      </c>
      <c r="C6883" t="inlineStr">
        <is>
          <t>Föryngringsavverkning</t>
        </is>
      </c>
      <c r="D6883" s="1" t="n">
        <v>46098</v>
      </c>
      <c r="E6883" s="1" t="n">
        <v>46307</v>
      </c>
      <c r="F6883" t="inlineStr">
        <is>
          <t>VÄRMLANDS LÄN</t>
        </is>
      </c>
      <c r="G6883" t="inlineStr">
        <is>
          <t>HAGFORS</t>
        </is>
      </c>
      <c r="H6883" t="inlineStr">
        <is>
          <t>Bergvik skog väst AB</t>
        </is>
      </c>
      <c r="I6883" t="n">
        <v>4.2</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49753-2023</t>
        </is>
      </c>
      <c r="B6884" t="inlineStr">
        <is>
          <t>avverkningsanmälan</t>
        </is>
      </c>
      <c r="C6884" t="inlineStr">
        <is>
          <t>Föryngringsavverkning</t>
        </is>
      </c>
      <c r="D6884" s="1" t="n">
        <v>45212</v>
      </c>
      <c r="E6884" s="1" t="n">
        <v>46307</v>
      </c>
      <c r="F6884" t="inlineStr">
        <is>
          <t>VÄRMLANDS LÄN</t>
        </is>
      </c>
      <c r="G6884" t="inlineStr">
        <is>
          <t>HAGFORS</t>
        </is>
      </c>
      <c r="H6884" t="inlineStr">
        <is>
          <t>Bergvik skog väst AB</t>
        </is>
      </c>
      <c r="I6884" t="n">
        <v>5.1</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34540-2024</t>
        </is>
      </c>
      <c r="B6885" t="inlineStr">
        <is>
          <t>avverkningsanmälan</t>
        </is>
      </c>
      <c r="C6885" t="inlineStr">
        <is>
          <t>Föryngringsavverkning</t>
        </is>
      </c>
      <c r="D6885" s="1" t="n">
        <v>45525</v>
      </c>
      <c r="E6885" s="1" t="n">
        <v>46307</v>
      </c>
      <c r="F6885" t="inlineStr">
        <is>
          <t>VÄRMLANDS LÄN</t>
        </is>
      </c>
      <c r="G6885" t="inlineStr">
        <is>
          <t>HAGFORS</t>
        </is>
      </c>
      <c r="I6885" t="n">
        <v>2.6</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34548-2024</t>
        </is>
      </c>
      <c r="B6886" t="inlineStr">
        <is>
          <t>avverkningsanmälan</t>
        </is>
      </c>
      <c r="C6886" t="inlineStr">
        <is>
          <t>Föryngringsavverkning</t>
        </is>
      </c>
      <c r="D6886" s="1" t="n">
        <v>45525</v>
      </c>
      <c r="E6886" s="1" t="n">
        <v>46307</v>
      </c>
      <c r="F6886" t="inlineStr">
        <is>
          <t>VÄRMLANDS LÄN</t>
        </is>
      </c>
      <c r="G6886" t="inlineStr">
        <is>
          <t>SÄFFLE</t>
        </is>
      </c>
      <c r="I6886" t="n">
        <v>4.3</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22409-2023</t>
        </is>
      </c>
      <c r="B6887" t="inlineStr">
        <is>
          <t>avverkningsanmälan</t>
        </is>
      </c>
      <c r="C6887" t="inlineStr">
        <is>
          <t>Föryngringsavverkning</t>
        </is>
      </c>
      <c r="D6887" s="1" t="n">
        <v>45070</v>
      </c>
      <c r="E6887" s="1" t="n">
        <v>46307</v>
      </c>
      <c r="F6887" t="inlineStr">
        <is>
          <t>VÄRMLANDS LÄN</t>
        </is>
      </c>
      <c r="G6887" t="inlineStr">
        <is>
          <t>KARLSTAD</t>
        </is>
      </c>
      <c r="I6887" t="n">
        <v>3</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14288-2026</t>
        </is>
      </c>
      <c r="B6888" t="inlineStr">
        <is>
          <t>avverkningsanmälan</t>
        </is>
      </c>
      <c r="C6888" t="inlineStr">
        <is>
          <t>Föryngringsavverkning</t>
        </is>
      </c>
      <c r="D6888" s="1" t="n">
        <v>46099</v>
      </c>
      <c r="E6888" s="1" t="n">
        <v>46307</v>
      </c>
      <c r="F6888" t="inlineStr">
        <is>
          <t>VÄRMLANDS LÄN</t>
        </is>
      </c>
      <c r="G6888" t="inlineStr">
        <is>
          <t>HAGFORS</t>
        </is>
      </c>
      <c r="I6888" t="n">
        <v>0.6</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16014-2024</t>
        </is>
      </c>
      <c r="B6889" t="inlineStr">
        <is>
          <t>avverkningsanmälan</t>
        </is>
      </c>
      <c r="C6889" t="inlineStr">
        <is>
          <t>Föryngringsavverkning</t>
        </is>
      </c>
      <c r="D6889" s="1" t="n">
        <v>45405</v>
      </c>
      <c r="E6889" s="1" t="n">
        <v>46307</v>
      </c>
      <c r="F6889" t="inlineStr">
        <is>
          <t>VÄRMLANDS LÄN</t>
        </is>
      </c>
      <c r="G6889" t="inlineStr">
        <is>
          <t>ARVIKA</t>
        </is>
      </c>
      <c r="I6889" t="n">
        <v>0.9</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6107-2024</t>
        </is>
      </c>
      <c r="B6890" t="inlineStr">
        <is>
          <t>avverkningsanmälan</t>
        </is>
      </c>
      <c r="C6890" t="inlineStr">
        <is>
          <t>Föryngringsavverkning</t>
        </is>
      </c>
      <c r="D6890" s="1" t="n">
        <v>45337</v>
      </c>
      <c r="E6890" s="1" t="n">
        <v>46307</v>
      </c>
      <c r="F6890" t="inlineStr">
        <is>
          <t>VÄRMLANDS LÄN</t>
        </is>
      </c>
      <c r="G6890" t="inlineStr">
        <is>
          <t>ÅRJÄNG</t>
        </is>
      </c>
      <c r="I6890" t="n">
        <v>1.6</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57121-2023</t>
        </is>
      </c>
      <c r="B6891" t="inlineStr">
        <is>
          <t>avverkningsanmälan</t>
        </is>
      </c>
      <c r="C6891" t="inlineStr">
        <is>
          <t>Föryngringsavverkning</t>
        </is>
      </c>
      <c r="D6891" s="1" t="n">
        <v>45245</v>
      </c>
      <c r="E6891" s="1" t="n">
        <v>46307</v>
      </c>
      <c r="F6891" t="inlineStr">
        <is>
          <t>VÄRMLANDS LÄN</t>
        </is>
      </c>
      <c r="G6891" t="inlineStr">
        <is>
          <t>EDA</t>
        </is>
      </c>
      <c r="H6891" t="inlineStr">
        <is>
          <t>Övriga Aktiebolag</t>
        </is>
      </c>
      <c r="I6891" t="n">
        <v>1.8</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13809-2026</t>
        </is>
      </c>
      <c r="B6892" t="inlineStr">
        <is>
          <t>avverkningsanmälan</t>
        </is>
      </c>
      <c r="C6892" t="inlineStr">
        <is>
          <t>Föryngringsavverkning</t>
        </is>
      </c>
      <c r="D6892" s="1" t="n">
        <v>46098</v>
      </c>
      <c r="E6892" s="1" t="n">
        <v>46307</v>
      </c>
      <c r="F6892" t="inlineStr">
        <is>
          <t>VÄRMLANDS LÄN</t>
        </is>
      </c>
      <c r="G6892" t="inlineStr">
        <is>
          <t>HAGFORS</t>
        </is>
      </c>
      <c r="I6892" t="n">
        <v>1.4</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474-2022</t>
        </is>
      </c>
      <c r="B6893" t="inlineStr">
        <is>
          <t>avverkningsanmälan</t>
        </is>
      </c>
      <c r="C6893" t="inlineStr">
        <is>
          <t>Föryngringsavverkning</t>
        </is>
      </c>
      <c r="D6893" s="1" t="n">
        <v>44566</v>
      </c>
      <c r="E6893" s="1" t="n">
        <v>46307</v>
      </c>
      <c r="F6893" t="inlineStr">
        <is>
          <t>VÄRMLANDS LÄN</t>
        </is>
      </c>
      <c r="G6893" t="inlineStr">
        <is>
          <t>KARLSTAD</t>
        </is>
      </c>
      <c r="I6893" t="n">
        <v>2.3</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35306-2022</t>
        </is>
      </c>
      <c r="B6894" t="inlineStr">
        <is>
          <t>avverkningsanmälan</t>
        </is>
      </c>
      <c r="C6894" t="inlineStr">
        <is>
          <t>Föryngringsavverkning</t>
        </is>
      </c>
      <c r="D6894" s="1" t="n">
        <v>44798</v>
      </c>
      <c r="E6894" s="1" t="n">
        <v>46307</v>
      </c>
      <c r="F6894" t="inlineStr">
        <is>
          <t>VÄRMLANDS LÄN</t>
        </is>
      </c>
      <c r="G6894" t="inlineStr">
        <is>
          <t>EDA</t>
        </is>
      </c>
      <c r="I6894" t="n">
        <v>1.1</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58678-2025</t>
        </is>
      </c>
      <c r="B6895" t="inlineStr">
        <is>
          <t>avverkningsanmälan</t>
        </is>
      </c>
      <c r="C6895" t="inlineStr">
        <is>
          <t>Föryngringsavverkning</t>
        </is>
      </c>
      <c r="D6895" s="1" t="n">
        <v>45986</v>
      </c>
      <c r="E6895" s="1" t="n">
        <v>46307</v>
      </c>
      <c r="F6895" t="inlineStr">
        <is>
          <t>VÄRMLANDS LÄN</t>
        </is>
      </c>
      <c r="G6895" t="inlineStr">
        <is>
          <t>TORSBY</t>
        </is>
      </c>
      <c r="I6895" t="n">
        <v>2.9</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14667-2026</t>
        </is>
      </c>
      <c r="B6896" t="inlineStr">
        <is>
          <t>avverkningsanmälan</t>
        </is>
      </c>
      <c r="C6896" t="inlineStr">
        <is>
          <t>Föryngringsavverkning</t>
        </is>
      </c>
      <c r="D6896" s="1" t="n">
        <v>46101</v>
      </c>
      <c r="E6896" s="1" t="n">
        <v>46307</v>
      </c>
      <c r="F6896" t="inlineStr">
        <is>
          <t>VÄRMLANDS LÄN</t>
        </is>
      </c>
      <c r="G6896" t="inlineStr">
        <is>
          <t>HAGFORS</t>
        </is>
      </c>
      <c r="H6896" t="inlineStr">
        <is>
          <t>Bergvik skog väst AB</t>
        </is>
      </c>
      <c r="I6896" t="n">
        <v>4.9</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40920-2023</t>
        </is>
      </c>
      <c r="B6897" t="inlineStr">
        <is>
          <t>avverkningsanmälan</t>
        </is>
      </c>
      <c r="C6897" t="inlineStr">
        <is>
          <t>Föryngringsavverkning</t>
        </is>
      </c>
      <c r="D6897" s="1" t="n">
        <v>45173</v>
      </c>
      <c r="E6897" s="1" t="n">
        <v>46307</v>
      </c>
      <c r="F6897" t="inlineStr">
        <is>
          <t>VÄRMLANDS LÄN</t>
        </is>
      </c>
      <c r="G6897" t="inlineStr">
        <is>
          <t>EDA</t>
        </is>
      </c>
      <c r="I6897" t="n">
        <v>2.9</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14433-2026</t>
        </is>
      </c>
      <c r="B6898" t="inlineStr">
        <is>
          <t>avverkningsanmälan</t>
        </is>
      </c>
      <c r="C6898" t="inlineStr">
        <is>
          <t>Föryngringsavverkning</t>
        </is>
      </c>
      <c r="D6898" s="1" t="n">
        <v>46100</v>
      </c>
      <c r="E6898" s="1" t="n">
        <v>46307</v>
      </c>
      <c r="F6898" t="inlineStr">
        <is>
          <t>VÄRMLANDS LÄN</t>
        </is>
      </c>
      <c r="G6898" t="inlineStr">
        <is>
          <t>KARLSTAD</t>
        </is>
      </c>
      <c r="H6898" t="inlineStr">
        <is>
          <t>Bergvik skog väst AB</t>
        </is>
      </c>
      <c r="I6898" t="n">
        <v>5.1</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14379-2026</t>
        </is>
      </c>
      <c r="B6899" t="inlineStr">
        <is>
          <t>avverkningsanmälan</t>
        </is>
      </c>
      <c r="C6899" t="inlineStr">
        <is>
          <t>Föryngringsavverkning</t>
        </is>
      </c>
      <c r="D6899" s="1" t="n">
        <v>46100</v>
      </c>
      <c r="E6899" s="1" t="n">
        <v>46307</v>
      </c>
      <c r="F6899" t="inlineStr">
        <is>
          <t>VÄRMLANDS LÄN</t>
        </is>
      </c>
      <c r="G6899" t="inlineStr">
        <is>
          <t>FILIPSTAD</t>
        </is>
      </c>
      <c r="H6899" t="inlineStr">
        <is>
          <t>Bergvik skog väst AB</t>
        </is>
      </c>
      <c r="I6899" t="n">
        <v>5.7</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14435-2026</t>
        </is>
      </c>
      <c r="B6900" t="inlineStr">
        <is>
          <t>avverkningsanmälan</t>
        </is>
      </c>
      <c r="C6900" t="inlineStr">
        <is>
          <t>Föryngringsavverkning</t>
        </is>
      </c>
      <c r="D6900" s="1" t="n">
        <v>46100</v>
      </c>
      <c r="E6900" s="1" t="n">
        <v>46307</v>
      </c>
      <c r="F6900" t="inlineStr">
        <is>
          <t>VÄRMLANDS LÄN</t>
        </is>
      </c>
      <c r="G6900" t="inlineStr">
        <is>
          <t>STORFORS</t>
        </is>
      </c>
      <c r="I6900" t="n">
        <v>2.1</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31660-2022</t>
        </is>
      </c>
      <c r="B6901" t="inlineStr">
        <is>
          <t>avverkningsanmälan</t>
        </is>
      </c>
      <c r="C6901" t="inlineStr">
        <is>
          <t>Föryngringsavverkning</t>
        </is>
      </c>
      <c r="D6901" s="1" t="n">
        <v>44776</v>
      </c>
      <c r="E6901" s="1" t="n">
        <v>46307</v>
      </c>
      <c r="F6901" t="inlineStr">
        <is>
          <t>VÄRMLANDS LÄN</t>
        </is>
      </c>
      <c r="G6901" t="inlineStr">
        <is>
          <t>HAGFORS</t>
        </is>
      </c>
      <c r="I6901" t="n">
        <v>1.4</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19463-2023</t>
        </is>
      </c>
      <c r="B6902" t="inlineStr">
        <is>
          <t>avverkningsanmälan</t>
        </is>
      </c>
      <c r="C6902" t="inlineStr">
        <is>
          <t>Föryngringsavverkning</t>
        </is>
      </c>
      <c r="D6902" s="1" t="n">
        <v>45050</v>
      </c>
      <c r="E6902" s="1" t="n">
        <v>46307</v>
      </c>
      <c r="F6902" t="inlineStr">
        <is>
          <t>VÄRMLANDS LÄN</t>
        </is>
      </c>
      <c r="G6902" t="inlineStr">
        <is>
          <t>SUNNE</t>
        </is>
      </c>
      <c r="I6902" t="n">
        <v>12.6</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54885-2022</t>
        </is>
      </c>
      <c r="B6903" t="inlineStr">
        <is>
          <t>avverkningsanmälan</t>
        </is>
      </c>
      <c r="C6903" t="inlineStr">
        <is>
          <t>Föryngringsavverkning</t>
        </is>
      </c>
      <c r="D6903" s="1" t="n">
        <v>44886</v>
      </c>
      <c r="E6903" s="1" t="n">
        <v>46307</v>
      </c>
      <c r="F6903" t="inlineStr">
        <is>
          <t>VÄRMLANDS LÄN</t>
        </is>
      </c>
      <c r="G6903" t="inlineStr">
        <is>
          <t>TORSBY</t>
        </is>
      </c>
      <c r="I6903" t="n">
        <v>2.1</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13188-2023</t>
        </is>
      </c>
      <c r="B6904" t="inlineStr">
        <is>
          <t>avverkningsanmälan</t>
        </is>
      </c>
      <c r="C6904" t="inlineStr">
        <is>
          <t>Föryngringsavverkning</t>
        </is>
      </c>
      <c r="D6904" s="1" t="n">
        <v>45002</v>
      </c>
      <c r="E6904" s="1" t="n">
        <v>46307</v>
      </c>
      <c r="F6904" t="inlineStr">
        <is>
          <t>VÄRMLANDS LÄN</t>
        </is>
      </c>
      <c r="G6904" t="inlineStr">
        <is>
          <t>ARVIKA</t>
        </is>
      </c>
      <c r="I6904" t="n">
        <v>1.6</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41983-2023</t>
        </is>
      </c>
      <c r="B6905" t="inlineStr">
        <is>
          <t>avverkningsanmälan</t>
        </is>
      </c>
      <c r="C6905" t="inlineStr">
        <is>
          <t>Föryngringsavverkning</t>
        </is>
      </c>
      <c r="D6905" s="1" t="n">
        <v>45177</v>
      </c>
      <c r="E6905" s="1" t="n">
        <v>46307</v>
      </c>
      <c r="F6905" t="inlineStr">
        <is>
          <t>VÄRMLANDS LÄN</t>
        </is>
      </c>
      <c r="G6905" t="inlineStr">
        <is>
          <t>FILIPSTAD</t>
        </is>
      </c>
      <c r="I6905" t="n">
        <v>2.7</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58211-2025</t>
        </is>
      </c>
      <c r="B6906" t="inlineStr">
        <is>
          <t>avverkningsanmälan</t>
        </is>
      </c>
      <c r="C6906" t="inlineStr">
        <is>
          <t>Föryngringsavverkning</t>
        </is>
      </c>
      <c r="D6906" s="1" t="n">
        <v>45985</v>
      </c>
      <c r="E6906" s="1" t="n">
        <v>46307</v>
      </c>
      <c r="F6906" t="inlineStr">
        <is>
          <t>VÄRMLANDS LÄN</t>
        </is>
      </c>
      <c r="G6906" t="inlineStr">
        <is>
          <t>FILIPSTAD</t>
        </is>
      </c>
      <c r="H6906" t="inlineStr">
        <is>
          <t>Bergvik skog väst AB</t>
        </is>
      </c>
      <c r="I6906" t="n">
        <v>1.7</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16885-2025</t>
        </is>
      </c>
      <c r="B6907" t="inlineStr">
        <is>
          <t>avverkningsanmälan</t>
        </is>
      </c>
      <c r="C6907" t="inlineStr">
        <is>
          <t>Föryngringsavverkning</t>
        </is>
      </c>
      <c r="D6907" s="1" t="n">
        <v>45755</v>
      </c>
      <c r="E6907" s="1" t="n">
        <v>46307</v>
      </c>
      <c r="F6907" t="inlineStr">
        <is>
          <t>VÄRMLANDS LÄN</t>
        </is>
      </c>
      <c r="G6907" t="inlineStr">
        <is>
          <t>FORSHAGA</t>
        </is>
      </c>
      <c r="I6907" t="n">
        <v>7.1</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49500-2023</t>
        </is>
      </c>
      <c r="B6908" t="inlineStr">
        <is>
          <t>avverkningsanmälan</t>
        </is>
      </c>
      <c r="C6908" t="inlineStr">
        <is>
          <t>Avverkning för annat ändamål</t>
        </is>
      </c>
      <c r="D6908" s="1" t="n">
        <v>45211</v>
      </c>
      <c r="E6908" s="1" t="n">
        <v>46307</v>
      </c>
      <c r="F6908" t="inlineStr">
        <is>
          <t>VÄRMLANDS LÄN</t>
        </is>
      </c>
      <c r="G6908" t="inlineStr">
        <is>
          <t>MUNKFORS</t>
        </is>
      </c>
      <c r="I6908" t="n">
        <v>0.7</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14316-2026</t>
        </is>
      </c>
      <c r="B6909" t="inlineStr">
        <is>
          <t>avverkningsanmälan</t>
        </is>
      </c>
      <c r="C6909" t="inlineStr">
        <is>
          <t>Föryngringsavverkning</t>
        </is>
      </c>
      <c r="D6909" s="1" t="n">
        <v>46099</v>
      </c>
      <c r="E6909" s="1" t="n">
        <v>46307</v>
      </c>
      <c r="F6909" t="inlineStr">
        <is>
          <t>VÄRMLANDS LÄN</t>
        </is>
      </c>
      <c r="G6909" t="inlineStr">
        <is>
          <t>TORSBY</t>
        </is>
      </c>
      <c r="H6909" t="inlineStr">
        <is>
          <t>Bergvik skog väst AB</t>
        </is>
      </c>
      <c r="I6909" t="n">
        <v>6.6</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23728-2023</t>
        </is>
      </c>
      <c r="B6910" t="inlineStr">
        <is>
          <t>avverkningsanmälan</t>
        </is>
      </c>
      <c r="C6910" t="inlineStr">
        <is>
          <t>Föryngringsavverkning</t>
        </is>
      </c>
      <c r="D6910" s="1" t="n">
        <v>45077</v>
      </c>
      <c r="E6910" s="1" t="n">
        <v>46307</v>
      </c>
      <c r="F6910" t="inlineStr">
        <is>
          <t>VÄRMLANDS LÄN</t>
        </is>
      </c>
      <c r="G6910" t="inlineStr">
        <is>
          <t>SUNNE</t>
        </is>
      </c>
      <c r="I6910" t="n">
        <v>1</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54013-2023</t>
        </is>
      </c>
      <c r="B6911" t="inlineStr">
        <is>
          <t>avverkningsanmälan</t>
        </is>
      </c>
      <c r="C6911" t="inlineStr">
        <is>
          <t>Föryngringsavverkning</t>
        </is>
      </c>
      <c r="D6911" s="1" t="n">
        <v>45231</v>
      </c>
      <c r="E6911" s="1" t="n">
        <v>46307</v>
      </c>
      <c r="F6911" t="inlineStr">
        <is>
          <t>VÄRMLANDS LÄN</t>
        </is>
      </c>
      <c r="G6911" t="inlineStr">
        <is>
          <t>ÅRJÄNG</t>
        </is>
      </c>
      <c r="I6911" t="n">
        <v>1.3</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56930-2023</t>
        </is>
      </c>
      <c r="B6912" t="inlineStr">
        <is>
          <t>avverkningsanmälan</t>
        </is>
      </c>
      <c r="C6912" t="inlineStr">
        <is>
          <t>Föryngringsavverkning</t>
        </is>
      </c>
      <c r="D6912" s="1" t="n">
        <v>45244</v>
      </c>
      <c r="E6912" s="1" t="n">
        <v>46307</v>
      </c>
      <c r="F6912" t="inlineStr">
        <is>
          <t>VÄRMLANDS LÄN</t>
        </is>
      </c>
      <c r="G6912" t="inlineStr">
        <is>
          <t>KRISTINEHAMN</t>
        </is>
      </c>
      <c r="I6912" t="n">
        <v>0.6</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28467-2022</t>
        </is>
      </c>
      <c r="B6913" t="inlineStr">
        <is>
          <t>avverkningsanmälan</t>
        </is>
      </c>
      <c r="C6913" t="inlineStr">
        <is>
          <t>Föryngringsavverkning</t>
        </is>
      </c>
      <c r="D6913" s="1" t="n">
        <v>44747</v>
      </c>
      <c r="E6913" s="1" t="n">
        <v>46307</v>
      </c>
      <c r="F6913" t="inlineStr">
        <is>
          <t>VÄRMLANDS LÄN</t>
        </is>
      </c>
      <c r="G6913" t="inlineStr">
        <is>
          <t>STORFORS</t>
        </is>
      </c>
      <c r="I6913" t="n">
        <v>2.3</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15308-2022</t>
        </is>
      </c>
      <c r="B6914" t="inlineStr">
        <is>
          <t>avverkningsanmälan</t>
        </is>
      </c>
      <c r="C6914" t="inlineStr">
        <is>
          <t>Föryngringsavverkning</t>
        </is>
      </c>
      <c r="D6914" s="1" t="n">
        <v>44659</v>
      </c>
      <c r="E6914" s="1" t="n">
        <v>46307</v>
      </c>
      <c r="F6914" t="inlineStr">
        <is>
          <t>VÄRMLANDS LÄN</t>
        </is>
      </c>
      <c r="G6914" t="inlineStr">
        <is>
          <t>ÅRJÄNG</t>
        </is>
      </c>
      <c r="I6914" t="n">
        <v>10.7</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14574-2026</t>
        </is>
      </c>
      <c r="B6915" t="inlineStr">
        <is>
          <t>avverkningsanmälan</t>
        </is>
      </c>
      <c r="C6915" t="inlineStr">
        <is>
          <t>Föryngringsavverkning</t>
        </is>
      </c>
      <c r="D6915" s="1" t="n">
        <v>46101</v>
      </c>
      <c r="E6915" s="1" t="n">
        <v>46307</v>
      </c>
      <c r="F6915" t="inlineStr">
        <is>
          <t>VÄRMLANDS LÄN</t>
        </is>
      </c>
      <c r="G6915" t="inlineStr">
        <is>
          <t>HAGFORS</t>
        </is>
      </c>
      <c r="H6915" t="inlineStr">
        <is>
          <t>Bergvik skog väst AB</t>
        </is>
      </c>
      <c r="I6915" t="n">
        <v>2.5</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14715-2026</t>
        </is>
      </c>
      <c r="B6916" t="inlineStr">
        <is>
          <t>avverkningsanmälan</t>
        </is>
      </c>
      <c r="C6916" t="inlineStr">
        <is>
          <t>Föryngringsavverkning</t>
        </is>
      </c>
      <c r="D6916" s="1" t="n">
        <v>46101</v>
      </c>
      <c r="E6916" s="1" t="n">
        <v>46307</v>
      </c>
      <c r="F6916" t="inlineStr">
        <is>
          <t>VÄRMLANDS LÄN</t>
        </is>
      </c>
      <c r="G6916" t="inlineStr">
        <is>
          <t>SÄFFLE</t>
        </is>
      </c>
      <c r="I6916" t="n">
        <v>2.1</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14728-2026</t>
        </is>
      </c>
      <c r="B6917" t="inlineStr">
        <is>
          <t>avverkningsanmälan</t>
        </is>
      </c>
      <c r="C6917" t="inlineStr">
        <is>
          <t>Föryngringsavverkning</t>
        </is>
      </c>
      <c r="D6917" s="1" t="n">
        <v>46101</v>
      </c>
      <c r="E6917" s="1" t="n">
        <v>46307</v>
      </c>
      <c r="F6917" t="inlineStr">
        <is>
          <t>VÄRMLANDS LÄN</t>
        </is>
      </c>
      <c r="G6917" t="inlineStr">
        <is>
          <t>SÄFFLE</t>
        </is>
      </c>
      <c r="I6917" t="n">
        <v>4.1</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58751-2025</t>
        </is>
      </c>
      <c r="B6918" t="inlineStr">
        <is>
          <t>avverkningsanmälan</t>
        </is>
      </c>
      <c r="C6918" t="inlineStr">
        <is>
          <t>Föryngringsavverkning</t>
        </is>
      </c>
      <c r="D6918" s="1" t="n">
        <v>45986</v>
      </c>
      <c r="E6918" s="1" t="n">
        <v>46307</v>
      </c>
      <c r="F6918" t="inlineStr">
        <is>
          <t>VÄRMLANDS LÄN</t>
        </is>
      </c>
      <c r="G6918" t="inlineStr">
        <is>
          <t>GRUMS</t>
        </is>
      </c>
      <c r="I6918" t="n">
        <v>0.6</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9857-2022</t>
        </is>
      </c>
      <c r="B6919" t="inlineStr">
        <is>
          <t>avverkningsanmälan</t>
        </is>
      </c>
      <c r="C6919" t="inlineStr">
        <is>
          <t>Föryngringsavverkning</t>
        </is>
      </c>
      <c r="D6919" s="1" t="n">
        <v>44620</v>
      </c>
      <c r="E6919" s="1" t="n">
        <v>46307</v>
      </c>
      <c r="F6919" t="inlineStr">
        <is>
          <t>VÄRMLANDS LÄN</t>
        </is>
      </c>
      <c r="G6919" t="inlineStr">
        <is>
          <t>ARVIKA</t>
        </is>
      </c>
      <c r="H6919" t="inlineStr">
        <is>
          <t>Bergvik skog väst AB</t>
        </is>
      </c>
      <c r="I6919" t="n">
        <v>2.3</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14688-2026</t>
        </is>
      </c>
      <c r="B6920" t="inlineStr">
        <is>
          <t>avverkningsanmälan</t>
        </is>
      </c>
      <c r="C6920" t="inlineStr">
        <is>
          <t>Avverkning för annat ändamål</t>
        </is>
      </c>
      <c r="D6920" s="1" t="n">
        <v>46101</v>
      </c>
      <c r="E6920" s="1" t="n">
        <v>46307</v>
      </c>
      <c r="F6920" t="inlineStr">
        <is>
          <t>VÄRMLANDS LÄN</t>
        </is>
      </c>
      <c r="G6920" t="inlineStr">
        <is>
          <t>GRUMS</t>
        </is>
      </c>
      <c r="I6920" t="n">
        <v>2.2</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14757-2026</t>
        </is>
      </c>
      <c r="B6921" t="inlineStr">
        <is>
          <t>avverkningsanmälan</t>
        </is>
      </c>
      <c r="C6921" t="inlineStr">
        <is>
          <t>Föryngringsavverkning</t>
        </is>
      </c>
      <c r="D6921" s="1" t="n">
        <v>46101</v>
      </c>
      <c r="E6921" s="1" t="n">
        <v>46307</v>
      </c>
      <c r="F6921" t="inlineStr">
        <is>
          <t>VÄRMLANDS LÄN</t>
        </is>
      </c>
      <c r="G6921" t="inlineStr">
        <is>
          <t>KRISTINEHAMN</t>
        </is>
      </c>
      <c r="H6921" t="inlineStr">
        <is>
          <t>Sveaskog</t>
        </is>
      </c>
      <c r="I6921" t="n">
        <v>5.6</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14399-2026</t>
        </is>
      </c>
      <c r="B6922" t="inlineStr">
        <is>
          <t>avverkningsanmälan</t>
        </is>
      </c>
      <c r="C6922" t="inlineStr">
        <is>
          <t>Föryngringsavverkning</t>
        </is>
      </c>
      <c r="D6922" s="1" t="n">
        <v>46100</v>
      </c>
      <c r="E6922" s="1" t="n">
        <v>46307</v>
      </c>
      <c r="F6922" t="inlineStr">
        <is>
          <t>VÄRMLANDS LÄN</t>
        </is>
      </c>
      <c r="G6922" t="inlineStr">
        <is>
          <t>ARVIKA</t>
        </is>
      </c>
      <c r="I6922" t="n">
        <v>0.9</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46424-2023</t>
        </is>
      </c>
      <c r="B6923" t="inlineStr">
        <is>
          <t>avverkningsanmälan</t>
        </is>
      </c>
      <c r="C6923" t="inlineStr">
        <is>
          <t>Föryngringsavverkning</t>
        </is>
      </c>
      <c r="D6923" s="1" t="n">
        <v>45197</v>
      </c>
      <c r="E6923" s="1" t="n">
        <v>46307</v>
      </c>
      <c r="F6923" t="inlineStr">
        <is>
          <t>VÄRMLANDS LÄN</t>
        </is>
      </c>
      <c r="G6923" t="inlineStr">
        <is>
          <t>TORSBY</t>
        </is>
      </c>
      <c r="I6923" t="n">
        <v>1.3</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58518-2025</t>
        </is>
      </c>
      <c r="B6924" t="inlineStr">
        <is>
          <t>avverkningsanmälan</t>
        </is>
      </c>
      <c r="C6924" t="inlineStr">
        <is>
          <t>Föryngringsavverkning</t>
        </is>
      </c>
      <c r="D6924" s="1" t="n">
        <v>45985</v>
      </c>
      <c r="E6924" s="1" t="n">
        <v>46307</v>
      </c>
      <c r="F6924" t="inlineStr">
        <is>
          <t>VÄRMLANDS LÄN</t>
        </is>
      </c>
      <c r="G6924" t="inlineStr">
        <is>
          <t>ÅRJÄNG</t>
        </is>
      </c>
      <c r="I6924" t="n">
        <v>13</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14495-2026</t>
        </is>
      </c>
      <c r="B6925" t="inlineStr">
        <is>
          <t>avverkningsanmälan</t>
        </is>
      </c>
      <c r="C6925" t="inlineStr">
        <is>
          <t>Föryngringsavverkning</t>
        </is>
      </c>
      <c r="D6925" s="1" t="n">
        <v>46100</v>
      </c>
      <c r="E6925" s="1" t="n">
        <v>46307</v>
      </c>
      <c r="F6925" t="inlineStr">
        <is>
          <t>VÄRMLANDS LÄN</t>
        </is>
      </c>
      <c r="G6925" t="inlineStr">
        <is>
          <t>TORSBY</t>
        </is>
      </c>
      <c r="I6925" t="n">
        <v>3.6</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14470-2026</t>
        </is>
      </c>
      <c r="B6926" t="inlineStr">
        <is>
          <t>avverkningsanmälan</t>
        </is>
      </c>
      <c r="C6926" t="inlineStr">
        <is>
          <t>Föryngringsavverkning</t>
        </is>
      </c>
      <c r="D6926" s="1" t="n">
        <v>46100</v>
      </c>
      <c r="E6926" s="1" t="n">
        <v>46307</v>
      </c>
      <c r="F6926" t="inlineStr">
        <is>
          <t>VÄRMLANDS LÄN</t>
        </is>
      </c>
      <c r="G6926" t="inlineStr">
        <is>
          <t>SUNNE</t>
        </is>
      </c>
      <c r="I6926" t="n">
        <v>1.5</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69878-2021</t>
        </is>
      </c>
      <c r="B6927" t="inlineStr">
        <is>
          <t>avverkningsanmälan</t>
        </is>
      </c>
      <c r="C6927" t="inlineStr">
        <is>
          <t>Föryngringsavverkning</t>
        </is>
      </c>
      <c r="D6927" s="1" t="n">
        <v>44532</v>
      </c>
      <c r="E6927" s="1" t="n">
        <v>46307</v>
      </c>
      <c r="F6927" t="inlineStr">
        <is>
          <t>VÄRMLANDS LÄN</t>
        </is>
      </c>
      <c r="G6927" t="inlineStr">
        <is>
          <t>TORSBY</t>
        </is>
      </c>
      <c r="I6927" t="n">
        <v>0.6</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930-2024</t>
        </is>
      </c>
      <c r="B6928" t="inlineStr">
        <is>
          <t>avverkningsanmälan</t>
        </is>
      </c>
      <c r="C6928" t="inlineStr">
        <is>
          <t>Föryngringsavverkning</t>
        </is>
      </c>
      <c r="D6928" s="1" t="n">
        <v>45301</v>
      </c>
      <c r="E6928" s="1" t="n">
        <v>46307</v>
      </c>
      <c r="F6928" t="inlineStr">
        <is>
          <t>VÄRMLANDS LÄN</t>
        </is>
      </c>
      <c r="G6928" t="inlineStr">
        <is>
          <t>SÄFFLE</t>
        </is>
      </c>
      <c r="I6928" t="n">
        <v>1.8</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19520-2022</t>
        </is>
      </c>
      <c r="B6929" t="inlineStr">
        <is>
          <t>avverkningsanmälan</t>
        </is>
      </c>
      <c r="C6929" t="inlineStr">
        <is>
          <t>Föryngringsavverkning</t>
        </is>
      </c>
      <c r="D6929" s="1" t="n">
        <v>44693</v>
      </c>
      <c r="E6929" s="1" t="n">
        <v>46307</v>
      </c>
      <c r="F6929" t="inlineStr">
        <is>
          <t>VÄRMLANDS LÄN</t>
        </is>
      </c>
      <c r="G6929" t="inlineStr">
        <is>
          <t>EDA</t>
        </is>
      </c>
      <c r="I6929" t="n">
        <v>5.6</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14759-2026</t>
        </is>
      </c>
      <c r="B6930" t="inlineStr">
        <is>
          <t>avverkningsanmälan</t>
        </is>
      </c>
      <c r="C6930" t="inlineStr">
        <is>
          <t>Föryngringsavverkning</t>
        </is>
      </c>
      <c r="D6930" s="1" t="n">
        <v>46101</v>
      </c>
      <c r="E6930" s="1" t="n">
        <v>46307</v>
      </c>
      <c r="F6930" t="inlineStr">
        <is>
          <t>VÄRMLANDS LÄN</t>
        </is>
      </c>
      <c r="G6930" t="inlineStr">
        <is>
          <t>KRISTINEHAMN</t>
        </is>
      </c>
      <c r="H6930" t="inlineStr">
        <is>
          <t>Sveaskog</t>
        </is>
      </c>
      <c r="I6930" t="n">
        <v>4.2</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58625-2025</t>
        </is>
      </c>
      <c r="B6931" t="inlineStr">
        <is>
          <t>avverkningsanmälan</t>
        </is>
      </c>
      <c r="C6931" t="inlineStr">
        <is>
          <t>Föryngringsavverkning</t>
        </is>
      </c>
      <c r="D6931" s="1" t="n">
        <v>45986</v>
      </c>
      <c r="E6931" s="1" t="n">
        <v>46307</v>
      </c>
      <c r="F6931" t="inlineStr">
        <is>
          <t>VÄRMLANDS LÄN</t>
        </is>
      </c>
      <c r="G6931" t="inlineStr">
        <is>
          <t>TORSBY</t>
        </is>
      </c>
      <c r="H6931" t="inlineStr">
        <is>
          <t>Kyrkan</t>
        </is>
      </c>
      <c r="I6931" t="n">
        <v>5.8</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14500-2026</t>
        </is>
      </c>
      <c r="B6932" t="inlineStr">
        <is>
          <t>avverkningsanmälan</t>
        </is>
      </c>
      <c r="C6932" t="inlineStr">
        <is>
          <t>Föryngringsavverkning</t>
        </is>
      </c>
      <c r="D6932" s="1" t="n">
        <v>46100</v>
      </c>
      <c r="E6932" s="1" t="n">
        <v>46307</v>
      </c>
      <c r="F6932" t="inlineStr">
        <is>
          <t>VÄRMLANDS LÄN</t>
        </is>
      </c>
      <c r="G6932" t="inlineStr">
        <is>
          <t>EDA</t>
        </is>
      </c>
      <c r="H6932" t="inlineStr">
        <is>
          <t>Övriga Aktiebolag</t>
        </is>
      </c>
      <c r="I6932" t="n">
        <v>3.6</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14468-2026</t>
        </is>
      </c>
      <c r="B6933" t="inlineStr">
        <is>
          <t>avverkningsanmälan</t>
        </is>
      </c>
      <c r="C6933" t="inlineStr">
        <is>
          <t>Föryngringsavverkning</t>
        </is>
      </c>
      <c r="D6933" s="1" t="n">
        <v>46100</v>
      </c>
      <c r="E6933" s="1" t="n">
        <v>46307</v>
      </c>
      <c r="F6933" t="inlineStr">
        <is>
          <t>VÄRMLANDS LÄN</t>
        </is>
      </c>
      <c r="G6933" t="inlineStr">
        <is>
          <t>KARLSTAD</t>
        </is>
      </c>
      <c r="H6933" t="inlineStr">
        <is>
          <t>Bergvik skog väst AB</t>
        </is>
      </c>
      <c r="I6933" t="n">
        <v>10.9</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3790-2025</t>
        </is>
      </c>
      <c r="B6934" t="inlineStr">
        <is>
          <t>avverkningsanmälan</t>
        </is>
      </c>
      <c r="C6934" t="inlineStr">
        <is>
          <t>Föryngringsavverkning</t>
        </is>
      </c>
      <c r="D6934" s="1" t="n">
        <v>45681</v>
      </c>
      <c r="E6934" s="1" t="n">
        <v>46307</v>
      </c>
      <c r="F6934" t="inlineStr">
        <is>
          <t>VÄRMLANDS LÄN</t>
        </is>
      </c>
      <c r="G6934" t="inlineStr">
        <is>
          <t>KRISTINEHAMN</t>
        </is>
      </c>
      <c r="H6934" t="inlineStr">
        <is>
          <t>Kommuner</t>
        </is>
      </c>
      <c r="I6934" t="n">
        <v>0.7</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14315-2026</t>
        </is>
      </c>
      <c r="B6935" t="inlineStr">
        <is>
          <t>avverkningsanmälan</t>
        </is>
      </c>
      <c r="C6935" t="inlineStr">
        <is>
          <t>Föryngringsavverkning</t>
        </is>
      </c>
      <c r="D6935" s="1" t="n">
        <v>46099</v>
      </c>
      <c r="E6935" s="1" t="n">
        <v>46307</v>
      </c>
      <c r="F6935" t="inlineStr">
        <is>
          <t>VÄRMLANDS LÄN</t>
        </is>
      </c>
      <c r="G6935" t="inlineStr">
        <is>
          <t>FILIPSTAD</t>
        </is>
      </c>
      <c r="H6935" t="inlineStr">
        <is>
          <t>Bergvik skog väst AB</t>
        </is>
      </c>
      <c r="I6935" t="n">
        <v>1.5</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7072-2023</t>
        </is>
      </c>
      <c r="B6936" t="inlineStr">
        <is>
          <t>avverkningsanmälan</t>
        </is>
      </c>
      <c r="C6936" t="inlineStr">
        <is>
          <t>Föryngringsavverkning</t>
        </is>
      </c>
      <c r="D6936" s="1" t="n">
        <v>44969</v>
      </c>
      <c r="E6936" s="1" t="n">
        <v>46307</v>
      </c>
      <c r="F6936" t="inlineStr">
        <is>
          <t>VÄRMLANDS LÄN</t>
        </is>
      </c>
      <c r="G6936" t="inlineStr">
        <is>
          <t>STORFORS</t>
        </is>
      </c>
      <c r="H6936" t="inlineStr">
        <is>
          <t>Bergvik skog väst AB</t>
        </is>
      </c>
      <c r="I6936" t="n">
        <v>5.4</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14670-2026</t>
        </is>
      </c>
      <c r="B6937" t="inlineStr">
        <is>
          <t>avverkningsanmälan</t>
        </is>
      </c>
      <c r="C6937" t="inlineStr">
        <is>
          <t>Föryngringsavverkning</t>
        </is>
      </c>
      <c r="D6937" s="1" t="n">
        <v>46101</v>
      </c>
      <c r="E6937" s="1" t="n">
        <v>46307</v>
      </c>
      <c r="F6937" t="inlineStr">
        <is>
          <t>VÄRMLANDS LÄN</t>
        </is>
      </c>
      <c r="G6937" t="inlineStr">
        <is>
          <t>EDA</t>
        </is>
      </c>
      <c r="I6937" t="n">
        <v>0.7</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14416-2026</t>
        </is>
      </c>
      <c r="B6938" t="inlineStr">
        <is>
          <t>avverkningsanmälan</t>
        </is>
      </c>
      <c r="C6938" t="inlineStr">
        <is>
          <t>Föryngringsavverkning</t>
        </is>
      </c>
      <c r="D6938" s="1" t="n">
        <v>46100</v>
      </c>
      <c r="E6938" s="1" t="n">
        <v>46307</v>
      </c>
      <c r="F6938" t="inlineStr">
        <is>
          <t>VÄRMLANDS LÄN</t>
        </is>
      </c>
      <c r="G6938" t="inlineStr">
        <is>
          <t>SUNNE</t>
        </is>
      </c>
      <c r="I6938" t="n">
        <v>1</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6728-2025</t>
        </is>
      </c>
      <c r="B6939" t="inlineStr">
        <is>
          <t>avverkningsanmälan</t>
        </is>
      </c>
      <c r="C6939" t="inlineStr">
        <is>
          <t>Föryngringsavverkning</t>
        </is>
      </c>
      <c r="D6939" s="1" t="n">
        <v>45700</v>
      </c>
      <c r="E6939" s="1" t="n">
        <v>46307</v>
      </c>
      <c r="F6939" t="inlineStr">
        <is>
          <t>VÄRMLANDS LÄN</t>
        </is>
      </c>
      <c r="G6939" t="inlineStr">
        <is>
          <t>FILIPSTAD</t>
        </is>
      </c>
      <c r="I6939" t="n">
        <v>2.5</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7114-2023</t>
        </is>
      </c>
      <c r="B6940" t="inlineStr">
        <is>
          <t>avverkningsanmälan</t>
        </is>
      </c>
      <c r="C6940" t="inlineStr">
        <is>
          <t>Föryngringsavverkning</t>
        </is>
      </c>
      <c r="D6940" s="1" t="n">
        <v>44970</v>
      </c>
      <c r="E6940" s="1" t="n">
        <v>46307</v>
      </c>
      <c r="F6940" t="inlineStr">
        <is>
          <t>VÄRMLANDS LÄN</t>
        </is>
      </c>
      <c r="G6940" t="inlineStr">
        <is>
          <t>ÅRJÄNG</t>
        </is>
      </c>
      <c r="I6940" t="n">
        <v>4.7</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1717-2025</t>
        </is>
      </c>
      <c r="B6941" t="inlineStr">
        <is>
          <t>avverkningsanmälan</t>
        </is>
      </c>
      <c r="C6941" t="inlineStr">
        <is>
          <t>Föryngringsavverkning</t>
        </is>
      </c>
      <c r="D6941" s="1" t="n">
        <v>45671</v>
      </c>
      <c r="E6941" s="1" t="n">
        <v>46307</v>
      </c>
      <c r="F6941" t="inlineStr">
        <is>
          <t>VÄRMLANDS LÄN</t>
        </is>
      </c>
      <c r="G6941" t="inlineStr">
        <is>
          <t>ÅRJÄNG</t>
        </is>
      </c>
      <c r="I6941" t="n">
        <v>8.800000000000001</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59976-2022</t>
        </is>
      </c>
      <c r="B6942" t="inlineStr">
        <is>
          <t>avverkningsanmälan</t>
        </is>
      </c>
      <c r="C6942" t="inlineStr">
        <is>
          <t>Avverkning för annat ändamål</t>
        </is>
      </c>
      <c r="D6942" s="1" t="n">
        <v>44901</v>
      </c>
      <c r="E6942" s="1" t="n">
        <v>46307</v>
      </c>
      <c r="F6942" t="inlineStr">
        <is>
          <t>VÄRMLANDS LÄN</t>
        </is>
      </c>
      <c r="G6942" t="inlineStr">
        <is>
          <t>ÅRJÄNG</t>
        </is>
      </c>
      <c r="I6942" t="n">
        <v>1</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62240-2022</t>
        </is>
      </c>
      <c r="B6943" t="inlineStr">
        <is>
          <t>avverkningsanmälan</t>
        </is>
      </c>
      <c r="C6943" t="inlineStr">
        <is>
          <t>Föryngringsavverkning</t>
        </is>
      </c>
      <c r="D6943" s="1" t="n">
        <v>44922</v>
      </c>
      <c r="E6943" s="1" t="n">
        <v>46307</v>
      </c>
      <c r="F6943" t="inlineStr">
        <is>
          <t>VÄRMLANDS LÄN</t>
        </is>
      </c>
      <c r="G6943" t="inlineStr">
        <is>
          <t>ÅRJÄNG</t>
        </is>
      </c>
      <c r="I6943" t="n">
        <v>0.5</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1547-2024</t>
        </is>
      </c>
      <c r="B6944" t="inlineStr">
        <is>
          <t>avverkningsanmälan</t>
        </is>
      </c>
      <c r="C6944" t="inlineStr">
        <is>
          <t>Föryngringsavverkning</t>
        </is>
      </c>
      <c r="D6944" s="1" t="n">
        <v>45306</v>
      </c>
      <c r="E6944" s="1" t="n">
        <v>46307</v>
      </c>
      <c r="F6944" t="inlineStr">
        <is>
          <t>VÄRMLANDS LÄN</t>
        </is>
      </c>
      <c r="G6944" t="inlineStr">
        <is>
          <t>TORSBY</t>
        </is>
      </c>
      <c r="I6944" t="n">
        <v>7.2</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72200-2021</t>
        </is>
      </c>
      <c r="B6945" t="inlineStr">
        <is>
          <t>avverkningsanmälan</t>
        </is>
      </c>
      <c r="C6945" t="inlineStr">
        <is>
          <t>Föryngringsavverkning</t>
        </is>
      </c>
      <c r="D6945" s="1" t="n">
        <v>44544</v>
      </c>
      <c r="E6945" s="1" t="n">
        <v>46307</v>
      </c>
      <c r="F6945" t="inlineStr">
        <is>
          <t>VÄRMLANDS LÄN</t>
        </is>
      </c>
      <c r="G6945" t="inlineStr">
        <is>
          <t>TORSBY</t>
        </is>
      </c>
      <c r="I6945" t="n">
        <v>3.3</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14832-2026</t>
        </is>
      </c>
      <c r="B6946" t="inlineStr">
        <is>
          <t>avverkningsanmälan</t>
        </is>
      </c>
      <c r="C6946" t="inlineStr">
        <is>
          <t>Föryngringsavverkning</t>
        </is>
      </c>
      <c r="D6946" s="1" t="n">
        <v>46104</v>
      </c>
      <c r="E6946" s="1" t="n">
        <v>46307</v>
      </c>
      <c r="F6946" t="inlineStr">
        <is>
          <t>VÄRMLANDS LÄN</t>
        </is>
      </c>
      <c r="G6946" t="inlineStr">
        <is>
          <t>HAGFORS</t>
        </is>
      </c>
      <c r="H6946" t="inlineStr">
        <is>
          <t>Bergvik skog väst AB</t>
        </is>
      </c>
      <c r="I6946" t="n">
        <v>17.2</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33908-2022</t>
        </is>
      </c>
      <c r="B6947" t="inlineStr">
        <is>
          <t>avverkningsanmälan</t>
        </is>
      </c>
      <c r="C6947" t="inlineStr">
        <is>
          <t>Föryngringsavverkning</t>
        </is>
      </c>
      <c r="D6947" s="1" t="n">
        <v>44790</v>
      </c>
      <c r="E6947" s="1" t="n">
        <v>46307</v>
      </c>
      <c r="F6947" t="inlineStr">
        <is>
          <t>VÄRMLANDS LÄN</t>
        </is>
      </c>
      <c r="G6947" t="inlineStr">
        <is>
          <t>MUNKFORS</t>
        </is>
      </c>
      <c r="I6947" t="n">
        <v>1.1</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33920-2022</t>
        </is>
      </c>
      <c r="B6948" t="inlineStr">
        <is>
          <t>avverkningsanmälan</t>
        </is>
      </c>
      <c r="C6948" t="inlineStr">
        <is>
          <t>Föryngringsavverkning</t>
        </is>
      </c>
      <c r="D6948" s="1" t="n">
        <v>44790</v>
      </c>
      <c r="E6948" s="1" t="n">
        <v>46307</v>
      </c>
      <c r="F6948" t="inlineStr">
        <is>
          <t>VÄRMLANDS LÄN</t>
        </is>
      </c>
      <c r="G6948" t="inlineStr">
        <is>
          <t>EDA</t>
        </is>
      </c>
      <c r="I6948" t="n">
        <v>9.800000000000001</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10223-2025</t>
        </is>
      </c>
      <c r="B6949" t="inlineStr">
        <is>
          <t>avverkningsanmälan</t>
        </is>
      </c>
      <c r="C6949" t="inlineStr">
        <is>
          <t>Avverkning för annat ändamål</t>
        </is>
      </c>
      <c r="D6949" s="1" t="n">
        <v>45720</v>
      </c>
      <c r="E6949" s="1" t="n">
        <v>46307</v>
      </c>
      <c r="F6949" t="inlineStr">
        <is>
          <t>VÄRMLANDS LÄN</t>
        </is>
      </c>
      <c r="G6949" t="inlineStr">
        <is>
          <t>SÄFFLE</t>
        </is>
      </c>
      <c r="I6949" t="n">
        <v>2</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40986-2022</t>
        </is>
      </c>
      <c r="B6950" t="inlineStr">
        <is>
          <t>avverkningsanmälan</t>
        </is>
      </c>
      <c r="C6950" t="inlineStr">
        <is>
          <t>Föryngringsavverkning</t>
        </is>
      </c>
      <c r="D6950" s="1" t="n">
        <v>44823</v>
      </c>
      <c r="E6950" s="1" t="n">
        <v>46307</v>
      </c>
      <c r="F6950" t="inlineStr">
        <is>
          <t>VÄRMLANDS LÄN</t>
        </is>
      </c>
      <c r="G6950" t="inlineStr">
        <is>
          <t>SUNNE</t>
        </is>
      </c>
      <c r="H6950" t="inlineStr">
        <is>
          <t>Kyrkan</t>
        </is>
      </c>
      <c r="I6950" t="n">
        <v>5.7</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72072-2021</t>
        </is>
      </c>
      <c r="B6951" t="inlineStr">
        <is>
          <t>avverkningsanmälan</t>
        </is>
      </c>
      <c r="C6951" t="inlineStr">
        <is>
          <t>Föryngringsavverkning</t>
        </is>
      </c>
      <c r="D6951" s="1" t="n">
        <v>44544</v>
      </c>
      <c r="E6951" s="1" t="n">
        <v>46307</v>
      </c>
      <c r="F6951" t="inlineStr">
        <is>
          <t>VÄRMLANDS LÄN</t>
        </is>
      </c>
      <c r="G6951" t="inlineStr">
        <is>
          <t>KARLSTAD</t>
        </is>
      </c>
      <c r="H6951" t="inlineStr">
        <is>
          <t>Kommuner</t>
        </is>
      </c>
      <c r="I6951" t="n">
        <v>3</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33807-2024</t>
        </is>
      </c>
      <c r="B6952" t="inlineStr">
        <is>
          <t>avverkningsanmälan</t>
        </is>
      </c>
      <c r="C6952" t="inlineStr">
        <is>
          <t>Föryngringsavverkning</t>
        </is>
      </c>
      <c r="D6952" s="1" t="n">
        <v>45520</v>
      </c>
      <c r="E6952" s="1" t="n">
        <v>46307</v>
      </c>
      <c r="F6952" t="inlineStr">
        <is>
          <t>VÄRMLANDS LÄN</t>
        </is>
      </c>
      <c r="G6952" t="inlineStr">
        <is>
          <t>KARLSTAD</t>
        </is>
      </c>
      <c r="I6952" t="n">
        <v>1.1</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33847-2024</t>
        </is>
      </c>
      <c r="B6953" t="inlineStr">
        <is>
          <t>avverkningsanmälan</t>
        </is>
      </c>
      <c r="C6953" t="inlineStr">
        <is>
          <t>Föryngringsavverkning</t>
        </is>
      </c>
      <c r="D6953" s="1" t="n">
        <v>45520</v>
      </c>
      <c r="E6953" s="1" t="n">
        <v>46307</v>
      </c>
      <c r="F6953" t="inlineStr">
        <is>
          <t>VÄRMLANDS LÄN</t>
        </is>
      </c>
      <c r="G6953" t="inlineStr">
        <is>
          <t>EDA</t>
        </is>
      </c>
      <c r="I6953" t="n">
        <v>2.6</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33969-2022</t>
        </is>
      </c>
      <c r="B6954" t="inlineStr">
        <is>
          <t>avverkningsanmälan</t>
        </is>
      </c>
      <c r="C6954" t="inlineStr">
        <is>
          <t>Föryngringsavverkning</t>
        </is>
      </c>
      <c r="D6954" s="1" t="n">
        <v>44790</v>
      </c>
      <c r="E6954" s="1" t="n">
        <v>46307</v>
      </c>
      <c r="F6954" t="inlineStr">
        <is>
          <t>VÄRMLANDS LÄN</t>
        </is>
      </c>
      <c r="G6954" t="inlineStr">
        <is>
          <t>HAGFORS</t>
        </is>
      </c>
      <c r="I6954" t="n">
        <v>1.2</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33885-2024</t>
        </is>
      </c>
      <c r="B6955" t="inlineStr">
        <is>
          <t>avverkningsanmälan</t>
        </is>
      </c>
      <c r="C6955" t="inlineStr">
        <is>
          <t>Föryngringsavverkning</t>
        </is>
      </c>
      <c r="D6955" s="1" t="n">
        <v>45523</v>
      </c>
      <c r="E6955" s="1" t="n">
        <v>46307</v>
      </c>
      <c r="F6955" t="inlineStr">
        <is>
          <t>VÄRMLANDS LÄN</t>
        </is>
      </c>
      <c r="G6955" t="inlineStr">
        <is>
          <t>ARVIKA</t>
        </is>
      </c>
      <c r="I6955" t="n">
        <v>5.4</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3298-2025</t>
        </is>
      </c>
      <c r="B6956" t="inlineStr">
        <is>
          <t>avverkningsanmälan</t>
        </is>
      </c>
      <c r="C6956" t="inlineStr">
        <is>
          <t>Föryngringsavverkning</t>
        </is>
      </c>
      <c r="D6956" s="1" t="n">
        <v>45679</v>
      </c>
      <c r="E6956" s="1" t="n">
        <v>46307</v>
      </c>
      <c r="F6956" t="inlineStr">
        <is>
          <t>VÄRMLANDS LÄN</t>
        </is>
      </c>
      <c r="G6956" t="inlineStr">
        <is>
          <t>ÅRJÄNG</t>
        </is>
      </c>
      <c r="I6956" t="n">
        <v>9.199999999999999</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62550-2022</t>
        </is>
      </c>
      <c r="B6957" t="inlineStr">
        <is>
          <t>avverkningsanmälan</t>
        </is>
      </c>
      <c r="C6957" t="inlineStr">
        <is>
          <t>Föryngringsavverkning</t>
        </is>
      </c>
      <c r="D6957" s="1" t="n">
        <v>44924</v>
      </c>
      <c r="E6957" s="1" t="n">
        <v>46307</v>
      </c>
      <c r="F6957" t="inlineStr">
        <is>
          <t>VÄRMLANDS LÄN</t>
        </is>
      </c>
      <c r="G6957" t="inlineStr">
        <is>
          <t>SÄFFLE</t>
        </is>
      </c>
      <c r="I6957" t="n">
        <v>0.7</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12214-2025</t>
        </is>
      </c>
      <c r="B6958" t="inlineStr">
        <is>
          <t>avverkningsanmälan</t>
        </is>
      </c>
      <c r="C6958" t="inlineStr">
        <is>
          <t>Föryngringsavverkning</t>
        </is>
      </c>
      <c r="D6958" s="1" t="n">
        <v>45729</v>
      </c>
      <c r="E6958" s="1" t="n">
        <v>46307</v>
      </c>
      <c r="F6958" t="inlineStr">
        <is>
          <t>VÄRMLANDS LÄN</t>
        </is>
      </c>
      <c r="G6958" t="inlineStr">
        <is>
          <t>KARLSTAD</t>
        </is>
      </c>
      <c r="I6958" t="n">
        <v>6.6</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15197-2026</t>
        </is>
      </c>
      <c r="B6959" t="inlineStr">
        <is>
          <t>avverkningsanmälan</t>
        </is>
      </c>
      <c r="C6959" t="inlineStr">
        <is>
          <t>Föryngringsavverkning</t>
        </is>
      </c>
      <c r="D6959" s="1" t="n">
        <v>46105</v>
      </c>
      <c r="E6959" s="1" t="n">
        <v>46307</v>
      </c>
      <c r="F6959" t="inlineStr">
        <is>
          <t>VÄRMLANDS LÄN</t>
        </is>
      </c>
      <c r="G6959" t="inlineStr">
        <is>
          <t>FILIPSTAD</t>
        </is>
      </c>
      <c r="H6959" t="inlineStr">
        <is>
          <t>Bergvik skog väst AB</t>
        </is>
      </c>
      <c r="I6959" t="n">
        <v>2.1</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57355-2022</t>
        </is>
      </c>
      <c r="B6960" t="inlineStr">
        <is>
          <t>avverkningsanmälan</t>
        </is>
      </c>
      <c r="C6960" t="inlineStr">
        <is>
          <t>Föryngringsavverkning</t>
        </is>
      </c>
      <c r="D6960" s="1" t="n">
        <v>44896</v>
      </c>
      <c r="E6960" s="1" t="n">
        <v>46307</v>
      </c>
      <c r="F6960" t="inlineStr">
        <is>
          <t>VÄRMLANDS LÄN</t>
        </is>
      </c>
      <c r="G6960" t="inlineStr">
        <is>
          <t>EDA</t>
        </is>
      </c>
      <c r="I6960" t="n">
        <v>0.6</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50825-2024</t>
        </is>
      </c>
      <c r="B6961" t="inlineStr">
        <is>
          <t>avverkningsanmälan</t>
        </is>
      </c>
      <c r="C6961" t="inlineStr">
        <is>
          <t>Föryngringsavverkning</t>
        </is>
      </c>
      <c r="D6961" s="1" t="n">
        <v>45602</v>
      </c>
      <c r="E6961" s="1" t="n">
        <v>46307</v>
      </c>
      <c r="F6961" t="inlineStr">
        <is>
          <t>VÄRMLANDS LÄN</t>
        </is>
      </c>
      <c r="G6961" t="inlineStr">
        <is>
          <t>SUNNE</t>
        </is>
      </c>
      <c r="I6961" t="n">
        <v>7.3</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41283-2023</t>
        </is>
      </c>
      <c r="B6962" t="inlineStr">
        <is>
          <t>avverkningsanmälan</t>
        </is>
      </c>
      <c r="C6962" t="inlineStr">
        <is>
          <t>Föryngringsavverkning</t>
        </is>
      </c>
      <c r="D6962" s="1" t="n">
        <v>45174</v>
      </c>
      <c r="E6962" s="1" t="n">
        <v>46307</v>
      </c>
      <c r="F6962" t="inlineStr">
        <is>
          <t>VÄRMLANDS LÄN</t>
        </is>
      </c>
      <c r="G6962" t="inlineStr">
        <is>
          <t>ÅRJÄNG</t>
        </is>
      </c>
      <c r="I6962" t="n">
        <v>9.6</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41841-2023</t>
        </is>
      </c>
      <c r="B6963" t="inlineStr">
        <is>
          <t>avverkningsanmälan</t>
        </is>
      </c>
      <c r="C6963" t="inlineStr">
        <is>
          <t>Föryngringsavverkning</t>
        </is>
      </c>
      <c r="D6963" s="1" t="n">
        <v>45176</v>
      </c>
      <c r="E6963" s="1" t="n">
        <v>46307</v>
      </c>
      <c r="F6963" t="inlineStr">
        <is>
          <t>VÄRMLANDS LÄN</t>
        </is>
      </c>
      <c r="G6963" t="inlineStr">
        <is>
          <t>TORSBY</t>
        </is>
      </c>
      <c r="I6963" t="n">
        <v>6.3</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15234-2026</t>
        </is>
      </c>
      <c r="B6964" t="inlineStr">
        <is>
          <t>avverkningsanmälan</t>
        </is>
      </c>
      <c r="C6964" t="inlineStr">
        <is>
          <t>Föryngringsavverkning</t>
        </is>
      </c>
      <c r="D6964" s="1" t="n">
        <v>46105</v>
      </c>
      <c r="E6964" s="1" t="n">
        <v>46307</v>
      </c>
      <c r="F6964" t="inlineStr">
        <is>
          <t>VÄRMLANDS LÄN</t>
        </is>
      </c>
      <c r="G6964" t="inlineStr">
        <is>
          <t>SÄFFLE</t>
        </is>
      </c>
      <c r="I6964" t="n">
        <v>3.2</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40007-2023</t>
        </is>
      </c>
      <c r="B6965" t="inlineStr">
        <is>
          <t>avverkningsanmälan</t>
        </is>
      </c>
      <c r="C6965" t="inlineStr">
        <is>
          <t>Föryngringsavverkning</t>
        </is>
      </c>
      <c r="D6965" s="1" t="n">
        <v>45168</v>
      </c>
      <c r="E6965" s="1" t="n">
        <v>46307</v>
      </c>
      <c r="F6965" t="inlineStr">
        <is>
          <t>VÄRMLANDS LÄN</t>
        </is>
      </c>
      <c r="G6965" t="inlineStr">
        <is>
          <t>TORSBY</t>
        </is>
      </c>
      <c r="I6965" t="n">
        <v>2.5</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16100-2025</t>
        </is>
      </c>
      <c r="B6966" t="inlineStr">
        <is>
          <t>avverkningsanmälan</t>
        </is>
      </c>
      <c r="C6966" t="inlineStr">
        <is>
          <t>Föryngringsavverkning</t>
        </is>
      </c>
      <c r="D6966" s="1" t="n">
        <v>45750</v>
      </c>
      <c r="E6966" s="1" t="n">
        <v>46307</v>
      </c>
      <c r="F6966" t="inlineStr">
        <is>
          <t>VÄRMLANDS LÄN</t>
        </is>
      </c>
      <c r="G6966" t="inlineStr">
        <is>
          <t>FILIPSTAD</t>
        </is>
      </c>
      <c r="I6966" t="n">
        <v>1.9</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14890-2026</t>
        </is>
      </c>
      <c r="B6967" t="inlineStr">
        <is>
          <t>avverkningsanmälan</t>
        </is>
      </c>
      <c r="C6967" t="inlineStr">
        <is>
          <t>Avverkning för att bevara och utveckla /försöksver</t>
        </is>
      </c>
      <c r="D6967" s="1" t="n">
        <v>46104</v>
      </c>
      <c r="E6967" s="1" t="n">
        <v>46307</v>
      </c>
      <c r="F6967" t="inlineStr">
        <is>
          <t>VÄRMLANDS LÄN</t>
        </is>
      </c>
      <c r="G6967" t="inlineStr">
        <is>
          <t>KARLSTAD</t>
        </is>
      </c>
      <c r="H6967" t="inlineStr">
        <is>
          <t>Bergvik skog väst AB</t>
        </is>
      </c>
      <c r="I6967" t="n">
        <v>1.5</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47460-2023</t>
        </is>
      </c>
      <c r="B6968" t="inlineStr">
        <is>
          <t>avverkningsanmälan</t>
        </is>
      </c>
      <c r="C6968" t="inlineStr">
        <is>
          <t>Föryngringsavverkning</t>
        </is>
      </c>
      <c r="D6968" s="1" t="n">
        <v>45202</v>
      </c>
      <c r="E6968" s="1" t="n">
        <v>46307</v>
      </c>
      <c r="F6968" t="inlineStr">
        <is>
          <t>VÄRMLANDS LÄN</t>
        </is>
      </c>
      <c r="G6968" t="inlineStr">
        <is>
          <t>SUNNE</t>
        </is>
      </c>
      <c r="I6968" t="n">
        <v>14.2</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23073-2023</t>
        </is>
      </c>
      <c r="B6969" t="inlineStr">
        <is>
          <t>avverkningsanmälan</t>
        </is>
      </c>
      <c r="C6969" t="inlineStr">
        <is>
          <t>Föryngringsavverkning</t>
        </is>
      </c>
      <c r="D6969" s="1" t="n">
        <v>45070</v>
      </c>
      <c r="E6969" s="1" t="n">
        <v>46307</v>
      </c>
      <c r="F6969" t="inlineStr">
        <is>
          <t>VÄRMLANDS LÄN</t>
        </is>
      </c>
      <c r="G6969" t="inlineStr">
        <is>
          <t>TORSBY</t>
        </is>
      </c>
      <c r="I6969" t="n">
        <v>15.1</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1338-2023</t>
        </is>
      </c>
      <c r="B6970" t="inlineStr">
        <is>
          <t>avverkningsanmälan</t>
        </is>
      </c>
      <c r="C6970" t="inlineStr">
        <is>
          <t>Föryngringsavverkning</t>
        </is>
      </c>
      <c r="D6970" s="1" t="n">
        <v>44936</v>
      </c>
      <c r="E6970" s="1" t="n">
        <v>46307</v>
      </c>
      <c r="F6970" t="inlineStr">
        <is>
          <t>VÄRMLANDS LÄN</t>
        </is>
      </c>
      <c r="G6970" t="inlineStr">
        <is>
          <t>FORSHAGA</t>
        </is>
      </c>
      <c r="I6970" t="n">
        <v>6</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35654-2024</t>
        </is>
      </c>
      <c r="B6971" t="inlineStr">
        <is>
          <t>avverkningsanmälan</t>
        </is>
      </c>
      <c r="C6971" t="inlineStr">
        <is>
          <t>Föryngringsavverkning</t>
        </is>
      </c>
      <c r="D6971" s="1" t="n">
        <v>45532</v>
      </c>
      <c r="E6971" s="1" t="n">
        <v>46307</v>
      </c>
      <c r="F6971" t="inlineStr">
        <is>
          <t>VÄRMLANDS LÄN</t>
        </is>
      </c>
      <c r="G6971" t="inlineStr">
        <is>
          <t>FORSHAGA</t>
        </is>
      </c>
      <c r="I6971" t="n">
        <v>0.9</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3336-2024</t>
        </is>
      </c>
      <c r="B6972" t="inlineStr">
        <is>
          <t>avverkningsanmälan</t>
        </is>
      </c>
      <c r="C6972" t="inlineStr">
        <is>
          <t>Föryngringsavverkning</t>
        </is>
      </c>
      <c r="D6972" s="1" t="n">
        <v>45317</v>
      </c>
      <c r="E6972" s="1" t="n">
        <v>46307</v>
      </c>
      <c r="F6972" t="inlineStr">
        <is>
          <t>VÄRMLANDS LÄN</t>
        </is>
      </c>
      <c r="G6972" t="inlineStr">
        <is>
          <t>SUNNE</t>
        </is>
      </c>
      <c r="I6972" t="n">
        <v>1.2</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48288-2022</t>
        </is>
      </c>
      <c r="B6973" t="inlineStr">
        <is>
          <t>avverkningsanmälan</t>
        </is>
      </c>
      <c r="C6973" t="inlineStr">
        <is>
          <t>Föryngringsavverkning</t>
        </is>
      </c>
      <c r="D6973" s="1" t="n">
        <v>44858</v>
      </c>
      <c r="E6973" s="1" t="n">
        <v>46307</v>
      </c>
      <c r="F6973" t="inlineStr">
        <is>
          <t>VÄRMLANDS LÄN</t>
        </is>
      </c>
      <c r="G6973" t="inlineStr">
        <is>
          <t>EDA</t>
        </is>
      </c>
      <c r="I6973" t="n">
        <v>2</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11935-2025</t>
        </is>
      </c>
      <c r="B6974" t="inlineStr">
        <is>
          <t>avverkningsanmälan</t>
        </is>
      </c>
      <c r="C6974" t="inlineStr">
        <is>
          <t>Föryngringsavverkning</t>
        </is>
      </c>
      <c r="D6974" s="1" t="n">
        <v>45728</v>
      </c>
      <c r="E6974" s="1" t="n">
        <v>46307</v>
      </c>
      <c r="F6974" t="inlineStr">
        <is>
          <t>VÄRMLANDS LÄN</t>
        </is>
      </c>
      <c r="G6974" t="inlineStr">
        <is>
          <t>SÄFFLE</t>
        </is>
      </c>
      <c r="I6974" t="n">
        <v>0.6</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41960-2023</t>
        </is>
      </c>
      <c r="B6975" t="inlineStr">
        <is>
          <t>avverkningsanmälan</t>
        </is>
      </c>
      <c r="C6975" t="inlineStr">
        <is>
          <t>Föryngringsavverkning</t>
        </is>
      </c>
      <c r="D6975" s="1" t="n">
        <v>45177</v>
      </c>
      <c r="E6975" s="1" t="n">
        <v>46307</v>
      </c>
      <c r="F6975" t="inlineStr">
        <is>
          <t>VÄRMLANDS LÄN</t>
        </is>
      </c>
      <c r="G6975" t="inlineStr">
        <is>
          <t>KARLSTAD</t>
        </is>
      </c>
      <c r="I6975" t="n">
        <v>4.2</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22260-2023</t>
        </is>
      </c>
      <c r="B6976" t="inlineStr">
        <is>
          <t>avverkningsanmälan</t>
        </is>
      </c>
      <c r="C6976" t="inlineStr">
        <is>
          <t>Föryngringsavverkning</t>
        </is>
      </c>
      <c r="D6976" s="1" t="n">
        <v>45070</v>
      </c>
      <c r="E6976" s="1" t="n">
        <v>46307</v>
      </c>
      <c r="F6976" t="inlineStr">
        <is>
          <t>VÄRMLANDS LÄN</t>
        </is>
      </c>
      <c r="G6976" t="inlineStr">
        <is>
          <t>SUNNE</t>
        </is>
      </c>
      <c r="I6976" t="n">
        <v>3.3</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2927-2025</t>
        </is>
      </c>
      <c r="B6977" t="inlineStr">
        <is>
          <t>avverkningsanmälan</t>
        </is>
      </c>
      <c r="C6977" t="inlineStr">
        <is>
          <t>Föryngringsavverkning</t>
        </is>
      </c>
      <c r="D6977" s="1" t="n">
        <v>45678</v>
      </c>
      <c r="E6977" s="1" t="n">
        <v>46307</v>
      </c>
      <c r="F6977" t="inlineStr">
        <is>
          <t>VÄRMLANDS LÄN</t>
        </is>
      </c>
      <c r="G6977" t="inlineStr">
        <is>
          <t>KRISTINEHAMN</t>
        </is>
      </c>
      <c r="I6977" t="n">
        <v>3.3</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14994-2026</t>
        </is>
      </c>
      <c r="B6978" t="inlineStr">
        <is>
          <t>avverkningsanmälan</t>
        </is>
      </c>
      <c r="C6978" t="inlineStr">
        <is>
          <t>Avverkning för annat ändamål</t>
        </is>
      </c>
      <c r="D6978" s="1" t="n">
        <v>46104</v>
      </c>
      <c r="E6978" s="1" t="n">
        <v>46307</v>
      </c>
      <c r="F6978" t="inlineStr">
        <is>
          <t>VÄRMLANDS LÄN</t>
        </is>
      </c>
      <c r="G6978" t="inlineStr">
        <is>
          <t>SÄFFLE</t>
        </is>
      </c>
      <c r="I6978" t="n">
        <v>0.6</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4516-2025</t>
        </is>
      </c>
      <c r="B6979" t="inlineStr">
        <is>
          <t>avverkningsanmälan</t>
        </is>
      </c>
      <c r="C6979" t="inlineStr">
        <is>
          <t>Föryngringsavverkning</t>
        </is>
      </c>
      <c r="D6979" s="1" t="n">
        <v>45686</v>
      </c>
      <c r="E6979" s="1" t="n">
        <v>46307</v>
      </c>
      <c r="F6979" t="inlineStr">
        <is>
          <t>VÄRMLANDS LÄN</t>
        </is>
      </c>
      <c r="G6979" t="inlineStr">
        <is>
          <t>TORSBY</t>
        </is>
      </c>
      <c r="I6979" t="n">
        <v>1.3</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4517-2025</t>
        </is>
      </c>
      <c r="B6980" t="inlineStr">
        <is>
          <t>avverkningsanmälan</t>
        </is>
      </c>
      <c r="C6980" t="inlineStr">
        <is>
          <t>Föryngringsavverkning</t>
        </is>
      </c>
      <c r="D6980" s="1" t="n">
        <v>45686</v>
      </c>
      <c r="E6980" s="1" t="n">
        <v>46307</v>
      </c>
      <c r="F6980" t="inlineStr">
        <is>
          <t>VÄRMLANDS LÄN</t>
        </is>
      </c>
      <c r="G6980" t="inlineStr">
        <is>
          <t>TORSBY</t>
        </is>
      </c>
      <c r="I6980" t="n">
        <v>1</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3098-2023</t>
        </is>
      </c>
      <c r="B6981" t="inlineStr">
        <is>
          <t>avverkningsanmälan</t>
        </is>
      </c>
      <c r="C6981" t="inlineStr">
        <is>
          <t>Föryngringsavverkning</t>
        </is>
      </c>
      <c r="D6981" s="1" t="n">
        <v>44946</v>
      </c>
      <c r="E6981" s="1" t="n">
        <v>46307</v>
      </c>
      <c r="F6981" t="inlineStr">
        <is>
          <t>VÄRMLANDS LÄN</t>
        </is>
      </c>
      <c r="G6981" t="inlineStr">
        <is>
          <t>TORSBY</t>
        </is>
      </c>
      <c r="I6981" t="n">
        <v>1.7</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3103-2023</t>
        </is>
      </c>
      <c r="B6982" t="inlineStr">
        <is>
          <t>avverkningsanmälan</t>
        </is>
      </c>
      <c r="C6982" t="inlineStr">
        <is>
          <t>Föryngringsavverkning</t>
        </is>
      </c>
      <c r="D6982" s="1" t="n">
        <v>44946</v>
      </c>
      <c r="E6982" s="1" t="n">
        <v>46307</v>
      </c>
      <c r="F6982" t="inlineStr">
        <is>
          <t>VÄRMLANDS LÄN</t>
        </is>
      </c>
      <c r="G6982" t="inlineStr">
        <is>
          <t>TORSBY</t>
        </is>
      </c>
      <c r="I6982" t="n">
        <v>1.4</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15291-2026</t>
        </is>
      </c>
      <c r="B6983" t="inlineStr">
        <is>
          <t>avverkningsanmälan</t>
        </is>
      </c>
      <c r="C6983" t="inlineStr">
        <is>
          <t>Föryngringsavverkning</t>
        </is>
      </c>
      <c r="D6983" s="1" t="n">
        <v>46105</v>
      </c>
      <c r="E6983" s="1" t="n">
        <v>46307</v>
      </c>
      <c r="F6983" t="inlineStr">
        <is>
          <t>VÄRMLANDS LÄN</t>
        </is>
      </c>
      <c r="G6983" t="inlineStr">
        <is>
          <t>ARVIKA</t>
        </is>
      </c>
      <c r="H6983" t="inlineStr">
        <is>
          <t>Bergvik skog väst AB</t>
        </is>
      </c>
      <c r="I6983" t="n">
        <v>2.4</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48028-2023</t>
        </is>
      </c>
      <c r="B6984" t="inlineStr">
        <is>
          <t>avverkningsanmälan</t>
        </is>
      </c>
      <c r="C6984" t="inlineStr">
        <is>
          <t>Föryngringsavverkning</t>
        </is>
      </c>
      <c r="D6984" s="1" t="n">
        <v>45204</v>
      </c>
      <c r="E6984" s="1" t="n">
        <v>46307</v>
      </c>
      <c r="F6984" t="inlineStr">
        <is>
          <t>VÄRMLANDS LÄN</t>
        </is>
      </c>
      <c r="G6984" t="inlineStr">
        <is>
          <t>SUNNE</t>
        </is>
      </c>
      <c r="I6984" t="n">
        <v>9.199999999999999</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48053-2023</t>
        </is>
      </c>
      <c r="B6985" t="inlineStr">
        <is>
          <t>avverkningsanmälan</t>
        </is>
      </c>
      <c r="C6985" t="inlineStr">
        <is>
          <t>Föryngringsavverkning</t>
        </is>
      </c>
      <c r="D6985" s="1" t="n">
        <v>45204</v>
      </c>
      <c r="E6985" s="1" t="n">
        <v>46307</v>
      </c>
      <c r="F6985" t="inlineStr">
        <is>
          <t>VÄRMLANDS LÄN</t>
        </is>
      </c>
      <c r="G6985" t="inlineStr">
        <is>
          <t>SUNNE</t>
        </is>
      </c>
      <c r="I6985" t="n">
        <v>8.9</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65250-2023</t>
        </is>
      </c>
      <c r="B6986" t="inlineStr">
        <is>
          <t>avverkningsanmälan</t>
        </is>
      </c>
      <c r="C6986" t="inlineStr">
        <is>
          <t>Föryngringsavverkning</t>
        </is>
      </c>
      <c r="D6986" s="1" t="n">
        <v>45290</v>
      </c>
      <c r="E6986" s="1" t="n">
        <v>46307</v>
      </c>
      <c r="F6986" t="inlineStr">
        <is>
          <t>VÄRMLANDS LÄN</t>
        </is>
      </c>
      <c r="G6986" t="inlineStr">
        <is>
          <t>EDA</t>
        </is>
      </c>
      <c r="I6986" t="n">
        <v>4.1</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65251-2023</t>
        </is>
      </c>
      <c r="B6987" t="inlineStr">
        <is>
          <t>avverkningsanmälan</t>
        </is>
      </c>
      <c r="C6987" t="inlineStr">
        <is>
          <t>Föryngringsavverkning</t>
        </is>
      </c>
      <c r="D6987" s="1" t="n">
        <v>45290</v>
      </c>
      <c r="E6987" s="1" t="n">
        <v>46307</v>
      </c>
      <c r="F6987" t="inlineStr">
        <is>
          <t>VÄRMLANDS LÄN</t>
        </is>
      </c>
      <c r="G6987" t="inlineStr">
        <is>
          <t>EDA</t>
        </is>
      </c>
      <c r="I6987" t="n">
        <v>2.5</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12725-2025</t>
        </is>
      </c>
      <c r="B6988" t="inlineStr">
        <is>
          <t>avverkningsanmälan</t>
        </is>
      </c>
      <c r="C6988" t="inlineStr">
        <is>
          <t>Föryngringsavverkning</t>
        </is>
      </c>
      <c r="D6988" s="1" t="n">
        <v>45733</v>
      </c>
      <c r="E6988" s="1" t="n">
        <v>46307</v>
      </c>
      <c r="F6988" t="inlineStr">
        <is>
          <t>VÄRMLANDS LÄN</t>
        </is>
      </c>
      <c r="G6988" t="inlineStr">
        <is>
          <t>EDA</t>
        </is>
      </c>
      <c r="I6988" t="n">
        <v>3.3</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35878-2024</t>
        </is>
      </c>
      <c r="B6989" t="inlineStr">
        <is>
          <t>avverkningsanmälan</t>
        </is>
      </c>
      <c r="C6989" t="inlineStr">
        <is>
          <t>Föryngringsavverkning</t>
        </is>
      </c>
      <c r="D6989" s="1" t="n">
        <v>45533</v>
      </c>
      <c r="E6989" s="1" t="n">
        <v>46307</v>
      </c>
      <c r="F6989" t="inlineStr">
        <is>
          <t>VÄRMLANDS LÄN</t>
        </is>
      </c>
      <c r="G6989" t="inlineStr">
        <is>
          <t>EDA</t>
        </is>
      </c>
      <c r="I6989" t="n">
        <v>2</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58392-2025</t>
        </is>
      </c>
      <c r="B6990" t="inlineStr">
        <is>
          <t>avverkningsanmälan</t>
        </is>
      </c>
      <c r="C6990" t="inlineStr">
        <is>
          <t>Föryngringsavverkning</t>
        </is>
      </c>
      <c r="D6990" s="1" t="n">
        <v>45985</v>
      </c>
      <c r="E6990" s="1" t="n">
        <v>46307</v>
      </c>
      <c r="F6990" t="inlineStr">
        <is>
          <t>VÄRMLANDS LÄN</t>
        </is>
      </c>
      <c r="G6990" t="inlineStr">
        <is>
          <t>ÅRJÄNG</t>
        </is>
      </c>
      <c r="I6990" t="n">
        <v>1</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49528-2023</t>
        </is>
      </c>
      <c r="B6991" t="inlineStr">
        <is>
          <t>avverkningsanmälan</t>
        </is>
      </c>
      <c r="C6991" t="inlineStr">
        <is>
          <t>Föryngringsavverkning</t>
        </is>
      </c>
      <c r="D6991" s="1" t="n">
        <v>45211</v>
      </c>
      <c r="E6991" s="1" t="n">
        <v>46307</v>
      </c>
      <c r="F6991" t="inlineStr">
        <is>
          <t>VÄRMLANDS LÄN</t>
        </is>
      </c>
      <c r="G6991" t="inlineStr">
        <is>
          <t>SÄFFLE</t>
        </is>
      </c>
      <c r="I6991" t="n">
        <v>1.4</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55522-2023</t>
        </is>
      </c>
      <c r="B6992" t="inlineStr">
        <is>
          <t>avverkningsanmälan</t>
        </is>
      </c>
      <c r="C6992" t="inlineStr">
        <is>
          <t>Föryngringsavverkning</t>
        </is>
      </c>
      <c r="D6992" s="1" t="n">
        <v>45238</v>
      </c>
      <c r="E6992" s="1" t="n">
        <v>46307</v>
      </c>
      <c r="F6992" t="inlineStr">
        <is>
          <t>VÄRMLANDS LÄN</t>
        </is>
      </c>
      <c r="G6992" t="inlineStr">
        <is>
          <t>TORSBY</t>
        </is>
      </c>
      <c r="I6992" t="n">
        <v>1</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58394-2025</t>
        </is>
      </c>
      <c r="B6993" t="inlineStr">
        <is>
          <t>avverkningsanmälan</t>
        </is>
      </c>
      <c r="C6993" t="inlineStr">
        <is>
          <t>Föryngringsavverkning</t>
        </is>
      </c>
      <c r="D6993" s="1" t="n">
        <v>45983</v>
      </c>
      <c r="E6993" s="1" t="n">
        <v>46307</v>
      </c>
      <c r="F6993" t="inlineStr">
        <is>
          <t>VÄRMLANDS LÄN</t>
        </is>
      </c>
      <c r="G6993" t="inlineStr">
        <is>
          <t>SÄFFLE</t>
        </is>
      </c>
      <c r="I6993" t="n">
        <v>2.2</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30989-2023</t>
        </is>
      </c>
      <c r="B6994" t="inlineStr">
        <is>
          <t>avverkningsanmälan</t>
        </is>
      </c>
      <c r="C6994" t="inlineStr">
        <is>
          <t>Föryngringsavverkning</t>
        </is>
      </c>
      <c r="D6994" s="1" t="n">
        <v>45113</v>
      </c>
      <c r="E6994" s="1" t="n">
        <v>46307</v>
      </c>
      <c r="F6994" t="inlineStr">
        <is>
          <t>VÄRMLANDS LÄN</t>
        </is>
      </c>
      <c r="G6994" t="inlineStr">
        <is>
          <t>SUNNE</t>
        </is>
      </c>
      <c r="I6994" t="n">
        <v>0.7</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1839-2022</t>
        </is>
      </c>
      <c r="B6995" t="inlineStr">
        <is>
          <t>avverkningsanmälan</t>
        </is>
      </c>
      <c r="C6995" t="inlineStr">
        <is>
          <t>Föryngringsavverkning</t>
        </is>
      </c>
      <c r="D6995" s="1" t="n">
        <v>44574</v>
      </c>
      <c r="E6995" s="1" t="n">
        <v>46307</v>
      </c>
      <c r="F6995" t="inlineStr">
        <is>
          <t>VÄRMLANDS LÄN</t>
        </is>
      </c>
      <c r="G6995" t="inlineStr">
        <is>
          <t>TORSBY</t>
        </is>
      </c>
      <c r="I6995" t="n">
        <v>5.3</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47750-2024</t>
        </is>
      </c>
      <c r="B6996" t="inlineStr">
        <is>
          <t>avverkningsanmälan</t>
        </is>
      </c>
      <c r="C6996" t="inlineStr">
        <is>
          <t>Föryngringsavverkning</t>
        </is>
      </c>
      <c r="D6996" s="1" t="n">
        <v>45588</v>
      </c>
      <c r="E6996" s="1" t="n">
        <v>46307</v>
      </c>
      <c r="F6996" t="inlineStr">
        <is>
          <t>VÄRMLANDS LÄN</t>
        </is>
      </c>
      <c r="G6996" t="inlineStr">
        <is>
          <t>EDA</t>
        </is>
      </c>
      <c r="I6996" t="n">
        <v>6.3</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11245-2022</t>
        </is>
      </c>
      <c r="B6997" t="inlineStr">
        <is>
          <t>avverkningsanmälan</t>
        </is>
      </c>
      <c r="C6997" t="inlineStr">
        <is>
          <t>Föryngringsavverkning</t>
        </is>
      </c>
      <c r="D6997" s="1" t="n">
        <v>44629</v>
      </c>
      <c r="E6997" s="1" t="n">
        <v>46307</v>
      </c>
      <c r="F6997" t="inlineStr">
        <is>
          <t>VÄRMLANDS LÄN</t>
        </is>
      </c>
      <c r="G6997" t="inlineStr">
        <is>
          <t>SÄFFLE</t>
        </is>
      </c>
      <c r="I6997" t="n">
        <v>2.2</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15141-2026</t>
        </is>
      </c>
      <c r="B6998" t="inlineStr">
        <is>
          <t>avverkningsanmälan</t>
        </is>
      </c>
      <c r="C6998" t="inlineStr">
        <is>
          <t>Föryngringsavverkning</t>
        </is>
      </c>
      <c r="D6998" s="1" t="n">
        <v>46105</v>
      </c>
      <c r="E6998" s="1" t="n">
        <v>46307</v>
      </c>
      <c r="F6998" t="inlineStr">
        <is>
          <t>VÄRMLANDS LÄN</t>
        </is>
      </c>
      <c r="G6998" t="inlineStr">
        <is>
          <t>ARVIKA</t>
        </is>
      </c>
      <c r="H6998" t="inlineStr">
        <is>
          <t>Bergvik skog väst AB</t>
        </is>
      </c>
      <c r="I6998" t="n">
        <v>1.4</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261-2023</t>
        </is>
      </c>
      <c r="B6999" t="inlineStr">
        <is>
          <t>avverkningsanmälan</t>
        </is>
      </c>
      <c r="C6999" t="inlineStr">
        <is>
          <t>Föryngringsavverkning</t>
        </is>
      </c>
      <c r="D6999" s="1" t="n">
        <v>44928</v>
      </c>
      <c r="E6999" s="1" t="n">
        <v>46307</v>
      </c>
      <c r="F6999" t="inlineStr">
        <is>
          <t>VÄRMLANDS LÄN</t>
        </is>
      </c>
      <c r="G6999" t="inlineStr">
        <is>
          <t>SUNNE</t>
        </is>
      </c>
      <c r="I6999" t="n">
        <v>1</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15212-2026</t>
        </is>
      </c>
      <c r="B7000" t="inlineStr">
        <is>
          <t>avverkningsanmälan</t>
        </is>
      </c>
      <c r="C7000" t="inlineStr">
        <is>
          <t>Föryngringsavverkning</t>
        </is>
      </c>
      <c r="D7000" s="1" t="n">
        <v>46105</v>
      </c>
      <c r="E7000" s="1" t="n">
        <v>46307</v>
      </c>
      <c r="F7000" t="inlineStr">
        <is>
          <t>VÄRMLANDS LÄN</t>
        </is>
      </c>
      <c r="G7000" t="inlineStr">
        <is>
          <t>ÅRJÄNG</t>
        </is>
      </c>
      <c r="I7000" t="n">
        <v>1.1</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24814-2024</t>
        </is>
      </c>
      <c r="B7001" t="inlineStr">
        <is>
          <t>avverkningsanmälan</t>
        </is>
      </c>
      <c r="C7001" t="inlineStr">
        <is>
          <t>Föryngringsavverkning</t>
        </is>
      </c>
      <c r="D7001" s="1" t="n">
        <v>45461</v>
      </c>
      <c r="E7001" s="1" t="n">
        <v>46307</v>
      </c>
      <c r="F7001" t="inlineStr">
        <is>
          <t>VÄRMLANDS LÄN</t>
        </is>
      </c>
      <c r="G7001" t="inlineStr">
        <is>
          <t>HAGFORS</t>
        </is>
      </c>
      <c r="I7001" t="n">
        <v>1.7</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45236-2023</t>
        </is>
      </c>
      <c r="B7002" t="inlineStr">
        <is>
          <t>avverkningsanmälan</t>
        </is>
      </c>
      <c r="C7002" t="inlineStr">
        <is>
          <t>Föryngringsavverkning</t>
        </is>
      </c>
      <c r="D7002" s="1" t="n">
        <v>45191</v>
      </c>
      <c r="E7002" s="1" t="n">
        <v>46307</v>
      </c>
      <c r="F7002" t="inlineStr">
        <is>
          <t>VÄRMLANDS LÄN</t>
        </is>
      </c>
      <c r="G7002" t="inlineStr">
        <is>
          <t>SÄFFLE</t>
        </is>
      </c>
      <c r="I7002" t="n">
        <v>1.3</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58179-2023</t>
        </is>
      </c>
      <c r="B7003" t="inlineStr">
        <is>
          <t>avverkningsanmälan</t>
        </is>
      </c>
      <c r="C7003" t="inlineStr">
        <is>
          <t>Föryngringsavverkning</t>
        </is>
      </c>
      <c r="D7003" s="1" t="n">
        <v>45250</v>
      </c>
      <c r="E7003" s="1" t="n">
        <v>46307</v>
      </c>
      <c r="F7003" t="inlineStr">
        <is>
          <t>VÄRMLANDS LÄN</t>
        </is>
      </c>
      <c r="G7003" t="inlineStr">
        <is>
          <t>EDA</t>
        </is>
      </c>
      <c r="I7003" t="n">
        <v>2.5</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56466-2024</t>
        </is>
      </c>
      <c r="B7004" t="inlineStr">
        <is>
          <t>avverkningsanmälan</t>
        </is>
      </c>
      <c r="C7004" t="inlineStr">
        <is>
          <t>Föryngringsavverkning</t>
        </is>
      </c>
      <c r="D7004" s="1" t="n">
        <v>45625</v>
      </c>
      <c r="E7004" s="1" t="n">
        <v>46307</v>
      </c>
      <c r="F7004" t="inlineStr">
        <is>
          <t>VÄRMLANDS LÄN</t>
        </is>
      </c>
      <c r="G7004" t="inlineStr">
        <is>
          <t>HAGFORS</t>
        </is>
      </c>
      <c r="H7004" t="inlineStr">
        <is>
          <t>Bergvik skog väst AB</t>
        </is>
      </c>
      <c r="I7004" t="n">
        <v>5.1</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58278-2025</t>
        </is>
      </c>
      <c r="B7005" t="inlineStr">
        <is>
          <t>avverkningsanmälan</t>
        </is>
      </c>
      <c r="C7005" t="inlineStr">
        <is>
          <t>Föryngringsavverkning</t>
        </is>
      </c>
      <c r="D7005" s="1" t="n">
        <v>45985</v>
      </c>
      <c r="E7005" s="1" t="n">
        <v>46307</v>
      </c>
      <c r="F7005" t="inlineStr">
        <is>
          <t>VÄRMLANDS LÄN</t>
        </is>
      </c>
      <c r="G7005" t="inlineStr">
        <is>
          <t>HAGFORS</t>
        </is>
      </c>
      <c r="H7005" t="inlineStr">
        <is>
          <t>Kyrkan</t>
        </is>
      </c>
      <c r="I7005" t="n">
        <v>2.4</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29577-2024</t>
        </is>
      </c>
      <c r="B7006" t="inlineStr">
        <is>
          <t>avverkningsanmälan</t>
        </is>
      </c>
      <c r="C7006" t="inlineStr">
        <is>
          <t>Föryngringsavverkning</t>
        </is>
      </c>
      <c r="D7006" s="1" t="n">
        <v>45484</v>
      </c>
      <c r="E7006" s="1" t="n">
        <v>46307</v>
      </c>
      <c r="F7006" t="inlineStr">
        <is>
          <t>VÄRMLANDS LÄN</t>
        </is>
      </c>
      <c r="G7006" t="inlineStr">
        <is>
          <t>GRUMS</t>
        </is>
      </c>
      <c r="H7006" t="inlineStr">
        <is>
          <t>Bergvik skog väst AB</t>
        </is>
      </c>
      <c r="I7006" t="n">
        <v>10.1</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33623-2022</t>
        </is>
      </c>
      <c r="B7007" t="inlineStr">
        <is>
          <t>avverkningsanmälan</t>
        </is>
      </c>
      <c r="C7007" t="inlineStr">
        <is>
          <t>Föryngringsavverkning</t>
        </is>
      </c>
      <c r="D7007" s="1" t="n">
        <v>44789</v>
      </c>
      <c r="E7007" s="1" t="n">
        <v>46307</v>
      </c>
      <c r="F7007" t="inlineStr">
        <is>
          <t>VÄRMLANDS LÄN</t>
        </is>
      </c>
      <c r="G7007" t="inlineStr">
        <is>
          <t>SUNNE</t>
        </is>
      </c>
      <c r="I7007" t="n">
        <v>1.4</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4030-2024</t>
        </is>
      </c>
      <c r="B7008" t="inlineStr">
        <is>
          <t>avverkningsanmälan</t>
        </is>
      </c>
      <c r="C7008" t="inlineStr">
        <is>
          <t>Föryngringsavverkning</t>
        </is>
      </c>
      <c r="D7008" s="1" t="n">
        <v>45323</v>
      </c>
      <c r="E7008" s="1" t="n">
        <v>46307</v>
      </c>
      <c r="F7008" t="inlineStr">
        <is>
          <t>VÄRMLANDS LÄN</t>
        </is>
      </c>
      <c r="G7008" t="inlineStr">
        <is>
          <t>TORSBY</t>
        </is>
      </c>
      <c r="I7008" t="n">
        <v>0.6</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2332-2025</t>
        </is>
      </c>
      <c r="B7009" t="inlineStr">
        <is>
          <t>avverkningsanmälan</t>
        </is>
      </c>
      <c r="C7009" t="inlineStr">
        <is>
          <t>Föryngringsavverkning</t>
        </is>
      </c>
      <c r="D7009" s="1" t="n">
        <v>45673</v>
      </c>
      <c r="E7009" s="1" t="n">
        <v>46307</v>
      </c>
      <c r="F7009" t="inlineStr">
        <is>
          <t>VÄRMLANDS LÄN</t>
        </is>
      </c>
      <c r="G7009" t="inlineStr">
        <is>
          <t>SUNNE</t>
        </is>
      </c>
      <c r="I7009" t="n">
        <v>4.2</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15213-2026</t>
        </is>
      </c>
      <c r="B7010" t="inlineStr">
        <is>
          <t>avverkningsanmälan</t>
        </is>
      </c>
      <c r="C7010" t="inlineStr">
        <is>
          <t>Föryngringsavverkning</t>
        </is>
      </c>
      <c r="D7010" s="1" t="n">
        <v>46105</v>
      </c>
      <c r="E7010" s="1" t="n">
        <v>46307</v>
      </c>
      <c r="F7010" t="inlineStr">
        <is>
          <t>VÄRMLANDS LÄN</t>
        </is>
      </c>
      <c r="G7010" t="inlineStr">
        <is>
          <t>HAGFORS</t>
        </is>
      </c>
      <c r="H7010" t="inlineStr">
        <is>
          <t>Kyrkan</t>
        </is>
      </c>
      <c r="I7010" t="n">
        <v>1.4</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15119-2026</t>
        </is>
      </c>
      <c r="B7011" t="inlineStr">
        <is>
          <t>avverkningsanmälan</t>
        </is>
      </c>
      <c r="C7011" t="inlineStr">
        <is>
          <t>Föryngringsavverkning</t>
        </is>
      </c>
      <c r="D7011" s="1" t="n">
        <v>46105</v>
      </c>
      <c r="E7011" s="1" t="n">
        <v>46307</v>
      </c>
      <c r="F7011" t="inlineStr">
        <is>
          <t>VÄRMLANDS LÄN</t>
        </is>
      </c>
      <c r="G7011" t="inlineStr">
        <is>
          <t>TORSBY</t>
        </is>
      </c>
      <c r="H7011" t="inlineStr">
        <is>
          <t>Bergvik skog väst AB</t>
        </is>
      </c>
      <c r="I7011" t="n">
        <v>3.6</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15114-2026</t>
        </is>
      </c>
      <c r="B7012" t="inlineStr">
        <is>
          <t>avverkningsanmälan</t>
        </is>
      </c>
      <c r="C7012" t="inlineStr">
        <is>
          <t>Föryngringsavverkning</t>
        </is>
      </c>
      <c r="D7012" s="1" t="n">
        <v>46105</v>
      </c>
      <c r="E7012" s="1" t="n">
        <v>46307</v>
      </c>
      <c r="F7012" t="inlineStr">
        <is>
          <t>VÄRMLANDS LÄN</t>
        </is>
      </c>
      <c r="G7012" t="inlineStr">
        <is>
          <t>SUNNE</t>
        </is>
      </c>
      <c r="I7012" t="n">
        <v>0.6</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2317-2025</t>
        </is>
      </c>
      <c r="B7013" t="inlineStr">
        <is>
          <t>avverkningsanmälan</t>
        </is>
      </c>
      <c r="C7013" t="inlineStr">
        <is>
          <t>Föryngringsavverkning</t>
        </is>
      </c>
      <c r="D7013" s="1" t="n">
        <v>45673</v>
      </c>
      <c r="E7013" s="1" t="n">
        <v>46307</v>
      </c>
      <c r="F7013" t="inlineStr">
        <is>
          <t>VÄRMLANDS LÄN</t>
        </is>
      </c>
      <c r="G7013" t="inlineStr">
        <is>
          <t>HAGFORS</t>
        </is>
      </c>
      <c r="I7013" t="n">
        <v>4.8</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24626-2023</t>
        </is>
      </c>
      <c r="B7014" t="inlineStr">
        <is>
          <t>avverkningsanmälan</t>
        </is>
      </c>
      <c r="C7014" t="inlineStr">
        <is>
          <t>Föryngringsavverkning</t>
        </is>
      </c>
      <c r="D7014" s="1" t="n">
        <v>45084</v>
      </c>
      <c r="E7014" s="1" t="n">
        <v>46307</v>
      </c>
      <c r="F7014" t="inlineStr">
        <is>
          <t>VÄRMLANDS LÄN</t>
        </is>
      </c>
      <c r="G7014" t="inlineStr">
        <is>
          <t>SUNNE</t>
        </is>
      </c>
      <c r="I7014" t="n">
        <v>0.7</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58573-2025</t>
        </is>
      </c>
      <c r="B7015" t="inlineStr">
        <is>
          <t>avverkningsanmälan</t>
        </is>
      </c>
      <c r="C7015" t="inlineStr">
        <is>
          <t>Föryngringsavverkning</t>
        </is>
      </c>
      <c r="D7015" s="1" t="n">
        <v>45986</v>
      </c>
      <c r="E7015" s="1" t="n">
        <v>46307</v>
      </c>
      <c r="F7015" t="inlineStr">
        <is>
          <t>VÄRMLANDS LÄN</t>
        </is>
      </c>
      <c r="G7015" t="inlineStr">
        <is>
          <t>ÅRJÄNG</t>
        </is>
      </c>
      <c r="I7015" t="n">
        <v>1.6</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58389-2025</t>
        </is>
      </c>
      <c r="B7016" t="inlineStr">
        <is>
          <t>avverkningsanmälan</t>
        </is>
      </c>
      <c r="C7016" t="inlineStr">
        <is>
          <t>Föryngringsavverkning</t>
        </is>
      </c>
      <c r="D7016" s="1" t="n">
        <v>45985</v>
      </c>
      <c r="E7016" s="1" t="n">
        <v>46307</v>
      </c>
      <c r="F7016" t="inlineStr">
        <is>
          <t>VÄRMLANDS LÄN</t>
        </is>
      </c>
      <c r="G7016" t="inlineStr">
        <is>
          <t>FILIPSTAD</t>
        </is>
      </c>
      <c r="H7016" t="inlineStr">
        <is>
          <t>Bergvik skog väst AB</t>
        </is>
      </c>
      <c r="I7016" t="n">
        <v>4.4</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56757-2023</t>
        </is>
      </c>
      <c r="B7017" t="inlineStr">
        <is>
          <t>avverkningsanmälan</t>
        </is>
      </c>
      <c r="C7017" t="inlineStr">
        <is>
          <t>Föryngringsavverkning</t>
        </is>
      </c>
      <c r="D7017" s="1" t="n">
        <v>45244</v>
      </c>
      <c r="E7017" s="1" t="n">
        <v>46307</v>
      </c>
      <c r="F7017" t="inlineStr">
        <is>
          <t>VÄRMLANDS LÄN</t>
        </is>
      </c>
      <c r="G7017" t="inlineStr">
        <is>
          <t>ÅRJÄNG</t>
        </is>
      </c>
      <c r="I7017" t="n">
        <v>1.1</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15363-2026</t>
        </is>
      </c>
      <c r="B7018" t="inlineStr">
        <is>
          <t>avverkningsanmälan</t>
        </is>
      </c>
      <c r="C7018" t="inlineStr">
        <is>
          <t>Föryngringsavverkning</t>
        </is>
      </c>
      <c r="D7018" s="1" t="n">
        <v>46105</v>
      </c>
      <c r="E7018" s="1" t="n">
        <v>46307</v>
      </c>
      <c r="F7018" t="inlineStr">
        <is>
          <t>VÄRMLANDS LÄN</t>
        </is>
      </c>
      <c r="G7018" t="inlineStr">
        <is>
          <t>TORSBY</t>
        </is>
      </c>
      <c r="H7018" t="inlineStr">
        <is>
          <t>Bergvik skog väst AB</t>
        </is>
      </c>
      <c r="I7018" t="n">
        <v>25.8</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24696-2023</t>
        </is>
      </c>
      <c r="B7019" t="inlineStr">
        <is>
          <t>avverkningsanmälan</t>
        </is>
      </c>
      <c r="C7019" t="inlineStr">
        <is>
          <t>Föryngringsavverkning</t>
        </is>
      </c>
      <c r="D7019" s="1" t="n">
        <v>45084</v>
      </c>
      <c r="E7019" s="1" t="n">
        <v>46307</v>
      </c>
      <c r="F7019" t="inlineStr">
        <is>
          <t>VÄRMLANDS LÄN</t>
        </is>
      </c>
      <c r="G7019" t="inlineStr">
        <is>
          <t>TORSBY</t>
        </is>
      </c>
      <c r="I7019" t="n">
        <v>0.7</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15031-2026</t>
        </is>
      </c>
      <c r="B7020" t="inlineStr">
        <is>
          <t>avverkningsanmälan</t>
        </is>
      </c>
      <c r="C7020" t="inlineStr">
        <is>
          <t>Föryngringsavverkning</t>
        </is>
      </c>
      <c r="D7020" s="1" t="n">
        <v>46104</v>
      </c>
      <c r="E7020" s="1" t="n">
        <v>46307</v>
      </c>
      <c r="F7020" t="inlineStr">
        <is>
          <t>VÄRMLANDS LÄN</t>
        </is>
      </c>
      <c r="G7020" t="inlineStr">
        <is>
          <t>HAGFORS</t>
        </is>
      </c>
      <c r="I7020" t="n">
        <v>2.2</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7287-2025</t>
        </is>
      </c>
      <c r="B7021" t="inlineStr">
        <is>
          <t>avverkningsanmälan</t>
        </is>
      </c>
      <c r="C7021" t="inlineStr">
        <is>
          <t>Föryngringsavverkning</t>
        </is>
      </c>
      <c r="D7021" s="1" t="n">
        <v>45702</v>
      </c>
      <c r="E7021" s="1" t="n">
        <v>46307</v>
      </c>
      <c r="F7021" t="inlineStr">
        <is>
          <t>VÄRMLANDS LÄN</t>
        </is>
      </c>
      <c r="G7021" t="inlineStr">
        <is>
          <t>SUNNE</t>
        </is>
      </c>
      <c r="H7021" t="inlineStr">
        <is>
          <t>Bergvik skog väst AB</t>
        </is>
      </c>
      <c r="I7021" t="n">
        <v>0.7</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49891-2022</t>
        </is>
      </c>
      <c r="B7022" t="inlineStr">
        <is>
          <t>avverkningsanmälan</t>
        </is>
      </c>
      <c r="C7022" t="inlineStr">
        <is>
          <t>Föryngringsavverkning</t>
        </is>
      </c>
      <c r="D7022" s="1" t="n">
        <v>44864</v>
      </c>
      <c r="E7022" s="1" t="n">
        <v>46307</v>
      </c>
      <c r="F7022" t="inlineStr">
        <is>
          <t>VÄRMLANDS LÄN</t>
        </is>
      </c>
      <c r="G7022" t="inlineStr">
        <is>
          <t>ÅRJÄNG</t>
        </is>
      </c>
      <c r="I7022" t="n">
        <v>5.6</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14842-2026</t>
        </is>
      </c>
      <c r="B7023" t="inlineStr">
        <is>
          <t>avverkningsanmälan</t>
        </is>
      </c>
      <c r="C7023" t="inlineStr">
        <is>
          <t>Föryngringsavverkning</t>
        </is>
      </c>
      <c r="D7023" s="1" t="n">
        <v>46104</v>
      </c>
      <c r="E7023" s="1" t="n">
        <v>46307</v>
      </c>
      <c r="F7023" t="inlineStr">
        <is>
          <t>VÄRMLANDS LÄN</t>
        </is>
      </c>
      <c r="G7023" t="inlineStr">
        <is>
          <t>EDA</t>
        </is>
      </c>
      <c r="I7023" t="n">
        <v>0.9</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25561-2023</t>
        </is>
      </c>
      <c r="B7024" t="inlineStr">
        <is>
          <t>avverkningsanmälan</t>
        </is>
      </c>
      <c r="C7024" t="inlineStr">
        <is>
          <t>Föryngringsavverkning</t>
        </is>
      </c>
      <c r="D7024" s="1" t="n">
        <v>45082</v>
      </c>
      <c r="E7024" s="1" t="n">
        <v>46307</v>
      </c>
      <c r="F7024" t="inlineStr">
        <is>
          <t>VÄRMLANDS LÄN</t>
        </is>
      </c>
      <c r="G7024" t="inlineStr">
        <is>
          <t>SÄFFLE</t>
        </is>
      </c>
      <c r="I7024" t="n">
        <v>4</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2135-2022</t>
        </is>
      </c>
      <c r="B7025" t="inlineStr">
        <is>
          <t>avverkningsanmälan</t>
        </is>
      </c>
      <c r="C7025" t="inlineStr">
        <is>
          <t>Föryngringsavverkning</t>
        </is>
      </c>
      <c r="D7025" s="1" t="n">
        <v>44578</v>
      </c>
      <c r="E7025" s="1" t="n">
        <v>46307</v>
      </c>
      <c r="F7025" t="inlineStr">
        <is>
          <t>VÄRMLANDS LÄN</t>
        </is>
      </c>
      <c r="G7025" t="inlineStr">
        <is>
          <t>KARLSTAD</t>
        </is>
      </c>
      <c r="I7025" t="n">
        <v>1.6</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11713-2023</t>
        </is>
      </c>
      <c r="B7026" t="inlineStr">
        <is>
          <t>avverkningsanmälan</t>
        </is>
      </c>
      <c r="C7026" t="inlineStr">
        <is>
          <t>Föryngringsavverkning</t>
        </is>
      </c>
      <c r="D7026" s="1" t="n">
        <v>44994</v>
      </c>
      <c r="E7026" s="1" t="n">
        <v>46307</v>
      </c>
      <c r="F7026" t="inlineStr">
        <is>
          <t>VÄRMLANDS LÄN</t>
        </is>
      </c>
      <c r="G7026" t="inlineStr">
        <is>
          <t>ARVIKA</t>
        </is>
      </c>
      <c r="I7026" t="n">
        <v>0.9</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29925-2024</t>
        </is>
      </c>
      <c r="B7027" t="inlineStr">
        <is>
          <t>avverkningsanmälan</t>
        </is>
      </c>
      <c r="C7027" t="inlineStr">
        <is>
          <t>Föryngringsavverkning</t>
        </is>
      </c>
      <c r="D7027" s="1" t="n">
        <v>45488</v>
      </c>
      <c r="E7027" s="1" t="n">
        <v>46307</v>
      </c>
      <c r="F7027" t="inlineStr">
        <is>
          <t>VÄRMLANDS LÄN</t>
        </is>
      </c>
      <c r="G7027" t="inlineStr">
        <is>
          <t>TORSBY</t>
        </is>
      </c>
      <c r="H7027" t="inlineStr">
        <is>
          <t>Kyrkan</t>
        </is>
      </c>
      <c r="I7027" t="n">
        <v>7.9</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29936-2024</t>
        </is>
      </c>
      <c r="B7028" t="inlineStr">
        <is>
          <t>avverkningsanmälan</t>
        </is>
      </c>
      <c r="C7028" t="inlineStr">
        <is>
          <t>Föryngringsavverkning</t>
        </is>
      </c>
      <c r="D7028" s="1" t="n">
        <v>45488</v>
      </c>
      <c r="E7028" s="1" t="n">
        <v>46307</v>
      </c>
      <c r="F7028" t="inlineStr">
        <is>
          <t>VÄRMLANDS LÄN</t>
        </is>
      </c>
      <c r="G7028" t="inlineStr">
        <is>
          <t>TORSBY</t>
        </is>
      </c>
      <c r="H7028" t="inlineStr">
        <is>
          <t>Kommuner</t>
        </is>
      </c>
      <c r="I7028" t="n">
        <v>1.3</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58912-2025</t>
        </is>
      </c>
      <c r="B7029" t="inlineStr">
        <is>
          <t>avverkningsanmälan</t>
        </is>
      </c>
      <c r="C7029" t="inlineStr">
        <is>
          <t>Föryngringsavverkning</t>
        </is>
      </c>
      <c r="D7029" s="1" t="n">
        <v>45986</v>
      </c>
      <c r="E7029" s="1" t="n">
        <v>46307</v>
      </c>
      <c r="F7029" t="inlineStr">
        <is>
          <t>VÄRMLANDS LÄN</t>
        </is>
      </c>
      <c r="G7029" t="inlineStr">
        <is>
          <t>KARLSTAD</t>
        </is>
      </c>
      <c r="I7029" t="n">
        <v>4.9</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15154-2026</t>
        </is>
      </c>
      <c r="B7030" t="inlineStr">
        <is>
          <t>avverkningsanmälan</t>
        </is>
      </c>
      <c r="C7030" t="inlineStr">
        <is>
          <t>Föryngringsavverkning</t>
        </is>
      </c>
      <c r="D7030" s="1" t="n">
        <v>46105</v>
      </c>
      <c r="E7030" s="1" t="n">
        <v>46307</v>
      </c>
      <c r="F7030" t="inlineStr">
        <is>
          <t>VÄRMLANDS LÄN</t>
        </is>
      </c>
      <c r="G7030" t="inlineStr">
        <is>
          <t>TORSBY</t>
        </is>
      </c>
      <c r="H7030" t="inlineStr">
        <is>
          <t>Bergvik skog väst AB</t>
        </is>
      </c>
      <c r="I7030" t="n">
        <v>5.9</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15848-2026</t>
        </is>
      </c>
      <c r="B7031" t="inlineStr">
        <is>
          <t>avverkningsanmälan</t>
        </is>
      </c>
      <c r="C7031" t="inlineStr">
        <is>
          <t>Föryngringsavverkning</t>
        </is>
      </c>
      <c r="D7031" s="1" t="n">
        <v>46107</v>
      </c>
      <c r="E7031" s="1" t="n">
        <v>46307</v>
      </c>
      <c r="F7031" t="inlineStr">
        <is>
          <t>VÄRMLANDS LÄN</t>
        </is>
      </c>
      <c r="G7031" t="inlineStr">
        <is>
          <t>FILIPSTAD</t>
        </is>
      </c>
      <c r="H7031" t="inlineStr">
        <is>
          <t>Bergvik skog väst AB</t>
        </is>
      </c>
      <c r="I7031" t="n">
        <v>8</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22714-2024</t>
        </is>
      </c>
      <c r="B7032" t="inlineStr">
        <is>
          <t>avverkningsanmälan</t>
        </is>
      </c>
      <c r="C7032" t="inlineStr">
        <is>
          <t>Föryngringsavverkning</t>
        </is>
      </c>
      <c r="D7032" s="1" t="n">
        <v>45448</v>
      </c>
      <c r="E7032" s="1" t="n">
        <v>46307</v>
      </c>
      <c r="F7032" t="inlineStr">
        <is>
          <t>VÄRMLANDS LÄN</t>
        </is>
      </c>
      <c r="G7032" t="inlineStr">
        <is>
          <t>ARVIKA</t>
        </is>
      </c>
      <c r="H7032" t="inlineStr">
        <is>
          <t>Bergvik skog väst AB</t>
        </is>
      </c>
      <c r="I7032" t="n">
        <v>0.5</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28087-2024</t>
        </is>
      </c>
      <c r="B7033" t="inlineStr">
        <is>
          <t>avverkningsanmälan</t>
        </is>
      </c>
      <c r="C7033" t="inlineStr">
        <is>
          <t>Föryngringsavverkning</t>
        </is>
      </c>
      <c r="D7033" s="1" t="n">
        <v>45476</v>
      </c>
      <c r="E7033" s="1" t="n">
        <v>46307</v>
      </c>
      <c r="F7033" t="inlineStr">
        <is>
          <t>VÄRMLANDS LÄN</t>
        </is>
      </c>
      <c r="G7033" t="inlineStr">
        <is>
          <t>HAGFORS</t>
        </is>
      </c>
      <c r="H7033" t="inlineStr">
        <is>
          <t>Bergvik skog väst AB</t>
        </is>
      </c>
      <c r="I7033" t="n">
        <v>1</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53533-2024</t>
        </is>
      </c>
      <c r="B7034" t="inlineStr">
        <is>
          <t>avverkningsanmälan</t>
        </is>
      </c>
      <c r="C7034" t="inlineStr">
        <is>
          <t>Föryngringsavverkning</t>
        </is>
      </c>
      <c r="D7034" s="1" t="n">
        <v>45611</v>
      </c>
      <c r="E7034" s="1" t="n">
        <v>46307</v>
      </c>
      <c r="F7034" t="inlineStr">
        <is>
          <t>VÄRMLANDS LÄN</t>
        </is>
      </c>
      <c r="G7034" t="inlineStr">
        <is>
          <t>SÄFFLE</t>
        </is>
      </c>
      <c r="I7034" t="n">
        <v>1.3</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2990-2022</t>
        </is>
      </c>
      <c r="B7035" t="inlineStr">
        <is>
          <t>avverkningsanmälan</t>
        </is>
      </c>
      <c r="C7035" t="inlineStr">
        <is>
          <t>Föryngringsavverkning</t>
        </is>
      </c>
      <c r="D7035" s="1" t="n">
        <v>44581</v>
      </c>
      <c r="E7035" s="1" t="n">
        <v>46307</v>
      </c>
      <c r="F7035" t="inlineStr">
        <is>
          <t>VÄRMLANDS LÄN</t>
        </is>
      </c>
      <c r="G7035" t="inlineStr">
        <is>
          <t>KIL</t>
        </is>
      </c>
      <c r="I7035" t="n">
        <v>1</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2994-2022</t>
        </is>
      </c>
      <c r="B7036" t="inlineStr">
        <is>
          <t>avverkningsanmälan</t>
        </is>
      </c>
      <c r="C7036" t="inlineStr">
        <is>
          <t>Föryngringsavverkning</t>
        </is>
      </c>
      <c r="D7036" s="1" t="n">
        <v>44581</v>
      </c>
      <c r="E7036" s="1" t="n">
        <v>46307</v>
      </c>
      <c r="F7036" t="inlineStr">
        <is>
          <t>VÄRMLANDS LÄN</t>
        </is>
      </c>
      <c r="G7036" t="inlineStr">
        <is>
          <t>KIL</t>
        </is>
      </c>
      <c r="I7036" t="n">
        <v>1.1</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15543-2026</t>
        </is>
      </c>
      <c r="B7037" t="inlineStr">
        <is>
          <t>avverkningsanmälan</t>
        </is>
      </c>
      <c r="C7037" t="inlineStr">
        <is>
          <t>Föryngringsavverkning</t>
        </is>
      </c>
      <c r="D7037" s="1" t="n">
        <v>46106</v>
      </c>
      <c r="E7037" s="1" t="n">
        <v>46307</v>
      </c>
      <c r="F7037" t="inlineStr">
        <is>
          <t>VÄRMLANDS LÄN</t>
        </is>
      </c>
      <c r="G7037" t="inlineStr">
        <is>
          <t>GRUMS</t>
        </is>
      </c>
      <c r="I7037" t="n">
        <v>3.6</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15646-2026</t>
        </is>
      </c>
      <c r="B7038" t="inlineStr">
        <is>
          <t>avverkningsanmälan</t>
        </is>
      </c>
      <c r="C7038" t="inlineStr">
        <is>
          <t>Avverkning för att bevara och utveckla /försöksver</t>
        </is>
      </c>
      <c r="D7038" s="1" t="n">
        <v>46106</v>
      </c>
      <c r="E7038" s="1" t="n">
        <v>46307</v>
      </c>
      <c r="F7038" t="inlineStr">
        <is>
          <t>VÄRMLANDS LÄN</t>
        </is>
      </c>
      <c r="G7038" t="inlineStr">
        <is>
          <t>KRISTINEHAMN</t>
        </is>
      </c>
      <c r="H7038" t="inlineStr">
        <is>
          <t>Sveaskog</t>
        </is>
      </c>
      <c r="I7038" t="n">
        <v>4.6</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2797-2025</t>
        </is>
      </c>
      <c r="B7039" t="inlineStr">
        <is>
          <t>avverkningsanmälan</t>
        </is>
      </c>
      <c r="C7039" t="inlineStr">
        <is>
          <t>Föryngringsavverkning</t>
        </is>
      </c>
      <c r="D7039" s="1" t="n">
        <v>45677</v>
      </c>
      <c r="E7039" s="1" t="n">
        <v>46307</v>
      </c>
      <c r="F7039" t="inlineStr">
        <is>
          <t>VÄRMLANDS LÄN</t>
        </is>
      </c>
      <c r="G7039" t="inlineStr">
        <is>
          <t>TORSBY</t>
        </is>
      </c>
      <c r="I7039" t="n">
        <v>1.7</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62510-2023</t>
        </is>
      </c>
      <c r="B7040" t="inlineStr">
        <is>
          <t>avverkningsanmälan</t>
        </is>
      </c>
      <c r="C7040" t="inlineStr">
        <is>
          <t>Föryngringsavverkning</t>
        </is>
      </c>
      <c r="D7040" s="1" t="n">
        <v>45268</v>
      </c>
      <c r="E7040" s="1" t="n">
        <v>46307</v>
      </c>
      <c r="F7040" t="inlineStr">
        <is>
          <t>VÄRMLANDS LÄN</t>
        </is>
      </c>
      <c r="G7040" t="inlineStr">
        <is>
          <t>TORSBY</t>
        </is>
      </c>
      <c r="I7040" t="n">
        <v>10.1</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39219-2023</t>
        </is>
      </c>
      <c r="B7041" t="inlineStr">
        <is>
          <t>avverkningsanmälan</t>
        </is>
      </c>
      <c r="C7041" t="inlineStr">
        <is>
          <t>Föryngringsavverkning</t>
        </is>
      </c>
      <c r="D7041" s="1" t="n">
        <v>45166</v>
      </c>
      <c r="E7041" s="1" t="n">
        <v>46307</v>
      </c>
      <c r="F7041" t="inlineStr">
        <is>
          <t>VÄRMLANDS LÄN</t>
        </is>
      </c>
      <c r="G7041" t="inlineStr">
        <is>
          <t>ARVIKA</t>
        </is>
      </c>
      <c r="I7041" t="n">
        <v>1.4</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15656-2026</t>
        </is>
      </c>
      <c r="B7042" t="inlineStr">
        <is>
          <t>avverkningsanmälan</t>
        </is>
      </c>
      <c r="C7042" t="inlineStr">
        <is>
          <t>Föryngringsavverkning</t>
        </is>
      </c>
      <c r="D7042" s="1" t="n">
        <v>46106</v>
      </c>
      <c r="E7042" s="1" t="n">
        <v>46307</v>
      </c>
      <c r="F7042" t="inlineStr">
        <is>
          <t>VÄRMLANDS LÄN</t>
        </is>
      </c>
      <c r="G7042" t="inlineStr">
        <is>
          <t>HAGFORS</t>
        </is>
      </c>
      <c r="H7042" t="inlineStr">
        <is>
          <t>Bergvik skog väst AB</t>
        </is>
      </c>
      <c r="I7042" t="n">
        <v>5.1</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58116-2023</t>
        </is>
      </c>
      <c r="B7043" t="inlineStr">
        <is>
          <t>avverkningsanmälan</t>
        </is>
      </c>
      <c r="C7043" t="inlineStr">
        <is>
          <t>Föryngringsavverkning</t>
        </is>
      </c>
      <c r="D7043" s="1" t="n">
        <v>45249</v>
      </c>
      <c r="E7043" s="1" t="n">
        <v>46307</v>
      </c>
      <c r="F7043" t="inlineStr">
        <is>
          <t>VÄRMLANDS LÄN</t>
        </is>
      </c>
      <c r="G7043" t="inlineStr">
        <is>
          <t>SÄFFLE</t>
        </is>
      </c>
      <c r="I7043" t="n">
        <v>4.2</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15729-2026</t>
        </is>
      </c>
      <c r="B7044" t="inlineStr">
        <is>
          <t>avverkningsanmälan</t>
        </is>
      </c>
      <c r="C7044" t="inlineStr">
        <is>
          <t>Föryngringsavverkning</t>
        </is>
      </c>
      <c r="D7044" s="1" t="n">
        <v>46107</v>
      </c>
      <c r="E7044" s="1" t="n">
        <v>46307</v>
      </c>
      <c r="F7044" t="inlineStr">
        <is>
          <t>VÄRMLANDS LÄN</t>
        </is>
      </c>
      <c r="G7044" t="inlineStr">
        <is>
          <t>KARLSTAD</t>
        </is>
      </c>
      <c r="H7044" t="inlineStr">
        <is>
          <t>Bergvik skog väst AB</t>
        </is>
      </c>
      <c r="I7044" t="n">
        <v>0.9</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64582-2023</t>
        </is>
      </c>
      <c r="B7045" t="inlineStr">
        <is>
          <t>avverkningsanmälan</t>
        </is>
      </c>
      <c r="C7045" t="inlineStr">
        <is>
          <t>Föryngringsavverkning</t>
        </is>
      </c>
      <c r="D7045" s="1" t="n">
        <v>45281</v>
      </c>
      <c r="E7045" s="1" t="n">
        <v>46307</v>
      </c>
      <c r="F7045" t="inlineStr">
        <is>
          <t>VÄRMLANDS LÄN</t>
        </is>
      </c>
      <c r="G7045" t="inlineStr">
        <is>
          <t>SUNNE</t>
        </is>
      </c>
      <c r="I7045" t="n">
        <v>0.9</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26863-2024</t>
        </is>
      </c>
      <c r="B7046" t="inlineStr">
        <is>
          <t>avverkningsanmälan</t>
        </is>
      </c>
      <c r="C7046" t="inlineStr">
        <is>
          <t>Föryngringsavverkning</t>
        </is>
      </c>
      <c r="D7046" s="1" t="n">
        <v>45470</v>
      </c>
      <c r="E7046" s="1" t="n">
        <v>46307</v>
      </c>
      <c r="F7046" t="inlineStr">
        <is>
          <t>VÄRMLANDS LÄN</t>
        </is>
      </c>
      <c r="G7046" t="inlineStr">
        <is>
          <t>ARVIKA</t>
        </is>
      </c>
      <c r="I7046" t="n">
        <v>0.9</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15666-2026</t>
        </is>
      </c>
      <c r="B7047" t="inlineStr">
        <is>
          <t>avverkningsanmälan</t>
        </is>
      </c>
      <c r="C7047" t="inlineStr">
        <is>
          <t>Föryngringsavverkning</t>
        </is>
      </c>
      <c r="D7047" s="1" t="n">
        <v>46106</v>
      </c>
      <c r="E7047" s="1" t="n">
        <v>46307</v>
      </c>
      <c r="F7047" t="inlineStr">
        <is>
          <t>VÄRMLANDS LÄN</t>
        </is>
      </c>
      <c r="G7047" t="inlineStr">
        <is>
          <t>HAGFORS</t>
        </is>
      </c>
      <c r="H7047" t="inlineStr">
        <is>
          <t>Bergvik skog väst AB</t>
        </is>
      </c>
      <c r="I7047" t="n">
        <v>3.9</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15682-2026</t>
        </is>
      </c>
      <c r="B7048" t="inlineStr">
        <is>
          <t>avverkningsanmälan</t>
        </is>
      </c>
      <c r="C7048" t="inlineStr">
        <is>
          <t>Föryngringsavverkning</t>
        </is>
      </c>
      <c r="D7048" s="1" t="n">
        <v>46107</v>
      </c>
      <c r="E7048" s="1" t="n">
        <v>46307</v>
      </c>
      <c r="F7048" t="inlineStr">
        <is>
          <t>VÄRMLANDS LÄN</t>
        </is>
      </c>
      <c r="G7048" t="inlineStr">
        <is>
          <t>EDA</t>
        </is>
      </c>
      <c r="I7048" t="n">
        <v>1.9</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59270-2022</t>
        </is>
      </c>
      <c r="B7049" t="inlineStr">
        <is>
          <t>avverkningsanmälan</t>
        </is>
      </c>
      <c r="C7049" t="inlineStr">
        <is>
          <t>Föryngringsavverkning</t>
        </is>
      </c>
      <c r="D7049" s="1" t="n">
        <v>44904</v>
      </c>
      <c r="E7049" s="1" t="n">
        <v>46307</v>
      </c>
      <c r="F7049" t="inlineStr">
        <is>
          <t>VÄRMLANDS LÄN</t>
        </is>
      </c>
      <c r="G7049" t="inlineStr">
        <is>
          <t>EDA</t>
        </is>
      </c>
      <c r="I7049" t="n">
        <v>7.2</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59295-2022</t>
        </is>
      </c>
      <c r="B7050" t="inlineStr">
        <is>
          <t>avverkningsanmälan</t>
        </is>
      </c>
      <c r="C7050" t="inlineStr">
        <is>
          <t>Föryngringsavverkning</t>
        </is>
      </c>
      <c r="D7050" s="1" t="n">
        <v>44904</v>
      </c>
      <c r="E7050" s="1" t="n">
        <v>46307</v>
      </c>
      <c r="F7050" t="inlineStr">
        <is>
          <t>VÄRMLANDS LÄN</t>
        </is>
      </c>
      <c r="G7050" t="inlineStr">
        <is>
          <t>KARLSTAD</t>
        </is>
      </c>
      <c r="I7050" t="n">
        <v>2.3</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27045-2024</t>
        </is>
      </c>
      <c r="B7051" t="inlineStr">
        <is>
          <t>avverkningsanmälan</t>
        </is>
      </c>
      <c r="C7051" t="inlineStr">
        <is>
          <t>Föryngringsavverkning</t>
        </is>
      </c>
      <c r="D7051" s="1" t="n">
        <v>45471</v>
      </c>
      <c r="E7051" s="1" t="n">
        <v>46307</v>
      </c>
      <c r="F7051" t="inlineStr">
        <is>
          <t>VÄRMLANDS LÄN</t>
        </is>
      </c>
      <c r="G7051" t="inlineStr">
        <is>
          <t>TORSBY</t>
        </is>
      </c>
      <c r="I7051" t="n">
        <v>2.2</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48488-2022</t>
        </is>
      </c>
      <c r="B7052" t="inlineStr">
        <is>
          <t>avverkningsanmälan</t>
        </is>
      </c>
      <c r="C7052" t="inlineStr">
        <is>
          <t>Föryngringsavverkning</t>
        </is>
      </c>
      <c r="D7052" s="1" t="n">
        <v>44858</v>
      </c>
      <c r="E7052" s="1" t="n">
        <v>46307</v>
      </c>
      <c r="F7052" t="inlineStr">
        <is>
          <t>VÄRMLANDS LÄN</t>
        </is>
      </c>
      <c r="G7052" t="inlineStr">
        <is>
          <t>ARVIKA</t>
        </is>
      </c>
      <c r="I7052" t="n">
        <v>2</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27090-2024</t>
        </is>
      </c>
      <c r="B7053" t="inlineStr">
        <is>
          <t>avverkningsanmälan</t>
        </is>
      </c>
      <c r="C7053" t="inlineStr">
        <is>
          <t>Föryngringsavverkning</t>
        </is>
      </c>
      <c r="D7053" s="1" t="n">
        <v>45471</v>
      </c>
      <c r="E7053" s="1" t="n">
        <v>46307</v>
      </c>
      <c r="F7053" t="inlineStr">
        <is>
          <t>VÄRMLANDS LÄN</t>
        </is>
      </c>
      <c r="G7053" t="inlineStr">
        <is>
          <t>TORSBY</t>
        </is>
      </c>
      <c r="I7053" t="n">
        <v>0.4</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33598-2024</t>
        </is>
      </c>
      <c r="B7054" t="inlineStr">
        <is>
          <t>avverkningsanmälan</t>
        </is>
      </c>
      <c r="C7054" t="inlineStr">
        <is>
          <t>Föryngringsavverkning</t>
        </is>
      </c>
      <c r="D7054" s="1" t="n">
        <v>45520</v>
      </c>
      <c r="E7054" s="1" t="n">
        <v>46307</v>
      </c>
      <c r="F7054" t="inlineStr">
        <is>
          <t>VÄRMLANDS LÄN</t>
        </is>
      </c>
      <c r="G7054" t="inlineStr">
        <is>
          <t>ARVIKA</t>
        </is>
      </c>
      <c r="H7054" t="inlineStr">
        <is>
          <t>Bergvik skog väst AB</t>
        </is>
      </c>
      <c r="I7054" t="n">
        <v>1.5</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27443-2024</t>
        </is>
      </c>
      <c r="B7055" t="inlineStr">
        <is>
          <t>avverkningsanmälan</t>
        </is>
      </c>
      <c r="C7055" t="inlineStr">
        <is>
          <t>Föryngringsavverkning</t>
        </is>
      </c>
      <c r="D7055" s="1" t="n">
        <v>45474</v>
      </c>
      <c r="E7055" s="1" t="n">
        <v>46307</v>
      </c>
      <c r="F7055" t="inlineStr">
        <is>
          <t>VÄRMLANDS LÄN</t>
        </is>
      </c>
      <c r="G7055" t="inlineStr">
        <is>
          <t>GRUMS</t>
        </is>
      </c>
      <c r="I7055" t="n">
        <v>1.8</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15451-2026</t>
        </is>
      </c>
      <c r="B7056" t="inlineStr">
        <is>
          <t>avverkningsanmälan</t>
        </is>
      </c>
      <c r="C7056" t="inlineStr">
        <is>
          <t>Föryngringsavverkning</t>
        </is>
      </c>
      <c r="D7056" s="1" t="n">
        <v>46106</v>
      </c>
      <c r="E7056" s="1" t="n">
        <v>46307</v>
      </c>
      <c r="F7056" t="inlineStr">
        <is>
          <t>VÄRMLANDS LÄN</t>
        </is>
      </c>
      <c r="G7056" t="inlineStr">
        <is>
          <t>TORSBY</t>
        </is>
      </c>
      <c r="I7056" t="n">
        <v>6.3</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3083-2024</t>
        </is>
      </c>
      <c r="B7057" t="inlineStr">
        <is>
          <t>avverkningsanmälan</t>
        </is>
      </c>
      <c r="C7057" t="inlineStr">
        <is>
          <t>Föryngringsavverkning</t>
        </is>
      </c>
      <c r="D7057" s="1" t="n">
        <v>45316</v>
      </c>
      <c r="E7057" s="1" t="n">
        <v>46307</v>
      </c>
      <c r="F7057" t="inlineStr">
        <is>
          <t>VÄRMLANDS LÄN</t>
        </is>
      </c>
      <c r="G7057" t="inlineStr">
        <is>
          <t>SUNNE</t>
        </is>
      </c>
      <c r="H7057" t="inlineStr">
        <is>
          <t>Kommuner</t>
        </is>
      </c>
      <c r="I7057" t="n">
        <v>0.4</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62495-2022</t>
        </is>
      </c>
      <c r="B7058" t="inlineStr">
        <is>
          <t>avverkningsanmälan</t>
        </is>
      </c>
      <c r="C7058" t="inlineStr">
        <is>
          <t>Föryngringsavverkning</t>
        </is>
      </c>
      <c r="D7058" s="1" t="n">
        <v>44917</v>
      </c>
      <c r="E7058" s="1" t="n">
        <v>46307</v>
      </c>
      <c r="F7058" t="inlineStr">
        <is>
          <t>VÄRMLANDS LÄN</t>
        </is>
      </c>
      <c r="G7058" t="inlineStr">
        <is>
          <t>KRISTINEHAMN</t>
        </is>
      </c>
      <c r="I7058" t="n">
        <v>3.2</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58298-2025</t>
        </is>
      </c>
      <c r="B7059" t="inlineStr">
        <is>
          <t>avverkningsanmälan</t>
        </is>
      </c>
      <c r="C7059" t="inlineStr">
        <is>
          <t>Föryngringsavverkning</t>
        </is>
      </c>
      <c r="D7059" s="1" t="n">
        <v>45985</v>
      </c>
      <c r="E7059" s="1" t="n">
        <v>46307</v>
      </c>
      <c r="F7059" t="inlineStr">
        <is>
          <t>VÄRMLANDS LÄN</t>
        </is>
      </c>
      <c r="G7059" t="inlineStr">
        <is>
          <t>SUNNE</t>
        </is>
      </c>
      <c r="I7059" t="n">
        <v>1.7</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15549-2026</t>
        </is>
      </c>
      <c r="B7060" t="inlineStr">
        <is>
          <t>avverkningsanmälan</t>
        </is>
      </c>
      <c r="C7060" t="inlineStr">
        <is>
          <t>Föryngringsavverkning</t>
        </is>
      </c>
      <c r="D7060" s="1" t="n">
        <v>46106</v>
      </c>
      <c r="E7060" s="1" t="n">
        <v>46307</v>
      </c>
      <c r="F7060" t="inlineStr">
        <is>
          <t>VÄRMLANDS LÄN</t>
        </is>
      </c>
      <c r="G7060" t="inlineStr">
        <is>
          <t>GRUMS</t>
        </is>
      </c>
      <c r="I7060" t="n">
        <v>1.5</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14200-2025</t>
        </is>
      </c>
      <c r="B7061" t="inlineStr">
        <is>
          <t>avverkningsanmälan</t>
        </is>
      </c>
      <c r="C7061" t="inlineStr">
        <is>
          <t>Föryngringsavverkning</t>
        </is>
      </c>
      <c r="D7061" s="1" t="n">
        <v>45740</v>
      </c>
      <c r="E7061" s="1" t="n">
        <v>46307</v>
      </c>
      <c r="F7061" t="inlineStr">
        <is>
          <t>VÄRMLANDS LÄN</t>
        </is>
      </c>
      <c r="G7061" t="inlineStr">
        <is>
          <t>SÄFFLE</t>
        </is>
      </c>
      <c r="H7061" t="inlineStr">
        <is>
          <t>Bergvik skog väst AB</t>
        </is>
      </c>
      <c r="I7061" t="n">
        <v>1.8</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14201-2025</t>
        </is>
      </c>
      <c r="B7062" t="inlineStr">
        <is>
          <t>avverkningsanmälan</t>
        </is>
      </c>
      <c r="C7062" t="inlineStr">
        <is>
          <t>Föryngringsavverkning</t>
        </is>
      </c>
      <c r="D7062" s="1" t="n">
        <v>45740</v>
      </c>
      <c r="E7062" s="1" t="n">
        <v>46307</v>
      </c>
      <c r="F7062" t="inlineStr">
        <is>
          <t>VÄRMLANDS LÄN</t>
        </is>
      </c>
      <c r="G7062" t="inlineStr">
        <is>
          <t>SÄFFLE</t>
        </is>
      </c>
      <c r="H7062" t="inlineStr">
        <is>
          <t>Bergvik skog väst AB</t>
        </is>
      </c>
      <c r="I7062" t="n">
        <v>1.5</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62603-2022</t>
        </is>
      </c>
      <c r="B7063" t="inlineStr">
        <is>
          <t>avverkningsanmälan</t>
        </is>
      </c>
      <c r="C7063" t="inlineStr">
        <is>
          <t>Föryngringsavverkning</t>
        </is>
      </c>
      <c r="D7063" s="1" t="n">
        <v>44917</v>
      </c>
      <c r="E7063" s="1" t="n">
        <v>46307</v>
      </c>
      <c r="F7063" t="inlineStr">
        <is>
          <t>VÄRMLANDS LÄN</t>
        </is>
      </c>
      <c r="G7063" t="inlineStr">
        <is>
          <t>ARVIKA</t>
        </is>
      </c>
      <c r="I7063" t="n">
        <v>1</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62614-2022</t>
        </is>
      </c>
      <c r="B7064" t="inlineStr">
        <is>
          <t>avverkningsanmälan</t>
        </is>
      </c>
      <c r="C7064" t="inlineStr">
        <is>
          <t>Föryngringsavverkning</t>
        </is>
      </c>
      <c r="D7064" s="1" t="n">
        <v>44917</v>
      </c>
      <c r="E7064" s="1" t="n">
        <v>46307</v>
      </c>
      <c r="F7064" t="inlineStr">
        <is>
          <t>VÄRMLANDS LÄN</t>
        </is>
      </c>
      <c r="G7064" t="inlineStr">
        <is>
          <t>ARVIKA</t>
        </is>
      </c>
      <c r="I7064" t="n">
        <v>1.7</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62624-2022</t>
        </is>
      </c>
      <c r="B7065" t="inlineStr">
        <is>
          <t>avverkningsanmälan</t>
        </is>
      </c>
      <c r="C7065" t="inlineStr">
        <is>
          <t>Föryngringsavverkning</t>
        </is>
      </c>
      <c r="D7065" s="1" t="n">
        <v>44917</v>
      </c>
      <c r="E7065" s="1" t="n">
        <v>46307</v>
      </c>
      <c r="F7065" t="inlineStr">
        <is>
          <t>VÄRMLANDS LÄN</t>
        </is>
      </c>
      <c r="G7065" t="inlineStr">
        <is>
          <t>ARVIKA</t>
        </is>
      </c>
      <c r="I7065" t="n">
        <v>0.6</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32959-2022</t>
        </is>
      </c>
      <c r="B7066" t="inlineStr">
        <is>
          <t>avverkningsanmälan</t>
        </is>
      </c>
      <c r="C7066" t="inlineStr">
        <is>
          <t>Föryngringsavverkning</t>
        </is>
      </c>
      <c r="D7066" s="1" t="n">
        <v>44784</v>
      </c>
      <c r="E7066" s="1" t="n">
        <v>46307</v>
      </c>
      <c r="F7066" t="inlineStr">
        <is>
          <t>VÄRMLANDS LÄN</t>
        </is>
      </c>
      <c r="G7066" t="inlineStr">
        <is>
          <t>GRUMS</t>
        </is>
      </c>
      <c r="I7066" t="n">
        <v>3.5</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53034-2022</t>
        </is>
      </c>
      <c r="B7067" t="inlineStr">
        <is>
          <t>avverkningsanmälan</t>
        </is>
      </c>
      <c r="C7067" t="inlineStr">
        <is>
          <t>Föryngringsavverkning</t>
        </is>
      </c>
      <c r="D7067" s="1" t="n">
        <v>44876</v>
      </c>
      <c r="E7067" s="1" t="n">
        <v>46307</v>
      </c>
      <c r="F7067" t="inlineStr">
        <is>
          <t>VÄRMLANDS LÄN</t>
        </is>
      </c>
      <c r="G7067" t="inlineStr">
        <is>
          <t>FILIPSTAD</t>
        </is>
      </c>
      <c r="I7067" t="n">
        <v>0.6</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59811-2023</t>
        </is>
      </c>
      <c r="B7068" t="inlineStr">
        <is>
          <t>avverkningsanmälan</t>
        </is>
      </c>
      <c r="C7068" t="inlineStr">
        <is>
          <t>Föryngringsavverkning</t>
        </is>
      </c>
      <c r="D7068" s="1" t="n">
        <v>45254</v>
      </c>
      <c r="E7068" s="1" t="n">
        <v>46307</v>
      </c>
      <c r="F7068" t="inlineStr">
        <is>
          <t>VÄRMLANDS LÄN</t>
        </is>
      </c>
      <c r="G7068" t="inlineStr">
        <is>
          <t>ÅRJÄNG</t>
        </is>
      </c>
      <c r="I7068" t="n">
        <v>1.4</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14459-2023</t>
        </is>
      </c>
      <c r="B7069" t="inlineStr">
        <is>
          <t>avverkningsanmälan</t>
        </is>
      </c>
      <c r="C7069" t="inlineStr">
        <is>
          <t>Föryngringsavverkning</t>
        </is>
      </c>
      <c r="D7069" s="1" t="n">
        <v>45012</v>
      </c>
      <c r="E7069" s="1" t="n">
        <v>46307</v>
      </c>
      <c r="F7069" t="inlineStr">
        <is>
          <t>VÄRMLANDS LÄN</t>
        </is>
      </c>
      <c r="G7069" t="inlineStr">
        <is>
          <t>FILIPSTAD</t>
        </is>
      </c>
      <c r="I7069" t="n">
        <v>2.3</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15668-2026</t>
        </is>
      </c>
      <c r="B7070" t="inlineStr">
        <is>
          <t>avverkningsanmälan</t>
        </is>
      </c>
      <c r="C7070" t="inlineStr">
        <is>
          <t>Föryngringsavverkning</t>
        </is>
      </c>
      <c r="D7070" s="1" t="n">
        <v>46106</v>
      </c>
      <c r="E7070" s="1" t="n">
        <v>46307</v>
      </c>
      <c r="F7070" t="inlineStr">
        <is>
          <t>VÄRMLANDS LÄN</t>
        </is>
      </c>
      <c r="G7070" t="inlineStr">
        <is>
          <t>SÄFFLE</t>
        </is>
      </c>
      <c r="I7070" t="n">
        <v>1.6</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59158-2025</t>
        </is>
      </c>
      <c r="B7071" t="inlineStr">
        <is>
          <t>avverkningsanmälan</t>
        </is>
      </c>
      <c r="C7071" t="inlineStr">
        <is>
          <t>Föryngringsavverkning</t>
        </is>
      </c>
      <c r="D7071" s="1" t="n">
        <v>45988</v>
      </c>
      <c r="E7071" s="1" t="n">
        <v>46307</v>
      </c>
      <c r="F7071" t="inlineStr">
        <is>
          <t>VÄRMLANDS LÄN</t>
        </is>
      </c>
      <c r="G7071" t="inlineStr">
        <is>
          <t>SÄFFLE</t>
        </is>
      </c>
      <c r="I7071" t="n">
        <v>1.2</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14467-2023</t>
        </is>
      </c>
      <c r="B7072" t="inlineStr">
        <is>
          <t>avverkningsanmälan</t>
        </is>
      </c>
      <c r="C7072" t="inlineStr">
        <is>
          <t>Föryngringsavverkning</t>
        </is>
      </c>
      <c r="D7072" s="1" t="n">
        <v>45012</v>
      </c>
      <c r="E7072" s="1" t="n">
        <v>46307</v>
      </c>
      <c r="F7072" t="inlineStr">
        <is>
          <t>VÄRMLANDS LÄN</t>
        </is>
      </c>
      <c r="G7072" t="inlineStr">
        <is>
          <t>ARVIKA</t>
        </is>
      </c>
      <c r="I7072" t="n">
        <v>7.4</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58757-2021</t>
        </is>
      </c>
      <c r="B7073" t="inlineStr">
        <is>
          <t>avverkningsanmälan</t>
        </is>
      </c>
      <c r="C7073" t="inlineStr">
        <is>
          <t>Föryngringsavverkning</t>
        </is>
      </c>
      <c r="D7073" s="1" t="n">
        <v>44489</v>
      </c>
      <c r="E7073" s="1" t="n">
        <v>46307</v>
      </c>
      <c r="F7073" t="inlineStr">
        <is>
          <t>VÄRMLANDS LÄN</t>
        </is>
      </c>
      <c r="G7073" t="inlineStr">
        <is>
          <t>SUNNE</t>
        </is>
      </c>
      <c r="I7073" t="n">
        <v>0.5</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59290-2025</t>
        </is>
      </c>
      <c r="B7074" t="inlineStr">
        <is>
          <t>avverkningsanmälan</t>
        </is>
      </c>
      <c r="C7074" t="inlineStr">
        <is>
          <t>Föryngringsavverkning</t>
        </is>
      </c>
      <c r="D7074" s="1" t="n">
        <v>45988</v>
      </c>
      <c r="E7074" s="1" t="n">
        <v>46307</v>
      </c>
      <c r="F7074" t="inlineStr">
        <is>
          <t>VÄRMLANDS LÄN</t>
        </is>
      </c>
      <c r="G7074" t="inlineStr">
        <is>
          <t>FILIPSTAD</t>
        </is>
      </c>
      <c r="I7074" t="n">
        <v>1</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59047-2025</t>
        </is>
      </c>
      <c r="B7075" t="inlineStr">
        <is>
          <t>avverkningsanmälan</t>
        </is>
      </c>
      <c r="C7075" t="inlineStr">
        <is>
          <t>Avverkning för annat ändamål</t>
        </is>
      </c>
      <c r="D7075" s="1" t="n">
        <v>45988</v>
      </c>
      <c r="E7075" s="1" t="n">
        <v>46307</v>
      </c>
      <c r="F7075" t="inlineStr">
        <is>
          <t>VÄRMLANDS LÄN</t>
        </is>
      </c>
      <c r="G7075" t="inlineStr">
        <is>
          <t>HAGFORS</t>
        </is>
      </c>
      <c r="I7075" t="n">
        <v>0.3</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50955-2025</t>
        </is>
      </c>
      <c r="B7076" t="inlineStr">
        <is>
          <t>avverkningsanmälan</t>
        </is>
      </c>
      <c r="C7076" t="inlineStr">
        <is>
          <t>Avverkning för annat ändamål</t>
        </is>
      </c>
      <c r="D7076" s="1" t="n">
        <v>45946</v>
      </c>
      <c r="E7076" s="1" t="n">
        <v>46307</v>
      </c>
      <c r="F7076" t="inlineStr">
        <is>
          <t>VÄRMLANDS LÄN</t>
        </is>
      </c>
      <c r="G7076" t="inlineStr">
        <is>
          <t>KARLSTAD</t>
        </is>
      </c>
      <c r="I7076" t="n">
        <v>10.3</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10597-2025</t>
        </is>
      </c>
      <c r="B7077" t="inlineStr">
        <is>
          <t>avverkningsanmälan</t>
        </is>
      </c>
      <c r="C7077" t="inlineStr">
        <is>
          <t>Föryngringsavverkning</t>
        </is>
      </c>
      <c r="D7077" s="1" t="n">
        <v>45721</v>
      </c>
      <c r="E7077" s="1" t="n">
        <v>46307</v>
      </c>
      <c r="F7077" t="inlineStr">
        <is>
          <t>VÄRMLANDS LÄN</t>
        </is>
      </c>
      <c r="G7077" t="inlineStr">
        <is>
          <t>SÄFFLE</t>
        </is>
      </c>
      <c r="I7077" t="n">
        <v>1.8</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1983-2024</t>
        </is>
      </c>
      <c r="B7078" t="inlineStr">
        <is>
          <t>avverkningsanmälan</t>
        </is>
      </c>
      <c r="C7078" t="inlineStr">
        <is>
          <t>Föryngringsavverkning</t>
        </is>
      </c>
      <c r="D7078" s="1" t="n">
        <v>45308</v>
      </c>
      <c r="E7078" s="1" t="n">
        <v>46307</v>
      </c>
      <c r="F7078" t="inlineStr">
        <is>
          <t>VÄRMLANDS LÄN</t>
        </is>
      </c>
      <c r="G7078" t="inlineStr">
        <is>
          <t>KARLSTAD</t>
        </is>
      </c>
      <c r="I7078" t="n">
        <v>0.6</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59288-2025</t>
        </is>
      </c>
      <c r="B7079" t="inlineStr">
        <is>
          <t>avverkningsanmälan</t>
        </is>
      </c>
      <c r="C7079" t="inlineStr">
        <is>
          <t>Föryngringsavverkning</t>
        </is>
      </c>
      <c r="D7079" s="1" t="n">
        <v>45988</v>
      </c>
      <c r="E7079" s="1" t="n">
        <v>46307</v>
      </c>
      <c r="F7079" t="inlineStr">
        <is>
          <t>VÄRMLANDS LÄN</t>
        </is>
      </c>
      <c r="G7079" t="inlineStr">
        <is>
          <t>SÄFFLE</t>
        </is>
      </c>
      <c r="I7079" t="n">
        <v>7.2</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36206-2024</t>
        </is>
      </c>
      <c r="B7080" t="inlineStr">
        <is>
          <t>avverkningsanmälan</t>
        </is>
      </c>
      <c r="C7080" t="inlineStr">
        <is>
          <t>Föryngringsavverkning</t>
        </is>
      </c>
      <c r="D7080" s="1" t="n">
        <v>45534</v>
      </c>
      <c r="E7080" s="1" t="n">
        <v>46307</v>
      </c>
      <c r="F7080" t="inlineStr">
        <is>
          <t>VÄRMLANDS LÄN</t>
        </is>
      </c>
      <c r="G7080" t="inlineStr">
        <is>
          <t>HAGFORS</t>
        </is>
      </c>
      <c r="H7080" t="inlineStr">
        <is>
          <t>Bergvik skog väst AB</t>
        </is>
      </c>
      <c r="I7080" t="n">
        <v>0.4</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15554-2026</t>
        </is>
      </c>
      <c r="B7081" t="inlineStr">
        <is>
          <t>avverkningsanmälan</t>
        </is>
      </c>
      <c r="C7081" t="inlineStr">
        <is>
          <t>Föryngringsavverkning</t>
        </is>
      </c>
      <c r="D7081" s="1" t="n">
        <v>46106</v>
      </c>
      <c r="E7081" s="1" t="n">
        <v>46307</v>
      </c>
      <c r="F7081" t="inlineStr">
        <is>
          <t>VÄRMLANDS LÄN</t>
        </is>
      </c>
      <c r="G7081" t="inlineStr">
        <is>
          <t>HAGFORS</t>
        </is>
      </c>
      <c r="H7081" t="inlineStr">
        <is>
          <t>Bergvik skog väst AB</t>
        </is>
      </c>
      <c r="I7081" t="n">
        <v>10.4</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59746-2023</t>
        </is>
      </c>
      <c r="B7082" t="inlineStr">
        <is>
          <t>avverkningsanmälan</t>
        </is>
      </c>
      <c r="C7082" t="inlineStr">
        <is>
          <t>Föryngringsavverkning</t>
        </is>
      </c>
      <c r="D7082" s="1" t="n">
        <v>45254</v>
      </c>
      <c r="E7082" s="1" t="n">
        <v>46307</v>
      </c>
      <c r="F7082" t="inlineStr">
        <is>
          <t>VÄRMLANDS LÄN</t>
        </is>
      </c>
      <c r="G7082" t="inlineStr">
        <is>
          <t>ÅRJÄNG</t>
        </is>
      </c>
      <c r="I7082" t="n">
        <v>4.4</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15577-2026</t>
        </is>
      </c>
      <c r="B7083" t="inlineStr">
        <is>
          <t>avverkningsanmälan</t>
        </is>
      </c>
      <c r="C7083" t="inlineStr">
        <is>
          <t>Föryngringsavverkning</t>
        </is>
      </c>
      <c r="D7083" s="1" t="n">
        <v>46106</v>
      </c>
      <c r="E7083" s="1" t="n">
        <v>46307</v>
      </c>
      <c r="F7083" t="inlineStr">
        <is>
          <t>VÄRMLANDS LÄN</t>
        </is>
      </c>
      <c r="G7083" t="inlineStr">
        <is>
          <t>HAGFORS</t>
        </is>
      </c>
      <c r="I7083" t="n">
        <v>3.1</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70658-2021</t>
        </is>
      </c>
      <c r="B7084" t="inlineStr">
        <is>
          <t>avverkningsanmälan</t>
        </is>
      </c>
      <c r="C7084" t="inlineStr">
        <is>
          <t>Föryngringsavverkning</t>
        </is>
      </c>
      <c r="D7084" s="1" t="n">
        <v>44537</v>
      </c>
      <c r="E7084" s="1" t="n">
        <v>46307</v>
      </c>
      <c r="F7084" t="inlineStr">
        <is>
          <t>VÄRMLANDS LÄN</t>
        </is>
      </c>
      <c r="G7084" t="inlineStr">
        <is>
          <t>TORSBY</t>
        </is>
      </c>
      <c r="I7084" t="n">
        <v>1.9</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15504-2026</t>
        </is>
      </c>
      <c r="B7085" t="inlineStr">
        <is>
          <t>avverkningsanmälan</t>
        </is>
      </c>
      <c r="C7085" t="inlineStr">
        <is>
          <t>Föryngringsavverkning</t>
        </is>
      </c>
      <c r="D7085" s="1" t="n">
        <v>46106</v>
      </c>
      <c r="E7085" s="1" t="n">
        <v>46307</v>
      </c>
      <c r="F7085" t="inlineStr">
        <is>
          <t>VÄRMLANDS LÄN</t>
        </is>
      </c>
      <c r="G7085" t="inlineStr">
        <is>
          <t>HAGFORS</t>
        </is>
      </c>
      <c r="H7085" t="inlineStr">
        <is>
          <t>Bergvik skog väst AB</t>
        </is>
      </c>
      <c r="I7085" t="n">
        <v>7</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37401-2022</t>
        </is>
      </c>
      <c r="B7086" t="inlineStr">
        <is>
          <t>avverkningsanmälan</t>
        </is>
      </c>
      <c r="C7086" t="inlineStr">
        <is>
          <t>Föryngringsavverkning</t>
        </is>
      </c>
      <c r="D7086" s="1" t="n">
        <v>44809</v>
      </c>
      <c r="E7086" s="1" t="n">
        <v>46307</v>
      </c>
      <c r="F7086" t="inlineStr">
        <is>
          <t>VÄRMLANDS LÄN</t>
        </is>
      </c>
      <c r="G7086" t="inlineStr">
        <is>
          <t>TORSBY</t>
        </is>
      </c>
      <c r="I7086" t="n">
        <v>1.2</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15477-2026</t>
        </is>
      </c>
      <c r="B7087" t="inlineStr">
        <is>
          <t>avverkningsanmälan</t>
        </is>
      </c>
      <c r="C7087" t="inlineStr">
        <is>
          <t>Föryngringsavverkning</t>
        </is>
      </c>
      <c r="D7087" s="1" t="n">
        <v>46106</v>
      </c>
      <c r="E7087" s="1" t="n">
        <v>46307</v>
      </c>
      <c r="F7087" t="inlineStr">
        <is>
          <t>VÄRMLANDS LÄN</t>
        </is>
      </c>
      <c r="G7087" t="inlineStr">
        <is>
          <t>TORSBY</t>
        </is>
      </c>
      <c r="I7087" t="n">
        <v>1.1</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38291-2022</t>
        </is>
      </c>
      <c r="B7088" t="inlineStr">
        <is>
          <t>avverkningsanmälan</t>
        </is>
      </c>
      <c r="C7088" t="inlineStr">
        <is>
          <t>Föryngringsavverkning</t>
        </is>
      </c>
      <c r="D7088" s="1" t="n">
        <v>44812</v>
      </c>
      <c r="E7088" s="1" t="n">
        <v>46307</v>
      </c>
      <c r="F7088" t="inlineStr">
        <is>
          <t>VÄRMLANDS LÄN</t>
        </is>
      </c>
      <c r="G7088" t="inlineStr">
        <is>
          <t>SÄFFLE</t>
        </is>
      </c>
      <c r="I7088" t="n">
        <v>2.8</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60696-2023</t>
        </is>
      </c>
      <c r="B7089" t="inlineStr">
        <is>
          <t>avverkningsanmälan</t>
        </is>
      </c>
      <c r="C7089" t="inlineStr">
        <is>
          <t>Föryngringsavverkning</t>
        </is>
      </c>
      <c r="D7089" s="1" t="n">
        <v>45260</v>
      </c>
      <c r="E7089" s="1" t="n">
        <v>46307</v>
      </c>
      <c r="F7089" t="inlineStr">
        <is>
          <t>VÄRMLANDS LÄN</t>
        </is>
      </c>
      <c r="G7089" t="inlineStr">
        <is>
          <t>SUNNE</t>
        </is>
      </c>
      <c r="I7089" t="n">
        <v>0.6</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60738-2023</t>
        </is>
      </c>
      <c r="B7090" t="inlineStr">
        <is>
          <t>avverkningsanmälan</t>
        </is>
      </c>
      <c r="C7090" t="inlineStr">
        <is>
          <t>Föryngringsavverkning</t>
        </is>
      </c>
      <c r="D7090" s="1" t="n">
        <v>45260</v>
      </c>
      <c r="E7090" s="1" t="n">
        <v>46307</v>
      </c>
      <c r="F7090" t="inlineStr">
        <is>
          <t>VÄRMLANDS LÄN</t>
        </is>
      </c>
      <c r="G7090" t="inlineStr">
        <is>
          <t>KRISTINEHAMN</t>
        </is>
      </c>
      <c r="I7090" t="n">
        <v>0.8</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15611-2026</t>
        </is>
      </c>
      <c r="B7091" t="inlineStr">
        <is>
          <t>avverkningsanmälan</t>
        </is>
      </c>
      <c r="C7091" t="inlineStr">
        <is>
          <t>Föryngringsavverkning</t>
        </is>
      </c>
      <c r="D7091" s="1" t="n">
        <v>46106</v>
      </c>
      <c r="E7091" s="1" t="n">
        <v>46307</v>
      </c>
      <c r="F7091" t="inlineStr">
        <is>
          <t>VÄRMLANDS LÄN</t>
        </is>
      </c>
      <c r="G7091" t="inlineStr">
        <is>
          <t>TORSBY</t>
        </is>
      </c>
      <c r="H7091" t="inlineStr">
        <is>
          <t>Bergvik skog väst AB</t>
        </is>
      </c>
      <c r="I7091" t="n">
        <v>5</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6609-2023</t>
        </is>
      </c>
      <c r="B7092" t="inlineStr">
        <is>
          <t>avverkningsanmälan</t>
        </is>
      </c>
      <c r="C7092" t="inlineStr">
        <is>
          <t>Föryngringsavverkning</t>
        </is>
      </c>
      <c r="D7092" s="1" t="n">
        <v>44966</v>
      </c>
      <c r="E7092" s="1" t="n">
        <v>46307</v>
      </c>
      <c r="F7092" t="inlineStr">
        <is>
          <t>VÄRMLANDS LÄN</t>
        </is>
      </c>
      <c r="G7092" t="inlineStr">
        <is>
          <t>EDA</t>
        </is>
      </c>
      <c r="I7092" t="n">
        <v>4.5</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15619-2026</t>
        </is>
      </c>
      <c r="B7093" t="inlineStr">
        <is>
          <t>avverkningsanmälan</t>
        </is>
      </c>
      <c r="C7093" t="inlineStr">
        <is>
          <t>Föryngringsavverkning</t>
        </is>
      </c>
      <c r="D7093" s="1" t="n">
        <v>46106</v>
      </c>
      <c r="E7093" s="1" t="n">
        <v>46307</v>
      </c>
      <c r="F7093" t="inlineStr">
        <is>
          <t>VÄRMLANDS LÄN</t>
        </is>
      </c>
      <c r="G7093" t="inlineStr">
        <is>
          <t>FILIPSTAD</t>
        </is>
      </c>
      <c r="H7093" t="inlineStr">
        <is>
          <t>Bergvik skog väst AB</t>
        </is>
      </c>
      <c r="I7093" t="n">
        <v>4.4</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15662-2026</t>
        </is>
      </c>
      <c r="B7094" t="inlineStr">
        <is>
          <t>avverkningsanmälan</t>
        </is>
      </c>
      <c r="C7094" t="inlineStr">
        <is>
          <t>Föryngringsavverkning</t>
        </is>
      </c>
      <c r="D7094" s="1" t="n">
        <v>46106</v>
      </c>
      <c r="E7094" s="1" t="n">
        <v>46307</v>
      </c>
      <c r="F7094" t="inlineStr">
        <is>
          <t>VÄRMLANDS LÄN</t>
        </is>
      </c>
      <c r="G7094" t="inlineStr">
        <is>
          <t>TORSBY</t>
        </is>
      </c>
      <c r="I7094" t="n">
        <v>0.8</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27273-2024</t>
        </is>
      </c>
      <c r="B7095" t="inlineStr">
        <is>
          <t>avverkningsanmälan</t>
        </is>
      </c>
      <c r="C7095" t="inlineStr">
        <is>
          <t>Föryngringsavverkning</t>
        </is>
      </c>
      <c r="D7095" s="1" t="n">
        <v>45471</v>
      </c>
      <c r="E7095" s="1" t="n">
        <v>46307</v>
      </c>
      <c r="F7095" t="inlineStr">
        <is>
          <t>VÄRMLANDS LÄN</t>
        </is>
      </c>
      <c r="G7095" t="inlineStr">
        <is>
          <t>TORSBY</t>
        </is>
      </c>
      <c r="I7095" t="n">
        <v>4.1</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27275-2024</t>
        </is>
      </c>
      <c r="B7096" t="inlineStr">
        <is>
          <t>avverkningsanmälan</t>
        </is>
      </c>
      <c r="C7096" t="inlineStr">
        <is>
          <t>Föryngringsavverkning</t>
        </is>
      </c>
      <c r="D7096" s="1" t="n">
        <v>45471</v>
      </c>
      <c r="E7096" s="1" t="n">
        <v>46307</v>
      </c>
      <c r="F7096" t="inlineStr">
        <is>
          <t>VÄRMLANDS LÄN</t>
        </is>
      </c>
      <c r="G7096" t="inlineStr">
        <is>
          <t>TORSBY</t>
        </is>
      </c>
      <c r="I7096" t="n">
        <v>0.6</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15827-2026</t>
        </is>
      </c>
      <c r="B7097" t="inlineStr">
        <is>
          <t>avverkningsanmälan</t>
        </is>
      </c>
      <c r="C7097" t="inlineStr">
        <is>
          <t>Föryngringsavverkning</t>
        </is>
      </c>
      <c r="D7097" s="1" t="n">
        <v>46107</v>
      </c>
      <c r="E7097" s="1" t="n">
        <v>46307</v>
      </c>
      <c r="F7097" t="inlineStr">
        <is>
          <t>VÄRMLANDS LÄN</t>
        </is>
      </c>
      <c r="G7097" t="inlineStr">
        <is>
          <t>KRISTINEHAMN</t>
        </is>
      </c>
      <c r="I7097" t="n">
        <v>3.5</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33429-2024</t>
        </is>
      </c>
      <c r="B7098" t="inlineStr">
        <is>
          <t>avverkningsanmälan</t>
        </is>
      </c>
      <c r="C7098" t="inlineStr">
        <is>
          <t>Föryngringsavverkning</t>
        </is>
      </c>
      <c r="D7098" s="1" t="n">
        <v>45519</v>
      </c>
      <c r="E7098" s="1" t="n">
        <v>46307</v>
      </c>
      <c r="F7098" t="inlineStr">
        <is>
          <t>VÄRMLANDS LÄN</t>
        </is>
      </c>
      <c r="G7098" t="inlineStr">
        <is>
          <t>TORSBY</t>
        </is>
      </c>
      <c r="H7098" t="inlineStr">
        <is>
          <t>Bergvik skog väst AB</t>
        </is>
      </c>
      <c r="I7098" t="n">
        <v>7.9</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15907-2026</t>
        </is>
      </c>
      <c r="B7099" t="inlineStr">
        <is>
          <t>avverkningsanmälan</t>
        </is>
      </c>
      <c r="C7099" t="inlineStr">
        <is>
          <t>Föryngringsavverkning</t>
        </is>
      </c>
      <c r="D7099" s="1" t="n">
        <v>46107</v>
      </c>
      <c r="E7099" s="1" t="n">
        <v>46307</v>
      </c>
      <c r="F7099" t="inlineStr">
        <is>
          <t>VÄRMLANDS LÄN</t>
        </is>
      </c>
      <c r="G7099" t="inlineStr">
        <is>
          <t>TORSBY</t>
        </is>
      </c>
      <c r="I7099" t="n">
        <v>2.6</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15772-2026</t>
        </is>
      </c>
      <c r="B7100" t="inlineStr">
        <is>
          <t>avverkningsanmälan</t>
        </is>
      </c>
      <c r="C7100" t="inlineStr">
        <is>
          <t>Avverkning för att bevara och utveckla /försöksver</t>
        </is>
      </c>
      <c r="D7100" s="1" t="n">
        <v>46107</v>
      </c>
      <c r="E7100" s="1" t="n">
        <v>46307</v>
      </c>
      <c r="F7100" t="inlineStr">
        <is>
          <t>VÄRMLANDS LÄN</t>
        </is>
      </c>
      <c r="G7100" t="inlineStr">
        <is>
          <t>KARLSTAD</t>
        </is>
      </c>
      <c r="H7100" t="inlineStr">
        <is>
          <t>Bergvik skog väst AB</t>
        </is>
      </c>
      <c r="I7100" t="n">
        <v>2.9</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15920-2026</t>
        </is>
      </c>
      <c r="B7101" t="inlineStr">
        <is>
          <t>avverkningsanmälan</t>
        </is>
      </c>
      <c r="C7101" t="inlineStr">
        <is>
          <t>Föryngringsavverkning</t>
        </is>
      </c>
      <c r="D7101" s="1" t="n">
        <v>46107</v>
      </c>
      <c r="E7101" s="1" t="n">
        <v>46307</v>
      </c>
      <c r="F7101" t="inlineStr">
        <is>
          <t>VÄRMLANDS LÄN</t>
        </is>
      </c>
      <c r="G7101" t="inlineStr">
        <is>
          <t>FILIPSTAD</t>
        </is>
      </c>
      <c r="H7101" t="inlineStr">
        <is>
          <t>Bergvik skog väst AB</t>
        </is>
      </c>
      <c r="I7101" t="n">
        <v>3</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15889-2026</t>
        </is>
      </c>
      <c r="B7102" t="inlineStr">
        <is>
          <t>avverkningsanmälan</t>
        </is>
      </c>
      <c r="C7102" t="inlineStr">
        <is>
          <t>Föryngringsavverkning</t>
        </is>
      </c>
      <c r="D7102" s="1" t="n">
        <v>46107</v>
      </c>
      <c r="E7102" s="1" t="n">
        <v>46307</v>
      </c>
      <c r="F7102" t="inlineStr">
        <is>
          <t>VÄRMLANDS LÄN</t>
        </is>
      </c>
      <c r="G7102" t="inlineStr">
        <is>
          <t>FILIPSTAD</t>
        </is>
      </c>
      <c r="I7102" t="n">
        <v>2</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61311-2023</t>
        </is>
      </c>
      <c r="B7103" t="inlineStr">
        <is>
          <t>avverkningsanmälan</t>
        </is>
      </c>
      <c r="C7103" t="inlineStr">
        <is>
          <t>Föryngringsavverkning</t>
        </is>
      </c>
      <c r="D7103" s="1" t="n">
        <v>45264</v>
      </c>
      <c r="E7103" s="1" t="n">
        <v>46307</v>
      </c>
      <c r="F7103" t="inlineStr">
        <is>
          <t>VÄRMLANDS LÄN</t>
        </is>
      </c>
      <c r="G7103" t="inlineStr">
        <is>
          <t>HAGFORS</t>
        </is>
      </c>
      <c r="I7103" t="n">
        <v>2.7</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61315-2023</t>
        </is>
      </c>
      <c r="B7104" t="inlineStr">
        <is>
          <t>avverkningsanmälan</t>
        </is>
      </c>
      <c r="C7104" t="inlineStr">
        <is>
          <t>Föryngringsavverkning</t>
        </is>
      </c>
      <c r="D7104" s="1" t="n">
        <v>45264</v>
      </c>
      <c r="E7104" s="1" t="n">
        <v>46307</v>
      </c>
      <c r="F7104" t="inlineStr">
        <is>
          <t>VÄRMLANDS LÄN</t>
        </is>
      </c>
      <c r="G7104" t="inlineStr">
        <is>
          <t>HAGFORS</t>
        </is>
      </c>
      <c r="I7104" t="n">
        <v>0.9</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15615-2026</t>
        </is>
      </c>
      <c r="B7105" t="inlineStr">
        <is>
          <t>avverkningsanmälan</t>
        </is>
      </c>
      <c r="C7105" t="inlineStr">
        <is>
          <t>Föryngringsavverkning</t>
        </is>
      </c>
      <c r="D7105" s="1" t="n">
        <v>46106</v>
      </c>
      <c r="E7105" s="1" t="n">
        <v>46307</v>
      </c>
      <c r="F7105" t="inlineStr">
        <is>
          <t>VÄRMLANDS LÄN</t>
        </is>
      </c>
      <c r="G7105" t="inlineStr">
        <is>
          <t>ARVIKA</t>
        </is>
      </c>
      <c r="I7105" t="n">
        <v>9.199999999999999</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15617-2026</t>
        </is>
      </c>
      <c r="B7106" t="inlineStr">
        <is>
          <t>avverkningsanmälan</t>
        </is>
      </c>
      <c r="C7106" t="inlineStr">
        <is>
          <t>Föryngringsavverkning</t>
        </is>
      </c>
      <c r="D7106" s="1" t="n">
        <v>46106</v>
      </c>
      <c r="E7106" s="1" t="n">
        <v>46307</v>
      </c>
      <c r="F7106" t="inlineStr">
        <is>
          <t>VÄRMLANDS LÄN</t>
        </is>
      </c>
      <c r="G7106" t="inlineStr">
        <is>
          <t>ARVIKA</t>
        </is>
      </c>
      <c r="I7106" t="n">
        <v>3</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21920-2023</t>
        </is>
      </c>
      <c r="B7107" t="inlineStr">
        <is>
          <t>avverkningsanmälan</t>
        </is>
      </c>
      <c r="C7107" t="inlineStr">
        <is>
          <t>Föryngringsavverkning</t>
        </is>
      </c>
      <c r="D7107" s="1" t="n">
        <v>45068</v>
      </c>
      <c r="E7107" s="1" t="n">
        <v>46307</v>
      </c>
      <c r="F7107" t="inlineStr">
        <is>
          <t>VÄRMLANDS LÄN</t>
        </is>
      </c>
      <c r="G7107" t="inlineStr">
        <is>
          <t>SUNNE</t>
        </is>
      </c>
      <c r="I7107" t="n">
        <v>1.4</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59030-2025</t>
        </is>
      </c>
      <c r="B7108" t="inlineStr">
        <is>
          <t>avverkningsanmälan</t>
        </is>
      </c>
      <c r="C7108" t="inlineStr">
        <is>
          <t>Föryngringsavverkning</t>
        </is>
      </c>
      <c r="D7108" s="1" t="n">
        <v>45988</v>
      </c>
      <c r="E7108" s="1" t="n">
        <v>46307</v>
      </c>
      <c r="F7108" t="inlineStr">
        <is>
          <t>VÄRMLANDS LÄN</t>
        </is>
      </c>
      <c r="G7108" t="inlineStr">
        <is>
          <t>TORSBY</t>
        </is>
      </c>
      <c r="H7108" t="inlineStr">
        <is>
          <t>Kyrkan</t>
        </is>
      </c>
      <c r="I7108" t="n">
        <v>9.300000000000001</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15644-2026</t>
        </is>
      </c>
      <c r="B7109" t="inlineStr">
        <is>
          <t>avverkningsanmälan</t>
        </is>
      </c>
      <c r="C7109" t="inlineStr">
        <is>
          <t>Föryngringsavverkning</t>
        </is>
      </c>
      <c r="D7109" s="1" t="n">
        <v>46106</v>
      </c>
      <c r="E7109" s="1" t="n">
        <v>46307</v>
      </c>
      <c r="F7109" t="inlineStr">
        <is>
          <t>VÄRMLANDS LÄN</t>
        </is>
      </c>
      <c r="G7109" t="inlineStr">
        <is>
          <t>FILIPSTAD</t>
        </is>
      </c>
      <c r="H7109" t="inlineStr">
        <is>
          <t>Bergvik skog väst AB</t>
        </is>
      </c>
      <c r="I7109" t="n">
        <v>4.4</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15664-2026</t>
        </is>
      </c>
      <c r="B7110" t="inlineStr">
        <is>
          <t>avverkningsanmälan</t>
        </is>
      </c>
      <c r="C7110" t="inlineStr">
        <is>
          <t>Föryngringsavverkning</t>
        </is>
      </c>
      <c r="D7110" s="1" t="n">
        <v>46106</v>
      </c>
      <c r="E7110" s="1" t="n">
        <v>46307</v>
      </c>
      <c r="F7110" t="inlineStr">
        <is>
          <t>VÄRMLANDS LÄN</t>
        </is>
      </c>
      <c r="G7110" t="inlineStr">
        <is>
          <t>TORSBY</t>
        </is>
      </c>
      <c r="H7110" t="inlineStr">
        <is>
          <t>Bergvik skog väst AB</t>
        </is>
      </c>
      <c r="I7110" t="n">
        <v>1.4</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15596-2026</t>
        </is>
      </c>
      <c r="B7111" t="inlineStr">
        <is>
          <t>avverkningsanmälan</t>
        </is>
      </c>
      <c r="C7111" t="inlineStr">
        <is>
          <t>Föryngringsavverkning</t>
        </is>
      </c>
      <c r="D7111" s="1" t="n">
        <v>46106</v>
      </c>
      <c r="E7111" s="1" t="n">
        <v>46307</v>
      </c>
      <c r="F7111" t="inlineStr">
        <is>
          <t>VÄRMLANDS LÄN</t>
        </is>
      </c>
      <c r="G7111" t="inlineStr">
        <is>
          <t>TORSBY</t>
        </is>
      </c>
      <c r="I7111" t="n">
        <v>0.6</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15645-2026</t>
        </is>
      </c>
      <c r="B7112" t="inlineStr">
        <is>
          <t>avverkningsanmälan</t>
        </is>
      </c>
      <c r="C7112" t="inlineStr">
        <is>
          <t>Föryngringsavverkning</t>
        </is>
      </c>
      <c r="D7112" s="1" t="n">
        <v>46106</v>
      </c>
      <c r="E7112" s="1" t="n">
        <v>46307</v>
      </c>
      <c r="F7112" t="inlineStr">
        <is>
          <t>VÄRMLANDS LÄN</t>
        </is>
      </c>
      <c r="G7112" t="inlineStr">
        <is>
          <t>FILIPSTAD</t>
        </is>
      </c>
      <c r="H7112" t="inlineStr">
        <is>
          <t>Bergvik skog väst AB</t>
        </is>
      </c>
      <c r="I7112" t="n">
        <v>6.7</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59090-2025</t>
        </is>
      </c>
      <c r="B7113" t="inlineStr">
        <is>
          <t>avverkningsanmälan</t>
        </is>
      </c>
      <c r="C7113" t="inlineStr">
        <is>
          <t>Föryngringsavverkning</t>
        </is>
      </c>
      <c r="D7113" s="1" t="n">
        <v>45988</v>
      </c>
      <c r="E7113" s="1" t="n">
        <v>46307</v>
      </c>
      <c r="F7113" t="inlineStr">
        <is>
          <t>VÄRMLANDS LÄN</t>
        </is>
      </c>
      <c r="G7113" t="inlineStr">
        <is>
          <t>FORSHAGA</t>
        </is>
      </c>
      <c r="I7113" t="n">
        <v>1.3</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15894-2026</t>
        </is>
      </c>
      <c r="B7114" t="inlineStr">
        <is>
          <t>avverkningsanmälan</t>
        </is>
      </c>
      <c r="C7114" t="inlineStr">
        <is>
          <t>Föryngringsavverkning</t>
        </is>
      </c>
      <c r="D7114" s="1" t="n">
        <v>46107</v>
      </c>
      <c r="E7114" s="1" t="n">
        <v>46307</v>
      </c>
      <c r="F7114" t="inlineStr">
        <is>
          <t>VÄRMLANDS LÄN</t>
        </is>
      </c>
      <c r="G7114" t="inlineStr">
        <is>
          <t>TORSBY</t>
        </is>
      </c>
      <c r="I7114" t="n">
        <v>0.9</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55069-2023</t>
        </is>
      </c>
      <c r="B7115" t="inlineStr">
        <is>
          <t>avverkningsanmälan</t>
        </is>
      </c>
      <c r="C7115" t="inlineStr">
        <is>
          <t>Föryngringsavverkning</t>
        </is>
      </c>
      <c r="D7115" s="1" t="n">
        <v>45237</v>
      </c>
      <c r="E7115" s="1" t="n">
        <v>46307</v>
      </c>
      <c r="F7115" t="inlineStr">
        <is>
          <t>VÄRMLANDS LÄN</t>
        </is>
      </c>
      <c r="G7115" t="inlineStr">
        <is>
          <t>HAMMARÖ</t>
        </is>
      </c>
      <c r="H7115" t="inlineStr">
        <is>
          <t>Kommuner</t>
        </is>
      </c>
      <c r="I7115" t="n">
        <v>3.2</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55091-2023</t>
        </is>
      </c>
      <c r="B7116" t="inlineStr">
        <is>
          <t>avverkningsanmälan</t>
        </is>
      </c>
      <c r="C7116" t="inlineStr">
        <is>
          <t>Föryngringsavverkning</t>
        </is>
      </c>
      <c r="D7116" s="1" t="n">
        <v>45237</v>
      </c>
      <c r="E7116" s="1" t="n">
        <v>46307</v>
      </c>
      <c r="F7116" t="inlineStr">
        <is>
          <t>VÄRMLANDS LÄN</t>
        </is>
      </c>
      <c r="G7116" t="inlineStr">
        <is>
          <t>ÅRJÄNG</t>
        </is>
      </c>
      <c r="I7116" t="n">
        <v>3.8</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55100-2023</t>
        </is>
      </c>
      <c r="B7117" t="inlineStr">
        <is>
          <t>avverkningsanmälan</t>
        </is>
      </c>
      <c r="C7117" t="inlineStr">
        <is>
          <t>Föryngringsavverkning</t>
        </is>
      </c>
      <c r="D7117" s="1" t="n">
        <v>45237</v>
      </c>
      <c r="E7117" s="1" t="n">
        <v>46307</v>
      </c>
      <c r="F7117" t="inlineStr">
        <is>
          <t>VÄRMLANDS LÄN</t>
        </is>
      </c>
      <c r="G7117" t="inlineStr">
        <is>
          <t>TORSBY</t>
        </is>
      </c>
      <c r="I7117" t="n">
        <v>0.9</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31812-2024</t>
        </is>
      </c>
      <c r="B7118" t="inlineStr">
        <is>
          <t>avverkningsanmälan</t>
        </is>
      </c>
      <c r="C7118" t="inlineStr">
        <is>
          <t>Föryngringsavverkning</t>
        </is>
      </c>
      <c r="D7118" s="1" t="n">
        <v>45509</v>
      </c>
      <c r="E7118" s="1" t="n">
        <v>46307</v>
      </c>
      <c r="F7118" t="inlineStr">
        <is>
          <t>VÄRMLANDS LÄN</t>
        </is>
      </c>
      <c r="G7118" t="inlineStr">
        <is>
          <t>HAGFORS</t>
        </is>
      </c>
      <c r="H7118" t="inlineStr">
        <is>
          <t>Kommuner</t>
        </is>
      </c>
      <c r="I7118" t="n">
        <v>4.2</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15576-2026</t>
        </is>
      </c>
      <c r="B7119" t="inlineStr">
        <is>
          <t>avverkningsanmälan</t>
        </is>
      </c>
      <c r="C7119" t="inlineStr">
        <is>
          <t>Föryngringsavverkning</t>
        </is>
      </c>
      <c r="D7119" s="1" t="n">
        <v>46106</v>
      </c>
      <c r="E7119" s="1" t="n">
        <v>46307</v>
      </c>
      <c r="F7119" t="inlineStr">
        <is>
          <t>VÄRMLANDS LÄN</t>
        </is>
      </c>
      <c r="G7119" t="inlineStr">
        <is>
          <t>ÅRJÄNG</t>
        </is>
      </c>
      <c r="I7119" t="n">
        <v>1.2</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15491-2026</t>
        </is>
      </c>
      <c r="B7120" t="inlineStr">
        <is>
          <t>avverkningsanmälan</t>
        </is>
      </c>
      <c r="C7120" t="inlineStr">
        <is>
          <t>Föryngringsavverkning</t>
        </is>
      </c>
      <c r="D7120" s="1" t="n">
        <v>46106</v>
      </c>
      <c r="E7120" s="1" t="n">
        <v>46307</v>
      </c>
      <c r="F7120" t="inlineStr">
        <is>
          <t>VÄRMLANDS LÄN</t>
        </is>
      </c>
      <c r="G7120" t="inlineStr">
        <is>
          <t>HAGFORS</t>
        </is>
      </c>
      <c r="H7120" t="inlineStr">
        <is>
          <t>Bergvik skog väst AB</t>
        </is>
      </c>
      <c r="I7120" t="n">
        <v>3.2</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13293-2024</t>
        </is>
      </c>
      <c r="B7121" t="inlineStr">
        <is>
          <t>avverkningsanmälan</t>
        </is>
      </c>
      <c r="C7121" t="inlineStr">
        <is>
          <t>Föryngringsavverkning</t>
        </is>
      </c>
      <c r="D7121" s="1" t="n">
        <v>45386</v>
      </c>
      <c r="E7121" s="1" t="n">
        <v>46307</v>
      </c>
      <c r="F7121" t="inlineStr">
        <is>
          <t>VÄRMLANDS LÄN</t>
        </is>
      </c>
      <c r="G7121" t="inlineStr">
        <is>
          <t>KRISTINEHAMN</t>
        </is>
      </c>
      <c r="I7121" t="n">
        <v>1.1</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16284-2026</t>
        </is>
      </c>
      <c r="B7122" t="inlineStr">
        <is>
          <t>avverkningsanmälan</t>
        </is>
      </c>
      <c r="C7122" t="inlineStr">
        <is>
          <t>Föryngringsavverkning</t>
        </is>
      </c>
      <c r="D7122" s="1" t="n">
        <v>46111</v>
      </c>
      <c r="E7122" s="1" t="n">
        <v>46307</v>
      </c>
      <c r="F7122" t="inlineStr">
        <is>
          <t>VÄRMLANDS LÄN</t>
        </is>
      </c>
      <c r="G7122" t="inlineStr">
        <is>
          <t>HAGFORS</t>
        </is>
      </c>
      <c r="H7122" t="inlineStr">
        <is>
          <t>Bergvik skog väst AB</t>
        </is>
      </c>
      <c r="I7122" t="n">
        <v>9.4</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13320-2024</t>
        </is>
      </c>
      <c r="B7123" t="inlineStr">
        <is>
          <t>avverkningsanmälan</t>
        </is>
      </c>
      <c r="C7123" t="inlineStr">
        <is>
          <t>Föryngringsavverkning</t>
        </is>
      </c>
      <c r="D7123" s="1" t="n">
        <v>45386</v>
      </c>
      <c r="E7123" s="1" t="n">
        <v>46307</v>
      </c>
      <c r="F7123" t="inlineStr">
        <is>
          <t>VÄRMLANDS LÄN</t>
        </is>
      </c>
      <c r="G7123" t="inlineStr">
        <is>
          <t>GRUMS</t>
        </is>
      </c>
      <c r="I7123" t="n">
        <v>6</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1266-2024</t>
        </is>
      </c>
      <c r="B7124" t="inlineStr">
        <is>
          <t>avverkningsanmälan</t>
        </is>
      </c>
      <c r="C7124" t="inlineStr">
        <is>
          <t>Föryngringsavverkning</t>
        </is>
      </c>
      <c r="D7124" s="1" t="n">
        <v>45302</v>
      </c>
      <c r="E7124" s="1" t="n">
        <v>46307</v>
      </c>
      <c r="F7124" t="inlineStr">
        <is>
          <t>VÄRMLANDS LÄN</t>
        </is>
      </c>
      <c r="G7124" t="inlineStr">
        <is>
          <t>KRISTINEHAMN</t>
        </is>
      </c>
      <c r="I7124" t="n">
        <v>2.4</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16108-2026</t>
        </is>
      </c>
      <c r="B7125" t="inlineStr">
        <is>
          <t>avverkningsanmälan</t>
        </is>
      </c>
      <c r="C7125" t="inlineStr">
        <is>
          <t>Föryngringsavverkning</t>
        </is>
      </c>
      <c r="D7125" s="1" t="n">
        <v>46108</v>
      </c>
      <c r="E7125" s="1" t="n">
        <v>46307</v>
      </c>
      <c r="F7125" t="inlineStr">
        <is>
          <t>VÄRMLANDS LÄN</t>
        </is>
      </c>
      <c r="G7125" t="inlineStr">
        <is>
          <t>TORSBY</t>
        </is>
      </c>
      <c r="I7125" t="n">
        <v>1.2</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16111-2026</t>
        </is>
      </c>
      <c r="B7126" t="inlineStr">
        <is>
          <t>avverkningsanmälan</t>
        </is>
      </c>
      <c r="C7126" t="inlineStr">
        <is>
          <t>Föryngringsavverkning</t>
        </is>
      </c>
      <c r="D7126" s="1" t="n">
        <v>46108</v>
      </c>
      <c r="E7126" s="1" t="n">
        <v>46307</v>
      </c>
      <c r="F7126" t="inlineStr">
        <is>
          <t>VÄRMLANDS LÄN</t>
        </is>
      </c>
      <c r="G7126" t="inlineStr">
        <is>
          <t>TORSBY</t>
        </is>
      </c>
      <c r="I7126" t="n">
        <v>0.8</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16329-2026</t>
        </is>
      </c>
      <c r="B7127" t="inlineStr">
        <is>
          <t>avverkningsanmälan</t>
        </is>
      </c>
      <c r="C7127" t="inlineStr">
        <is>
          <t>Föryngringsavverkning</t>
        </is>
      </c>
      <c r="D7127" s="1" t="n">
        <v>46111</v>
      </c>
      <c r="E7127" s="1" t="n">
        <v>46307</v>
      </c>
      <c r="F7127" t="inlineStr">
        <is>
          <t>VÄRMLANDS LÄN</t>
        </is>
      </c>
      <c r="G7127" t="inlineStr">
        <is>
          <t>ARVIKA</t>
        </is>
      </c>
      <c r="I7127" t="n">
        <v>3.6</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16347-2026</t>
        </is>
      </c>
      <c r="B7128" t="inlineStr">
        <is>
          <t>avverkningsanmälan</t>
        </is>
      </c>
      <c r="C7128" t="inlineStr">
        <is>
          <t>Föryngringsavverkning</t>
        </is>
      </c>
      <c r="D7128" s="1" t="n">
        <v>46111</v>
      </c>
      <c r="E7128" s="1" t="n">
        <v>46307</v>
      </c>
      <c r="F7128" t="inlineStr">
        <is>
          <t>VÄRMLANDS LÄN</t>
        </is>
      </c>
      <c r="G7128" t="inlineStr">
        <is>
          <t>SÄFFLE</t>
        </is>
      </c>
      <c r="H7128" t="inlineStr">
        <is>
          <t>Kommuner</t>
        </is>
      </c>
      <c r="I7128" t="n">
        <v>1.2</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16421-2026</t>
        </is>
      </c>
      <c r="B7129" t="inlineStr">
        <is>
          <t>avverkningsanmälan</t>
        </is>
      </c>
      <c r="C7129" t="inlineStr">
        <is>
          <t>Föryngringsavverkning</t>
        </is>
      </c>
      <c r="D7129" s="1" t="n">
        <v>46111</v>
      </c>
      <c r="E7129" s="1" t="n">
        <v>46307</v>
      </c>
      <c r="F7129" t="inlineStr">
        <is>
          <t>VÄRMLANDS LÄN</t>
        </is>
      </c>
      <c r="G7129" t="inlineStr">
        <is>
          <t>STORFORS</t>
        </is>
      </c>
      <c r="H7129" t="inlineStr">
        <is>
          <t>Bergvik skog väst AB</t>
        </is>
      </c>
      <c r="I7129" t="n">
        <v>1.5</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12813-2025</t>
        </is>
      </c>
      <c r="B7130" t="inlineStr">
        <is>
          <t>avverkningsanmälan</t>
        </is>
      </c>
      <c r="C7130" t="inlineStr">
        <is>
          <t>Föryngringsavverkning</t>
        </is>
      </c>
      <c r="D7130" s="1" t="n">
        <v>45733</v>
      </c>
      <c r="E7130" s="1" t="n">
        <v>46307</v>
      </c>
      <c r="F7130" t="inlineStr">
        <is>
          <t>VÄRMLANDS LÄN</t>
        </is>
      </c>
      <c r="G7130" t="inlineStr">
        <is>
          <t>SUNNE</t>
        </is>
      </c>
      <c r="I7130" t="n">
        <v>1.7</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16147-2026</t>
        </is>
      </c>
      <c r="B7131" t="inlineStr">
        <is>
          <t>avverkningsanmälan</t>
        </is>
      </c>
      <c r="C7131" t="inlineStr">
        <is>
          <t>Föryngringsavverkning</t>
        </is>
      </c>
      <c r="D7131" s="1" t="n">
        <v>46108</v>
      </c>
      <c r="E7131" s="1" t="n">
        <v>46307</v>
      </c>
      <c r="F7131" t="inlineStr">
        <is>
          <t>VÄRMLANDS LÄN</t>
        </is>
      </c>
      <c r="G7131" t="inlineStr">
        <is>
          <t>SUNNE</t>
        </is>
      </c>
      <c r="I7131" t="n">
        <v>1.3</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55054-2024</t>
        </is>
      </c>
      <c r="B7132" t="inlineStr">
        <is>
          <t>avverkningsanmälan</t>
        </is>
      </c>
      <c r="C7132" t="inlineStr">
        <is>
          <t>Föryngringsavverkning</t>
        </is>
      </c>
      <c r="D7132" s="1" t="n">
        <v>45621</v>
      </c>
      <c r="E7132" s="1" t="n">
        <v>46307</v>
      </c>
      <c r="F7132" t="inlineStr">
        <is>
          <t>VÄRMLANDS LÄN</t>
        </is>
      </c>
      <c r="G7132" t="inlineStr">
        <is>
          <t>SÄFFLE</t>
        </is>
      </c>
      <c r="I7132" t="n">
        <v>8.800000000000001</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50263-2022</t>
        </is>
      </c>
      <c r="B7133" t="inlineStr">
        <is>
          <t>avverkningsanmälan</t>
        </is>
      </c>
      <c r="C7133" t="inlineStr">
        <is>
          <t>Föryngringsavverkning</t>
        </is>
      </c>
      <c r="D7133" s="1" t="n">
        <v>44865</v>
      </c>
      <c r="E7133" s="1" t="n">
        <v>46307</v>
      </c>
      <c r="F7133" t="inlineStr">
        <is>
          <t>VÄRMLANDS LÄN</t>
        </is>
      </c>
      <c r="G7133" t="inlineStr">
        <is>
          <t>ARVIKA</t>
        </is>
      </c>
      <c r="I7133" t="n">
        <v>2</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55517-2023</t>
        </is>
      </c>
      <c r="B7134" t="inlineStr">
        <is>
          <t>avverkningsanmälan</t>
        </is>
      </c>
      <c r="C7134" t="inlineStr">
        <is>
          <t>Föryngringsavverkning</t>
        </is>
      </c>
      <c r="D7134" s="1" t="n">
        <v>45232</v>
      </c>
      <c r="E7134" s="1" t="n">
        <v>46307</v>
      </c>
      <c r="F7134" t="inlineStr">
        <is>
          <t>VÄRMLANDS LÄN</t>
        </is>
      </c>
      <c r="G7134" t="inlineStr">
        <is>
          <t>ÅRJÄNG</t>
        </is>
      </c>
      <c r="I7134" t="n">
        <v>1.5</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16157-2026</t>
        </is>
      </c>
      <c r="B7135" t="inlineStr">
        <is>
          <t>avverkningsanmälan</t>
        </is>
      </c>
      <c r="C7135" t="inlineStr">
        <is>
          <t>Föryngringsavverkning</t>
        </is>
      </c>
      <c r="D7135" s="1" t="n">
        <v>46108</v>
      </c>
      <c r="E7135" s="1" t="n">
        <v>46307</v>
      </c>
      <c r="F7135" t="inlineStr">
        <is>
          <t>VÄRMLANDS LÄN</t>
        </is>
      </c>
      <c r="G7135" t="inlineStr">
        <is>
          <t>HAGFORS</t>
        </is>
      </c>
      <c r="I7135" t="n">
        <v>0.9</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25520-2024</t>
        </is>
      </c>
      <c r="B7136" t="inlineStr">
        <is>
          <t>avverkningsanmälan</t>
        </is>
      </c>
      <c r="C7136" t="inlineStr">
        <is>
          <t>Föryngringsavverkning</t>
        </is>
      </c>
      <c r="D7136" s="1" t="n">
        <v>45463</v>
      </c>
      <c r="E7136" s="1" t="n">
        <v>46307</v>
      </c>
      <c r="F7136" t="inlineStr">
        <is>
          <t>VÄRMLANDS LÄN</t>
        </is>
      </c>
      <c r="G7136" t="inlineStr">
        <is>
          <t>ARVIKA</t>
        </is>
      </c>
      <c r="I7136" t="n">
        <v>1.4</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16109-2026</t>
        </is>
      </c>
      <c r="B7137" t="inlineStr">
        <is>
          <t>avverkningsanmälan</t>
        </is>
      </c>
      <c r="C7137" t="inlineStr">
        <is>
          <t>Föryngringsavverkning</t>
        </is>
      </c>
      <c r="D7137" s="1" t="n">
        <v>46108</v>
      </c>
      <c r="E7137" s="1" t="n">
        <v>46307</v>
      </c>
      <c r="F7137" t="inlineStr">
        <is>
          <t>VÄRMLANDS LÄN</t>
        </is>
      </c>
      <c r="G7137" t="inlineStr">
        <is>
          <t>FORSHAGA</t>
        </is>
      </c>
      <c r="H7137" t="inlineStr">
        <is>
          <t>Bergvik skog väst AB</t>
        </is>
      </c>
      <c r="I7137" t="n">
        <v>2.6</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16009-2026</t>
        </is>
      </c>
      <c r="B7138" t="inlineStr">
        <is>
          <t>avverkningsanmälan</t>
        </is>
      </c>
      <c r="C7138" t="inlineStr">
        <is>
          <t>Föryngringsavverkning</t>
        </is>
      </c>
      <c r="D7138" s="1" t="n">
        <v>46108</v>
      </c>
      <c r="E7138" s="1" t="n">
        <v>46307</v>
      </c>
      <c r="F7138" t="inlineStr">
        <is>
          <t>VÄRMLANDS LÄN</t>
        </is>
      </c>
      <c r="G7138" t="inlineStr">
        <is>
          <t>FILIPSTAD</t>
        </is>
      </c>
      <c r="H7138" t="inlineStr">
        <is>
          <t>Bergvik skog väst AB</t>
        </is>
      </c>
      <c r="I7138" t="n">
        <v>2.2</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16040-2026</t>
        </is>
      </c>
      <c r="B7139" t="inlineStr">
        <is>
          <t>avverkningsanmälan</t>
        </is>
      </c>
      <c r="C7139" t="inlineStr">
        <is>
          <t>Avverkning för att bevara och utveckla /försöksver</t>
        </is>
      </c>
      <c r="D7139" s="1" t="n">
        <v>46108</v>
      </c>
      <c r="E7139" s="1" t="n">
        <v>46307</v>
      </c>
      <c r="F7139" t="inlineStr">
        <is>
          <t>VÄRMLANDS LÄN</t>
        </is>
      </c>
      <c r="G7139" t="inlineStr">
        <is>
          <t>FILIPSTAD</t>
        </is>
      </c>
      <c r="H7139" t="inlineStr">
        <is>
          <t>Bergvik skog väst AB</t>
        </is>
      </c>
      <c r="I7139" t="n">
        <v>1.3</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16050-2026</t>
        </is>
      </c>
      <c r="B7140" t="inlineStr">
        <is>
          <t>avverkningsanmälan</t>
        </is>
      </c>
      <c r="C7140" t="inlineStr">
        <is>
          <t>Föryngringsavverkning</t>
        </is>
      </c>
      <c r="D7140" s="1" t="n">
        <v>46108</v>
      </c>
      <c r="E7140" s="1" t="n">
        <v>46307</v>
      </c>
      <c r="F7140" t="inlineStr">
        <is>
          <t>VÄRMLANDS LÄN</t>
        </is>
      </c>
      <c r="G7140" t="inlineStr">
        <is>
          <t>FILIPSTAD</t>
        </is>
      </c>
      <c r="H7140" t="inlineStr">
        <is>
          <t>Bergvik skog väst AB</t>
        </is>
      </c>
      <c r="I7140" t="n">
        <v>2.3</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46176-2024</t>
        </is>
      </c>
      <c r="B7141" t="inlineStr">
        <is>
          <t>avverkningsanmälan</t>
        </is>
      </c>
      <c r="C7141" t="inlineStr">
        <is>
          <t>Föryngringsavverkning</t>
        </is>
      </c>
      <c r="D7141" s="1" t="n">
        <v>45581</v>
      </c>
      <c r="E7141" s="1" t="n">
        <v>46307</v>
      </c>
      <c r="F7141" t="inlineStr">
        <is>
          <t>VÄRMLANDS LÄN</t>
        </is>
      </c>
      <c r="G7141" t="inlineStr">
        <is>
          <t>KARLSTAD</t>
        </is>
      </c>
      <c r="H7141" t="inlineStr">
        <is>
          <t>Bergvik skog väst AB</t>
        </is>
      </c>
      <c r="I7141" t="n">
        <v>2.7</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50953-2024</t>
        </is>
      </c>
      <c r="B7142" t="inlineStr">
        <is>
          <t>avverkningsanmälan</t>
        </is>
      </c>
      <c r="C7142" t="inlineStr">
        <is>
          <t>Föryngringsavverkning</t>
        </is>
      </c>
      <c r="D7142" s="1" t="n">
        <v>45603</v>
      </c>
      <c r="E7142" s="1" t="n">
        <v>46307</v>
      </c>
      <c r="F7142" t="inlineStr">
        <is>
          <t>VÄRMLANDS LÄN</t>
        </is>
      </c>
      <c r="G7142" t="inlineStr">
        <is>
          <t>ARVIKA</t>
        </is>
      </c>
      <c r="I7142" t="n">
        <v>2.6</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16117-2026</t>
        </is>
      </c>
      <c r="B7143" t="inlineStr">
        <is>
          <t>avverkningsanmälan</t>
        </is>
      </c>
      <c r="C7143" t="inlineStr">
        <is>
          <t>Föryngringsavverkning</t>
        </is>
      </c>
      <c r="D7143" s="1" t="n">
        <v>46108</v>
      </c>
      <c r="E7143" s="1" t="n">
        <v>46307</v>
      </c>
      <c r="F7143" t="inlineStr">
        <is>
          <t>VÄRMLANDS LÄN</t>
        </is>
      </c>
      <c r="G7143" t="inlineStr">
        <is>
          <t>TORSBY</t>
        </is>
      </c>
      <c r="I7143" t="n">
        <v>2.5</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70712-2021</t>
        </is>
      </c>
      <c r="B7144" t="inlineStr">
        <is>
          <t>avverkningsanmälan</t>
        </is>
      </c>
      <c r="C7144" t="inlineStr">
        <is>
          <t>Föryngringsavverkning</t>
        </is>
      </c>
      <c r="D7144" s="1" t="n">
        <v>44537</v>
      </c>
      <c r="E7144" s="1" t="n">
        <v>46307</v>
      </c>
      <c r="F7144" t="inlineStr">
        <is>
          <t>VÄRMLANDS LÄN</t>
        </is>
      </c>
      <c r="G7144" t="inlineStr">
        <is>
          <t>HAGFORS</t>
        </is>
      </c>
      <c r="H7144" t="inlineStr">
        <is>
          <t>Kommuner</t>
        </is>
      </c>
      <c r="I7144" t="n">
        <v>4.5</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32950-2024</t>
        </is>
      </c>
      <c r="B7145" t="inlineStr">
        <is>
          <t>avverkningsanmälan</t>
        </is>
      </c>
      <c r="C7145" t="inlineStr">
        <is>
          <t>Föryngringsavverkning</t>
        </is>
      </c>
      <c r="D7145" s="1" t="n">
        <v>45517</v>
      </c>
      <c r="E7145" s="1" t="n">
        <v>46307</v>
      </c>
      <c r="F7145" t="inlineStr">
        <is>
          <t>VÄRMLANDS LÄN</t>
        </is>
      </c>
      <c r="G7145" t="inlineStr">
        <is>
          <t>ÅRJÄNG</t>
        </is>
      </c>
      <c r="I7145" t="n">
        <v>1</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24916-2024</t>
        </is>
      </c>
      <c r="B7146" t="inlineStr">
        <is>
          <t>avverkningsanmälan</t>
        </is>
      </c>
      <c r="C7146" t="inlineStr">
        <is>
          <t>Föryngringsavverkning</t>
        </is>
      </c>
      <c r="D7146" s="1" t="n">
        <v>45461</v>
      </c>
      <c r="E7146" s="1" t="n">
        <v>46307</v>
      </c>
      <c r="F7146" t="inlineStr">
        <is>
          <t>VÄRMLANDS LÄN</t>
        </is>
      </c>
      <c r="G7146" t="inlineStr">
        <is>
          <t>ÅRJÄNG</t>
        </is>
      </c>
      <c r="I7146" t="n">
        <v>0.7</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9729-2025</t>
        </is>
      </c>
      <c r="B7147" t="inlineStr">
        <is>
          <t>avverkningsanmälan</t>
        </is>
      </c>
      <c r="C7147" t="inlineStr">
        <is>
          <t>Föryngringsavverkning</t>
        </is>
      </c>
      <c r="D7147" s="1" t="n">
        <v>45715</v>
      </c>
      <c r="E7147" s="1" t="n">
        <v>46307</v>
      </c>
      <c r="F7147" t="inlineStr">
        <is>
          <t>VÄRMLANDS LÄN</t>
        </is>
      </c>
      <c r="G7147" t="inlineStr">
        <is>
          <t>TORSBY</t>
        </is>
      </c>
      <c r="I7147" t="n">
        <v>3.4</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59195-2025</t>
        </is>
      </c>
      <c r="B7148" t="inlineStr">
        <is>
          <t>avverkningsanmälan</t>
        </is>
      </c>
      <c r="C7148" t="inlineStr">
        <is>
          <t>Föryngringsavverkning</t>
        </is>
      </c>
      <c r="D7148" s="1" t="n">
        <v>45988</v>
      </c>
      <c r="E7148" s="1" t="n">
        <v>46307</v>
      </c>
      <c r="F7148" t="inlineStr">
        <is>
          <t>VÄRMLANDS LÄN</t>
        </is>
      </c>
      <c r="G7148" t="inlineStr">
        <is>
          <t>ARVIKA</t>
        </is>
      </c>
      <c r="I7148" t="n">
        <v>3</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59196-2025</t>
        </is>
      </c>
      <c r="B7149" t="inlineStr">
        <is>
          <t>avverkningsanmälan</t>
        </is>
      </c>
      <c r="C7149" t="inlineStr">
        <is>
          <t>Föryngringsavverkning</t>
        </is>
      </c>
      <c r="D7149" s="1" t="n">
        <v>45988</v>
      </c>
      <c r="E7149" s="1" t="n">
        <v>46307</v>
      </c>
      <c r="F7149" t="inlineStr">
        <is>
          <t>VÄRMLANDS LÄN</t>
        </is>
      </c>
      <c r="G7149" t="inlineStr">
        <is>
          <t>SÄFFLE</t>
        </is>
      </c>
      <c r="I7149" t="n">
        <v>1.5</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13482-2025</t>
        </is>
      </c>
      <c r="B7150" t="inlineStr">
        <is>
          <t>avverkningsanmälan</t>
        </is>
      </c>
      <c r="C7150" t="inlineStr">
        <is>
          <t>Föryngringsavverkning</t>
        </is>
      </c>
      <c r="D7150" s="1" t="n">
        <v>45736</v>
      </c>
      <c r="E7150" s="1" t="n">
        <v>46307</v>
      </c>
      <c r="F7150" t="inlineStr">
        <is>
          <t>VÄRMLANDS LÄN</t>
        </is>
      </c>
      <c r="G7150" t="inlineStr">
        <is>
          <t>EDA</t>
        </is>
      </c>
      <c r="I7150" t="n">
        <v>0.6</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50042-2024</t>
        </is>
      </c>
      <c r="B7151" t="inlineStr">
        <is>
          <t>avverkningsanmälan</t>
        </is>
      </c>
      <c r="C7151" t="inlineStr">
        <is>
          <t>Föryngringsavverkning</t>
        </is>
      </c>
      <c r="D7151" s="1" t="n">
        <v>45597</v>
      </c>
      <c r="E7151" s="1" t="n">
        <v>46307</v>
      </c>
      <c r="F7151" t="inlineStr">
        <is>
          <t>VÄRMLANDS LÄN</t>
        </is>
      </c>
      <c r="G7151" t="inlineStr">
        <is>
          <t>SÄFFLE</t>
        </is>
      </c>
      <c r="I7151" t="n">
        <v>1.4</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27692-2024</t>
        </is>
      </c>
      <c r="B7152" t="inlineStr">
        <is>
          <t>avverkningsanmälan</t>
        </is>
      </c>
      <c r="C7152" t="inlineStr">
        <is>
          <t>Föryngringsavverkning</t>
        </is>
      </c>
      <c r="D7152" s="1" t="n">
        <v>45474</v>
      </c>
      <c r="E7152" s="1" t="n">
        <v>46307</v>
      </c>
      <c r="F7152" t="inlineStr">
        <is>
          <t>VÄRMLANDS LÄN</t>
        </is>
      </c>
      <c r="G7152" t="inlineStr">
        <is>
          <t>ÅRJÄNG</t>
        </is>
      </c>
      <c r="H7152" t="inlineStr">
        <is>
          <t>Övriga Aktiebolag</t>
        </is>
      </c>
      <c r="I7152" t="n">
        <v>1</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20528-2023</t>
        </is>
      </c>
      <c r="B7153" t="inlineStr">
        <is>
          <t>avverkningsanmälan</t>
        </is>
      </c>
      <c r="C7153" t="inlineStr">
        <is>
          <t>Föryngringsavverkning</t>
        </is>
      </c>
      <c r="D7153" s="1" t="n">
        <v>45057</v>
      </c>
      <c r="E7153" s="1" t="n">
        <v>46307</v>
      </c>
      <c r="F7153" t="inlineStr">
        <is>
          <t>VÄRMLANDS LÄN</t>
        </is>
      </c>
      <c r="G7153" t="inlineStr">
        <is>
          <t>TORSBY</t>
        </is>
      </c>
      <c r="I7153" t="n">
        <v>1</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16146-2026</t>
        </is>
      </c>
      <c r="B7154" t="inlineStr">
        <is>
          <t>avverkningsanmälan</t>
        </is>
      </c>
      <c r="C7154" t="inlineStr">
        <is>
          <t>Föryngringsavverkning</t>
        </is>
      </c>
      <c r="D7154" s="1" t="n">
        <v>46108</v>
      </c>
      <c r="E7154" s="1" t="n">
        <v>46307</v>
      </c>
      <c r="F7154" t="inlineStr">
        <is>
          <t>VÄRMLANDS LÄN</t>
        </is>
      </c>
      <c r="G7154" t="inlineStr">
        <is>
          <t>HAGFORS</t>
        </is>
      </c>
      <c r="H7154" t="inlineStr">
        <is>
          <t>Bergvik skog väst AB</t>
        </is>
      </c>
      <c r="I7154" t="n">
        <v>5.9</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16337-2026</t>
        </is>
      </c>
      <c r="B7155" t="inlineStr">
        <is>
          <t>avverkningsanmälan</t>
        </is>
      </c>
      <c r="C7155" t="inlineStr">
        <is>
          <t>Föryngringsavverkning</t>
        </is>
      </c>
      <c r="D7155" s="1" t="n">
        <v>46111</v>
      </c>
      <c r="E7155" s="1" t="n">
        <v>46307</v>
      </c>
      <c r="F7155" t="inlineStr">
        <is>
          <t>VÄRMLANDS LÄN</t>
        </is>
      </c>
      <c r="G7155" t="inlineStr">
        <is>
          <t>SÄFFLE</t>
        </is>
      </c>
      <c r="H7155" t="inlineStr">
        <is>
          <t>Kommuner</t>
        </is>
      </c>
      <c r="I7155" t="n">
        <v>1.3</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16408-2026</t>
        </is>
      </c>
      <c r="B7156" t="inlineStr">
        <is>
          <t>avverkningsanmälan</t>
        </is>
      </c>
      <c r="C7156" t="inlineStr">
        <is>
          <t>Föryngringsavverkning</t>
        </is>
      </c>
      <c r="D7156" s="1" t="n">
        <v>46111</v>
      </c>
      <c r="E7156" s="1" t="n">
        <v>46307</v>
      </c>
      <c r="F7156" t="inlineStr">
        <is>
          <t>VÄRMLANDS LÄN</t>
        </is>
      </c>
      <c r="G7156" t="inlineStr">
        <is>
          <t>TORSBY</t>
        </is>
      </c>
      <c r="I7156" t="n">
        <v>3.5</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59854-2023</t>
        </is>
      </c>
      <c r="B7157" t="inlineStr">
        <is>
          <t>avverkningsanmälan</t>
        </is>
      </c>
      <c r="C7157" t="inlineStr">
        <is>
          <t>Föryngringsavverkning</t>
        </is>
      </c>
      <c r="D7157" s="1" t="n">
        <v>45253</v>
      </c>
      <c r="E7157" s="1" t="n">
        <v>46307</v>
      </c>
      <c r="F7157" t="inlineStr">
        <is>
          <t>VÄRMLANDS LÄN</t>
        </is>
      </c>
      <c r="G7157" t="inlineStr">
        <is>
          <t>KRISTINEHAMN</t>
        </is>
      </c>
      <c r="I7157" t="n">
        <v>8.199999999999999</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23572-2023</t>
        </is>
      </c>
      <c r="B7158" t="inlineStr">
        <is>
          <t>avverkningsanmälan</t>
        </is>
      </c>
      <c r="C7158" t="inlineStr">
        <is>
          <t>Föryngringsavverkning</t>
        </is>
      </c>
      <c r="D7158" s="1" t="n">
        <v>45077</v>
      </c>
      <c r="E7158" s="1" t="n">
        <v>46307</v>
      </c>
      <c r="F7158" t="inlineStr">
        <is>
          <t>VÄRMLANDS LÄN</t>
        </is>
      </c>
      <c r="G7158" t="inlineStr">
        <is>
          <t>TORSBY</t>
        </is>
      </c>
      <c r="I7158" t="n">
        <v>4.4</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56957-2025</t>
        </is>
      </c>
      <c r="B7159" t="inlineStr">
        <is>
          <t>avverkningsanmälan</t>
        </is>
      </c>
      <c r="C7159" t="inlineStr">
        <is>
          <t>Avverkning för annat ändamål</t>
        </is>
      </c>
      <c r="D7159" s="1" t="n">
        <v>45978</v>
      </c>
      <c r="E7159" s="1" t="n">
        <v>46307</v>
      </c>
      <c r="F7159" t="inlineStr">
        <is>
          <t>VÄRMLANDS LÄN</t>
        </is>
      </c>
      <c r="G7159" t="inlineStr">
        <is>
          <t>KIL</t>
        </is>
      </c>
      <c r="H7159" t="inlineStr">
        <is>
          <t>Kommuner</t>
        </is>
      </c>
      <c r="I7159" t="n">
        <v>0.9</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16214-2026</t>
        </is>
      </c>
      <c r="B7160" t="inlineStr">
        <is>
          <t>avverkningsanmälan</t>
        </is>
      </c>
      <c r="C7160" t="inlineStr">
        <is>
          <t>Föryngringsavverkning</t>
        </is>
      </c>
      <c r="D7160" s="1" t="n">
        <v>46111</v>
      </c>
      <c r="E7160" s="1" t="n">
        <v>46307</v>
      </c>
      <c r="F7160" t="inlineStr">
        <is>
          <t>VÄRMLANDS LÄN</t>
        </is>
      </c>
      <c r="G7160" t="inlineStr">
        <is>
          <t>ARVIKA</t>
        </is>
      </c>
      <c r="I7160" t="n">
        <v>5.2</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53048-2022</t>
        </is>
      </c>
      <c r="B7161" t="inlineStr">
        <is>
          <t>avverkningsanmälan</t>
        </is>
      </c>
      <c r="C7161" t="inlineStr">
        <is>
          <t>Föryngringsavverkning</t>
        </is>
      </c>
      <c r="D7161" s="1" t="n">
        <v>44876</v>
      </c>
      <c r="E7161" s="1" t="n">
        <v>46307</v>
      </c>
      <c r="F7161" t="inlineStr">
        <is>
          <t>VÄRMLANDS LÄN</t>
        </is>
      </c>
      <c r="G7161" t="inlineStr">
        <is>
          <t>KARLSTAD</t>
        </is>
      </c>
      <c r="I7161" t="n">
        <v>2.7</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23601-2023</t>
        </is>
      </c>
      <c r="B7162" t="inlineStr">
        <is>
          <t>avverkningsanmälan</t>
        </is>
      </c>
      <c r="C7162" t="inlineStr">
        <is>
          <t>Föryngringsavverkning</t>
        </is>
      </c>
      <c r="D7162" s="1" t="n">
        <v>45077</v>
      </c>
      <c r="E7162" s="1" t="n">
        <v>46307</v>
      </c>
      <c r="F7162" t="inlineStr">
        <is>
          <t>VÄRMLANDS LÄN</t>
        </is>
      </c>
      <c r="G7162" t="inlineStr">
        <is>
          <t>ARVIKA</t>
        </is>
      </c>
      <c r="I7162" t="n">
        <v>10.6</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59341-2022</t>
        </is>
      </c>
      <c r="B7163" t="inlineStr">
        <is>
          <t>avverkningsanmälan</t>
        </is>
      </c>
      <c r="C7163" t="inlineStr">
        <is>
          <t>Föryngringsavverkning</t>
        </is>
      </c>
      <c r="D7163" s="1" t="n">
        <v>44904</v>
      </c>
      <c r="E7163" s="1" t="n">
        <v>46307</v>
      </c>
      <c r="F7163" t="inlineStr">
        <is>
          <t>VÄRMLANDS LÄN</t>
        </is>
      </c>
      <c r="G7163" t="inlineStr">
        <is>
          <t>ARVIKA</t>
        </is>
      </c>
      <c r="I7163" t="n">
        <v>1.3</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25316-2024</t>
        </is>
      </c>
      <c r="B7164" t="inlineStr">
        <is>
          <t>avverkningsanmälan</t>
        </is>
      </c>
      <c r="C7164" t="inlineStr">
        <is>
          <t>Föryngringsavverkning</t>
        </is>
      </c>
      <c r="D7164" s="1" t="n">
        <v>45462</v>
      </c>
      <c r="E7164" s="1" t="n">
        <v>46307</v>
      </c>
      <c r="F7164" t="inlineStr">
        <is>
          <t>VÄRMLANDS LÄN</t>
        </is>
      </c>
      <c r="G7164" t="inlineStr">
        <is>
          <t>TORSBY</t>
        </is>
      </c>
      <c r="I7164" t="n">
        <v>1</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54756-2022</t>
        </is>
      </c>
      <c r="B7165" t="inlineStr">
        <is>
          <t>avverkningsanmälan</t>
        </is>
      </c>
      <c r="C7165" t="inlineStr">
        <is>
          <t>Föryngringsavverkning</t>
        </is>
      </c>
      <c r="D7165" s="1" t="n">
        <v>44883</v>
      </c>
      <c r="E7165" s="1" t="n">
        <v>46307</v>
      </c>
      <c r="F7165" t="inlineStr">
        <is>
          <t>VÄRMLANDS LÄN</t>
        </is>
      </c>
      <c r="G7165" t="inlineStr">
        <is>
          <t>ARVIKA</t>
        </is>
      </c>
      <c r="H7165" t="inlineStr">
        <is>
          <t>Bergvik skog väst AB</t>
        </is>
      </c>
      <c r="I7165" t="n">
        <v>1.9</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56333-2024</t>
        </is>
      </c>
      <c r="B7166" t="inlineStr">
        <is>
          <t>avverkningsanmälan</t>
        </is>
      </c>
      <c r="C7166" t="inlineStr">
        <is>
          <t>Föryngringsavverkning</t>
        </is>
      </c>
      <c r="D7166" s="1" t="n">
        <v>45624</v>
      </c>
      <c r="E7166" s="1" t="n">
        <v>46307</v>
      </c>
      <c r="F7166" t="inlineStr">
        <is>
          <t>VÄRMLANDS LÄN</t>
        </is>
      </c>
      <c r="G7166" t="inlineStr">
        <is>
          <t>ÅRJÄNG</t>
        </is>
      </c>
      <c r="I7166" t="n">
        <v>3.2</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58864-2025</t>
        </is>
      </c>
      <c r="B7167" t="inlineStr">
        <is>
          <t>avverkningsanmälan</t>
        </is>
      </c>
      <c r="C7167" t="inlineStr">
        <is>
          <t>Föryngringsavverkning</t>
        </is>
      </c>
      <c r="D7167" s="1" t="n">
        <v>45987</v>
      </c>
      <c r="E7167" s="1" t="n">
        <v>46307</v>
      </c>
      <c r="F7167" t="inlineStr">
        <is>
          <t>VÄRMLANDS LÄN</t>
        </is>
      </c>
      <c r="G7167" t="inlineStr">
        <is>
          <t>TORSBY</t>
        </is>
      </c>
      <c r="H7167" t="inlineStr">
        <is>
          <t>Kyrkan</t>
        </is>
      </c>
      <c r="I7167" t="n">
        <v>8.199999999999999</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20056-2023</t>
        </is>
      </c>
      <c r="B7168" t="inlineStr">
        <is>
          <t>avverkningsanmälan</t>
        </is>
      </c>
      <c r="C7168" t="inlineStr">
        <is>
          <t>Föryngringsavverkning</t>
        </is>
      </c>
      <c r="D7168" s="1" t="n">
        <v>45054</v>
      </c>
      <c r="E7168" s="1" t="n">
        <v>46307</v>
      </c>
      <c r="F7168" t="inlineStr">
        <is>
          <t>VÄRMLANDS LÄN</t>
        </is>
      </c>
      <c r="G7168" t="inlineStr">
        <is>
          <t>EDA</t>
        </is>
      </c>
      <c r="I7168" t="n">
        <v>1.9</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20060-2023</t>
        </is>
      </c>
      <c r="B7169" t="inlineStr">
        <is>
          <t>avverkningsanmälan</t>
        </is>
      </c>
      <c r="C7169" t="inlineStr">
        <is>
          <t>Föryngringsavverkning</t>
        </is>
      </c>
      <c r="D7169" s="1" t="n">
        <v>45054</v>
      </c>
      <c r="E7169" s="1" t="n">
        <v>46307</v>
      </c>
      <c r="F7169" t="inlineStr">
        <is>
          <t>VÄRMLANDS LÄN</t>
        </is>
      </c>
      <c r="G7169" t="inlineStr">
        <is>
          <t>HAGFORS</t>
        </is>
      </c>
      <c r="I7169" t="n">
        <v>1.8</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3793-2025</t>
        </is>
      </c>
      <c r="B7170" t="inlineStr">
        <is>
          <t>avverkningsanmälan</t>
        </is>
      </c>
      <c r="C7170" t="inlineStr">
        <is>
          <t>Föryngringsavverkning</t>
        </is>
      </c>
      <c r="D7170" s="1" t="n">
        <v>45681</v>
      </c>
      <c r="E7170" s="1" t="n">
        <v>46307</v>
      </c>
      <c r="F7170" t="inlineStr">
        <is>
          <t>VÄRMLANDS LÄN</t>
        </is>
      </c>
      <c r="G7170" t="inlineStr">
        <is>
          <t>KRISTINEHAMN</t>
        </is>
      </c>
      <c r="H7170" t="inlineStr">
        <is>
          <t>Kommuner</t>
        </is>
      </c>
      <c r="I7170" t="n">
        <v>0.8</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15956-2026</t>
        </is>
      </c>
      <c r="B7171" t="inlineStr">
        <is>
          <t>avverkningsanmälan</t>
        </is>
      </c>
      <c r="C7171" t="inlineStr">
        <is>
          <t>Avverkning för annat ändamål</t>
        </is>
      </c>
      <c r="D7171" s="1" t="n">
        <v>46108</v>
      </c>
      <c r="E7171" s="1" t="n">
        <v>46307</v>
      </c>
      <c r="F7171" t="inlineStr">
        <is>
          <t>VÄRMLANDS LÄN</t>
        </is>
      </c>
      <c r="G7171" t="inlineStr">
        <is>
          <t>EDA</t>
        </is>
      </c>
      <c r="I7171" t="n">
        <v>3.5</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2189-2025</t>
        </is>
      </c>
      <c r="B7172" t="inlineStr">
        <is>
          <t>avverkningsanmälan</t>
        </is>
      </c>
      <c r="C7172" t="inlineStr">
        <is>
          <t>Föryngringsavverkning</t>
        </is>
      </c>
      <c r="D7172" s="1" t="n">
        <v>45672</v>
      </c>
      <c r="E7172" s="1" t="n">
        <v>46307</v>
      </c>
      <c r="F7172" t="inlineStr">
        <is>
          <t>VÄRMLANDS LÄN</t>
        </is>
      </c>
      <c r="G7172" t="inlineStr">
        <is>
          <t>ARVIKA</t>
        </is>
      </c>
      <c r="I7172" t="n">
        <v>16.2</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920-2022</t>
        </is>
      </c>
      <c r="B7173" t="inlineStr">
        <is>
          <t>avverkningsanmälan</t>
        </is>
      </c>
      <c r="C7173" t="inlineStr">
        <is>
          <t>Föryngringsavverkning</t>
        </is>
      </c>
      <c r="D7173" s="1" t="n">
        <v>44571</v>
      </c>
      <c r="E7173" s="1" t="n">
        <v>46307</v>
      </c>
      <c r="F7173" t="inlineStr">
        <is>
          <t>VÄRMLANDS LÄN</t>
        </is>
      </c>
      <c r="G7173" t="inlineStr">
        <is>
          <t>HAGFORS</t>
        </is>
      </c>
      <c r="I7173" t="n">
        <v>1.2</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23027-2023</t>
        </is>
      </c>
      <c r="B7174" t="inlineStr">
        <is>
          <t>avverkningsanmälan</t>
        </is>
      </c>
      <c r="C7174" t="inlineStr">
        <is>
          <t>Föryngringsavverkning</t>
        </is>
      </c>
      <c r="D7174" s="1" t="n">
        <v>45074</v>
      </c>
      <c r="E7174" s="1" t="n">
        <v>46307</v>
      </c>
      <c r="F7174" t="inlineStr">
        <is>
          <t>VÄRMLANDS LÄN</t>
        </is>
      </c>
      <c r="G7174" t="inlineStr">
        <is>
          <t>SUNNE</t>
        </is>
      </c>
      <c r="I7174" t="n">
        <v>5.2</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16066-2026</t>
        </is>
      </c>
      <c r="B7175" t="inlineStr">
        <is>
          <t>avverkningsanmälan</t>
        </is>
      </c>
      <c r="C7175" t="inlineStr">
        <is>
          <t>Föryngringsavverkning</t>
        </is>
      </c>
      <c r="D7175" s="1" t="n">
        <v>46108</v>
      </c>
      <c r="E7175" s="1" t="n">
        <v>46307</v>
      </c>
      <c r="F7175" t="inlineStr">
        <is>
          <t>VÄRMLANDS LÄN</t>
        </is>
      </c>
      <c r="G7175" t="inlineStr">
        <is>
          <t>SÄFFLE</t>
        </is>
      </c>
      <c r="I7175" t="n">
        <v>1.1</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20071-2025</t>
        </is>
      </c>
      <c r="B7176" t="inlineStr">
        <is>
          <t>avverkningsanmälan</t>
        </is>
      </c>
      <c r="C7176" t="inlineStr">
        <is>
          <t>Föryngringsavverkning</t>
        </is>
      </c>
      <c r="D7176" s="1" t="n">
        <v>45772</v>
      </c>
      <c r="E7176" s="1" t="n">
        <v>46307</v>
      </c>
      <c r="F7176" t="inlineStr">
        <is>
          <t>VÄRMLANDS LÄN</t>
        </is>
      </c>
      <c r="G7176" t="inlineStr">
        <is>
          <t>ARVIKA</t>
        </is>
      </c>
      <c r="I7176" t="n">
        <v>1.6</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38505-2024</t>
        </is>
      </c>
      <c r="B7177" t="inlineStr">
        <is>
          <t>avverkningsanmälan</t>
        </is>
      </c>
      <c r="C7177" t="inlineStr">
        <is>
          <t>Avverkning för annat ändamål</t>
        </is>
      </c>
      <c r="D7177" s="1" t="n">
        <v>45546</v>
      </c>
      <c r="E7177" s="1" t="n">
        <v>46307</v>
      </c>
      <c r="F7177" t="inlineStr">
        <is>
          <t>VÄRMLANDS LÄN</t>
        </is>
      </c>
      <c r="G7177" t="inlineStr">
        <is>
          <t>EDA</t>
        </is>
      </c>
      <c r="I7177" t="n">
        <v>0</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38517-2024</t>
        </is>
      </c>
      <c r="B7178" t="inlineStr">
        <is>
          <t>avverkningsanmälan</t>
        </is>
      </c>
      <c r="C7178" t="inlineStr">
        <is>
          <t>Föryngringsavverkning</t>
        </is>
      </c>
      <c r="D7178" s="1" t="n">
        <v>45546</v>
      </c>
      <c r="E7178" s="1" t="n">
        <v>46307</v>
      </c>
      <c r="F7178" t="inlineStr">
        <is>
          <t>VÄRMLANDS LÄN</t>
        </is>
      </c>
      <c r="G7178" t="inlineStr">
        <is>
          <t>GRUMS</t>
        </is>
      </c>
      <c r="I7178" t="n">
        <v>1.3</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15899-2024</t>
        </is>
      </c>
      <c r="B7179" t="inlineStr">
        <is>
          <t>avverkningsanmälan</t>
        </is>
      </c>
      <c r="C7179" t="inlineStr">
        <is>
          <t>Föryngringsavverkning</t>
        </is>
      </c>
      <c r="D7179" s="1" t="n">
        <v>45405</v>
      </c>
      <c r="E7179" s="1" t="n">
        <v>46307</v>
      </c>
      <c r="F7179" t="inlineStr">
        <is>
          <t>VÄRMLANDS LÄN</t>
        </is>
      </c>
      <c r="G7179" t="inlineStr">
        <is>
          <t>TORSBY</t>
        </is>
      </c>
      <c r="I7179" t="n">
        <v>1.2</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42150-2024</t>
        </is>
      </c>
      <c r="B7180" t="inlineStr">
        <is>
          <t>avverkningsanmälan</t>
        </is>
      </c>
      <c r="C7180" t="inlineStr">
        <is>
          <t>Föryngringsavverkning</t>
        </is>
      </c>
      <c r="D7180" s="1" t="n">
        <v>45562</v>
      </c>
      <c r="E7180" s="1" t="n">
        <v>46307</v>
      </c>
      <c r="F7180" t="inlineStr">
        <is>
          <t>VÄRMLANDS LÄN</t>
        </is>
      </c>
      <c r="G7180" t="inlineStr">
        <is>
          <t>HAGFORS</t>
        </is>
      </c>
      <c r="H7180" t="inlineStr">
        <is>
          <t>Bergvik skog väst AB</t>
        </is>
      </c>
      <c r="I7180" t="n">
        <v>2.2</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53348-2023</t>
        </is>
      </c>
      <c r="B7181" t="inlineStr">
        <is>
          <t>avverkningsanmälan</t>
        </is>
      </c>
      <c r="C7181" t="inlineStr">
        <is>
          <t>Föryngringsavverkning</t>
        </is>
      </c>
      <c r="D7181" s="1" t="n">
        <v>45229</v>
      </c>
      <c r="E7181" s="1" t="n">
        <v>46307</v>
      </c>
      <c r="F7181" t="inlineStr">
        <is>
          <t>VÄRMLANDS LÄN</t>
        </is>
      </c>
      <c r="G7181" t="inlineStr">
        <is>
          <t>FILIPSTAD</t>
        </is>
      </c>
      <c r="H7181" t="inlineStr">
        <is>
          <t>Bergvik skog väst AB</t>
        </is>
      </c>
      <c r="I7181" t="n">
        <v>2.4</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59282-2025</t>
        </is>
      </c>
      <c r="B7182" t="inlineStr">
        <is>
          <t>avverkningsanmälan</t>
        </is>
      </c>
      <c r="C7182" t="inlineStr">
        <is>
          <t>Föryngringsavverkning</t>
        </is>
      </c>
      <c r="D7182" s="1" t="n">
        <v>45988</v>
      </c>
      <c r="E7182" s="1" t="n">
        <v>46307</v>
      </c>
      <c r="F7182" t="inlineStr">
        <is>
          <t>VÄRMLANDS LÄN</t>
        </is>
      </c>
      <c r="G7182" t="inlineStr">
        <is>
          <t>ARVIKA</t>
        </is>
      </c>
      <c r="I7182" t="n">
        <v>0.9</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59287-2025</t>
        </is>
      </c>
      <c r="B7183" t="inlineStr">
        <is>
          <t>avverkningsanmälan</t>
        </is>
      </c>
      <c r="C7183" t="inlineStr">
        <is>
          <t>Föryngringsavverkning</t>
        </is>
      </c>
      <c r="D7183" s="1" t="n">
        <v>45988</v>
      </c>
      <c r="E7183" s="1" t="n">
        <v>46307</v>
      </c>
      <c r="F7183" t="inlineStr">
        <is>
          <t>VÄRMLANDS LÄN</t>
        </is>
      </c>
      <c r="G7183" t="inlineStr">
        <is>
          <t>ARVIKA</t>
        </is>
      </c>
      <c r="I7183" t="n">
        <v>0.8</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59192-2025</t>
        </is>
      </c>
      <c r="B7184" t="inlineStr">
        <is>
          <t>avverkningsanmälan</t>
        </is>
      </c>
      <c r="C7184" t="inlineStr">
        <is>
          <t>Föryngringsavverkning</t>
        </is>
      </c>
      <c r="D7184" s="1" t="n">
        <v>45988</v>
      </c>
      <c r="E7184" s="1" t="n">
        <v>46307</v>
      </c>
      <c r="F7184" t="inlineStr">
        <is>
          <t>VÄRMLANDS LÄN</t>
        </is>
      </c>
      <c r="G7184" t="inlineStr">
        <is>
          <t>SÄFFLE</t>
        </is>
      </c>
      <c r="I7184" t="n">
        <v>0.8</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59194-2025</t>
        </is>
      </c>
      <c r="B7185" t="inlineStr">
        <is>
          <t>avverkningsanmälan</t>
        </is>
      </c>
      <c r="C7185" t="inlineStr">
        <is>
          <t>Föryngringsavverkning</t>
        </is>
      </c>
      <c r="D7185" s="1" t="n">
        <v>45988</v>
      </c>
      <c r="E7185" s="1" t="n">
        <v>46307</v>
      </c>
      <c r="F7185" t="inlineStr">
        <is>
          <t>VÄRMLANDS LÄN</t>
        </is>
      </c>
      <c r="G7185" t="inlineStr">
        <is>
          <t>SÄFFLE</t>
        </is>
      </c>
      <c r="I7185" t="n">
        <v>1.3</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59414-2025</t>
        </is>
      </c>
      <c r="B7186" t="inlineStr">
        <is>
          <t>avverkningsanmälan</t>
        </is>
      </c>
      <c r="C7186" t="inlineStr">
        <is>
          <t>Föryngringsavverkning</t>
        </is>
      </c>
      <c r="D7186" s="1" t="n">
        <v>45989</v>
      </c>
      <c r="E7186" s="1" t="n">
        <v>46307</v>
      </c>
      <c r="F7186" t="inlineStr">
        <is>
          <t>VÄRMLANDS LÄN</t>
        </is>
      </c>
      <c r="G7186" t="inlineStr">
        <is>
          <t>FILIPSTAD</t>
        </is>
      </c>
      <c r="H7186" t="inlineStr">
        <is>
          <t>Bergvik skog väst AB</t>
        </is>
      </c>
      <c r="I7186" t="n">
        <v>1.4</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59712-2025</t>
        </is>
      </c>
      <c r="B7187" t="inlineStr">
        <is>
          <t>avverkningsanmälan</t>
        </is>
      </c>
      <c r="C7187" t="inlineStr">
        <is>
          <t>Föryngringsavverkning</t>
        </is>
      </c>
      <c r="D7187" s="1" t="n">
        <v>45992</v>
      </c>
      <c r="E7187" s="1" t="n">
        <v>46307</v>
      </c>
      <c r="F7187" t="inlineStr">
        <is>
          <t>VÄRMLANDS LÄN</t>
        </is>
      </c>
      <c r="G7187" t="inlineStr">
        <is>
          <t>FILIPSTAD</t>
        </is>
      </c>
      <c r="H7187" t="inlineStr">
        <is>
          <t>Bergvik skog väst AB</t>
        </is>
      </c>
      <c r="I7187" t="n">
        <v>2.7</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60034-2025</t>
        </is>
      </c>
      <c r="B7188" t="inlineStr">
        <is>
          <t>avverkningsanmälan</t>
        </is>
      </c>
      <c r="C7188" t="inlineStr">
        <is>
          <t>Föryngringsavverkning</t>
        </is>
      </c>
      <c r="D7188" s="1" t="n">
        <v>45992</v>
      </c>
      <c r="E7188" s="1" t="n">
        <v>46307</v>
      </c>
      <c r="F7188" t="inlineStr">
        <is>
          <t>VÄRMLANDS LÄN</t>
        </is>
      </c>
      <c r="G7188" t="inlineStr">
        <is>
          <t>EDA</t>
        </is>
      </c>
      <c r="I7188" t="n">
        <v>3.2</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60046-2025</t>
        </is>
      </c>
      <c r="B7189" t="inlineStr">
        <is>
          <t>avverkningsanmälan</t>
        </is>
      </c>
      <c r="C7189" t="inlineStr">
        <is>
          <t>Föryngringsavverkning</t>
        </is>
      </c>
      <c r="D7189" s="1" t="n">
        <v>45992</v>
      </c>
      <c r="E7189" s="1" t="n">
        <v>46307</v>
      </c>
      <c r="F7189" t="inlineStr">
        <is>
          <t>VÄRMLANDS LÄN</t>
        </is>
      </c>
      <c r="G7189" t="inlineStr">
        <is>
          <t>ARVIKA</t>
        </is>
      </c>
      <c r="I7189" t="n">
        <v>1</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57586-2025</t>
        </is>
      </c>
      <c r="B7190" t="inlineStr">
        <is>
          <t>avverkningsanmälan</t>
        </is>
      </c>
      <c r="C7190" t="inlineStr">
        <is>
          <t>Föryngringsavverkning</t>
        </is>
      </c>
      <c r="D7190" s="1" t="n">
        <v>45980</v>
      </c>
      <c r="E7190" s="1" t="n">
        <v>46307</v>
      </c>
      <c r="F7190" t="inlineStr">
        <is>
          <t>VÄRMLANDS LÄN</t>
        </is>
      </c>
      <c r="G7190" t="inlineStr">
        <is>
          <t>EDA</t>
        </is>
      </c>
      <c r="I7190" t="n">
        <v>3.2</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59700-2025</t>
        </is>
      </c>
      <c r="B7191" t="inlineStr">
        <is>
          <t>avverkningsanmälan</t>
        </is>
      </c>
      <c r="C7191" t="inlineStr">
        <is>
          <t>Föryngringsavverkning</t>
        </is>
      </c>
      <c r="D7191" s="1" t="n">
        <v>45992</v>
      </c>
      <c r="E7191" s="1" t="n">
        <v>46307</v>
      </c>
      <c r="F7191" t="inlineStr">
        <is>
          <t>VÄRMLANDS LÄN</t>
        </is>
      </c>
      <c r="G7191" t="inlineStr">
        <is>
          <t>SUNNE</t>
        </is>
      </c>
      <c r="I7191" t="n">
        <v>0.7</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59707-2025</t>
        </is>
      </c>
      <c r="B7192" t="inlineStr">
        <is>
          <t>avverkningsanmälan</t>
        </is>
      </c>
      <c r="C7192" t="inlineStr">
        <is>
          <t>Föryngringsavverkning</t>
        </is>
      </c>
      <c r="D7192" s="1" t="n">
        <v>45992</v>
      </c>
      <c r="E7192" s="1" t="n">
        <v>46307</v>
      </c>
      <c r="F7192" t="inlineStr">
        <is>
          <t>VÄRMLANDS LÄN</t>
        </is>
      </c>
      <c r="G7192" t="inlineStr">
        <is>
          <t>FILIPSTAD</t>
        </is>
      </c>
      <c r="H7192" t="inlineStr">
        <is>
          <t>Bergvik skog väst AB</t>
        </is>
      </c>
      <c r="I7192" t="n">
        <v>1.5</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59709-2025</t>
        </is>
      </c>
      <c r="B7193" t="inlineStr">
        <is>
          <t>avverkningsanmälan</t>
        </is>
      </c>
      <c r="C7193" t="inlineStr">
        <is>
          <t>Föryngringsavverkning</t>
        </is>
      </c>
      <c r="D7193" s="1" t="n">
        <v>45992</v>
      </c>
      <c r="E7193" s="1" t="n">
        <v>46307</v>
      </c>
      <c r="F7193" t="inlineStr">
        <is>
          <t>VÄRMLANDS LÄN</t>
        </is>
      </c>
      <c r="G7193" t="inlineStr">
        <is>
          <t>FILIPSTAD</t>
        </is>
      </c>
      <c r="H7193" t="inlineStr">
        <is>
          <t>Bergvik skog väst AB</t>
        </is>
      </c>
      <c r="I7193" t="n">
        <v>3.6</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59561-2025</t>
        </is>
      </c>
      <c r="B7194" t="inlineStr">
        <is>
          <t>avverkningsanmälan</t>
        </is>
      </c>
      <c r="C7194" t="inlineStr">
        <is>
          <t>Föryngringsavverkning</t>
        </is>
      </c>
      <c r="D7194" s="1" t="n">
        <v>45991</v>
      </c>
      <c r="E7194" s="1" t="n">
        <v>46307</v>
      </c>
      <c r="F7194" t="inlineStr">
        <is>
          <t>VÄRMLANDS LÄN</t>
        </is>
      </c>
      <c r="G7194" t="inlineStr">
        <is>
          <t>SUNNE</t>
        </is>
      </c>
      <c r="I7194" t="n">
        <v>4.1</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59685-2025</t>
        </is>
      </c>
      <c r="B7195" t="inlineStr">
        <is>
          <t>avverkningsanmälan</t>
        </is>
      </c>
      <c r="C7195" t="inlineStr">
        <is>
          <t>Föryngringsavverkning</t>
        </is>
      </c>
      <c r="D7195" s="1" t="n">
        <v>45992</v>
      </c>
      <c r="E7195" s="1" t="n">
        <v>46307</v>
      </c>
      <c r="F7195" t="inlineStr">
        <is>
          <t>VÄRMLANDS LÄN</t>
        </is>
      </c>
      <c r="G7195" t="inlineStr">
        <is>
          <t>TORSBY</t>
        </is>
      </c>
      <c r="I7195" t="n">
        <v>3.1</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59799-2025</t>
        </is>
      </c>
      <c r="B7196" t="inlineStr">
        <is>
          <t>avverkningsanmälan</t>
        </is>
      </c>
      <c r="C7196" t="inlineStr">
        <is>
          <t>Föryngringsavverkning</t>
        </is>
      </c>
      <c r="D7196" s="1" t="n">
        <v>45992</v>
      </c>
      <c r="E7196" s="1" t="n">
        <v>46307</v>
      </c>
      <c r="F7196" t="inlineStr">
        <is>
          <t>VÄRMLANDS LÄN</t>
        </is>
      </c>
      <c r="G7196" t="inlineStr">
        <is>
          <t>SUNNE</t>
        </is>
      </c>
      <c r="I7196" t="n">
        <v>0.6</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60050-2025</t>
        </is>
      </c>
      <c r="B7197" t="inlineStr">
        <is>
          <t>avverkningsanmälan</t>
        </is>
      </c>
      <c r="C7197" t="inlineStr">
        <is>
          <t>Föryngringsavverkning</t>
        </is>
      </c>
      <c r="D7197" s="1" t="n">
        <v>45992</v>
      </c>
      <c r="E7197" s="1" t="n">
        <v>46307</v>
      </c>
      <c r="F7197" t="inlineStr">
        <is>
          <t>VÄRMLANDS LÄN</t>
        </is>
      </c>
      <c r="G7197" t="inlineStr">
        <is>
          <t>SÄFFLE</t>
        </is>
      </c>
      <c r="I7197" t="n">
        <v>2.1</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59446-2025</t>
        </is>
      </c>
      <c r="B7198" t="inlineStr">
        <is>
          <t>avverkningsanmälan</t>
        </is>
      </c>
      <c r="C7198" t="inlineStr">
        <is>
          <t>Föryngringsavverkning</t>
        </is>
      </c>
      <c r="D7198" s="1" t="n">
        <v>45989</v>
      </c>
      <c r="E7198" s="1" t="n">
        <v>46307</v>
      </c>
      <c r="F7198" t="inlineStr">
        <is>
          <t>VÄRMLANDS LÄN</t>
        </is>
      </c>
      <c r="G7198" t="inlineStr">
        <is>
          <t>SÄFFLE</t>
        </is>
      </c>
      <c r="I7198" t="n">
        <v>2.8</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59102-2025</t>
        </is>
      </c>
      <c r="B7199" t="inlineStr">
        <is>
          <t>avverkningsanmälan</t>
        </is>
      </c>
      <c r="C7199" t="inlineStr">
        <is>
          <t>Föryngringsavverkning</t>
        </is>
      </c>
      <c r="D7199" s="1" t="n">
        <v>45988</v>
      </c>
      <c r="E7199" s="1" t="n">
        <v>46307</v>
      </c>
      <c r="F7199" t="inlineStr">
        <is>
          <t>VÄRMLANDS LÄN</t>
        </is>
      </c>
      <c r="G7199" t="inlineStr">
        <is>
          <t>ARVIKA</t>
        </is>
      </c>
      <c r="I7199" t="n">
        <v>9.800000000000001</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59363-2025</t>
        </is>
      </c>
      <c r="B7200" t="inlineStr">
        <is>
          <t>avverkningsanmälan</t>
        </is>
      </c>
      <c r="C7200" t="inlineStr">
        <is>
          <t>Föryngringsavverkning</t>
        </is>
      </c>
      <c r="D7200" s="1" t="n">
        <v>45989</v>
      </c>
      <c r="E7200" s="1" t="n">
        <v>46307</v>
      </c>
      <c r="F7200" t="inlineStr">
        <is>
          <t>VÄRMLANDS LÄN</t>
        </is>
      </c>
      <c r="G7200" t="inlineStr">
        <is>
          <t>SUNNE</t>
        </is>
      </c>
      <c r="I7200" t="n">
        <v>1.3</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59376-2025</t>
        </is>
      </c>
      <c r="B7201" t="inlineStr">
        <is>
          <t>avverkningsanmälan</t>
        </is>
      </c>
      <c r="C7201" t="inlineStr">
        <is>
          <t>Föryngringsavverkning</t>
        </is>
      </c>
      <c r="D7201" s="1" t="n">
        <v>45989</v>
      </c>
      <c r="E7201" s="1" t="n">
        <v>46307</v>
      </c>
      <c r="F7201" t="inlineStr">
        <is>
          <t>VÄRMLANDS LÄN</t>
        </is>
      </c>
      <c r="G7201" t="inlineStr">
        <is>
          <t>SÄFFLE</t>
        </is>
      </c>
      <c r="I7201" t="n">
        <v>2.6</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59775-2025</t>
        </is>
      </c>
      <c r="B7202" t="inlineStr">
        <is>
          <t>avverkningsanmälan</t>
        </is>
      </c>
      <c r="C7202" t="inlineStr">
        <is>
          <t>Föryngringsavverkning</t>
        </is>
      </c>
      <c r="D7202" s="1" t="n">
        <v>45992</v>
      </c>
      <c r="E7202" s="1" t="n">
        <v>46307</v>
      </c>
      <c r="F7202" t="inlineStr">
        <is>
          <t>VÄRMLANDS LÄN</t>
        </is>
      </c>
      <c r="G7202" t="inlineStr">
        <is>
          <t>SUNNE</t>
        </is>
      </c>
      <c r="I7202" t="n">
        <v>3</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59791-2025</t>
        </is>
      </c>
      <c r="B7203" t="inlineStr">
        <is>
          <t>avverkningsanmälan</t>
        </is>
      </c>
      <c r="C7203" t="inlineStr">
        <is>
          <t>Föryngringsavverkning</t>
        </is>
      </c>
      <c r="D7203" s="1" t="n">
        <v>45992</v>
      </c>
      <c r="E7203" s="1" t="n">
        <v>46307</v>
      </c>
      <c r="F7203" t="inlineStr">
        <is>
          <t>VÄRMLANDS LÄN</t>
        </is>
      </c>
      <c r="G7203" t="inlineStr">
        <is>
          <t>SUNNE</t>
        </is>
      </c>
      <c r="I7203" t="n">
        <v>0.9</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59298-2025</t>
        </is>
      </c>
      <c r="B7204" t="inlineStr">
        <is>
          <t>avverkningsanmälan</t>
        </is>
      </c>
      <c r="C7204" t="inlineStr">
        <is>
          <t>Föryngringsavverkning</t>
        </is>
      </c>
      <c r="D7204" s="1" t="n">
        <v>45988</v>
      </c>
      <c r="E7204" s="1" t="n">
        <v>46307</v>
      </c>
      <c r="F7204" t="inlineStr">
        <is>
          <t>VÄRMLANDS LÄN</t>
        </is>
      </c>
      <c r="G7204" t="inlineStr">
        <is>
          <t>FORSHAGA</t>
        </is>
      </c>
      <c r="I7204" t="n">
        <v>1.8</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60037-2025</t>
        </is>
      </c>
      <c r="B7205" t="inlineStr">
        <is>
          <t>avverkningsanmälan</t>
        </is>
      </c>
      <c r="C7205" t="inlineStr">
        <is>
          <t>Föryngringsavverkning</t>
        </is>
      </c>
      <c r="D7205" s="1" t="n">
        <v>45992</v>
      </c>
      <c r="E7205" s="1" t="n">
        <v>46307</v>
      </c>
      <c r="F7205" t="inlineStr">
        <is>
          <t>VÄRMLANDS LÄN</t>
        </is>
      </c>
      <c r="G7205" t="inlineStr">
        <is>
          <t>EDA</t>
        </is>
      </c>
      <c r="I7205" t="n">
        <v>3.2</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21953-2023</t>
        </is>
      </c>
      <c r="B7206" t="inlineStr">
        <is>
          <t>avverkningsanmälan</t>
        </is>
      </c>
      <c r="C7206" t="inlineStr">
        <is>
          <t>Föryngringsavverkning</t>
        </is>
      </c>
      <c r="D7206" s="1" t="n">
        <v>45068</v>
      </c>
      <c r="E7206" s="1" t="n">
        <v>46307</v>
      </c>
      <c r="F7206" t="inlineStr">
        <is>
          <t>VÄRMLANDS LÄN</t>
        </is>
      </c>
      <c r="G7206" t="inlineStr">
        <is>
          <t>ARVIKA</t>
        </is>
      </c>
      <c r="I7206" t="n">
        <v>1.1</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47455-2023</t>
        </is>
      </c>
      <c r="B7207" t="inlineStr">
        <is>
          <t>avverkningsanmälan</t>
        </is>
      </c>
      <c r="C7207" t="inlineStr">
        <is>
          <t>Föryngringsavverkning</t>
        </is>
      </c>
      <c r="D7207" s="1" t="n">
        <v>45202</v>
      </c>
      <c r="E7207" s="1" t="n">
        <v>46307</v>
      </c>
      <c r="F7207" t="inlineStr">
        <is>
          <t>VÄRMLANDS LÄN</t>
        </is>
      </c>
      <c r="G7207" t="inlineStr">
        <is>
          <t>FILIPSTAD</t>
        </is>
      </c>
      <c r="H7207" t="inlineStr">
        <is>
          <t>Bergvik skog väst AB</t>
        </is>
      </c>
      <c r="I7207" t="n">
        <v>5.1</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816-2024</t>
        </is>
      </c>
      <c r="B7208" t="inlineStr">
        <is>
          <t>avverkningsanmälan</t>
        </is>
      </c>
      <c r="C7208" t="inlineStr">
        <is>
          <t>Föryngringsavverkning</t>
        </is>
      </c>
      <c r="D7208" s="1" t="n">
        <v>45300</v>
      </c>
      <c r="E7208" s="1" t="n">
        <v>46307</v>
      </c>
      <c r="F7208" t="inlineStr">
        <is>
          <t>VÄRMLANDS LÄN</t>
        </is>
      </c>
      <c r="G7208" t="inlineStr">
        <is>
          <t>SUNNE</t>
        </is>
      </c>
      <c r="I7208" t="n">
        <v>0.5</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15023-2026</t>
        </is>
      </c>
      <c r="B7209" t="inlineStr">
        <is>
          <t>avverkningsanmälan</t>
        </is>
      </c>
      <c r="C7209" t="inlineStr">
        <is>
          <t>Föryngringsavverkning</t>
        </is>
      </c>
      <c r="D7209" s="1" t="n">
        <v>46104</v>
      </c>
      <c r="E7209" s="1" t="n">
        <v>46307</v>
      </c>
      <c r="F7209" t="inlineStr">
        <is>
          <t>VÄRMLANDS LÄN</t>
        </is>
      </c>
      <c r="G7209" t="inlineStr">
        <is>
          <t>TORSBY</t>
        </is>
      </c>
      <c r="I7209" t="n">
        <v>0.5</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16206-2026</t>
        </is>
      </c>
      <c r="B7210" t="inlineStr">
        <is>
          <t>avverkningsanmälan</t>
        </is>
      </c>
      <c r="C7210" t="inlineStr">
        <is>
          <t>Föryngringsavverkning</t>
        </is>
      </c>
      <c r="D7210" s="1" t="n">
        <v>46108</v>
      </c>
      <c r="E7210" s="1" t="n">
        <v>46307</v>
      </c>
      <c r="F7210" t="inlineStr">
        <is>
          <t>VÄRMLANDS LÄN</t>
        </is>
      </c>
      <c r="G7210" t="inlineStr">
        <is>
          <t>EDA</t>
        </is>
      </c>
      <c r="I7210" t="n">
        <v>1.6</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17882-2025</t>
        </is>
      </c>
      <c r="B7211" t="inlineStr">
        <is>
          <t>avverkningsanmälan</t>
        </is>
      </c>
      <c r="C7211" t="inlineStr">
        <is>
          <t>Föryngringsavverkning</t>
        </is>
      </c>
      <c r="D7211" s="1" t="n">
        <v>45758</v>
      </c>
      <c r="E7211" s="1" t="n">
        <v>46307</v>
      </c>
      <c r="F7211" t="inlineStr">
        <is>
          <t>VÄRMLANDS LÄN</t>
        </is>
      </c>
      <c r="G7211" t="inlineStr">
        <is>
          <t>HAGFORS</t>
        </is>
      </c>
      <c r="I7211" t="n">
        <v>1.7</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16318-2026</t>
        </is>
      </c>
      <c r="B7212" t="inlineStr">
        <is>
          <t>avverkningsanmälan</t>
        </is>
      </c>
      <c r="C7212" t="inlineStr">
        <is>
          <t>Föryngringsavverkning</t>
        </is>
      </c>
      <c r="D7212" s="1" t="n">
        <v>46111</v>
      </c>
      <c r="E7212" s="1" t="n">
        <v>46307</v>
      </c>
      <c r="F7212" t="inlineStr">
        <is>
          <t>VÄRMLANDS LÄN</t>
        </is>
      </c>
      <c r="G7212" t="inlineStr">
        <is>
          <t>TORSBY</t>
        </is>
      </c>
      <c r="I7212" t="n">
        <v>0.7</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41130-2022</t>
        </is>
      </c>
      <c r="B7213" t="inlineStr">
        <is>
          <t>avverkningsanmälan</t>
        </is>
      </c>
      <c r="C7213" t="inlineStr">
        <is>
          <t>Föryngringsavverkning</t>
        </is>
      </c>
      <c r="D7213" s="1" t="n">
        <v>44825</v>
      </c>
      <c r="E7213" s="1" t="n">
        <v>46307</v>
      </c>
      <c r="F7213" t="inlineStr">
        <is>
          <t>VÄRMLANDS LÄN</t>
        </is>
      </c>
      <c r="G7213" t="inlineStr">
        <is>
          <t>TORSBY</t>
        </is>
      </c>
      <c r="H7213" t="inlineStr">
        <is>
          <t>Kyrkan</t>
        </is>
      </c>
      <c r="I7213" t="n">
        <v>1.3</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16919-2026</t>
        </is>
      </c>
      <c r="B7214" t="inlineStr">
        <is>
          <t>avverkningsanmälan</t>
        </is>
      </c>
      <c r="C7214" t="inlineStr">
        <is>
          <t>Föryngringsavverkning</t>
        </is>
      </c>
      <c r="D7214" s="1" t="n">
        <v>46113</v>
      </c>
      <c r="E7214" s="1" t="n">
        <v>46307</v>
      </c>
      <c r="F7214" t="inlineStr">
        <is>
          <t>VÄRMLANDS LÄN</t>
        </is>
      </c>
      <c r="G7214" t="inlineStr">
        <is>
          <t>TORSBY</t>
        </is>
      </c>
      <c r="I7214" t="n">
        <v>2.2</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59744-2025</t>
        </is>
      </c>
      <c r="B7215" t="inlineStr">
        <is>
          <t>avverkningsanmälan</t>
        </is>
      </c>
      <c r="C7215" t="inlineStr">
        <is>
          <t>Föryngringsavverkning</t>
        </is>
      </c>
      <c r="D7215" s="1" t="n">
        <v>45992</v>
      </c>
      <c r="E7215" s="1" t="n">
        <v>46307</v>
      </c>
      <c r="F7215" t="inlineStr">
        <is>
          <t>VÄRMLANDS LÄN</t>
        </is>
      </c>
      <c r="G7215" t="inlineStr">
        <is>
          <t>TORSBY</t>
        </is>
      </c>
      <c r="I7215" t="n">
        <v>0.7</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18821-2024</t>
        </is>
      </c>
      <c r="B7216" t="inlineStr">
        <is>
          <t>avverkningsanmälan</t>
        </is>
      </c>
      <c r="C7216" t="inlineStr">
        <is>
          <t>Föryngringsavverkning</t>
        </is>
      </c>
      <c r="D7216" s="1" t="n">
        <v>45426</v>
      </c>
      <c r="E7216" s="1" t="n">
        <v>46307</v>
      </c>
      <c r="F7216" t="inlineStr">
        <is>
          <t>VÄRMLANDS LÄN</t>
        </is>
      </c>
      <c r="G7216" t="inlineStr">
        <is>
          <t>SUNNE</t>
        </is>
      </c>
      <c r="I7216" t="n">
        <v>5.4</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46526-2022</t>
        </is>
      </c>
      <c r="B7217" t="inlineStr">
        <is>
          <t>avverkningsanmälan</t>
        </is>
      </c>
      <c r="C7217" t="inlineStr">
        <is>
          <t>Föryngringsavverkning</t>
        </is>
      </c>
      <c r="D7217" s="1" t="n">
        <v>44847</v>
      </c>
      <c r="E7217" s="1" t="n">
        <v>46307</v>
      </c>
      <c r="F7217" t="inlineStr">
        <is>
          <t>VÄRMLANDS LÄN</t>
        </is>
      </c>
      <c r="G7217" t="inlineStr">
        <is>
          <t>KRISTINEHAMN</t>
        </is>
      </c>
      <c r="I7217" t="n">
        <v>1.2</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46530-2022</t>
        </is>
      </c>
      <c r="B7218" t="inlineStr">
        <is>
          <t>avverkningsanmälan</t>
        </is>
      </c>
      <c r="C7218" t="inlineStr">
        <is>
          <t>Föryngringsavverkning</t>
        </is>
      </c>
      <c r="D7218" s="1" t="n">
        <v>44848</v>
      </c>
      <c r="E7218" s="1" t="n">
        <v>46307</v>
      </c>
      <c r="F7218" t="inlineStr">
        <is>
          <t>VÄRMLANDS LÄN</t>
        </is>
      </c>
      <c r="G7218" t="inlineStr">
        <is>
          <t>ARVIKA</t>
        </is>
      </c>
      <c r="I7218" t="n">
        <v>1.5</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59783-2025</t>
        </is>
      </c>
      <c r="B7219" t="inlineStr">
        <is>
          <t>avverkningsanmälan</t>
        </is>
      </c>
      <c r="C7219" t="inlineStr">
        <is>
          <t>Föryngringsavverkning</t>
        </is>
      </c>
      <c r="D7219" s="1" t="n">
        <v>45992</v>
      </c>
      <c r="E7219" s="1" t="n">
        <v>46307</v>
      </c>
      <c r="F7219" t="inlineStr">
        <is>
          <t>VÄRMLANDS LÄN</t>
        </is>
      </c>
      <c r="G7219" t="inlineStr">
        <is>
          <t>SUNNE</t>
        </is>
      </c>
      <c r="I7219" t="n">
        <v>0.5</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1803-2024</t>
        </is>
      </c>
      <c r="B7220" t="inlineStr">
        <is>
          <t>avverkningsanmälan</t>
        </is>
      </c>
      <c r="C7220" t="inlineStr">
        <is>
          <t>Föryngringsavverkning</t>
        </is>
      </c>
      <c r="D7220" s="1" t="n">
        <v>45307</v>
      </c>
      <c r="E7220" s="1" t="n">
        <v>46307</v>
      </c>
      <c r="F7220" t="inlineStr">
        <is>
          <t>VÄRMLANDS LÄN</t>
        </is>
      </c>
      <c r="G7220" t="inlineStr">
        <is>
          <t>TORSBY</t>
        </is>
      </c>
      <c r="I7220" t="n">
        <v>12.9</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57981-2022</t>
        </is>
      </c>
      <c r="B7221" t="inlineStr">
        <is>
          <t>avverkningsanmälan</t>
        </is>
      </c>
      <c r="C7221" t="inlineStr">
        <is>
          <t>Föryngringsavverkning</t>
        </is>
      </c>
      <c r="D7221" s="1" t="n">
        <v>44900</v>
      </c>
      <c r="E7221" s="1" t="n">
        <v>46307</v>
      </c>
      <c r="F7221" t="inlineStr">
        <is>
          <t>VÄRMLANDS LÄN</t>
        </is>
      </c>
      <c r="G7221" t="inlineStr">
        <is>
          <t>STORFORS</t>
        </is>
      </c>
      <c r="H7221" t="inlineStr">
        <is>
          <t>Naturvårdsverket</t>
        </is>
      </c>
      <c r="I7221" t="n">
        <v>1.2</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59423-2025</t>
        </is>
      </c>
      <c r="B7222" t="inlineStr">
        <is>
          <t>avverkningsanmälan</t>
        </is>
      </c>
      <c r="C7222" t="inlineStr">
        <is>
          <t>Föryngringsavverkning</t>
        </is>
      </c>
      <c r="D7222" s="1" t="n">
        <v>45989</v>
      </c>
      <c r="E7222" s="1" t="n">
        <v>46307</v>
      </c>
      <c r="F7222" t="inlineStr">
        <is>
          <t>VÄRMLANDS LÄN</t>
        </is>
      </c>
      <c r="G7222" t="inlineStr">
        <is>
          <t>FILIPSTAD</t>
        </is>
      </c>
      <c r="I7222" t="n">
        <v>1.5</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59361-2025</t>
        </is>
      </c>
      <c r="B7223" t="inlineStr">
        <is>
          <t>avverkningsanmälan</t>
        </is>
      </c>
      <c r="C7223" t="inlineStr">
        <is>
          <t>Föryngringsavverkning</t>
        </is>
      </c>
      <c r="D7223" s="1" t="n">
        <v>45989</v>
      </c>
      <c r="E7223" s="1" t="n">
        <v>46307</v>
      </c>
      <c r="F7223" t="inlineStr">
        <is>
          <t>VÄRMLANDS LÄN</t>
        </is>
      </c>
      <c r="G7223" t="inlineStr">
        <is>
          <t>SUNNE</t>
        </is>
      </c>
      <c r="I7223" t="n">
        <v>3.5</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59729-2025</t>
        </is>
      </c>
      <c r="B7224" t="inlineStr">
        <is>
          <t>avverkningsanmälan</t>
        </is>
      </c>
      <c r="C7224" t="inlineStr">
        <is>
          <t>Föryngringsavverkning</t>
        </is>
      </c>
      <c r="D7224" s="1" t="n">
        <v>45992</v>
      </c>
      <c r="E7224" s="1" t="n">
        <v>46307</v>
      </c>
      <c r="F7224" t="inlineStr">
        <is>
          <t>VÄRMLANDS LÄN</t>
        </is>
      </c>
      <c r="G7224" t="inlineStr">
        <is>
          <t>TORSBY</t>
        </is>
      </c>
      <c r="I7224" t="n">
        <v>1.5</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59381-2025</t>
        </is>
      </c>
      <c r="B7225" t="inlineStr">
        <is>
          <t>avverkningsanmälan</t>
        </is>
      </c>
      <c r="C7225" t="inlineStr">
        <is>
          <t>Föryngringsavverkning</t>
        </is>
      </c>
      <c r="D7225" s="1" t="n">
        <v>45989</v>
      </c>
      <c r="E7225" s="1" t="n">
        <v>46307</v>
      </c>
      <c r="F7225" t="inlineStr">
        <is>
          <t>VÄRMLANDS LÄN</t>
        </is>
      </c>
      <c r="G7225" t="inlineStr">
        <is>
          <t>SÄFFLE</t>
        </is>
      </c>
      <c r="I7225" t="n">
        <v>7.2</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20349-2025</t>
        </is>
      </c>
      <c r="B7226" t="inlineStr">
        <is>
          <t>avverkningsanmälan</t>
        </is>
      </c>
      <c r="C7226" t="inlineStr">
        <is>
          <t>Föryngringsavverkning</t>
        </is>
      </c>
      <c r="D7226" s="1" t="n">
        <v>45775</v>
      </c>
      <c r="E7226" s="1" t="n">
        <v>46307</v>
      </c>
      <c r="F7226" t="inlineStr">
        <is>
          <t>VÄRMLANDS LÄN</t>
        </is>
      </c>
      <c r="G7226" t="inlineStr">
        <is>
          <t>ARVIKA</t>
        </is>
      </c>
      <c r="H7226" t="inlineStr">
        <is>
          <t>Bergvik skog väst AB</t>
        </is>
      </c>
      <c r="I7226" t="n">
        <v>1.8</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25796-2024</t>
        </is>
      </c>
      <c r="B7227" t="inlineStr">
        <is>
          <t>avverkningsanmälan</t>
        </is>
      </c>
      <c r="C7227" t="inlineStr">
        <is>
          <t>Föryngringsavverkning</t>
        </is>
      </c>
      <c r="D7227" s="1" t="n">
        <v>45467</v>
      </c>
      <c r="E7227" s="1" t="n">
        <v>46307</v>
      </c>
      <c r="F7227" t="inlineStr">
        <is>
          <t>VÄRMLANDS LÄN</t>
        </is>
      </c>
      <c r="G7227" t="inlineStr">
        <is>
          <t>SUNNE</t>
        </is>
      </c>
      <c r="I7227" t="n">
        <v>0.4</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36419-2024</t>
        </is>
      </c>
      <c r="B7228" t="inlineStr">
        <is>
          <t>avverkningsanmälan</t>
        </is>
      </c>
      <c r="C7228" t="inlineStr">
        <is>
          <t>Föryngringsavverkning</t>
        </is>
      </c>
      <c r="D7228" s="1" t="n">
        <v>45536</v>
      </c>
      <c r="E7228" s="1" t="n">
        <v>46307</v>
      </c>
      <c r="F7228" t="inlineStr">
        <is>
          <t>VÄRMLANDS LÄN</t>
        </is>
      </c>
      <c r="G7228" t="inlineStr">
        <is>
          <t>TORSBY</t>
        </is>
      </c>
      <c r="I7228" t="n">
        <v>8.9</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20745-2023</t>
        </is>
      </c>
      <c r="B7229" t="inlineStr">
        <is>
          <t>avverkningsanmälan</t>
        </is>
      </c>
      <c r="C7229" t="inlineStr">
        <is>
          <t>Föryngringsavverkning</t>
        </is>
      </c>
      <c r="D7229" s="1" t="n">
        <v>45058</v>
      </c>
      <c r="E7229" s="1" t="n">
        <v>46307</v>
      </c>
      <c r="F7229" t="inlineStr">
        <is>
          <t>VÄRMLANDS LÄN</t>
        </is>
      </c>
      <c r="G7229" t="inlineStr">
        <is>
          <t>TORSBY</t>
        </is>
      </c>
      <c r="I7229" t="n">
        <v>1</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60178-2023</t>
        </is>
      </c>
      <c r="B7230" t="inlineStr">
        <is>
          <t>avverkningsanmälan</t>
        </is>
      </c>
      <c r="C7230" t="inlineStr">
        <is>
          <t>Avverkning för annat ändamål</t>
        </is>
      </c>
      <c r="D7230" s="1" t="n">
        <v>45258</v>
      </c>
      <c r="E7230" s="1" t="n">
        <v>46307</v>
      </c>
      <c r="F7230" t="inlineStr">
        <is>
          <t>VÄRMLANDS LÄN</t>
        </is>
      </c>
      <c r="G7230" t="inlineStr">
        <is>
          <t>HAGFORS</t>
        </is>
      </c>
      <c r="H7230" t="inlineStr">
        <is>
          <t>Bergvik skog väst AB</t>
        </is>
      </c>
      <c r="I7230" t="n">
        <v>2.1</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60184-2023</t>
        </is>
      </c>
      <c r="B7231" t="inlineStr">
        <is>
          <t>avverkningsanmälan</t>
        </is>
      </c>
      <c r="C7231" t="inlineStr">
        <is>
          <t>Föryngringsavverkning</t>
        </is>
      </c>
      <c r="D7231" s="1" t="n">
        <v>45258</v>
      </c>
      <c r="E7231" s="1" t="n">
        <v>46307</v>
      </c>
      <c r="F7231" t="inlineStr">
        <is>
          <t>VÄRMLANDS LÄN</t>
        </is>
      </c>
      <c r="G7231" t="inlineStr">
        <is>
          <t>KARLSTAD</t>
        </is>
      </c>
      <c r="I7231" t="n">
        <v>1.3</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15587-2026</t>
        </is>
      </c>
      <c r="B7232" t="inlineStr">
        <is>
          <t>avverkningsanmälan</t>
        </is>
      </c>
      <c r="C7232" t="inlineStr">
        <is>
          <t>Föryngringsavverkning</t>
        </is>
      </c>
      <c r="D7232" s="1" t="n">
        <v>46106</v>
      </c>
      <c r="E7232" s="1" t="n">
        <v>46307</v>
      </c>
      <c r="F7232" t="inlineStr">
        <is>
          <t>VÄRMLANDS LÄN</t>
        </is>
      </c>
      <c r="G7232" t="inlineStr">
        <is>
          <t>HAGFORS</t>
        </is>
      </c>
      <c r="I7232" t="n">
        <v>0.9</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61764-2022</t>
        </is>
      </c>
      <c r="B7233" t="inlineStr">
        <is>
          <t>avverkningsanmälan</t>
        </is>
      </c>
      <c r="C7233" t="inlineStr">
        <is>
          <t>Föryngringsavverkning</t>
        </is>
      </c>
      <c r="D7233" s="1" t="n">
        <v>44911</v>
      </c>
      <c r="E7233" s="1" t="n">
        <v>46307</v>
      </c>
      <c r="F7233" t="inlineStr">
        <is>
          <t>VÄRMLANDS LÄN</t>
        </is>
      </c>
      <c r="G7233" t="inlineStr">
        <is>
          <t>ÅRJÄNG</t>
        </is>
      </c>
      <c r="H7233" t="inlineStr">
        <is>
          <t>Övriga Aktiebolag</t>
        </is>
      </c>
      <c r="I7233" t="n">
        <v>1.9</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19052-2023</t>
        </is>
      </c>
      <c r="B7234" t="inlineStr">
        <is>
          <t>avverkningsanmälan</t>
        </is>
      </c>
      <c r="C7234" t="inlineStr">
        <is>
          <t>Föryngringsavverkning</t>
        </is>
      </c>
      <c r="D7234" s="1" t="n">
        <v>45047</v>
      </c>
      <c r="E7234" s="1" t="n">
        <v>46307</v>
      </c>
      <c r="F7234" t="inlineStr">
        <is>
          <t>VÄRMLANDS LÄN</t>
        </is>
      </c>
      <c r="G7234" t="inlineStr">
        <is>
          <t>ÅRJÄNG</t>
        </is>
      </c>
      <c r="I7234" t="n">
        <v>3.5</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9004-2023</t>
        </is>
      </c>
      <c r="B7235" t="inlineStr">
        <is>
          <t>avverkningsanmälan</t>
        </is>
      </c>
      <c r="C7235" t="inlineStr">
        <is>
          <t>Föryngringsavverkning</t>
        </is>
      </c>
      <c r="D7235" s="1" t="n">
        <v>44979</v>
      </c>
      <c r="E7235" s="1" t="n">
        <v>46307</v>
      </c>
      <c r="F7235" t="inlineStr">
        <is>
          <t>VÄRMLANDS LÄN</t>
        </is>
      </c>
      <c r="G7235" t="inlineStr">
        <is>
          <t>SUNNE</t>
        </is>
      </c>
      <c r="I7235" t="n">
        <v>1.4</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16734-2026</t>
        </is>
      </c>
      <c r="B7236" t="inlineStr">
        <is>
          <t>avverkningsanmälan</t>
        </is>
      </c>
      <c r="C7236" t="inlineStr">
        <is>
          <t>Föryngringsavverkning</t>
        </is>
      </c>
      <c r="D7236" s="1" t="n">
        <v>46113</v>
      </c>
      <c r="E7236" s="1" t="n">
        <v>46307</v>
      </c>
      <c r="F7236" t="inlineStr">
        <is>
          <t>VÄRMLANDS LÄN</t>
        </is>
      </c>
      <c r="G7236" t="inlineStr">
        <is>
          <t>ARVIKA</t>
        </is>
      </c>
      <c r="I7236" t="n">
        <v>1.1</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47349-2022</t>
        </is>
      </c>
      <c r="B7237" t="inlineStr">
        <is>
          <t>avverkningsanmälan</t>
        </is>
      </c>
      <c r="C7237" t="inlineStr">
        <is>
          <t>Avverkning för annat ändamål</t>
        </is>
      </c>
      <c r="D7237" s="1" t="n">
        <v>44852</v>
      </c>
      <c r="E7237" s="1" t="n">
        <v>46307</v>
      </c>
      <c r="F7237" t="inlineStr">
        <is>
          <t>VÄRMLANDS LÄN</t>
        </is>
      </c>
      <c r="G7237" t="inlineStr">
        <is>
          <t>KARLSTAD</t>
        </is>
      </c>
      <c r="I7237" t="n">
        <v>2.7</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59410-2025</t>
        </is>
      </c>
      <c r="B7238" t="inlineStr">
        <is>
          <t>avverkningsanmälan</t>
        </is>
      </c>
      <c r="C7238" t="inlineStr">
        <is>
          <t>Föryngringsavverkning</t>
        </is>
      </c>
      <c r="D7238" s="1" t="n">
        <v>45989</v>
      </c>
      <c r="E7238" s="1" t="n">
        <v>46307</v>
      </c>
      <c r="F7238" t="inlineStr">
        <is>
          <t>VÄRMLANDS LÄN</t>
        </is>
      </c>
      <c r="G7238" t="inlineStr">
        <is>
          <t>FILIPSTAD</t>
        </is>
      </c>
      <c r="H7238" t="inlineStr">
        <is>
          <t>Bergvik skog väst AB</t>
        </is>
      </c>
      <c r="I7238" t="n">
        <v>2.7</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62546-2022</t>
        </is>
      </c>
      <c r="B7239" t="inlineStr">
        <is>
          <t>avverkningsanmälan</t>
        </is>
      </c>
      <c r="C7239" t="inlineStr">
        <is>
          <t>Föryngringsavverkning</t>
        </is>
      </c>
      <c r="D7239" s="1" t="n">
        <v>44924</v>
      </c>
      <c r="E7239" s="1" t="n">
        <v>46307</v>
      </c>
      <c r="F7239" t="inlineStr">
        <is>
          <t>VÄRMLANDS LÄN</t>
        </is>
      </c>
      <c r="G7239" t="inlineStr">
        <is>
          <t>HAGFORS</t>
        </is>
      </c>
      <c r="H7239" t="inlineStr">
        <is>
          <t>Bergvik skog väst AB</t>
        </is>
      </c>
      <c r="I7239" t="n">
        <v>4.9</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5095-2023</t>
        </is>
      </c>
      <c r="B7240" t="inlineStr">
        <is>
          <t>avverkningsanmälan</t>
        </is>
      </c>
      <c r="C7240" t="inlineStr">
        <is>
          <t>Föryngringsavverkning</t>
        </is>
      </c>
      <c r="D7240" s="1" t="n">
        <v>44953</v>
      </c>
      <c r="E7240" s="1" t="n">
        <v>46307</v>
      </c>
      <c r="F7240" t="inlineStr">
        <is>
          <t>VÄRMLANDS LÄN</t>
        </is>
      </c>
      <c r="G7240" t="inlineStr">
        <is>
          <t>ÅRJÄNG</t>
        </is>
      </c>
      <c r="I7240" t="n">
        <v>1.5</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16452-2026</t>
        </is>
      </c>
      <c r="B7241" t="inlineStr">
        <is>
          <t>avverkningsanmälan</t>
        </is>
      </c>
      <c r="C7241" t="inlineStr">
        <is>
          <t>Föryngringsavverkning</t>
        </is>
      </c>
      <c r="D7241" s="1" t="n">
        <v>46112</v>
      </c>
      <c r="E7241" s="1" t="n">
        <v>46307</v>
      </c>
      <c r="F7241" t="inlineStr">
        <is>
          <t>VÄRMLANDS LÄN</t>
        </is>
      </c>
      <c r="G7241" t="inlineStr">
        <is>
          <t>TORSBY</t>
        </is>
      </c>
      <c r="I7241" t="n">
        <v>1.8</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21988-2023</t>
        </is>
      </c>
      <c r="B7242" t="inlineStr">
        <is>
          <t>avverkningsanmälan</t>
        </is>
      </c>
      <c r="C7242" t="inlineStr">
        <is>
          <t>Föryngringsavverkning</t>
        </is>
      </c>
      <c r="D7242" s="1" t="n">
        <v>45068</v>
      </c>
      <c r="E7242" s="1" t="n">
        <v>46307</v>
      </c>
      <c r="F7242" t="inlineStr">
        <is>
          <t>VÄRMLANDS LÄN</t>
        </is>
      </c>
      <c r="G7242" t="inlineStr">
        <is>
          <t>TORSBY</t>
        </is>
      </c>
      <c r="H7242" t="inlineStr">
        <is>
          <t>Bergvik skog väst AB</t>
        </is>
      </c>
      <c r="I7242" t="n">
        <v>2</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36850-2024</t>
        </is>
      </c>
      <c r="B7243" t="inlineStr">
        <is>
          <t>avverkningsanmälan</t>
        </is>
      </c>
      <c r="C7243" t="inlineStr">
        <is>
          <t>Föryngringsavverkning</t>
        </is>
      </c>
      <c r="D7243" s="1" t="n">
        <v>45538</v>
      </c>
      <c r="E7243" s="1" t="n">
        <v>46307</v>
      </c>
      <c r="F7243" t="inlineStr">
        <is>
          <t>VÄRMLANDS LÄN</t>
        </is>
      </c>
      <c r="G7243" t="inlineStr">
        <is>
          <t>TORSBY</t>
        </is>
      </c>
      <c r="I7243" t="n">
        <v>2</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15450-2023</t>
        </is>
      </c>
      <c r="B7244" t="inlineStr">
        <is>
          <t>avverkningsanmälan</t>
        </is>
      </c>
      <c r="C7244" t="inlineStr">
        <is>
          <t>Föryngringsavverkning</t>
        </is>
      </c>
      <c r="D7244" s="1" t="n">
        <v>45020</v>
      </c>
      <c r="E7244" s="1" t="n">
        <v>46307</v>
      </c>
      <c r="F7244" t="inlineStr">
        <is>
          <t>VÄRMLANDS LÄN</t>
        </is>
      </c>
      <c r="G7244" t="inlineStr">
        <is>
          <t>TORSBY</t>
        </is>
      </c>
      <c r="I7244" t="n">
        <v>3.8</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42474-2023</t>
        </is>
      </c>
      <c r="B7245" t="inlineStr">
        <is>
          <t>avverkningsanmälan</t>
        </is>
      </c>
      <c r="C7245" t="inlineStr">
        <is>
          <t>Föryngringsavverkning</t>
        </is>
      </c>
      <c r="D7245" s="1" t="n">
        <v>45180</v>
      </c>
      <c r="E7245" s="1" t="n">
        <v>46307</v>
      </c>
      <c r="F7245" t="inlineStr">
        <is>
          <t>VÄRMLANDS LÄN</t>
        </is>
      </c>
      <c r="G7245" t="inlineStr">
        <is>
          <t>SUNNE</t>
        </is>
      </c>
      <c r="I7245" t="n">
        <v>2.4</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16359-2023</t>
        </is>
      </c>
      <c r="B7246" t="inlineStr">
        <is>
          <t>avverkningsanmälan</t>
        </is>
      </c>
      <c r="C7246" t="inlineStr">
        <is>
          <t>Föryngringsavverkning</t>
        </is>
      </c>
      <c r="D7246" s="1" t="n">
        <v>45028</v>
      </c>
      <c r="E7246" s="1" t="n">
        <v>46307</v>
      </c>
      <c r="F7246" t="inlineStr">
        <is>
          <t>VÄRMLANDS LÄN</t>
        </is>
      </c>
      <c r="G7246" t="inlineStr">
        <is>
          <t>STORFORS</t>
        </is>
      </c>
      <c r="I7246" t="n">
        <v>1.1</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16518-2023</t>
        </is>
      </c>
      <c r="B7247" t="inlineStr">
        <is>
          <t>avverkningsanmälan</t>
        </is>
      </c>
      <c r="C7247" t="inlineStr">
        <is>
          <t>Föryngringsavverkning</t>
        </is>
      </c>
      <c r="D7247" s="1" t="n">
        <v>45029</v>
      </c>
      <c r="E7247" s="1" t="n">
        <v>46307</v>
      </c>
      <c r="F7247" t="inlineStr">
        <is>
          <t>VÄRMLANDS LÄN</t>
        </is>
      </c>
      <c r="G7247" t="inlineStr">
        <is>
          <t>SUNNE</t>
        </is>
      </c>
      <c r="I7247" t="n">
        <v>3</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57737-2022</t>
        </is>
      </c>
      <c r="B7248" t="inlineStr">
        <is>
          <t>avverkningsanmälan</t>
        </is>
      </c>
      <c r="C7248" t="inlineStr">
        <is>
          <t>Föryngringsavverkning</t>
        </is>
      </c>
      <c r="D7248" s="1" t="n">
        <v>44897</v>
      </c>
      <c r="E7248" s="1" t="n">
        <v>46307</v>
      </c>
      <c r="F7248" t="inlineStr">
        <is>
          <t>VÄRMLANDS LÄN</t>
        </is>
      </c>
      <c r="G7248" t="inlineStr">
        <is>
          <t>SUNNE</t>
        </is>
      </c>
      <c r="I7248" t="n">
        <v>1.5</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59708-2022</t>
        </is>
      </c>
      <c r="B7249" t="inlineStr">
        <is>
          <t>avverkningsanmälan</t>
        </is>
      </c>
      <c r="C7249" t="inlineStr">
        <is>
          <t>Föryngringsavverkning</t>
        </is>
      </c>
      <c r="D7249" s="1" t="n">
        <v>44900</v>
      </c>
      <c r="E7249" s="1" t="n">
        <v>46307</v>
      </c>
      <c r="F7249" t="inlineStr">
        <is>
          <t>VÄRMLANDS LÄN</t>
        </is>
      </c>
      <c r="G7249" t="inlineStr">
        <is>
          <t>SÄFFLE</t>
        </is>
      </c>
      <c r="I7249" t="n">
        <v>11.2</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34017-2024</t>
        </is>
      </c>
      <c r="B7250" t="inlineStr">
        <is>
          <t>avverkningsanmälan</t>
        </is>
      </c>
      <c r="C7250" t="inlineStr">
        <is>
          <t>Föryngringsavverkning</t>
        </is>
      </c>
      <c r="D7250" s="1" t="n">
        <v>45523</v>
      </c>
      <c r="E7250" s="1" t="n">
        <v>46307</v>
      </c>
      <c r="F7250" t="inlineStr">
        <is>
          <t>VÄRMLANDS LÄN</t>
        </is>
      </c>
      <c r="G7250" t="inlineStr">
        <is>
          <t>SUNNE</t>
        </is>
      </c>
      <c r="I7250" t="n">
        <v>0.5</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62074-2022</t>
        </is>
      </c>
      <c r="B7251" t="inlineStr">
        <is>
          <t>avverkningsanmälan</t>
        </is>
      </c>
      <c r="C7251" t="inlineStr">
        <is>
          <t>Föryngringsavverkning</t>
        </is>
      </c>
      <c r="D7251" s="1" t="n">
        <v>44918</v>
      </c>
      <c r="E7251" s="1" t="n">
        <v>46307</v>
      </c>
      <c r="F7251" t="inlineStr">
        <is>
          <t>VÄRMLANDS LÄN</t>
        </is>
      </c>
      <c r="G7251" t="inlineStr">
        <is>
          <t>ARVIKA</t>
        </is>
      </c>
      <c r="I7251" t="n">
        <v>3.5</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34446-2023</t>
        </is>
      </c>
      <c r="B7252" t="inlineStr">
        <is>
          <t>avverkningsanmälan</t>
        </is>
      </c>
      <c r="C7252" t="inlineStr">
        <is>
          <t>Föryngringsavverkning</t>
        </is>
      </c>
      <c r="D7252" s="1" t="n">
        <v>45135</v>
      </c>
      <c r="E7252" s="1" t="n">
        <v>46307</v>
      </c>
      <c r="F7252" t="inlineStr">
        <is>
          <t>VÄRMLANDS LÄN</t>
        </is>
      </c>
      <c r="G7252" t="inlineStr">
        <is>
          <t>ARVIKA</t>
        </is>
      </c>
      <c r="I7252" t="n">
        <v>1.1</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7749-2025</t>
        </is>
      </c>
      <c r="B7253" t="inlineStr">
        <is>
          <t>avverkningsanmälan</t>
        </is>
      </c>
      <c r="C7253" t="inlineStr">
        <is>
          <t>Föryngringsavverkning</t>
        </is>
      </c>
      <c r="D7253" s="1" t="n">
        <v>45706</v>
      </c>
      <c r="E7253" s="1" t="n">
        <v>46307</v>
      </c>
      <c r="F7253" t="inlineStr">
        <is>
          <t>VÄRMLANDS LÄN</t>
        </is>
      </c>
      <c r="G7253" t="inlineStr">
        <is>
          <t>SUNNE</t>
        </is>
      </c>
      <c r="I7253" t="n">
        <v>0.6</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33948-2023</t>
        </is>
      </c>
      <c r="B7254" t="inlineStr">
        <is>
          <t>avverkningsanmälan</t>
        </is>
      </c>
      <c r="C7254" t="inlineStr">
        <is>
          <t>Föryngringsavverkning</t>
        </is>
      </c>
      <c r="D7254" s="1" t="n">
        <v>45124</v>
      </c>
      <c r="E7254" s="1" t="n">
        <v>46307</v>
      </c>
      <c r="F7254" t="inlineStr">
        <is>
          <t>VÄRMLANDS LÄN</t>
        </is>
      </c>
      <c r="G7254" t="inlineStr">
        <is>
          <t>GRUMS</t>
        </is>
      </c>
      <c r="I7254" t="n">
        <v>5.5</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6529-2025</t>
        </is>
      </c>
      <c r="B7255" t="inlineStr">
        <is>
          <t>avverkningsanmälan</t>
        </is>
      </c>
      <c r="C7255" t="inlineStr">
        <is>
          <t>Föryngringsavverkning</t>
        </is>
      </c>
      <c r="D7255" s="1" t="n">
        <v>45699</v>
      </c>
      <c r="E7255" s="1" t="n">
        <v>46307</v>
      </c>
      <c r="F7255" t="inlineStr">
        <is>
          <t>VÄRMLANDS LÄN</t>
        </is>
      </c>
      <c r="G7255" t="inlineStr">
        <is>
          <t>TORSBY</t>
        </is>
      </c>
      <c r="H7255" t="inlineStr">
        <is>
          <t>Kommuner</t>
        </is>
      </c>
      <c r="I7255" t="n">
        <v>0.2</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6255-2023</t>
        </is>
      </c>
      <c r="B7256" t="inlineStr">
        <is>
          <t>avverkningsanmälan</t>
        </is>
      </c>
      <c r="C7256" t="inlineStr">
        <is>
          <t>Föryngringsavverkning</t>
        </is>
      </c>
      <c r="D7256" s="1" t="n">
        <v>44965</v>
      </c>
      <c r="E7256" s="1" t="n">
        <v>46307</v>
      </c>
      <c r="F7256" t="inlineStr">
        <is>
          <t>VÄRMLANDS LÄN</t>
        </is>
      </c>
      <c r="G7256" t="inlineStr">
        <is>
          <t>ARVIKA</t>
        </is>
      </c>
      <c r="I7256" t="n">
        <v>1.3</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59406-2025</t>
        </is>
      </c>
      <c r="B7257" t="inlineStr">
        <is>
          <t>avverkningsanmälan</t>
        </is>
      </c>
      <c r="C7257" t="inlineStr">
        <is>
          <t>Föryngringsavverkning</t>
        </is>
      </c>
      <c r="D7257" s="1" t="n">
        <v>45989</v>
      </c>
      <c r="E7257" s="1" t="n">
        <v>46307</v>
      </c>
      <c r="F7257" t="inlineStr">
        <is>
          <t>VÄRMLANDS LÄN</t>
        </is>
      </c>
      <c r="G7257" t="inlineStr">
        <is>
          <t>FILIPSTAD</t>
        </is>
      </c>
      <c r="H7257" t="inlineStr">
        <is>
          <t>Bergvik skog väst AB</t>
        </is>
      </c>
      <c r="I7257" t="n">
        <v>8.9</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6532-2025</t>
        </is>
      </c>
      <c r="B7258" t="inlineStr">
        <is>
          <t>avverkningsanmälan</t>
        </is>
      </c>
      <c r="C7258" t="inlineStr">
        <is>
          <t>Föryngringsavverkning</t>
        </is>
      </c>
      <c r="D7258" s="1" t="n">
        <v>45699</v>
      </c>
      <c r="E7258" s="1" t="n">
        <v>46307</v>
      </c>
      <c r="F7258" t="inlineStr">
        <is>
          <t>VÄRMLANDS LÄN</t>
        </is>
      </c>
      <c r="G7258" t="inlineStr">
        <is>
          <t>TORSBY</t>
        </is>
      </c>
      <c r="H7258" t="inlineStr">
        <is>
          <t>Kommuner</t>
        </is>
      </c>
      <c r="I7258" t="n">
        <v>0.3</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17593-2023</t>
        </is>
      </c>
      <c r="B7259" t="inlineStr">
        <is>
          <t>avverkningsanmälan</t>
        </is>
      </c>
      <c r="C7259" t="inlineStr">
        <is>
          <t>Föryngringsavverkning</t>
        </is>
      </c>
      <c r="D7259" s="1" t="n">
        <v>45036</v>
      </c>
      <c r="E7259" s="1" t="n">
        <v>46307</v>
      </c>
      <c r="F7259" t="inlineStr">
        <is>
          <t>VÄRMLANDS LÄN</t>
        </is>
      </c>
      <c r="G7259" t="inlineStr">
        <is>
          <t>EDA</t>
        </is>
      </c>
      <c r="I7259" t="n">
        <v>4.1</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55475-2022</t>
        </is>
      </c>
      <c r="B7260" t="inlineStr">
        <is>
          <t>avverkningsanmälan</t>
        </is>
      </c>
      <c r="C7260" t="inlineStr">
        <is>
          <t>Föryngringsavverkning</t>
        </is>
      </c>
      <c r="D7260" s="1" t="n">
        <v>44887</v>
      </c>
      <c r="E7260" s="1" t="n">
        <v>46307</v>
      </c>
      <c r="F7260" t="inlineStr">
        <is>
          <t>VÄRMLANDS LÄN</t>
        </is>
      </c>
      <c r="G7260" t="inlineStr">
        <is>
          <t>TORSBY</t>
        </is>
      </c>
      <c r="I7260" t="n">
        <v>2.7</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16867-2026</t>
        </is>
      </c>
      <c r="B7261" t="inlineStr">
        <is>
          <t>avverkningsanmälan</t>
        </is>
      </c>
      <c r="C7261" t="inlineStr">
        <is>
          <t>Föryngringsavverkning</t>
        </is>
      </c>
      <c r="D7261" s="1" t="n">
        <v>46113</v>
      </c>
      <c r="E7261" s="1" t="n">
        <v>46307</v>
      </c>
      <c r="F7261" t="inlineStr">
        <is>
          <t>VÄRMLANDS LÄN</t>
        </is>
      </c>
      <c r="G7261" t="inlineStr">
        <is>
          <t>TORSBY</t>
        </is>
      </c>
      <c r="I7261" t="n">
        <v>6.3</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16906-2026</t>
        </is>
      </c>
      <c r="B7262" t="inlineStr">
        <is>
          <t>avverkningsanmälan</t>
        </is>
      </c>
      <c r="C7262" t="inlineStr">
        <is>
          <t>Föryngringsavverkning</t>
        </is>
      </c>
      <c r="D7262" s="1" t="n">
        <v>46113</v>
      </c>
      <c r="E7262" s="1" t="n">
        <v>46307</v>
      </c>
      <c r="F7262" t="inlineStr">
        <is>
          <t>VÄRMLANDS LÄN</t>
        </is>
      </c>
      <c r="G7262" t="inlineStr">
        <is>
          <t>TORSBY</t>
        </is>
      </c>
      <c r="I7262" t="n">
        <v>0.7</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4948-2024</t>
        </is>
      </c>
      <c r="B7263" t="inlineStr">
        <is>
          <t>avverkningsanmälan</t>
        </is>
      </c>
      <c r="C7263" t="inlineStr">
        <is>
          <t>Föryngringsavverkning</t>
        </is>
      </c>
      <c r="D7263" s="1" t="n">
        <v>45329</v>
      </c>
      <c r="E7263" s="1" t="n">
        <v>46307</v>
      </c>
      <c r="F7263" t="inlineStr">
        <is>
          <t>VÄRMLANDS LÄN</t>
        </is>
      </c>
      <c r="G7263" t="inlineStr">
        <is>
          <t>ARVIKA</t>
        </is>
      </c>
      <c r="I7263" t="n">
        <v>1</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61140-2023</t>
        </is>
      </c>
      <c r="B7264" t="inlineStr">
        <is>
          <t>avverkningsanmälan</t>
        </is>
      </c>
      <c r="C7264" t="inlineStr">
        <is>
          <t>Avverkning för att bevara och utveckla /försöksver</t>
        </is>
      </c>
      <c r="D7264" s="1" t="n">
        <v>45261</v>
      </c>
      <c r="E7264" s="1" t="n">
        <v>46307</v>
      </c>
      <c r="F7264" t="inlineStr">
        <is>
          <t>VÄRMLANDS LÄN</t>
        </is>
      </c>
      <c r="G7264" t="inlineStr">
        <is>
          <t>HAGFORS</t>
        </is>
      </c>
      <c r="I7264" t="n">
        <v>2.7</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16679-2026</t>
        </is>
      </c>
      <c r="B7265" t="inlineStr">
        <is>
          <t>avverkningsanmälan</t>
        </is>
      </c>
      <c r="C7265" t="inlineStr">
        <is>
          <t>Föryngringsavverkning</t>
        </is>
      </c>
      <c r="D7265" s="1" t="n">
        <v>46112</v>
      </c>
      <c r="E7265" s="1" t="n">
        <v>46307</v>
      </c>
      <c r="F7265" t="inlineStr">
        <is>
          <t>VÄRMLANDS LÄN</t>
        </is>
      </c>
      <c r="G7265" t="inlineStr">
        <is>
          <t>TORSBY</t>
        </is>
      </c>
      <c r="I7265" t="n">
        <v>3.2</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6863-2023</t>
        </is>
      </c>
      <c r="B7266" t="inlineStr">
        <is>
          <t>avverkningsanmälan</t>
        </is>
      </c>
      <c r="C7266" t="inlineStr">
        <is>
          <t>Föryngringsavverkning</t>
        </is>
      </c>
      <c r="D7266" s="1" t="n">
        <v>44964</v>
      </c>
      <c r="E7266" s="1" t="n">
        <v>46307</v>
      </c>
      <c r="F7266" t="inlineStr">
        <is>
          <t>VÄRMLANDS LÄN</t>
        </is>
      </c>
      <c r="G7266" t="inlineStr">
        <is>
          <t>TORSBY</t>
        </is>
      </c>
      <c r="I7266" t="n">
        <v>1.4</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10476-2025</t>
        </is>
      </c>
      <c r="B7267" t="inlineStr">
        <is>
          <t>avverkningsanmälan</t>
        </is>
      </c>
      <c r="C7267" t="inlineStr">
        <is>
          <t>Föryngringsavverkning</t>
        </is>
      </c>
      <c r="D7267" s="1" t="n">
        <v>45720</v>
      </c>
      <c r="E7267" s="1" t="n">
        <v>46307</v>
      </c>
      <c r="F7267" t="inlineStr">
        <is>
          <t>VÄRMLANDS LÄN</t>
        </is>
      </c>
      <c r="G7267" t="inlineStr">
        <is>
          <t>KIL</t>
        </is>
      </c>
      <c r="H7267" t="inlineStr">
        <is>
          <t>Kyrkan</t>
        </is>
      </c>
      <c r="I7267" t="n">
        <v>1.6</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16910-2026</t>
        </is>
      </c>
      <c r="B7268" t="inlineStr">
        <is>
          <t>avverkningsanmälan</t>
        </is>
      </c>
      <c r="C7268" t="inlineStr">
        <is>
          <t>Föryngringsavverkning</t>
        </is>
      </c>
      <c r="D7268" s="1" t="n">
        <v>46113</v>
      </c>
      <c r="E7268" s="1" t="n">
        <v>46307</v>
      </c>
      <c r="F7268" t="inlineStr">
        <is>
          <t>VÄRMLANDS LÄN</t>
        </is>
      </c>
      <c r="G7268" t="inlineStr">
        <is>
          <t>TORSBY</t>
        </is>
      </c>
      <c r="I7268" t="n">
        <v>2.8</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54535-2023</t>
        </is>
      </c>
      <c r="B7269" t="inlineStr">
        <is>
          <t>avverkningsanmälan</t>
        </is>
      </c>
      <c r="C7269" t="inlineStr">
        <is>
          <t>Föryngringsavverkning</t>
        </is>
      </c>
      <c r="D7269" s="1" t="n">
        <v>45226</v>
      </c>
      <c r="E7269" s="1" t="n">
        <v>46307</v>
      </c>
      <c r="F7269" t="inlineStr">
        <is>
          <t>VÄRMLANDS LÄN</t>
        </is>
      </c>
      <c r="G7269" t="inlineStr">
        <is>
          <t>SUNNE</t>
        </is>
      </c>
      <c r="I7269" t="n">
        <v>3.5</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54548-2023</t>
        </is>
      </c>
      <c r="B7270" t="inlineStr">
        <is>
          <t>avverkningsanmälan</t>
        </is>
      </c>
      <c r="C7270" t="inlineStr">
        <is>
          <t>Föryngringsavverkning</t>
        </is>
      </c>
      <c r="D7270" s="1" t="n">
        <v>45226</v>
      </c>
      <c r="E7270" s="1" t="n">
        <v>46307</v>
      </c>
      <c r="F7270" t="inlineStr">
        <is>
          <t>VÄRMLANDS LÄN</t>
        </is>
      </c>
      <c r="G7270" t="inlineStr">
        <is>
          <t>KRISTINEHAMN</t>
        </is>
      </c>
      <c r="I7270" t="n">
        <v>1.2</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54552-2023</t>
        </is>
      </c>
      <c r="B7271" t="inlineStr">
        <is>
          <t>avverkningsanmälan</t>
        </is>
      </c>
      <c r="C7271" t="inlineStr">
        <is>
          <t>Föryngringsavverkning</t>
        </is>
      </c>
      <c r="D7271" s="1" t="n">
        <v>45226</v>
      </c>
      <c r="E7271" s="1" t="n">
        <v>46307</v>
      </c>
      <c r="F7271" t="inlineStr">
        <is>
          <t>VÄRMLANDS LÄN</t>
        </is>
      </c>
      <c r="G7271" t="inlineStr">
        <is>
          <t>KRISTINEHAMN</t>
        </is>
      </c>
      <c r="I7271" t="n">
        <v>0.5</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5008-2025</t>
        </is>
      </c>
      <c r="B7272" t="inlineStr">
        <is>
          <t>avverkningsanmälan</t>
        </is>
      </c>
      <c r="C7272" t="inlineStr">
        <is>
          <t>Föryngringsavverkning</t>
        </is>
      </c>
      <c r="D7272" s="1" t="n">
        <v>45691</v>
      </c>
      <c r="E7272" s="1" t="n">
        <v>46307</v>
      </c>
      <c r="F7272" t="inlineStr">
        <is>
          <t>VÄRMLANDS LÄN</t>
        </is>
      </c>
      <c r="G7272" t="inlineStr">
        <is>
          <t>SUNNE</t>
        </is>
      </c>
      <c r="I7272" t="n">
        <v>1.6</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51985-2023</t>
        </is>
      </c>
      <c r="B7273" t="inlineStr">
        <is>
          <t>avverkningsanmälan</t>
        </is>
      </c>
      <c r="C7273" t="inlineStr">
        <is>
          <t>Föryngringsavverkning</t>
        </is>
      </c>
      <c r="D7273" s="1" t="n">
        <v>45223</v>
      </c>
      <c r="E7273" s="1" t="n">
        <v>46307</v>
      </c>
      <c r="F7273" t="inlineStr">
        <is>
          <t>VÄRMLANDS LÄN</t>
        </is>
      </c>
      <c r="G7273" t="inlineStr">
        <is>
          <t>FILIPSTAD</t>
        </is>
      </c>
      <c r="H7273" t="inlineStr">
        <is>
          <t>Bergvik skog väst AB</t>
        </is>
      </c>
      <c r="I7273" t="n">
        <v>6.7</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389-2024</t>
        </is>
      </c>
      <c r="B7274" t="inlineStr">
        <is>
          <t>avverkningsanmälan</t>
        </is>
      </c>
      <c r="C7274" t="inlineStr">
        <is>
          <t>Föryngringsavverkning</t>
        </is>
      </c>
      <c r="D7274" s="1" t="n">
        <v>45296</v>
      </c>
      <c r="E7274" s="1" t="n">
        <v>46307</v>
      </c>
      <c r="F7274" t="inlineStr">
        <is>
          <t>VÄRMLANDS LÄN</t>
        </is>
      </c>
      <c r="G7274" t="inlineStr">
        <is>
          <t>EDA</t>
        </is>
      </c>
      <c r="I7274" t="n">
        <v>1.2</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50904-2023</t>
        </is>
      </c>
      <c r="B7275" t="inlineStr">
        <is>
          <t>avverkningsanmälan</t>
        </is>
      </c>
      <c r="C7275" t="inlineStr">
        <is>
          <t>Föryngringsavverkning</t>
        </is>
      </c>
      <c r="D7275" s="1" t="n">
        <v>45218</v>
      </c>
      <c r="E7275" s="1" t="n">
        <v>46307</v>
      </c>
      <c r="F7275" t="inlineStr">
        <is>
          <t>VÄRMLANDS LÄN</t>
        </is>
      </c>
      <c r="G7275" t="inlineStr">
        <is>
          <t>FILIPSTAD</t>
        </is>
      </c>
      <c r="I7275" t="n">
        <v>2.1</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16585-2026</t>
        </is>
      </c>
      <c r="B7276" t="inlineStr">
        <is>
          <t>avverkningsanmälan</t>
        </is>
      </c>
      <c r="C7276" t="inlineStr">
        <is>
          <t>Föryngringsavverkning</t>
        </is>
      </c>
      <c r="D7276" s="1" t="n">
        <v>46112</v>
      </c>
      <c r="E7276" s="1" t="n">
        <v>46307</v>
      </c>
      <c r="F7276" t="inlineStr">
        <is>
          <t>VÄRMLANDS LÄN</t>
        </is>
      </c>
      <c r="G7276" t="inlineStr">
        <is>
          <t>KIL</t>
        </is>
      </c>
      <c r="I7276" t="n">
        <v>1.6</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37325-2024</t>
        </is>
      </c>
      <c r="B7277" t="inlineStr">
        <is>
          <t>avverkningsanmälan</t>
        </is>
      </c>
      <c r="C7277" t="inlineStr">
        <is>
          <t>Föryngringsavverkning</t>
        </is>
      </c>
      <c r="D7277" s="1" t="n">
        <v>45540</v>
      </c>
      <c r="E7277" s="1" t="n">
        <v>46307</v>
      </c>
      <c r="F7277" t="inlineStr">
        <is>
          <t>VÄRMLANDS LÄN</t>
        </is>
      </c>
      <c r="G7277" t="inlineStr">
        <is>
          <t>ÅRJÄNG</t>
        </is>
      </c>
      <c r="I7277" t="n">
        <v>0.9</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4269-2022</t>
        </is>
      </c>
      <c r="B7278" t="inlineStr">
        <is>
          <t>avverkningsanmälan</t>
        </is>
      </c>
      <c r="C7278" t="inlineStr">
        <is>
          <t>Föryngringsavverkning</t>
        </is>
      </c>
      <c r="D7278" s="1" t="n">
        <v>44588</v>
      </c>
      <c r="E7278" s="1" t="n">
        <v>46307</v>
      </c>
      <c r="F7278" t="inlineStr">
        <is>
          <t>VÄRMLANDS LÄN</t>
        </is>
      </c>
      <c r="G7278" t="inlineStr">
        <is>
          <t>EDA</t>
        </is>
      </c>
      <c r="I7278" t="n">
        <v>1</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24385-2023</t>
        </is>
      </c>
      <c r="B7279" t="inlineStr">
        <is>
          <t>avverkningsanmälan</t>
        </is>
      </c>
      <c r="C7279" t="inlineStr">
        <is>
          <t>Föryngringsavverkning</t>
        </is>
      </c>
      <c r="D7279" s="1" t="n">
        <v>45076</v>
      </c>
      <c r="E7279" s="1" t="n">
        <v>46307</v>
      </c>
      <c r="F7279" t="inlineStr">
        <is>
          <t>VÄRMLANDS LÄN</t>
        </is>
      </c>
      <c r="G7279" t="inlineStr">
        <is>
          <t>KRISTINEHAMN</t>
        </is>
      </c>
      <c r="I7279" t="n">
        <v>15.9</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33218-2023</t>
        </is>
      </c>
      <c r="B7280" t="inlineStr">
        <is>
          <t>avverkningsanmälan</t>
        </is>
      </c>
      <c r="C7280" t="inlineStr">
        <is>
          <t>Föryngringsavverkning</t>
        </is>
      </c>
      <c r="D7280" s="1" t="n">
        <v>45127</v>
      </c>
      <c r="E7280" s="1" t="n">
        <v>46307</v>
      </c>
      <c r="F7280" t="inlineStr">
        <is>
          <t>VÄRMLANDS LÄN</t>
        </is>
      </c>
      <c r="G7280" t="inlineStr">
        <is>
          <t>FORSHAGA</t>
        </is>
      </c>
      <c r="H7280" t="inlineStr">
        <is>
          <t>Kommuner</t>
        </is>
      </c>
      <c r="I7280" t="n">
        <v>1.4</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47728-2023</t>
        </is>
      </c>
      <c r="B7281" t="inlineStr">
        <is>
          <t>avverkningsanmälan</t>
        </is>
      </c>
      <c r="C7281" t="inlineStr">
        <is>
          <t>Föryngringsavverkning</t>
        </is>
      </c>
      <c r="D7281" s="1" t="n">
        <v>45203</v>
      </c>
      <c r="E7281" s="1" t="n">
        <v>46307</v>
      </c>
      <c r="F7281" t="inlineStr">
        <is>
          <t>VÄRMLANDS LÄN</t>
        </is>
      </c>
      <c r="G7281" t="inlineStr">
        <is>
          <t>STORFORS</t>
        </is>
      </c>
      <c r="I7281" t="n">
        <v>2.2</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61544-2023</t>
        </is>
      </c>
      <c r="B7282" t="inlineStr">
        <is>
          <t>avverkningsanmälan</t>
        </is>
      </c>
      <c r="C7282" t="inlineStr">
        <is>
          <t>Föryngringsavverkning</t>
        </is>
      </c>
      <c r="D7282" s="1" t="n">
        <v>45265</v>
      </c>
      <c r="E7282" s="1" t="n">
        <v>46307</v>
      </c>
      <c r="F7282" t="inlineStr">
        <is>
          <t>VÄRMLANDS LÄN</t>
        </is>
      </c>
      <c r="G7282" t="inlineStr">
        <is>
          <t>ARVIKA</t>
        </is>
      </c>
      <c r="I7282" t="n">
        <v>2.7</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14435-2025</t>
        </is>
      </c>
      <c r="B7283" t="inlineStr">
        <is>
          <t>avverkningsanmälan</t>
        </is>
      </c>
      <c r="C7283" t="inlineStr">
        <is>
          <t>Föryngringsavverkning</t>
        </is>
      </c>
      <c r="D7283" s="1" t="n">
        <v>45741</v>
      </c>
      <c r="E7283" s="1" t="n">
        <v>46307</v>
      </c>
      <c r="F7283" t="inlineStr">
        <is>
          <t>VÄRMLANDS LÄN</t>
        </is>
      </c>
      <c r="G7283" t="inlineStr">
        <is>
          <t>HAGFORS</t>
        </is>
      </c>
      <c r="H7283" t="inlineStr">
        <is>
          <t>Bergvik skog väst AB</t>
        </is>
      </c>
      <c r="I7283" t="n">
        <v>1.6</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61005-2023</t>
        </is>
      </c>
      <c r="B7284" t="inlineStr">
        <is>
          <t>avverkningsanmälan</t>
        </is>
      </c>
      <c r="C7284" t="inlineStr">
        <is>
          <t>Föryngringsavverkning</t>
        </is>
      </c>
      <c r="D7284" s="1" t="n">
        <v>45261</v>
      </c>
      <c r="E7284" s="1" t="n">
        <v>46307</v>
      </c>
      <c r="F7284" t="inlineStr">
        <is>
          <t>VÄRMLANDS LÄN</t>
        </is>
      </c>
      <c r="G7284" t="inlineStr">
        <is>
          <t>KARLSTAD</t>
        </is>
      </c>
      <c r="I7284" t="n">
        <v>0.9</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16975-2026</t>
        </is>
      </c>
      <c r="B7285" t="inlineStr">
        <is>
          <t>avverkningsanmälan</t>
        </is>
      </c>
      <c r="C7285" t="inlineStr">
        <is>
          <t>Föryngringsavverkning</t>
        </is>
      </c>
      <c r="D7285" s="1" t="n">
        <v>46114</v>
      </c>
      <c r="E7285" s="1" t="n">
        <v>46307</v>
      </c>
      <c r="F7285" t="inlineStr">
        <is>
          <t>VÄRMLANDS LÄN</t>
        </is>
      </c>
      <c r="G7285" t="inlineStr">
        <is>
          <t>FILIPSTAD</t>
        </is>
      </c>
      <c r="H7285" t="inlineStr">
        <is>
          <t>Bergvik skog väst AB</t>
        </is>
      </c>
      <c r="I7285" t="n">
        <v>8.1</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41510-2023</t>
        </is>
      </c>
      <c r="B7286" t="inlineStr">
        <is>
          <t>avverkningsanmälan</t>
        </is>
      </c>
      <c r="C7286" t="inlineStr">
        <is>
          <t>Föryngringsavverkning</t>
        </is>
      </c>
      <c r="D7286" s="1" t="n">
        <v>45175</v>
      </c>
      <c r="E7286" s="1" t="n">
        <v>46307</v>
      </c>
      <c r="F7286" t="inlineStr">
        <is>
          <t>VÄRMLANDS LÄN</t>
        </is>
      </c>
      <c r="G7286" t="inlineStr">
        <is>
          <t>KARLSTAD</t>
        </is>
      </c>
      <c r="I7286" t="n">
        <v>0.5</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41526-2023</t>
        </is>
      </c>
      <c r="B7287" t="inlineStr">
        <is>
          <t>avverkningsanmälan</t>
        </is>
      </c>
      <c r="C7287" t="inlineStr">
        <is>
          <t>Föryngringsavverkning</t>
        </is>
      </c>
      <c r="D7287" s="1" t="n">
        <v>45175</v>
      </c>
      <c r="E7287" s="1" t="n">
        <v>46307</v>
      </c>
      <c r="F7287" t="inlineStr">
        <is>
          <t>VÄRMLANDS LÄN</t>
        </is>
      </c>
      <c r="G7287" t="inlineStr">
        <is>
          <t>KIL</t>
        </is>
      </c>
      <c r="H7287" t="inlineStr">
        <is>
          <t>Kyrkan</t>
        </is>
      </c>
      <c r="I7287" t="n">
        <v>1.1</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54429-2023</t>
        </is>
      </c>
      <c r="B7288" t="inlineStr">
        <is>
          <t>avverkningsanmälan</t>
        </is>
      </c>
      <c r="C7288" t="inlineStr">
        <is>
          <t>Föryngringsavverkning</t>
        </is>
      </c>
      <c r="D7288" s="1" t="n">
        <v>45226</v>
      </c>
      <c r="E7288" s="1" t="n">
        <v>46307</v>
      </c>
      <c r="F7288" t="inlineStr">
        <is>
          <t>VÄRMLANDS LÄN</t>
        </is>
      </c>
      <c r="G7288" t="inlineStr">
        <is>
          <t>SÄFFLE</t>
        </is>
      </c>
      <c r="I7288" t="n">
        <v>2</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17065-2026</t>
        </is>
      </c>
      <c r="B7289" t="inlineStr">
        <is>
          <t>avverkningsanmälan</t>
        </is>
      </c>
      <c r="C7289" t="inlineStr">
        <is>
          <t>Föryngringsavverkning</t>
        </is>
      </c>
      <c r="D7289" s="1" t="n">
        <v>46114</v>
      </c>
      <c r="E7289" s="1" t="n">
        <v>46307</v>
      </c>
      <c r="F7289" t="inlineStr">
        <is>
          <t>VÄRMLANDS LÄN</t>
        </is>
      </c>
      <c r="G7289" t="inlineStr">
        <is>
          <t>SUNNE</t>
        </is>
      </c>
      <c r="I7289" t="n">
        <v>1.6</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17109-2026</t>
        </is>
      </c>
      <c r="B7290" t="inlineStr">
        <is>
          <t>avverkningsanmälan</t>
        </is>
      </c>
      <c r="C7290" t="inlineStr">
        <is>
          <t>Föryngringsavverkning</t>
        </is>
      </c>
      <c r="D7290" s="1" t="n">
        <v>46114</v>
      </c>
      <c r="E7290" s="1" t="n">
        <v>46307</v>
      </c>
      <c r="F7290" t="inlineStr">
        <is>
          <t>VÄRMLANDS LÄN</t>
        </is>
      </c>
      <c r="G7290" t="inlineStr">
        <is>
          <t>ÅRJÄNG</t>
        </is>
      </c>
      <c r="I7290" t="n">
        <v>2</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60366-2023</t>
        </is>
      </c>
      <c r="B7291" t="inlineStr">
        <is>
          <t>avverkningsanmälan</t>
        </is>
      </c>
      <c r="C7291" t="inlineStr">
        <is>
          <t>Föryngringsavverkning</t>
        </is>
      </c>
      <c r="D7291" s="1" t="n">
        <v>45259</v>
      </c>
      <c r="E7291" s="1" t="n">
        <v>46307</v>
      </c>
      <c r="F7291" t="inlineStr">
        <is>
          <t>VÄRMLANDS LÄN</t>
        </is>
      </c>
      <c r="G7291" t="inlineStr">
        <is>
          <t>ARVIKA</t>
        </is>
      </c>
      <c r="I7291" t="n">
        <v>4.9</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61457-2022</t>
        </is>
      </c>
      <c r="B7292" t="inlineStr">
        <is>
          <t>avverkningsanmälan</t>
        </is>
      </c>
      <c r="C7292" t="inlineStr">
        <is>
          <t>Föryngringsavverkning</t>
        </is>
      </c>
      <c r="D7292" s="1" t="n">
        <v>44916</v>
      </c>
      <c r="E7292" s="1" t="n">
        <v>46307</v>
      </c>
      <c r="F7292" t="inlineStr">
        <is>
          <t>VÄRMLANDS LÄN</t>
        </is>
      </c>
      <c r="G7292" t="inlineStr">
        <is>
          <t>FORSHAGA</t>
        </is>
      </c>
      <c r="I7292" t="n">
        <v>4.3</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17097-2026</t>
        </is>
      </c>
      <c r="B7293" t="inlineStr">
        <is>
          <t>avverkningsanmälan</t>
        </is>
      </c>
      <c r="C7293" t="inlineStr">
        <is>
          <t>Föryngringsavverkning</t>
        </is>
      </c>
      <c r="D7293" s="1" t="n">
        <v>46114</v>
      </c>
      <c r="E7293" s="1" t="n">
        <v>46307</v>
      </c>
      <c r="F7293" t="inlineStr">
        <is>
          <t>VÄRMLANDS LÄN</t>
        </is>
      </c>
      <c r="G7293" t="inlineStr">
        <is>
          <t>TORSBY</t>
        </is>
      </c>
      <c r="H7293" t="inlineStr">
        <is>
          <t>Bergvik skog väst AB</t>
        </is>
      </c>
      <c r="I7293" t="n">
        <v>3.3</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23334-2023</t>
        </is>
      </c>
      <c r="B7294" t="inlineStr">
        <is>
          <t>avverkningsanmälan</t>
        </is>
      </c>
      <c r="C7294" t="inlineStr">
        <is>
          <t>Föryngringsavverkning</t>
        </is>
      </c>
      <c r="D7294" s="1" t="n">
        <v>45076</v>
      </c>
      <c r="E7294" s="1" t="n">
        <v>46307</v>
      </c>
      <c r="F7294" t="inlineStr">
        <is>
          <t>VÄRMLANDS LÄN</t>
        </is>
      </c>
      <c r="G7294" t="inlineStr">
        <is>
          <t>ÅRJÄNG</t>
        </is>
      </c>
      <c r="I7294" t="n">
        <v>0.8</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24896-2023</t>
        </is>
      </c>
      <c r="B7295" t="inlineStr">
        <is>
          <t>avverkningsanmälan</t>
        </is>
      </c>
      <c r="C7295" t="inlineStr">
        <is>
          <t>Föryngringsavverkning</t>
        </is>
      </c>
      <c r="D7295" s="1" t="n">
        <v>45085</v>
      </c>
      <c r="E7295" s="1" t="n">
        <v>46307</v>
      </c>
      <c r="F7295" t="inlineStr">
        <is>
          <t>VÄRMLANDS LÄN</t>
        </is>
      </c>
      <c r="G7295" t="inlineStr">
        <is>
          <t>TORSBY</t>
        </is>
      </c>
      <c r="H7295" t="inlineStr">
        <is>
          <t>Bergvik skog väst AB</t>
        </is>
      </c>
      <c r="I7295" t="n">
        <v>4.7</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1928-2022</t>
        </is>
      </c>
      <c r="B7296" t="inlineStr">
        <is>
          <t>avverkningsanmälan</t>
        </is>
      </c>
      <c r="C7296" t="inlineStr">
        <is>
          <t>Föryngringsavverkning</t>
        </is>
      </c>
      <c r="D7296" s="1" t="n">
        <v>44575</v>
      </c>
      <c r="E7296" s="1" t="n">
        <v>46307</v>
      </c>
      <c r="F7296" t="inlineStr">
        <is>
          <t>VÄRMLANDS LÄN</t>
        </is>
      </c>
      <c r="G7296" t="inlineStr">
        <is>
          <t>EDA</t>
        </is>
      </c>
      <c r="I7296" t="n">
        <v>7.5</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17085-2026</t>
        </is>
      </c>
      <c r="B7297" t="inlineStr">
        <is>
          <t>avverkningsanmälan</t>
        </is>
      </c>
      <c r="C7297" t="inlineStr">
        <is>
          <t>Föryngringsavverkning</t>
        </is>
      </c>
      <c r="D7297" s="1" t="n">
        <v>46114</v>
      </c>
      <c r="E7297" s="1" t="n">
        <v>46307</v>
      </c>
      <c r="F7297" t="inlineStr">
        <is>
          <t>VÄRMLANDS LÄN</t>
        </is>
      </c>
      <c r="G7297" t="inlineStr">
        <is>
          <t>ARVIKA</t>
        </is>
      </c>
      <c r="I7297" t="n">
        <v>1.5</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17108-2026</t>
        </is>
      </c>
      <c r="B7298" t="inlineStr">
        <is>
          <t>avverkningsanmälan</t>
        </is>
      </c>
      <c r="C7298" t="inlineStr">
        <is>
          <t>Föryngringsavverkning</t>
        </is>
      </c>
      <c r="D7298" s="1" t="n">
        <v>46114</v>
      </c>
      <c r="E7298" s="1" t="n">
        <v>46307</v>
      </c>
      <c r="F7298" t="inlineStr">
        <is>
          <t>VÄRMLANDS LÄN</t>
        </is>
      </c>
      <c r="G7298" t="inlineStr">
        <is>
          <t>KARLSTAD</t>
        </is>
      </c>
      <c r="I7298" t="n">
        <v>2.7</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17448-2026</t>
        </is>
      </c>
      <c r="B7299" t="inlineStr">
        <is>
          <t>avverkningsanmälan</t>
        </is>
      </c>
      <c r="C7299" t="inlineStr">
        <is>
          <t>Föryngringsavverkning</t>
        </is>
      </c>
      <c r="D7299" s="1" t="n">
        <v>46114</v>
      </c>
      <c r="E7299" s="1" t="n">
        <v>46307</v>
      </c>
      <c r="F7299" t="inlineStr">
        <is>
          <t>VÄRMLANDS LÄN</t>
        </is>
      </c>
      <c r="G7299" t="inlineStr">
        <is>
          <t>SUNNE</t>
        </is>
      </c>
      <c r="I7299" t="n">
        <v>1.1</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5468-2023</t>
        </is>
      </c>
      <c r="B7300" t="inlineStr">
        <is>
          <t>avverkningsanmälan</t>
        </is>
      </c>
      <c r="C7300" t="inlineStr">
        <is>
          <t>Föryngringsavverkning</t>
        </is>
      </c>
      <c r="D7300" s="1" t="n">
        <v>44960</v>
      </c>
      <c r="E7300" s="1" t="n">
        <v>46307</v>
      </c>
      <c r="F7300" t="inlineStr">
        <is>
          <t>VÄRMLANDS LÄN</t>
        </is>
      </c>
      <c r="G7300" t="inlineStr">
        <is>
          <t>SÄFFLE</t>
        </is>
      </c>
      <c r="I7300" t="n">
        <v>1.3</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15315-2024</t>
        </is>
      </c>
      <c r="B7301" t="inlineStr">
        <is>
          <t>avverkningsanmälan</t>
        </is>
      </c>
      <c r="C7301" t="inlineStr">
        <is>
          <t>Föryngringsavverkning</t>
        </is>
      </c>
      <c r="D7301" s="1" t="n">
        <v>45400</v>
      </c>
      <c r="E7301" s="1" t="n">
        <v>46307</v>
      </c>
      <c r="F7301" t="inlineStr">
        <is>
          <t>VÄRMLANDS LÄN</t>
        </is>
      </c>
      <c r="G7301" t="inlineStr">
        <is>
          <t>TORSBY</t>
        </is>
      </c>
      <c r="I7301" t="n">
        <v>3.6</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57866-2022</t>
        </is>
      </c>
      <c r="B7302" t="inlineStr">
        <is>
          <t>avverkningsanmälan</t>
        </is>
      </c>
      <c r="C7302" t="inlineStr">
        <is>
          <t>Föryngringsavverkning</t>
        </is>
      </c>
      <c r="D7302" s="1" t="n">
        <v>44899</v>
      </c>
      <c r="E7302" s="1" t="n">
        <v>46307</v>
      </c>
      <c r="F7302" t="inlineStr">
        <is>
          <t>VÄRMLANDS LÄN</t>
        </is>
      </c>
      <c r="G7302" t="inlineStr">
        <is>
          <t>EDA</t>
        </is>
      </c>
      <c r="I7302" t="n">
        <v>2</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10651-2025</t>
        </is>
      </c>
      <c r="B7303" t="inlineStr">
        <is>
          <t>avverkningsanmälan</t>
        </is>
      </c>
      <c r="C7303" t="inlineStr">
        <is>
          <t>Föryngringsavverkning</t>
        </is>
      </c>
      <c r="D7303" s="1" t="n">
        <v>45721</v>
      </c>
      <c r="E7303" s="1" t="n">
        <v>46307</v>
      </c>
      <c r="F7303" t="inlineStr">
        <is>
          <t>VÄRMLANDS LÄN</t>
        </is>
      </c>
      <c r="G7303" t="inlineStr">
        <is>
          <t>KARLSTAD</t>
        </is>
      </c>
      <c r="I7303" t="n">
        <v>1.1</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17146-2026</t>
        </is>
      </c>
      <c r="B7304" t="inlineStr">
        <is>
          <t>avverkningsanmälan</t>
        </is>
      </c>
      <c r="C7304" t="inlineStr">
        <is>
          <t>Föryngringsavverkning</t>
        </is>
      </c>
      <c r="D7304" s="1" t="n">
        <v>46114</v>
      </c>
      <c r="E7304" s="1" t="n">
        <v>46307</v>
      </c>
      <c r="F7304" t="inlineStr">
        <is>
          <t>VÄRMLANDS LÄN</t>
        </is>
      </c>
      <c r="G7304" t="inlineStr">
        <is>
          <t>TORSBY</t>
        </is>
      </c>
      <c r="I7304" t="n">
        <v>3.4</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52174-2024</t>
        </is>
      </c>
      <c r="B7305" t="inlineStr">
        <is>
          <t>avverkningsanmälan</t>
        </is>
      </c>
      <c r="C7305" t="inlineStr">
        <is>
          <t>Föryngringsavverkning</t>
        </is>
      </c>
      <c r="D7305" s="1" t="n">
        <v>45608</v>
      </c>
      <c r="E7305" s="1" t="n">
        <v>46307</v>
      </c>
      <c r="F7305" t="inlineStr">
        <is>
          <t>VÄRMLANDS LÄN</t>
        </is>
      </c>
      <c r="G7305" t="inlineStr">
        <is>
          <t>SÄFFLE</t>
        </is>
      </c>
      <c r="I7305" t="n">
        <v>1.3</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16963-2026</t>
        </is>
      </c>
      <c r="B7306" t="inlineStr">
        <is>
          <t>avverkningsanmälan</t>
        </is>
      </c>
      <c r="C7306" t="inlineStr">
        <is>
          <t>Föryngringsavverkning</t>
        </is>
      </c>
      <c r="D7306" s="1" t="n">
        <v>46114</v>
      </c>
      <c r="E7306" s="1" t="n">
        <v>46307</v>
      </c>
      <c r="F7306" t="inlineStr">
        <is>
          <t>VÄRMLANDS LÄN</t>
        </is>
      </c>
      <c r="G7306" t="inlineStr">
        <is>
          <t>TORSBY</t>
        </is>
      </c>
      <c r="I7306" t="n">
        <v>3</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59933-2025</t>
        </is>
      </c>
      <c r="B7307" t="inlineStr">
        <is>
          <t>avverkningsanmälan</t>
        </is>
      </c>
      <c r="C7307" t="inlineStr">
        <is>
          <t>Föryngringsavverkning</t>
        </is>
      </c>
      <c r="D7307" s="1" t="n">
        <v>45993</v>
      </c>
      <c r="E7307" s="1" t="n">
        <v>46307</v>
      </c>
      <c r="F7307" t="inlineStr">
        <is>
          <t>VÄRMLANDS LÄN</t>
        </is>
      </c>
      <c r="G7307" t="inlineStr">
        <is>
          <t>FORSHAGA</t>
        </is>
      </c>
      <c r="H7307" t="inlineStr">
        <is>
          <t>Kyrkan</t>
        </is>
      </c>
      <c r="I7307" t="n">
        <v>1</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17292-2026</t>
        </is>
      </c>
      <c r="B7308" t="inlineStr">
        <is>
          <t>avverkningsanmälan</t>
        </is>
      </c>
      <c r="C7308" t="inlineStr">
        <is>
          <t>Föryngringsavverkning</t>
        </is>
      </c>
      <c r="D7308" s="1" t="n">
        <v>46119</v>
      </c>
      <c r="E7308" s="1" t="n">
        <v>46307</v>
      </c>
      <c r="F7308" t="inlineStr">
        <is>
          <t>VÄRMLANDS LÄN</t>
        </is>
      </c>
      <c r="G7308" t="inlineStr">
        <is>
          <t>FILIPSTAD</t>
        </is>
      </c>
      <c r="H7308" t="inlineStr">
        <is>
          <t>Bergvik skog väst AB</t>
        </is>
      </c>
      <c r="I7308" t="n">
        <v>3</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3568-2025</t>
        </is>
      </c>
      <c r="B7309" t="inlineStr">
        <is>
          <t>avverkningsanmälan</t>
        </is>
      </c>
      <c r="C7309" t="inlineStr">
        <is>
          <t>Föryngringsavverkning</t>
        </is>
      </c>
      <c r="D7309" s="1" t="n">
        <v>45680</v>
      </c>
      <c r="E7309" s="1" t="n">
        <v>46307</v>
      </c>
      <c r="F7309" t="inlineStr">
        <is>
          <t>VÄRMLANDS LÄN</t>
        </is>
      </c>
      <c r="G7309" t="inlineStr">
        <is>
          <t>EDA</t>
        </is>
      </c>
      <c r="I7309" t="n">
        <v>1.9</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15570-2025</t>
        </is>
      </c>
      <c r="B7310" t="inlineStr">
        <is>
          <t>avverkningsanmälan</t>
        </is>
      </c>
      <c r="C7310" t="inlineStr">
        <is>
          <t>Föryngringsavverkning</t>
        </is>
      </c>
      <c r="D7310" s="1" t="n">
        <v>45747</v>
      </c>
      <c r="E7310" s="1" t="n">
        <v>46307</v>
      </c>
      <c r="F7310" t="inlineStr">
        <is>
          <t>VÄRMLANDS LÄN</t>
        </is>
      </c>
      <c r="G7310" t="inlineStr">
        <is>
          <t>ÅRJÄNG</t>
        </is>
      </c>
      <c r="I7310" t="n">
        <v>1.1</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15572-2025</t>
        </is>
      </c>
      <c r="B7311" t="inlineStr">
        <is>
          <t>avverkningsanmälan</t>
        </is>
      </c>
      <c r="C7311" t="inlineStr">
        <is>
          <t>Föryngringsavverkning</t>
        </is>
      </c>
      <c r="D7311" s="1" t="n">
        <v>45747</v>
      </c>
      <c r="E7311" s="1" t="n">
        <v>46307</v>
      </c>
      <c r="F7311" t="inlineStr">
        <is>
          <t>VÄRMLANDS LÄN</t>
        </is>
      </c>
      <c r="G7311" t="inlineStr">
        <is>
          <t>ÅRJÄNG</t>
        </is>
      </c>
      <c r="I7311" t="n">
        <v>1.6</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17225-2026</t>
        </is>
      </c>
      <c r="B7312" t="inlineStr">
        <is>
          <t>avverkningsanmälan</t>
        </is>
      </c>
      <c r="C7312" t="inlineStr">
        <is>
          <t>Föryngringsavverkning</t>
        </is>
      </c>
      <c r="D7312" s="1" t="n">
        <v>46119</v>
      </c>
      <c r="E7312" s="1" t="n">
        <v>46307</v>
      </c>
      <c r="F7312" t="inlineStr">
        <is>
          <t>VÄRMLANDS LÄN</t>
        </is>
      </c>
      <c r="G7312" t="inlineStr">
        <is>
          <t>EDA</t>
        </is>
      </c>
      <c r="I7312" t="n">
        <v>6.9</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15578-2025</t>
        </is>
      </c>
      <c r="B7313" t="inlineStr">
        <is>
          <t>avverkningsanmälan</t>
        </is>
      </c>
      <c r="C7313" t="inlineStr">
        <is>
          <t>Föryngringsavverkning</t>
        </is>
      </c>
      <c r="D7313" s="1" t="n">
        <v>45747</v>
      </c>
      <c r="E7313" s="1" t="n">
        <v>46307</v>
      </c>
      <c r="F7313" t="inlineStr">
        <is>
          <t>VÄRMLANDS LÄN</t>
        </is>
      </c>
      <c r="G7313" t="inlineStr">
        <is>
          <t>ÅRJÄNG</t>
        </is>
      </c>
      <c r="I7313" t="n">
        <v>4.6</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17322-2026</t>
        </is>
      </c>
      <c r="B7314" t="inlineStr">
        <is>
          <t>avverkningsanmälan</t>
        </is>
      </c>
      <c r="C7314" t="inlineStr">
        <is>
          <t>Föryngringsavverkning</t>
        </is>
      </c>
      <c r="D7314" s="1" t="n">
        <v>46119</v>
      </c>
      <c r="E7314" s="1" t="n">
        <v>46307</v>
      </c>
      <c r="F7314" t="inlineStr">
        <is>
          <t>VÄRMLANDS LÄN</t>
        </is>
      </c>
      <c r="G7314" t="inlineStr">
        <is>
          <t>SUNNE</t>
        </is>
      </c>
      <c r="I7314" t="n">
        <v>3.8</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13891-2024</t>
        </is>
      </c>
      <c r="B7315" t="inlineStr">
        <is>
          <t>avverkningsanmälan</t>
        </is>
      </c>
      <c r="C7315" t="inlineStr">
        <is>
          <t>Föryngringsavverkning</t>
        </is>
      </c>
      <c r="D7315" s="1" t="n">
        <v>45391</v>
      </c>
      <c r="E7315" s="1" t="n">
        <v>46307</v>
      </c>
      <c r="F7315" t="inlineStr">
        <is>
          <t>VÄRMLANDS LÄN</t>
        </is>
      </c>
      <c r="G7315" t="inlineStr">
        <is>
          <t>SÄFFLE</t>
        </is>
      </c>
      <c r="I7315" t="n">
        <v>1</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53381-2022</t>
        </is>
      </c>
      <c r="B7316" t="inlineStr">
        <is>
          <t>avverkningsanmälan</t>
        </is>
      </c>
      <c r="C7316" t="inlineStr">
        <is>
          <t>Avverkning för att bevara och utveckla /försöksver</t>
        </is>
      </c>
      <c r="D7316" s="1" t="n">
        <v>44879</v>
      </c>
      <c r="E7316" s="1" t="n">
        <v>46307</v>
      </c>
      <c r="F7316" t="inlineStr">
        <is>
          <t>VÄRMLANDS LÄN</t>
        </is>
      </c>
      <c r="G7316" t="inlineStr">
        <is>
          <t>TORSBY</t>
        </is>
      </c>
      <c r="I7316" t="n">
        <v>2.1</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53398-2022</t>
        </is>
      </c>
      <c r="B7317" t="inlineStr">
        <is>
          <t>avverkningsanmälan</t>
        </is>
      </c>
      <c r="C7317" t="inlineStr">
        <is>
          <t>Föryngringsavverkning</t>
        </is>
      </c>
      <c r="D7317" s="1" t="n">
        <v>44874</v>
      </c>
      <c r="E7317" s="1" t="n">
        <v>46307</v>
      </c>
      <c r="F7317" t="inlineStr">
        <is>
          <t>VÄRMLANDS LÄN</t>
        </is>
      </c>
      <c r="G7317" t="inlineStr">
        <is>
          <t>ARVIKA</t>
        </is>
      </c>
      <c r="I7317" t="n">
        <v>1.5</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69417-2021</t>
        </is>
      </c>
      <c r="B7318" t="inlineStr">
        <is>
          <t>avverkningsanmälan</t>
        </is>
      </c>
      <c r="C7318" t="inlineStr">
        <is>
          <t>Föryngringsavverkning</t>
        </is>
      </c>
      <c r="D7318" s="1" t="n">
        <v>44531</v>
      </c>
      <c r="E7318" s="1" t="n">
        <v>46307</v>
      </c>
      <c r="F7318" t="inlineStr">
        <is>
          <t>VÄRMLANDS LÄN</t>
        </is>
      </c>
      <c r="G7318" t="inlineStr">
        <is>
          <t>ÅRJÄNG</t>
        </is>
      </c>
      <c r="I7318" t="n">
        <v>3.8</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60271-2025</t>
        </is>
      </c>
      <c r="B7319" t="inlineStr">
        <is>
          <t>avverkningsanmälan</t>
        </is>
      </c>
      <c r="C7319" t="inlineStr">
        <is>
          <t>Föryngringsavverkning</t>
        </is>
      </c>
      <c r="D7319" s="1" t="n">
        <v>45994</v>
      </c>
      <c r="E7319" s="1" t="n">
        <v>46307</v>
      </c>
      <c r="F7319" t="inlineStr">
        <is>
          <t>VÄRMLANDS LÄN</t>
        </is>
      </c>
      <c r="G7319" t="inlineStr">
        <is>
          <t>SUNNE</t>
        </is>
      </c>
      <c r="I7319" t="n">
        <v>0.6</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60151-2025</t>
        </is>
      </c>
      <c r="B7320" t="inlineStr">
        <is>
          <t>avverkningsanmälan</t>
        </is>
      </c>
      <c r="C7320" t="inlineStr">
        <is>
          <t>Föryngringsavverkning</t>
        </is>
      </c>
      <c r="D7320" s="1" t="n">
        <v>45994</v>
      </c>
      <c r="E7320" s="1" t="n">
        <v>46307</v>
      </c>
      <c r="F7320" t="inlineStr">
        <is>
          <t>VÄRMLANDS LÄN</t>
        </is>
      </c>
      <c r="G7320" t="inlineStr">
        <is>
          <t>EDA</t>
        </is>
      </c>
      <c r="I7320" t="n">
        <v>3.2</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60020-2025</t>
        </is>
      </c>
      <c r="B7321" t="inlineStr">
        <is>
          <t>avverkningsanmälan</t>
        </is>
      </c>
      <c r="C7321" t="inlineStr">
        <is>
          <t>Föryngringsavverkning</t>
        </is>
      </c>
      <c r="D7321" s="1" t="n">
        <v>45993</v>
      </c>
      <c r="E7321" s="1" t="n">
        <v>46307</v>
      </c>
      <c r="F7321" t="inlineStr">
        <is>
          <t>VÄRMLANDS LÄN</t>
        </is>
      </c>
      <c r="G7321" t="inlineStr">
        <is>
          <t>SUNNE</t>
        </is>
      </c>
      <c r="I7321" t="n">
        <v>2.1</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60022-2025</t>
        </is>
      </c>
      <c r="B7322" t="inlineStr">
        <is>
          <t>avverkningsanmälan</t>
        </is>
      </c>
      <c r="C7322" t="inlineStr">
        <is>
          <t>Föryngringsavverkning</t>
        </is>
      </c>
      <c r="D7322" s="1" t="n">
        <v>45993</v>
      </c>
      <c r="E7322" s="1" t="n">
        <v>46307</v>
      </c>
      <c r="F7322" t="inlineStr">
        <is>
          <t>VÄRMLANDS LÄN</t>
        </is>
      </c>
      <c r="G7322" t="inlineStr">
        <is>
          <t>SÄFFLE</t>
        </is>
      </c>
      <c r="I7322" t="n">
        <v>1.7</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38953-2024</t>
        </is>
      </c>
      <c r="B7323" t="inlineStr">
        <is>
          <t>avverkningsanmälan</t>
        </is>
      </c>
      <c r="C7323" t="inlineStr">
        <is>
          <t>Avverkning för annat ändamål</t>
        </is>
      </c>
      <c r="D7323" s="1" t="n">
        <v>45548</v>
      </c>
      <c r="E7323" s="1" t="n">
        <v>46307</v>
      </c>
      <c r="F7323" t="inlineStr">
        <is>
          <t>VÄRMLANDS LÄN</t>
        </is>
      </c>
      <c r="G7323" t="inlineStr">
        <is>
          <t>SUNNE</t>
        </is>
      </c>
      <c r="H7323" t="inlineStr">
        <is>
          <t>Bergvik skog väst AB</t>
        </is>
      </c>
      <c r="I7323" t="n">
        <v>0.5</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58924-2025</t>
        </is>
      </c>
      <c r="B7324" t="inlineStr">
        <is>
          <t>avverkningsanmälan</t>
        </is>
      </c>
      <c r="C7324" t="inlineStr">
        <is>
          <t>Föryngringsavverkning</t>
        </is>
      </c>
      <c r="D7324" s="1" t="n">
        <v>45986</v>
      </c>
      <c r="E7324" s="1" t="n">
        <v>46307</v>
      </c>
      <c r="F7324" t="inlineStr">
        <is>
          <t>VÄRMLANDS LÄN</t>
        </is>
      </c>
      <c r="G7324" t="inlineStr">
        <is>
          <t>ÅRJÄNG</t>
        </is>
      </c>
      <c r="I7324" t="n">
        <v>8.199999999999999</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17196-2026</t>
        </is>
      </c>
      <c r="B7325" t="inlineStr">
        <is>
          <t>avverkningsanmälan</t>
        </is>
      </c>
      <c r="C7325" t="inlineStr">
        <is>
          <t>Föryngringsavverkning</t>
        </is>
      </c>
      <c r="D7325" s="1" t="n">
        <v>46118</v>
      </c>
      <c r="E7325" s="1" t="n">
        <v>46307</v>
      </c>
      <c r="F7325" t="inlineStr">
        <is>
          <t>VÄRMLANDS LÄN</t>
        </is>
      </c>
      <c r="G7325" t="inlineStr">
        <is>
          <t>SUNNE</t>
        </is>
      </c>
      <c r="I7325" t="n">
        <v>1.2</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41376-2024</t>
        </is>
      </c>
      <c r="B7326" t="inlineStr">
        <is>
          <t>avverkningsanmälan</t>
        </is>
      </c>
      <c r="C7326" t="inlineStr">
        <is>
          <t>Föryngringsavverkning</t>
        </is>
      </c>
      <c r="D7326" s="1" t="n">
        <v>45559</v>
      </c>
      <c r="E7326" s="1" t="n">
        <v>46307</v>
      </c>
      <c r="F7326" t="inlineStr">
        <is>
          <t>VÄRMLANDS LÄN</t>
        </is>
      </c>
      <c r="G7326" t="inlineStr">
        <is>
          <t>KARLSTAD</t>
        </is>
      </c>
      <c r="I7326" t="n">
        <v>1.4</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17332-2026</t>
        </is>
      </c>
      <c r="B7327" t="inlineStr">
        <is>
          <t>avverkningsanmälan</t>
        </is>
      </c>
      <c r="C7327" t="inlineStr">
        <is>
          <t>Föryngringsavverkning</t>
        </is>
      </c>
      <c r="D7327" s="1" t="n">
        <v>46119</v>
      </c>
      <c r="E7327" s="1" t="n">
        <v>46307</v>
      </c>
      <c r="F7327" t="inlineStr">
        <is>
          <t>VÄRMLANDS LÄN</t>
        </is>
      </c>
      <c r="G7327" t="inlineStr">
        <is>
          <t>SÄFFLE</t>
        </is>
      </c>
      <c r="I7327" t="n">
        <v>0.6</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60289-2025</t>
        </is>
      </c>
      <c r="B7328" t="inlineStr">
        <is>
          <t>avverkningsanmälan</t>
        </is>
      </c>
      <c r="C7328" t="inlineStr">
        <is>
          <t>Föryngringsavverkning</t>
        </is>
      </c>
      <c r="D7328" s="1" t="n">
        <v>45994</v>
      </c>
      <c r="E7328" s="1" t="n">
        <v>46307</v>
      </c>
      <c r="F7328" t="inlineStr">
        <is>
          <t>VÄRMLANDS LÄN</t>
        </is>
      </c>
      <c r="G7328" t="inlineStr">
        <is>
          <t>ÅRJÄNG</t>
        </is>
      </c>
      <c r="I7328" t="n">
        <v>5.4</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17258-2026</t>
        </is>
      </c>
      <c r="B7329" t="inlineStr">
        <is>
          <t>avverkningsanmälan</t>
        </is>
      </c>
      <c r="C7329" t="inlineStr">
        <is>
          <t>Avverkning för annat ändamål</t>
        </is>
      </c>
      <c r="D7329" s="1" t="n">
        <v>46119</v>
      </c>
      <c r="E7329" s="1" t="n">
        <v>46307</v>
      </c>
      <c r="F7329" t="inlineStr">
        <is>
          <t>VÄRMLANDS LÄN</t>
        </is>
      </c>
      <c r="G7329" t="inlineStr">
        <is>
          <t>SÄFFLE</t>
        </is>
      </c>
      <c r="I7329" t="n">
        <v>0.3</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17278-2026</t>
        </is>
      </c>
      <c r="B7330" t="inlineStr">
        <is>
          <t>avverkningsanmälan</t>
        </is>
      </c>
      <c r="C7330" t="inlineStr">
        <is>
          <t>Föryngringsavverkning</t>
        </is>
      </c>
      <c r="D7330" s="1" t="n">
        <v>46119</v>
      </c>
      <c r="E7330" s="1" t="n">
        <v>46307</v>
      </c>
      <c r="F7330" t="inlineStr">
        <is>
          <t>VÄRMLANDS LÄN</t>
        </is>
      </c>
      <c r="G7330" t="inlineStr">
        <is>
          <t>FILIPSTAD</t>
        </is>
      </c>
      <c r="H7330" t="inlineStr">
        <is>
          <t>Bergvik skog väst AB</t>
        </is>
      </c>
      <c r="I7330" t="n">
        <v>1.1</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739-2022</t>
        </is>
      </c>
      <c r="B7331" t="inlineStr">
        <is>
          <t>avverkningsanmälan</t>
        </is>
      </c>
      <c r="C7331" t="inlineStr">
        <is>
          <t>Föryngringsavverkning</t>
        </is>
      </c>
      <c r="D7331" s="1" t="n">
        <v>44568</v>
      </c>
      <c r="E7331" s="1" t="n">
        <v>46307</v>
      </c>
      <c r="F7331" t="inlineStr">
        <is>
          <t>VÄRMLANDS LÄN</t>
        </is>
      </c>
      <c r="G7331" t="inlineStr">
        <is>
          <t>TORSBY</t>
        </is>
      </c>
      <c r="I7331" t="n">
        <v>3.3</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38486-2022</t>
        </is>
      </c>
      <c r="B7332" t="inlineStr">
        <is>
          <t>avverkningsanmälan</t>
        </is>
      </c>
      <c r="C7332" t="inlineStr">
        <is>
          <t>Föryngringsavverkning</t>
        </is>
      </c>
      <c r="D7332" s="1" t="n">
        <v>44813</v>
      </c>
      <c r="E7332" s="1" t="n">
        <v>46307</v>
      </c>
      <c r="F7332" t="inlineStr">
        <is>
          <t>VÄRMLANDS LÄN</t>
        </is>
      </c>
      <c r="G7332" t="inlineStr">
        <is>
          <t>TORSBY</t>
        </is>
      </c>
      <c r="H7332" t="inlineStr">
        <is>
          <t>Bergvik skog väst AB</t>
        </is>
      </c>
      <c r="I7332" t="n">
        <v>9.6</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17326-2026</t>
        </is>
      </c>
      <c r="B7333" t="inlineStr">
        <is>
          <t>avverkningsanmälan</t>
        </is>
      </c>
      <c r="C7333" t="inlineStr">
        <is>
          <t>Föryngringsavverkning</t>
        </is>
      </c>
      <c r="D7333" s="1" t="n">
        <v>46119</v>
      </c>
      <c r="E7333" s="1" t="n">
        <v>46307</v>
      </c>
      <c r="F7333" t="inlineStr">
        <is>
          <t>VÄRMLANDS LÄN</t>
        </is>
      </c>
      <c r="G7333" t="inlineStr">
        <is>
          <t>FILIPSTAD</t>
        </is>
      </c>
      <c r="H7333" t="inlineStr">
        <is>
          <t>Bergvik skog väst AB</t>
        </is>
      </c>
      <c r="I7333" t="n">
        <v>2.9</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11178-2022</t>
        </is>
      </c>
      <c r="B7334" t="inlineStr">
        <is>
          <t>avverkningsanmälan</t>
        </is>
      </c>
      <c r="C7334" t="inlineStr">
        <is>
          <t>Föryngringsavverkning</t>
        </is>
      </c>
      <c r="D7334" s="1" t="n">
        <v>44629</v>
      </c>
      <c r="E7334" s="1" t="n">
        <v>46307</v>
      </c>
      <c r="F7334" t="inlineStr">
        <is>
          <t>VÄRMLANDS LÄN</t>
        </is>
      </c>
      <c r="G7334" t="inlineStr">
        <is>
          <t>ARVIKA</t>
        </is>
      </c>
      <c r="I7334" t="n">
        <v>2.2</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29619-2022</t>
        </is>
      </c>
      <c r="B7335" t="inlineStr">
        <is>
          <t>avverkningsanmälan</t>
        </is>
      </c>
      <c r="C7335" t="inlineStr">
        <is>
          <t>Föryngringsavverkning</t>
        </is>
      </c>
      <c r="D7335" s="1" t="n">
        <v>44754</v>
      </c>
      <c r="E7335" s="1" t="n">
        <v>46307</v>
      </c>
      <c r="F7335" t="inlineStr">
        <is>
          <t>VÄRMLANDS LÄN</t>
        </is>
      </c>
      <c r="G7335" t="inlineStr">
        <is>
          <t>ARVIKA</t>
        </is>
      </c>
      <c r="H7335" t="inlineStr">
        <is>
          <t>Bergvik skog väst AB</t>
        </is>
      </c>
      <c r="I7335" t="n">
        <v>1.9</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17703-2026</t>
        </is>
      </c>
      <c r="B7336" t="inlineStr">
        <is>
          <t>avverkningsanmälan</t>
        </is>
      </c>
      <c r="C7336" t="inlineStr">
        <is>
          <t>Föryngringsavverkning</t>
        </is>
      </c>
      <c r="D7336" s="1" t="n">
        <v>46121</v>
      </c>
      <c r="E7336" s="1" t="n">
        <v>46307</v>
      </c>
      <c r="F7336" t="inlineStr">
        <is>
          <t>VÄRMLANDS LÄN</t>
        </is>
      </c>
      <c r="G7336" t="inlineStr">
        <is>
          <t>ARVIKA</t>
        </is>
      </c>
      <c r="H7336" t="inlineStr">
        <is>
          <t>Bergvik skog väst AB</t>
        </is>
      </c>
      <c r="I7336" t="n">
        <v>2.4</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17708-2026</t>
        </is>
      </c>
      <c r="B7337" t="inlineStr">
        <is>
          <t>avverkningsanmälan</t>
        </is>
      </c>
      <c r="C7337" t="inlineStr">
        <is>
          <t>Föryngringsavverkning</t>
        </is>
      </c>
      <c r="D7337" s="1" t="n">
        <v>46121</v>
      </c>
      <c r="E7337" s="1" t="n">
        <v>46307</v>
      </c>
      <c r="F7337" t="inlineStr">
        <is>
          <t>VÄRMLANDS LÄN</t>
        </is>
      </c>
      <c r="G7337" t="inlineStr">
        <is>
          <t>ARVIKA</t>
        </is>
      </c>
      <c r="H7337" t="inlineStr">
        <is>
          <t>Bergvik skog väst AB</t>
        </is>
      </c>
      <c r="I7337" t="n">
        <v>0.6</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60194-2025</t>
        </is>
      </c>
      <c r="B7338" t="inlineStr">
        <is>
          <t>avverkningsanmälan</t>
        </is>
      </c>
      <c r="C7338" t="inlineStr">
        <is>
          <t>Föryngringsavverkning</t>
        </is>
      </c>
      <c r="D7338" s="1" t="n">
        <v>45994</v>
      </c>
      <c r="E7338" s="1" t="n">
        <v>46307</v>
      </c>
      <c r="F7338" t="inlineStr">
        <is>
          <t>VÄRMLANDS LÄN</t>
        </is>
      </c>
      <c r="G7338" t="inlineStr">
        <is>
          <t>ÅRJÄNG</t>
        </is>
      </c>
      <c r="I7338" t="n">
        <v>7.3</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59943-2025</t>
        </is>
      </c>
      <c r="B7339" t="inlineStr">
        <is>
          <t>avverkningsanmälan</t>
        </is>
      </c>
      <c r="C7339" t="inlineStr">
        <is>
          <t>Föryngringsavverkning</t>
        </is>
      </c>
      <c r="D7339" s="1" t="n">
        <v>45993</v>
      </c>
      <c r="E7339" s="1" t="n">
        <v>46307</v>
      </c>
      <c r="F7339" t="inlineStr">
        <is>
          <t>VÄRMLANDS LÄN</t>
        </is>
      </c>
      <c r="G7339" t="inlineStr">
        <is>
          <t>ARVIKA</t>
        </is>
      </c>
      <c r="I7339" t="n">
        <v>1.7</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55397-2022</t>
        </is>
      </c>
      <c r="B7340" t="inlineStr">
        <is>
          <t>avverkningsanmälan</t>
        </is>
      </c>
      <c r="C7340" t="inlineStr">
        <is>
          <t>Föryngringsavverkning</t>
        </is>
      </c>
      <c r="D7340" s="1" t="n">
        <v>44887</v>
      </c>
      <c r="E7340" s="1" t="n">
        <v>46307</v>
      </c>
      <c r="F7340" t="inlineStr">
        <is>
          <t>VÄRMLANDS LÄN</t>
        </is>
      </c>
      <c r="G7340" t="inlineStr">
        <is>
          <t>FILIPSTAD</t>
        </is>
      </c>
      <c r="H7340" t="inlineStr">
        <is>
          <t>Bergvik skog väst AB</t>
        </is>
      </c>
      <c r="I7340" t="n">
        <v>1.6</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17409-2026</t>
        </is>
      </c>
      <c r="B7341" t="inlineStr">
        <is>
          <t>avverkningsanmälan</t>
        </is>
      </c>
      <c r="C7341" t="inlineStr">
        <is>
          <t>Föryngringsavverkning</t>
        </is>
      </c>
      <c r="D7341" s="1" t="n">
        <v>46120</v>
      </c>
      <c r="E7341" s="1" t="n">
        <v>46307</v>
      </c>
      <c r="F7341" t="inlineStr">
        <is>
          <t>VÄRMLANDS LÄN</t>
        </is>
      </c>
      <c r="G7341" t="inlineStr">
        <is>
          <t>ARVIKA</t>
        </is>
      </c>
      <c r="H7341" t="inlineStr">
        <is>
          <t>Bergvik skog väst AB</t>
        </is>
      </c>
      <c r="I7341" t="n">
        <v>6.3</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17308-2026</t>
        </is>
      </c>
      <c r="B7342" t="inlineStr">
        <is>
          <t>avverkningsanmälan</t>
        </is>
      </c>
      <c r="C7342" t="inlineStr">
        <is>
          <t>Föryngringsavverkning</t>
        </is>
      </c>
      <c r="D7342" s="1" t="n">
        <v>46119</v>
      </c>
      <c r="E7342" s="1" t="n">
        <v>46307</v>
      </c>
      <c r="F7342" t="inlineStr">
        <is>
          <t>VÄRMLANDS LÄN</t>
        </is>
      </c>
      <c r="G7342" t="inlineStr">
        <is>
          <t>EDA</t>
        </is>
      </c>
      <c r="I7342" t="n">
        <v>0.9</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60279-2025</t>
        </is>
      </c>
      <c r="B7343" t="inlineStr">
        <is>
          <t>avverkningsanmälan</t>
        </is>
      </c>
      <c r="C7343" t="inlineStr">
        <is>
          <t>Föryngringsavverkning</t>
        </is>
      </c>
      <c r="D7343" s="1" t="n">
        <v>45994</v>
      </c>
      <c r="E7343" s="1" t="n">
        <v>46307</v>
      </c>
      <c r="F7343" t="inlineStr">
        <is>
          <t>VÄRMLANDS LÄN</t>
        </is>
      </c>
      <c r="G7343" t="inlineStr">
        <is>
          <t>ÅRJÄNG</t>
        </is>
      </c>
      <c r="I7343" t="n">
        <v>0.6</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60283-2025</t>
        </is>
      </c>
      <c r="B7344" t="inlineStr">
        <is>
          <t>avverkningsanmälan</t>
        </is>
      </c>
      <c r="C7344" t="inlineStr">
        <is>
          <t>Föryngringsavverkning</t>
        </is>
      </c>
      <c r="D7344" s="1" t="n">
        <v>45994</v>
      </c>
      <c r="E7344" s="1" t="n">
        <v>46307</v>
      </c>
      <c r="F7344" t="inlineStr">
        <is>
          <t>VÄRMLANDS LÄN</t>
        </is>
      </c>
      <c r="G7344" t="inlineStr">
        <is>
          <t>ÅRJÄNG</t>
        </is>
      </c>
      <c r="I7344" t="n">
        <v>0.6</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59944-2025</t>
        </is>
      </c>
      <c r="B7345" t="inlineStr">
        <is>
          <t>avverkningsanmälan</t>
        </is>
      </c>
      <c r="C7345" t="inlineStr">
        <is>
          <t>Föryngringsavverkning</t>
        </is>
      </c>
      <c r="D7345" s="1" t="n">
        <v>45993</v>
      </c>
      <c r="E7345" s="1" t="n">
        <v>46307</v>
      </c>
      <c r="F7345" t="inlineStr">
        <is>
          <t>VÄRMLANDS LÄN</t>
        </is>
      </c>
      <c r="G7345" t="inlineStr">
        <is>
          <t>SÄFFLE</t>
        </is>
      </c>
      <c r="I7345" t="n">
        <v>2.3</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60126-2025</t>
        </is>
      </c>
      <c r="B7346" t="inlineStr">
        <is>
          <t>avverkningsanmälan</t>
        </is>
      </c>
      <c r="C7346" t="inlineStr">
        <is>
          <t>Föryngringsavverkning</t>
        </is>
      </c>
      <c r="D7346" s="1" t="n">
        <v>45994</v>
      </c>
      <c r="E7346" s="1" t="n">
        <v>46307</v>
      </c>
      <c r="F7346" t="inlineStr">
        <is>
          <t>VÄRMLANDS LÄN</t>
        </is>
      </c>
      <c r="G7346" t="inlineStr">
        <is>
          <t>SUNNE</t>
        </is>
      </c>
      <c r="I7346" t="n">
        <v>8.5</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17311-2026</t>
        </is>
      </c>
      <c r="B7347" t="inlineStr">
        <is>
          <t>avverkningsanmälan</t>
        </is>
      </c>
      <c r="C7347" t="inlineStr">
        <is>
          <t>Föryngringsavverkning</t>
        </is>
      </c>
      <c r="D7347" s="1" t="n">
        <v>46119</v>
      </c>
      <c r="E7347" s="1" t="n">
        <v>46307</v>
      </c>
      <c r="F7347" t="inlineStr">
        <is>
          <t>VÄRMLANDS LÄN</t>
        </is>
      </c>
      <c r="G7347" t="inlineStr">
        <is>
          <t>EDA</t>
        </is>
      </c>
      <c r="I7347" t="n">
        <v>0.5</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37119-2024</t>
        </is>
      </c>
      <c r="B7348" t="inlineStr">
        <is>
          <t>avverkningsanmälan</t>
        </is>
      </c>
      <c r="C7348" t="inlineStr">
        <is>
          <t>Föryngringsavverkning</t>
        </is>
      </c>
      <c r="D7348" s="1" t="n">
        <v>45539</v>
      </c>
      <c r="E7348" s="1" t="n">
        <v>46307</v>
      </c>
      <c r="F7348" t="inlineStr">
        <is>
          <t>VÄRMLANDS LÄN</t>
        </is>
      </c>
      <c r="G7348" t="inlineStr">
        <is>
          <t>GRUMS</t>
        </is>
      </c>
      <c r="I7348" t="n">
        <v>6.7</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17531-2026</t>
        </is>
      </c>
      <c r="B7349" t="inlineStr">
        <is>
          <t>avverkningsanmälan</t>
        </is>
      </c>
      <c r="C7349" t="inlineStr">
        <is>
          <t>Föryngringsavverkning</t>
        </is>
      </c>
      <c r="D7349" s="1" t="n">
        <v>46120</v>
      </c>
      <c r="E7349" s="1" t="n">
        <v>46307</v>
      </c>
      <c r="F7349" t="inlineStr">
        <is>
          <t>VÄRMLANDS LÄN</t>
        </is>
      </c>
      <c r="G7349" t="inlineStr">
        <is>
          <t>FILIPSTAD</t>
        </is>
      </c>
      <c r="I7349" t="n">
        <v>9.699999999999999</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17605-2026</t>
        </is>
      </c>
      <c r="B7350" t="inlineStr">
        <is>
          <t>avverkningsanmälan</t>
        </is>
      </c>
      <c r="C7350" t="inlineStr">
        <is>
          <t>Föryngringsavverkning</t>
        </is>
      </c>
      <c r="D7350" s="1" t="n">
        <v>46121</v>
      </c>
      <c r="E7350" s="1" t="n">
        <v>46307</v>
      </c>
      <c r="F7350" t="inlineStr">
        <is>
          <t>VÄRMLANDS LÄN</t>
        </is>
      </c>
      <c r="G7350" t="inlineStr">
        <is>
          <t>TORSBY</t>
        </is>
      </c>
      <c r="I7350" t="n">
        <v>13.6</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8012-2023</t>
        </is>
      </c>
      <c r="B7351" t="inlineStr">
        <is>
          <t>avverkningsanmälan</t>
        </is>
      </c>
      <c r="C7351" t="inlineStr">
        <is>
          <t>Föryngringsavverkning</t>
        </is>
      </c>
      <c r="D7351" s="1" t="n">
        <v>44973</v>
      </c>
      <c r="E7351" s="1" t="n">
        <v>46307</v>
      </c>
      <c r="F7351" t="inlineStr">
        <is>
          <t>VÄRMLANDS LÄN</t>
        </is>
      </c>
      <c r="G7351" t="inlineStr">
        <is>
          <t>TORSBY</t>
        </is>
      </c>
      <c r="I7351" t="n">
        <v>2.4</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59626-2021</t>
        </is>
      </c>
      <c r="B7352" t="inlineStr">
        <is>
          <t>avverkningsanmälan</t>
        </is>
      </c>
      <c r="C7352" t="inlineStr">
        <is>
          <t>Föryngringsavverkning</t>
        </is>
      </c>
      <c r="D7352" s="1" t="n">
        <v>44491</v>
      </c>
      <c r="E7352" s="1" t="n">
        <v>46307</v>
      </c>
      <c r="F7352" t="inlineStr">
        <is>
          <t>VÄRMLANDS LÄN</t>
        </is>
      </c>
      <c r="G7352" t="inlineStr">
        <is>
          <t>KARLSTAD</t>
        </is>
      </c>
      <c r="I7352" t="n">
        <v>1.9</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17542-2026</t>
        </is>
      </c>
      <c r="B7353" t="inlineStr">
        <is>
          <t>avverkningsanmälan</t>
        </is>
      </c>
      <c r="C7353" t="inlineStr">
        <is>
          <t>Föryngringsavverkning</t>
        </is>
      </c>
      <c r="D7353" s="1" t="n">
        <v>46120</v>
      </c>
      <c r="E7353" s="1" t="n">
        <v>46307</v>
      </c>
      <c r="F7353" t="inlineStr">
        <is>
          <t>VÄRMLANDS LÄN</t>
        </is>
      </c>
      <c r="G7353" t="inlineStr">
        <is>
          <t>EDA</t>
        </is>
      </c>
      <c r="I7353" t="n">
        <v>3.2</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60265-2025</t>
        </is>
      </c>
      <c r="B7354" t="inlineStr">
        <is>
          <t>avverkningsanmälan</t>
        </is>
      </c>
      <c r="C7354" t="inlineStr">
        <is>
          <t>Föryngringsavverkning</t>
        </is>
      </c>
      <c r="D7354" s="1" t="n">
        <v>45994</v>
      </c>
      <c r="E7354" s="1" t="n">
        <v>46307</v>
      </c>
      <c r="F7354" t="inlineStr">
        <is>
          <t>VÄRMLANDS LÄN</t>
        </is>
      </c>
      <c r="G7354" t="inlineStr">
        <is>
          <t>ÅRJÄNG</t>
        </is>
      </c>
      <c r="I7354" t="n">
        <v>1.2</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17436-2026</t>
        </is>
      </c>
      <c r="B7355" t="inlineStr">
        <is>
          <t>avverkningsanmälan</t>
        </is>
      </c>
      <c r="C7355" t="inlineStr">
        <is>
          <t>Föryngringsavverkning</t>
        </is>
      </c>
      <c r="D7355" s="1" t="n">
        <v>46120</v>
      </c>
      <c r="E7355" s="1" t="n">
        <v>46307</v>
      </c>
      <c r="F7355" t="inlineStr">
        <is>
          <t>VÄRMLANDS LÄN</t>
        </is>
      </c>
      <c r="G7355" t="inlineStr">
        <is>
          <t>TORSBY</t>
        </is>
      </c>
      <c r="I7355" t="n">
        <v>0.7</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17649-2026</t>
        </is>
      </c>
      <c r="B7356" t="inlineStr">
        <is>
          <t>avverkningsanmälan</t>
        </is>
      </c>
      <c r="C7356" t="inlineStr">
        <is>
          <t>Föryngringsavverkning</t>
        </is>
      </c>
      <c r="D7356" s="1" t="n">
        <v>46121</v>
      </c>
      <c r="E7356" s="1" t="n">
        <v>46307</v>
      </c>
      <c r="F7356" t="inlineStr">
        <is>
          <t>VÄRMLANDS LÄN</t>
        </is>
      </c>
      <c r="G7356" t="inlineStr">
        <is>
          <t>SUNNE</t>
        </is>
      </c>
      <c r="I7356" t="n">
        <v>0.8</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17653-2026</t>
        </is>
      </c>
      <c r="B7357" t="inlineStr">
        <is>
          <t>avverkningsanmälan</t>
        </is>
      </c>
      <c r="C7357" t="inlineStr">
        <is>
          <t>Föryngringsavverkning</t>
        </is>
      </c>
      <c r="D7357" s="1" t="n">
        <v>46121</v>
      </c>
      <c r="E7357" s="1" t="n">
        <v>46307</v>
      </c>
      <c r="F7357" t="inlineStr">
        <is>
          <t>VÄRMLANDS LÄN</t>
        </is>
      </c>
      <c r="G7357" t="inlineStr">
        <is>
          <t>SUNNE</t>
        </is>
      </c>
      <c r="I7357" t="n">
        <v>2.6</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59919-2025</t>
        </is>
      </c>
      <c r="B7358" t="inlineStr">
        <is>
          <t>avverkningsanmälan</t>
        </is>
      </c>
      <c r="C7358" t="inlineStr">
        <is>
          <t>Föryngringsavverkning</t>
        </is>
      </c>
      <c r="D7358" s="1" t="n">
        <v>45993</v>
      </c>
      <c r="E7358" s="1" t="n">
        <v>46307</v>
      </c>
      <c r="F7358" t="inlineStr">
        <is>
          <t>VÄRMLANDS LÄN</t>
        </is>
      </c>
      <c r="G7358" t="inlineStr">
        <is>
          <t>FORSHAGA</t>
        </is>
      </c>
      <c r="H7358" t="inlineStr">
        <is>
          <t>Kyrkan</t>
        </is>
      </c>
      <c r="I7358" t="n">
        <v>0.6</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9319-2026</t>
        </is>
      </c>
      <c r="B7359" t="inlineStr">
        <is>
          <t>avverkningsanmälan</t>
        </is>
      </c>
      <c r="C7359" t="inlineStr">
        <is>
          <t>Föryngringsavverkning</t>
        </is>
      </c>
      <c r="D7359" s="1" t="n">
        <v>46070</v>
      </c>
      <c r="E7359" s="1" t="n">
        <v>46307</v>
      </c>
      <c r="F7359" t="inlineStr">
        <is>
          <t>VÄRMLANDS LÄN</t>
        </is>
      </c>
      <c r="G7359" t="inlineStr">
        <is>
          <t>EDA</t>
        </is>
      </c>
      <c r="I7359" t="n">
        <v>1.6</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60070-2025</t>
        </is>
      </c>
      <c r="B7360" t="inlineStr">
        <is>
          <t>avverkningsanmälan</t>
        </is>
      </c>
      <c r="C7360" t="inlineStr">
        <is>
          <t>Föryngringsavverkning</t>
        </is>
      </c>
      <c r="D7360" s="1" t="n">
        <v>45993</v>
      </c>
      <c r="E7360" s="1" t="n">
        <v>46307</v>
      </c>
      <c r="F7360" t="inlineStr">
        <is>
          <t>VÄRMLANDS LÄN</t>
        </is>
      </c>
      <c r="G7360" t="inlineStr">
        <is>
          <t>SUNNE</t>
        </is>
      </c>
      <c r="I7360" t="n">
        <v>5.2</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59929-2025</t>
        </is>
      </c>
      <c r="B7361" t="inlineStr">
        <is>
          <t>avverkningsanmälan</t>
        </is>
      </c>
      <c r="C7361" t="inlineStr">
        <is>
          <t>Föryngringsavverkning</t>
        </is>
      </c>
      <c r="D7361" s="1" t="n">
        <v>45993</v>
      </c>
      <c r="E7361" s="1" t="n">
        <v>46307</v>
      </c>
      <c r="F7361" t="inlineStr">
        <is>
          <t>VÄRMLANDS LÄN</t>
        </is>
      </c>
      <c r="G7361" t="inlineStr">
        <is>
          <t>FILIPSTAD</t>
        </is>
      </c>
      <c r="H7361" t="inlineStr">
        <is>
          <t>Bergvik skog väst AB</t>
        </is>
      </c>
      <c r="I7361" t="n">
        <v>3.3</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17720-2026</t>
        </is>
      </c>
      <c r="B7362" t="inlineStr">
        <is>
          <t>avverkningsanmälan</t>
        </is>
      </c>
      <c r="C7362" t="inlineStr">
        <is>
          <t>Föryngringsavverkning</t>
        </is>
      </c>
      <c r="D7362" s="1" t="n">
        <v>46121</v>
      </c>
      <c r="E7362" s="1" t="n">
        <v>46307</v>
      </c>
      <c r="F7362" t="inlineStr">
        <is>
          <t>VÄRMLANDS LÄN</t>
        </is>
      </c>
      <c r="G7362" t="inlineStr">
        <is>
          <t>FORSHAGA</t>
        </is>
      </c>
      <c r="I7362" t="n">
        <v>0.8</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9314-2026</t>
        </is>
      </c>
      <c r="B7363" t="inlineStr">
        <is>
          <t>avverkningsanmälan</t>
        </is>
      </c>
      <c r="C7363" t="inlineStr">
        <is>
          <t>Föryngringsavverkning</t>
        </is>
      </c>
      <c r="D7363" s="1" t="n">
        <v>46070</v>
      </c>
      <c r="E7363" s="1" t="n">
        <v>46307</v>
      </c>
      <c r="F7363" t="inlineStr">
        <is>
          <t>VÄRMLANDS LÄN</t>
        </is>
      </c>
      <c r="G7363" t="inlineStr">
        <is>
          <t>EDA</t>
        </is>
      </c>
      <c r="I7363" t="n">
        <v>1.1</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18019-2026</t>
        </is>
      </c>
      <c r="B7364" t="inlineStr">
        <is>
          <t>avverkningsanmälan</t>
        </is>
      </c>
      <c r="C7364" t="inlineStr">
        <is>
          <t>Föryngringsavverkning</t>
        </is>
      </c>
      <c r="D7364" s="1" t="n">
        <v>46125</v>
      </c>
      <c r="E7364" s="1" t="n">
        <v>46307</v>
      </c>
      <c r="F7364" t="inlineStr">
        <is>
          <t>VÄRMLANDS LÄN</t>
        </is>
      </c>
      <c r="G7364" t="inlineStr">
        <is>
          <t>ARVIKA</t>
        </is>
      </c>
      <c r="H7364" t="inlineStr">
        <is>
          <t>Kyrkan</t>
        </is>
      </c>
      <c r="I7364" t="n">
        <v>5.1</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18059-2026</t>
        </is>
      </c>
      <c r="B7365" t="inlineStr">
        <is>
          <t>avverkningsanmälan</t>
        </is>
      </c>
      <c r="C7365" t="inlineStr">
        <is>
          <t>Föryngringsavverkning</t>
        </is>
      </c>
      <c r="D7365" s="1" t="n">
        <v>46125</v>
      </c>
      <c r="E7365" s="1" t="n">
        <v>46307</v>
      </c>
      <c r="F7365" t="inlineStr">
        <is>
          <t>VÄRMLANDS LÄN</t>
        </is>
      </c>
      <c r="G7365" t="inlineStr">
        <is>
          <t>ARVIKA</t>
        </is>
      </c>
      <c r="H7365" t="inlineStr">
        <is>
          <t>Bergvik skog väst AB</t>
        </is>
      </c>
      <c r="I7365" t="n">
        <v>2.9</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15270-2024</t>
        </is>
      </c>
      <c r="B7366" t="inlineStr">
        <is>
          <t>avverkningsanmälan</t>
        </is>
      </c>
      <c r="C7366" t="inlineStr">
        <is>
          <t>Föryngringsavverkning</t>
        </is>
      </c>
      <c r="D7366" s="1" t="n">
        <v>45400</v>
      </c>
      <c r="E7366" s="1" t="n">
        <v>46307</v>
      </c>
      <c r="F7366" t="inlineStr">
        <is>
          <t>VÄRMLANDS LÄN</t>
        </is>
      </c>
      <c r="G7366" t="inlineStr">
        <is>
          <t>HAGFORS</t>
        </is>
      </c>
      <c r="I7366" t="n">
        <v>3.3</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17828-2026</t>
        </is>
      </c>
      <c r="B7367" t="inlineStr">
        <is>
          <t>avverkningsanmälan</t>
        </is>
      </c>
      <c r="C7367" t="inlineStr">
        <is>
          <t>Föryngringsavverkning</t>
        </is>
      </c>
      <c r="D7367" s="1" t="n">
        <v>46122</v>
      </c>
      <c r="E7367" s="1" t="n">
        <v>46307</v>
      </c>
      <c r="F7367" t="inlineStr">
        <is>
          <t>VÄRMLANDS LÄN</t>
        </is>
      </c>
      <c r="G7367" t="inlineStr">
        <is>
          <t>TORSBY</t>
        </is>
      </c>
      <c r="I7367" t="n">
        <v>3.8</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17845-2026</t>
        </is>
      </c>
      <c r="B7368" t="inlineStr">
        <is>
          <t>avverkningsanmälan</t>
        </is>
      </c>
      <c r="C7368" t="inlineStr">
        <is>
          <t>Föryngringsavverkning</t>
        </is>
      </c>
      <c r="D7368" s="1" t="n">
        <v>46122</v>
      </c>
      <c r="E7368" s="1" t="n">
        <v>46307</v>
      </c>
      <c r="F7368" t="inlineStr">
        <is>
          <t>VÄRMLANDS LÄN</t>
        </is>
      </c>
      <c r="G7368" t="inlineStr">
        <is>
          <t>FILIPSTAD</t>
        </is>
      </c>
      <c r="H7368" t="inlineStr">
        <is>
          <t>Bergvik skog väst AB</t>
        </is>
      </c>
      <c r="I7368" t="n">
        <v>0.7</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17880-2026</t>
        </is>
      </c>
      <c r="B7369" t="inlineStr">
        <is>
          <t>avverkningsanmälan</t>
        </is>
      </c>
      <c r="C7369" t="inlineStr">
        <is>
          <t>Föryngringsavverkning</t>
        </is>
      </c>
      <c r="D7369" s="1" t="n">
        <v>46122</v>
      </c>
      <c r="E7369" s="1" t="n">
        <v>46307</v>
      </c>
      <c r="F7369" t="inlineStr">
        <is>
          <t>VÄRMLANDS LÄN</t>
        </is>
      </c>
      <c r="G7369" t="inlineStr">
        <is>
          <t>SÄFFLE</t>
        </is>
      </c>
      <c r="I7369" t="n">
        <v>0.7</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17992-2026</t>
        </is>
      </c>
      <c r="B7370" t="inlineStr">
        <is>
          <t>avverkningsanmälan</t>
        </is>
      </c>
      <c r="C7370" t="inlineStr">
        <is>
          <t>Föryngringsavverkning</t>
        </is>
      </c>
      <c r="D7370" s="1" t="n">
        <v>46124</v>
      </c>
      <c r="E7370" s="1" t="n">
        <v>46307</v>
      </c>
      <c r="F7370" t="inlineStr">
        <is>
          <t>VÄRMLANDS LÄN</t>
        </is>
      </c>
      <c r="G7370" t="inlineStr">
        <is>
          <t>EDA</t>
        </is>
      </c>
      <c r="I7370" t="n">
        <v>1.6</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17993-2026</t>
        </is>
      </c>
      <c r="B7371" t="inlineStr">
        <is>
          <t>avverkningsanmälan</t>
        </is>
      </c>
      <c r="C7371" t="inlineStr">
        <is>
          <t>Föryngringsavverkning</t>
        </is>
      </c>
      <c r="D7371" s="1" t="n">
        <v>46124</v>
      </c>
      <c r="E7371" s="1" t="n">
        <v>46307</v>
      </c>
      <c r="F7371" t="inlineStr">
        <is>
          <t>VÄRMLANDS LÄN</t>
        </is>
      </c>
      <c r="G7371" t="inlineStr">
        <is>
          <t>EDA</t>
        </is>
      </c>
      <c r="I7371" t="n">
        <v>0.9</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18072-2026</t>
        </is>
      </c>
      <c r="B7372" t="inlineStr">
        <is>
          <t>avverkningsanmälan</t>
        </is>
      </c>
      <c r="C7372" t="inlineStr">
        <is>
          <t>Föryngringsavverkning</t>
        </is>
      </c>
      <c r="D7372" s="1" t="n">
        <v>46125</v>
      </c>
      <c r="E7372" s="1" t="n">
        <v>46307</v>
      </c>
      <c r="F7372" t="inlineStr">
        <is>
          <t>VÄRMLANDS LÄN</t>
        </is>
      </c>
      <c r="G7372" t="inlineStr">
        <is>
          <t>SUNNE</t>
        </is>
      </c>
      <c r="H7372" t="inlineStr">
        <is>
          <t>Bergvik skog väst AB</t>
        </is>
      </c>
      <c r="I7372" t="n">
        <v>6.7</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17850-2026</t>
        </is>
      </c>
      <c r="B7373" t="inlineStr">
        <is>
          <t>avverkningsanmälan</t>
        </is>
      </c>
      <c r="C7373" t="inlineStr">
        <is>
          <t>Föryngringsavverkning</t>
        </is>
      </c>
      <c r="D7373" s="1" t="n">
        <v>46122</v>
      </c>
      <c r="E7373" s="1" t="n">
        <v>46307</v>
      </c>
      <c r="F7373" t="inlineStr">
        <is>
          <t>VÄRMLANDS LÄN</t>
        </is>
      </c>
      <c r="G7373" t="inlineStr">
        <is>
          <t>TORSBY</t>
        </is>
      </c>
      <c r="H7373" t="inlineStr">
        <is>
          <t>Bergvik skog väst AB</t>
        </is>
      </c>
      <c r="I7373" t="n">
        <v>4.2</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59955-2025</t>
        </is>
      </c>
      <c r="B7374" t="inlineStr">
        <is>
          <t>avverkningsanmälan</t>
        </is>
      </c>
      <c r="C7374" t="inlineStr">
        <is>
          <t>Föryngringsavverkning</t>
        </is>
      </c>
      <c r="D7374" s="1" t="n">
        <v>45993</v>
      </c>
      <c r="E7374" s="1" t="n">
        <v>46307</v>
      </c>
      <c r="F7374" t="inlineStr">
        <is>
          <t>VÄRMLANDS LÄN</t>
        </is>
      </c>
      <c r="G7374" t="inlineStr">
        <is>
          <t>FORSHAGA</t>
        </is>
      </c>
      <c r="H7374" t="inlineStr">
        <is>
          <t>Kyrkan</t>
        </is>
      </c>
      <c r="I7374" t="n">
        <v>4.6</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60027-2025</t>
        </is>
      </c>
      <c r="B7375" t="inlineStr">
        <is>
          <t>avverkningsanmälan</t>
        </is>
      </c>
      <c r="C7375" t="inlineStr">
        <is>
          <t>Föryngringsavverkning</t>
        </is>
      </c>
      <c r="D7375" s="1" t="n">
        <v>45993</v>
      </c>
      <c r="E7375" s="1" t="n">
        <v>46307</v>
      </c>
      <c r="F7375" t="inlineStr">
        <is>
          <t>VÄRMLANDS LÄN</t>
        </is>
      </c>
      <c r="G7375" t="inlineStr">
        <is>
          <t>SUNNE</t>
        </is>
      </c>
      <c r="I7375" t="n">
        <v>2.6</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60040-2025</t>
        </is>
      </c>
      <c r="B7376" t="inlineStr">
        <is>
          <t>avverkningsanmälan</t>
        </is>
      </c>
      <c r="C7376" t="inlineStr">
        <is>
          <t>Föryngringsavverkning</t>
        </is>
      </c>
      <c r="D7376" s="1" t="n">
        <v>45992</v>
      </c>
      <c r="E7376" s="1" t="n">
        <v>46307</v>
      </c>
      <c r="F7376" t="inlineStr">
        <is>
          <t>VÄRMLANDS LÄN</t>
        </is>
      </c>
      <c r="G7376" t="inlineStr">
        <is>
          <t>EDA</t>
        </is>
      </c>
      <c r="I7376" t="n">
        <v>2.2</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60153-2025</t>
        </is>
      </c>
      <c r="B7377" t="inlineStr">
        <is>
          <t>avverkningsanmälan</t>
        </is>
      </c>
      <c r="C7377" t="inlineStr">
        <is>
          <t>Föryngringsavverkning</t>
        </is>
      </c>
      <c r="D7377" s="1" t="n">
        <v>45994</v>
      </c>
      <c r="E7377" s="1" t="n">
        <v>46307</v>
      </c>
      <c r="F7377" t="inlineStr">
        <is>
          <t>VÄRMLANDS LÄN</t>
        </is>
      </c>
      <c r="G7377" t="inlineStr">
        <is>
          <t>EDA</t>
        </is>
      </c>
      <c r="I7377" t="n">
        <v>3.5</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6520-2023</t>
        </is>
      </c>
      <c r="B7378" t="inlineStr">
        <is>
          <t>avverkningsanmälan</t>
        </is>
      </c>
      <c r="C7378" t="inlineStr">
        <is>
          <t>Föryngringsavverkning</t>
        </is>
      </c>
      <c r="D7378" s="1" t="n">
        <v>44960</v>
      </c>
      <c r="E7378" s="1" t="n">
        <v>46307</v>
      </c>
      <c r="F7378" t="inlineStr">
        <is>
          <t>VÄRMLANDS LÄN</t>
        </is>
      </c>
      <c r="G7378" t="inlineStr">
        <is>
          <t>FILIPSTAD</t>
        </is>
      </c>
      <c r="H7378" t="inlineStr">
        <is>
          <t>Kommuner</t>
        </is>
      </c>
      <c r="I7378" t="n">
        <v>1.6</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6569-2023</t>
        </is>
      </c>
      <c r="B7379" t="inlineStr">
        <is>
          <t>avverkningsanmälan</t>
        </is>
      </c>
      <c r="C7379" t="inlineStr">
        <is>
          <t>Föryngringsavverkning</t>
        </is>
      </c>
      <c r="D7379" s="1" t="n">
        <v>44966</v>
      </c>
      <c r="E7379" s="1" t="n">
        <v>46307</v>
      </c>
      <c r="F7379" t="inlineStr">
        <is>
          <t>VÄRMLANDS LÄN</t>
        </is>
      </c>
      <c r="G7379" t="inlineStr">
        <is>
          <t>SUNNE</t>
        </is>
      </c>
      <c r="I7379" t="n">
        <v>4.5</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10404-2025</t>
        </is>
      </c>
      <c r="B7380" t="inlineStr">
        <is>
          <t>avverkningsanmälan</t>
        </is>
      </c>
      <c r="C7380" t="inlineStr">
        <is>
          <t>Föryngringsavverkning</t>
        </is>
      </c>
      <c r="D7380" s="1" t="n">
        <v>45720</v>
      </c>
      <c r="E7380" s="1" t="n">
        <v>46307</v>
      </c>
      <c r="F7380" t="inlineStr">
        <is>
          <t>VÄRMLANDS LÄN</t>
        </is>
      </c>
      <c r="G7380" t="inlineStr">
        <is>
          <t>ARVIKA</t>
        </is>
      </c>
      <c r="H7380" t="inlineStr">
        <is>
          <t>Bergvik skog väst AB</t>
        </is>
      </c>
      <c r="I7380" t="n">
        <v>1.3</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17931-2026</t>
        </is>
      </c>
      <c r="B7381" t="inlineStr">
        <is>
          <t>avverkningsanmälan</t>
        </is>
      </c>
      <c r="C7381" t="inlineStr">
        <is>
          <t>Föryngringsavverkning</t>
        </is>
      </c>
      <c r="D7381" s="1" t="n">
        <v>46122</v>
      </c>
      <c r="E7381" s="1" t="n">
        <v>46307</v>
      </c>
      <c r="F7381" t="inlineStr">
        <is>
          <t>VÄRMLANDS LÄN</t>
        </is>
      </c>
      <c r="G7381" t="inlineStr">
        <is>
          <t>FILIPSTAD</t>
        </is>
      </c>
      <c r="H7381" t="inlineStr">
        <is>
          <t>Bergvik skog väst AB</t>
        </is>
      </c>
      <c r="I7381" t="n">
        <v>0.7</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18022-2026</t>
        </is>
      </c>
      <c r="B7382" t="inlineStr">
        <is>
          <t>avverkningsanmälan</t>
        </is>
      </c>
      <c r="C7382" t="inlineStr">
        <is>
          <t>Föryngringsavverkning</t>
        </is>
      </c>
      <c r="D7382" s="1" t="n">
        <v>46125</v>
      </c>
      <c r="E7382" s="1" t="n">
        <v>46307</v>
      </c>
      <c r="F7382" t="inlineStr">
        <is>
          <t>VÄRMLANDS LÄN</t>
        </is>
      </c>
      <c r="G7382" t="inlineStr">
        <is>
          <t>FILIPSTAD</t>
        </is>
      </c>
      <c r="I7382" t="n">
        <v>1.7</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18099-2026</t>
        </is>
      </c>
      <c r="B7383" t="inlineStr">
        <is>
          <t>avverkningsanmälan</t>
        </is>
      </c>
      <c r="C7383" t="inlineStr">
        <is>
          <t>Föryngringsavverkning</t>
        </is>
      </c>
      <c r="D7383" s="1" t="n">
        <v>46125</v>
      </c>
      <c r="E7383" s="1" t="n">
        <v>46307</v>
      </c>
      <c r="F7383" t="inlineStr">
        <is>
          <t>VÄRMLANDS LÄN</t>
        </is>
      </c>
      <c r="G7383" t="inlineStr">
        <is>
          <t>SUNNE</t>
        </is>
      </c>
      <c r="H7383" t="inlineStr">
        <is>
          <t>Bergvik skog väst AB</t>
        </is>
      </c>
      <c r="I7383" t="n">
        <v>1.1</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18128-2026</t>
        </is>
      </c>
      <c r="B7384" t="inlineStr">
        <is>
          <t>avverkningsanmälan</t>
        </is>
      </c>
      <c r="C7384" t="inlineStr">
        <is>
          <t>Föryngringsavverkning</t>
        </is>
      </c>
      <c r="D7384" s="1" t="n">
        <v>46125</v>
      </c>
      <c r="E7384" s="1" t="n">
        <v>46307</v>
      </c>
      <c r="F7384" t="inlineStr">
        <is>
          <t>VÄRMLANDS LÄN</t>
        </is>
      </c>
      <c r="G7384" t="inlineStr">
        <is>
          <t>SUNNE</t>
        </is>
      </c>
      <c r="I7384" t="n">
        <v>0.6</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1405-2022</t>
        </is>
      </c>
      <c r="B7385" t="inlineStr">
        <is>
          <t>avverkningsanmälan</t>
        </is>
      </c>
      <c r="C7385" t="inlineStr">
        <is>
          <t>Föryngringsavverkning</t>
        </is>
      </c>
      <c r="D7385" s="1" t="n">
        <v>44573</v>
      </c>
      <c r="E7385" s="1" t="n">
        <v>46307</v>
      </c>
      <c r="F7385" t="inlineStr">
        <is>
          <t>VÄRMLANDS LÄN</t>
        </is>
      </c>
      <c r="G7385" t="inlineStr">
        <is>
          <t>EDA</t>
        </is>
      </c>
      <c r="I7385" t="n">
        <v>2.6</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14841-2022</t>
        </is>
      </c>
      <c r="B7386" t="inlineStr">
        <is>
          <t>avverkningsanmälan</t>
        </is>
      </c>
      <c r="C7386" t="inlineStr">
        <is>
          <t>Föryngringsavverkning</t>
        </is>
      </c>
      <c r="D7386" s="1" t="n">
        <v>44656</v>
      </c>
      <c r="E7386" s="1" t="n">
        <v>46307</v>
      </c>
      <c r="F7386" t="inlineStr">
        <is>
          <t>VÄRMLANDS LÄN</t>
        </is>
      </c>
      <c r="G7386" t="inlineStr">
        <is>
          <t>SUNNE</t>
        </is>
      </c>
      <c r="I7386" t="n">
        <v>0.7</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17815-2026</t>
        </is>
      </c>
      <c r="B7387" t="inlineStr">
        <is>
          <t>avverkningsanmälan</t>
        </is>
      </c>
      <c r="C7387" t="inlineStr">
        <is>
          <t>Föryngringsavverkning</t>
        </is>
      </c>
      <c r="D7387" s="1" t="n">
        <v>46122</v>
      </c>
      <c r="E7387" s="1" t="n">
        <v>46307</v>
      </c>
      <c r="F7387" t="inlineStr">
        <is>
          <t>VÄRMLANDS LÄN</t>
        </is>
      </c>
      <c r="G7387" t="inlineStr">
        <is>
          <t>HAGFORS</t>
        </is>
      </c>
      <c r="H7387" t="inlineStr">
        <is>
          <t>Bergvik skog väst AB</t>
        </is>
      </c>
      <c r="I7387" t="n">
        <v>5.7</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60461-2025</t>
        </is>
      </c>
      <c r="B7388" t="inlineStr">
        <is>
          <t>avverkningsanmälan</t>
        </is>
      </c>
      <c r="C7388" t="inlineStr">
        <is>
          <t>Föryngringsavverkning</t>
        </is>
      </c>
      <c r="D7388" s="1" t="n">
        <v>45995</v>
      </c>
      <c r="E7388" s="1" t="n">
        <v>46307</v>
      </c>
      <c r="F7388" t="inlineStr">
        <is>
          <t>VÄRMLANDS LÄN</t>
        </is>
      </c>
      <c r="G7388" t="inlineStr">
        <is>
          <t>TORSBY</t>
        </is>
      </c>
      <c r="I7388" t="n">
        <v>4.9</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60653-2025</t>
        </is>
      </c>
      <c r="B7389" t="inlineStr">
        <is>
          <t>avverkningsanmälan</t>
        </is>
      </c>
      <c r="C7389" t="inlineStr">
        <is>
          <t>Föryngringsavverkning</t>
        </is>
      </c>
      <c r="D7389" s="1" t="n">
        <v>45996</v>
      </c>
      <c r="E7389" s="1" t="n">
        <v>46307</v>
      </c>
      <c r="F7389" t="inlineStr">
        <is>
          <t>VÄRMLANDS LÄN</t>
        </is>
      </c>
      <c r="G7389" t="inlineStr">
        <is>
          <t>FILIPSTAD</t>
        </is>
      </c>
      <c r="H7389" t="inlineStr">
        <is>
          <t>Bergvik skog väst AB</t>
        </is>
      </c>
      <c r="I7389" t="n">
        <v>7.5</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18011-2026</t>
        </is>
      </c>
      <c r="B7390" t="inlineStr">
        <is>
          <t>avverkningsanmälan</t>
        </is>
      </c>
      <c r="C7390" t="inlineStr">
        <is>
          <t>Föryngringsavverkning</t>
        </is>
      </c>
      <c r="D7390" s="1" t="n">
        <v>46123</v>
      </c>
      <c r="E7390" s="1" t="n">
        <v>46307</v>
      </c>
      <c r="F7390" t="inlineStr">
        <is>
          <t>VÄRMLANDS LÄN</t>
        </is>
      </c>
      <c r="G7390" t="inlineStr">
        <is>
          <t>ARVIKA</t>
        </is>
      </c>
      <c r="I7390" t="n">
        <v>2.4</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17843-2026</t>
        </is>
      </c>
      <c r="B7391" t="inlineStr">
        <is>
          <t>avverkningsanmälan</t>
        </is>
      </c>
      <c r="C7391" t="inlineStr">
        <is>
          <t>Föryngringsavverkning</t>
        </is>
      </c>
      <c r="D7391" s="1" t="n">
        <v>46122</v>
      </c>
      <c r="E7391" s="1" t="n">
        <v>46307</v>
      </c>
      <c r="F7391" t="inlineStr">
        <is>
          <t>VÄRMLANDS LÄN</t>
        </is>
      </c>
      <c r="G7391" t="inlineStr">
        <is>
          <t>HAGFORS</t>
        </is>
      </c>
      <c r="H7391" t="inlineStr">
        <is>
          <t>Bergvik skog väst AB</t>
        </is>
      </c>
      <c r="I7391" t="n">
        <v>5.4</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17897-2026</t>
        </is>
      </c>
      <c r="B7392" t="inlineStr">
        <is>
          <t>avverkningsanmälan</t>
        </is>
      </c>
      <c r="C7392" t="inlineStr">
        <is>
          <t>Föryngringsavverkning</t>
        </is>
      </c>
      <c r="D7392" s="1" t="n">
        <v>46122</v>
      </c>
      <c r="E7392" s="1" t="n">
        <v>46307</v>
      </c>
      <c r="F7392" t="inlineStr">
        <is>
          <t>VÄRMLANDS LÄN</t>
        </is>
      </c>
      <c r="G7392" t="inlineStr">
        <is>
          <t>FORSHAGA</t>
        </is>
      </c>
      <c r="H7392" t="inlineStr">
        <is>
          <t>Bergvik skog väst AB</t>
        </is>
      </c>
      <c r="I7392" t="n">
        <v>8.4</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60437-2025</t>
        </is>
      </c>
      <c r="B7393" t="inlineStr">
        <is>
          <t>avverkningsanmälan</t>
        </is>
      </c>
      <c r="C7393" t="inlineStr">
        <is>
          <t>Föryngringsavverkning</t>
        </is>
      </c>
      <c r="D7393" s="1" t="n">
        <v>45995</v>
      </c>
      <c r="E7393" s="1" t="n">
        <v>46307</v>
      </c>
      <c r="F7393" t="inlineStr">
        <is>
          <t>VÄRMLANDS LÄN</t>
        </is>
      </c>
      <c r="G7393" t="inlineStr">
        <is>
          <t>SÄFFLE</t>
        </is>
      </c>
      <c r="I7393" t="n">
        <v>1.7</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60659-2025</t>
        </is>
      </c>
      <c r="B7394" t="inlineStr">
        <is>
          <t>avverkningsanmälan</t>
        </is>
      </c>
      <c r="C7394" t="inlineStr">
        <is>
          <t>Föryngringsavverkning</t>
        </is>
      </c>
      <c r="D7394" s="1" t="n">
        <v>45996</v>
      </c>
      <c r="E7394" s="1" t="n">
        <v>46307</v>
      </c>
      <c r="F7394" t="inlineStr">
        <is>
          <t>VÄRMLANDS LÄN</t>
        </is>
      </c>
      <c r="G7394" t="inlineStr">
        <is>
          <t>ÅRJÄNG</t>
        </is>
      </c>
      <c r="I7394" t="n">
        <v>10.2</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60593-2025</t>
        </is>
      </c>
      <c r="B7395" t="inlineStr">
        <is>
          <t>avverkningsanmälan</t>
        </is>
      </c>
      <c r="C7395" t="inlineStr">
        <is>
          <t>Föryngringsavverkning</t>
        </is>
      </c>
      <c r="D7395" s="1" t="n">
        <v>45996</v>
      </c>
      <c r="E7395" s="1" t="n">
        <v>46307</v>
      </c>
      <c r="F7395" t="inlineStr">
        <is>
          <t>VÄRMLANDS LÄN</t>
        </is>
      </c>
      <c r="G7395" t="inlineStr">
        <is>
          <t>TORSBY</t>
        </is>
      </c>
      <c r="I7395" t="n">
        <v>6.3</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18096-2026</t>
        </is>
      </c>
      <c r="B7396" t="inlineStr">
        <is>
          <t>avverkningsanmälan</t>
        </is>
      </c>
      <c r="C7396" t="inlineStr">
        <is>
          <t>Föryngringsavverkning</t>
        </is>
      </c>
      <c r="D7396" s="1" t="n">
        <v>46125</v>
      </c>
      <c r="E7396" s="1" t="n">
        <v>46307</v>
      </c>
      <c r="F7396" t="inlineStr">
        <is>
          <t>VÄRMLANDS LÄN</t>
        </is>
      </c>
      <c r="G7396" t="inlineStr">
        <is>
          <t>KIL</t>
        </is>
      </c>
      <c r="I7396" t="n">
        <v>1.9</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18163-2026</t>
        </is>
      </c>
      <c r="B7397" t="inlineStr">
        <is>
          <t>avverkningsanmälan</t>
        </is>
      </c>
      <c r="C7397" t="inlineStr">
        <is>
          <t>Föryngringsavverkning</t>
        </is>
      </c>
      <c r="D7397" s="1" t="n">
        <v>46125</v>
      </c>
      <c r="E7397" s="1" t="n">
        <v>46307</v>
      </c>
      <c r="F7397" t="inlineStr">
        <is>
          <t>VÄRMLANDS LÄN</t>
        </is>
      </c>
      <c r="G7397" t="inlineStr">
        <is>
          <t>KARLSTAD</t>
        </is>
      </c>
      <c r="H7397" t="inlineStr">
        <is>
          <t>Bergvik skog väst AB</t>
        </is>
      </c>
      <c r="I7397" t="n">
        <v>2.7</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17817-2026</t>
        </is>
      </c>
      <c r="B7398" t="inlineStr">
        <is>
          <t>avverkningsanmälan</t>
        </is>
      </c>
      <c r="C7398" t="inlineStr">
        <is>
          <t>Föryngringsavverkning</t>
        </is>
      </c>
      <c r="D7398" s="1" t="n">
        <v>46122</v>
      </c>
      <c r="E7398" s="1" t="n">
        <v>46307</v>
      </c>
      <c r="F7398" t="inlineStr">
        <is>
          <t>VÄRMLANDS LÄN</t>
        </is>
      </c>
      <c r="G7398" t="inlineStr">
        <is>
          <t>TORSBY</t>
        </is>
      </c>
      <c r="I7398" t="n">
        <v>2.1</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60434-2025</t>
        </is>
      </c>
      <c r="B7399" t="inlineStr">
        <is>
          <t>avverkningsanmälan</t>
        </is>
      </c>
      <c r="C7399" t="inlineStr">
        <is>
          <t>Avverkning för annat ändamål</t>
        </is>
      </c>
      <c r="D7399" s="1" t="n">
        <v>45995</v>
      </c>
      <c r="E7399" s="1" t="n">
        <v>46307</v>
      </c>
      <c r="F7399" t="inlineStr">
        <is>
          <t>VÄRMLANDS LÄN</t>
        </is>
      </c>
      <c r="G7399" t="inlineStr">
        <is>
          <t>KARLSTAD</t>
        </is>
      </c>
      <c r="I7399" t="n">
        <v>1</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60479-2025</t>
        </is>
      </c>
      <c r="B7400" t="inlineStr">
        <is>
          <t>avverkningsanmälan</t>
        </is>
      </c>
      <c r="C7400" t="inlineStr">
        <is>
          <t>Föryngringsavverkning</t>
        </is>
      </c>
      <c r="D7400" s="1" t="n">
        <v>45995</v>
      </c>
      <c r="E7400" s="1" t="n">
        <v>46307</v>
      </c>
      <c r="F7400" t="inlineStr">
        <is>
          <t>VÄRMLANDS LÄN</t>
        </is>
      </c>
      <c r="G7400" t="inlineStr">
        <is>
          <t>TORSBY</t>
        </is>
      </c>
      <c r="I7400" t="n">
        <v>1</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60381-2025</t>
        </is>
      </c>
      <c r="B7401" t="inlineStr">
        <is>
          <t>avverkningsanmälan</t>
        </is>
      </c>
      <c r="C7401" t="inlineStr">
        <is>
          <t>Föryngringsavverkning</t>
        </is>
      </c>
      <c r="D7401" s="1" t="n">
        <v>45995</v>
      </c>
      <c r="E7401" s="1" t="n">
        <v>46307</v>
      </c>
      <c r="F7401" t="inlineStr">
        <is>
          <t>VÄRMLANDS LÄN</t>
        </is>
      </c>
      <c r="G7401" t="inlineStr">
        <is>
          <t>KRISTINEHAMN</t>
        </is>
      </c>
      <c r="I7401" t="n">
        <v>1.2</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13494-2025</t>
        </is>
      </c>
      <c r="B7402" t="inlineStr">
        <is>
          <t>avverkningsanmälan</t>
        </is>
      </c>
      <c r="C7402" t="inlineStr">
        <is>
          <t>Föryngringsavverkning</t>
        </is>
      </c>
      <c r="D7402" s="1" t="n">
        <v>45736</v>
      </c>
      <c r="E7402" s="1" t="n">
        <v>46307</v>
      </c>
      <c r="F7402" t="inlineStr">
        <is>
          <t>VÄRMLANDS LÄN</t>
        </is>
      </c>
      <c r="G7402" t="inlineStr">
        <is>
          <t>EDA</t>
        </is>
      </c>
      <c r="I7402" t="n">
        <v>0.7</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60441-2025</t>
        </is>
      </c>
      <c r="B7403" t="inlineStr">
        <is>
          <t>avverkningsanmälan</t>
        </is>
      </c>
      <c r="C7403" t="inlineStr">
        <is>
          <t>Föryngringsavverkning</t>
        </is>
      </c>
      <c r="D7403" s="1" t="n">
        <v>45995</v>
      </c>
      <c r="E7403" s="1" t="n">
        <v>46307</v>
      </c>
      <c r="F7403" t="inlineStr">
        <is>
          <t>VÄRMLANDS LÄN</t>
        </is>
      </c>
      <c r="G7403" t="inlineStr">
        <is>
          <t>EDA</t>
        </is>
      </c>
      <c r="I7403" t="n">
        <v>1.7</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60459-2025</t>
        </is>
      </c>
      <c r="B7404" t="inlineStr">
        <is>
          <t>avverkningsanmälan</t>
        </is>
      </c>
      <c r="C7404" t="inlineStr">
        <is>
          <t>Föryngringsavverkning</t>
        </is>
      </c>
      <c r="D7404" s="1" t="n">
        <v>45995</v>
      </c>
      <c r="E7404" s="1" t="n">
        <v>46307</v>
      </c>
      <c r="F7404" t="inlineStr">
        <is>
          <t>VÄRMLANDS LÄN</t>
        </is>
      </c>
      <c r="G7404" t="inlineStr">
        <is>
          <t>TORSBY</t>
        </is>
      </c>
      <c r="I7404" t="n">
        <v>0.8</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6321-2024</t>
        </is>
      </c>
      <c r="B7405" t="inlineStr">
        <is>
          <t>avverkningsanmälan</t>
        </is>
      </c>
      <c r="C7405" t="inlineStr">
        <is>
          <t>Avverkning för annat ändamål</t>
        </is>
      </c>
      <c r="D7405" s="1" t="n">
        <v>45338</v>
      </c>
      <c r="E7405" s="1" t="n">
        <v>46307</v>
      </c>
      <c r="F7405" t="inlineStr">
        <is>
          <t>VÄRMLANDS LÄN</t>
        </is>
      </c>
      <c r="G7405" t="inlineStr">
        <is>
          <t>EDA</t>
        </is>
      </c>
      <c r="I7405" t="n">
        <v>0.1</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60511-2025</t>
        </is>
      </c>
      <c r="B7406" t="inlineStr">
        <is>
          <t>avverkningsanmälan</t>
        </is>
      </c>
      <c r="C7406" t="inlineStr">
        <is>
          <t>Föryngringsavverkning</t>
        </is>
      </c>
      <c r="D7406" s="1" t="n">
        <v>45995</v>
      </c>
      <c r="E7406" s="1" t="n">
        <v>46307</v>
      </c>
      <c r="F7406" t="inlineStr">
        <is>
          <t>VÄRMLANDS LÄN</t>
        </is>
      </c>
      <c r="G7406" t="inlineStr">
        <is>
          <t>STORFORS</t>
        </is>
      </c>
      <c r="I7406" t="n">
        <v>1.1</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60513-2025</t>
        </is>
      </c>
      <c r="B7407" t="inlineStr">
        <is>
          <t>avverkningsanmälan</t>
        </is>
      </c>
      <c r="C7407" t="inlineStr">
        <is>
          <t>Föryngringsavverkning</t>
        </is>
      </c>
      <c r="D7407" s="1" t="n">
        <v>45995</v>
      </c>
      <c r="E7407" s="1" t="n">
        <v>46307</v>
      </c>
      <c r="F7407" t="inlineStr">
        <is>
          <t>VÄRMLANDS LÄN</t>
        </is>
      </c>
      <c r="G7407" t="inlineStr">
        <is>
          <t>SÄFFLE</t>
        </is>
      </c>
      <c r="I7407" t="n">
        <v>3.3</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60592-2025</t>
        </is>
      </c>
      <c r="B7408" t="inlineStr">
        <is>
          <t>avverkningsanmälan</t>
        </is>
      </c>
      <c r="C7408" t="inlineStr">
        <is>
          <t>Föryngringsavverkning</t>
        </is>
      </c>
      <c r="D7408" s="1" t="n">
        <v>45996</v>
      </c>
      <c r="E7408" s="1" t="n">
        <v>46307</v>
      </c>
      <c r="F7408" t="inlineStr">
        <is>
          <t>VÄRMLANDS LÄN</t>
        </is>
      </c>
      <c r="G7408" t="inlineStr">
        <is>
          <t>TORSBY</t>
        </is>
      </c>
      <c r="I7408" t="n">
        <v>4.4</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12113-2023</t>
        </is>
      </c>
      <c r="B7409" t="inlineStr">
        <is>
          <t>avverkningsanmälan</t>
        </is>
      </c>
      <c r="C7409" t="inlineStr">
        <is>
          <t>Föryngringsavverkning</t>
        </is>
      </c>
      <c r="D7409" s="1" t="n">
        <v>44998</v>
      </c>
      <c r="E7409" s="1" t="n">
        <v>46307</v>
      </c>
      <c r="F7409" t="inlineStr">
        <is>
          <t>VÄRMLANDS LÄN</t>
        </is>
      </c>
      <c r="G7409" t="inlineStr">
        <is>
          <t>EDA</t>
        </is>
      </c>
      <c r="I7409" t="n">
        <v>2.9</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55399-2024</t>
        </is>
      </c>
      <c r="B7410" t="inlineStr">
        <is>
          <t>avverkningsanmälan</t>
        </is>
      </c>
      <c r="C7410" t="inlineStr">
        <is>
          <t>Föryngringsavverkning</t>
        </is>
      </c>
      <c r="D7410" s="1" t="n">
        <v>45622</v>
      </c>
      <c r="E7410" s="1" t="n">
        <v>46307</v>
      </c>
      <c r="F7410" t="inlineStr">
        <is>
          <t>VÄRMLANDS LÄN</t>
        </is>
      </c>
      <c r="G7410" t="inlineStr">
        <is>
          <t>SUNNE</t>
        </is>
      </c>
      <c r="I7410" t="n">
        <v>0.5</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18146-2026</t>
        </is>
      </c>
      <c r="B7411" t="inlineStr">
        <is>
          <t>avverkningsanmälan</t>
        </is>
      </c>
      <c r="C7411" t="inlineStr">
        <is>
          <t>Föryngringsavverkning</t>
        </is>
      </c>
      <c r="D7411" s="1" t="n">
        <v>46125</v>
      </c>
      <c r="E7411" s="1" t="n">
        <v>46307</v>
      </c>
      <c r="F7411" t="inlineStr">
        <is>
          <t>VÄRMLANDS LÄN</t>
        </is>
      </c>
      <c r="G7411" t="inlineStr">
        <is>
          <t>ARVIKA</t>
        </is>
      </c>
      <c r="H7411" t="inlineStr">
        <is>
          <t>Bergvik skog väst AB</t>
        </is>
      </c>
      <c r="I7411" t="n">
        <v>6</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23188-2024</t>
        </is>
      </c>
      <c r="B7412" t="inlineStr">
        <is>
          <t>avverkningsanmälan</t>
        </is>
      </c>
      <c r="C7412" t="inlineStr">
        <is>
          <t>Föryngringsavverkning</t>
        </is>
      </c>
      <c r="D7412" s="1" t="n">
        <v>45450</v>
      </c>
      <c r="E7412" s="1" t="n">
        <v>46307</v>
      </c>
      <c r="F7412" t="inlineStr">
        <is>
          <t>VÄRMLANDS LÄN</t>
        </is>
      </c>
      <c r="G7412" t="inlineStr">
        <is>
          <t>SÄFFLE</t>
        </is>
      </c>
      <c r="H7412" t="inlineStr">
        <is>
          <t>Bergvik skog väst AB</t>
        </is>
      </c>
      <c r="I7412" t="n">
        <v>2.9</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60606-2025</t>
        </is>
      </c>
      <c r="B7413" t="inlineStr">
        <is>
          <t>avverkningsanmälan</t>
        </is>
      </c>
      <c r="C7413" t="inlineStr">
        <is>
          <t>Föryngringsavverkning</t>
        </is>
      </c>
      <c r="D7413" s="1" t="n">
        <v>45996</v>
      </c>
      <c r="E7413" s="1" t="n">
        <v>46307</v>
      </c>
      <c r="F7413" t="inlineStr">
        <is>
          <t>VÄRMLANDS LÄN</t>
        </is>
      </c>
      <c r="G7413" t="inlineStr">
        <is>
          <t>HAGFORS</t>
        </is>
      </c>
      <c r="H7413" t="inlineStr">
        <is>
          <t>Bergvik skog väst AB</t>
        </is>
      </c>
      <c r="I7413" t="n">
        <v>1.7</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60627-2025</t>
        </is>
      </c>
      <c r="B7414" t="inlineStr">
        <is>
          <t>avverkningsanmälan</t>
        </is>
      </c>
      <c r="C7414" t="inlineStr">
        <is>
          <t>Föryngringsavverkning</t>
        </is>
      </c>
      <c r="D7414" s="1" t="n">
        <v>45996</v>
      </c>
      <c r="E7414" s="1" t="n">
        <v>46307</v>
      </c>
      <c r="F7414" t="inlineStr">
        <is>
          <t>VÄRMLANDS LÄN</t>
        </is>
      </c>
      <c r="G7414" t="inlineStr">
        <is>
          <t>ARVIKA</t>
        </is>
      </c>
      <c r="I7414" t="n">
        <v>2.2</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60648-2025</t>
        </is>
      </c>
      <c r="B7415" t="inlineStr">
        <is>
          <t>avverkningsanmälan</t>
        </is>
      </c>
      <c r="C7415" t="inlineStr">
        <is>
          <t>Avverkning för annat ändamål</t>
        </is>
      </c>
      <c r="D7415" s="1" t="n">
        <v>45996</v>
      </c>
      <c r="E7415" s="1" t="n">
        <v>46307</v>
      </c>
      <c r="F7415" t="inlineStr">
        <is>
          <t>VÄRMLANDS LÄN</t>
        </is>
      </c>
      <c r="G7415" t="inlineStr">
        <is>
          <t>HAGFORS</t>
        </is>
      </c>
      <c r="H7415" t="inlineStr">
        <is>
          <t>Bergvik skog väst AB</t>
        </is>
      </c>
      <c r="I7415" t="n">
        <v>2.1</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60656-2025</t>
        </is>
      </c>
      <c r="B7416" t="inlineStr">
        <is>
          <t>avverkningsanmälan</t>
        </is>
      </c>
      <c r="C7416" t="inlineStr">
        <is>
          <t>Föryngringsavverkning</t>
        </is>
      </c>
      <c r="D7416" s="1" t="n">
        <v>45996</v>
      </c>
      <c r="E7416" s="1" t="n">
        <v>46307</v>
      </c>
      <c r="F7416" t="inlineStr">
        <is>
          <t>VÄRMLANDS LÄN</t>
        </is>
      </c>
      <c r="G7416" t="inlineStr">
        <is>
          <t>GRUMS</t>
        </is>
      </c>
      <c r="I7416" t="n">
        <v>2.5</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17778-2026</t>
        </is>
      </c>
      <c r="B7417" t="inlineStr">
        <is>
          <t>avverkningsanmälan</t>
        </is>
      </c>
      <c r="C7417" t="inlineStr">
        <is>
          <t>Föryngringsavverkning</t>
        </is>
      </c>
      <c r="D7417" s="1" t="n">
        <v>46122</v>
      </c>
      <c r="E7417" s="1" t="n">
        <v>46307</v>
      </c>
      <c r="F7417" t="inlineStr">
        <is>
          <t>VÄRMLANDS LÄN</t>
        </is>
      </c>
      <c r="G7417" t="inlineStr">
        <is>
          <t>HAGFORS</t>
        </is>
      </c>
      <c r="H7417" t="inlineStr">
        <is>
          <t>Bergvik skog väst AB</t>
        </is>
      </c>
      <c r="I7417" t="n">
        <v>1.3</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18136-2026</t>
        </is>
      </c>
      <c r="B7418" t="inlineStr">
        <is>
          <t>avverkningsanmälan</t>
        </is>
      </c>
      <c r="C7418" t="inlineStr">
        <is>
          <t>Föryngringsavverkning</t>
        </is>
      </c>
      <c r="D7418" s="1" t="n">
        <v>46125</v>
      </c>
      <c r="E7418" s="1" t="n">
        <v>46307</v>
      </c>
      <c r="F7418" t="inlineStr">
        <is>
          <t>VÄRMLANDS LÄN</t>
        </is>
      </c>
      <c r="G7418" t="inlineStr">
        <is>
          <t>TORSBY</t>
        </is>
      </c>
      <c r="I7418" t="n">
        <v>1</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60529-2025</t>
        </is>
      </c>
      <c r="B7419" t="inlineStr">
        <is>
          <t>avverkningsanmälan</t>
        </is>
      </c>
      <c r="C7419" t="inlineStr">
        <is>
          <t>Föryngringsavverkning</t>
        </is>
      </c>
      <c r="D7419" s="1" t="n">
        <v>45995</v>
      </c>
      <c r="E7419" s="1" t="n">
        <v>46307</v>
      </c>
      <c r="F7419" t="inlineStr">
        <is>
          <t>VÄRMLANDS LÄN</t>
        </is>
      </c>
      <c r="G7419" t="inlineStr">
        <is>
          <t>EDA</t>
        </is>
      </c>
      <c r="I7419" t="n">
        <v>3.5</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21094-2022</t>
        </is>
      </c>
      <c r="B7420" t="inlineStr">
        <is>
          <t>avverkningsanmälan</t>
        </is>
      </c>
      <c r="C7420" t="inlineStr">
        <is>
          <t>Föryngringsavverkning</t>
        </is>
      </c>
      <c r="D7420" s="1" t="n">
        <v>44704</v>
      </c>
      <c r="E7420" s="1" t="n">
        <v>46307</v>
      </c>
      <c r="F7420" t="inlineStr">
        <is>
          <t>VÄRMLANDS LÄN</t>
        </is>
      </c>
      <c r="G7420" t="inlineStr">
        <is>
          <t>TORSBY</t>
        </is>
      </c>
      <c r="I7420" t="n">
        <v>2.5</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18101-2026</t>
        </is>
      </c>
      <c r="B7421" t="inlineStr">
        <is>
          <t>avverkningsanmälan</t>
        </is>
      </c>
      <c r="C7421" t="inlineStr">
        <is>
          <t>Föryngringsavverkning</t>
        </is>
      </c>
      <c r="D7421" s="1" t="n">
        <v>46125</v>
      </c>
      <c r="E7421" s="1" t="n">
        <v>46307</v>
      </c>
      <c r="F7421" t="inlineStr">
        <is>
          <t>VÄRMLANDS LÄN</t>
        </is>
      </c>
      <c r="G7421" t="inlineStr">
        <is>
          <t>KIL</t>
        </is>
      </c>
      <c r="I7421" t="n">
        <v>4.8</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60550-2025</t>
        </is>
      </c>
      <c r="B7422" t="inlineStr">
        <is>
          <t>avverkningsanmälan</t>
        </is>
      </c>
      <c r="C7422" t="inlineStr">
        <is>
          <t>Föryngringsavverkning</t>
        </is>
      </c>
      <c r="D7422" s="1" t="n">
        <v>45995</v>
      </c>
      <c r="E7422" s="1" t="n">
        <v>46307</v>
      </c>
      <c r="F7422" t="inlineStr">
        <is>
          <t>VÄRMLANDS LÄN</t>
        </is>
      </c>
      <c r="G7422" t="inlineStr">
        <is>
          <t>FILIPSTAD</t>
        </is>
      </c>
      <c r="H7422" t="inlineStr">
        <is>
          <t>Bergvik skog väst AB</t>
        </is>
      </c>
      <c r="I7422" t="n">
        <v>0.7</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24846-2022</t>
        </is>
      </c>
      <c r="B7423" t="inlineStr">
        <is>
          <t>avverkningsanmälan</t>
        </is>
      </c>
      <c r="C7423" t="inlineStr">
        <is>
          <t>Föryngringsavverkning</t>
        </is>
      </c>
      <c r="D7423" s="1" t="n">
        <v>44728</v>
      </c>
      <c r="E7423" s="1" t="n">
        <v>46307</v>
      </c>
      <c r="F7423" t="inlineStr">
        <is>
          <t>VÄRMLANDS LÄN</t>
        </is>
      </c>
      <c r="G7423" t="inlineStr">
        <is>
          <t>STORFORS</t>
        </is>
      </c>
      <c r="I7423" t="n">
        <v>2</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18470-2026</t>
        </is>
      </c>
      <c r="B7424" t="inlineStr">
        <is>
          <t>avverkningsanmälan</t>
        </is>
      </c>
      <c r="C7424" t="inlineStr">
        <is>
          <t>Föryngringsavverkning</t>
        </is>
      </c>
      <c r="D7424" s="1" t="n">
        <v>46127</v>
      </c>
      <c r="E7424" s="1" t="n">
        <v>46307</v>
      </c>
      <c r="F7424" t="inlineStr">
        <is>
          <t>VÄRMLANDS LÄN</t>
        </is>
      </c>
      <c r="G7424" t="inlineStr">
        <is>
          <t>EDA</t>
        </is>
      </c>
      <c r="I7424" t="n">
        <v>4</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65837-2021</t>
        </is>
      </c>
      <c r="B7425" t="inlineStr">
        <is>
          <t>avverkningsanmälan</t>
        </is>
      </c>
      <c r="C7425" t="inlineStr">
        <is>
          <t>Föryngringsavverkning</t>
        </is>
      </c>
      <c r="D7425" s="1" t="n">
        <v>44517</v>
      </c>
      <c r="E7425" s="1" t="n">
        <v>46307</v>
      </c>
      <c r="F7425" t="inlineStr">
        <is>
          <t>VÄRMLANDS LÄN</t>
        </is>
      </c>
      <c r="G7425" t="inlineStr">
        <is>
          <t>ÅRJÄNG</t>
        </is>
      </c>
      <c r="I7425" t="n">
        <v>6.8</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18507-2026</t>
        </is>
      </c>
      <c r="B7426" t="inlineStr">
        <is>
          <t>avverkningsanmälan</t>
        </is>
      </c>
      <c r="C7426" t="inlineStr">
        <is>
          <t>Föryngringsavverkning</t>
        </is>
      </c>
      <c r="D7426" s="1" t="n">
        <v>46127</v>
      </c>
      <c r="E7426" s="1" t="n">
        <v>46307</v>
      </c>
      <c r="F7426" t="inlineStr">
        <is>
          <t>VÄRMLANDS LÄN</t>
        </is>
      </c>
      <c r="G7426" t="inlineStr">
        <is>
          <t>FILIPSTAD</t>
        </is>
      </c>
      <c r="H7426" t="inlineStr">
        <is>
          <t>Bergvik skog väst AB</t>
        </is>
      </c>
      <c r="I7426" t="n">
        <v>2.9</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18873-2026</t>
        </is>
      </c>
      <c r="B7427" t="inlineStr">
        <is>
          <t>avverkningsanmälan</t>
        </is>
      </c>
      <c r="C7427" t="inlineStr">
        <is>
          <t>Föryngringsavverkning</t>
        </is>
      </c>
      <c r="D7427" s="1" t="n">
        <v>46127</v>
      </c>
      <c r="E7427" s="1" t="n">
        <v>46307</v>
      </c>
      <c r="F7427" t="inlineStr">
        <is>
          <t>VÄRMLANDS LÄN</t>
        </is>
      </c>
      <c r="G7427" t="inlineStr">
        <is>
          <t>ÅRJÄNG</t>
        </is>
      </c>
      <c r="I7427" t="n">
        <v>4.4</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55666-2024</t>
        </is>
      </c>
      <c r="B7428" t="inlineStr">
        <is>
          <t>avverkningsanmälan</t>
        </is>
      </c>
      <c r="C7428" t="inlineStr">
        <is>
          <t>Föryngringsavverkning</t>
        </is>
      </c>
      <c r="D7428" s="1" t="n">
        <v>45622</v>
      </c>
      <c r="E7428" s="1" t="n">
        <v>46307</v>
      </c>
      <c r="F7428" t="inlineStr">
        <is>
          <t>VÄRMLANDS LÄN</t>
        </is>
      </c>
      <c r="G7428" t="inlineStr">
        <is>
          <t>KARLSTAD</t>
        </is>
      </c>
      <c r="I7428" t="n">
        <v>1.1</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33992-2024</t>
        </is>
      </c>
      <c r="B7429" t="inlineStr">
        <is>
          <t>avverkningsanmälan</t>
        </is>
      </c>
      <c r="C7429" t="inlineStr">
        <is>
          <t>Föryngringsavverkning</t>
        </is>
      </c>
      <c r="D7429" s="1" t="n">
        <v>45523</v>
      </c>
      <c r="E7429" s="1" t="n">
        <v>46307</v>
      </c>
      <c r="F7429" t="inlineStr">
        <is>
          <t>VÄRMLANDS LÄN</t>
        </is>
      </c>
      <c r="G7429" t="inlineStr">
        <is>
          <t>SUNNE</t>
        </is>
      </c>
      <c r="I7429" t="n">
        <v>0.3</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49405-2022</t>
        </is>
      </c>
      <c r="B7430" t="inlineStr">
        <is>
          <t>avverkningsanmälan</t>
        </is>
      </c>
      <c r="C7430" t="inlineStr">
        <is>
          <t>Föryngringsavverkning</t>
        </is>
      </c>
      <c r="D7430" s="1" t="n">
        <v>44861</v>
      </c>
      <c r="E7430" s="1" t="n">
        <v>46307</v>
      </c>
      <c r="F7430" t="inlineStr">
        <is>
          <t>VÄRMLANDS LÄN</t>
        </is>
      </c>
      <c r="G7430" t="inlineStr">
        <is>
          <t>ÅRJÄNG</t>
        </is>
      </c>
      <c r="I7430" t="n">
        <v>1.1</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60433-2025</t>
        </is>
      </c>
      <c r="B7431" t="inlineStr">
        <is>
          <t>avverkningsanmälan</t>
        </is>
      </c>
      <c r="C7431" t="inlineStr">
        <is>
          <t>Föryngringsavverkning</t>
        </is>
      </c>
      <c r="D7431" s="1" t="n">
        <v>45995</v>
      </c>
      <c r="E7431" s="1" t="n">
        <v>46307</v>
      </c>
      <c r="F7431" t="inlineStr">
        <is>
          <t>VÄRMLANDS LÄN</t>
        </is>
      </c>
      <c r="G7431" t="inlineStr">
        <is>
          <t>FILIPSTAD</t>
        </is>
      </c>
      <c r="H7431" t="inlineStr">
        <is>
          <t>Bergvik skog väst AB</t>
        </is>
      </c>
      <c r="I7431" t="n">
        <v>1.9</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55978-2022</t>
        </is>
      </c>
      <c r="B7432" t="inlineStr">
        <is>
          <t>avverkningsanmälan</t>
        </is>
      </c>
      <c r="C7432" t="inlineStr">
        <is>
          <t>Avverkning för annat ändamål</t>
        </is>
      </c>
      <c r="D7432" s="1" t="n">
        <v>44889</v>
      </c>
      <c r="E7432" s="1" t="n">
        <v>46307</v>
      </c>
      <c r="F7432" t="inlineStr">
        <is>
          <t>VÄRMLANDS LÄN</t>
        </is>
      </c>
      <c r="G7432" t="inlineStr">
        <is>
          <t>FILIPSTAD</t>
        </is>
      </c>
      <c r="H7432" t="inlineStr">
        <is>
          <t>Bergvik skog väst AB</t>
        </is>
      </c>
      <c r="I7432" t="n">
        <v>2</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21362-2022</t>
        </is>
      </c>
      <c r="B7433" t="inlineStr">
        <is>
          <t>avverkningsanmälan</t>
        </is>
      </c>
      <c r="C7433" t="inlineStr">
        <is>
          <t>Föryngringsavverkning</t>
        </is>
      </c>
      <c r="D7433" s="1" t="n">
        <v>44705</v>
      </c>
      <c r="E7433" s="1" t="n">
        <v>46307</v>
      </c>
      <c r="F7433" t="inlineStr">
        <is>
          <t>VÄRMLANDS LÄN</t>
        </is>
      </c>
      <c r="G7433" t="inlineStr">
        <is>
          <t>ÅRJÄNG</t>
        </is>
      </c>
      <c r="I7433" t="n">
        <v>1.6</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18533-2026</t>
        </is>
      </c>
      <c r="B7434" t="inlineStr">
        <is>
          <t>avverkningsanmälan</t>
        </is>
      </c>
      <c r="C7434" t="inlineStr">
        <is>
          <t>Föryngringsavverkning</t>
        </is>
      </c>
      <c r="D7434" s="1" t="n">
        <v>46127</v>
      </c>
      <c r="E7434" s="1" t="n">
        <v>46307</v>
      </c>
      <c r="F7434" t="inlineStr">
        <is>
          <t>VÄRMLANDS LÄN</t>
        </is>
      </c>
      <c r="G7434" t="inlineStr">
        <is>
          <t>FILIPSTAD</t>
        </is>
      </c>
      <c r="H7434" t="inlineStr">
        <is>
          <t>Bergvik skog väst AB</t>
        </is>
      </c>
      <c r="I7434" t="n">
        <v>6.1</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60399-2025</t>
        </is>
      </c>
      <c r="B7435" t="inlineStr">
        <is>
          <t>avverkningsanmälan</t>
        </is>
      </c>
      <c r="C7435" t="inlineStr">
        <is>
          <t>Föryngringsavverkning</t>
        </is>
      </c>
      <c r="D7435" s="1" t="n">
        <v>45995</v>
      </c>
      <c r="E7435" s="1" t="n">
        <v>46307</v>
      </c>
      <c r="F7435" t="inlineStr">
        <is>
          <t>VÄRMLANDS LÄN</t>
        </is>
      </c>
      <c r="G7435" t="inlineStr">
        <is>
          <t>SUNNE</t>
        </is>
      </c>
      <c r="I7435" t="n">
        <v>1.4</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60411-2025</t>
        </is>
      </c>
      <c r="B7436" t="inlineStr">
        <is>
          <t>avverkningsanmälan</t>
        </is>
      </c>
      <c r="C7436" t="inlineStr">
        <is>
          <t>Föryngringsavverkning</t>
        </is>
      </c>
      <c r="D7436" s="1" t="n">
        <v>45995</v>
      </c>
      <c r="E7436" s="1" t="n">
        <v>46307</v>
      </c>
      <c r="F7436" t="inlineStr">
        <is>
          <t>VÄRMLANDS LÄN</t>
        </is>
      </c>
      <c r="G7436" t="inlineStr">
        <is>
          <t>TORSBY</t>
        </is>
      </c>
      <c r="H7436" t="inlineStr">
        <is>
          <t>Bergvik skog väst AB</t>
        </is>
      </c>
      <c r="I7436" t="n">
        <v>10.5</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3670-2023</t>
        </is>
      </c>
      <c r="B7437" t="inlineStr">
        <is>
          <t>avverkningsanmälan</t>
        </is>
      </c>
      <c r="C7437" t="inlineStr">
        <is>
          <t>Föryngringsavverkning</t>
        </is>
      </c>
      <c r="D7437" s="1" t="n">
        <v>44950</v>
      </c>
      <c r="E7437" s="1" t="n">
        <v>46307</v>
      </c>
      <c r="F7437" t="inlineStr">
        <is>
          <t>VÄRMLANDS LÄN</t>
        </is>
      </c>
      <c r="G7437" t="inlineStr">
        <is>
          <t>TORSBY</t>
        </is>
      </c>
      <c r="I7437" t="n">
        <v>15.4</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60414-2025</t>
        </is>
      </c>
      <c r="B7438" t="inlineStr">
        <is>
          <t>avverkningsanmälan</t>
        </is>
      </c>
      <c r="C7438" t="inlineStr">
        <is>
          <t>Föryngringsavverkning</t>
        </is>
      </c>
      <c r="D7438" s="1" t="n">
        <v>45995</v>
      </c>
      <c r="E7438" s="1" t="n">
        <v>46307</v>
      </c>
      <c r="F7438" t="inlineStr">
        <is>
          <t>VÄRMLANDS LÄN</t>
        </is>
      </c>
      <c r="G7438" t="inlineStr">
        <is>
          <t>TORSBY</t>
        </is>
      </c>
      <c r="I7438" t="n">
        <v>1.3</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60688-2025</t>
        </is>
      </c>
      <c r="B7439" t="inlineStr">
        <is>
          <t>avverkningsanmälan</t>
        </is>
      </c>
      <c r="C7439" t="inlineStr">
        <is>
          <t>Föryngringsavverkning</t>
        </is>
      </c>
      <c r="D7439" s="1" t="n">
        <v>45996</v>
      </c>
      <c r="E7439" s="1" t="n">
        <v>46307</v>
      </c>
      <c r="F7439" t="inlineStr">
        <is>
          <t>VÄRMLANDS LÄN</t>
        </is>
      </c>
      <c r="G7439" t="inlineStr">
        <is>
          <t>TORSBY</t>
        </is>
      </c>
      <c r="I7439" t="n">
        <v>2</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3844-2023</t>
        </is>
      </c>
      <c r="B7440" t="inlineStr">
        <is>
          <t>avverkningsanmälan</t>
        </is>
      </c>
      <c r="C7440" t="inlineStr">
        <is>
          <t>Föryngringsavverkning</t>
        </is>
      </c>
      <c r="D7440" s="1" t="n">
        <v>44951</v>
      </c>
      <c r="E7440" s="1" t="n">
        <v>46307</v>
      </c>
      <c r="F7440" t="inlineStr">
        <is>
          <t>VÄRMLANDS LÄN</t>
        </is>
      </c>
      <c r="G7440" t="inlineStr">
        <is>
          <t>FILIPSTAD</t>
        </is>
      </c>
      <c r="H7440" t="inlineStr">
        <is>
          <t>Bergvik skog väst AB</t>
        </is>
      </c>
      <c r="I7440" t="n">
        <v>6.6</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18202-2026</t>
        </is>
      </c>
      <c r="B7441" t="inlineStr">
        <is>
          <t>avverkningsanmälan</t>
        </is>
      </c>
      <c r="C7441" t="inlineStr">
        <is>
          <t>Föryngringsavverkning</t>
        </is>
      </c>
      <c r="D7441" s="1" t="n">
        <v>46125</v>
      </c>
      <c r="E7441" s="1" t="n">
        <v>46307</v>
      </c>
      <c r="F7441" t="inlineStr">
        <is>
          <t>VÄRMLANDS LÄN</t>
        </is>
      </c>
      <c r="G7441" t="inlineStr">
        <is>
          <t>ÅRJÄNG</t>
        </is>
      </c>
      <c r="I7441" t="n">
        <v>0.6</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18443-2026</t>
        </is>
      </c>
      <c r="B7442" t="inlineStr">
        <is>
          <t>avverkningsanmälan</t>
        </is>
      </c>
      <c r="C7442" t="inlineStr">
        <is>
          <t>Föryngringsavverkning</t>
        </is>
      </c>
      <c r="D7442" s="1" t="n">
        <v>46127</v>
      </c>
      <c r="E7442" s="1" t="n">
        <v>46307</v>
      </c>
      <c r="F7442" t="inlineStr">
        <is>
          <t>VÄRMLANDS LÄN</t>
        </is>
      </c>
      <c r="G7442" t="inlineStr">
        <is>
          <t>FILIPSTAD</t>
        </is>
      </c>
      <c r="H7442" t="inlineStr">
        <is>
          <t>Bergvik skog väst AB</t>
        </is>
      </c>
      <c r="I7442" t="n">
        <v>1</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60396-2025</t>
        </is>
      </c>
      <c r="B7443" t="inlineStr">
        <is>
          <t>avverkningsanmälan</t>
        </is>
      </c>
      <c r="C7443" t="inlineStr">
        <is>
          <t>Föryngringsavverkning</t>
        </is>
      </c>
      <c r="D7443" s="1" t="n">
        <v>45995</v>
      </c>
      <c r="E7443" s="1" t="n">
        <v>46307</v>
      </c>
      <c r="F7443" t="inlineStr">
        <is>
          <t>VÄRMLANDS LÄN</t>
        </is>
      </c>
      <c r="G7443" t="inlineStr">
        <is>
          <t>FILIPSTAD</t>
        </is>
      </c>
      <c r="H7443" t="inlineStr">
        <is>
          <t>Bergvik skog väst AB</t>
        </is>
      </c>
      <c r="I7443" t="n">
        <v>6.2</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60363-2025</t>
        </is>
      </c>
      <c r="B7444" t="inlineStr">
        <is>
          <t>avverkningsanmälan</t>
        </is>
      </c>
      <c r="C7444" t="inlineStr">
        <is>
          <t>Föryngringsavverkning</t>
        </is>
      </c>
      <c r="D7444" s="1" t="n">
        <v>45995</v>
      </c>
      <c r="E7444" s="1" t="n">
        <v>46307</v>
      </c>
      <c r="F7444" t="inlineStr">
        <is>
          <t>VÄRMLANDS LÄN</t>
        </is>
      </c>
      <c r="G7444" t="inlineStr">
        <is>
          <t>KRISTINEHAMN</t>
        </is>
      </c>
      <c r="I7444" t="n">
        <v>3.1</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61246-2025</t>
        </is>
      </c>
      <c r="B7445" t="inlineStr">
        <is>
          <t>avverkningsanmälan</t>
        </is>
      </c>
      <c r="C7445" t="inlineStr">
        <is>
          <t>Föryngringsavverkning</t>
        </is>
      </c>
      <c r="D7445" s="1" t="n">
        <v>46000</v>
      </c>
      <c r="E7445" s="1" t="n">
        <v>46307</v>
      </c>
      <c r="F7445" t="inlineStr">
        <is>
          <t>VÄRMLANDS LÄN</t>
        </is>
      </c>
      <c r="G7445" t="inlineStr">
        <is>
          <t>ARVIKA</t>
        </is>
      </c>
      <c r="I7445" t="n">
        <v>1.6</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61048-2025</t>
        </is>
      </c>
      <c r="B7446" t="inlineStr">
        <is>
          <t>avverkningsanmälan</t>
        </is>
      </c>
      <c r="C7446" t="inlineStr">
        <is>
          <t>Föryngringsavverkning</t>
        </is>
      </c>
      <c r="D7446" s="1" t="n">
        <v>46000</v>
      </c>
      <c r="E7446" s="1" t="n">
        <v>46307</v>
      </c>
      <c r="F7446" t="inlineStr">
        <is>
          <t>VÄRMLANDS LÄN</t>
        </is>
      </c>
      <c r="G7446" t="inlineStr">
        <is>
          <t>KRISTINEHAMN</t>
        </is>
      </c>
      <c r="H7446" t="inlineStr">
        <is>
          <t>Bergvik skog väst AB</t>
        </is>
      </c>
      <c r="I7446" t="n">
        <v>6.5</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61050-2025</t>
        </is>
      </c>
      <c r="B7447" t="inlineStr">
        <is>
          <t>avverkningsanmälan</t>
        </is>
      </c>
      <c r="C7447" t="inlineStr">
        <is>
          <t>Föryngringsavverkning</t>
        </is>
      </c>
      <c r="D7447" s="1" t="n">
        <v>46000</v>
      </c>
      <c r="E7447" s="1" t="n">
        <v>46307</v>
      </c>
      <c r="F7447" t="inlineStr">
        <is>
          <t>VÄRMLANDS LÄN</t>
        </is>
      </c>
      <c r="G7447" t="inlineStr">
        <is>
          <t>ÅRJÄNG</t>
        </is>
      </c>
      <c r="I7447" t="n">
        <v>0.7</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60791-2025</t>
        </is>
      </c>
      <c r="B7448" t="inlineStr">
        <is>
          <t>avverkningsanmälan</t>
        </is>
      </c>
      <c r="C7448" t="inlineStr">
        <is>
          <t>Föryngringsavverkning</t>
        </is>
      </c>
      <c r="D7448" s="1" t="n">
        <v>45999</v>
      </c>
      <c r="E7448" s="1" t="n">
        <v>46307</v>
      </c>
      <c r="F7448" t="inlineStr">
        <is>
          <t>VÄRMLANDS LÄN</t>
        </is>
      </c>
      <c r="G7448" t="inlineStr">
        <is>
          <t>KRISTINEHAMN</t>
        </is>
      </c>
      <c r="H7448" t="inlineStr">
        <is>
          <t>Naturvårdsverket</t>
        </is>
      </c>
      <c r="I7448" t="n">
        <v>0.4</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61110-2025</t>
        </is>
      </c>
      <c r="B7449" t="inlineStr">
        <is>
          <t>avverkningsanmälan</t>
        </is>
      </c>
      <c r="C7449" t="inlineStr">
        <is>
          <t>Föryngringsavverkning</t>
        </is>
      </c>
      <c r="D7449" s="1" t="n">
        <v>45999</v>
      </c>
      <c r="E7449" s="1" t="n">
        <v>46307</v>
      </c>
      <c r="F7449" t="inlineStr">
        <is>
          <t>VÄRMLANDS LÄN</t>
        </is>
      </c>
      <c r="G7449" t="inlineStr">
        <is>
          <t>SUNNE</t>
        </is>
      </c>
      <c r="I7449" t="n">
        <v>4.6</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61097-2025</t>
        </is>
      </c>
      <c r="B7450" t="inlineStr">
        <is>
          <t>avverkningsanmälan</t>
        </is>
      </c>
      <c r="C7450" t="inlineStr">
        <is>
          <t>Föryngringsavverkning</t>
        </is>
      </c>
      <c r="D7450" s="1" t="n">
        <v>46000</v>
      </c>
      <c r="E7450" s="1" t="n">
        <v>46307</v>
      </c>
      <c r="F7450" t="inlineStr">
        <is>
          <t>VÄRMLANDS LÄN</t>
        </is>
      </c>
      <c r="G7450" t="inlineStr">
        <is>
          <t>ÅRJÄNG</t>
        </is>
      </c>
      <c r="I7450" t="n">
        <v>2</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61123-2025</t>
        </is>
      </c>
      <c r="B7451" t="inlineStr">
        <is>
          <t>avverkningsanmälan</t>
        </is>
      </c>
      <c r="C7451" t="inlineStr">
        <is>
          <t>Föryngringsavverkning</t>
        </is>
      </c>
      <c r="D7451" s="1" t="n">
        <v>46000</v>
      </c>
      <c r="E7451" s="1" t="n">
        <v>46307</v>
      </c>
      <c r="F7451" t="inlineStr">
        <is>
          <t>VÄRMLANDS LÄN</t>
        </is>
      </c>
      <c r="G7451" t="inlineStr">
        <is>
          <t>STORFORS</t>
        </is>
      </c>
      <c r="H7451" t="inlineStr">
        <is>
          <t>Naturvårdsverket</t>
        </is>
      </c>
      <c r="I7451" t="n">
        <v>3</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61126-2025</t>
        </is>
      </c>
      <c r="B7452" t="inlineStr">
        <is>
          <t>avverkningsanmälan</t>
        </is>
      </c>
      <c r="C7452" t="inlineStr">
        <is>
          <t>Föryngringsavverkning</t>
        </is>
      </c>
      <c r="D7452" s="1" t="n">
        <v>46000</v>
      </c>
      <c r="E7452" s="1" t="n">
        <v>46307</v>
      </c>
      <c r="F7452" t="inlineStr">
        <is>
          <t>VÄRMLANDS LÄN</t>
        </is>
      </c>
      <c r="G7452" t="inlineStr">
        <is>
          <t>ÅRJÄNG</t>
        </is>
      </c>
      <c r="I7452" t="n">
        <v>2.7</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60841-2025</t>
        </is>
      </c>
      <c r="B7453" t="inlineStr">
        <is>
          <t>avverkningsanmälan</t>
        </is>
      </c>
      <c r="C7453" t="inlineStr">
        <is>
          <t>Föryngringsavverkning</t>
        </is>
      </c>
      <c r="D7453" s="1" t="n">
        <v>45999</v>
      </c>
      <c r="E7453" s="1" t="n">
        <v>46307</v>
      </c>
      <c r="F7453" t="inlineStr">
        <is>
          <t>VÄRMLANDS LÄN</t>
        </is>
      </c>
      <c r="G7453" t="inlineStr">
        <is>
          <t>HAGFORS</t>
        </is>
      </c>
      <c r="I7453" t="n">
        <v>0.6</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61225-2025</t>
        </is>
      </c>
      <c r="B7454" t="inlineStr">
        <is>
          <t>avverkningsanmälan</t>
        </is>
      </c>
      <c r="C7454" t="inlineStr">
        <is>
          <t>Föryngringsavverkning</t>
        </is>
      </c>
      <c r="D7454" s="1" t="n">
        <v>46000</v>
      </c>
      <c r="E7454" s="1" t="n">
        <v>46307</v>
      </c>
      <c r="F7454" t="inlineStr">
        <is>
          <t>VÄRMLANDS LÄN</t>
        </is>
      </c>
      <c r="G7454" t="inlineStr">
        <is>
          <t>EDA</t>
        </is>
      </c>
      <c r="I7454" t="n">
        <v>2.7</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60646-2025</t>
        </is>
      </c>
      <c r="B7455" t="inlineStr">
        <is>
          <t>avverkningsanmälan</t>
        </is>
      </c>
      <c r="C7455" t="inlineStr">
        <is>
          <t>Föryngringsavverkning</t>
        </is>
      </c>
      <c r="D7455" s="1" t="n">
        <v>45996</v>
      </c>
      <c r="E7455" s="1" t="n">
        <v>46307</v>
      </c>
      <c r="F7455" t="inlineStr">
        <is>
          <t>VÄRMLANDS LÄN</t>
        </is>
      </c>
      <c r="G7455" t="inlineStr">
        <is>
          <t>EDA</t>
        </is>
      </c>
      <c r="I7455" t="n">
        <v>2.9</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60801-2025</t>
        </is>
      </c>
      <c r="B7456" t="inlineStr">
        <is>
          <t>avverkningsanmälan</t>
        </is>
      </c>
      <c r="C7456" t="inlineStr">
        <is>
          <t>Föryngringsavverkning</t>
        </is>
      </c>
      <c r="D7456" s="1" t="n">
        <v>45999</v>
      </c>
      <c r="E7456" s="1" t="n">
        <v>46307</v>
      </c>
      <c r="F7456" t="inlineStr">
        <is>
          <t>VÄRMLANDS LÄN</t>
        </is>
      </c>
      <c r="G7456" t="inlineStr">
        <is>
          <t>ÅRJÄNG</t>
        </is>
      </c>
      <c r="I7456" t="n">
        <v>3.8</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60826-2025</t>
        </is>
      </c>
      <c r="B7457" t="inlineStr">
        <is>
          <t>avverkningsanmälan</t>
        </is>
      </c>
      <c r="C7457" t="inlineStr">
        <is>
          <t>Föryngringsavverkning</t>
        </is>
      </c>
      <c r="D7457" s="1" t="n">
        <v>45999</v>
      </c>
      <c r="E7457" s="1" t="n">
        <v>46307</v>
      </c>
      <c r="F7457" t="inlineStr">
        <is>
          <t>VÄRMLANDS LÄN</t>
        </is>
      </c>
      <c r="G7457" t="inlineStr">
        <is>
          <t>ÅRJÄNG</t>
        </is>
      </c>
      <c r="I7457" t="n">
        <v>1.1</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60346-2025</t>
        </is>
      </c>
      <c r="B7458" t="inlineStr">
        <is>
          <t>avverkningsanmälan</t>
        </is>
      </c>
      <c r="C7458" t="inlineStr">
        <is>
          <t>Föryngringsavverkning</t>
        </is>
      </c>
      <c r="D7458" s="1" t="n">
        <v>45995</v>
      </c>
      <c r="E7458" s="1" t="n">
        <v>46307</v>
      </c>
      <c r="F7458" t="inlineStr">
        <is>
          <t>VÄRMLANDS LÄN</t>
        </is>
      </c>
      <c r="G7458" t="inlineStr">
        <is>
          <t>TORSBY</t>
        </is>
      </c>
      <c r="I7458" t="n">
        <v>4.5</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61069-2025</t>
        </is>
      </c>
      <c r="B7459" t="inlineStr">
        <is>
          <t>avverkningsanmälan</t>
        </is>
      </c>
      <c r="C7459" t="inlineStr">
        <is>
          <t>Föryngringsavverkning</t>
        </is>
      </c>
      <c r="D7459" s="1" t="n">
        <v>46000</v>
      </c>
      <c r="E7459" s="1" t="n">
        <v>46307</v>
      </c>
      <c r="F7459" t="inlineStr">
        <is>
          <t>VÄRMLANDS LÄN</t>
        </is>
      </c>
      <c r="G7459" t="inlineStr">
        <is>
          <t>FILIPSTAD</t>
        </is>
      </c>
      <c r="I7459" t="n">
        <v>0.7</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61001-2025</t>
        </is>
      </c>
      <c r="B7460" t="inlineStr">
        <is>
          <t>avverkningsanmälan</t>
        </is>
      </c>
      <c r="C7460" t="inlineStr">
        <is>
          <t>Föryngringsavverkning</t>
        </is>
      </c>
      <c r="D7460" s="1" t="n">
        <v>45999</v>
      </c>
      <c r="E7460" s="1" t="n">
        <v>46307</v>
      </c>
      <c r="F7460" t="inlineStr">
        <is>
          <t>VÄRMLANDS LÄN</t>
        </is>
      </c>
      <c r="G7460" t="inlineStr">
        <is>
          <t>SUNNE</t>
        </is>
      </c>
      <c r="I7460" t="n">
        <v>0.7</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61149-2025</t>
        </is>
      </c>
      <c r="B7461" t="inlineStr">
        <is>
          <t>avverkningsanmälan</t>
        </is>
      </c>
      <c r="C7461" t="inlineStr">
        <is>
          <t>Föryngringsavverkning</t>
        </is>
      </c>
      <c r="D7461" s="1" t="n">
        <v>46000</v>
      </c>
      <c r="E7461" s="1" t="n">
        <v>46307</v>
      </c>
      <c r="F7461" t="inlineStr">
        <is>
          <t>VÄRMLANDS LÄN</t>
        </is>
      </c>
      <c r="G7461" t="inlineStr">
        <is>
          <t>STORFORS</t>
        </is>
      </c>
      <c r="H7461" t="inlineStr">
        <is>
          <t>Naturvårdsverket</t>
        </is>
      </c>
      <c r="I7461" t="n">
        <v>0.7</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61081-2025</t>
        </is>
      </c>
      <c r="B7462" t="inlineStr">
        <is>
          <t>avverkningsanmälan</t>
        </is>
      </c>
      <c r="C7462" t="inlineStr">
        <is>
          <t>Föryngringsavverkning</t>
        </is>
      </c>
      <c r="D7462" s="1" t="n">
        <v>46000</v>
      </c>
      <c r="E7462" s="1" t="n">
        <v>46307</v>
      </c>
      <c r="F7462" t="inlineStr">
        <is>
          <t>VÄRMLANDS LÄN</t>
        </is>
      </c>
      <c r="G7462" t="inlineStr">
        <is>
          <t>KRISTINEHAMN</t>
        </is>
      </c>
      <c r="H7462" t="inlineStr">
        <is>
          <t>Naturvårdsverket</t>
        </is>
      </c>
      <c r="I7462" t="n">
        <v>5.8</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61113-2025</t>
        </is>
      </c>
      <c r="B7463" t="inlineStr">
        <is>
          <t>avverkningsanmälan</t>
        </is>
      </c>
      <c r="C7463" t="inlineStr">
        <is>
          <t>Föryngringsavverkning</t>
        </is>
      </c>
      <c r="D7463" s="1" t="n">
        <v>45999</v>
      </c>
      <c r="E7463" s="1" t="n">
        <v>46307</v>
      </c>
      <c r="F7463" t="inlineStr">
        <is>
          <t>VÄRMLANDS LÄN</t>
        </is>
      </c>
      <c r="G7463" t="inlineStr">
        <is>
          <t>ÅRJÄNG</t>
        </is>
      </c>
      <c r="I7463" t="n">
        <v>7.6</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61116-2025</t>
        </is>
      </c>
      <c r="B7464" t="inlineStr">
        <is>
          <t>avverkningsanmälan</t>
        </is>
      </c>
      <c r="C7464" t="inlineStr">
        <is>
          <t>Föryngringsavverkning</t>
        </is>
      </c>
      <c r="D7464" s="1" t="n">
        <v>45999</v>
      </c>
      <c r="E7464" s="1" t="n">
        <v>46307</v>
      </c>
      <c r="F7464" t="inlineStr">
        <is>
          <t>VÄRMLANDS LÄN</t>
        </is>
      </c>
      <c r="G7464" t="inlineStr">
        <is>
          <t>ÅRJÄNG</t>
        </is>
      </c>
      <c r="I7464" t="n">
        <v>4.4</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61006-2025</t>
        </is>
      </c>
      <c r="B7465" t="inlineStr">
        <is>
          <t>avverkningsanmälan</t>
        </is>
      </c>
      <c r="C7465" t="inlineStr">
        <is>
          <t>Föryngringsavverkning</t>
        </is>
      </c>
      <c r="D7465" s="1" t="n">
        <v>45997</v>
      </c>
      <c r="E7465" s="1" t="n">
        <v>46307</v>
      </c>
      <c r="F7465" t="inlineStr">
        <is>
          <t>VÄRMLANDS LÄN</t>
        </is>
      </c>
      <c r="G7465" t="inlineStr">
        <is>
          <t>ÅRJÄNG</t>
        </is>
      </c>
      <c r="H7465" t="inlineStr">
        <is>
          <t>Övriga Aktiebolag</t>
        </is>
      </c>
      <c r="I7465" t="n">
        <v>3.7</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61002-2025</t>
        </is>
      </c>
      <c r="B7466" t="inlineStr">
        <is>
          <t>avverkningsanmälan</t>
        </is>
      </c>
      <c r="C7466" t="inlineStr">
        <is>
          <t>Föryngringsavverkning</t>
        </is>
      </c>
      <c r="D7466" s="1" t="n">
        <v>45999</v>
      </c>
      <c r="E7466" s="1" t="n">
        <v>46307</v>
      </c>
      <c r="F7466" t="inlineStr">
        <is>
          <t>VÄRMLANDS LÄN</t>
        </is>
      </c>
      <c r="G7466" t="inlineStr">
        <is>
          <t>SUNNE</t>
        </is>
      </c>
      <c r="I7466" t="n">
        <v>1.6</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61263-2025</t>
        </is>
      </c>
      <c r="B7467" t="inlineStr">
        <is>
          <t>avverkningsanmälan</t>
        </is>
      </c>
      <c r="C7467" t="inlineStr">
        <is>
          <t>Föryngringsavverkning</t>
        </is>
      </c>
      <c r="D7467" s="1" t="n">
        <v>46000</v>
      </c>
      <c r="E7467" s="1" t="n">
        <v>46307</v>
      </c>
      <c r="F7467" t="inlineStr">
        <is>
          <t>VÄRMLANDS LÄN</t>
        </is>
      </c>
      <c r="G7467" t="inlineStr">
        <is>
          <t>ÅRJÄNG</t>
        </is>
      </c>
      <c r="I7467" t="n">
        <v>3.7</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60942-2025</t>
        </is>
      </c>
      <c r="B7468" t="inlineStr">
        <is>
          <t>avverkningsanmälan</t>
        </is>
      </c>
      <c r="C7468" t="inlineStr">
        <is>
          <t>Föryngringsavverkning</t>
        </is>
      </c>
      <c r="D7468" s="1" t="n">
        <v>45999</v>
      </c>
      <c r="E7468" s="1" t="n">
        <v>46307</v>
      </c>
      <c r="F7468" t="inlineStr">
        <is>
          <t>VÄRMLANDS LÄN</t>
        </is>
      </c>
      <c r="G7468" t="inlineStr">
        <is>
          <t>KRISTINEHAMN</t>
        </is>
      </c>
      <c r="H7468" t="inlineStr">
        <is>
          <t>Bergvik skog väst AB</t>
        </is>
      </c>
      <c r="I7468" t="n">
        <v>2.2</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60820-2025</t>
        </is>
      </c>
      <c r="B7469" t="inlineStr">
        <is>
          <t>avverkningsanmälan</t>
        </is>
      </c>
      <c r="C7469" t="inlineStr">
        <is>
          <t>Föryngringsavverkning</t>
        </is>
      </c>
      <c r="D7469" s="1" t="n">
        <v>45999</v>
      </c>
      <c r="E7469" s="1" t="n">
        <v>46307</v>
      </c>
      <c r="F7469" t="inlineStr">
        <is>
          <t>VÄRMLANDS LÄN</t>
        </is>
      </c>
      <c r="G7469" t="inlineStr">
        <is>
          <t>EDA</t>
        </is>
      </c>
      <c r="I7469" t="n">
        <v>4.6</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60902-2025</t>
        </is>
      </c>
      <c r="B7470" t="inlineStr">
        <is>
          <t>avverkningsanmälan</t>
        </is>
      </c>
      <c r="C7470" t="inlineStr">
        <is>
          <t>Föryngringsavverkning</t>
        </is>
      </c>
      <c r="D7470" s="1" t="n">
        <v>45999</v>
      </c>
      <c r="E7470" s="1" t="n">
        <v>46307</v>
      </c>
      <c r="F7470" t="inlineStr">
        <is>
          <t>VÄRMLANDS LÄN</t>
        </is>
      </c>
      <c r="G7470" t="inlineStr">
        <is>
          <t>KRISTINEHAMN</t>
        </is>
      </c>
      <c r="H7470" t="inlineStr">
        <is>
          <t>Bergvik skog väst AB</t>
        </is>
      </c>
      <c r="I7470" t="n">
        <v>3.3</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60915-2025</t>
        </is>
      </c>
      <c r="B7471" t="inlineStr">
        <is>
          <t>avverkningsanmälan</t>
        </is>
      </c>
      <c r="C7471" t="inlineStr">
        <is>
          <t>Föryngringsavverkning</t>
        </is>
      </c>
      <c r="D7471" s="1" t="n">
        <v>45999</v>
      </c>
      <c r="E7471" s="1" t="n">
        <v>46307</v>
      </c>
      <c r="F7471" t="inlineStr">
        <is>
          <t>VÄRMLANDS LÄN</t>
        </is>
      </c>
      <c r="G7471" t="inlineStr">
        <is>
          <t>KRISTINEHAMN</t>
        </is>
      </c>
      <c r="H7471" t="inlineStr">
        <is>
          <t>Bergvik skog väst AB</t>
        </is>
      </c>
      <c r="I7471" t="n">
        <v>2.5</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61047-2025</t>
        </is>
      </c>
      <c r="B7472" t="inlineStr">
        <is>
          <t>avverkningsanmälan</t>
        </is>
      </c>
      <c r="C7472" t="inlineStr">
        <is>
          <t>Föryngringsavverkning</t>
        </is>
      </c>
      <c r="D7472" s="1" t="n">
        <v>46000</v>
      </c>
      <c r="E7472" s="1" t="n">
        <v>46307</v>
      </c>
      <c r="F7472" t="inlineStr">
        <is>
          <t>VÄRMLANDS LÄN</t>
        </is>
      </c>
      <c r="G7472" t="inlineStr">
        <is>
          <t>FILIPSTAD</t>
        </is>
      </c>
      <c r="I7472" t="n">
        <v>5.4</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61327-2025</t>
        </is>
      </c>
      <c r="B7473" t="inlineStr">
        <is>
          <t>avverkningsanmälan</t>
        </is>
      </c>
      <c r="C7473" t="inlineStr">
        <is>
          <t>Avverkning för annat ändamål</t>
        </is>
      </c>
      <c r="D7473" s="1" t="n">
        <v>46001</v>
      </c>
      <c r="E7473" s="1" t="n">
        <v>46307</v>
      </c>
      <c r="F7473" t="inlineStr">
        <is>
          <t>VÄRMLANDS LÄN</t>
        </is>
      </c>
      <c r="G7473" t="inlineStr">
        <is>
          <t>FILIPSTAD</t>
        </is>
      </c>
      <c r="H7473" t="inlineStr">
        <is>
          <t>Bergvik skog väst AB</t>
        </is>
      </c>
      <c r="I7473" t="n">
        <v>0.5</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61362-2025</t>
        </is>
      </c>
      <c r="B7474" t="inlineStr">
        <is>
          <t>avverkningsanmälan</t>
        </is>
      </c>
      <c r="C7474" t="inlineStr">
        <is>
          <t>Föryngringsavverkning</t>
        </is>
      </c>
      <c r="D7474" s="1" t="n">
        <v>46001</v>
      </c>
      <c r="E7474" s="1" t="n">
        <v>46307</v>
      </c>
      <c r="F7474" t="inlineStr">
        <is>
          <t>VÄRMLANDS LÄN</t>
        </is>
      </c>
      <c r="G7474" t="inlineStr">
        <is>
          <t>FILIPSTAD</t>
        </is>
      </c>
      <c r="I7474" t="n">
        <v>2.7</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61388-2025</t>
        </is>
      </c>
      <c r="B7475" t="inlineStr">
        <is>
          <t>avverkningsanmälan</t>
        </is>
      </c>
      <c r="C7475" t="inlineStr">
        <is>
          <t>Föryngringsavverkning</t>
        </is>
      </c>
      <c r="D7475" s="1" t="n">
        <v>46001</v>
      </c>
      <c r="E7475" s="1" t="n">
        <v>46307</v>
      </c>
      <c r="F7475" t="inlineStr">
        <is>
          <t>VÄRMLANDS LÄN</t>
        </is>
      </c>
      <c r="G7475" t="inlineStr">
        <is>
          <t>TORSBY</t>
        </is>
      </c>
      <c r="I7475" t="n">
        <v>0.8</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61436-2025</t>
        </is>
      </c>
      <c r="B7476" t="inlineStr">
        <is>
          <t>avverkningsanmälan</t>
        </is>
      </c>
      <c r="C7476" t="inlineStr">
        <is>
          <t>Föryngringsavverkning</t>
        </is>
      </c>
      <c r="D7476" s="1" t="n">
        <v>46001</v>
      </c>
      <c r="E7476" s="1" t="n">
        <v>46307</v>
      </c>
      <c r="F7476" t="inlineStr">
        <is>
          <t>VÄRMLANDS LÄN</t>
        </is>
      </c>
      <c r="G7476" t="inlineStr">
        <is>
          <t>KIL</t>
        </is>
      </c>
      <c r="I7476" t="n">
        <v>3.8</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18530-2026</t>
        </is>
      </c>
      <c r="B7477" t="inlineStr">
        <is>
          <t>avverkningsanmälan</t>
        </is>
      </c>
      <c r="C7477" t="inlineStr">
        <is>
          <t>Föryngringsavverkning</t>
        </is>
      </c>
      <c r="D7477" s="1" t="n">
        <v>46127</v>
      </c>
      <c r="E7477" s="1" t="n">
        <v>46307</v>
      </c>
      <c r="F7477" t="inlineStr">
        <is>
          <t>VÄRMLANDS LÄN</t>
        </is>
      </c>
      <c r="G7477" t="inlineStr">
        <is>
          <t>FILIPSTAD</t>
        </is>
      </c>
      <c r="H7477" t="inlineStr">
        <is>
          <t>Bergvik skog väst AB</t>
        </is>
      </c>
      <c r="I7477" t="n">
        <v>1</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18217-2026</t>
        </is>
      </c>
      <c r="B7478" t="inlineStr">
        <is>
          <t>avverkningsanmälan</t>
        </is>
      </c>
      <c r="C7478" t="inlineStr">
        <is>
          <t>Föryngringsavverkning</t>
        </is>
      </c>
      <c r="D7478" s="1" t="n">
        <v>46126</v>
      </c>
      <c r="E7478" s="1" t="n">
        <v>46307</v>
      </c>
      <c r="F7478" t="inlineStr">
        <is>
          <t>VÄRMLANDS LÄN</t>
        </is>
      </c>
      <c r="G7478" t="inlineStr">
        <is>
          <t>HAGFORS</t>
        </is>
      </c>
      <c r="I7478" t="n">
        <v>3.3</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18445-2026</t>
        </is>
      </c>
      <c r="B7479" t="inlineStr">
        <is>
          <t>avverkningsanmälan</t>
        </is>
      </c>
      <c r="C7479" t="inlineStr">
        <is>
          <t>Föryngringsavverkning</t>
        </is>
      </c>
      <c r="D7479" s="1" t="n">
        <v>46127</v>
      </c>
      <c r="E7479" s="1" t="n">
        <v>46307</v>
      </c>
      <c r="F7479" t="inlineStr">
        <is>
          <t>VÄRMLANDS LÄN</t>
        </is>
      </c>
      <c r="G7479" t="inlineStr">
        <is>
          <t>FILIPSTAD</t>
        </is>
      </c>
      <c r="H7479" t="inlineStr">
        <is>
          <t>Bergvik skog väst AB</t>
        </is>
      </c>
      <c r="I7479" t="n">
        <v>1.7</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61482-2025</t>
        </is>
      </c>
      <c r="B7480" t="inlineStr">
        <is>
          <t>avverkningsanmälan</t>
        </is>
      </c>
      <c r="C7480" t="inlineStr">
        <is>
          <t>Föryngringsavverkning</t>
        </is>
      </c>
      <c r="D7480" s="1" t="n">
        <v>46001</v>
      </c>
      <c r="E7480" s="1" t="n">
        <v>46307</v>
      </c>
      <c r="F7480" t="inlineStr">
        <is>
          <t>VÄRMLANDS LÄN</t>
        </is>
      </c>
      <c r="G7480" t="inlineStr">
        <is>
          <t>FILIPSTAD</t>
        </is>
      </c>
      <c r="I7480" t="n">
        <v>0.9</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65854-2021</t>
        </is>
      </c>
      <c r="B7481" t="inlineStr">
        <is>
          <t>avverkningsanmälan</t>
        </is>
      </c>
      <c r="C7481" t="inlineStr">
        <is>
          <t>Föryngringsavverkning</t>
        </is>
      </c>
      <c r="D7481" s="1" t="n">
        <v>44517</v>
      </c>
      <c r="E7481" s="1" t="n">
        <v>46307</v>
      </c>
      <c r="F7481" t="inlineStr">
        <is>
          <t>VÄRMLANDS LÄN</t>
        </is>
      </c>
      <c r="G7481" t="inlineStr">
        <is>
          <t>ÅRJÄNG</t>
        </is>
      </c>
      <c r="I7481" t="n">
        <v>11.1</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21390-2023</t>
        </is>
      </c>
      <c r="B7482" t="inlineStr">
        <is>
          <t>avverkningsanmälan</t>
        </is>
      </c>
      <c r="C7482" t="inlineStr">
        <is>
          <t>Föryngringsavverkning</t>
        </is>
      </c>
      <c r="D7482" s="1" t="n">
        <v>45063</v>
      </c>
      <c r="E7482" s="1" t="n">
        <v>46307</v>
      </c>
      <c r="F7482" t="inlineStr">
        <is>
          <t>VÄRMLANDS LÄN</t>
        </is>
      </c>
      <c r="G7482" t="inlineStr">
        <is>
          <t>TORSBY</t>
        </is>
      </c>
      <c r="I7482" t="n">
        <v>2.7</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21409-2023</t>
        </is>
      </c>
      <c r="B7483" t="inlineStr">
        <is>
          <t>avverkningsanmälan</t>
        </is>
      </c>
      <c r="C7483" t="inlineStr">
        <is>
          <t>Föryngringsavverkning</t>
        </is>
      </c>
      <c r="D7483" s="1" t="n">
        <v>45063</v>
      </c>
      <c r="E7483" s="1" t="n">
        <v>46307</v>
      </c>
      <c r="F7483" t="inlineStr">
        <is>
          <t>VÄRMLANDS LÄN</t>
        </is>
      </c>
      <c r="G7483" t="inlineStr">
        <is>
          <t>TORSBY</t>
        </is>
      </c>
      <c r="I7483" t="n">
        <v>1.2</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18528-2026</t>
        </is>
      </c>
      <c r="B7484" t="inlineStr">
        <is>
          <t>avverkningsanmälan</t>
        </is>
      </c>
      <c r="C7484" t="inlineStr">
        <is>
          <t>Föryngringsavverkning</t>
        </is>
      </c>
      <c r="D7484" s="1" t="n">
        <v>46127</v>
      </c>
      <c r="E7484" s="1" t="n">
        <v>46307</v>
      </c>
      <c r="F7484" t="inlineStr">
        <is>
          <t>VÄRMLANDS LÄN</t>
        </is>
      </c>
      <c r="G7484" t="inlineStr">
        <is>
          <t>HAGFORS</t>
        </is>
      </c>
      <c r="H7484" t="inlineStr">
        <is>
          <t>Bergvik skog väst AB</t>
        </is>
      </c>
      <c r="I7484" t="n">
        <v>14.1</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61479-2025</t>
        </is>
      </c>
      <c r="B7485" t="inlineStr">
        <is>
          <t>avverkningsanmälan</t>
        </is>
      </c>
      <c r="C7485" t="inlineStr">
        <is>
          <t>Föryngringsavverkning</t>
        </is>
      </c>
      <c r="D7485" s="1" t="n">
        <v>46001</v>
      </c>
      <c r="E7485" s="1" t="n">
        <v>46307</v>
      </c>
      <c r="F7485" t="inlineStr">
        <is>
          <t>VÄRMLANDS LÄN</t>
        </is>
      </c>
      <c r="G7485" t="inlineStr">
        <is>
          <t>KRISTINEHAMN</t>
        </is>
      </c>
      <c r="I7485" t="n">
        <v>3.9</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8304-2022</t>
        </is>
      </c>
      <c r="B7486" t="inlineStr">
        <is>
          <t>avverkningsanmälan</t>
        </is>
      </c>
      <c r="C7486" t="inlineStr">
        <is>
          <t>Föryngringsavverkning</t>
        </is>
      </c>
      <c r="D7486" s="1" t="n">
        <v>44610</v>
      </c>
      <c r="E7486" s="1" t="n">
        <v>46307</v>
      </c>
      <c r="F7486" t="inlineStr">
        <is>
          <t>VÄRMLANDS LÄN</t>
        </is>
      </c>
      <c r="G7486" t="inlineStr">
        <is>
          <t>HAGFORS</t>
        </is>
      </c>
      <c r="H7486" t="inlineStr">
        <is>
          <t>Bergvik skog väst AB</t>
        </is>
      </c>
      <c r="I7486" t="n">
        <v>2.3</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61717-2025</t>
        </is>
      </c>
      <c r="B7487" t="inlineStr">
        <is>
          <t>avverkningsanmälan</t>
        </is>
      </c>
      <c r="C7487" t="inlineStr">
        <is>
          <t>Föryngringsavverkning</t>
        </is>
      </c>
      <c r="D7487" s="1" t="n">
        <v>46002</v>
      </c>
      <c r="E7487" s="1" t="n">
        <v>46307</v>
      </c>
      <c r="F7487" t="inlineStr">
        <is>
          <t>VÄRMLANDS LÄN</t>
        </is>
      </c>
      <c r="G7487" t="inlineStr">
        <is>
          <t>FILIPSTAD</t>
        </is>
      </c>
      <c r="I7487" t="n">
        <v>1.5</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18524-2026</t>
        </is>
      </c>
      <c r="B7488" t="inlineStr">
        <is>
          <t>avverkningsanmälan</t>
        </is>
      </c>
      <c r="C7488" t="inlineStr">
        <is>
          <t>Föryngringsavverkning</t>
        </is>
      </c>
      <c r="D7488" s="1" t="n">
        <v>46127</v>
      </c>
      <c r="E7488" s="1" t="n">
        <v>46307</v>
      </c>
      <c r="F7488" t="inlineStr">
        <is>
          <t>VÄRMLANDS LÄN</t>
        </is>
      </c>
      <c r="G7488" t="inlineStr">
        <is>
          <t>SUNNE</t>
        </is>
      </c>
      <c r="H7488" t="inlineStr">
        <is>
          <t>Bergvik skog väst AB</t>
        </is>
      </c>
      <c r="I7488" t="n">
        <v>4.5</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18550-2026</t>
        </is>
      </c>
      <c r="B7489" t="inlineStr">
        <is>
          <t>avverkningsanmälan</t>
        </is>
      </c>
      <c r="C7489" t="inlineStr">
        <is>
          <t>Föryngringsavverkning</t>
        </is>
      </c>
      <c r="D7489" s="1" t="n">
        <v>46127</v>
      </c>
      <c r="E7489" s="1" t="n">
        <v>46307</v>
      </c>
      <c r="F7489" t="inlineStr">
        <is>
          <t>VÄRMLANDS LÄN</t>
        </is>
      </c>
      <c r="G7489" t="inlineStr">
        <is>
          <t>ARVIKA</t>
        </is>
      </c>
      <c r="I7489" t="n">
        <v>8.300000000000001</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18106-2023</t>
        </is>
      </c>
      <c r="B7490" t="inlineStr">
        <is>
          <t>avverkningsanmälan</t>
        </is>
      </c>
      <c r="C7490" t="inlineStr">
        <is>
          <t>Föryngringsavverkning</t>
        </is>
      </c>
      <c r="D7490" s="1" t="n">
        <v>45040</v>
      </c>
      <c r="E7490" s="1" t="n">
        <v>46307</v>
      </c>
      <c r="F7490" t="inlineStr">
        <is>
          <t>VÄRMLANDS LÄN</t>
        </is>
      </c>
      <c r="G7490" t="inlineStr">
        <is>
          <t>SÄFFLE</t>
        </is>
      </c>
      <c r="I7490" t="n">
        <v>2.7</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34164-2024</t>
        </is>
      </c>
      <c r="B7491" t="inlineStr">
        <is>
          <t>avverkningsanmälan</t>
        </is>
      </c>
      <c r="C7491" t="inlineStr">
        <is>
          <t>Föryngringsavverkning</t>
        </is>
      </c>
      <c r="D7491" s="1" t="n">
        <v>45524</v>
      </c>
      <c r="E7491" s="1" t="n">
        <v>46307</v>
      </c>
      <c r="F7491" t="inlineStr">
        <is>
          <t>VÄRMLANDS LÄN</t>
        </is>
      </c>
      <c r="G7491" t="inlineStr">
        <is>
          <t>TORSBY</t>
        </is>
      </c>
      <c r="H7491" t="inlineStr">
        <is>
          <t>Bergvik skog väst AB</t>
        </is>
      </c>
      <c r="I7491" t="n">
        <v>0.5</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18376-2026</t>
        </is>
      </c>
      <c r="B7492" t="inlineStr">
        <is>
          <t>avverkningsanmälan</t>
        </is>
      </c>
      <c r="C7492" t="inlineStr">
        <is>
          <t>Föryngringsavverkning</t>
        </is>
      </c>
      <c r="D7492" s="1" t="n">
        <v>46126</v>
      </c>
      <c r="E7492" s="1" t="n">
        <v>46307</v>
      </c>
      <c r="F7492" t="inlineStr">
        <is>
          <t>VÄRMLANDS LÄN</t>
        </is>
      </c>
      <c r="G7492" t="inlineStr">
        <is>
          <t>FILIPSTAD</t>
        </is>
      </c>
      <c r="H7492" t="inlineStr">
        <is>
          <t>Bergvik skog väst AB</t>
        </is>
      </c>
      <c r="I7492" t="n">
        <v>1.2</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18204-2026</t>
        </is>
      </c>
      <c r="B7493" t="inlineStr">
        <is>
          <t>avverkningsanmälan</t>
        </is>
      </c>
      <c r="C7493" t="inlineStr">
        <is>
          <t>Föryngringsavverkning</t>
        </is>
      </c>
      <c r="D7493" s="1" t="n">
        <v>46125</v>
      </c>
      <c r="E7493" s="1" t="n">
        <v>46307</v>
      </c>
      <c r="F7493" t="inlineStr">
        <is>
          <t>VÄRMLANDS LÄN</t>
        </is>
      </c>
      <c r="G7493" t="inlineStr">
        <is>
          <t>ÅRJÄNG</t>
        </is>
      </c>
      <c r="I7493" t="n">
        <v>1.2</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18868-2026</t>
        </is>
      </c>
      <c r="B7494" t="inlineStr">
        <is>
          <t>avverkningsanmälan</t>
        </is>
      </c>
      <c r="C7494" t="inlineStr">
        <is>
          <t>Föryngringsavverkning</t>
        </is>
      </c>
      <c r="D7494" s="1" t="n">
        <v>46127</v>
      </c>
      <c r="E7494" s="1" t="n">
        <v>46307</v>
      </c>
      <c r="F7494" t="inlineStr">
        <is>
          <t>VÄRMLANDS LÄN</t>
        </is>
      </c>
      <c r="G7494" t="inlineStr">
        <is>
          <t>ÅRJÄNG</t>
        </is>
      </c>
      <c r="I7494" t="n">
        <v>0.7</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18178-2023</t>
        </is>
      </c>
      <c r="B7495" t="inlineStr">
        <is>
          <t>avverkningsanmälan</t>
        </is>
      </c>
      <c r="C7495" t="inlineStr">
        <is>
          <t>Föryngringsavverkning</t>
        </is>
      </c>
      <c r="D7495" s="1" t="n">
        <v>45041</v>
      </c>
      <c r="E7495" s="1" t="n">
        <v>46307</v>
      </c>
      <c r="F7495" t="inlineStr">
        <is>
          <t>VÄRMLANDS LÄN</t>
        </is>
      </c>
      <c r="G7495" t="inlineStr">
        <is>
          <t>SUNNE</t>
        </is>
      </c>
      <c r="I7495" t="n">
        <v>5.5</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18285-2026</t>
        </is>
      </c>
      <c r="B7496" t="inlineStr">
        <is>
          <t>avverkningsanmälan</t>
        </is>
      </c>
      <c r="C7496" t="inlineStr">
        <is>
          <t>Föryngringsavverkning</t>
        </is>
      </c>
      <c r="D7496" s="1" t="n">
        <v>46126</v>
      </c>
      <c r="E7496" s="1" t="n">
        <v>46307</v>
      </c>
      <c r="F7496" t="inlineStr">
        <is>
          <t>VÄRMLANDS LÄN</t>
        </is>
      </c>
      <c r="G7496" t="inlineStr">
        <is>
          <t>FORSHAGA</t>
        </is>
      </c>
      <c r="I7496" t="n">
        <v>1.1</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18244-2026</t>
        </is>
      </c>
      <c r="B7497" t="inlineStr">
        <is>
          <t>avverkningsanmälan</t>
        </is>
      </c>
      <c r="C7497" t="inlineStr">
        <is>
          <t>Föryngringsavverkning</t>
        </is>
      </c>
      <c r="D7497" s="1" t="n">
        <v>46126</v>
      </c>
      <c r="E7497" s="1" t="n">
        <v>46307</v>
      </c>
      <c r="F7497" t="inlineStr">
        <is>
          <t>VÄRMLANDS LÄN</t>
        </is>
      </c>
      <c r="G7497" t="inlineStr">
        <is>
          <t>TORSBY</t>
        </is>
      </c>
      <c r="I7497" t="n">
        <v>3.8</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61463-2025</t>
        </is>
      </c>
      <c r="B7498" t="inlineStr">
        <is>
          <t>avverkningsanmälan</t>
        </is>
      </c>
      <c r="C7498" t="inlineStr">
        <is>
          <t>Föryngringsavverkning</t>
        </is>
      </c>
      <c r="D7498" s="1" t="n">
        <v>46001</v>
      </c>
      <c r="E7498" s="1" t="n">
        <v>46307</v>
      </c>
      <c r="F7498" t="inlineStr">
        <is>
          <t>VÄRMLANDS LÄN</t>
        </is>
      </c>
      <c r="G7498" t="inlineStr">
        <is>
          <t>TORSBY</t>
        </is>
      </c>
      <c r="H7498" t="inlineStr">
        <is>
          <t>Bergvik skog väst AB</t>
        </is>
      </c>
      <c r="I7498" t="n">
        <v>33.8</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18368-2026</t>
        </is>
      </c>
      <c r="B7499" t="inlineStr">
        <is>
          <t>avverkningsanmälan</t>
        </is>
      </c>
      <c r="C7499" t="inlineStr">
        <is>
          <t>Föryngringsavverkning</t>
        </is>
      </c>
      <c r="D7499" s="1" t="n">
        <v>46126</v>
      </c>
      <c r="E7499" s="1" t="n">
        <v>46307</v>
      </c>
      <c r="F7499" t="inlineStr">
        <is>
          <t>VÄRMLANDS LÄN</t>
        </is>
      </c>
      <c r="G7499" t="inlineStr">
        <is>
          <t>ARVIKA</t>
        </is>
      </c>
      <c r="I7499" t="n">
        <v>3.6</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55447-2022</t>
        </is>
      </c>
      <c r="B7500" t="inlineStr">
        <is>
          <t>avverkningsanmälan</t>
        </is>
      </c>
      <c r="C7500" t="inlineStr">
        <is>
          <t>Föryngringsavverkning</t>
        </is>
      </c>
      <c r="D7500" s="1" t="n">
        <v>44887</v>
      </c>
      <c r="E7500" s="1" t="n">
        <v>46307</v>
      </c>
      <c r="F7500" t="inlineStr">
        <is>
          <t>VÄRMLANDS LÄN</t>
        </is>
      </c>
      <c r="G7500" t="inlineStr">
        <is>
          <t>HAGFORS</t>
        </is>
      </c>
      <c r="H7500" t="inlineStr">
        <is>
          <t>Bergvik skog väst AB</t>
        </is>
      </c>
      <c r="I7500" t="n">
        <v>3.2</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55465-2022</t>
        </is>
      </c>
      <c r="B7501" t="inlineStr">
        <is>
          <t>avverkningsanmälan</t>
        </is>
      </c>
      <c r="C7501" t="inlineStr">
        <is>
          <t>Föryngringsavverkning</t>
        </is>
      </c>
      <c r="D7501" s="1" t="n">
        <v>44887</v>
      </c>
      <c r="E7501" s="1" t="n">
        <v>46307</v>
      </c>
      <c r="F7501" t="inlineStr">
        <is>
          <t>VÄRMLANDS LÄN</t>
        </is>
      </c>
      <c r="G7501" t="inlineStr">
        <is>
          <t>EDA</t>
        </is>
      </c>
      <c r="I7501" t="n">
        <v>5.7</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61417-2025</t>
        </is>
      </c>
      <c r="B7502" t="inlineStr">
        <is>
          <t>avverkningsanmälan</t>
        </is>
      </c>
      <c r="C7502" t="inlineStr">
        <is>
          <t>Avverkning för annat ändamål</t>
        </is>
      </c>
      <c r="D7502" s="1" t="n">
        <v>46001</v>
      </c>
      <c r="E7502" s="1" t="n">
        <v>46307</v>
      </c>
      <c r="F7502" t="inlineStr">
        <is>
          <t>VÄRMLANDS LÄN</t>
        </is>
      </c>
      <c r="G7502" t="inlineStr">
        <is>
          <t>FILIPSTAD</t>
        </is>
      </c>
      <c r="H7502" t="inlineStr">
        <is>
          <t>Bergvik skog väst AB</t>
        </is>
      </c>
      <c r="I7502" t="n">
        <v>1</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17742-2025</t>
        </is>
      </c>
      <c r="B7503" t="inlineStr">
        <is>
          <t>avverkningsanmälan</t>
        </is>
      </c>
      <c r="C7503" t="inlineStr">
        <is>
          <t>Föryngringsavverkning</t>
        </is>
      </c>
      <c r="D7503" s="1" t="n">
        <v>45758</v>
      </c>
      <c r="E7503" s="1" t="n">
        <v>46307</v>
      </c>
      <c r="F7503" t="inlineStr">
        <is>
          <t>VÄRMLANDS LÄN</t>
        </is>
      </c>
      <c r="G7503" t="inlineStr">
        <is>
          <t>EDA</t>
        </is>
      </c>
      <c r="I7503" t="n">
        <v>0.5</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36377-2023</t>
        </is>
      </c>
      <c r="B7504" t="inlineStr">
        <is>
          <t>avverkningsanmälan</t>
        </is>
      </c>
      <c r="C7504" t="inlineStr">
        <is>
          <t>Föryngringsavverkning</t>
        </is>
      </c>
      <c r="D7504" s="1" t="n">
        <v>45152</v>
      </c>
      <c r="E7504" s="1" t="n">
        <v>46307</v>
      </c>
      <c r="F7504" t="inlineStr">
        <is>
          <t>VÄRMLANDS LÄN</t>
        </is>
      </c>
      <c r="G7504" t="inlineStr">
        <is>
          <t>FILIPSTAD</t>
        </is>
      </c>
      <c r="H7504" t="inlineStr">
        <is>
          <t>Bergvik skog väst AB</t>
        </is>
      </c>
      <c r="I7504" t="n">
        <v>0.5</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28472-2024</t>
        </is>
      </c>
      <c r="B7505" t="inlineStr">
        <is>
          <t>avverkningsanmälan</t>
        </is>
      </c>
      <c r="C7505" t="inlineStr">
        <is>
          <t>Föryngringsavverkning</t>
        </is>
      </c>
      <c r="D7505" s="1" t="n">
        <v>45477</v>
      </c>
      <c r="E7505" s="1" t="n">
        <v>46307</v>
      </c>
      <c r="F7505" t="inlineStr">
        <is>
          <t>VÄRMLANDS LÄN</t>
        </is>
      </c>
      <c r="G7505" t="inlineStr">
        <is>
          <t>KRISTINEHAMN</t>
        </is>
      </c>
      <c r="I7505" t="n">
        <v>6.8</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18797-2026</t>
        </is>
      </c>
      <c r="B7506" t="inlineStr">
        <is>
          <t>avverkningsanmälan</t>
        </is>
      </c>
      <c r="C7506" t="inlineStr">
        <is>
          <t>Föryngringsavverkning</t>
        </is>
      </c>
      <c r="D7506" s="1" t="n">
        <v>46128</v>
      </c>
      <c r="E7506" s="1" t="n">
        <v>46307</v>
      </c>
      <c r="F7506" t="inlineStr">
        <is>
          <t>VÄRMLANDS LÄN</t>
        </is>
      </c>
      <c r="G7506" t="inlineStr">
        <is>
          <t>HAGFORS</t>
        </is>
      </c>
      <c r="H7506" t="inlineStr">
        <is>
          <t>Bergvik skog väst AB</t>
        </is>
      </c>
      <c r="I7506" t="n">
        <v>5.1</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32821-2023</t>
        </is>
      </c>
      <c r="B7507" t="inlineStr">
        <is>
          <t>avverkningsanmälan</t>
        </is>
      </c>
      <c r="C7507" t="inlineStr">
        <is>
          <t>Avverkning för annat ändamål</t>
        </is>
      </c>
      <c r="D7507" s="1" t="n">
        <v>45112</v>
      </c>
      <c r="E7507" s="1" t="n">
        <v>46307</v>
      </c>
      <c r="F7507" t="inlineStr">
        <is>
          <t>VÄRMLANDS LÄN</t>
        </is>
      </c>
      <c r="G7507" t="inlineStr">
        <is>
          <t>KRISTINEHAMN</t>
        </is>
      </c>
      <c r="H7507" t="inlineStr">
        <is>
          <t>Kommuner</t>
        </is>
      </c>
      <c r="I7507" t="n">
        <v>2</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61361-2025</t>
        </is>
      </c>
      <c r="B7508" t="inlineStr">
        <is>
          <t>avverkningsanmälan</t>
        </is>
      </c>
      <c r="C7508" t="inlineStr">
        <is>
          <t>Föryngringsavverkning</t>
        </is>
      </c>
      <c r="D7508" s="1" t="n">
        <v>46001</v>
      </c>
      <c r="E7508" s="1" t="n">
        <v>46307</v>
      </c>
      <c r="F7508" t="inlineStr">
        <is>
          <t>VÄRMLANDS LÄN</t>
        </is>
      </c>
      <c r="G7508" t="inlineStr">
        <is>
          <t>TORSBY</t>
        </is>
      </c>
      <c r="H7508" t="inlineStr">
        <is>
          <t>Bergvik skog väst AB</t>
        </is>
      </c>
      <c r="I7508" t="n">
        <v>3</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61365-2025</t>
        </is>
      </c>
      <c r="B7509" t="inlineStr">
        <is>
          <t>avverkningsanmälan</t>
        </is>
      </c>
      <c r="C7509" t="inlineStr">
        <is>
          <t>Föryngringsavverkning</t>
        </is>
      </c>
      <c r="D7509" s="1" t="n">
        <v>46001</v>
      </c>
      <c r="E7509" s="1" t="n">
        <v>46307</v>
      </c>
      <c r="F7509" t="inlineStr">
        <is>
          <t>VÄRMLANDS LÄN</t>
        </is>
      </c>
      <c r="G7509" t="inlineStr">
        <is>
          <t>TORSBY</t>
        </is>
      </c>
      <c r="H7509" t="inlineStr">
        <is>
          <t>Bergvik skog väst AB</t>
        </is>
      </c>
      <c r="I7509" t="n">
        <v>0.5</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7645-2026</t>
        </is>
      </c>
      <c r="B7510" t="inlineStr">
        <is>
          <t>avverkningsanmälan</t>
        </is>
      </c>
      <c r="C7510" t="inlineStr">
        <is>
          <t>Föryngringsavverkning</t>
        </is>
      </c>
      <c r="D7510" s="1" t="n">
        <v>46062</v>
      </c>
      <c r="E7510" s="1" t="n">
        <v>46307</v>
      </c>
      <c r="F7510" t="inlineStr">
        <is>
          <t>VÄRMLANDS LÄN</t>
        </is>
      </c>
      <c r="G7510" t="inlineStr">
        <is>
          <t>TORSBY</t>
        </is>
      </c>
      <c r="H7510" t="inlineStr">
        <is>
          <t>Övriga statliga verk och myndigheter</t>
        </is>
      </c>
      <c r="I7510" t="n">
        <v>1.6</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19205-2026</t>
        </is>
      </c>
      <c r="B7511" t="inlineStr">
        <is>
          <t>avverkningsanmälan</t>
        </is>
      </c>
      <c r="C7511" t="inlineStr">
        <is>
          <t>Avverkning för annat ändamål</t>
        </is>
      </c>
      <c r="D7511" s="1" t="n">
        <v>46132</v>
      </c>
      <c r="E7511" s="1" t="n">
        <v>46307</v>
      </c>
      <c r="F7511" t="inlineStr">
        <is>
          <t>VÄRMLANDS LÄN</t>
        </is>
      </c>
      <c r="G7511" t="inlineStr">
        <is>
          <t>ARVIKA</t>
        </is>
      </c>
      <c r="H7511" t="inlineStr">
        <is>
          <t>Bergvik skog väst AB</t>
        </is>
      </c>
      <c r="I7511" t="n">
        <v>0.5</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19207-2026</t>
        </is>
      </c>
      <c r="B7512" t="inlineStr">
        <is>
          <t>avverkningsanmälan</t>
        </is>
      </c>
      <c r="C7512" t="inlineStr">
        <is>
          <t>Föryngringsavverkning</t>
        </is>
      </c>
      <c r="D7512" s="1" t="n">
        <v>46132</v>
      </c>
      <c r="E7512" s="1" t="n">
        <v>46307</v>
      </c>
      <c r="F7512" t="inlineStr">
        <is>
          <t>VÄRMLANDS LÄN</t>
        </is>
      </c>
      <c r="G7512" t="inlineStr">
        <is>
          <t>MUNKFORS</t>
        </is>
      </c>
      <c r="I7512" t="n">
        <v>0.5</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61719-2025</t>
        </is>
      </c>
      <c r="B7513" t="inlineStr">
        <is>
          <t>avverkningsanmälan</t>
        </is>
      </c>
      <c r="C7513" t="inlineStr">
        <is>
          <t>Föryngringsavverkning</t>
        </is>
      </c>
      <c r="D7513" s="1" t="n">
        <v>46002</v>
      </c>
      <c r="E7513" s="1" t="n">
        <v>46307</v>
      </c>
      <c r="F7513" t="inlineStr">
        <is>
          <t>VÄRMLANDS LÄN</t>
        </is>
      </c>
      <c r="G7513" t="inlineStr">
        <is>
          <t>FILIPSTAD</t>
        </is>
      </c>
      <c r="I7513" t="n">
        <v>0.3</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61760-2025</t>
        </is>
      </c>
      <c r="B7514" t="inlineStr">
        <is>
          <t>avverkningsanmälan</t>
        </is>
      </c>
      <c r="C7514" t="inlineStr">
        <is>
          <t>Föryngringsavverkning</t>
        </is>
      </c>
      <c r="D7514" s="1" t="n">
        <v>46002</v>
      </c>
      <c r="E7514" s="1" t="n">
        <v>46307</v>
      </c>
      <c r="F7514" t="inlineStr">
        <is>
          <t>VÄRMLANDS LÄN</t>
        </is>
      </c>
      <c r="G7514" t="inlineStr">
        <is>
          <t>SUNNE</t>
        </is>
      </c>
      <c r="I7514" t="n">
        <v>1.8</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61566-2025</t>
        </is>
      </c>
      <c r="B7515" t="inlineStr">
        <is>
          <t>avverkningsanmälan</t>
        </is>
      </c>
      <c r="C7515" t="inlineStr">
        <is>
          <t>Föryngringsavverkning</t>
        </is>
      </c>
      <c r="D7515" s="1" t="n">
        <v>46001</v>
      </c>
      <c r="E7515" s="1" t="n">
        <v>46307</v>
      </c>
      <c r="F7515" t="inlineStr">
        <is>
          <t>VÄRMLANDS LÄN</t>
        </is>
      </c>
      <c r="G7515" t="inlineStr">
        <is>
          <t>FILIPSTAD</t>
        </is>
      </c>
      <c r="I7515" t="n">
        <v>7.7</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19364-2026</t>
        </is>
      </c>
      <c r="B7516" t="inlineStr">
        <is>
          <t>avverkningsanmälan</t>
        </is>
      </c>
      <c r="C7516" t="inlineStr">
        <is>
          <t>Föryngringsavverkning</t>
        </is>
      </c>
      <c r="D7516" s="1" t="n">
        <v>46129</v>
      </c>
      <c r="E7516" s="1" t="n">
        <v>46307</v>
      </c>
      <c r="F7516" t="inlineStr">
        <is>
          <t>VÄRMLANDS LÄN</t>
        </is>
      </c>
      <c r="G7516" t="inlineStr">
        <is>
          <t>ÅRJÄNG</t>
        </is>
      </c>
      <c r="I7516" t="n">
        <v>2.6</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8048-2022</t>
        </is>
      </c>
      <c r="B7517" t="inlineStr">
        <is>
          <t>avverkningsanmälan</t>
        </is>
      </c>
      <c r="C7517" t="inlineStr">
        <is>
          <t>Föryngringsavverkning</t>
        </is>
      </c>
      <c r="D7517" s="1" t="n">
        <v>44609</v>
      </c>
      <c r="E7517" s="1" t="n">
        <v>46307</v>
      </c>
      <c r="F7517" t="inlineStr">
        <is>
          <t>VÄRMLANDS LÄN</t>
        </is>
      </c>
      <c r="G7517" t="inlineStr">
        <is>
          <t>TORSBY</t>
        </is>
      </c>
      <c r="I7517" t="n">
        <v>1.4</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18969-2026</t>
        </is>
      </c>
      <c r="B7518" t="inlineStr">
        <is>
          <t>avverkningsanmälan</t>
        </is>
      </c>
      <c r="C7518" t="inlineStr">
        <is>
          <t>Föryngringsavverkning</t>
        </is>
      </c>
      <c r="D7518" s="1" t="n">
        <v>46129</v>
      </c>
      <c r="E7518" s="1" t="n">
        <v>46307</v>
      </c>
      <c r="F7518" t="inlineStr">
        <is>
          <t>VÄRMLANDS LÄN</t>
        </is>
      </c>
      <c r="G7518" t="inlineStr">
        <is>
          <t>FILIPSTAD</t>
        </is>
      </c>
      <c r="H7518" t="inlineStr">
        <is>
          <t>Bergvik skog väst AB</t>
        </is>
      </c>
      <c r="I7518" t="n">
        <v>12.9</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19211-2026</t>
        </is>
      </c>
      <c r="B7519" t="inlineStr">
        <is>
          <t>avverkningsanmälan</t>
        </is>
      </c>
      <c r="C7519" t="inlineStr">
        <is>
          <t>Föryngringsavverkning</t>
        </is>
      </c>
      <c r="D7519" s="1" t="n">
        <v>46132</v>
      </c>
      <c r="E7519" s="1" t="n">
        <v>46307</v>
      </c>
      <c r="F7519" t="inlineStr">
        <is>
          <t>VÄRMLANDS LÄN</t>
        </is>
      </c>
      <c r="G7519" t="inlineStr">
        <is>
          <t>TORSBY</t>
        </is>
      </c>
      <c r="I7519" t="n">
        <v>0.6</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19069-2026</t>
        </is>
      </c>
      <c r="B7520" t="inlineStr">
        <is>
          <t>avverkningsanmälan</t>
        </is>
      </c>
      <c r="C7520" t="inlineStr">
        <is>
          <t>Föryngringsavverkning</t>
        </is>
      </c>
      <c r="D7520" s="1" t="n">
        <v>46132</v>
      </c>
      <c r="E7520" s="1" t="n">
        <v>46307</v>
      </c>
      <c r="F7520" t="inlineStr">
        <is>
          <t>VÄRMLANDS LÄN</t>
        </is>
      </c>
      <c r="G7520" t="inlineStr">
        <is>
          <t>TORSBY</t>
        </is>
      </c>
      <c r="I7520" t="n">
        <v>9.699999999999999</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19449-2026</t>
        </is>
      </c>
      <c r="B7521" t="inlineStr">
        <is>
          <t>avverkningsanmälan</t>
        </is>
      </c>
      <c r="C7521" t="inlineStr">
        <is>
          <t>Föryngringsavverkning</t>
        </is>
      </c>
      <c r="D7521" s="1" t="n">
        <v>46129</v>
      </c>
      <c r="E7521" s="1" t="n">
        <v>46307</v>
      </c>
      <c r="F7521" t="inlineStr">
        <is>
          <t>VÄRMLANDS LÄN</t>
        </is>
      </c>
      <c r="G7521" t="inlineStr">
        <is>
          <t>SUNNE</t>
        </is>
      </c>
      <c r="I7521" t="n">
        <v>2.1</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61510-2025</t>
        </is>
      </c>
      <c r="B7522" t="inlineStr">
        <is>
          <t>avverkningsanmälan</t>
        </is>
      </c>
      <c r="C7522" t="inlineStr">
        <is>
          <t>Föryngringsavverkning</t>
        </is>
      </c>
      <c r="D7522" s="1" t="n">
        <v>46001</v>
      </c>
      <c r="E7522" s="1" t="n">
        <v>46307</v>
      </c>
      <c r="F7522" t="inlineStr">
        <is>
          <t>VÄRMLANDS LÄN</t>
        </is>
      </c>
      <c r="G7522" t="inlineStr">
        <is>
          <t>TORSBY</t>
        </is>
      </c>
      <c r="I7522" t="n">
        <v>5</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19208-2026</t>
        </is>
      </c>
      <c r="B7523" t="inlineStr">
        <is>
          <t>avverkningsanmälan</t>
        </is>
      </c>
      <c r="C7523" t="inlineStr">
        <is>
          <t>Föryngringsavverkning</t>
        </is>
      </c>
      <c r="D7523" s="1" t="n">
        <v>46132</v>
      </c>
      <c r="E7523" s="1" t="n">
        <v>46307</v>
      </c>
      <c r="F7523" t="inlineStr">
        <is>
          <t>VÄRMLANDS LÄN</t>
        </is>
      </c>
      <c r="G7523" t="inlineStr">
        <is>
          <t>MUNKFORS</t>
        </is>
      </c>
      <c r="I7523" t="n">
        <v>1.1</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40788-2022</t>
        </is>
      </c>
      <c r="B7524" t="inlineStr">
        <is>
          <t>avverkningsanmälan</t>
        </is>
      </c>
      <c r="C7524" t="inlineStr">
        <is>
          <t>Föryngringsavverkning</t>
        </is>
      </c>
      <c r="D7524" s="1" t="n">
        <v>44824</v>
      </c>
      <c r="E7524" s="1" t="n">
        <v>46307</v>
      </c>
      <c r="F7524" t="inlineStr">
        <is>
          <t>VÄRMLANDS LÄN</t>
        </is>
      </c>
      <c r="G7524" t="inlineStr">
        <is>
          <t>TORSBY</t>
        </is>
      </c>
      <c r="I7524" t="n">
        <v>3.8</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40799-2022</t>
        </is>
      </c>
      <c r="B7525" t="inlineStr">
        <is>
          <t>avverkningsanmälan</t>
        </is>
      </c>
      <c r="C7525" t="inlineStr">
        <is>
          <t>Föryngringsavverkning</t>
        </is>
      </c>
      <c r="D7525" s="1" t="n">
        <v>44824</v>
      </c>
      <c r="E7525" s="1" t="n">
        <v>46307</v>
      </c>
      <c r="F7525" t="inlineStr">
        <is>
          <t>VÄRMLANDS LÄN</t>
        </is>
      </c>
      <c r="G7525" t="inlineStr">
        <is>
          <t>SÄFFLE</t>
        </is>
      </c>
      <c r="I7525" t="n">
        <v>11.4</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50856-2022</t>
        </is>
      </c>
      <c r="B7526" t="inlineStr">
        <is>
          <t>avverkningsanmälan</t>
        </is>
      </c>
      <c r="C7526" t="inlineStr">
        <is>
          <t>Avverkning för annat ändamål</t>
        </is>
      </c>
      <c r="D7526" s="1" t="n">
        <v>44867</v>
      </c>
      <c r="E7526" s="1" t="n">
        <v>46307</v>
      </c>
      <c r="F7526" t="inlineStr">
        <is>
          <t>VÄRMLANDS LÄN</t>
        </is>
      </c>
      <c r="G7526" t="inlineStr">
        <is>
          <t>FILIPSTAD</t>
        </is>
      </c>
      <c r="H7526" t="inlineStr">
        <is>
          <t>Bergvik skog väst AB</t>
        </is>
      </c>
      <c r="I7526" t="n">
        <v>3.5</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43978-2024</t>
        </is>
      </c>
      <c r="B7527" t="inlineStr">
        <is>
          <t>avverkningsanmälan</t>
        </is>
      </c>
      <c r="C7527" t="inlineStr">
        <is>
          <t>Föryngringsavverkning</t>
        </is>
      </c>
      <c r="D7527" s="1" t="n">
        <v>45572</v>
      </c>
      <c r="E7527" s="1" t="n">
        <v>46307</v>
      </c>
      <c r="F7527" t="inlineStr">
        <is>
          <t>VÄRMLANDS LÄN</t>
        </is>
      </c>
      <c r="G7527" t="inlineStr">
        <is>
          <t>ARVIKA</t>
        </is>
      </c>
      <c r="I7527" t="n">
        <v>2.2</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43995-2024</t>
        </is>
      </c>
      <c r="B7528" t="inlineStr">
        <is>
          <t>avverkningsanmälan</t>
        </is>
      </c>
      <c r="C7528" t="inlineStr">
        <is>
          <t>Föryngringsavverkning</t>
        </is>
      </c>
      <c r="D7528" s="1" t="n">
        <v>45572</v>
      </c>
      <c r="E7528" s="1" t="n">
        <v>46307</v>
      </c>
      <c r="F7528" t="inlineStr">
        <is>
          <t>VÄRMLANDS LÄN</t>
        </is>
      </c>
      <c r="G7528" t="inlineStr">
        <is>
          <t>SÄFFLE</t>
        </is>
      </c>
      <c r="I7528" t="n">
        <v>1.9</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44470-2024</t>
        </is>
      </c>
      <c r="B7529" t="inlineStr">
        <is>
          <t>avverkningsanmälan</t>
        </is>
      </c>
      <c r="C7529" t="inlineStr">
        <is>
          <t>Föryngringsavverkning</t>
        </is>
      </c>
      <c r="D7529" s="1" t="n">
        <v>45574</v>
      </c>
      <c r="E7529" s="1" t="n">
        <v>46307</v>
      </c>
      <c r="F7529" t="inlineStr">
        <is>
          <t>VÄRMLANDS LÄN</t>
        </is>
      </c>
      <c r="G7529" t="inlineStr">
        <is>
          <t>TORSBY</t>
        </is>
      </c>
      <c r="I7529" t="n">
        <v>3</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19079-2026</t>
        </is>
      </c>
      <c r="B7530" t="inlineStr">
        <is>
          <t>avverkningsanmälan</t>
        </is>
      </c>
      <c r="C7530" t="inlineStr">
        <is>
          <t>Föryngringsavverkning</t>
        </is>
      </c>
      <c r="D7530" s="1" t="n">
        <v>46132</v>
      </c>
      <c r="E7530" s="1" t="n">
        <v>46307</v>
      </c>
      <c r="F7530" t="inlineStr">
        <is>
          <t>VÄRMLANDS LÄN</t>
        </is>
      </c>
      <c r="G7530" t="inlineStr">
        <is>
          <t>FORSHAGA</t>
        </is>
      </c>
      <c r="I7530" t="n">
        <v>10.1</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61582-2025</t>
        </is>
      </c>
      <c r="B7531" t="inlineStr">
        <is>
          <t>avverkningsanmälan</t>
        </is>
      </c>
      <c r="C7531" t="inlineStr">
        <is>
          <t>Föryngringsavverkning</t>
        </is>
      </c>
      <c r="D7531" s="1" t="n">
        <v>46002</v>
      </c>
      <c r="E7531" s="1" t="n">
        <v>46307</v>
      </c>
      <c r="F7531" t="inlineStr">
        <is>
          <t>VÄRMLANDS LÄN</t>
        </is>
      </c>
      <c r="G7531" t="inlineStr">
        <is>
          <t>EDA</t>
        </is>
      </c>
      <c r="I7531" t="n">
        <v>1.6</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61787-2025</t>
        </is>
      </c>
      <c r="B7532" t="inlineStr">
        <is>
          <t>avverkningsanmälan</t>
        </is>
      </c>
      <c r="C7532" t="inlineStr">
        <is>
          <t>Föryngringsavverkning</t>
        </is>
      </c>
      <c r="D7532" s="1" t="n">
        <v>46002</v>
      </c>
      <c r="E7532" s="1" t="n">
        <v>46307</v>
      </c>
      <c r="F7532" t="inlineStr">
        <is>
          <t>VÄRMLANDS LÄN</t>
        </is>
      </c>
      <c r="G7532" t="inlineStr">
        <is>
          <t>HAGFORS</t>
        </is>
      </c>
      <c r="H7532" t="inlineStr">
        <is>
          <t>Bergvik skog väst AB</t>
        </is>
      </c>
      <c r="I7532" t="n">
        <v>1.5</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52447-2022</t>
        </is>
      </c>
      <c r="B7533" t="inlineStr">
        <is>
          <t>avverkningsanmälan</t>
        </is>
      </c>
      <c r="C7533" t="inlineStr">
        <is>
          <t>Föryngringsavverkning</t>
        </is>
      </c>
      <c r="D7533" s="1" t="n">
        <v>44874</v>
      </c>
      <c r="E7533" s="1" t="n">
        <v>46307</v>
      </c>
      <c r="F7533" t="inlineStr">
        <is>
          <t>VÄRMLANDS LÄN</t>
        </is>
      </c>
      <c r="G7533" t="inlineStr">
        <is>
          <t>TORSBY</t>
        </is>
      </c>
      <c r="I7533" t="n">
        <v>1</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61793-2025</t>
        </is>
      </c>
      <c r="B7534" t="inlineStr">
        <is>
          <t>avverkningsanmälan</t>
        </is>
      </c>
      <c r="C7534" t="inlineStr">
        <is>
          <t>Föryngringsavverkning</t>
        </is>
      </c>
      <c r="D7534" s="1" t="n">
        <v>46002</v>
      </c>
      <c r="E7534" s="1" t="n">
        <v>46307</v>
      </c>
      <c r="F7534" t="inlineStr">
        <is>
          <t>VÄRMLANDS LÄN</t>
        </is>
      </c>
      <c r="G7534" t="inlineStr">
        <is>
          <t>FILIPSTAD</t>
        </is>
      </c>
      <c r="I7534" t="n">
        <v>5.6</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61548-2025</t>
        </is>
      </c>
      <c r="B7535" t="inlineStr">
        <is>
          <t>avverkningsanmälan</t>
        </is>
      </c>
      <c r="C7535" t="inlineStr">
        <is>
          <t>Föryngringsavverkning</t>
        </is>
      </c>
      <c r="D7535" s="1" t="n">
        <v>46001</v>
      </c>
      <c r="E7535" s="1" t="n">
        <v>46307</v>
      </c>
      <c r="F7535" t="inlineStr">
        <is>
          <t>VÄRMLANDS LÄN</t>
        </is>
      </c>
      <c r="G7535" t="inlineStr">
        <is>
          <t>ÅRJÄNG</t>
        </is>
      </c>
      <c r="I7535" t="n">
        <v>2.9</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27985-2022</t>
        </is>
      </c>
      <c r="B7536" t="inlineStr">
        <is>
          <t>avverkningsanmälan</t>
        </is>
      </c>
      <c r="C7536" t="inlineStr">
        <is>
          <t>Föryngringsavverkning</t>
        </is>
      </c>
      <c r="D7536" s="1" t="n">
        <v>44745</v>
      </c>
      <c r="E7536" s="1" t="n">
        <v>46307</v>
      </c>
      <c r="F7536" t="inlineStr">
        <is>
          <t>VÄRMLANDS LÄN</t>
        </is>
      </c>
      <c r="G7536" t="inlineStr">
        <is>
          <t>SÄFFLE</t>
        </is>
      </c>
      <c r="I7536" t="n">
        <v>1.6</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19157-2026</t>
        </is>
      </c>
      <c r="B7537" t="inlineStr">
        <is>
          <t>avverkningsanmälan</t>
        </is>
      </c>
      <c r="C7537" t="inlineStr">
        <is>
          <t>Föryngringsavverkning</t>
        </is>
      </c>
      <c r="D7537" s="1" t="n">
        <v>46132</v>
      </c>
      <c r="E7537" s="1" t="n">
        <v>46307</v>
      </c>
      <c r="F7537" t="inlineStr">
        <is>
          <t>VÄRMLANDS LÄN</t>
        </is>
      </c>
      <c r="G7537" t="inlineStr">
        <is>
          <t>KARLSTAD</t>
        </is>
      </c>
      <c r="I7537" t="n">
        <v>1.4</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36177-2023</t>
        </is>
      </c>
      <c r="B7538" t="inlineStr">
        <is>
          <t>avverkningsanmälan</t>
        </is>
      </c>
      <c r="C7538" t="inlineStr">
        <is>
          <t>Föryngringsavverkning</t>
        </is>
      </c>
      <c r="D7538" s="1" t="n">
        <v>45149</v>
      </c>
      <c r="E7538" s="1" t="n">
        <v>46307</v>
      </c>
      <c r="F7538" t="inlineStr">
        <is>
          <t>VÄRMLANDS LÄN</t>
        </is>
      </c>
      <c r="G7538" t="inlineStr">
        <is>
          <t>SUNNE</t>
        </is>
      </c>
      <c r="I7538" t="n">
        <v>2.6</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4748-2023</t>
        </is>
      </c>
      <c r="B7539" t="inlineStr">
        <is>
          <t>avverkningsanmälan</t>
        </is>
      </c>
      <c r="C7539" t="inlineStr">
        <is>
          <t>Föryngringsavverkning</t>
        </is>
      </c>
      <c r="D7539" s="1" t="n">
        <v>44957</v>
      </c>
      <c r="E7539" s="1" t="n">
        <v>46307</v>
      </c>
      <c r="F7539" t="inlineStr">
        <is>
          <t>VÄRMLANDS LÄN</t>
        </is>
      </c>
      <c r="G7539" t="inlineStr">
        <is>
          <t>ÅRJÄNG</t>
        </is>
      </c>
      <c r="I7539" t="n">
        <v>2.6</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43244-2023</t>
        </is>
      </c>
      <c r="B7540" t="inlineStr">
        <is>
          <t>avverkningsanmälan</t>
        </is>
      </c>
      <c r="C7540" t="inlineStr">
        <is>
          <t>Föryngringsavverkning</t>
        </is>
      </c>
      <c r="D7540" s="1" t="n">
        <v>45183</v>
      </c>
      <c r="E7540" s="1" t="n">
        <v>46307</v>
      </c>
      <c r="F7540" t="inlineStr">
        <is>
          <t>VÄRMLANDS LÄN</t>
        </is>
      </c>
      <c r="G7540" t="inlineStr">
        <is>
          <t>ÅRJÄNG</t>
        </is>
      </c>
      <c r="I7540" t="n">
        <v>8.800000000000001</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19172-2026</t>
        </is>
      </c>
      <c r="B7541" t="inlineStr">
        <is>
          <t>avverkningsanmälan</t>
        </is>
      </c>
      <c r="C7541" t="inlineStr">
        <is>
          <t>Föryngringsavverkning</t>
        </is>
      </c>
      <c r="D7541" s="1" t="n">
        <v>46132</v>
      </c>
      <c r="E7541" s="1" t="n">
        <v>46307</v>
      </c>
      <c r="F7541" t="inlineStr">
        <is>
          <t>VÄRMLANDS LÄN</t>
        </is>
      </c>
      <c r="G7541" t="inlineStr">
        <is>
          <t>MUNKFORS</t>
        </is>
      </c>
      <c r="I7541" t="n">
        <v>5.8</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18740-2026</t>
        </is>
      </c>
      <c r="B7542" t="inlineStr">
        <is>
          <t>avverkningsanmälan</t>
        </is>
      </c>
      <c r="C7542" t="inlineStr">
        <is>
          <t>Föryngringsavverkning</t>
        </is>
      </c>
      <c r="D7542" s="1" t="n">
        <v>46128</v>
      </c>
      <c r="E7542" s="1" t="n">
        <v>46307</v>
      </c>
      <c r="F7542" t="inlineStr">
        <is>
          <t>VÄRMLANDS LÄN</t>
        </is>
      </c>
      <c r="G7542" t="inlineStr">
        <is>
          <t>ÅRJÄNG</t>
        </is>
      </c>
      <c r="I7542" t="n">
        <v>0.8</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6013-2024</t>
        </is>
      </c>
      <c r="B7543" t="inlineStr">
        <is>
          <t>avverkningsanmälan</t>
        </is>
      </c>
      <c r="C7543" t="inlineStr">
        <is>
          <t>Föryngringsavverkning</t>
        </is>
      </c>
      <c r="D7543" s="1" t="n">
        <v>45336</v>
      </c>
      <c r="E7543" s="1" t="n">
        <v>46307</v>
      </c>
      <c r="F7543" t="inlineStr">
        <is>
          <t>VÄRMLANDS LÄN</t>
        </is>
      </c>
      <c r="G7543" t="inlineStr">
        <is>
          <t>TORSBY</t>
        </is>
      </c>
      <c r="I7543" t="n">
        <v>1.6</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2984-2023</t>
        </is>
      </c>
      <c r="B7544" t="inlineStr">
        <is>
          <t>avverkningsanmälan</t>
        </is>
      </c>
      <c r="C7544" t="inlineStr">
        <is>
          <t>Föryngringsavverkning</t>
        </is>
      </c>
      <c r="D7544" s="1" t="n">
        <v>44945</v>
      </c>
      <c r="E7544" s="1" t="n">
        <v>46307</v>
      </c>
      <c r="F7544" t="inlineStr">
        <is>
          <t>VÄRMLANDS LÄN</t>
        </is>
      </c>
      <c r="G7544" t="inlineStr">
        <is>
          <t>KARLSTAD</t>
        </is>
      </c>
      <c r="I7544" t="n">
        <v>1.7</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34378-2024</t>
        </is>
      </c>
      <c r="B7545" t="inlineStr">
        <is>
          <t>avverkningsanmälan</t>
        </is>
      </c>
      <c r="C7545" t="inlineStr">
        <is>
          <t>Föryngringsavverkning</t>
        </is>
      </c>
      <c r="D7545" s="1" t="n">
        <v>45525</v>
      </c>
      <c r="E7545" s="1" t="n">
        <v>46307</v>
      </c>
      <c r="F7545" t="inlineStr">
        <is>
          <t>VÄRMLANDS LÄN</t>
        </is>
      </c>
      <c r="G7545" t="inlineStr">
        <is>
          <t>EDA</t>
        </is>
      </c>
      <c r="I7545" t="n">
        <v>0.7</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18886-2026</t>
        </is>
      </c>
      <c r="B7546" t="inlineStr">
        <is>
          <t>avverkningsanmälan</t>
        </is>
      </c>
      <c r="C7546" t="inlineStr">
        <is>
          <t>Föryngringsavverkning</t>
        </is>
      </c>
      <c r="D7546" s="1" t="n">
        <v>46129</v>
      </c>
      <c r="E7546" s="1" t="n">
        <v>46307</v>
      </c>
      <c r="F7546" t="inlineStr">
        <is>
          <t>VÄRMLANDS LÄN</t>
        </is>
      </c>
      <c r="G7546" t="inlineStr">
        <is>
          <t>SUNNE</t>
        </is>
      </c>
      <c r="I7546" t="n">
        <v>2.1</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18901-2026</t>
        </is>
      </c>
      <c r="B7547" t="inlineStr">
        <is>
          <t>avverkningsanmälan</t>
        </is>
      </c>
      <c r="C7547" t="inlineStr">
        <is>
          <t>Föryngringsavverkning</t>
        </is>
      </c>
      <c r="D7547" s="1" t="n">
        <v>46129</v>
      </c>
      <c r="E7547" s="1" t="n">
        <v>46307</v>
      </c>
      <c r="F7547" t="inlineStr">
        <is>
          <t>VÄRMLANDS LÄN</t>
        </is>
      </c>
      <c r="G7547" t="inlineStr">
        <is>
          <t>HAGFORS</t>
        </is>
      </c>
      <c r="H7547" t="inlineStr">
        <is>
          <t>Bergvik skog väst AB</t>
        </is>
      </c>
      <c r="I7547" t="n">
        <v>3.4</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4260-2023</t>
        </is>
      </c>
      <c r="B7548" t="inlineStr">
        <is>
          <t>avverkningsanmälan</t>
        </is>
      </c>
      <c r="C7548" t="inlineStr">
        <is>
          <t>Föryngringsavverkning</t>
        </is>
      </c>
      <c r="D7548" s="1" t="n">
        <v>44953</v>
      </c>
      <c r="E7548" s="1" t="n">
        <v>46307</v>
      </c>
      <c r="F7548" t="inlineStr">
        <is>
          <t>VÄRMLANDS LÄN</t>
        </is>
      </c>
      <c r="G7548" t="inlineStr">
        <is>
          <t>HAGFORS</t>
        </is>
      </c>
      <c r="I7548" t="n">
        <v>1.7</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61628-2022</t>
        </is>
      </c>
      <c r="B7549" t="inlineStr">
        <is>
          <t>avverkningsanmälan</t>
        </is>
      </c>
      <c r="C7549" t="inlineStr">
        <is>
          <t>Föryngringsavverkning</t>
        </is>
      </c>
      <c r="D7549" s="1" t="n">
        <v>44911</v>
      </c>
      <c r="E7549" s="1" t="n">
        <v>46307</v>
      </c>
      <c r="F7549" t="inlineStr">
        <is>
          <t>VÄRMLANDS LÄN</t>
        </is>
      </c>
      <c r="G7549" t="inlineStr">
        <is>
          <t>FILIPSTAD</t>
        </is>
      </c>
      <c r="I7549" t="n">
        <v>1.7</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61631-2025</t>
        </is>
      </c>
      <c r="B7550" t="inlineStr">
        <is>
          <t>avverkningsanmälan</t>
        </is>
      </c>
      <c r="C7550" t="inlineStr">
        <is>
          <t>Föryngringsavverkning</t>
        </is>
      </c>
      <c r="D7550" s="1" t="n">
        <v>46002</v>
      </c>
      <c r="E7550" s="1" t="n">
        <v>46307</v>
      </c>
      <c r="F7550" t="inlineStr">
        <is>
          <t>VÄRMLANDS LÄN</t>
        </is>
      </c>
      <c r="G7550" t="inlineStr">
        <is>
          <t>ÅRJÄNG</t>
        </is>
      </c>
      <c r="I7550" t="n">
        <v>1.8</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18826-2026</t>
        </is>
      </c>
      <c r="B7551" t="inlineStr">
        <is>
          <t>avverkningsanmälan</t>
        </is>
      </c>
      <c r="C7551" t="inlineStr">
        <is>
          <t>Föryngringsavverkning</t>
        </is>
      </c>
      <c r="D7551" s="1" t="n">
        <v>46128</v>
      </c>
      <c r="E7551" s="1" t="n">
        <v>46307</v>
      </c>
      <c r="F7551" t="inlineStr">
        <is>
          <t>VÄRMLANDS LÄN</t>
        </is>
      </c>
      <c r="G7551" t="inlineStr">
        <is>
          <t>FILIPSTAD</t>
        </is>
      </c>
      <c r="I7551" t="n">
        <v>1.6</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34256-2024</t>
        </is>
      </c>
      <c r="B7552" t="inlineStr">
        <is>
          <t>avverkningsanmälan</t>
        </is>
      </c>
      <c r="C7552" t="inlineStr">
        <is>
          <t>Föryngringsavverkning</t>
        </is>
      </c>
      <c r="D7552" s="1" t="n">
        <v>45524</v>
      </c>
      <c r="E7552" s="1" t="n">
        <v>46307</v>
      </c>
      <c r="F7552" t="inlineStr">
        <is>
          <t>VÄRMLANDS LÄN</t>
        </is>
      </c>
      <c r="G7552" t="inlineStr">
        <is>
          <t>TORSBY</t>
        </is>
      </c>
      <c r="I7552" t="n">
        <v>0.5</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18885-2026</t>
        </is>
      </c>
      <c r="B7553" t="inlineStr">
        <is>
          <t>avverkningsanmälan</t>
        </is>
      </c>
      <c r="C7553" t="inlineStr">
        <is>
          <t>Föryngringsavverkning</t>
        </is>
      </c>
      <c r="D7553" s="1" t="n">
        <v>46129</v>
      </c>
      <c r="E7553" s="1" t="n">
        <v>46307</v>
      </c>
      <c r="F7553" t="inlineStr">
        <is>
          <t>VÄRMLANDS LÄN</t>
        </is>
      </c>
      <c r="G7553" t="inlineStr">
        <is>
          <t>SUNNE</t>
        </is>
      </c>
      <c r="I7553" t="n">
        <v>2.1</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18902-2026</t>
        </is>
      </c>
      <c r="B7554" t="inlineStr">
        <is>
          <t>avverkningsanmälan</t>
        </is>
      </c>
      <c r="C7554" t="inlineStr">
        <is>
          <t>Föryngringsavverkning</t>
        </is>
      </c>
      <c r="D7554" s="1" t="n">
        <v>46129</v>
      </c>
      <c r="E7554" s="1" t="n">
        <v>46307</v>
      </c>
      <c r="F7554" t="inlineStr">
        <is>
          <t>VÄRMLANDS LÄN</t>
        </is>
      </c>
      <c r="G7554" t="inlineStr">
        <is>
          <t>KRISTINEHAMN</t>
        </is>
      </c>
      <c r="H7554" t="inlineStr">
        <is>
          <t>Sveaskog</t>
        </is>
      </c>
      <c r="I7554" t="n">
        <v>4.3</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18909-2026</t>
        </is>
      </c>
      <c r="B7555" t="inlineStr">
        <is>
          <t>avverkningsanmälan</t>
        </is>
      </c>
      <c r="C7555" t="inlineStr">
        <is>
          <t>Föryngringsavverkning</t>
        </is>
      </c>
      <c r="D7555" s="1" t="n">
        <v>46129</v>
      </c>
      <c r="E7555" s="1" t="n">
        <v>46307</v>
      </c>
      <c r="F7555" t="inlineStr">
        <is>
          <t>VÄRMLANDS LÄN</t>
        </is>
      </c>
      <c r="G7555" t="inlineStr">
        <is>
          <t>KRISTINEHAMN</t>
        </is>
      </c>
      <c r="H7555" t="inlineStr">
        <is>
          <t>Sveaskog</t>
        </is>
      </c>
      <c r="I7555" t="n">
        <v>1.4</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18927-2026</t>
        </is>
      </c>
      <c r="B7556" t="inlineStr">
        <is>
          <t>avverkningsanmälan</t>
        </is>
      </c>
      <c r="C7556" t="inlineStr">
        <is>
          <t>Föryngringsavverkning</t>
        </is>
      </c>
      <c r="D7556" s="1" t="n">
        <v>46129</v>
      </c>
      <c r="E7556" s="1" t="n">
        <v>46307</v>
      </c>
      <c r="F7556" t="inlineStr">
        <is>
          <t>VÄRMLANDS LÄN</t>
        </is>
      </c>
      <c r="G7556" t="inlineStr">
        <is>
          <t>TORSBY</t>
        </is>
      </c>
      <c r="I7556" t="n">
        <v>0.5</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42050-2024</t>
        </is>
      </c>
      <c r="B7557" t="inlineStr">
        <is>
          <t>avverkningsanmälan</t>
        </is>
      </c>
      <c r="C7557" t="inlineStr">
        <is>
          <t>Föryngringsavverkning</t>
        </is>
      </c>
      <c r="D7557" s="1" t="n">
        <v>45561</v>
      </c>
      <c r="E7557" s="1" t="n">
        <v>46307</v>
      </c>
      <c r="F7557" t="inlineStr">
        <is>
          <t>VÄRMLANDS LÄN</t>
        </is>
      </c>
      <c r="G7557" t="inlineStr">
        <is>
          <t>ARVIKA</t>
        </is>
      </c>
      <c r="I7557" t="n">
        <v>0.8</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42051-2024</t>
        </is>
      </c>
      <c r="B7558" t="inlineStr">
        <is>
          <t>avverkningsanmälan</t>
        </is>
      </c>
      <c r="C7558" t="inlineStr">
        <is>
          <t>Föryngringsavverkning</t>
        </is>
      </c>
      <c r="D7558" s="1" t="n">
        <v>45561</v>
      </c>
      <c r="E7558" s="1" t="n">
        <v>46307</v>
      </c>
      <c r="F7558" t="inlineStr">
        <is>
          <t>VÄRMLANDS LÄN</t>
        </is>
      </c>
      <c r="G7558" t="inlineStr">
        <is>
          <t>ARVIKA</t>
        </is>
      </c>
      <c r="I7558" t="n">
        <v>1.9</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32821-2023</t>
        </is>
      </c>
      <c r="B7559" t="inlineStr">
        <is>
          <t>avverkningsanmälan</t>
        </is>
      </c>
      <c r="C7559" t="inlineStr">
        <is>
          <t>Avverkning för annat ändamål</t>
        </is>
      </c>
      <c r="D7559" s="1" t="n">
        <v>45112</v>
      </c>
      <c r="E7559" s="1" t="n">
        <v>46307</v>
      </c>
      <c r="F7559" t="inlineStr">
        <is>
          <t>VÄRMLANDS LÄN</t>
        </is>
      </c>
      <c r="G7559" t="inlineStr">
        <is>
          <t>KRISTINEHAMN</t>
        </is>
      </c>
      <c r="H7559" t="inlineStr">
        <is>
          <t>Kommuner</t>
        </is>
      </c>
      <c r="I7559" t="n">
        <v>2</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43264-2024</t>
        </is>
      </c>
      <c r="B7560" t="inlineStr">
        <is>
          <t>avverkningsanmälan</t>
        </is>
      </c>
      <c r="C7560" t="inlineStr">
        <is>
          <t>Föryngringsavverkning</t>
        </is>
      </c>
      <c r="D7560" s="1" t="n">
        <v>45568</v>
      </c>
      <c r="E7560" s="1" t="n">
        <v>46307</v>
      </c>
      <c r="F7560" t="inlineStr">
        <is>
          <t>VÄRMLANDS LÄN</t>
        </is>
      </c>
      <c r="G7560" t="inlineStr">
        <is>
          <t>FILIPSTAD</t>
        </is>
      </c>
      <c r="I7560" t="n">
        <v>2.4</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19144-2026</t>
        </is>
      </c>
      <c r="B7561" t="inlineStr">
        <is>
          <t>avverkningsanmälan</t>
        </is>
      </c>
      <c r="C7561" t="inlineStr">
        <is>
          <t>Avverkning för annat ändamål</t>
        </is>
      </c>
      <c r="D7561" s="1" t="n">
        <v>46132</v>
      </c>
      <c r="E7561" s="1" t="n">
        <v>46307</v>
      </c>
      <c r="F7561" t="inlineStr">
        <is>
          <t>VÄRMLANDS LÄN</t>
        </is>
      </c>
      <c r="G7561" t="inlineStr">
        <is>
          <t>TORSBY</t>
        </is>
      </c>
      <c r="H7561" t="inlineStr">
        <is>
          <t>Kommuner</t>
        </is>
      </c>
      <c r="I7561" t="n">
        <v>1.2</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43301-2024</t>
        </is>
      </c>
      <c r="B7562" t="inlineStr">
        <is>
          <t>avverkningsanmälan</t>
        </is>
      </c>
      <c r="C7562" t="inlineStr">
        <is>
          <t>Avverkning för annat ändamål</t>
        </is>
      </c>
      <c r="D7562" s="1" t="n">
        <v>45568</v>
      </c>
      <c r="E7562" s="1" t="n">
        <v>46307</v>
      </c>
      <c r="F7562" t="inlineStr">
        <is>
          <t>VÄRMLANDS LÄN</t>
        </is>
      </c>
      <c r="G7562" t="inlineStr">
        <is>
          <t>TORSBY</t>
        </is>
      </c>
      <c r="I7562" t="n">
        <v>2</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18690-2026</t>
        </is>
      </c>
      <c r="B7563" t="inlineStr">
        <is>
          <t>avverkningsanmälan</t>
        </is>
      </c>
      <c r="C7563" t="inlineStr">
        <is>
          <t>Föryngringsavverkning</t>
        </is>
      </c>
      <c r="D7563" s="1" t="n">
        <v>46128</v>
      </c>
      <c r="E7563" s="1" t="n">
        <v>46307</v>
      </c>
      <c r="F7563" t="inlineStr">
        <is>
          <t>VÄRMLANDS LÄN</t>
        </is>
      </c>
      <c r="G7563" t="inlineStr">
        <is>
          <t>TORSBY</t>
        </is>
      </c>
      <c r="I7563" t="n">
        <v>0.6</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19242-2026</t>
        </is>
      </c>
      <c r="B7564" t="inlineStr">
        <is>
          <t>avverkningsanmälan</t>
        </is>
      </c>
      <c r="C7564" t="inlineStr">
        <is>
          <t>Föryngringsavverkning</t>
        </is>
      </c>
      <c r="D7564" s="1" t="n">
        <v>46132</v>
      </c>
      <c r="E7564" s="1" t="n">
        <v>46307</v>
      </c>
      <c r="F7564" t="inlineStr">
        <is>
          <t>VÄRMLANDS LÄN</t>
        </is>
      </c>
      <c r="G7564" t="inlineStr">
        <is>
          <t>ÅRJÄNG</t>
        </is>
      </c>
      <c r="I7564" t="n">
        <v>7.3</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62641-2023</t>
        </is>
      </c>
      <c r="B7565" t="inlineStr">
        <is>
          <t>avverkningsanmälan</t>
        </is>
      </c>
      <c r="C7565" t="inlineStr">
        <is>
          <t>Föryngringsavverkning</t>
        </is>
      </c>
      <c r="D7565" s="1" t="n">
        <v>45271</v>
      </c>
      <c r="E7565" s="1" t="n">
        <v>46307</v>
      </c>
      <c r="F7565" t="inlineStr">
        <is>
          <t>VÄRMLANDS LÄN</t>
        </is>
      </c>
      <c r="G7565" t="inlineStr">
        <is>
          <t>SÄFFLE</t>
        </is>
      </c>
      <c r="I7565" t="n">
        <v>3.3</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19368-2026</t>
        </is>
      </c>
      <c r="B7566" t="inlineStr">
        <is>
          <t>avverkningsanmälan</t>
        </is>
      </c>
      <c r="C7566" t="inlineStr">
        <is>
          <t>Föryngringsavverkning</t>
        </is>
      </c>
      <c r="D7566" s="1" t="n">
        <v>46129</v>
      </c>
      <c r="E7566" s="1" t="n">
        <v>46307</v>
      </c>
      <c r="F7566" t="inlineStr">
        <is>
          <t>VÄRMLANDS LÄN</t>
        </is>
      </c>
      <c r="G7566" t="inlineStr">
        <is>
          <t>ÅRJÄNG</t>
        </is>
      </c>
      <c r="I7566" t="n">
        <v>3.6</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62770-2023</t>
        </is>
      </c>
      <c r="B7567" t="inlineStr">
        <is>
          <t>avverkningsanmälan</t>
        </is>
      </c>
      <c r="C7567" t="inlineStr">
        <is>
          <t>Föryngringsavverkning</t>
        </is>
      </c>
      <c r="D7567" s="1" t="n">
        <v>45268</v>
      </c>
      <c r="E7567" s="1" t="n">
        <v>46307</v>
      </c>
      <c r="F7567" t="inlineStr">
        <is>
          <t>VÄRMLANDS LÄN</t>
        </is>
      </c>
      <c r="G7567" t="inlineStr">
        <is>
          <t>KRISTINEHAMN</t>
        </is>
      </c>
      <c r="I7567" t="n">
        <v>5.8</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3846-2023</t>
        </is>
      </c>
      <c r="B7568" t="inlineStr">
        <is>
          <t>avverkningsanmälan</t>
        </is>
      </c>
      <c r="C7568" t="inlineStr">
        <is>
          <t>Föryngringsavverkning</t>
        </is>
      </c>
      <c r="D7568" s="1" t="n">
        <v>44951</v>
      </c>
      <c r="E7568" s="1" t="n">
        <v>46307</v>
      </c>
      <c r="F7568" t="inlineStr">
        <is>
          <t>VÄRMLANDS LÄN</t>
        </is>
      </c>
      <c r="G7568" t="inlineStr">
        <is>
          <t>HAGFORS</t>
        </is>
      </c>
      <c r="H7568" t="inlineStr">
        <is>
          <t>Kommuner</t>
        </is>
      </c>
      <c r="I7568" t="n">
        <v>0.3</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20737-2023</t>
        </is>
      </c>
      <c r="B7569" t="inlineStr">
        <is>
          <t>avverkningsanmälan</t>
        </is>
      </c>
      <c r="C7569" t="inlineStr">
        <is>
          <t>Föryngringsavverkning</t>
        </is>
      </c>
      <c r="D7569" s="1" t="n">
        <v>45058</v>
      </c>
      <c r="E7569" s="1" t="n">
        <v>46307</v>
      </c>
      <c r="F7569" t="inlineStr">
        <is>
          <t>VÄRMLANDS LÄN</t>
        </is>
      </c>
      <c r="G7569" t="inlineStr">
        <is>
          <t>TORSBY</t>
        </is>
      </c>
      <c r="I7569" t="n">
        <v>2.6</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11026-2023</t>
        </is>
      </c>
      <c r="B7570" t="inlineStr">
        <is>
          <t>avverkningsanmälan</t>
        </is>
      </c>
      <c r="C7570" t="inlineStr">
        <is>
          <t>Föryngringsavverkning</t>
        </is>
      </c>
      <c r="D7570" s="1" t="n">
        <v>44991</v>
      </c>
      <c r="E7570" s="1" t="n">
        <v>46307</v>
      </c>
      <c r="F7570" t="inlineStr">
        <is>
          <t>VÄRMLANDS LÄN</t>
        </is>
      </c>
      <c r="G7570" t="inlineStr">
        <is>
          <t>ÅRJÄNG</t>
        </is>
      </c>
      <c r="I7570" t="n">
        <v>1.3</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19438-2026</t>
        </is>
      </c>
      <c r="B7571" t="inlineStr">
        <is>
          <t>avverkningsanmälan</t>
        </is>
      </c>
      <c r="C7571" t="inlineStr">
        <is>
          <t>Föryngringsavverkning</t>
        </is>
      </c>
      <c r="D7571" s="1" t="n">
        <v>46129</v>
      </c>
      <c r="E7571" s="1" t="n">
        <v>46307</v>
      </c>
      <c r="F7571" t="inlineStr">
        <is>
          <t>VÄRMLANDS LÄN</t>
        </is>
      </c>
      <c r="G7571" t="inlineStr">
        <is>
          <t>SUNNE</t>
        </is>
      </c>
      <c r="I7571" t="n">
        <v>2.5</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20615-2024</t>
        </is>
      </c>
      <c r="B7572" t="inlineStr">
        <is>
          <t>avverkningsanmälan</t>
        </is>
      </c>
      <c r="C7572" t="inlineStr">
        <is>
          <t>Föryngringsavverkning</t>
        </is>
      </c>
      <c r="D7572" s="1" t="n">
        <v>45436</v>
      </c>
      <c r="E7572" s="1" t="n">
        <v>46307</v>
      </c>
      <c r="F7572" t="inlineStr">
        <is>
          <t>VÄRMLANDS LÄN</t>
        </is>
      </c>
      <c r="G7572" t="inlineStr">
        <is>
          <t>SUNNE</t>
        </is>
      </c>
      <c r="I7572" t="n">
        <v>2.8</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22158-2022</t>
        </is>
      </c>
      <c r="B7573" t="inlineStr">
        <is>
          <t>avverkningsanmälan</t>
        </is>
      </c>
      <c r="C7573" t="inlineStr">
        <is>
          <t>Föryngringsavverkning</t>
        </is>
      </c>
      <c r="D7573" s="1" t="n">
        <v>44708</v>
      </c>
      <c r="E7573" s="1" t="n">
        <v>46307</v>
      </c>
      <c r="F7573" t="inlineStr">
        <is>
          <t>VÄRMLANDS LÄN</t>
        </is>
      </c>
      <c r="G7573" t="inlineStr">
        <is>
          <t>TORSBY</t>
        </is>
      </c>
      <c r="I7573" t="n">
        <v>1.1</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18962-2026</t>
        </is>
      </c>
      <c r="B7574" t="inlineStr">
        <is>
          <t>avverkningsanmälan</t>
        </is>
      </c>
      <c r="C7574" t="inlineStr">
        <is>
          <t>Föryngringsavverkning</t>
        </is>
      </c>
      <c r="D7574" s="1" t="n">
        <v>46129</v>
      </c>
      <c r="E7574" s="1" t="n">
        <v>46307</v>
      </c>
      <c r="F7574" t="inlineStr">
        <is>
          <t>VÄRMLANDS LÄN</t>
        </is>
      </c>
      <c r="G7574" t="inlineStr">
        <is>
          <t>ARVIKA</t>
        </is>
      </c>
      <c r="I7574" t="n">
        <v>2</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26703-2023</t>
        </is>
      </c>
      <c r="B7575" t="inlineStr">
        <is>
          <t>avverkningsanmälan</t>
        </is>
      </c>
      <c r="C7575" t="inlineStr">
        <is>
          <t>Föryngringsavverkning</t>
        </is>
      </c>
      <c r="D7575" s="1" t="n">
        <v>45093</v>
      </c>
      <c r="E7575" s="1" t="n">
        <v>46307</v>
      </c>
      <c r="F7575" t="inlineStr">
        <is>
          <t>VÄRMLANDS LÄN</t>
        </is>
      </c>
      <c r="G7575" t="inlineStr">
        <is>
          <t>ARVIKA</t>
        </is>
      </c>
      <c r="I7575" t="n">
        <v>1.4</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26710-2023</t>
        </is>
      </c>
      <c r="B7576" t="inlineStr">
        <is>
          <t>avverkningsanmälan</t>
        </is>
      </c>
      <c r="C7576" t="inlineStr">
        <is>
          <t>Föryngringsavverkning</t>
        </is>
      </c>
      <c r="D7576" s="1" t="n">
        <v>45093</v>
      </c>
      <c r="E7576" s="1" t="n">
        <v>46307</v>
      </c>
      <c r="F7576" t="inlineStr">
        <is>
          <t>VÄRMLANDS LÄN</t>
        </is>
      </c>
      <c r="G7576" t="inlineStr">
        <is>
          <t>ARVIKA</t>
        </is>
      </c>
      <c r="I7576" t="n">
        <v>1.2</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18757-2026</t>
        </is>
      </c>
      <c r="B7577" t="inlineStr">
        <is>
          <t>avverkningsanmälan</t>
        </is>
      </c>
      <c r="C7577" t="inlineStr">
        <is>
          <t>Föryngringsavverkning</t>
        </is>
      </c>
      <c r="D7577" s="1" t="n">
        <v>46128</v>
      </c>
      <c r="E7577" s="1" t="n">
        <v>46307</v>
      </c>
      <c r="F7577" t="inlineStr">
        <is>
          <t>VÄRMLANDS LÄN</t>
        </is>
      </c>
      <c r="G7577" t="inlineStr">
        <is>
          <t>STORFORS</t>
        </is>
      </c>
      <c r="H7577" t="inlineStr">
        <is>
          <t>Naturvårdsverket</t>
        </is>
      </c>
      <c r="I7577" t="n">
        <v>14.1</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19034-2026</t>
        </is>
      </c>
      <c r="B7578" t="inlineStr">
        <is>
          <t>avverkningsanmälan</t>
        </is>
      </c>
      <c r="C7578" t="inlineStr">
        <is>
          <t>Föryngringsavverkning</t>
        </is>
      </c>
      <c r="D7578" s="1" t="n">
        <v>46131</v>
      </c>
      <c r="E7578" s="1" t="n">
        <v>46307</v>
      </c>
      <c r="F7578" t="inlineStr">
        <is>
          <t>VÄRMLANDS LÄN</t>
        </is>
      </c>
      <c r="G7578" t="inlineStr">
        <is>
          <t>SUNNE</t>
        </is>
      </c>
      <c r="I7578" t="n">
        <v>5.7</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61673-2025</t>
        </is>
      </c>
      <c r="B7579" t="inlineStr">
        <is>
          <t>avverkningsanmälan</t>
        </is>
      </c>
      <c r="C7579" t="inlineStr">
        <is>
          <t>Avverkning för annat ändamål</t>
        </is>
      </c>
      <c r="D7579" s="1" t="n">
        <v>46002</v>
      </c>
      <c r="E7579" s="1" t="n">
        <v>46307</v>
      </c>
      <c r="F7579" t="inlineStr">
        <is>
          <t>VÄRMLANDS LÄN</t>
        </is>
      </c>
      <c r="G7579" t="inlineStr">
        <is>
          <t>KARLSTAD</t>
        </is>
      </c>
      <c r="H7579" t="inlineStr">
        <is>
          <t>Naturvårdsverket</t>
        </is>
      </c>
      <c r="I7579" t="n">
        <v>2.8</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19226-2026</t>
        </is>
      </c>
      <c r="B7580" t="inlineStr">
        <is>
          <t>avverkningsanmälan</t>
        </is>
      </c>
      <c r="C7580" t="inlineStr">
        <is>
          <t>Föryngringsavverkning</t>
        </is>
      </c>
      <c r="D7580" s="1" t="n">
        <v>46132</v>
      </c>
      <c r="E7580" s="1" t="n">
        <v>46307</v>
      </c>
      <c r="F7580" t="inlineStr">
        <is>
          <t>VÄRMLANDS LÄN</t>
        </is>
      </c>
      <c r="G7580" t="inlineStr">
        <is>
          <t>KRISTINEHAMN</t>
        </is>
      </c>
      <c r="I7580" t="n">
        <v>2.8</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19132-2026</t>
        </is>
      </c>
      <c r="B7581" t="inlineStr">
        <is>
          <t>avverkningsanmälan</t>
        </is>
      </c>
      <c r="C7581" t="inlineStr">
        <is>
          <t>Föryngringsavverkning</t>
        </is>
      </c>
      <c r="D7581" s="1" t="n">
        <v>46132</v>
      </c>
      <c r="E7581" s="1" t="n">
        <v>46307</v>
      </c>
      <c r="F7581" t="inlineStr">
        <is>
          <t>VÄRMLANDS LÄN</t>
        </is>
      </c>
      <c r="G7581" t="inlineStr">
        <is>
          <t>ARVIKA</t>
        </is>
      </c>
      <c r="I7581" t="n">
        <v>0.7</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19191-2026</t>
        </is>
      </c>
      <c r="B7582" t="inlineStr">
        <is>
          <t>avverkningsanmälan</t>
        </is>
      </c>
      <c r="C7582" t="inlineStr">
        <is>
          <t>Föryngringsavverkning</t>
        </is>
      </c>
      <c r="D7582" s="1" t="n">
        <v>46132</v>
      </c>
      <c r="E7582" s="1" t="n">
        <v>46307</v>
      </c>
      <c r="F7582" t="inlineStr">
        <is>
          <t>VÄRMLANDS LÄN</t>
        </is>
      </c>
      <c r="G7582" t="inlineStr">
        <is>
          <t>TORSBY</t>
        </is>
      </c>
      <c r="H7582" t="inlineStr">
        <is>
          <t>Bergvik skog väst AB</t>
        </is>
      </c>
      <c r="I7582" t="n">
        <v>13.2</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14183-2022</t>
        </is>
      </c>
      <c r="B7583" t="inlineStr">
        <is>
          <t>avverkningsanmälan</t>
        </is>
      </c>
      <c r="C7583" t="inlineStr">
        <is>
          <t>Föryngringsavverkning</t>
        </is>
      </c>
      <c r="D7583" s="1" t="n">
        <v>44651</v>
      </c>
      <c r="E7583" s="1" t="n">
        <v>46307</v>
      </c>
      <c r="F7583" t="inlineStr">
        <is>
          <t>VÄRMLANDS LÄN</t>
        </is>
      </c>
      <c r="G7583" t="inlineStr">
        <is>
          <t>KRISTINEHAMN</t>
        </is>
      </c>
      <c r="I7583" t="n">
        <v>0.9</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18895-2026</t>
        </is>
      </c>
      <c r="B7584" t="inlineStr">
        <is>
          <t>avverkningsanmälan</t>
        </is>
      </c>
      <c r="C7584" t="inlineStr">
        <is>
          <t>Föryngringsavverkning</t>
        </is>
      </c>
      <c r="D7584" s="1" t="n">
        <v>46129</v>
      </c>
      <c r="E7584" s="1" t="n">
        <v>46307</v>
      </c>
      <c r="F7584" t="inlineStr">
        <is>
          <t>VÄRMLANDS LÄN</t>
        </is>
      </c>
      <c r="G7584" t="inlineStr">
        <is>
          <t>HAGFORS</t>
        </is>
      </c>
      <c r="H7584" t="inlineStr">
        <is>
          <t>Bergvik skog väst AB</t>
        </is>
      </c>
      <c r="I7584" t="n">
        <v>4.5</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18916-2026</t>
        </is>
      </c>
      <c r="B7585" t="inlineStr">
        <is>
          <t>avverkningsanmälan</t>
        </is>
      </c>
      <c r="C7585" t="inlineStr">
        <is>
          <t>Föryngringsavverkning</t>
        </is>
      </c>
      <c r="D7585" s="1" t="n">
        <v>46129</v>
      </c>
      <c r="E7585" s="1" t="n">
        <v>46307</v>
      </c>
      <c r="F7585" t="inlineStr">
        <is>
          <t>VÄRMLANDS LÄN</t>
        </is>
      </c>
      <c r="G7585" t="inlineStr">
        <is>
          <t>FORSHAGA</t>
        </is>
      </c>
      <c r="H7585" t="inlineStr">
        <is>
          <t>Bergvik skog väst AB</t>
        </is>
      </c>
      <c r="I7585" t="n">
        <v>5.2</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19802-2024</t>
        </is>
      </c>
      <c r="B7586" t="inlineStr">
        <is>
          <t>avverkningsanmälan</t>
        </is>
      </c>
      <c r="C7586" t="inlineStr">
        <is>
          <t>Föryngringsavverkning</t>
        </is>
      </c>
      <c r="D7586" s="1" t="n">
        <v>45432</v>
      </c>
      <c r="E7586" s="1" t="n">
        <v>46307</v>
      </c>
      <c r="F7586" t="inlineStr">
        <is>
          <t>VÄRMLANDS LÄN</t>
        </is>
      </c>
      <c r="G7586" t="inlineStr">
        <is>
          <t>GRUMS</t>
        </is>
      </c>
      <c r="H7586" t="inlineStr">
        <is>
          <t>Bergvik skog väst AB</t>
        </is>
      </c>
      <c r="I7586" t="n">
        <v>2.5</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19196-2026</t>
        </is>
      </c>
      <c r="B7587" t="inlineStr">
        <is>
          <t>avverkningsanmälan</t>
        </is>
      </c>
      <c r="C7587" t="inlineStr">
        <is>
          <t>Föryngringsavverkning</t>
        </is>
      </c>
      <c r="D7587" s="1" t="n">
        <v>46132</v>
      </c>
      <c r="E7587" s="1" t="n">
        <v>46307</v>
      </c>
      <c r="F7587" t="inlineStr">
        <is>
          <t>VÄRMLANDS LÄN</t>
        </is>
      </c>
      <c r="G7587" t="inlineStr">
        <is>
          <t>KARLSTAD</t>
        </is>
      </c>
      <c r="I7587" t="n">
        <v>4</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19096-2026</t>
        </is>
      </c>
      <c r="B7588" t="inlineStr">
        <is>
          <t>avverkningsanmälan</t>
        </is>
      </c>
      <c r="C7588" t="inlineStr">
        <is>
          <t>Föryngringsavverkning</t>
        </is>
      </c>
      <c r="D7588" s="1" t="n">
        <v>46132</v>
      </c>
      <c r="E7588" s="1" t="n">
        <v>46307</v>
      </c>
      <c r="F7588" t="inlineStr">
        <is>
          <t>VÄRMLANDS LÄN</t>
        </is>
      </c>
      <c r="G7588" t="inlineStr">
        <is>
          <t>TORSBY</t>
        </is>
      </c>
      <c r="I7588" t="n">
        <v>2.4</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61367-2025</t>
        </is>
      </c>
      <c r="B7589" t="inlineStr">
        <is>
          <t>avverkningsanmälan</t>
        </is>
      </c>
      <c r="C7589" t="inlineStr">
        <is>
          <t>Föryngringsavverkning</t>
        </is>
      </c>
      <c r="D7589" s="1" t="n">
        <v>46001</v>
      </c>
      <c r="E7589" s="1" t="n">
        <v>46307</v>
      </c>
      <c r="F7589" t="inlineStr">
        <is>
          <t>VÄRMLANDS LÄN</t>
        </is>
      </c>
      <c r="G7589" t="inlineStr">
        <is>
          <t>TORSBY</t>
        </is>
      </c>
      <c r="H7589" t="inlineStr">
        <is>
          <t>Bergvik skog väst AB</t>
        </is>
      </c>
      <c r="I7589" t="n">
        <v>0.9</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61368-2025</t>
        </is>
      </c>
      <c r="B7590" t="inlineStr">
        <is>
          <t>avverkningsanmälan</t>
        </is>
      </c>
      <c r="C7590" t="inlineStr">
        <is>
          <t>Föryngringsavverkning</t>
        </is>
      </c>
      <c r="D7590" s="1" t="n">
        <v>46001</v>
      </c>
      <c r="E7590" s="1" t="n">
        <v>46307</v>
      </c>
      <c r="F7590" t="inlineStr">
        <is>
          <t>VÄRMLANDS LÄN</t>
        </is>
      </c>
      <c r="G7590" t="inlineStr">
        <is>
          <t>TORSBY</t>
        </is>
      </c>
      <c r="H7590" t="inlineStr">
        <is>
          <t>Bergvik skog väst AB</t>
        </is>
      </c>
      <c r="I7590" t="n">
        <v>3.5</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18912-2026</t>
        </is>
      </c>
      <c r="B7591" t="inlineStr">
        <is>
          <t>avverkningsanmälan</t>
        </is>
      </c>
      <c r="C7591" t="inlineStr">
        <is>
          <t>Föryngringsavverkning</t>
        </is>
      </c>
      <c r="D7591" s="1" t="n">
        <v>46129</v>
      </c>
      <c r="E7591" s="1" t="n">
        <v>46307</v>
      </c>
      <c r="F7591" t="inlineStr">
        <is>
          <t>VÄRMLANDS LÄN</t>
        </is>
      </c>
      <c r="G7591" t="inlineStr">
        <is>
          <t>TORSBY</t>
        </is>
      </c>
      <c r="H7591" t="inlineStr">
        <is>
          <t>Bergvik skog väst AB</t>
        </is>
      </c>
      <c r="I7591" t="n">
        <v>0.7</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19023-2026</t>
        </is>
      </c>
      <c r="B7592" t="inlineStr">
        <is>
          <t>avverkningsanmälan</t>
        </is>
      </c>
      <c r="C7592" t="inlineStr">
        <is>
          <t>Avverkning för annat ändamål</t>
        </is>
      </c>
      <c r="D7592" s="1" t="n">
        <v>46131</v>
      </c>
      <c r="E7592" s="1" t="n">
        <v>46307</v>
      </c>
      <c r="F7592" t="inlineStr">
        <is>
          <t>VÄRMLANDS LÄN</t>
        </is>
      </c>
      <c r="G7592" t="inlineStr">
        <is>
          <t>TORSBY</t>
        </is>
      </c>
      <c r="H7592" t="inlineStr">
        <is>
          <t>Bergvik skog väst AB</t>
        </is>
      </c>
      <c r="I7592" t="n">
        <v>2.2</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45563-2022</t>
        </is>
      </c>
      <c r="B7593" t="inlineStr">
        <is>
          <t>avverkningsanmälan</t>
        </is>
      </c>
      <c r="C7593" t="inlineStr">
        <is>
          <t>Föryngringsavverkning</t>
        </is>
      </c>
      <c r="D7593" s="1" t="n">
        <v>44841</v>
      </c>
      <c r="E7593" s="1" t="n">
        <v>46307</v>
      </c>
      <c r="F7593" t="inlineStr">
        <is>
          <t>VÄRMLANDS LÄN</t>
        </is>
      </c>
      <c r="G7593" t="inlineStr">
        <is>
          <t>KRISTINEHAMN</t>
        </is>
      </c>
      <c r="I7593" t="n">
        <v>6.9</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59296-2023</t>
        </is>
      </c>
      <c r="B7594" t="inlineStr">
        <is>
          <t>avverkningsanmälan</t>
        </is>
      </c>
      <c r="C7594" t="inlineStr">
        <is>
          <t>Föryngringsavverkning</t>
        </is>
      </c>
      <c r="D7594" s="1" t="n">
        <v>45253</v>
      </c>
      <c r="E7594" s="1" t="n">
        <v>46307</v>
      </c>
      <c r="F7594" t="inlineStr">
        <is>
          <t>VÄRMLANDS LÄN</t>
        </is>
      </c>
      <c r="G7594" t="inlineStr">
        <is>
          <t>FILIPSTAD</t>
        </is>
      </c>
      <c r="I7594" t="n">
        <v>0.9</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18736-2026</t>
        </is>
      </c>
      <c r="B7595" t="inlineStr">
        <is>
          <t>avverkningsanmälan</t>
        </is>
      </c>
      <c r="C7595" t="inlineStr">
        <is>
          <t>Föryngringsavverkning</t>
        </is>
      </c>
      <c r="D7595" s="1" t="n">
        <v>46128</v>
      </c>
      <c r="E7595" s="1" t="n">
        <v>46307</v>
      </c>
      <c r="F7595" t="inlineStr">
        <is>
          <t>VÄRMLANDS LÄN</t>
        </is>
      </c>
      <c r="G7595" t="inlineStr">
        <is>
          <t>SUNNE</t>
        </is>
      </c>
      <c r="I7595" t="n">
        <v>0.9</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13354-2022</t>
        </is>
      </c>
      <c r="B7596" t="inlineStr">
        <is>
          <t>avverkningsanmälan</t>
        </is>
      </c>
      <c r="C7596" t="inlineStr">
        <is>
          <t>Föryngringsavverkning</t>
        </is>
      </c>
      <c r="D7596" s="1" t="n">
        <v>44645</v>
      </c>
      <c r="E7596" s="1" t="n">
        <v>46307</v>
      </c>
      <c r="F7596" t="inlineStr">
        <is>
          <t>VÄRMLANDS LÄN</t>
        </is>
      </c>
      <c r="G7596" t="inlineStr">
        <is>
          <t>HAMMARÖ</t>
        </is>
      </c>
      <c r="I7596" t="n">
        <v>1.1</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5056-2022</t>
        </is>
      </c>
      <c r="B7597" t="inlineStr">
        <is>
          <t>avverkningsanmälan</t>
        </is>
      </c>
      <c r="C7597" t="inlineStr">
        <is>
          <t>Avverkning för annat ändamål</t>
        </is>
      </c>
      <c r="D7597" s="1" t="n">
        <v>44593</v>
      </c>
      <c r="E7597" s="1" t="n">
        <v>46307</v>
      </c>
      <c r="F7597" t="inlineStr">
        <is>
          <t>VÄRMLANDS LÄN</t>
        </is>
      </c>
      <c r="G7597" t="inlineStr">
        <is>
          <t>KARLSTAD</t>
        </is>
      </c>
      <c r="H7597" t="inlineStr">
        <is>
          <t>Kommuner</t>
        </is>
      </c>
      <c r="I7597" t="n">
        <v>0.7</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61492-2025</t>
        </is>
      </c>
      <c r="B7598" t="inlineStr">
        <is>
          <t>avverkningsanmälan</t>
        </is>
      </c>
      <c r="C7598" t="inlineStr">
        <is>
          <t>Avverkning för annat ändamål</t>
        </is>
      </c>
      <c r="D7598" s="1" t="n">
        <v>46001</v>
      </c>
      <c r="E7598" s="1" t="n">
        <v>46307</v>
      </c>
      <c r="F7598" t="inlineStr">
        <is>
          <t>VÄRMLANDS LÄN</t>
        </is>
      </c>
      <c r="G7598" t="inlineStr">
        <is>
          <t>FILIPSTAD</t>
        </is>
      </c>
      <c r="H7598" t="inlineStr">
        <is>
          <t>Bergvik skog väst AB</t>
        </is>
      </c>
      <c r="I7598" t="n">
        <v>1.9</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27758-2023</t>
        </is>
      </c>
      <c r="B7599" t="inlineStr">
        <is>
          <t>avverkningsanmälan</t>
        </is>
      </c>
      <c r="C7599" t="inlineStr">
        <is>
          <t>Föryngringsavverkning</t>
        </is>
      </c>
      <c r="D7599" s="1" t="n">
        <v>45098</v>
      </c>
      <c r="E7599" s="1" t="n">
        <v>46307</v>
      </c>
      <c r="F7599" t="inlineStr">
        <is>
          <t>VÄRMLANDS LÄN</t>
        </is>
      </c>
      <c r="G7599" t="inlineStr">
        <is>
          <t>ARVIKA</t>
        </is>
      </c>
      <c r="I7599" t="n">
        <v>0.5</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61497-2025</t>
        </is>
      </c>
      <c r="B7600" t="inlineStr">
        <is>
          <t>avverkningsanmälan</t>
        </is>
      </c>
      <c r="C7600" t="inlineStr">
        <is>
          <t>Föryngringsavverkning</t>
        </is>
      </c>
      <c r="D7600" s="1" t="n">
        <v>46001</v>
      </c>
      <c r="E7600" s="1" t="n">
        <v>46307</v>
      </c>
      <c r="F7600" t="inlineStr">
        <is>
          <t>VÄRMLANDS LÄN</t>
        </is>
      </c>
      <c r="G7600" t="inlineStr">
        <is>
          <t>TORSBY</t>
        </is>
      </c>
      <c r="I7600" t="n">
        <v>1.6</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61547-2025</t>
        </is>
      </c>
      <c r="B7601" t="inlineStr">
        <is>
          <t>avverkningsanmälan</t>
        </is>
      </c>
      <c r="C7601" t="inlineStr">
        <is>
          <t>Föryngringsavverkning</t>
        </is>
      </c>
      <c r="D7601" s="1" t="n">
        <v>46001</v>
      </c>
      <c r="E7601" s="1" t="n">
        <v>46307</v>
      </c>
      <c r="F7601" t="inlineStr">
        <is>
          <t>VÄRMLANDS LÄN</t>
        </is>
      </c>
      <c r="G7601" t="inlineStr">
        <is>
          <t>ÅRJÄNG</t>
        </is>
      </c>
      <c r="I7601" t="n">
        <v>5.2</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13850-2022</t>
        </is>
      </c>
      <c r="B7602" t="inlineStr">
        <is>
          <t>avverkningsanmälan</t>
        </is>
      </c>
      <c r="C7602" t="inlineStr">
        <is>
          <t>Föryngringsavverkning</t>
        </is>
      </c>
      <c r="D7602" s="1" t="n">
        <v>44649</v>
      </c>
      <c r="E7602" s="1" t="n">
        <v>46307</v>
      </c>
      <c r="F7602" t="inlineStr">
        <is>
          <t>VÄRMLANDS LÄN</t>
        </is>
      </c>
      <c r="G7602" t="inlineStr">
        <is>
          <t>HAGFORS</t>
        </is>
      </c>
      <c r="H7602" t="inlineStr">
        <is>
          <t>Bergvik skog väst AB</t>
        </is>
      </c>
      <c r="I7602" t="n">
        <v>5.3</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61504-2025</t>
        </is>
      </c>
      <c r="B7603" t="inlineStr">
        <is>
          <t>avverkningsanmälan</t>
        </is>
      </c>
      <c r="C7603" t="inlineStr">
        <is>
          <t>Föryngringsavverkning</t>
        </is>
      </c>
      <c r="D7603" s="1" t="n">
        <v>46001</v>
      </c>
      <c r="E7603" s="1" t="n">
        <v>46307</v>
      </c>
      <c r="F7603" t="inlineStr">
        <is>
          <t>VÄRMLANDS LÄN</t>
        </is>
      </c>
      <c r="G7603" t="inlineStr">
        <is>
          <t>TORSBY</t>
        </is>
      </c>
      <c r="I7603" t="n">
        <v>3.4</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19742-2026</t>
        </is>
      </c>
      <c r="B7604" t="inlineStr">
        <is>
          <t>avverkningsanmälan</t>
        </is>
      </c>
      <c r="C7604" t="inlineStr">
        <is>
          <t>Avverkning för annat ändamål</t>
        </is>
      </c>
      <c r="D7604" s="1" t="n">
        <v>46133</v>
      </c>
      <c r="E7604" s="1" t="n">
        <v>46307</v>
      </c>
      <c r="F7604" t="inlineStr">
        <is>
          <t>VÄRMLANDS LÄN</t>
        </is>
      </c>
      <c r="G7604" t="inlineStr">
        <is>
          <t>ÅRJÄNG</t>
        </is>
      </c>
      <c r="I7604" t="n">
        <v>1.9</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19338-2026</t>
        </is>
      </c>
      <c r="B7605" t="inlineStr">
        <is>
          <t>avverkningsanmälan</t>
        </is>
      </c>
      <c r="C7605" t="inlineStr">
        <is>
          <t>Föryngringsavverkning</t>
        </is>
      </c>
      <c r="D7605" s="1" t="n">
        <v>46133</v>
      </c>
      <c r="E7605" s="1" t="n">
        <v>46307</v>
      </c>
      <c r="F7605" t="inlineStr">
        <is>
          <t>VÄRMLANDS LÄN</t>
        </is>
      </c>
      <c r="G7605" t="inlineStr">
        <is>
          <t>SUNNE</t>
        </is>
      </c>
      <c r="I7605" t="n">
        <v>3</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61714-2025</t>
        </is>
      </c>
      <c r="B7606" t="inlineStr">
        <is>
          <t>avverkningsanmälan</t>
        </is>
      </c>
      <c r="C7606" t="inlineStr">
        <is>
          <t>Föryngringsavverkning</t>
        </is>
      </c>
      <c r="D7606" s="1" t="n">
        <v>46002</v>
      </c>
      <c r="E7606" s="1" t="n">
        <v>46307</v>
      </c>
      <c r="F7606" t="inlineStr">
        <is>
          <t>VÄRMLANDS LÄN</t>
        </is>
      </c>
      <c r="G7606" t="inlineStr">
        <is>
          <t>EDA</t>
        </is>
      </c>
      <c r="I7606" t="n">
        <v>0.5</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61718-2025</t>
        </is>
      </c>
      <c r="B7607" t="inlineStr">
        <is>
          <t>avverkningsanmälan</t>
        </is>
      </c>
      <c r="C7607" t="inlineStr">
        <is>
          <t>Avverkning för annat ändamål</t>
        </is>
      </c>
      <c r="D7607" s="1" t="n">
        <v>46002</v>
      </c>
      <c r="E7607" s="1" t="n">
        <v>46307</v>
      </c>
      <c r="F7607" t="inlineStr">
        <is>
          <t>VÄRMLANDS LÄN</t>
        </is>
      </c>
      <c r="G7607" t="inlineStr">
        <is>
          <t>HAGFORS</t>
        </is>
      </c>
      <c r="H7607" t="inlineStr">
        <is>
          <t>Bergvik skog väst AB</t>
        </is>
      </c>
      <c r="I7607" t="n">
        <v>1.6</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19339-2026</t>
        </is>
      </c>
      <c r="B7608" t="inlineStr">
        <is>
          <t>avverkningsanmälan</t>
        </is>
      </c>
      <c r="C7608" t="inlineStr">
        <is>
          <t>Föryngringsavverkning</t>
        </is>
      </c>
      <c r="D7608" s="1" t="n">
        <v>46133</v>
      </c>
      <c r="E7608" s="1" t="n">
        <v>46307</v>
      </c>
      <c r="F7608" t="inlineStr">
        <is>
          <t>VÄRMLANDS LÄN</t>
        </is>
      </c>
      <c r="G7608" t="inlineStr">
        <is>
          <t>HAGFORS</t>
        </is>
      </c>
      <c r="H7608" t="inlineStr">
        <is>
          <t>Bergvik skog väst AB</t>
        </is>
      </c>
      <c r="I7608" t="n">
        <v>2.8</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48021-2023</t>
        </is>
      </c>
      <c r="B7609" t="inlineStr">
        <is>
          <t>avverkningsanmälan</t>
        </is>
      </c>
      <c r="C7609" t="inlineStr">
        <is>
          <t>Föryngringsavverkning</t>
        </is>
      </c>
      <c r="D7609" s="1" t="n">
        <v>45204</v>
      </c>
      <c r="E7609" s="1" t="n">
        <v>46307</v>
      </c>
      <c r="F7609" t="inlineStr">
        <is>
          <t>VÄRMLANDS LÄN</t>
        </is>
      </c>
      <c r="G7609" t="inlineStr">
        <is>
          <t>SUNNE</t>
        </is>
      </c>
      <c r="I7609" t="n">
        <v>1.5</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61391-2025</t>
        </is>
      </c>
      <c r="B7610" t="inlineStr">
        <is>
          <t>avverkningsanmälan</t>
        </is>
      </c>
      <c r="C7610" t="inlineStr">
        <is>
          <t>Föryngringsavverkning</t>
        </is>
      </c>
      <c r="D7610" s="1" t="n">
        <v>46001</v>
      </c>
      <c r="E7610" s="1" t="n">
        <v>46307</v>
      </c>
      <c r="F7610" t="inlineStr">
        <is>
          <t>VÄRMLANDS LÄN</t>
        </is>
      </c>
      <c r="G7610" t="inlineStr">
        <is>
          <t>FILIPSTAD</t>
        </is>
      </c>
      <c r="I7610" t="n">
        <v>0.6</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19488-2026</t>
        </is>
      </c>
      <c r="B7611" t="inlineStr">
        <is>
          <t>avverkningsanmälan</t>
        </is>
      </c>
      <c r="C7611" t="inlineStr">
        <is>
          <t>Föryngringsavverkning</t>
        </is>
      </c>
      <c r="D7611" s="1" t="n">
        <v>46134</v>
      </c>
      <c r="E7611" s="1" t="n">
        <v>46307</v>
      </c>
      <c r="F7611" t="inlineStr">
        <is>
          <t>VÄRMLANDS LÄN</t>
        </is>
      </c>
      <c r="G7611" t="inlineStr">
        <is>
          <t>ARVIKA</t>
        </is>
      </c>
      <c r="I7611" t="n">
        <v>3.6</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61896-2025</t>
        </is>
      </c>
      <c r="B7612" t="inlineStr">
        <is>
          <t>avverkningsanmälan</t>
        </is>
      </c>
      <c r="C7612" t="inlineStr">
        <is>
          <t>Föryngringsavverkning</t>
        </is>
      </c>
      <c r="D7612" s="1" t="n">
        <v>46003</v>
      </c>
      <c r="E7612" s="1" t="n">
        <v>46307</v>
      </c>
      <c r="F7612" t="inlineStr">
        <is>
          <t>VÄRMLANDS LÄN</t>
        </is>
      </c>
      <c r="G7612" t="inlineStr">
        <is>
          <t>FORSHAGA</t>
        </is>
      </c>
      <c r="I7612" t="n">
        <v>0.5</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34580-2022</t>
        </is>
      </c>
      <c r="B7613" t="inlineStr">
        <is>
          <t>avverkningsanmälan</t>
        </is>
      </c>
      <c r="C7613" t="inlineStr">
        <is>
          <t>Föryngringsavverkning</t>
        </is>
      </c>
      <c r="D7613" s="1" t="n">
        <v>44795</v>
      </c>
      <c r="E7613" s="1" t="n">
        <v>46307</v>
      </c>
      <c r="F7613" t="inlineStr">
        <is>
          <t>VÄRMLANDS LÄN</t>
        </is>
      </c>
      <c r="G7613" t="inlineStr">
        <is>
          <t>GRUMS</t>
        </is>
      </c>
      <c r="I7613" t="n">
        <v>0.9</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61104-2023</t>
        </is>
      </c>
      <c r="B7614" t="inlineStr">
        <is>
          <t>avverkningsanmälan</t>
        </is>
      </c>
      <c r="C7614" t="inlineStr">
        <is>
          <t>Föryngringsavverkning</t>
        </is>
      </c>
      <c r="D7614" s="1" t="n">
        <v>45261</v>
      </c>
      <c r="E7614" s="1" t="n">
        <v>46307</v>
      </c>
      <c r="F7614" t="inlineStr">
        <is>
          <t>VÄRMLANDS LÄN</t>
        </is>
      </c>
      <c r="G7614" t="inlineStr">
        <is>
          <t>EDA</t>
        </is>
      </c>
      <c r="I7614" t="n">
        <v>1.3</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49673-2022</t>
        </is>
      </c>
      <c r="B7615" t="inlineStr">
        <is>
          <t>avverkningsanmälan</t>
        </is>
      </c>
      <c r="C7615" t="inlineStr">
        <is>
          <t>Föryngringsavverkning</t>
        </is>
      </c>
      <c r="D7615" s="1" t="n">
        <v>44862</v>
      </c>
      <c r="E7615" s="1" t="n">
        <v>46307</v>
      </c>
      <c r="F7615" t="inlineStr">
        <is>
          <t>VÄRMLANDS LÄN</t>
        </is>
      </c>
      <c r="G7615" t="inlineStr">
        <is>
          <t>ÅRJÄNG</t>
        </is>
      </c>
      <c r="I7615" t="n">
        <v>2.1</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19495-2026</t>
        </is>
      </c>
      <c r="B7616" t="inlineStr">
        <is>
          <t>avverkningsanmälan</t>
        </is>
      </c>
      <c r="C7616" t="inlineStr">
        <is>
          <t>Föryngringsavverkning</t>
        </is>
      </c>
      <c r="D7616" s="1" t="n">
        <v>46134</v>
      </c>
      <c r="E7616" s="1" t="n">
        <v>46307</v>
      </c>
      <c r="F7616" t="inlineStr">
        <is>
          <t>VÄRMLANDS LÄN</t>
        </is>
      </c>
      <c r="G7616" t="inlineStr">
        <is>
          <t>ARVIKA</t>
        </is>
      </c>
      <c r="I7616" t="n">
        <v>1.7</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19500-2026</t>
        </is>
      </c>
      <c r="B7617" t="inlineStr">
        <is>
          <t>avverkningsanmälan</t>
        </is>
      </c>
      <c r="C7617" t="inlineStr">
        <is>
          <t>Föryngringsavverkning</t>
        </is>
      </c>
      <c r="D7617" s="1" t="n">
        <v>46134</v>
      </c>
      <c r="E7617" s="1" t="n">
        <v>46307</v>
      </c>
      <c r="F7617" t="inlineStr">
        <is>
          <t>VÄRMLANDS LÄN</t>
        </is>
      </c>
      <c r="G7617" t="inlineStr">
        <is>
          <t>ARVIKA</t>
        </is>
      </c>
      <c r="I7617" t="n">
        <v>4.6</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62363-2025</t>
        </is>
      </c>
      <c r="B7618" t="inlineStr">
        <is>
          <t>avverkningsanmälan</t>
        </is>
      </c>
      <c r="C7618" t="inlineStr">
        <is>
          <t>Föryngringsavverkning</t>
        </is>
      </c>
      <c r="D7618" s="1" t="n">
        <v>46006</v>
      </c>
      <c r="E7618" s="1" t="n">
        <v>46307</v>
      </c>
      <c r="F7618" t="inlineStr">
        <is>
          <t>VÄRMLANDS LÄN</t>
        </is>
      </c>
      <c r="G7618" t="inlineStr">
        <is>
          <t>TORSBY</t>
        </is>
      </c>
      <c r="I7618" t="n">
        <v>0.8</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61888-2025</t>
        </is>
      </c>
      <c r="B7619" t="inlineStr">
        <is>
          <t>avverkningsanmälan</t>
        </is>
      </c>
      <c r="C7619" t="inlineStr">
        <is>
          <t>Föryngringsavverkning</t>
        </is>
      </c>
      <c r="D7619" s="1" t="n">
        <v>46003</v>
      </c>
      <c r="E7619" s="1" t="n">
        <v>46307</v>
      </c>
      <c r="F7619" t="inlineStr">
        <is>
          <t>VÄRMLANDS LÄN</t>
        </is>
      </c>
      <c r="G7619" t="inlineStr">
        <is>
          <t>KRISTINEHAMN</t>
        </is>
      </c>
      <c r="I7619" t="n">
        <v>1.4</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61910-2025</t>
        </is>
      </c>
      <c r="B7620" t="inlineStr">
        <is>
          <t>avverkningsanmälan</t>
        </is>
      </c>
      <c r="C7620" t="inlineStr">
        <is>
          <t>Avverkning för annat ändamål</t>
        </is>
      </c>
      <c r="D7620" s="1" t="n">
        <v>46003</v>
      </c>
      <c r="E7620" s="1" t="n">
        <v>46307</v>
      </c>
      <c r="F7620" t="inlineStr">
        <is>
          <t>VÄRMLANDS LÄN</t>
        </is>
      </c>
      <c r="G7620" t="inlineStr">
        <is>
          <t>HAGFORS</t>
        </is>
      </c>
      <c r="H7620" t="inlineStr">
        <is>
          <t>Bergvik skog väst AB</t>
        </is>
      </c>
      <c r="I7620" t="n">
        <v>0.9</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19532-2026</t>
        </is>
      </c>
      <c r="B7621" t="inlineStr">
        <is>
          <t>avverkningsanmälan</t>
        </is>
      </c>
      <c r="C7621" t="inlineStr">
        <is>
          <t>Föryngringsavverkning</t>
        </is>
      </c>
      <c r="D7621" s="1" t="n">
        <v>46134</v>
      </c>
      <c r="E7621" s="1" t="n">
        <v>46307</v>
      </c>
      <c r="F7621" t="inlineStr">
        <is>
          <t>VÄRMLANDS LÄN</t>
        </is>
      </c>
      <c r="G7621" t="inlineStr">
        <is>
          <t>ARVIKA</t>
        </is>
      </c>
      <c r="I7621" t="n">
        <v>1.6</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19544-2026</t>
        </is>
      </c>
      <c r="B7622" t="inlineStr">
        <is>
          <t>avverkningsanmälan</t>
        </is>
      </c>
      <c r="C7622" t="inlineStr">
        <is>
          <t>Föryngringsavverkning</t>
        </is>
      </c>
      <c r="D7622" s="1" t="n">
        <v>46134</v>
      </c>
      <c r="E7622" s="1" t="n">
        <v>46307</v>
      </c>
      <c r="F7622" t="inlineStr">
        <is>
          <t>VÄRMLANDS LÄN</t>
        </is>
      </c>
      <c r="G7622" t="inlineStr">
        <is>
          <t>ARVIKA</t>
        </is>
      </c>
      <c r="I7622" t="n">
        <v>1.7</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19548-2026</t>
        </is>
      </c>
      <c r="B7623" t="inlineStr">
        <is>
          <t>avverkningsanmälan</t>
        </is>
      </c>
      <c r="C7623" t="inlineStr">
        <is>
          <t>Föryngringsavverkning</t>
        </is>
      </c>
      <c r="D7623" s="1" t="n">
        <v>46134</v>
      </c>
      <c r="E7623" s="1" t="n">
        <v>46307</v>
      </c>
      <c r="F7623" t="inlineStr">
        <is>
          <t>VÄRMLANDS LÄN</t>
        </is>
      </c>
      <c r="G7623" t="inlineStr">
        <is>
          <t>HAGFORS</t>
        </is>
      </c>
      <c r="H7623" t="inlineStr">
        <is>
          <t>Bergvik skog väst AB</t>
        </is>
      </c>
      <c r="I7623" t="n">
        <v>2.5</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19489-2026</t>
        </is>
      </c>
      <c r="B7624" t="inlineStr">
        <is>
          <t>avverkningsanmälan</t>
        </is>
      </c>
      <c r="C7624" t="inlineStr">
        <is>
          <t>Föryngringsavverkning</t>
        </is>
      </c>
      <c r="D7624" s="1" t="n">
        <v>46134</v>
      </c>
      <c r="E7624" s="1" t="n">
        <v>46307</v>
      </c>
      <c r="F7624" t="inlineStr">
        <is>
          <t>VÄRMLANDS LÄN</t>
        </is>
      </c>
      <c r="G7624" t="inlineStr">
        <is>
          <t>ARVIKA</t>
        </is>
      </c>
      <c r="I7624" t="n">
        <v>5.6</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62034-2025</t>
        </is>
      </c>
      <c r="B7625" t="inlineStr">
        <is>
          <t>avverkningsanmälan</t>
        </is>
      </c>
      <c r="C7625" t="inlineStr">
        <is>
          <t>Föryngringsavverkning</t>
        </is>
      </c>
      <c r="D7625" s="1" t="n">
        <v>46004</v>
      </c>
      <c r="E7625" s="1" t="n">
        <v>46307</v>
      </c>
      <c r="F7625" t="inlineStr">
        <is>
          <t>VÄRMLANDS LÄN</t>
        </is>
      </c>
      <c r="G7625" t="inlineStr">
        <is>
          <t>FILIPSTAD</t>
        </is>
      </c>
      <c r="I7625" t="n">
        <v>2.2</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56281-2022</t>
        </is>
      </c>
      <c r="B7626" t="inlineStr">
        <is>
          <t>avverkningsanmälan</t>
        </is>
      </c>
      <c r="C7626" t="inlineStr">
        <is>
          <t>Föryngringsavverkning</t>
        </is>
      </c>
      <c r="D7626" s="1" t="n">
        <v>44890</v>
      </c>
      <c r="E7626" s="1" t="n">
        <v>46307</v>
      </c>
      <c r="F7626" t="inlineStr">
        <is>
          <t>VÄRMLANDS LÄN</t>
        </is>
      </c>
      <c r="G7626" t="inlineStr">
        <is>
          <t>TORSBY</t>
        </is>
      </c>
      <c r="I7626" t="n">
        <v>0.5</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31621-2022</t>
        </is>
      </c>
      <c r="B7627" t="inlineStr">
        <is>
          <t>avverkningsanmälan</t>
        </is>
      </c>
      <c r="C7627" t="inlineStr">
        <is>
          <t>Föryngringsavverkning</t>
        </is>
      </c>
      <c r="D7627" s="1" t="n">
        <v>44775</v>
      </c>
      <c r="E7627" s="1" t="n">
        <v>46307</v>
      </c>
      <c r="F7627" t="inlineStr">
        <is>
          <t>VÄRMLANDS LÄN</t>
        </is>
      </c>
      <c r="G7627" t="inlineStr">
        <is>
          <t>KIL</t>
        </is>
      </c>
      <c r="I7627" t="n">
        <v>0.5</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19459-2026</t>
        </is>
      </c>
      <c r="B7628" t="inlineStr">
        <is>
          <t>avverkningsanmälan</t>
        </is>
      </c>
      <c r="C7628" t="inlineStr">
        <is>
          <t>Föryngringsavverkning</t>
        </is>
      </c>
      <c r="D7628" s="1" t="n">
        <v>46133</v>
      </c>
      <c r="E7628" s="1" t="n">
        <v>46307</v>
      </c>
      <c r="F7628" t="inlineStr">
        <is>
          <t>VÄRMLANDS LÄN</t>
        </is>
      </c>
      <c r="G7628" t="inlineStr">
        <is>
          <t>HAGFORS</t>
        </is>
      </c>
      <c r="H7628" t="inlineStr">
        <is>
          <t>Bergvik skog väst AB</t>
        </is>
      </c>
      <c r="I7628" t="n">
        <v>2.9</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19594-2026</t>
        </is>
      </c>
      <c r="B7629" t="inlineStr">
        <is>
          <t>avverkningsanmälan</t>
        </is>
      </c>
      <c r="C7629" t="inlineStr">
        <is>
          <t>Föryngringsavverkning</t>
        </is>
      </c>
      <c r="D7629" s="1" t="n">
        <v>46134</v>
      </c>
      <c r="E7629" s="1" t="n">
        <v>46307</v>
      </c>
      <c r="F7629" t="inlineStr">
        <is>
          <t>VÄRMLANDS LÄN</t>
        </is>
      </c>
      <c r="G7629" t="inlineStr">
        <is>
          <t>TORSBY</t>
        </is>
      </c>
      <c r="H7629" t="inlineStr">
        <is>
          <t>Bergvik skog väst AB</t>
        </is>
      </c>
      <c r="I7629" t="n">
        <v>1.7</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22951-2022</t>
        </is>
      </c>
      <c r="B7630" t="inlineStr">
        <is>
          <t>avverkningsanmälan</t>
        </is>
      </c>
      <c r="C7630" t="inlineStr">
        <is>
          <t>Föryngringsavverkning</t>
        </is>
      </c>
      <c r="D7630" s="1" t="n">
        <v>44715</v>
      </c>
      <c r="E7630" s="1" t="n">
        <v>46307</v>
      </c>
      <c r="F7630" t="inlineStr">
        <is>
          <t>VÄRMLANDS LÄN</t>
        </is>
      </c>
      <c r="G7630" t="inlineStr">
        <is>
          <t>ARVIKA</t>
        </is>
      </c>
      <c r="I7630" t="n">
        <v>9.1</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27210-2022</t>
        </is>
      </c>
      <c r="B7631" t="inlineStr">
        <is>
          <t>avverkningsanmälan</t>
        </is>
      </c>
      <c r="C7631" t="inlineStr">
        <is>
          <t>Föryngringsavverkning</t>
        </is>
      </c>
      <c r="D7631" s="1" t="n">
        <v>44741</v>
      </c>
      <c r="E7631" s="1" t="n">
        <v>46307</v>
      </c>
      <c r="F7631" t="inlineStr">
        <is>
          <t>VÄRMLANDS LÄN</t>
        </is>
      </c>
      <c r="G7631" t="inlineStr">
        <is>
          <t>KRISTINEHAMN</t>
        </is>
      </c>
      <c r="H7631" t="inlineStr">
        <is>
          <t>Bergvik skog väst AB</t>
        </is>
      </c>
      <c r="I7631" t="n">
        <v>1.6</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30681-2022</t>
        </is>
      </c>
      <c r="B7632" t="inlineStr">
        <is>
          <t>avverkningsanmälan</t>
        </is>
      </c>
      <c r="C7632" t="inlineStr">
        <is>
          <t>Föryngringsavverkning</t>
        </is>
      </c>
      <c r="D7632" s="1" t="n">
        <v>44763</v>
      </c>
      <c r="E7632" s="1" t="n">
        <v>46307</v>
      </c>
      <c r="F7632" t="inlineStr">
        <is>
          <t>VÄRMLANDS LÄN</t>
        </is>
      </c>
      <c r="G7632" t="inlineStr">
        <is>
          <t>SÄFFLE</t>
        </is>
      </c>
      <c r="H7632" t="inlineStr">
        <is>
          <t>Kyrkan</t>
        </is>
      </c>
      <c r="I7632" t="n">
        <v>8</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19578-2026</t>
        </is>
      </c>
      <c r="B7633" t="inlineStr">
        <is>
          <t>avverkningsanmälan</t>
        </is>
      </c>
      <c r="C7633" t="inlineStr">
        <is>
          <t>Föryngringsavverkning</t>
        </is>
      </c>
      <c r="D7633" s="1" t="n">
        <v>46134</v>
      </c>
      <c r="E7633" s="1" t="n">
        <v>46307</v>
      </c>
      <c r="F7633" t="inlineStr">
        <is>
          <t>VÄRMLANDS LÄN</t>
        </is>
      </c>
      <c r="G7633" t="inlineStr">
        <is>
          <t>SÄFFLE</t>
        </is>
      </c>
      <c r="I7633" t="n">
        <v>3.1</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19296-2026</t>
        </is>
      </c>
      <c r="B7634" t="inlineStr">
        <is>
          <t>avverkningsanmälan</t>
        </is>
      </c>
      <c r="C7634" t="inlineStr">
        <is>
          <t>Föryngringsavverkning</t>
        </is>
      </c>
      <c r="D7634" s="1" t="n">
        <v>46133</v>
      </c>
      <c r="E7634" s="1" t="n">
        <v>46307</v>
      </c>
      <c r="F7634" t="inlineStr">
        <is>
          <t>VÄRMLANDS LÄN</t>
        </is>
      </c>
      <c r="G7634" t="inlineStr">
        <is>
          <t>ARVIKA</t>
        </is>
      </c>
      <c r="I7634" t="n">
        <v>1.8</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19307-2026</t>
        </is>
      </c>
      <c r="B7635" t="inlineStr">
        <is>
          <t>avverkningsanmälan</t>
        </is>
      </c>
      <c r="C7635" t="inlineStr">
        <is>
          <t>Föryngringsavverkning</t>
        </is>
      </c>
      <c r="D7635" s="1" t="n">
        <v>46133</v>
      </c>
      <c r="E7635" s="1" t="n">
        <v>46307</v>
      </c>
      <c r="F7635" t="inlineStr">
        <is>
          <t>VÄRMLANDS LÄN</t>
        </is>
      </c>
      <c r="G7635" t="inlineStr">
        <is>
          <t>HAGFORS</t>
        </is>
      </c>
      <c r="H7635" t="inlineStr">
        <is>
          <t>Bergvik skog väst AB</t>
        </is>
      </c>
      <c r="I7635" t="n">
        <v>3.4</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62010-2025</t>
        </is>
      </c>
      <c r="B7636" t="inlineStr">
        <is>
          <t>avverkningsanmälan</t>
        </is>
      </c>
      <c r="C7636" t="inlineStr">
        <is>
          <t>Föryngringsavverkning</t>
        </is>
      </c>
      <c r="D7636" s="1" t="n">
        <v>46003</v>
      </c>
      <c r="E7636" s="1" t="n">
        <v>46307</v>
      </c>
      <c r="F7636" t="inlineStr">
        <is>
          <t>VÄRMLANDS LÄN</t>
        </is>
      </c>
      <c r="G7636" t="inlineStr">
        <is>
          <t>TORSBY</t>
        </is>
      </c>
      <c r="H7636" t="inlineStr">
        <is>
          <t>Kommuner</t>
        </is>
      </c>
      <c r="I7636" t="n">
        <v>1.8</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17916-2024</t>
        </is>
      </c>
      <c r="B7637" t="inlineStr">
        <is>
          <t>avverkningsanmälan</t>
        </is>
      </c>
      <c r="C7637" t="inlineStr">
        <is>
          <t>Avverkning för annat ändamål</t>
        </is>
      </c>
      <c r="D7637" s="1" t="n">
        <v>45419</v>
      </c>
      <c r="E7637" s="1" t="n">
        <v>46307</v>
      </c>
      <c r="F7637" t="inlineStr">
        <is>
          <t>VÄRMLANDS LÄN</t>
        </is>
      </c>
      <c r="G7637" t="inlineStr">
        <is>
          <t>SÄFFLE</t>
        </is>
      </c>
      <c r="I7637" t="n">
        <v>1.5</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19435-2026</t>
        </is>
      </c>
      <c r="B7638" t="inlineStr">
        <is>
          <t>avverkningsanmälan</t>
        </is>
      </c>
      <c r="C7638" t="inlineStr">
        <is>
          <t>Föryngringsavverkning</t>
        </is>
      </c>
      <c r="D7638" s="1" t="n">
        <v>46133</v>
      </c>
      <c r="E7638" s="1" t="n">
        <v>46307</v>
      </c>
      <c r="F7638" t="inlineStr">
        <is>
          <t>VÄRMLANDS LÄN</t>
        </is>
      </c>
      <c r="G7638" t="inlineStr">
        <is>
          <t>FILIPSTAD</t>
        </is>
      </c>
      <c r="H7638" t="inlineStr">
        <is>
          <t>Bergvik skog väst AB</t>
        </is>
      </c>
      <c r="I7638" t="n">
        <v>6.5</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19441-2026</t>
        </is>
      </c>
      <c r="B7639" t="inlineStr">
        <is>
          <t>avverkningsanmälan</t>
        </is>
      </c>
      <c r="C7639" t="inlineStr">
        <is>
          <t>Föryngringsavverkning</t>
        </is>
      </c>
      <c r="D7639" s="1" t="n">
        <v>46133</v>
      </c>
      <c r="E7639" s="1" t="n">
        <v>46307</v>
      </c>
      <c r="F7639" t="inlineStr">
        <is>
          <t>VÄRMLANDS LÄN</t>
        </is>
      </c>
      <c r="G7639" t="inlineStr">
        <is>
          <t>SUNNE</t>
        </is>
      </c>
      <c r="I7639" t="n">
        <v>2.2</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62021-2025</t>
        </is>
      </c>
      <c r="B7640" t="inlineStr">
        <is>
          <t>avverkningsanmälan</t>
        </is>
      </c>
      <c r="C7640" t="inlineStr">
        <is>
          <t>Föryngringsavverkning</t>
        </is>
      </c>
      <c r="D7640" s="1" t="n">
        <v>46003</v>
      </c>
      <c r="E7640" s="1" t="n">
        <v>46307</v>
      </c>
      <c r="F7640" t="inlineStr">
        <is>
          <t>VÄRMLANDS LÄN</t>
        </is>
      </c>
      <c r="G7640" t="inlineStr">
        <is>
          <t>FILIPSTAD</t>
        </is>
      </c>
      <c r="I7640" t="n">
        <v>1.1</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59418-2025</t>
        </is>
      </c>
      <c r="B7641" t="inlineStr">
        <is>
          <t>avverkningsanmälan</t>
        </is>
      </c>
      <c r="C7641" t="inlineStr">
        <is>
          <t>Föryngringsavverkning</t>
        </is>
      </c>
      <c r="D7641" s="1" t="n">
        <v>45988</v>
      </c>
      <c r="E7641" s="1" t="n">
        <v>46307</v>
      </c>
      <c r="F7641" t="inlineStr">
        <is>
          <t>VÄRMLANDS LÄN</t>
        </is>
      </c>
      <c r="G7641" t="inlineStr">
        <is>
          <t>SÄFFLE</t>
        </is>
      </c>
      <c r="I7641" t="n">
        <v>0.9</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59468-2025</t>
        </is>
      </c>
      <c r="B7642" t="inlineStr">
        <is>
          <t>avverkningsanmälan</t>
        </is>
      </c>
      <c r="C7642" t="inlineStr">
        <is>
          <t>Föryngringsavverkning</t>
        </is>
      </c>
      <c r="D7642" s="1" t="n">
        <v>45988</v>
      </c>
      <c r="E7642" s="1" t="n">
        <v>46307</v>
      </c>
      <c r="F7642" t="inlineStr">
        <is>
          <t>VÄRMLANDS LÄN</t>
        </is>
      </c>
      <c r="G7642" t="inlineStr">
        <is>
          <t>SÄFFLE</t>
        </is>
      </c>
      <c r="I7642" t="n">
        <v>7.9</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62067-2025</t>
        </is>
      </c>
      <c r="B7643" t="inlineStr">
        <is>
          <t>avverkningsanmälan</t>
        </is>
      </c>
      <c r="C7643" t="inlineStr">
        <is>
          <t>Föryngringsavverkning</t>
        </is>
      </c>
      <c r="D7643" s="1" t="n">
        <v>46006</v>
      </c>
      <c r="E7643" s="1" t="n">
        <v>46307</v>
      </c>
      <c r="F7643" t="inlineStr">
        <is>
          <t>VÄRMLANDS LÄN</t>
        </is>
      </c>
      <c r="G7643" t="inlineStr">
        <is>
          <t>SUNNE</t>
        </is>
      </c>
      <c r="I7643" t="n">
        <v>0.7</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47945-2024</t>
        </is>
      </c>
      <c r="B7644" t="inlineStr">
        <is>
          <t>avverkningsanmälan</t>
        </is>
      </c>
      <c r="C7644" t="inlineStr">
        <is>
          <t>Föryngringsavverkning</t>
        </is>
      </c>
      <c r="D7644" s="1" t="n">
        <v>45589</v>
      </c>
      <c r="E7644" s="1" t="n">
        <v>46307</v>
      </c>
      <c r="F7644" t="inlineStr">
        <is>
          <t>VÄRMLANDS LÄN</t>
        </is>
      </c>
      <c r="G7644" t="inlineStr">
        <is>
          <t>ARVIKA</t>
        </is>
      </c>
      <c r="I7644" t="n">
        <v>1.2</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2314-2022</t>
        </is>
      </c>
      <c r="B7645" t="inlineStr">
        <is>
          <t>avverkningsanmälan</t>
        </is>
      </c>
      <c r="C7645" t="inlineStr">
        <is>
          <t>Föryngringsavverkning</t>
        </is>
      </c>
      <c r="D7645" s="1" t="n">
        <v>44578</v>
      </c>
      <c r="E7645" s="1" t="n">
        <v>46307</v>
      </c>
      <c r="F7645" t="inlineStr">
        <is>
          <t>VÄRMLANDS LÄN</t>
        </is>
      </c>
      <c r="G7645" t="inlineStr">
        <is>
          <t>KIL</t>
        </is>
      </c>
      <c r="I7645" t="n">
        <v>1</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61882-2025</t>
        </is>
      </c>
      <c r="B7646" t="inlineStr">
        <is>
          <t>avverkningsanmälan</t>
        </is>
      </c>
      <c r="C7646" t="inlineStr">
        <is>
          <t>Föryngringsavverkning</t>
        </is>
      </c>
      <c r="D7646" s="1" t="n">
        <v>46003</v>
      </c>
      <c r="E7646" s="1" t="n">
        <v>46307</v>
      </c>
      <c r="F7646" t="inlineStr">
        <is>
          <t>VÄRMLANDS LÄN</t>
        </is>
      </c>
      <c r="G7646" t="inlineStr">
        <is>
          <t>SUNNE</t>
        </is>
      </c>
      <c r="I7646" t="n">
        <v>0.6</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61962-2025</t>
        </is>
      </c>
      <c r="B7647" t="inlineStr">
        <is>
          <t>avverkningsanmälan</t>
        </is>
      </c>
      <c r="C7647" t="inlineStr">
        <is>
          <t>Föryngringsavverkning</t>
        </is>
      </c>
      <c r="D7647" s="1" t="n">
        <v>46003</v>
      </c>
      <c r="E7647" s="1" t="n">
        <v>46307</v>
      </c>
      <c r="F7647" t="inlineStr">
        <is>
          <t>VÄRMLANDS LÄN</t>
        </is>
      </c>
      <c r="G7647" t="inlineStr">
        <is>
          <t>KARLSTAD</t>
        </is>
      </c>
      <c r="I7647" t="n">
        <v>3.2</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73662-2021</t>
        </is>
      </c>
      <c r="B7648" t="inlineStr">
        <is>
          <t>avverkningsanmälan</t>
        </is>
      </c>
      <c r="C7648" t="inlineStr">
        <is>
          <t>Föryngringsavverkning</t>
        </is>
      </c>
      <c r="D7648" s="1" t="n">
        <v>44552</v>
      </c>
      <c r="E7648" s="1" t="n">
        <v>46307</v>
      </c>
      <c r="F7648" t="inlineStr">
        <is>
          <t>VÄRMLANDS LÄN</t>
        </is>
      </c>
      <c r="G7648" t="inlineStr">
        <is>
          <t>SÄFFLE</t>
        </is>
      </c>
      <c r="I7648" t="n">
        <v>1.9</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20130-2023</t>
        </is>
      </c>
      <c r="B7649" t="inlineStr">
        <is>
          <t>avverkningsanmälan</t>
        </is>
      </c>
      <c r="C7649" t="inlineStr">
        <is>
          <t>Föryngringsavverkning</t>
        </is>
      </c>
      <c r="D7649" s="1" t="n">
        <v>45055</v>
      </c>
      <c r="E7649" s="1" t="n">
        <v>46307</v>
      </c>
      <c r="F7649" t="inlineStr">
        <is>
          <t>VÄRMLANDS LÄN</t>
        </is>
      </c>
      <c r="G7649" t="inlineStr">
        <is>
          <t>TORSBY</t>
        </is>
      </c>
      <c r="I7649" t="n">
        <v>0.7</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19547-2026</t>
        </is>
      </c>
      <c r="B7650" t="inlineStr">
        <is>
          <t>avverkningsanmälan</t>
        </is>
      </c>
      <c r="C7650" t="inlineStr">
        <is>
          <t>Föryngringsavverkning</t>
        </is>
      </c>
      <c r="D7650" s="1" t="n">
        <v>46134</v>
      </c>
      <c r="E7650" s="1" t="n">
        <v>46307</v>
      </c>
      <c r="F7650" t="inlineStr">
        <is>
          <t>VÄRMLANDS LÄN</t>
        </is>
      </c>
      <c r="G7650" t="inlineStr">
        <is>
          <t>SÄFFLE</t>
        </is>
      </c>
      <c r="I7650" t="n">
        <v>2.1</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19676-2026</t>
        </is>
      </c>
      <c r="B7651" t="inlineStr">
        <is>
          <t>avverkningsanmälan</t>
        </is>
      </c>
      <c r="C7651" t="inlineStr">
        <is>
          <t>Föryngringsavverkning</t>
        </is>
      </c>
      <c r="D7651" s="1" t="n">
        <v>46134</v>
      </c>
      <c r="E7651" s="1" t="n">
        <v>46307</v>
      </c>
      <c r="F7651" t="inlineStr">
        <is>
          <t>VÄRMLANDS LÄN</t>
        </is>
      </c>
      <c r="G7651" t="inlineStr">
        <is>
          <t>FILIPSTAD</t>
        </is>
      </c>
      <c r="I7651" t="n">
        <v>4.6</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9221-2025</t>
        </is>
      </c>
      <c r="B7652" t="inlineStr">
        <is>
          <t>avverkningsanmälan</t>
        </is>
      </c>
      <c r="C7652" t="inlineStr">
        <is>
          <t>Avverkning för annat ändamål</t>
        </is>
      </c>
      <c r="D7652" s="1" t="n">
        <v>45714</v>
      </c>
      <c r="E7652" s="1" t="n">
        <v>46307</v>
      </c>
      <c r="F7652" t="inlineStr">
        <is>
          <t>VÄRMLANDS LÄN</t>
        </is>
      </c>
      <c r="G7652" t="inlineStr">
        <is>
          <t>EDA</t>
        </is>
      </c>
      <c r="I7652" t="n">
        <v>0.7</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61968-2025</t>
        </is>
      </c>
      <c r="B7653" t="inlineStr">
        <is>
          <t>avverkningsanmälan</t>
        </is>
      </c>
      <c r="C7653" t="inlineStr">
        <is>
          <t>Föryngringsavverkning</t>
        </is>
      </c>
      <c r="D7653" s="1" t="n">
        <v>46003</v>
      </c>
      <c r="E7653" s="1" t="n">
        <v>46307</v>
      </c>
      <c r="F7653" t="inlineStr">
        <is>
          <t>VÄRMLANDS LÄN</t>
        </is>
      </c>
      <c r="G7653" t="inlineStr">
        <is>
          <t>KARLSTAD</t>
        </is>
      </c>
      <c r="I7653" t="n">
        <v>1.5</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62007-2025</t>
        </is>
      </c>
      <c r="B7654" t="inlineStr">
        <is>
          <t>avverkningsanmälan</t>
        </is>
      </c>
      <c r="C7654" t="inlineStr">
        <is>
          <t>Föryngringsavverkning</t>
        </is>
      </c>
      <c r="D7654" s="1" t="n">
        <v>46003</v>
      </c>
      <c r="E7654" s="1" t="n">
        <v>46307</v>
      </c>
      <c r="F7654" t="inlineStr">
        <is>
          <t>VÄRMLANDS LÄN</t>
        </is>
      </c>
      <c r="G7654" t="inlineStr">
        <is>
          <t>TORSBY</t>
        </is>
      </c>
      <c r="H7654" t="inlineStr">
        <is>
          <t>Kommuner</t>
        </is>
      </c>
      <c r="I7654" t="n">
        <v>0.6</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62030-2025</t>
        </is>
      </c>
      <c r="B7655" t="inlineStr">
        <is>
          <t>avverkningsanmälan</t>
        </is>
      </c>
      <c r="C7655" t="inlineStr">
        <is>
          <t>Föryngringsavverkning</t>
        </is>
      </c>
      <c r="D7655" s="1" t="n">
        <v>46003</v>
      </c>
      <c r="E7655" s="1" t="n">
        <v>46307</v>
      </c>
      <c r="F7655" t="inlineStr">
        <is>
          <t>VÄRMLANDS LÄN</t>
        </is>
      </c>
      <c r="G7655" t="inlineStr">
        <is>
          <t>ARVIKA</t>
        </is>
      </c>
      <c r="I7655" t="n">
        <v>1.4</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62015-2025</t>
        </is>
      </c>
      <c r="B7656" t="inlineStr">
        <is>
          <t>avverkningsanmälan</t>
        </is>
      </c>
      <c r="C7656" t="inlineStr">
        <is>
          <t>Föryngringsavverkning</t>
        </is>
      </c>
      <c r="D7656" s="1" t="n">
        <v>46003</v>
      </c>
      <c r="E7656" s="1" t="n">
        <v>46307</v>
      </c>
      <c r="F7656" t="inlineStr">
        <is>
          <t>VÄRMLANDS LÄN</t>
        </is>
      </c>
      <c r="G7656" t="inlineStr">
        <is>
          <t>TORSBY</t>
        </is>
      </c>
      <c r="H7656" t="inlineStr">
        <is>
          <t>Kommuner</t>
        </is>
      </c>
      <c r="I7656" t="n">
        <v>2.1</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62051-2025</t>
        </is>
      </c>
      <c r="B7657" t="inlineStr">
        <is>
          <t>avverkningsanmälan</t>
        </is>
      </c>
      <c r="C7657" t="inlineStr">
        <is>
          <t>Föryngringsavverkning</t>
        </is>
      </c>
      <c r="D7657" s="1" t="n">
        <v>46006</v>
      </c>
      <c r="E7657" s="1" t="n">
        <v>46307</v>
      </c>
      <c r="F7657" t="inlineStr">
        <is>
          <t>VÄRMLANDS LÄN</t>
        </is>
      </c>
      <c r="G7657" t="inlineStr">
        <is>
          <t>ARVIKA</t>
        </is>
      </c>
      <c r="I7657" t="n">
        <v>0.5</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11176-2023</t>
        </is>
      </c>
      <c r="B7658" t="inlineStr">
        <is>
          <t>avverkningsanmälan</t>
        </is>
      </c>
      <c r="C7658" t="inlineStr">
        <is>
          <t>Föryngringsavverkning</t>
        </is>
      </c>
      <c r="D7658" s="1" t="n">
        <v>44987</v>
      </c>
      <c r="E7658" s="1" t="n">
        <v>46307</v>
      </c>
      <c r="F7658" t="inlineStr">
        <is>
          <t>VÄRMLANDS LÄN</t>
        </is>
      </c>
      <c r="G7658" t="inlineStr">
        <is>
          <t>ÅRJÄNG</t>
        </is>
      </c>
      <c r="I7658" t="n">
        <v>5.2</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19350-2026</t>
        </is>
      </c>
      <c r="B7659" t="inlineStr">
        <is>
          <t>avverkningsanmälan</t>
        </is>
      </c>
      <c r="C7659" t="inlineStr">
        <is>
          <t>Föryngringsavverkning</t>
        </is>
      </c>
      <c r="D7659" s="1" t="n">
        <v>46133</v>
      </c>
      <c r="E7659" s="1" t="n">
        <v>46307</v>
      </c>
      <c r="F7659" t="inlineStr">
        <is>
          <t>VÄRMLANDS LÄN</t>
        </is>
      </c>
      <c r="G7659" t="inlineStr">
        <is>
          <t>HAGFORS</t>
        </is>
      </c>
      <c r="H7659" t="inlineStr">
        <is>
          <t>Bergvik skog väst AB</t>
        </is>
      </c>
      <c r="I7659" t="n">
        <v>2.4</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19530-2026</t>
        </is>
      </c>
      <c r="B7660" t="inlineStr">
        <is>
          <t>avverkningsanmälan</t>
        </is>
      </c>
      <c r="C7660" t="inlineStr">
        <is>
          <t>Föryngringsavverkning</t>
        </is>
      </c>
      <c r="D7660" s="1" t="n">
        <v>46134</v>
      </c>
      <c r="E7660" s="1" t="n">
        <v>46307</v>
      </c>
      <c r="F7660" t="inlineStr">
        <is>
          <t>VÄRMLANDS LÄN</t>
        </is>
      </c>
      <c r="G7660" t="inlineStr">
        <is>
          <t>HAGFORS</t>
        </is>
      </c>
      <c r="H7660" t="inlineStr">
        <is>
          <t>Bergvik skog väst AB</t>
        </is>
      </c>
      <c r="I7660" t="n">
        <v>3.8</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62086-2025</t>
        </is>
      </c>
      <c r="B7661" t="inlineStr">
        <is>
          <t>avverkningsanmälan</t>
        </is>
      </c>
      <c r="C7661" t="inlineStr">
        <is>
          <t>Föryngringsavverkning</t>
        </is>
      </c>
      <c r="D7661" s="1" t="n">
        <v>46006</v>
      </c>
      <c r="E7661" s="1" t="n">
        <v>46307</v>
      </c>
      <c r="F7661" t="inlineStr">
        <is>
          <t>VÄRMLANDS LÄN</t>
        </is>
      </c>
      <c r="G7661" t="inlineStr">
        <is>
          <t>ÅRJÄNG</t>
        </is>
      </c>
      <c r="I7661" t="n">
        <v>1.8</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62120-2025</t>
        </is>
      </c>
      <c r="B7662" t="inlineStr">
        <is>
          <t>avverkningsanmälan</t>
        </is>
      </c>
      <c r="C7662" t="inlineStr">
        <is>
          <t>Föryngringsavverkning</t>
        </is>
      </c>
      <c r="D7662" s="1" t="n">
        <v>46006</v>
      </c>
      <c r="E7662" s="1" t="n">
        <v>46307</v>
      </c>
      <c r="F7662" t="inlineStr">
        <is>
          <t>VÄRMLANDS LÄN</t>
        </is>
      </c>
      <c r="G7662" t="inlineStr">
        <is>
          <t>TORSBY</t>
        </is>
      </c>
      <c r="H7662" t="inlineStr">
        <is>
          <t>Övriga statliga verk och myndigheter</t>
        </is>
      </c>
      <c r="I7662" t="n">
        <v>1.7</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62125-2025</t>
        </is>
      </c>
      <c r="B7663" t="inlineStr">
        <is>
          <t>avverkningsanmälan</t>
        </is>
      </c>
      <c r="C7663" t="inlineStr">
        <is>
          <t>Föryngringsavverkning</t>
        </is>
      </c>
      <c r="D7663" s="1" t="n">
        <v>46006</v>
      </c>
      <c r="E7663" s="1" t="n">
        <v>46307</v>
      </c>
      <c r="F7663" t="inlineStr">
        <is>
          <t>VÄRMLANDS LÄN</t>
        </is>
      </c>
      <c r="G7663" t="inlineStr">
        <is>
          <t>HAGFORS</t>
        </is>
      </c>
      <c r="H7663" t="inlineStr">
        <is>
          <t>Bergvik skog väst AB</t>
        </is>
      </c>
      <c r="I7663" t="n">
        <v>1.2</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19361-2026</t>
        </is>
      </c>
      <c r="B7664" t="inlineStr">
        <is>
          <t>avverkningsanmälan</t>
        </is>
      </c>
      <c r="C7664" t="inlineStr">
        <is>
          <t>Föryngringsavverkning</t>
        </is>
      </c>
      <c r="D7664" s="1" t="n">
        <v>46133</v>
      </c>
      <c r="E7664" s="1" t="n">
        <v>46307</v>
      </c>
      <c r="F7664" t="inlineStr">
        <is>
          <t>VÄRMLANDS LÄN</t>
        </is>
      </c>
      <c r="G7664" t="inlineStr">
        <is>
          <t>FILIPSTAD</t>
        </is>
      </c>
      <c r="H7664" t="inlineStr">
        <is>
          <t>Bergvik skog väst AB</t>
        </is>
      </c>
      <c r="I7664" t="n">
        <v>7</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65713-2021</t>
        </is>
      </c>
      <c r="B7665" t="inlineStr">
        <is>
          <t>avverkningsanmälan</t>
        </is>
      </c>
      <c r="C7665" t="inlineStr">
        <is>
          <t>Föryngringsavverkning</t>
        </is>
      </c>
      <c r="D7665" s="1" t="n">
        <v>44516</v>
      </c>
      <c r="E7665" s="1" t="n">
        <v>46307</v>
      </c>
      <c r="F7665" t="inlineStr">
        <is>
          <t>VÄRMLANDS LÄN</t>
        </is>
      </c>
      <c r="G7665" t="inlineStr">
        <is>
          <t>TORSBY</t>
        </is>
      </c>
      <c r="I7665" t="n">
        <v>7</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62119-2025</t>
        </is>
      </c>
      <c r="B7666" t="inlineStr">
        <is>
          <t>avverkningsanmälan</t>
        </is>
      </c>
      <c r="C7666" t="inlineStr">
        <is>
          <t>Avverkning för annat ändamål</t>
        </is>
      </c>
      <c r="D7666" s="1" t="n">
        <v>46006</v>
      </c>
      <c r="E7666" s="1" t="n">
        <v>46307</v>
      </c>
      <c r="F7666" t="inlineStr">
        <is>
          <t>VÄRMLANDS LÄN</t>
        </is>
      </c>
      <c r="G7666" t="inlineStr">
        <is>
          <t>SÄFFLE</t>
        </is>
      </c>
      <c r="I7666" t="n">
        <v>3.7</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19421-2026</t>
        </is>
      </c>
      <c r="B7667" t="inlineStr">
        <is>
          <t>avverkningsanmälan</t>
        </is>
      </c>
      <c r="C7667" t="inlineStr">
        <is>
          <t>Föryngringsavverkning</t>
        </is>
      </c>
      <c r="D7667" s="1" t="n">
        <v>46133</v>
      </c>
      <c r="E7667" s="1" t="n">
        <v>46307</v>
      </c>
      <c r="F7667" t="inlineStr">
        <is>
          <t>VÄRMLANDS LÄN</t>
        </is>
      </c>
      <c r="G7667" t="inlineStr">
        <is>
          <t>HAGFORS</t>
        </is>
      </c>
      <c r="H7667" t="inlineStr">
        <is>
          <t>Bergvik skog väst AB</t>
        </is>
      </c>
      <c r="I7667" t="n">
        <v>5.7</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62073-2025</t>
        </is>
      </c>
      <c r="B7668" t="inlineStr">
        <is>
          <t>avverkningsanmälan</t>
        </is>
      </c>
      <c r="C7668" t="inlineStr">
        <is>
          <t>Föryngringsavverkning</t>
        </is>
      </c>
      <c r="D7668" s="1" t="n">
        <v>46006</v>
      </c>
      <c r="E7668" s="1" t="n">
        <v>46307</v>
      </c>
      <c r="F7668" t="inlineStr">
        <is>
          <t>VÄRMLANDS LÄN</t>
        </is>
      </c>
      <c r="G7668" t="inlineStr">
        <is>
          <t>SUNNE</t>
        </is>
      </c>
      <c r="I7668" t="n">
        <v>0.3</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19587-2026</t>
        </is>
      </c>
      <c r="B7669" t="inlineStr">
        <is>
          <t>avverkningsanmälan</t>
        </is>
      </c>
      <c r="C7669" t="inlineStr">
        <is>
          <t>Föryngringsavverkning</t>
        </is>
      </c>
      <c r="D7669" s="1" t="n">
        <v>46134</v>
      </c>
      <c r="E7669" s="1" t="n">
        <v>46307</v>
      </c>
      <c r="F7669" t="inlineStr">
        <is>
          <t>VÄRMLANDS LÄN</t>
        </is>
      </c>
      <c r="G7669" t="inlineStr">
        <is>
          <t>SUNNE</t>
        </is>
      </c>
      <c r="I7669" t="n">
        <v>2.1</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61850-2025</t>
        </is>
      </c>
      <c r="B7670" t="inlineStr">
        <is>
          <t>avverkningsanmälan</t>
        </is>
      </c>
      <c r="C7670" t="inlineStr">
        <is>
          <t>Föryngringsavverkning</t>
        </is>
      </c>
      <c r="D7670" s="1" t="n">
        <v>46003</v>
      </c>
      <c r="E7670" s="1" t="n">
        <v>46307</v>
      </c>
      <c r="F7670" t="inlineStr">
        <is>
          <t>VÄRMLANDS LÄN</t>
        </is>
      </c>
      <c r="G7670" t="inlineStr">
        <is>
          <t>HAGFORS</t>
        </is>
      </c>
      <c r="H7670" t="inlineStr">
        <is>
          <t>Bergvik skog väst AB</t>
        </is>
      </c>
      <c r="I7670" t="n">
        <v>1</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62016-2025</t>
        </is>
      </c>
      <c r="B7671" t="inlineStr">
        <is>
          <t>avverkningsanmälan</t>
        </is>
      </c>
      <c r="C7671" t="inlineStr">
        <is>
          <t>Föryngringsavverkning</t>
        </is>
      </c>
      <c r="D7671" s="1" t="n">
        <v>46003</v>
      </c>
      <c r="E7671" s="1" t="n">
        <v>46307</v>
      </c>
      <c r="F7671" t="inlineStr">
        <is>
          <t>VÄRMLANDS LÄN</t>
        </is>
      </c>
      <c r="G7671" t="inlineStr">
        <is>
          <t>TORSBY</t>
        </is>
      </c>
      <c r="H7671" t="inlineStr">
        <is>
          <t>Kommuner</t>
        </is>
      </c>
      <c r="I7671" t="n">
        <v>0.9</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3995-2022</t>
        </is>
      </c>
      <c r="B7672" t="inlineStr">
        <is>
          <t>avverkningsanmälan</t>
        </is>
      </c>
      <c r="C7672" t="inlineStr">
        <is>
          <t>Föryngringsavverkning</t>
        </is>
      </c>
      <c r="D7672" s="1" t="n">
        <v>44587</v>
      </c>
      <c r="E7672" s="1" t="n">
        <v>46307</v>
      </c>
      <c r="F7672" t="inlineStr">
        <is>
          <t>VÄRMLANDS LÄN</t>
        </is>
      </c>
      <c r="G7672" t="inlineStr">
        <is>
          <t>SUNNE</t>
        </is>
      </c>
      <c r="I7672" t="n">
        <v>4.4</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19595-2026</t>
        </is>
      </c>
      <c r="B7673" t="inlineStr">
        <is>
          <t>avverkningsanmälan</t>
        </is>
      </c>
      <c r="C7673" t="inlineStr">
        <is>
          <t>Föryngringsavverkning</t>
        </is>
      </c>
      <c r="D7673" s="1" t="n">
        <v>46134</v>
      </c>
      <c r="E7673" s="1" t="n">
        <v>46307</v>
      </c>
      <c r="F7673" t="inlineStr">
        <is>
          <t>VÄRMLANDS LÄN</t>
        </is>
      </c>
      <c r="G7673" t="inlineStr">
        <is>
          <t>FILIPSTAD</t>
        </is>
      </c>
      <c r="H7673" t="inlineStr">
        <is>
          <t>Bergvik skog väst AB</t>
        </is>
      </c>
      <c r="I7673" t="n">
        <v>4.6</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59322-2025</t>
        </is>
      </c>
      <c r="B7674" t="inlineStr">
        <is>
          <t>avverkningsanmälan</t>
        </is>
      </c>
      <c r="C7674" t="inlineStr">
        <is>
          <t>Föryngringsavverkning</t>
        </is>
      </c>
      <c r="D7674" s="1" t="n">
        <v>45988</v>
      </c>
      <c r="E7674" s="1" t="n">
        <v>46307</v>
      </c>
      <c r="F7674" t="inlineStr">
        <is>
          <t>VÄRMLANDS LÄN</t>
        </is>
      </c>
      <c r="G7674" t="inlineStr">
        <is>
          <t>SÄFFLE</t>
        </is>
      </c>
      <c r="I7674" t="n">
        <v>11.1</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59471-2025</t>
        </is>
      </c>
      <c r="B7675" t="inlineStr">
        <is>
          <t>avverkningsanmälan</t>
        </is>
      </c>
      <c r="C7675" t="inlineStr">
        <is>
          <t>Föryngringsavverkning</t>
        </is>
      </c>
      <c r="D7675" s="1" t="n">
        <v>45988</v>
      </c>
      <c r="E7675" s="1" t="n">
        <v>46307</v>
      </c>
      <c r="F7675" t="inlineStr">
        <is>
          <t>VÄRMLANDS LÄN</t>
        </is>
      </c>
      <c r="G7675" t="inlineStr">
        <is>
          <t>SÄFFLE</t>
        </is>
      </c>
      <c r="I7675" t="n">
        <v>1.9</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17484-2023</t>
        </is>
      </c>
      <c r="B7676" t="inlineStr">
        <is>
          <t>avverkningsanmälan</t>
        </is>
      </c>
      <c r="C7676" t="inlineStr">
        <is>
          <t>Föryngringsavverkning</t>
        </is>
      </c>
      <c r="D7676" s="1" t="n">
        <v>45036</v>
      </c>
      <c r="E7676" s="1" t="n">
        <v>46307</v>
      </c>
      <c r="F7676" t="inlineStr">
        <is>
          <t>VÄRMLANDS LÄN</t>
        </is>
      </c>
      <c r="G7676" t="inlineStr">
        <is>
          <t>ARVIKA</t>
        </is>
      </c>
      <c r="I7676" t="n">
        <v>5.9</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19627-2026</t>
        </is>
      </c>
      <c r="B7677" t="inlineStr">
        <is>
          <t>avverkningsanmälan</t>
        </is>
      </c>
      <c r="C7677" t="inlineStr">
        <is>
          <t>Föryngringsavverkning</t>
        </is>
      </c>
      <c r="D7677" s="1" t="n">
        <v>46134</v>
      </c>
      <c r="E7677" s="1" t="n">
        <v>46307</v>
      </c>
      <c r="F7677" t="inlineStr">
        <is>
          <t>VÄRMLANDS LÄN</t>
        </is>
      </c>
      <c r="G7677" t="inlineStr">
        <is>
          <t>TORSBY</t>
        </is>
      </c>
      <c r="I7677" t="n">
        <v>1.4</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19669-2026</t>
        </is>
      </c>
      <c r="B7678" t="inlineStr">
        <is>
          <t>avverkningsanmälan</t>
        </is>
      </c>
      <c r="C7678" t="inlineStr">
        <is>
          <t>Föryngringsavverkning</t>
        </is>
      </c>
      <c r="D7678" s="1" t="n">
        <v>46134</v>
      </c>
      <c r="E7678" s="1" t="n">
        <v>46307</v>
      </c>
      <c r="F7678" t="inlineStr">
        <is>
          <t>VÄRMLANDS LÄN</t>
        </is>
      </c>
      <c r="G7678" t="inlineStr">
        <is>
          <t>FILIPSTAD</t>
        </is>
      </c>
      <c r="I7678" t="n">
        <v>5</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19675-2026</t>
        </is>
      </c>
      <c r="B7679" t="inlineStr">
        <is>
          <t>avverkningsanmälan</t>
        </is>
      </c>
      <c r="C7679" t="inlineStr">
        <is>
          <t>Föryngringsavverkning</t>
        </is>
      </c>
      <c r="D7679" s="1" t="n">
        <v>46134</v>
      </c>
      <c r="E7679" s="1" t="n">
        <v>46307</v>
      </c>
      <c r="F7679" t="inlineStr">
        <is>
          <t>VÄRMLANDS LÄN</t>
        </is>
      </c>
      <c r="G7679" t="inlineStr">
        <is>
          <t>TORSBY</t>
        </is>
      </c>
      <c r="I7679" t="n">
        <v>1.5</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62033-2025</t>
        </is>
      </c>
      <c r="B7680" t="inlineStr">
        <is>
          <t>avverkningsanmälan</t>
        </is>
      </c>
      <c r="C7680" t="inlineStr">
        <is>
          <t>Föryngringsavverkning</t>
        </is>
      </c>
      <c r="D7680" s="1" t="n">
        <v>46004</v>
      </c>
      <c r="E7680" s="1" t="n">
        <v>46307</v>
      </c>
      <c r="F7680" t="inlineStr">
        <is>
          <t>VÄRMLANDS LÄN</t>
        </is>
      </c>
      <c r="G7680" t="inlineStr">
        <is>
          <t>FILIPSTAD</t>
        </is>
      </c>
      <c r="I7680" t="n">
        <v>1.4</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17548-2023</t>
        </is>
      </c>
      <c r="B7681" t="inlineStr">
        <is>
          <t>avverkningsanmälan</t>
        </is>
      </c>
      <c r="C7681" t="inlineStr">
        <is>
          <t>Föryngringsavverkning</t>
        </is>
      </c>
      <c r="D7681" s="1" t="n">
        <v>45036</v>
      </c>
      <c r="E7681" s="1" t="n">
        <v>46307</v>
      </c>
      <c r="F7681" t="inlineStr">
        <is>
          <t>VÄRMLANDS LÄN</t>
        </is>
      </c>
      <c r="G7681" t="inlineStr">
        <is>
          <t>TORSBY</t>
        </is>
      </c>
      <c r="I7681" t="n">
        <v>1.7</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19423-2026</t>
        </is>
      </c>
      <c r="B7682" t="inlineStr">
        <is>
          <t>avverkningsanmälan</t>
        </is>
      </c>
      <c r="C7682" t="inlineStr">
        <is>
          <t>Föryngringsavverkning</t>
        </is>
      </c>
      <c r="D7682" s="1" t="n">
        <v>46133</v>
      </c>
      <c r="E7682" s="1" t="n">
        <v>46307</v>
      </c>
      <c r="F7682" t="inlineStr">
        <is>
          <t>VÄRMLANDS LÄN</t>
        </is>
      </c>
      <c r="G7682" t="inlineStr">
        <is>
          <t>TORSBY</t>
        </is>
      </c>
      <c r="H7682" t="inlineStr">
        <is>
          <t>Bergvik skog väst AB</t>
        </is>
      </c>
      <c r="I7682" t="n">
        <v>10.7</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61902-2021</t>
        </is>
      </c>
      <c r="B7683" t="inlineStr">
        <is>
          <t>avverkningsanmälan</t>
        </is>
      </c>
      <c r="C7683" t="inlineStr">
        <is>
          <t>Föryngringsavverkning</t>
        </is>
      </c>
      <c r="D7683" s="1" t="n">
        <v>44502</v>
      </c>
      <c r="E7683" s="1" t="n">
        <v>46307</v>
      </c>
      <c r="F7683" t="inlineStr">
        <is>
          <t>VÄRMLANDS LÄN</t>
        </is>
      </c>
      <c r="G7683" t="inlineStr">
        <is>
          <t>HAGFORS</t>
        </is>
      </c>
      <c r="I7683" t="n">
        <v>0.6</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61998-2025</t>
        </is>
      </c>
      <c r="B7684" t="inlineStr">
        <is>
          <t>avverkningsanmälan</t>
        </is>
      </c>
      <c r="C7684" t="inlineStr">
        <is>
          <t>Föryngringsavverkning</t>
        </is>
      </c>
      <c r="D7684" s="1" t="n">
        <v>46003</v>
      </c>
      <c r="E7684" s="1" t="n">
        <v>46307</v>
      </c>
      <c r="F7684" t="inlineStr">
        <is>
          <t>VÄRMLANDS LÄN</t>
        </is>
      </c>
      <c r="G7684" t="inlineStr">
        <is>
          <t>HAGFORS</t>
        </is>
      </c>
      <c r="H7684" t="inlineStr">
        <is>
          <t>Bergvik skog väst AB</t>
        </is>
      </c>
      <c r="I7684" t="n">
        <v>17.4</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62070-2025</t>
        </is>
      </c>
      <c r="B7685" t="inlineStr">
        <is>
          <t>avverkningsanmälan</t>
        </is>
      </c>
      <c r="C7685" t="inlineStr">
        <is>
          <t>Föryngringsavverkning</t>
        </is>
      </c>
      <c r="D7685" s="1" t="n">
        <v>46006</v>
      </c>
      <c r="E7685" s="1" t="n">
        <v>46307</v>
      </c>
      <c r="F7685" t="inlineStr">
        <is>
          <t>VÄRMLANDS LÄN</t>
        </is>
      </c>
      <c r="G7685" t="inlineStr">
        <is>
          <t>SUNNE</t>
        </is>
      </c>
      <c r="I7685" t="n">
        <v>0.5</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44099-2024</t>
        </is>
      </c>
      <c r="B7686" t="inlineStr">
        <is>
          <t>avverkningsanmälan</t>
        </is>
      </c>
      <c r="C7686" t="inlineStr">
        <is>
          <t>Föryngringsavverkning</t>
        </is>
      </c>
      <c r="D7686" s="1" t="n">
        <v>45572</v>
      </c>
      <c r="E7686" s="1" t="n">
        <v>46307</v>
      </c>
      <c r="F7686" t="inlineStr">
        <is>
          <t>VÄRMLANDS LÄN</t>
        </is>
      </c>
      <c r="G7686" t="inlineStr">
        <is>
          <t>KARLSTAD</t>
        </is>
      </c>
      <c r="I7686" t="n">
        <v>0.7</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32371-2024</t>
        </is>
      </c>
      <c r="B7687" t="inlineStr">
        <is>
          <t>avverkningsanmälan</t>
        </is>
      </c>
      <c r="C7687" t="inlineStr">
        <is>
          <t>Föryngringsavverkning</t>
        </is>
      </c>
      <c r="D7687" s="1" t="n">
        <v>45512</v>
      </c>
      <c r="E7687" s="1" t="n">
        <v>46307</v>
      </c>
      <c r="F7687" t="inlineStr">
        <is>
          <t>VÄRMLANDS LÄN</t>
        </is>
      </c>
      <c r="G7687" t="inlineStr">
        <is>
          <t>SUNNE</t>
        </is>
      </c>
      <c r="I7687" t="n">
        <v>3.3</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21629-2023</t>
        </is>
      </c>
      <c r="B7688" t="inlineStr">
        <is>
          <t>avverkningsanmälan</t>
        </is>
      </c>
      <c r="C7688" t="inlineStr">
        <is>
          <t>Föryngringsavverkning</t>
        </is>
      </c>
      <c r="D7688" s="1" t="n">
        <v>45062</v>
      </c>
      <c r="E7688" s="1" t="n">
        <v>46307</v>
      </c>
      <c r="F7688" t="inlineStr">
        <is>
          <t>VÄRMLANDS LÄN</t>
        </is>
      </c>
      <c r="G7688" t="inlineStr">
        <is>
          <t>KARLSTAD</t>
        </is>
      </c>
      <c r="I7688" t="n">
        <v>1.1</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62168-2025</t>
        </is>
      </c>
      <c r="B7689" t="inlineStr">
        <is>
          <t>avverkningsanmälan</t>
        </is>
      </c>
      <c r="C7689" t="inlineStr">
        <is>
          <t>Avverkning för annat ändamål</t>
        </is>
      </c>
      <c r="D7689" s="1" t="n">
        <v>46006</v>
      </c>
      <c r="E7689" s="1" t="n">
        <v>46307</v>
      </c>
      <c r="F7689" t="inlineStr">
        <is>
          <t>VÄRMLANDS LÄN</t>
        </is>
      </c>
      <c r="G7689" t="inlineStr">
        <is>
          <t>HAGFORS</t>
        </is>
      </c>
      <c r="I7689" t="n">
        <v>1.5</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36469-2025</t>
        </is>
      </c>
      <c r="B7690" t="inlineStr">
        <is>
          <t>avverkningsanmälan</t>
        </is>
      </c>
      <c r="C7690" t="inlineStr">
        <is>
          <t>Föryngringsavverkning</t>
        </is>
      </c>
      <c r="D7690" s="1" t="n">
        <v>45869</v>
      </c>
      <c r="E7690" s="1" t="n">
        <v>46307</v>
      </c>
      <c r="F7690" t="inlineStr">
        <is>
          <t>VÄRMLANDS LÄN</t>
        </is>
      </c>
      <c r="G7690" t="inlineStr">
        <is>
          <t>ARVIKA</t>
        </is>
      </c>
      <c r="I7690" t="n">
        <v>2.1</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19405-2026</t>
        </is>
      </c>
      <c r="B7691" t="inlineStr">
        <is>
          <t>avverkningsanmälan</t>
        </is>
      </c>
      <c r="C7691" t="inlineStr">
        <is>
          <t>Föryngringsavverkning</t>
        </is>
      </c>
      <c r="D7691" s="1" t="n">
        <v>46133</v>
      </c>
      <c r="E7691" s="1" t="n">
        <v>46307</v>
      </c>
      <c r="F7691" t="inlineStr">
        <is>
          <t>VÄRMLANDS LÄN</t>
        </is>
      </c>
      <c r="G7691" t="inlineStr">
        <is>
          <t>SUNNE</t>
        </is>
      </c>
      <c r="I7691" t="n">
        <v>3</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8678-2022</t>
        </is>
      </c>
      <c r="B7692" t="inlineStr">
        <is>
          <t>avverkningsanmälan</t>
        </is>
      </c>
      <c r="C7692" t="inlineStr">
        <is>
          <t>Föryngringsavverkning</t>
        </is>
      </c>
      <c r="D7692" s="1" t="n">
        <v>44613</v>
      </c>
      <c r="E7692" s="1" t="n">
        <v>46307</v>
      </c>
      <c r="F7692" t="inlineStr">
        <is>
          <t>VÄRMLANDS LÄN</t>
        </is>
      </c>
      <c r="G7692" t="inlineStr">
        <is>
          <t>ÅRJÄNG</t>
        </is>
      </c>
      <c r="I7692" t="n">
        <v>1</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19295-2026</t>
        </is>
      </c>
      <c r="B7693" t="inlineStr">
        <is>
          <t>avverkningsanmälan</t>
        </is>
      </c>
      <c r="C7693" t="inlineStr">
        <is>
          <t>Föryngringsavverkning</t>
        </is>
      </c>
      <c r="D7693" s="1" t="n">
        <v>46133</v>
      </c>
      <c r="E7693" s="1" t="n">
        <v>46307</v>
      </c>
      <c r="F7693" t="inlineStr">
        <is>
          <t>VÄRMLANDS LÄN</t>
        </is>
      </c>
      <c r="G7693" t="inlineStr">
        <is>
          <t>ARVIKA</t>
        </is>
      </c>
      <c r="I7693" t="n">
        <v>0.6</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19363-2026</t>
        </is>
      </c>
      <c r="B7694" t="inlineStr">
        <is>
          <t>avverkningsanmälan</t>
        </is>
      </c>
      <c r="C7694" t="inlineStr">
        <is>
          <t>Föryngringsavverkning</t>
        </is>
      </c>
      <c r="D7694" s="1" t="n">
        <v>46133</v>
      </c>
      <c r="E7694" s="1" t="n">
        <v>46307</v>
      </c>
      <c r="F7694" t="inlineStr">
        <is>
          <t>VÄRMLANDS LÄN</t>
        </is>
      </c>
      <c r="G7694" t="inlineStr">
        <is>
          <t>HAGFORS</t>
        </is>
      </c>
      <c r="H7694" t="inlineStr">
        <is>
          <t>Bergvik skog väst AB</t>
        </is>
      </c>
      <c r="I7694" t="n">
        <v>2.9</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19398-2026</t>
        </is>
      </c>
      <c r="B7695" t="inlineStr">
        <is>
          <t>avverkningsanmälan</t>
        </is>
      </c>
      <c r="C7695" t="inlineStr">
        <is>
          <t>Föryngringsavverkning</t>
        </is>
      </c>
      <c r="D7695" s="1" t="n">
        <v>46133</v>
      </c>
      <c r="E7695" s="1" t="n">
        <v>46307</v>
      </c>
      <c r="F7695" t="inlineStr">
        <is>
          <t>VÄRMLANDS LÄN</t>
        </is>
      </c>
      <c r="G7695" t="inlineStr">
        <is>
          <t>SUNNE</t>
        </is>
      </c>
      <c r="I7695" t="n">
        <v>4</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8447-2023</t>
        </is>
      </c>
      <c r="B7696" t="inlineStr">
        <is>
          <t>avverkningsanmälan</t>
        </is>
      </c>
      <c r="C7696" t="inlineStr">
        <is>
          <t>Föryngringsavverkning</t>
        </is>
      </c>
      <c r="D7696" s="1" t="n">
        <v>44977</v>
      </c>
      <c r="E7696" s="1" t="n">
        <v>46307</v>
      </c>
      <c r="F7696" t="inlineStr">
        <is>
          <t>VÄRMLANDS LÄN</t>
        </is>
      </c>
      <c r="G7696" t="inlineStr">
        <is>
          <t>TORSBY</t>
        </is>
      </c>
      <c r="I7696" t="n">
        <v>1.7</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61009-2022</t>
        </is>
      </c>
      <c r="B7697" t="inlineStr">
        <is>
          <t>avverkningsanmälan</t>
        </is>
      </c>
      <c r="C7697" t="inlineStr">
        <is>
          <t>Föryngringsavverkning</t>
        </is>
      </c>
      <c r="D7697" s="1" t="n">
        <v>44914</v>
      </c>
      <c r="E7697" s="1" t="n">
        <v>46307</v>
      </c>
      <c r="F7697" t="inlineStr">
        <is>
          <t>VÄRMLANDS LÄN</t>
        </is>
      </c>
      <c r="G7697" t="inlineStr">
        <is>
          <t>ÅRJÄNG</t>
        </is>
      </c>
      <c r="I7697" t="n">
        <v>1.3</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19385-2026</t>
        </is>
      </c>
      <c r="B7698" t="inlineStr">
        <is>
          <t>avverkningsanmälan</t>
        </is>
      </c>
      <c r="C7698" t="inlineStr">
        <is>
          <t>Föryngringsavverkning</t>
        </is>
      </c>
      <c r="D7698" s="1" t="n">
        <v>46133</v>
      </c>
      <c r="E7698" s="1" t="n">
        <v>46307</v>
      </c>
      <c r="F7698" t="inlineStr">
        <is>
          <t>VÄRMLANDS LÄN</t>
        </is>
      </c>
      <c r="G7698" t="inlineStr">
        <is>
          <t>TORSBY</t>
        </is>
      </c>
      <c r="H7698" t="inlineStr">
        <is>
          <t>Bergvik skog väst AB</t>
        </is>
      </c>
      <c r="I7698" t="n">
        <v>8.9</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19434-2026</t>
        </is>
      </c>
      <c r="B7699" t="inlineStr">
        <is>
          <t>avverkningsanmälan</t>
        </is>
      </c>
      <c r="C7699" t="inlineStr">
        <is>
          <t>Föryngringsavverkning</t>
        </is>
      </c>
      <c r="D7699" s="1" t="n">
        <v>46133</v>
      </c>
      <c r="E7699" s="1" t="n">
        <v>46307</v>
      </c>
      <c r="F7699" t="inlineStr">
        <is>
          <t>VÄRMLANDS LÄN</t>
        </is>
      </c>
      <c r="G7699" t="inlineStr">
        <is>
          <t>TORSBY</t>
        </is>
      </c>
      <c r="H7699" t="inlineStr">
        <is>
          <t>Kommuner</t>
        </is>
      </c>
      <c r="I7699" t="n">
        <v>1.9</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24172-2023</t>
        </is>
      </c>
      <c r="B7700" t="inlineStr">
        <is>
          <t>avverkningsanmälan</t>
        </is>
      </c>
      <c r="C7700" t="inlineStr">
        <is>
          <t>Föryngringsavverkning</t>
        </is>
      </c>
      <c r="D7700" s="1" t="n">
        <v>45079</v>
      </c>
      <c r="E7700" s="1" t="n">
        <v>46307</v>
      </c>
      <c r="F7700" t="inlineStr">
        <is>
          <t>VÄRMLANDS LÄN</t>
        </is>
      </c>
      <c r="G7700" t="inlineStr">
        <is>
          <t>SUNNE</t>
        </is>
      </c>
      <c r="I7700" t="n">
        <v>0.8</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62240-2025</t>
        </is>
      </c>
      <c r="B7701" t="inlineStr">
        <is>
          <t>avverkningsanmälan</t>
        </is>
      </c>
      <c r="C7701" t="inlineStr">
        <is>
          <t>Föryngringsavverkning</t>
        </is>
      </c>
      <c r="D7701" s="1" t="n">
        <v>46006</v>
      </c>
      <c r="E7701" s="1" t="n">
        <v>46307</v>
      </c>
      <c r="F7701" t="inlineStr">
        <is>
          <t>VÄRMLANDS LÄN</t>
        </is>
      </c>
      <c r="G7701" t="inlineStr">
        <is>
          <t>HAGFORS</t>
        </is>
      </c>
      <c r="H7701" t="inlineStr">
        <is>
          <t>Bergvik skog väst AB</t>
        </is>
      </c>
      <c r="I7701" t="n">
        <v>1.2</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4236-2023</t>
        </is>
      </c>
      <c r="B7702" t="inlineStr">
        <is>
          <t>avverkningsanmälan</t>
        </is>
      </c>
      <c r="C7702" t="inlineStr">
        <is>
          <t>Föryngringsavverkning</t>
        </is>
      </c>
      <c r="D7702" s="1" t="n">
        <v>44953</v>
      </c>
      <c r="E7702" s="1" t="n">
        <v>46307</v>
      </c>
      <c r="F7702" t="inlineStr">
        <is>
          <t>VÄRMLANDS LÄN</t>
        </is>
      </c>
      <c r="G7702" t="inlineStr">
        <is>
          <t>TORSBY</t>
        </is>
      </c>
      <c r="I7702" t="n">
        <v>1.8</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4250-2023</t>
        </is>
      </c>
      <c r="B7703" t="inlineStr">
        <is>
          <t>avverkningsanmälan</t>
        </is>
      </c>
      <c r="C7703" t="inlineStr">
        <is>
          <t>Föryngringsavverkning</t>
        </is>
      </c>
      <c r="D7703" s="1" t="n">
        <v>44953</v>
      </c>
      <c r="E7703" s="1" t="n">
        <v>46307</v>
      </c>
      <c r="F7703" t="inlineStr">
        <is>
          <t>VÄRMLANDS LÄN</t>
        </is>
      </c>
      <c r="G7703" t="inlineStr">
        <is>
          <t>TORSBY</t>
        </is>
      </c>
      <c r="I7703" t="n">
        <v>5.4</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1156-2026</t>
        </is>
      </c>
      <c r="B7704" t="inlineStr">
        <is>
          <t>avverkningsanmälan</t>
        </is>
      </c>
      <c r="C7704" t="inlineStr">
        <is>
          <t>Föryngringsavverkning</t>
        </is>
      </c>
      <c r="D7704" s="1" t="n">
        <v>46031</v>
      </c>
      <c r="E7704" s="1" t="n">
        <v>46307</v>
      </c>
      <c r="F7704" t="inlineStr">
        <is>
          <t>VÄRMLANDS LÄN</t>
        </is>
      </c>
      <c r="G7704" t="inlineStr">
        <is>
          <t>EDA</t>
        </is>
      </c>
      <c r="I7704" t="n">
        <v>0.9</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4090-2022</t>
        </is>
      </c>
      <c r="B7705" t="inlineStr">
        <is>
          <t>avverkningsanmälan</t>
        </is>
      </c>
      <c r="C7705" t="inlineStr">
        <is>
          <t>Föryngringsavverkning</t>
        </is>
      </c>
      <c r="D7705" s="1" t="n">
        <v>44588</v>
      </c>
      <c r="E7705" s="1" t="n">
        <v>46307</v>
      </c>
      <c r="F7705" t="inlineStr">
        <is>
          <t>VÄRMLANDS LÄN</t>
        </is>
      </c>
      <c r="G7705" t="inlineStr">
        <is>
          <t>ARVIKA</t>
        </is>
      </c>
      <c r="I7705" t="n">
        <v>3.4</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46898-2024</t>
        </is>
      </c>
      <c r="B7706" t="inlineStr">
        <is>
          <t>avverkningsanmälan</t>
        </is>
      </c>
      <c r="C7706" t="inlineStr">
        <is>
          <t>Föryngringsavverkning</t>
        </is>
      </c>
      <c r="D7706" s="1" t="n">
        <v>45583</v>
      </c>
      <c r="E7706" s="1" t="n">
        <v>46307</v>
      </c>
      <c r="F7706" t="inlineStr">
        <is>
          <t>VÄRMLANDS LÄN</t>
        </is>
      </c>
      <c r="G7706" t="inlineStr">
        <is>
          <t>KARLSTAD</t>
        </is>
      </c>
      <c r="H7706" t="inlineStr">
        <is>
          <t>Kommuner</t>
        </is>
      </c>
      <c r="I7706" t="n">
        <v>1.4</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61823-2025</t>
        </is>
      </c>
      <c r="B7707" t="inlineStr">
        <is>
          <t>avverkningsanmälan</t>
        </is>
      </c>
      <c r="C7707" t="inlineStr">
        <is>
          <t>Avverkning för annat ändamål</t>
        </is>
      </c>
      <c r="D7707" s="1" t="n">
        <v>46003</v>
      </c>
      <c r="E7707" s="1" t="n">
        <v>46307</v>
      </c>
      <c r="F7707" t="inlineStr">
        <is>
          <t>VÄRMLANDS LÄN</t>
        </is>
      </c>
      <c r="G7707" t="inlineStr">
        <is>
          <t>FILIPSTAD</t>
        </is>
      </c>
      <c r="H7707" t="inlineStr">
        <is>
          <t>Bergvik skog väst AB</t>
        </is>
      </c>
      <c r="I7707" t="n">
        <v>0.9</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61843-2025</t>
        </is>
      </c>
      <c r="B7708" t="inlineStr">
        <is>
          <t>avverkningsanmälan</t>
        </is>
      </c>
      <c r="C7708" t="inlineStr">
        <is>
          <t>Avverkning för annat ändamål</t>
        </is>
      </c>
      <c r="D7708" s="1" t="n">
        <v>46003</v>
      </c>
      <c r="E7708" s="1" t="n">
        <v>46307</v>
      </c>
      <c r="F7708" t="inlineStr">
        <is>
          <t>VÄRMLANDS LÄN</t>
        </is>
      </c>
      <c r="G7708" t="inlineStr">
        <is>
          <t>HAGFORS</t>
        </is>
      </c>
      <c r="H7708" t="inlineStr">
        <is>
          <t>Bergvik skog väst AB</t>
        </is>
      </c>
      <c r="I7708" t="n">
        <v>1</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46917-2024</t>
        </is>
      </c>
      <c r="B7709" t="inlineStr">
        <is>
          <t>avverkningsanmälan</t>
        </is>
      </c>
      <c r="C7709" t="inlineStr">
        <is>
          <t>Föryngringsavverkning</t>
        </is>
      </c>
      <c r="D7709" s="1" t="n">
        <v>45583</v>
      </c>
      <c r="E7709" s="1" t="n">
        <v>46307</v>
      </c>
      <c r="F7709" t="inlineStr">
        <is>
          <t>VÄRMLANDS LÄN</t>
        </is>
      </c>
      <c r="G7709" t="inlineStr">
        <is>
          <t>TORSBY</t>
        </is>
      </c>
      <c r="I7709" t="n">
        <v>1.3</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62252-2025</t>
        </is>
      </c>
      <c r="B7710" t="inlineStr">
        <is>
          <t>avverkningsanmälan</t>
        </is>
      </c>
      <c r="C7710" t="inlineStr">
        <is>
          <t>Föryngringsavverkning</t>
        </is>
      </c>
      <c r="D7710" s="1" t="n">
        <v>46006</v>
      </c>
      <c r="E7710" s="1" t="n">
        <v>46307</v>
      </c>
      <c r="F7710" t="inlineStr">
        <is>
          <t>VÄRMLANDS LÄN</t>
        </is>
      </c>
      <c r="G7710" t="inlineStr">
        <is>
          <t>FILIPSTAD</t>
        </is>
      </c>
      <c r="H7710" t="inlineStr">
        <is>
          <t>Bergvik skog väst AB</t>
        </is>
      </c>
      <c r="I7710" t="n">
        <v>2.2</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21563-2023</t>
        </is>
      </c>
      <c r="B7711" t="inlineStr">
        <is>
          <t>avverkningsanmälan</t>
        </is>
      </c>
      <c r="C7711" t="inlineStr">
        <is>
          <t>Föryngringsavverkning</t>
        </is>
      </c>
      <c r="D7711" s="1" t="n">
        <v>45063</v>
      </c>
      <c r="E7711" s="1" t="n">
        <v>46307</v>
      </c>
      <c r="F7711" t="inlineStr">
        <is>
          <t>VÄRMLANDS LÄN</t>
        </is>
      </c>
      <c r="G7711" t="inlineStr">
        <is>
          <t>SÄFFLE</t>
        </is>
      </c>
      <c r="I7711" t="n">
        <v>1.1</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39823-2024</t>
        </is>
      </c>
      <c r="B7712" t="inlineStr">
        <is>
          <t>avverkningsanmälan</t>
        </is>
      </c>
      <c r="C7712" t="inlineStr">
        <is>
          <t>Föryngringsavverkning</t>
        </is>
      </c>
      <c r="D7712" s="1" t="n">
        <v>45553</v>
      </c>
      <c r="E7712" s="1" t="n">
        <v>46307</v>
      </c>
      <c r="F7712" t="inlineStr">
        <is>
          <t>VÄRMLANDS LÄN</t>
        </is>
      </c>
      <c r="G7712" t="inlineStr">
        <is>
          <t>EDA</t>
        </is>
      </c>
      <c r="I7712" t="n">
        <v>1</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61891-2025</t>
        </is>
      </c>
      <c r="B7713" t="inlineStr">
        <is>
          <t>avverkningsanmälan</t>
        </is>
      </c>
      <c r="C7713" t="inlineStr">
        <is>
          <t>Föryngringsavverkning</t>
        </is>
      </c>
      <c r="D7713" s="1" t="n">
        <v>46003</v>
      </c>
      <c r="E7713" s="1" t="n">
        <v>46307</v>
      </c>
      <c r="F7713" t="inlineStr">
        <is>
          <t>VÄRMLANDS LÄN</t>
        </is>
      </c>
      <c r="G7713" t="inlineStr">
        <is>
          <t>KRISTINEHAMN</t>
        </is>
      </c>
      <c r="I7713" t="n">
        <v>0.5</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44312-2024</t>
        </is>
      </c>
      <c r="B7714" t="inlineStr">
        <is>
          <t>avverkningsanmälan</t>
        </is>
      </c>
      <c r="C7714" t="inlineStr">
        <is>
          <t>Föryngringsavverkning</t>
        </is>
      </c>
      <c r="D7714" s="1" t="n">
        <v>45573</v>
      </c>
      <c r="E7714" s="1" t="n">
        <v>46307</v>
      </c>
      <c r="F7714" t="inlineStr">
        <is>
          <t>VÄRMLANDS LÄN</t>
        </is>
      </c>
      <c r="G7714" t="inlineStr">
        <is>
          <t>SUNNE</t>
        </is>
      </c>
      <c r="I7714" t="n">
        <v>2.8</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7133-2023</t>
        </is>
      </c>
      <c r="B7715" t="inlineStr">
        <is>
          <t>avverkningsanmälan</t>
        </is>
      </c>
      <c r="C7715" t="inlineStr">
        <is>
          <t>Föryngringsavverkning</t>
        </is>
      </c>
      <c r="D7715" s="1" t="n">
        <v>44970</v>
      </c>
      <c r="E7715" s="1" t="n">
        <v>46307</v>
      </c>
      <c r="F7715" t="inlineStr">
        <is>
          <t>VÄRMLANDS LÄN</t>
        </is>
      </c>
      <c r="G7715" t="inlineStr">
        <is>
          <t>TORSBY</t>
        </is>
      </c>
      <c r="I7715" t="n">
        <v>2.3</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62243-2025</t>
        </is>
      </c>
      <c r="B7716" t="inlineStr">
        <is>
          <t>avverkningsanmälan</t>
        </is>
      </c>
      <c r="C7716" t="inlineStr">
        <is>
          <t>Föryngringsavverkning</t>
        </is>
      </c>
      <c r="D7716" s="1" t="n">
        <v>46006</v>
      </c>
      <c r="E7716" s="1" t="n">
        <v>46307</v>
      </c>
      <c r="F7716" t="inlineStr">
        <is>
          <t>VÄRMLANDS LÄN</t>
        </is>
      </c>
      <c r="G7716" t="inlineStr">
        <is>
          <t>FILIPSTAD</t>
        </is>
      </c>
      <c r="H7716" t="inlineStr">
        <is>
          <t>Bergvik skog väst AB</t>
        </is>
      </c>
      <c r="I7716" t="n">
        <v>4.5</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34574-2023</t>
        </is>
      </c>
      <c r="B7717" t="inlineStr">
        <is>
          <t>avverkningsanmälan</t>
        </is>
      </c>
      <c r="C7717" t="inlineStr">
        <is>
          <t>Föryngringsavverkning</t>
        </is>
      </c>
      <c r="D7717" s="1" t="n">
        <v>45135</v>
      </c>
      <c r="E7717" s="1" t="n">
        <v>46307</v>
      </c>
      <c r="F7717" t="inlineStr">
        <is>
          <t>VÄRMLANDS LÄN</t>
        </is>
      </c>
      <c r="G7717" t="inlineStr">
        <is>
          <t>ÅRJÄNG</t>
        </is>
      </c>
      <c r="H7717" t="inlineStr">
        <is>
          <t>Övriga Aktiebolag</t>
        </is>
      </c>
      <c r="I7717" t="n">
        <v>5.9</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1446-2023</t>
        </is>
      </c>
      <c r="B7718" t="inlineStr">
        <is>
          <t>avverkningsanmälan</t>
        </is>
      </c>
      <c r="C7718" t="inlineStr">
        <is>
          <t>Föryngringsavverkning</t>
        </is>
      </c>
      <c r="D7718" s="1" t="n">
        <v>44937</v>
      </c>
      <c r="E7718" s="1" t="n">
        <v>46307</v>
      </c>
      <c r="F7718" t="inlineStr">
        <is>
          <t>VÄRMLANDS LÄN</t>
        </is>
      </c>
      <c r="G7718" t="inlineStr">
        <is>
          <t>KARLSTAD</t>
        </is>
      </c>
      <c r="I7718" t="n">
        <v>2.9</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62099-2025</t>
        </is>
      </c>
      <c r="B7719" t="inlineStr">
        <is>
          <t>avverkningsanmälan</t>
        </is>
      </c>
      <c r="C7719" t="inlineStr">
        <is>
          <t>Föryngringsavverkning</t>
        </is>
      </c>
      <c r="D7719" s="1" t="n">
        <v>46006</v>
      </c>
      <c r="E7719" s="1" t="n">
        <v>46307</v>
      </c>
      <c r="F7719" t="inlineStr">
        <is>
          <t>VÄRMLANDS LÄN</t>
        </is>
      </c>
      <c r="G7719" t="inlineStr">
        <is>
          <t>HAGFORS</t>
        </is>
      </c>
      <c r="I7719" t="n">
        <v>5.3</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19721-2026</t>
        </is>
      </c>
      <c r="B7720" t="inlineStr">
        <is>
          <t>avverkningsanmälan</t>
        </is>
      </c>
      <c r="C7720" t="inlineStr">
        <is>
          <t>Föryngringsavverkning</t>
        </is>
      </c>
      <c r="D7720" s="1" t="n">
        <v>46135</v>
      </c>
      <c r="E7720" s="1" t="n">
        <v>46307</v>
      </c>
      <c r="F7720" t="inlineStr">
        <is>
          <t>VÄRMLANDS LÄN</t>
        </is>
      </c>
      <c r="G7720" t="inlineStr">
        <is>
          <t>EDA</t>
        </is>
      </c>
      <c r="I7720" t="n">
        <v>1.4</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16674-2023</t>
        </is>
      </c>
      <c r="B7721" t="inlineStr">
        <is>
          <t>avverkningsanmälan</t>
        </is>
      </c>
      <c r="C7721" t="inlineStr">
        <is>
          <t>Föryngringsavverkning</t>
        </is>
      </c>
      <c r="D7721" s="1" t="n">
        <v>45030</v>
      </c>
      <c r="E7721" s="1" t="n">
        <v>46307</v>
      </c>
      <c r="F7721" t="inlineStr">
        <is>
          <t>VÄRMLANDS LÄN</t>
        </is>
      </c>
      <c r="G7721" t="inlineStr">
        <is>
          <t>ARVIKA</t>
        </is>
      </c>
      <c r="H7721" t="inlineStr">
        <is>
          <t>Bergvik skog väst AB</t>
        </is>
      </c>
      <c r="I7721" t="n">
        <v>0.6</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7297-2023</t>
        </is>
      </c>
      <c r="B7722" t="inlineStr">
        <is>
          <t>avverkningsanmälan</t>
        </is>
      </c>
      <c r="C7722" t="inlineStr">
        <is>
          <t>Föryngringsavverkning</t>
        </is>
      </c>
      <c r="D7722" s="1" t="n">
        <v>44970</v>
      </c>
      <c r="E7722" s="1" t="n">
        <v>46307</v>
      </c>
      <c r="F7722" t="inlineStr">
        <is>
          <t>VÄRMLANDS LÄN</t>
        </is>
      </c>
      <c r="G7722" t="inlineStr">
        <is>
          <t>FORSHAGA</t>
        </is>
      </c>
      <c r="I7722" t="n">
        <v>1.5</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51602-2025</t>
        </is>
      </c>
      <c r="B7723" t="inlineStr">
        <is>
          <t>avverkningsanmälan</t>
        </is>
      </c>
      <c r="C7723" t="inlineStr">
        <is>
          <t>Föryngringsavverkning</t>
        </is>
      </c>
      <c r="D7723" s="1" t="n">
        <v>45951</v>
      </c>
      <c r="E7723" s="1" t="n">
        <v>46307</v>
      </c>
      <c r="F7723" t="inlineStr">
        <is>
          <t>VÄRMLANDS LÄN</t>
        </is>
      </c>
      <c r="G7723" t="inlineStr">
        <is>
          <t>ARVIKA</t>
        </is>
      </c>
      <c r="I7723" t="n">
        <v>1.1</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13493-2024</t>
        </is>
      </c>
      <c r="B7724" t="inlineStr">
        <is>
          <t>avverkningsanmälan</t>
        </is>
      </c>
      <c r="C7724" t="inlineStr">
        <is>
          <t>Föryngringsavverkning</t>
        </is>
      </c>
      <c r="D7724" s="1" t="n">
        <v>45387</v>
      </c>
      <c r="E7724" s="1" t="n">
        <v>46307</v>
      </c>
      <c r="F7724" t="inlineStr">
        <is>
          <t>VÄRMLANDS LÄN</t>
        </is>
      </c>
      <c r="G7724" t="inlineStr">
        <is>
          <t>SÄFFLE</t>
        </is>
      </c>
      <c r="H7724" t="inlineStr">
        <is>
          <t>Bergvik skog väst AB</t>
        </is>
      </c>
      <c r="I7724" t="n">
        <v>0.8</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38104-2023</t>
        </is>
      </c>
      <c r="B7725" t="inlineStr">
        <is>
          <t>avverkningsanmälan</t>
        </is>
      </c>
      <c r="C7725" t="inlineStr">
        <is>
          <t>Föryngringsavverkning</t>
        </is>
      </c>
      <c r="D7725" s="1" t="n">
        <v>45161</v>
      </c>
      <c r="E7725" s="1" t="n">
        <v>46307</v>
      </c>
      <c r="F7725" t="inlineStr">
        <is>
          <t>VÄRMLANDS LÄN</t>
        </is>
      </c>
      <c r="G7725" t="inlineStr">
        <is>
          <t>EDA</t>
        </is>
      </c>
      <c r="I7725" t="n">
        <v>0.6</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1150-2024</t>
        </is>
      </c>
      <c r="B7726" t="inlineStr">
        <is>
          <t>avverkningsanmälan</t>
        </is>
      </c>
      <c r="C7726" t="inlineStr">
        <is>
          <t>Föryngringsavverkning</t>
        </is>
      </c>
      <c r="D7726" s="1" t="n">
        <v>45302</v>
      </c>
      <c r="E7726" s="1" t="n">
        <v>46307</v>
      </c>
      <c r="F7726" t="inlineStr">
        <is>
          <t>VÄRMLANDS LÄN</t>
        </is>
      </c>
      <c r="G7726" t="inlineStr">
        <is>
          <t>KRISTINEHAMN</t>
        </is>
      </c>
      <c r="I7726" t="n">
        <v>2.6</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57311-2022</t>
        </is>
      </c>
      <c r="B7727" t="inlineStr">
        <is>
          <t>avverkningsanmälan</t>
        </is>
      </c>
      <c r="C7727" t="inlineStr">
        <is>
          <t>Föryngringsavverkning</t>
        </is>
      </c>
      <c r="D7727" s="1" t="n">
        <v>44896</v>
      </c>
      <c r="E7727" s="1" t="n">
        <v>46307</v>
      </c>
      <c r="F7727" t="inlineStr">
        <is>
          <t>VÄRMLANDS LÄN</t>
        </is>
      </c>
      <c r="G7727" t="inlineStr">
        <is>
          <t>EDA</t>
        </is>
      </c>
      <c r="I7727" t="n">
        <v>0.9</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58307-2023</t>
        </is>
      </c>
      <c r="B7728" t="inlineStr">
        <is>
          <t>avverkningsanmälan</t>
        </is>
      </c>
      <c r="C7728" t="inlineStr">
        <is>
          <t>Föryngringsavverkning</t>
        </is>
      </c>
      <c r="D7728" s="1" t="n">
        <v>45250</v>
      </c>
      <c r="E7728" s="1" t="n">
        <v>46307</v>
      </c>
      <c r="F7728" t="inlineStr">
        <is>
          <t>VÄRMLANDS LÄN</t>
        </is>
      </c>
      <c r="G7728" t="inlineStr">
        <is>
          <t>HAGFORS</t>
        </is>
      </c>
      <c r="H7728" t="inlineStr">
        <is>
          <t>Kommuner</t>
        </is>
      </c>
      <c r="I7728" t="n">
        <v>0.8</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62804-2025</t>
        </is>
      </c>
      <c r="B7729" t="inlineStr">
        <is>
          <t>avverkningsanmälan</t>
        </is>
      </c>
      <c r="C7729" t="inlineStr">
        <is>
          <t>Föryngringsavverkning</t>
        </is>
      </c>
      <c r="D7729" s="1" t="n">
        <v>46008</v>
      </c>
      <c r="E7729" s="1" t="n">
        <v>46307</v>
      </c>
      <c r="F7729" t="inlineStr">
        <is>
          <t>VÄRMLANDS LÄN</t>
        </is>
      </c>
      <c r="G7729" t="inlineStr">
        <is>
          <t>ÅRJÄNG</t>
        </is>
      </c>
      <c r="H7729" t="inlineStr">
        <is>
          <t>Kyrkan</t>
        </is>
      </c>
      <c r="I7729" t="n">
        <v>10.4</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27160-2025</t>
        </is>
      </c>
      <c r="B7730" t="inlineStr">
        <is>
          <t>avverkningsanmälan</t>
        </is>
      </c>
      <c r="C7730" t="inlineStr">
        <is>
          <t>Föryngringsavverkning</t>
        </is>
      </c>
      <c r="D7730" s="1" t="n">
        <v>45812</v>
      </c>
      <c r="E7730" s="1" t="n">
        <v>46307</v>
      </c>
      <c r="F7730" t="inlineStr">
        <is>
          <t>VÄRMLANDS LÄN</t>
        </is>
      </c>
      <c r="G7730" t="inlineStr">
        <is>
          <t>ARVIKA</t>
        </is>
      </c>
      <c r="I7730" t="n">
        <v>2.9</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11104-2022</t>
        </is>
      </c>
      <c r="B7731" t="inlineStr">
        <is>
          <t>avverkningsanmälan</t>
        </is>
      </c>
      <c r="C7731" t="inlineStr">
        <is>
          <t>Avverkning för annat ändamål</t>
        </is>
      </c>
      <c r="D7731" s="1" t="n">
        <v>44628</v>
      </c>
      <c r="E7731" s="1" t="n">
        <v>46307</v>
      </c>
      <c r="F7731" t="inlineStr">
        <is>
          <t>VÄRMLANDS LÄN</t>
        </is>
      </c>
      <c r="G7731" t="inlineStr">
        <is>
          <t>HAGFORS</t>
        </is>
      </c>
      <c r="I7731" t="n">
        <v>1</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17799-2022</t>
        </is>
      </c>
      <c r="B7732" t="inlineStr">
        <is>
          <t>avverkningsanmälan</t>
        </is>
      </c>
      <c r="C7732" t="inlineStr">
        <is>
          <t>Avverkning för annat ändamål</t>
        </is>
      </c>
      <c r="D7732" s="1" t="n">
        <v>44683</v>
      </c>
      <c r="E7732" s="1" t="n">
        <v>46307</v>
      </c>
      <c r="F7732" t="inlineStr">
        <is>
          <t>VÄRMLANDS LÄN</t>
        </is>
      </c>
      <c r="G7732" t="inlineStr">
        <is>
          <t>EDA</t>
        </is>
      </c>
      <c r="I7732" t="n">
        <v>0.4</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19823-2026</t>
        </is>
      </c>
      <c r="B7733" t="inlineStr">
        <is>
          <t>avverkningsanmälan</t>
        </is>
      </c>
      <c r="C7733" t="inlineStr">
        <is>
          <t>Föryngringsavverkning</t>
        </is>
      </c>
      <c r="D7733" s="1" t="n">
        <v>46135</v>
      </c>
      <c r="E7733" s="1" t="n">
        <v>46307</v>
      </c>
      <c r="F7733" t="inlineStr">
        <is>
          <t>VÄRMLANDS LÄN</t>
        </is>
      </c>
      <c r="G7733" t="inlineStr">
        <is>
          <t>FORSHAGA</t>
        </is>
      </c>
      <c r="I7733" t="n">
        <v>2.9</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48293-2022</t>
        </is>
      </c>
      <c r="B7734" t="inlineStr">
        <is>
          <t>avverkningsanmälan</t>
        </is>
      </c>
      <c r="C7734" t="inlineStr">
        <is>
          <t>Föryngringsavverkning</t>
        </is>
      </c>
      <c r="D7734" s="1" t="n">
        <v>44858</v>
      </c>
      <c r="E7734" s="1" t="n">
        <v>46307</v>
      </c>
      <c r="F7734" t="inlineStr">
        <is>
          <t>VÄRMLANDS LÄN</t>
        </is>
      </c>
      <c r="G7734" t="inlineStr">
        <is>
          <t>ÅRJÄNG</t>
        </is>
      </c>
      <c r="I7734" t="n">
        <v>3.2</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45756-2024</t>
        </is>
      </c>
      <c r="B7735" t="inlineStr">
        <is>
          <t>avverkningsanmälan</t>
        </is>
      </c>
      <c r="C7735" t="inlineStr">
        <is>
          <t>Föryngringsavverkning</t>
        </is>
      </c>
      <c r="D7735" s="1" t="n">
        <v>45579</v>
      </c>
      <c r="E7735" s="1" t="n">
        <v>46307</v>
      </c>
      <c r="F7735" t="inlineStr">
        <is>
          <t>VÄRMLANDS LÄN</t>
        </is>
      </c>
      <c r="G7735" t="inlineStr">
        <is>
          <t>ARVIKA</t>
        </is>
      </c>
      <c r="I7735" t="n">
        <v>0.6</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33227-2023</t>
        </is>
      </c>
      <c r="B7736" t="inlineStr">
        <is>
          <t>avverkningsanmälan</t>
        </is>
      </c>
      <c r="C7736" t="inlineStr">
        <is>
          <t>Föryngringsavverkning</t>
        </is>
      </c>
      <c r="D7736" s="1" t="n">
        <v>45127</v>
      </c>
      <c r="E7736" s="1" t="n">
        <v>46307</v>
      </c>
      <c r="F7736" t="inlineStr">
        <is>
          <t>VÄRMLANDS LÄN</t>
        </is>
      </c>
      <c r="G7736" t="inlineStr">
        <is>
          <t>FORSHAGA</t>
        </is>
      </c>
      <c r="H7736" t="inlineStr">
        <is>
          <t>Kommuner</t>
        </is>
      </c>
      <c r="I7736" t="n">
        <v>2.9</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30793-2025</t>
        </is>
      </c>
      <c r="B7737" t="inlineStr">
        <is>
          <t>avverkningsanmälan</t>
        </is>
      </c>
      <c r="C7737" t="inlineStr">
        <is>
          <t>Föryngringsavverkning</t>
        </is>
      </c>
      <c r="D7737" s="1" t="n">
        <v>45831</v>
      </c>
      <c r="E7737" s="1" t="n">
        <v>46307</v>
      </c>
      <c r="F7737" t="inlineStr">
        <is>
          <t>VÄRMLANDS LÄN</t>
        </is>
      </c>
      <c r="G7737" t="inlineStr">
        <is>
          <t>ARVIKA</t>
        </is>
      </c>
      <c r="I7737" t="n">
        <v>1</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15210-2025</t>
        </is>
      </c>
      <c r="B7738" t="inlineStr">
        <is>
          <t>avverkningsanmälan</t>
        </is>
      </c>
      <c r="C7738" t="inlineStr">
        <is>
          <t>Föryngringsavverkning</t>
        </is>
      </c>
      <c r="D7738" s="1" t="n">
        <v>45744</v>
      </c>
      <c r="E7738" s="1" t="n">
        <v>46307</v>
      </c>
      <c r="F7738" t="inlineStr">
        <is>
          <t>VÄRMLANDS LÄN</t>
        </is>
      </c>
      <c r="G7738" t="inlineStr">
        <is>
          <t>ÅRJÄNG</t>
        </is>
      </c>
      <c r="I7738" t="n">
        <v>2.7</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38433-2024</t>
        </is>
      </c>
      <c r="B7739" t="inlineStr">
        <is>
          <t>avverkningsanmälan</t>
        </is>
      </c>
      <c r="C7739" t="inlineStr">
        <is>
          <t>Föryngringsavverkning</t>
        </is>
      </c>
      <c r="D7739" s="1" t="n">
        <v>45546</v>
      </c>
      <c r="E7739" s="1" t="n">
        <v>46307</v>
      </c>
      <c r="F7739" t="inlineStr">
        <is>
          <t>VÄRMLANDS LÄN</t>
        </is>
      </c>
      <c r="G7739" t="inlineStr">
        <is>
          <t>ÅRJÄNG</t>
        </is>
      </c>
      <c r="I7739" t="n">
        <v>0.3</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39390-2023</t>
        </is>
      </c>
      <c r="B7740" t="inlineStr">
        <is>
          <t>avverkningsanmälan</t>
        </is>
      </c>
      <c r="C7740" t="inlineStr">
        <is>
          <t>Föryngringsavverkning</t>
        </is>
      </c>
      <c r="D7740" s="1" t="n">
        <v>45166</v>
      </c>
      <c r="E7740" s="1" t="n">
        <v>46307</v>
      </c>
      <c r="F7740" t="inlineStr">
        <is>
          <t>VÄRMLANDS LÄN</t>
        </is>
      </c>
      <c r="G7740" t="inlineStr">
        <is>
          <t>TORSBY</t>
        </is>
      </c>
      <c r="I7740" t="n">
        <v>9.800000000000001</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39396-2023</t>
        </is>
      </c>
      <c r="B7741" t="inlineStr">
        <is>
          <t>avverkningsanmälan</t>
        </is>
      </c>
      <c r="C7741" t="inlineStr">
        <is>
          <t>Föryngringsavverkning</t>
        </is>
      </c>
      <c r="D7741" s="1" t="n">
        <v>45166</v>
      </c>
      <c r="E7741" s="1" t="n">
        <v>46307</v>
      </c>
      <c r="F7741" t="inlineStr">
        <is>
          <t>VÄRMLANDS LÄN</t>
        </is>
      </c>
      <c r="G7741" t="inlineStr">
        <is>
          <t>HAGFORS</t>
        </is>
      </c>
      <c r="I7741" t="n">
        <v>2.1</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46737-2022</t>
        </is>
      </c>
      <c r="B7742" t="inlineStr">
        <is>
          <t>avverkningsanmälan</t>
        </is>
      </c>
      <c r="C7742" t="inlineStr">
        <is>
          <t>Föryngringsavverkning</t>
        </is>
      </c>
      <c r="D7742" s="1" t="n">
        <v>44851</v>
      </c>
      <c r="E7742" s="1" t="n">
        <v>46307</v>
      </c>
      <c r="F7742" t="inlineStr">
        <is>
          <t>VÄRMLANDS LÄN</t>
        </is>
      </c>
      <c r="G7742" t="inlineStr">
        <is>
          <t>EDA</t>
        </is>
      </c>
      <c r="I7742" t="n">
        <v>2.9</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62629-2025</t>
        </is>
      </c>
      <c r="B7743" t="inlineStr">
        <is>
          <t>avverkningsanmälan</t>
        </is>
      </c>
      <c r="C7743" t="inlineStr">
        <is>
          <t>Föryngringsavverkning</t>
        </is>
      </c>
      <c r="D7743" s="1" t="n">
        <v>46008</v>
      </c>
      <c r="E7743" s="1" t="n">
        <v>46307</v>
      </c>
      <c r="F7743" t="inlineStr">
        <is>
          <t>VÄRMLANDS LÄN</t>
        </is>
      </c>
      <c r="G7743" t="inlineStr">
        <is>
          <t>TORSBY</t>
        </is>
      </c>
      <c r="H7743" t="inlineStr">
        <is>
          <t>Bergvik skog väst AB</t>
        </is>
      </c>
      <c r="I7743" t="n">
        <v>16.2</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38261-2022</t>
        </is>
      </c>
      <c r="B7744" t="inlineStr">
        <is>
          <t>avverkningsanmälan</t>
        </is>
      </c>
      <c r="C7744" t="inlineStr">
        <is>
          <t>Föryngringsavverkning</t>
        </is>
      </c>
      <c r="D7744" s="1" t="n">
        <v>44812</v>
      </c>
      <c r="E7744" s="1" t="n">
        <v>46307</v>
      </c>
      <c r="F7744" t="inlineStr">
        <is>
          <t>VÄRMLANDS LÄN</t>
        </is>
      </c>
      <c r="G7744" t="inlineStr">
        <is>
          <t>FORSHAGA</t>
        </is>
      </c>
      <c r="I7744" t="n">
        <v>1</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17135-2024</t>
        </is>
      </c>
      <c r="B7745" t="inlineStr">
        <is>
          <t>avverkningsanmälan</t>
        </is>
      </c>
      <c r="C7745" t="inlineStr">
        <is>
          <t>Föryngringsavverkning</t>
        </is>
      </c>
      <c r="D7745" s="1" t="n">
        <v>45412</v>
      </c>
      <c r="E7745" s="1" t="n">
        <v>46307</v>
      </c>
      <c r="F7745" t="inlineStr">
        <is>
          <t>VÄRMLANDS LÄN</t>
        </is>
      </c>
      <c r="G7745" t="inlineStr">
        <is>
          <t>EDA</t>
        </is>
      </c>
      <c r="I7745" t="n">
        <v>4.3</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22083-2024</t>
        </is>
      </c>
      <c r="B7746" t="inlineStr">
        <is>
          <t>avverkningsanmälan</t>
        </is>
      </c>
      <c r="C7746" t="inlineStr">
        <is>
          <t>Föryngringsavverkning</t>
        </is>
      </c>
      <c r="D7746" s="1" t="n">
        <v>45443</v>
      </c>
      <c r="E7746" s="1" t="n">
        <v>46307</v>
      </c>
      <c r="F7746" t="inlineStr">
        <is>
          <t>VÄRMLANDS LÄN</t>
        </is>
      </c>
      <c r="G7746" t="inlineStr">
        <is>
          <t>EDA</t>
        </is>
      </c>
      <c r="I7746" t="n">
        <v>2</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62749-2025</t>
        </is>
      </c>
      <c r="B7747" t="inlineStr">
        <is>
          <t>avverkningsanmälan</t>
        </is>
      </c>
      <c r="C7747" t="inlineStr">
        <is>
          <t>Föryngringsavverkning</t>
        </is>
      </c>
      <c r="D7747" s="1" t="n">
        <v>46008</v>
      </c>
      <c r="E7747" s="1" t="n">
        <v>46307</v>
      </c>
      <c r="F7747" t="inlineStr">
        <is>
          <t>VÄRMLANDS LÄN</t>
        </is>
      </c>
      <c r="G7747" t="inlineStr">
        <is>
          <t>HAGFORS</t>
        </is>
      </c>
      <c r="H7747" t="inlineStr">
        <is>
          <t>Bergvik skog väst AB</t>
        </is>
      </c>
      <c r="I7747" t="n">
        <v>3.2</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20130-2026</t>
        </is>
      </c>
      <c r="B7748" t="inlineStr">
        <is>
          <t>avverkningsanmälan</t>
        </is>
      </c>
      <c r="C7748" t="inlineStr">
        <is>
          <t>Föryngringsavverkning</t>
        </is>
      </c>
      <c r="D7748" s="1" t="n">
        <v>46136</v>
      </c>
      <c r="E7748" s="1" t="n">
        <v>46307</v>
      </c>
      <c r="F7748" t="inlineStr">
        <is>
          <t>VÄRMLANDS LÄN</t>
        </is>
      </c>
      <c r="G7748" t="inlineStr">
        <is>
          <t>TORSBY</t>
        </is>
      </c>
      <c r="H7748" t="inlineStr">
        <is>
          <t>Bergvik skog väst AB</t>
        </is>
      </c>
      <c r="I7748" t="n">
        <v>9.4</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54170-2022</t>
        </is>
      </c>
      <c r="B7749" t="inlineStr">
        <is>
          <t>avverkningsanmälan</t>
        </is>
      </c>
      <c r="C7749" t="inlineStr">
        <is>
          <t>Föryngringsavverkning</t>
        </is>
      </c>
      <c r="D7749" s="1" t="n">
        <v>44881</v>
      </c>
      <c r="E7749" s="1" t="n">
        <v>46307</v>
      </c>
      <c r="F7749" t="inlineStr">
        <is>
          <t>VÄRMLANDS LÄN</t>
        </is>
      </c>
      <c r="G7749" t="inlineStr">
        <is>
          <t>FORSHAGA</t>
        </is>
      </c>
      <c r="I7749" t="n">
        <v>2.2</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2173-2023</t>
        </is>
      </c>
      <c r="B7750" t="inlineStr">
        <is>
          <t>avverkningsanmälan</t>
        </is>
      </c>
      <c r="C7750" t="inlineStr">
        <is>
          <t>Föryngringsavverkning</t>
        </is>
      </c>
      <c r="D7750" s="1" t="n">
        <v>44941</v>
      </c>
      <c r="E7750" s="1" t="n">
        <v>46307</v>
      </c>
      <c r="F7750" t="inlineStr">
        <is>
          <t>VÄRMLANDS LÄN</t>
        </is>
      </c>
      <c r="G7750" t="inlineStr">
        <is>
          <t>SUNNE</t>
        </is>
      </c>
      <c r="I7750" t="n">
        <v>0.4</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46998-2024</t>
        </is>
      </c>
      <c r="B7751" t="inlineStr">
        <is>
          <t>avverkningsanmälan</t>
        </is>
      </c>
      <c r="C7751" t="inlineStr">
        <is>
          <t>Föryngringsavverkning</t>
        </is>
      </c>
      <c r="D7751" s="1" t="n">
        <v>45586</v>
      </c>
      <c r="E7751" s="1" t="n">
        <v>46307</v>
      </c>
      <c r="F7751" t="inlineStr">
        <is>
          <t>VÄRMLANDS LÄN</t>
        </is>
      </c>
      <c r="G7751" t="inlineStr">
        <is>
          <t>KIL</t>
        </is>
      </c>
      <c r="I7751" t="n">
        <v>0.7</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48729-2024</t>
        </is>
      </c>
      <c r="B7752" t="inlineStr">
        <is>
          <t>avverkningsanmälan</t>
        </is>
      </c>
      <c r="C7752" t="inlineStr">
        <is>
          <t>Föryngringsavverkning</t>
        </is>
      </c>
      <c r="D7752" s="1" t="n">
        <v>45593</v>
      </c>
      <c r="E7752" s="1" t="n">
        <v>46307</v>
      </c>
      <c r="F7752" t="inlineStr">
        <is>
          <t>VÄRMLANDS LÄN</t>
        </is>
      </c>
      <c r="G7752" t="inlineStr">
        <is>
          <t>SUNNE</t>
        </is>
      </c>
      <c r="H7752" t="inlineStr">
        <is>
          <t>Kommuner</t>
        </is>
      </c>
      <c r="I7752" t="n">
        <v>4.5</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54127-2023</t>
        </is>
      </c>
      <c r="B7753" t="inlineStr">
        <is>
          <t>avverkningsanmälan</t>
        </is>
      </c>
      <c r="C7753" t="inlineStr">
        <is>
          <t>Föryngringsavverkning</t>
        </is>
      </c>
      <c r="D7753" s="1" t="n">
        <v>45232</v>
      </c>
      <c r="E7753" s="1" t="n">
        <v>46307</v>
      </c>
      <c r="F7753" t="inlineStr">
        <is>
          <t>VÄRMLANDS LÄN</t>
        </is>
      </c>
      <c r="G7753" t="inlineStr">
        <is>
          <t>FILIPSTAD</t>
        </is>
      </c>
      <c r="I7753" t="n">
        <v>15.5</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47540-2024</t>
        </is>
      </c>
      <c r="B7754" t="inlineStr">
        <is>
          <t>avverkningsanmälan</t>
        </is>
      </c>
      <c r="C7754" t="inlineStr">
        <is>
          <t>Föryngringsavverkning</t>
        </is>
      </c>
      <c r="D7754" s="1" t="n">
        <v>45587</v>
      </c>
      <c r="E7754" s="1" t="n">
        <v>46307</v>
      </c>
      <c r="F7754" t="inlineStr">
        <is>
          <t>VÄRMLANDS LÄN</t>
        </is>
      </c>
      <c r="G7754" t="inlineStr">
        <is>
          <t>ARVIKA</t>
        </is>
      </c>
      <c r="H7754" t="inlineStr">
        <is>
          <t>Bergvik skog väst AB</t>
        </is>
      </c>
      <c r="I7754" t="n">
        <v>3.9</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39905-2025</t>
        </is>
      </c>
      <c r="B7755" t="inlineStr">
        <is>
          <t>avverkningsanmälan</t>
        </is>
      </c>
      <c r="C7755" t="inlineStr">
        <is>
          <t>Föryngringsavverkning</t>
        </is>
      </c>
      <c r="D7755" s="1" t="n">
        <v>45891</v>
      </c>
      <c r="E7755" s="1" t="n">
        <v>46307</v>
      </c>
      <c r="F7755" t="inlineStr">
        <is>
          <t>VÄRMLANDS LÄN</t>
        </is>
      </c>
      <c r="G7755" t="inlineStr">
        <is>
          <t>ÅRJÄNG</t>
        </is>
      </c>
      <c r="I7755" t="n">
        <v>0.9</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44859-2025</t>
        </is>
      </c>
      <c r="B7756" t="inlineStr">
        <is>
          <t>avverkningsanmälan</t>
        </is>
      </c>
      <c r="C7756" t="inlineStr">
        <is>
          <t>Föryngringsavverkning</t>
        </is>
      </c>
      <c r="D7756" s="1" t="n">
        <v>45918</v>
      </c>
      <c r="E7756" s="1" t="n">
        <v>46307</v>
      </c>
      <c r="F7756" t="inlineStr">
        <is>
          <t>VÄRMLANDS LÄN</t>
        </is>
      </c>
      <c r="G7756" t="inlineStr">
        <is>
          <t>ARVIKA</t>
        </is>
      </c>
      <c r="I7756" t="n">
        <v>1.5</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44867-2025</t>
        </is>
      </c>
      <c r="B7757" t="inlineStr">
        <is>
          <t>avverkningsanmälan</t>
        </is>
      </c>
      <c r="C7757" t="inlineStr">
        <is>
          <t>Föryngringsavverkning</t>
        </is>
      </c>
      <c r="D7757" s="1" t="n">
        <v>45918</v>
      </c>
      <c r="E7757" s="1" t="n">
        <v>46307</v>
      </c>
      <c r="F7757" t="inlineStr">
        <is>
          <t>VÄRMLANDS LÄN</t>
        </is>
      </c>
      <c r="G7757" t="inlineStr">
        <is>
          <t>ARVIKA</t>
        </is>
      </c>
      <c r="I7757" t="n">
        <v>0.5</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15632-2024</t>
        </is>
      </c>
      <c r="B7758" t="inlineStr">
        <is>
          <t>avverkningsanmälan</t>
        </is>
      </c>
      <c r="C7758" t="inlineStr">
        <is>
          <t>Avverkning för att bevara och utveckla /försöksver</t>
        </is>
      </c>
      <c r="D7758" s="1" t="n">
        <v>45403</v>
      </c>
      <c r="E7758" s="1" t="n">
        <v>46307</v>
      </c>
      <c r="F7758" t="inlineStr">
        <is>
          <t>VÄRMLANDS LÄN</t>
        </is>
      </c>
      <c r="G7758" t="inlineStr">
        <is>
          <t>SÄFFLE</t>
        </is>
      </c>
      <c r="I7758" t="n">
        <v>2.1</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62039-2022</t>
        </is>
      </c>
      <c r="B7759" t="inlineStr">
        <is>
          <t>avverkningsanmälan</t>
        </is>
      </c>
      <c r="C7759" t="inlineStr">
        <is>
          <t>Föryngringsavverkning</t>
        </is>
      </c>
      <c r="D7759" s="1" t="n">
        <v>44918</v>
      </c>
      <c r="E7759" s="1" t="n">
        <v>46307</v>
      </c>
      <c r="F7759" t="inlineStr">
        <is>
          <t>VÄRMLANDS LÄN</t>
        </is>
      </c>
      <c r="G7759" t="inlineStr">
        <is>
          <t>SUNNE</t>
        </is>
      </c>
      <c r="I7759" t="n">
        <v>3.6</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65301-2021</t>
        </is>
      </c>
      <c r="B7760" t="inlineStr">
        <is>
          <t>avverkningsanmälan</t>
        </is>
      </c>
      <c r="C7760" t="inlineStr">
        <is>
          <t>Föryngringsavverkning</t>
        </is>
      </c>
      <c r="D7760" s="1" t="n">
        <v>44515</v>
      </c>
      <c r="E7760" s="1" t="n">
        <v>46307</v>
      </c>
      <c r="F7760" t="inlineStr">
        <is>
          <t>VÄRMLANDS LÄN</t>
        </is>
      </c>
      <c r="G7760" t="inlineStr">
        <is>
          <t>TORSBY</t>
        </is>
      </c>
      <c r="I7760" t="n">
        <v>2.9</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29256-2025</t>
        </is>
      </c>
      <c r="B7761" t="inlineStr">
        <is>
          <t>avverkningsanmälan</t>
        </is>
      </c>
      <c r="C7761" t="inlineStr">
        <is>
          <t>Föryngringsavverkning</t>
        </is>
      </c>
      <c r="D7761" s="1" t="n">
        <v>45824</v>
      </c>
      <c r="E7761" s="1" t="n">
        <v>46307</v>
      </c>
      <c r="F7761" t="inlineStr">
        <is>
          <t>VÄRMLANDS LÄN</t>
        </is>
      </c>
      <c r="G7761" t="inlineStr">
        <is>
          <t>GRUMS</t>
        </is>
      </c>
      <c r="I7761" t="n">
        <v>0.8</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62542-2025</t>
        </is>
      </c>
      <c r="B7762" t="inlineStr">
        <is>
          <t>avverkningsanmälan</t>
        </is>
      </c>
      <c r="C7762" t="inlineStr">
        <is>
          <t>Föryngringsavverkning</t>
        </is>
      </c>
      <c r="D7762" s="1" t="n">
        <v>46007</v>
      </c>
      <c r="E7762" s="1" t="n">
        <v>46307</v>
      </c>
      <c r="F7762" t="inlineStr">
        <is>
          <t>VÄRMLANDS LÄN</t>
        </is>
      </c>
      <c r="G7762" t="inlineStr">
        <is>
          <t>HAGFORS</t>
        </is>
      </c>
      <c r="H7762" t="inlineStr">
        <is>
          <t>Bergvik skog väst AB</t>
        </is>
      </c>
      <c r="I7762" t="n">
        <v>0.7</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47764-2025</t>
        </is>
      </c>
      <c r="B7763" t="inlineStr">
        <is>
          <t>avverkningsanmälan</t>
        </is>
      </c>
      <c r="C7763" t="inlineStr">
        <is>
          <t>Föryngringsavverkning</t>
        </is>
      </c>
      <c r="D7763" s="1" t="n">
        <v>45931</v>
      </c>
      <c r="E7763" s="1" t="n">
        <v>46307</v>
      </c>
      <c r="F7763" t="inlineStr">
        <is>
          <t>VÄRMLANDS LÄN</t>
        </is>
      </c>
      <c r="G7763" t="inlineStr">
        <is>
          <t>SÄFFLE</t>
        </is>
      </c>
      <c r="I7763" t="n">
        <v>3.9</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16484-2022</t>
        </is>
      </c>
      <c r="B7764" t="inlineStr">
        <is>
          <t>avverkningsanmälan</t>
        </is>
      </c>
      <c r="C7764" t="inlineStr">
        <is>
          <t>Föryngringsavverkning</t>
        </is>
      </c>
      <c r="D7764" s="1" t="n">
        <v>44671</v>
      </c>
      <c r="E7764" s="1" t="n">
        <v>46307</v>
      </c>
      <c r="F7764" t="inlineStr">
        <is>
          <t>VÄRMLANDS LÄN</t>
        </is>
      </c>
      <c r="G7764" t="inlineStr">
        <is>
          <t>SÄFFLE</t>
        </is>
      </c>
      <c r="I7764" t="n">
        <v>1</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7746-2022</t>
        </is>
      </c>
      <c r="B7765" t="inlineStr">
        <is>
          <t>avverkningsanmälan</t>
        </is>
      </c>
      <c r="C7765" t="inlineStr">
        <is>
          <t>Föryngringsavverkning</t>
        </is>
      </c>
      <c r="D7765" s="1" t="n">
        <v>44608</v>
      </c>
      <c r="E7765" s="1" t="n">
        <v>46307</v>
      </c>
      <c r="F7765" t="inlineStr">
        <is>
          <t>VÄRMLANDS LÄN</t>
        </is>
      </c>
      <c r="G7765" t="inlineStr">
        <is>
          <t>ÅRJÄNG</t>
        </is>
      </c>
      <c r="I7765" t="n">
        <v>3.1</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34410-2023</t>
        </is>
      </c>
      <c r="B7766" t="inlineStr">
        <is>
          <t>avverkningsanmälan</t>
        </is>
      </c>
      <c r="C7766" t="inlineStr">
        <is>
          <t>Föryngringsavverkning</t>
        </is>
      </c>
      <c r="D7766" s="1" t="n">
        <v>45139</v>
      </c>
      <c r="E7766" s="1" t="n">
        <v>46307</v>
      </c>
      <c r="F7766" t="inlineStr">
        <is>
          <t>VÄRMLANDS LÄN</t>
        </is>
      </c>
      <c r="G7766" t="inlineStr">
        <is>
          <t>ÅRJÄNG</t>
        </is>
      </c>
      <c r="I7766" t="n">
        <v>0.6</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19866-2026</t>
        </is>
      </c>
      <c r="B7767" t="inlineStr">
        <is>
          <t>avverkningsanmälan</t>
        </is>
      </c>
      <c r="C7767" t="inlineStr">
        <is>
          <t>Föryngringsavverkning</t>
        </is>
      </c>
      <c r="D7767" s="1" t="n">
        <v>46135</v>
      </c>
      <c r="E7767" s="1" t="n">
        <v>46307</v>
      </c>
      <c r="F7767" t="inlineStr">
        <is>
          <t>VÄRMLANDS LÄN</t>
        </is>
      </c>
      <c r="G7767" t="inlineStr">
        <is>
          <t>TORSBY</t>
        </is>
      </c>
      <c r="H7767" t="inlineStr">
        <is>
          <t>Bergvik skog väst AB</t>
        </is>
      </c>
      <c r="I7767" t="n">
        <v>20.2</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26824-2023</t>
        </is>
      </c>
      <c r="B7768" t="inlineStr">
        <is>
          <t>avverkningsanmälan</t>
        </is>
      </c>
      <c r="C7768" t="inlineStr">
        <is>
          <t>Föryngringsavverkning</t>
        </is>
      </c>
      <c r="D7768" s="1" t="n">
        <v>45090</v>
      </c>
      <c r="E7768" s="1" t="n">
        <v>46307</v>
      </c>
      <c r="F7768" t="inlineStr">
        <is>
          <t>VÄRMLANDS LÄN</t>
        </is>
      </c>
      <c r="G7768" t="inlineStr">
        <is>
          <t>EDA</t>
        </is>
      </c>
      <c r="I7768" t="n">
        <v>1.2</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59068-2024</t>
        </is>
      </c>
      <c r="B7769" t="inlineStr">
        <is>
          <t>avverkningsanmälan</t>
        </is>
      </c>
      <c r="C7769" t="inlineStr">
        <is>
          <t>Föryngringsavverkning</t>
        </is>
      </c>
      <c r="D7769" s="1" t="n">
        <v>45636</v>
      </c>
      <c r="E7769" s="1" t="n">
        <v>46307</v>
      </c>
      <c r="F7769" t="inlineStr">
        <is>
          <t>VÄRMLANDS LÄN</t>
        </is>
      </c>
      <c r="G7769" t="inlineStr">
        <is>
          <t>ÅRJÄNG</t>
        </is>
      </c>
      <c r="I7769" t="n">
        <v>3.2</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29138-2025</t>
        </is>
      </c>
      <c r="B7770" t="inlineStr">
        <is>
          <t>avverkningsanmälan</t>
        </is>
      </c>
      <c r="C7770" t="inlineStr">
        <is>
          <t>Föryngringsavverkning</t>
        </is>
      </c>
      <c r="D7770" s="1" t="n">
        <v>45821</v>
      </c>
      <c r="E7770" s="1" t="n">
        <v>46307</v>
      </c>
      <c r="F7770" t="inlineStr">
        <is>
          <t>VÄRMLANDS LÄN</t>
        </is>
      </c>
      <c r="G7770" t="inlineStr">
        <is>
          <t>ÅRJÄNG</t>
        </is>
      </c>
      <c r="I7770" t="n">
        <v>1.1</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62343-2025</t>
        </is>
      </c>
      <c r="B7771" t="inlineStr">
        <is>
          <t>avverkningsanmälan</t>
        </is>
      </c>
      <c r="C7771" t="inlineStr">
        <is>
          <t>Föryngringsavverkning</t>
        </is>
      </c>
      <c r="D7771" s="1" t="n">
        <v>46006</v>
      </c>
      <c r="E7771" s="1" t="n">
        <v>46307</v>
      </c>
      <c r="F7771" t="inlineStr">
        <is>
          <t>VÄRMLANDS LÄN</t>
        </is>
      </c>
      <c r="G7771" t="inlineStr">
        <is>
          <t>EDA</t>
        </is>
      </c>
      <c r="I7771" t="n">
        <v>2.9</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20040-2026</t>
        </is>
      </c>
      <c r="B7772" t="inlineStr">
        <is>
          <t>avverkningsanmälan</t>
        </is>
      </c>
      <c r="C7772" t="inlineStr">
        <is>
          <t>Föryngringsavverkning</t>
        </is>
      </c>
      <c r="D7772" s="1" t="n">
        <v>46136</v>
      </c>
      <c r="E7772" s="1" t="n">
        <v>46307</v>
      </c>
      <c r="F7772" t="inlineStr">
        <is>
          <t>VÄRMLANDS LÄN</t>
        </is>
      </c>
      <c r="G7772" t="inlineStr">
        <is>
          <t>FILIPSTAD</t>
        </is>
      </c>
      <c r="H7772" t="inlineStr">
        <is>
          <t>Bergvik skog väst AB</t>
        </is>
      </c>
      <c r="I7772" t="n">
        <v>2.3</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19566-2023</t>
        </is>
      </c>
      <c r="B7773" t="inlineStr">
        <is>
          <t>avverkningsanmälan</t>
        </is>
      </c>
      <c r="C7773" t="inlineStr">
        <is>
          <t>Föryngringsavverkning</t>
        </is>
      </c>
      <c r="D7773" s="1" t="n">
        <v>45049</v>
      </c>
      <c r="E7773" s="1" t="n">
        <v>46307</v>
      </c>
      <c r="F7773" t="inlineStr">
        <is>
          <t>VÄRMLANDS LÄN</t>
        </is>
      </c>
      <c r="G7773" t="inlineStr">
        <is>
          <t>GRUMS</t>
        </is>
      </c>
      <c r="I7773" t="n">
        <v>3.5</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28571-2025</t>
        </is>
      </c>
      <c r="B7774" t="inlineStr">
        <is>
          <t>avverkningsanmälan</t>
        </is>
      </c>
      <c r="C7774" t="inlineStr">
        <is>
          <t>Föryngringsavverkning</t>
        </is>
      </c>
      <c r="D7774" s="1" t="n">
        <v>45819</v>
      </c>
      <c r="E7774" s="1" t="n">
        <v>46307</v>
      </c>
      <c r="F7774" t="inlineStr">
        <is>
          <t>VÄRMLANDS LÄN</t>
        </is>
      </c>
      <c r="G7774" t="inlineStr">
        <is>
          <t>HAGFORS</t>
        </is>
      </c>
      <c r="I7774" t="n">
        <v>5.4</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62349-2025</t>
        </is>
      </c>
      <c r="B7775" t="inlineStr">
        <is>
          <t>avverkningsanmälan</t>
        </is>
      </c>
      <c r="C7775" t="inlineStr">
        <is>
          <t>Föryngringsavverkning</t>
        </is>
      </c>
      <c r="D7775" s="1" t="n">
        <v>46006</v>
      </c>
      <c r="E7775" s="1" t="n">
        <v>46307</v>
      </c>
      <c r="F7775" t="inlineStr">
        <is>
          <t>VÄRMLANDS LÄN</t>
        </is>
      </c>
      <c r="G7775" t="inlineStr">
        <is>
          <t>KRISTINEHAMN</t>
        </is>
      </c>
      <c r="I7775" t="n">
        <v>3.5</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62632-2025</t>
        </is>
      </c>
      <c r="B7776" t="inlineStr">
        <is>
          <t>avverkningsanmälan</t>
        </is>
      </c>
      <c r="C7776" t="inlineStr">
        <is>
          <t>Föryngringsavverkning</t>
        </is>
      </c>
      <c r="D7776" s="1" t="n">
        <v>46008</v>
      </c>
      <c r="E7776" s="1" t="n">
        <v>46307</v>
      </c>
      <c r="F7776" t="inlineStr">
        <is>
          <t>VÄRMLANDS LÄN</t>
        </is>
      </c>
      <c r="G7776" t="inlineStr">
        <is>
          <t>HAGFORS</t>
        </is>
      </c>
      <c r="H7776" t="inlineStr">
        <is>
          <t>Bergvik skog väst AB</t>
        </is>
      </c>
      <c r="I7776" t="n">
        <v>4</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64446-2023</t>
        </is>
      </c>
      <c r="B7777" t="inlineStr">
        <is>
          <t>avverkningsanmälan</t>
        </is>
      </c>
      <c r="C7777" t="inlineStr">
        <is>
          <t>Föryngringsavverkning</t>
        </is>
      </c>
      <c r="D7777" s="1" t="n">
        <v>45280</v>
      </c>
      <c r="E7777" s="1" t="n">
        <v>46307</v>
      </c>
      <c r="F7777" t="inlineStr">
        <is>
          <t>VÄRMLANDS LÄN</t>
        </is>
      </c>
      <c r="G7777" t="inlineStr">
        <is>
          <t>SUNNE</t>
        </is>
      </c>
      <c r="I7777" t="n">
        <v>6.7</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24036-2023</t>
        </is>
      </c>
      <c r="B7778" t="inlineStr">
        <is>
          <t>avverkningsanmälan</t>
        </is>
      </c>
      <c r="C7778" t="inlineStr">
        <is>
          <t>Föryngringsavverkning</t>
        </is>
      </c>
      <c r="D7778" s="1" t="n">
        <v>45078</v>
      </c>
      <c r="E7778" s="1" t="n">
        <v>46307</v>
      </c>
      <c r="F7778" t="inlineStr">
        <is>
          <t>VÄRMLANDS LÄN</t>
        </is>
      </c>
      <c r="G7778" t="inlineStr">
        <is>
          <t>FORSHAGA</t>
        </is>
      </c>
      <c r="I7778" t="n">
        <v>0.6</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62385-2025</t>
        </is>
      </c>
      <c r="B7779" t="inlineStr">
        <is>
          <t>avverkningsanmälan</t>
        </is>
      </c>
      <c r="C7779" t="inlineStr">
        <is>
          <t>Föryngringsavverkning</t>
        </is>
      </c>
      <c r="D7779" s="1" t="n">
        <v>46007</v>
      </c>
      <c r="E7779" s="1" t="n">
        <v>46307</v>
      </c>
      <c r="F7779" t="inlineStr">
        <is>
          <t>VÄRMLANDS LÄN</t>
        </is>
      </c>
      <c r="G7779" t="inlineStr">
        <is>
          <t>ARVIKA</t>
        </is>
      </c>
      <c r="I7779" t="n">
        <v>1.6</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2263-2023</t>
        </is>
      </c>
      <c r="B7780" t="inlineStr">
        <is>
          <t>avverkningsanmälan</t>
        </is>
      </c>
      <c r="C7780" t="inlineStr">
        <is>
          <t>Föryngringsavverkning</t>
        </is>
      </c>
      <c r="D7780" s="1" t="n">
        <v>44941</v>
      </c>
      <c r="E7780" s="1" t="n">
        <v>46307</v>
      </c>
      <c r="F7780" t="inlineStr">
        <is>
          <t>VÄRMLANDS LÄN</t>
        </is>
      </c>
      <c r="G7780" t="inlineStr">
        <is>
          <t>KIL</t>
        </is>
      </c>
      <c r="I7780" t="n">
        <v>2</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2342-2023</t>
        </is>
      </c>
      <c r="B7781" t="inlineStr">
        <is>
          <t>avverkningsanmälan</t>
        </is>
      </c>
      <c r="C7781" t="inlineStr">
        <is>
          <t>Föryngringsavverkning</t>
        </is>
      </c>
      <c r="D7781" s="1" t="n">
        <v>44938</v>
      </c>
      <c r="E7781" s="1" t="n">
        <v>46307</v>
      </c>
      <c r="F7781" t="inlineStr">
        <is>
          <t>VÄRMLANDS LÄN</t>
        </is>
      </c>
      <c r="G7781" t="inlineStr">
        <is>
          <t>STORFORS</t>
        </is>
      </c>
      <c r="I7781" t="n">
        <v>1.8</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19961-2026</t>
        </is>
      </c>
      <c r="B7782" t="inlineStr">
        <is>
          <t>avverkningsanmälan</t>
        </is>
      </c>
      <c r="C7782" t="inlineStr">
        <is>
          <t>Föryngringsavverkning</t>
        </is>
      </c>
      <c r="D7782" s="1" t="n">
        <v>46136</v>
      </c>
      <c r="E7782" s="1" t="n">
        <v>46307</v>
      </c>
      <c r="F7782" t="inlineStr">
        <is>
          <t>VÄRMLANDS LÄN</t>
        </is>
      </c>
      <c r="G7782" t="inlineStr">
        <is>
          <t>TORSBY</t>
        </is>
      </c>
      <c r="I7782" t="n">
        <v>2.2</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6438-2022</t>
        </is>
      </c>
      <c r="B7783" t="inlineStr">
        <is>
          <t>avverkningsanmälan</t>
        </is>
      </c>
      <c r="C7783" t="inlineStr">
        <is>
          <t>Föryngringsavverkning</t>
        </is>
      </c>
      <c r="D7783" s="1" t="n">
        <v>44601</v>
      </c>
      <c r="E7783" s="1" t="n">
        <v>46307</v>
      </c>
      <c r="F7783" t="inlineStr">
        <is>
          <t>VÄRMLANDS LÄN</t>
        </is>
      </c>
      <c r="G7783" t="inlineStr">
        <is>
          <t>TORSBY</t>
        </is>
      </c>
      <c r="I7783" t="n">
        <v>2.9</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29578-2022</t>
        </is>
      </c>
      <c r="B7784" t="inlineStr">
        <is>
          <t>avverkningsanmälan</t>
        </is>
      </c>
      <c r="C7784" t="inlineStr">
        <is>
          <t>Föryngringsavverkning</t>
        </is>
      </c>
      <c r="D7784" s="1" t="n">
        <v>44754</v>
      </c>
      <c r="E7784" s="1" t="n">
        <v>46307</v>
      </c>
      <c r="F7784" t="inlineStr">
        <is>
          <t>VÄRMLANDS LÄN</t>
        </is>
      </c>
      <c r="G7784" t="inlineStr">
        <is>
          <t>ARVIKA</t>
        </is>
      </c>
      <c r="I7784" t="n">
        <v>3</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11680-2023</t>
        </is>
      </c>
      <c r="B7785" t="inlineStr">
        <is>
          <t>avverkningsanmälan</t>
        </is>
      </c>
      <c r="C7785" t="inlineStr">
        <is>
          <t>Föryngringsavverkning</t>
        </is>
      </c>
      <c r="D7785" s="1" t="n">
        <v>44994</v>
      </c>
      <c r="E7785" s="1" t="n">
        <v>46307</v>
      </c>
      <c r="F7785" t="inlineStr">
        <is>
          <t>VÄRMLANDS LÄN</t>
        </is>
      </c>
      <c r="G7785" t="inlineStr">
        <is>
          <t>FILIPSTAD</t>
        </is>
      </c>
      <c r="H7785" t="inlineStr">
        <is>
          <t>Bergvik skog väst AB</t>
        </is>
      </c>
      <c r="I7785" t="n">
        <v>3.2</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19755-2026</t>
        </is>
      </c>
      <c r="B7786" t="inlineStr">
        <is>
          <t>avverkningsanmälan</t>
        </is>
      </c>
      <c r="C7786" t="inlineStr">
        <is>
          <t>Föryngringsavverkning</t>
        </is>
      </c>
      <c r="D7786" s="1" t="n">
        <v>46135</v>
      </c>
      <c r="E7786" s="1" t="n">
        <v>46307</v>
      </c>
      <c r="F7786" t="inlineStr">
        <is>
          <t>VÄRMLANDS LÄN</t>
        </is>
      </c>
      <c r="G7786" t="inlineStr">
        <is>
          <t>TORSBY</t>
        </is>
      </c>
      <c r="I7786" t="n">
        <v>1</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19756-2026</t>
        </is>
      </c>
      <c r="B7787" t="inlineStr">
        <is>
          <t>avverkningsanmälan</t>
        </is>
      </c>
      <c r="C7787" t="inlineStr">
        <is>
          <t>Föryngringsavverkning</t>
        </is>
      </c>
      <c r="D7787" s="1" t="n">
        <v>46135</v>
      </c>
      <c r="E7787" s="1" t="n">
        <v>46307</v>
      </c>
      <c r="F7787" t="inlineStr">
        <is>
          <t>VÄRMLANDS LÄN</t>
        </is>
      </c>
      <c r="G7787" t="inlineStr">
        <is>
          <t>TORSBY</t>
        </is>
      </c>
      <c r="I7787" t="n">
        <v>2.7</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20045-2026</t>
        </is>
      </c>
      <c r="B7788" t="inlineStr">
        <is>
          <t>avverkningsanmälan</t>
        </is>
      </c>
      <c r="C7788" t="inlineStr">
        <is>
          <t>Föryngringsavverkning</t>
        </is>
      </c>
      <c r="D7788" s="1" t="n">
        <v>46136</v>
      </c>
      <c r="E7788" s="1" t="n">
        <v>46307</v>
      </c>
      <c r="F7788" t="inlineStr">
        <is>
          <t>VÄRMLANDS LÄN</t>
        </is>
      </c>
      <c r="G7788" t="inlineStr">
        <is>
          <t>FILIPSTAD</t>
        </is>
      </c>
      <c r="H7788" t="inlineStr">
        <is>
          <t>Bergvik skog väst AB</t>
        </is>
      </c>
      <c r="I7788" t="n">
        <v>11.5</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61555-2022</t>
        </is>
      </c>
      <c r="B7789" t="inlineStr">
        <is>
          <t>avverkningsanmälan</t>
        </is>
      </c>
      <c r="C7789" t="inlineStr">
        <is>
          <t>Föryngringsavverkning</t>
        </is>
      </c>
      <c r="D7789" s="1" t="n">
        <v>44916</v>
      </c>
      <c r="E7789" s="1" t="n">
        <v>46307</v>
      </c>
      <c r="F7789" t="inlineStr">
        <is>
          <t>VÄRMLANDS LÄN</t>
        </is>
      </c>
      <c r="G7789" t="inlineStr">
        <is>
          <t>ARVIKA</t>
        </is>
      </c>
      <c r="I7789" t="n">
        <v>1.6</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42684-2025</t>
        </is>
      </c>
      <c r="B7790" t="inlineStr">
        <is>
          <t>avverkningsanmälan</t>
        </is>
      </c>
      <c r="C7790" t="inlineStr">
        <is>
          <t>Föryngringsavverkning</t>
        </is>
      </c>
      <c r="D7790" s="1" t="n">
        <v>45908</v>
      </c>
      <c r="E7790" s="1" t="n">
        <v>46307</v>
      </c>
      <c r="F7790" t="inlineStr">
        <is>
          <t>VÄRMLANDS LÄN</t>
        </is>
      </c>
      <c r="G7790" t="inlineStr">
        <is>
          <t>KARLSTAD</t>
        </is>
      </c>
      <c r="I7790" t="n">
        <v>1.2</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14467-2022</t>
        </is>
      </c>
      <c r="B7791" t="inlineStr">
        <is>
          <t>avverkningsanmälan</t>
        </is>
      </c>
      <c r="C7791" t="inlineStr">
        <is>
          <t>Föryngringsavverkning</t>
        </is>
      </c>
      <c r="D7791" s="1" t="n">
        <v>44654</v>
      </c>
      <c r="E7791" s="1" t="n">
        <v>46307</v>
      </c>
      <c r="F7791" t="inlineStr">
        <is>
          <t>VÄRMLANDS LÄN</t>
        </is>
      </c>
      <c r="G7791" t="inlineStr">
        <is>
          <t>KARLSTAD</t>
        </is>
      </c>
      <c r="I7791" t="n">
        <v>0.9</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30595-2022</t>
        </is>
      </c>
      <c r="B7792" t="inlineStr">
        <is>
          <t>avverkningsanmälan</t>
        </is>
      </c>
      <c r="C7792" t="inlineStr">
        <is>
          <t>Föryngringsavverkning</t>
        </is>
      </c>
      <c r="D7792" s="1" t="n">
        <v>44762</v>
      </c>
      <c r="E7792" s="1" t="n">
        <v>46307</v>
      </c>
      <c r="F7792" t="inlineStr">
        <is>
          <t>VÄRMLANDS LÄN</t>
        </is>
      </c>
      <c r="G7792" t="inlineStr">
        <is>
          <t>SÄFFLE</t>
        </is>
      </c>
      <c r="I7792" t="n">
        <v>1.6</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36680-2023</t>
        </is>
      </c>
      <c r="B7793" t="inlineStr">
        <is>
          <t>avverkningsanmälan</t>
        </is>
      </c>
      <c r="C7793" t="inlineStr">
        <is>
          <t>Avverkning för annat ändamål</t>
        </is>
      </c>
      <c r="D7793" s="1" t="n">
        <v>45153</v>
      </c>
      <c r="E7793" s="1" t="n">
        <v>46307</v>
      </c>
      <c r="F7793" t="inlineStr">
        <is>
          <t>VÄRMLANDS LÄN</t>
        </is>
      </c>
      <c r="G7793" t="inlineStr">
        <is>
          <t>FILIPSTAD</t>
        </is>
      </c>
      <c r="I7793" t="n">
        <v>0.3</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50301-2024</t>
        </is>
      </c>
      <c r="B7794" t="inlineStr">
        <is>
          <t>avverkningsanmälan</t>
        </is>
      </c>
      <c r="C7794" t="inlineStr">
        <is>
          <t>Föryngringsavverkning</t>
        </is>
      </c>
      <c r="D7794" s="1" t="n">
        <v>45600</v>
      </c>
      <c r="E7794" s="1" t="n">
        <v>46307</v>
      </c>
      <c r="F7794" t="inlineStr">
        <is>
          <t>VÄRMLANDS LÄN</t>
        </is>
      </c>
      <c r="G7794" t="inlineStr">
        <is>
          <t>ÅRJÄNG</t>
        </is>
      </c>
      <c r="I7794" t="n">
        <v>0.5</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42299-2023</t>
        </is>
      </c>
      <c r="B7795" t="inlineStr">
        <is>
          <t>avverkningsanmälan</t>
        </is>
      </c>
      <c r="C7795" t="inlineStr">
        <is>
          <t>Föryngringsavverkning</t>
        </is>
      </c>
      <c r="D7795" s="1" t="n">
        <v>45180</v>
      </c>
      <c r="E7795" s="1" t="n">
        <v>46307</v>
      </c>
      <c r="F7795" t="inlineStr">
        <is>
          <t>VÄRMLANDS LÄN</t>
        </is>
      </c>
      <c r="G7795" t="inlineStr">
        <is>
          <t>ARVIKA</t>
        </is>
      </c>
      <c r="I7795" t="n">
        <v>1.1</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15616-2023</t>
        </is>
      </c>
      <c r="B7796" t="inlineStr">
        <is>
          <t>avverkningsanmälan</t>
        </is>
      </c>
      <c r="C7796" t="inlineStr">
        <is>
          <t>Föryngringsavverkning</t>
        </is>
      </c>
      <c r="D7796" s="1" t="n">
        <v>45020</v>
      </c>
      <c r="E7796" s="1" t="n">
        <v>46307</v>
      </c>
      <c r="F7796" t="inlineStr">
        <is>
          <t>VÄRMLANDS LÄN</t>
        </is>
      </c>
      <c r="G7796" t="inlineStr">
        <is>
          <t>ÅRJÄNG</t>
        </is>
      </c>
      <c r="I7796" t="n">
        <v>0.8</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5342-2022</t>
        </is>
      </c>
      <c r="B7797" t="inlineStr">
        <is>
          <t>avverkningsanmälan</t>
        </is>
      </c>
      <c r="C7797" t="inlineStr">
        <is>
          <t>Föryngringsavverkning</t>
        </is>
      </c>
      <c r="D7797" s="1" t="n">
        <v>44594</v>
      </c>
      <c r="E7797" s="1" t="n">
        <v>46307</v>
      </c>
      <c r="F7797" t="inlineStr">
        <is>
          <t>VÄRMLANDS LÄN</t>
        </is>
      </c>
      <c r="G7797" t="inlineStr">
        <is>
          <t>ÅRJÄNG</t>
        </is>
      </c>
      <c r="I7797" t="n">
        <v>1.5</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5347-2022</t>
        </is>
      </c>
      <c r="B7798" t="inlineStr">
        <is>
          <t>avverkningsanmälan</t>
        </is>
      </c>
      <c r="C7798" t="inlineStr">
        <is>
          <t>Föryngringsavverkning</t>
        </is>
      </c>
      <c r="D7798" s="1" t="n">
        <v>44594</v>
      </c>
      <c r="E7798" s="1" t="n">
        <v>46307</v>
      </c>
      <c r="F7798" t="inlineStr">
        <is>
          <t>VÄRMLANDS LÄN</t>
        </is>
      </c>
      <c r="G7798" t="inlineStr">
        <is>
          <t>SUNNE</t>
        </is>
      </c>
      <c r="I7798" t="n">
        <v>0.7</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25654-2024</t>
        </is>
      </c>
      <c r="B7799" t="inlineStr">
        <is>
          <t>avverkningsanmälan</t>
        </is>
      </c>
      <c r="C7799" t="inlineStr">
        <is>
          <t>Föryngringsavverkning</t>
        </is>
      </c>
      <c r="D7799" s="1" t="n">
        <v>45463</v>
      </c>
      <c r="E7799" s="1" t="n">
        <v>46307</v>
      </c>
      <c r="F7799" t="inlineStr">
        <is>
          <t>VÄRMLANDS LÄN</t>
        </is>
      </c>
      <c r="G7799" t="inlineStr">
        <is>
          <t>ÅRJÄNG</t>
        </is>
      </c>
      <c r="I7799" t="n">
        <v>16.9</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58653-2023</t>
        </is>
      </c>
      <c r="B7800" t="inlineStr">
        <is>
          <t>avverkningsanmälan</t>
        </is>
      </c>
      <c r="C7800" t="inlineStr">
        <is>
          <t>Föryngringsavverkning</t>
        </is>
      </c>
      <c r="D7800" s="1" t="n">
        <v>45251</v>
      </c>
      <c r="E7800" s="1" t="n">
        <v>46307</v>
      </c>
      <c r="F7800" t="inlineStr">
        <is>
          <t>VÄRMLANDS LÄN</t>
        </is>
      </c>
      <c r="G7800" t="inlineStr">
        <is>
          <t>SÄFFLE</t>
        </is>
      </c>
      <c r="I7800" t="n">
        <v>1.4</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30768-2025</t>
        </is>
      </c>
      <c r="B7801" t="inlineStr">
        <is>
          <t>avverkningsanmälan</t>
        </is>
      </c>
      <c r="C7801" t="inlineStr">
        <is>
          <t>Föryngringsavverkning</t>
        </is>
      </c>
      <c r="D7801" s="1" t="n">
        <v>45831</v>
      </c>
      <c r="E7801" s="1" t="n">
        <v>46307</v>
      </c>
      <c r="F7801" t="inlineStr">
        <is>
          <t>VÄRMLANDS LÄN</t>
        </is>
      </c>
      <c r="G7801" t="inlineStr">
        <is>
          <t>SÄFFLE</t>
        </is>
      </c>
      <c r="I7801" t="n">
        <v>8</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14829-2022</t>
        </is>
      </c>
      <c r="B7802" t="inlineStr">
        <is>
          <t>avverkningsanmälan</t>
        </is>
      </c>
      <c r="C7802" t="inlineStr">
        <is>
          <t>Föryngringsavverkning</t>
        </is>
      </c>
      <c r="D7802" s="1" t="n">
        <v>44656</v>
      </c>
      <c r="E7802" s="1" t="n">
        <v>46307</v>
      </c>
      <c r="F7802" t="inlineStr">
        <is>
          <t>VÄRMLANDS LÄN</t>
        </is>
      </c>
      <c r="G7802" t="inlineStr">
        <is>
          <t>ARVIKA</t>
        </is>
      </c>
      <c r="I7802" t="n">
        <v>4</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62598-2025</t>
        </is>
      </c>
      <c r="B7803" t="inlineStr">
        <is>
          <t>avverkningsanmälan</t>
        </is>
      </c>
      <c r="C7803" t="inlineStr">
        <is>
          <t>Föryngringsavverkning</t>
        </is>
      </c>
      <c r="D7803" s="1" t="n">
        <v>46007</v>
      </c>
      <c r="E7803" s="1" t="n">
        <v>46307</v>
      </c>
      <c r="F7803" t="inlineStr">
        <is>
          <t>VÄRMLANDS LÄN</t>
        </is>
      </c>
      <c r="G7803" t="inlineStr">
        <is>
          <t>EDA</t>
        </is>
      </c>
      <c r="I7803" t="n">
        <v>3.9</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19876-2026</t>
        </is>
      </c>
      <c r="B7804" t="inlineStr">
        <is>
          <t>avverkningsanmälan</t>
        </is>
      </c>
      <c r="C7804" t="inlineStr">
        <is>
          <t>Föryngringsavverkning</t>
        </is>
      </c>
      <c r="D7804" s="1" t="n">
        <v>46135</v>
      </c>
      <c r="E7804" s="1" t="n">
        <v>46307</v>
      </c>
      <c r="F7804" t="inlineStr">
        <is>
          <t>VÄRMLANDS LÄN</t>
        </is>
      </c>
      <c r="G7804" t="inlineStr">
        <is>
          <t>EDA</t>
        </is>
      </c>
      <c r="I7804" t="n">
        <v>0.3</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19900-2026</t>
        </is>
      </c>
      <c r="B7805" t="inlineStr">
        <is>
          <t>avverkningsanmälan</t>
        </is>
      </c>
      <c r="C7805" t="inlineStr">
        <is>
          <t>Föryngringsavverkning</t>
        </is>
      </c>
      <c r="D7805" s="1" t="n">
        <v>46136</v>
      </c>
      <c r="E7805" s="1" t="n">
        <v>46307</v>
      </c>
      <c r="F7805" t="inlineStr">
        <is>
          <t>VÄRMLANDS LÄN</t>
        </is>
      </c>
      <c r="G7805" t="inlineStr">
        <is>
          <t>TORSBY</t>
        </is>
      </c>
      <c r="H7805" t="inlineStr">
        <is>
          <t>Bergvik skog väst AB</t>
        </is>
      </c>
      <c r="I7805" t="n">
        <v>13.7</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63122-2025</t>
        </is>
      </c>
      <c r="B7806" t="inlineStr">
        <is>
          <t>avverkningsanmälan</t>
        </is>
      </c>
      <c r="C7806" t="inlineStr">
        <is>
          <t>Föryngringsavverkning</t>
        </is>
      </c>
      <c r="D7806" s="1" t="n">
        <v>46009</v>
      </c>
      <c r="E7806" s="1" t="n">
        <v>46307</v>
      </c>
      <c r="F7806" t="inlineStr">
        <is>
          <t>VÄRMLANDS LÄN</t>
        </is>
      </c>
      <c r="G7806" t="inlineStr">
        <is>
          <t>KARLSTAD</t>
        </is>
      </c>
      <c r="I7806" t="n">
        <v>1.8</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63123-2025</t>
        </is>
      </c>
      <c r="B7807" t="inlineStr">
        <is>
          <t>avverkningsanmälan</t>
        </is>
      </c>
      <c r="C7807" t="inlineStr">
        <is>
          <t>Föryngringsavverkning</t>
        </is>
      </c>
      <c r="D7807" s="1" t="n">
        <v>46009</v>
      </c>
      <c r="E7807" s="1" t="n">
        <v>46307</v>
      </c>
      <c r="F7807" t="inlineStr">
        <is>
          <t>VÄRMLANDS LÄN</t>
        </is>
      </c>
      <c r="G7807" t="inlineStr">
        <is>
          <t>ARVIKA</t>
        </is>
      </c>
      <c r="I7807" t="n">
        <v>1.4</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57780-2021</t>
        </is>
      </c>
      <c r="B7808" t="inlineStr">
        <is>
          <t>avverkningsanmälan</t>
        </is>
      </c>
      <c r="C7808" t="inlineStr">
        <is>
          <t>Föryngringsavverkning</t>
        </is>
      </c>
      <c r="D7808" s="1" t="n">
        <v>44484</v>
      </c>
      <c r="E7808" s="1" t="n">
        <v>46307</v>
      </c>
      <c r="F7808" t="inlineStr">
        <is>
          <t>VÄRMLANDS LÄN</t>
        </is>
      </c>
      <c r="G7808" t="inlineStr">
        <is>
          <t>KARLSTAD</t>
        </is>
      </c>
      <c r="H7808" t="inlineStr">
        <is>
          <t>Kommuner</t>
        </is>
      </c>
      <c r="I7808" t="n">
        <v>2.5</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21248-2022</t>
        </is>
      </c>
      <c r="B7809" t="inlineStr">
        <is>
          <t>avverkningsanmälan</t>
        </is>
      </c>
      <c r="C7809" t="inlineStr">
        <is>
          <t>Föryngringsavverkning</t>
        </is>
      </c>
      <c r="D7809" s="1" t="n">
        <v>44705</v>
      </c>
      <c r="E7809" s="1" t="n">
        <v>46307</v>
      </c>
      <c r="F7809" t="inlineStr">
        <is>
          <t>VÄRMLANDS LÄN</t>
        </is>
      </c>
      <c r="G7809" t="inlineStr">
        <is>
          <t>GRUMS</t>
        </is>
      </c>
      <c r="I7809" t="n">
        <v>12.4</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61677-2021</t>
        </is>
      </c>
      <c r="B7810" t="inlineStr">
        <is>
          <t>avverkningsanmälan</t>
        </is>
      </c>
      <c r="C7810" t="inlineStr">
        <is>
          <t>Föryngringsavverkning</t>
        </is>
      </c>
      <c r="D7810" s="1" t="n">
        <v>44501</v>
      </c>
      <c r="E7810" s="1" t="n">
        <v>46307</v>
      </c>
      <c r="F7810" t="inlineStr">
        <is>
          <t>VÄRMLANDS LÄN</t>
        </is>
      </c>
      <c r="G7810" t="inlineStr">
        <is>
          <t>SÄFFLE</t>
        </is>
      </c>
      <c r="I7810" t="n">
        <v>0.8</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63064-2025</t>
        </is>
      </c>
      <c r="B7811" t="inlineStr">
        <is>
          <t>avverkningsanmälan</t>
        </is>
      </c>
      <c r="C7811" t="inlineStr">
        <is>
          <t>Föryngringsavverkning</t>
        </is>
      </c>
      <c r="D7811" s="1" t="n">
        <v>46009</v>
      </c>
      <c r="E7811" s="1" t="n">
        <v>46307</v>
      </c>
      <c r="F7811" t="inlineStr">
        <is>
          <t>VÄRMLANDS LÄN</t>
        </is>
      </c>
      <c r="G7811" t="inlineStr">
        <is>
          <t>EDA</t>
        </is>
      </c>
      <c r="I7811" t="n">
        <v>2.1</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60664-2023</t>
        </is>
      </c>
      <c r="B7812" t="inlineStr">
        <is>
          <t>avverkningsanmälan</t>
        </is>
      </c>
      <c r="C7812" t="inlineStr">
        <is>
          <t>Avverkning för annat ändamål</t>
        </is>
      </c>
      <c r="D7812" s="1" t="n">
        <v>45259</v>
      </c>
      <c r="E7812" s="1" t="n">
        <v>46307</v>
      </c>
      <c r="F7812" t="inlineStr">
        <is>
          <t>VÄRMLANDS LÄN</t>
        </is>
      </c>
      <c r="G7812" t="inlineStr">
        <is>
          <t>HAGFORS</t>
        </is>
      </c>
      <c r="I7812" t="n">
        <v>2.2</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47812-2025</t>
        </is>
      </c>
      <c r="B7813" t="inlineStr">
        <is>
          <t>avverkningsanmälan</t>
        </is>
      </c>
      <c r="C7813" t="inlineStr">
        <is>
          <t>Föryngringsavverkning</t>
        </is>
      </c>
      <c r="D7813" s="1" t="n">
        <v>45932</v>
      </c>
      <c r="E7813" s="1" t="n">
        <v>46307</v>
      </c>
      <c r="F7813" t="inlineStr">
        <is>
          <t>VÄRMLANDS LÄN</t>
        </is>
      </c>
      <c r="G7813" t="inlineStr">
        <is>
          <t>ARVIKA</t>
        </is>
      </c>
      <c r="I7813" t="n">
        <v>5.7</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63016-2025</t>
        </is>
      </c>
      <c r="B7814" t="inlineStr">
        <is>
          <t>avverkningsanmälan</t>
        </is>
      </c>
      <c r="C7814" t="inlineStr">
        <is>
          <t>Föryngringsavverkning</t>
        </is>
      </c>
      <c r="D7814" s="1" t="n">
        <v>46009</v>
      </c>
      <c r="E7814" s="1" t="n">
        <v>46307</v>
      </c>
      <c r="F7814" t="inlineStr">
        <is>
          <t>VÄRMLANDS LÄN</t>
        </is>
      </c>
      <c r="G7814" t="inlineStr">
        <is>
          <t>KRISTINEHAMN</t>
        </is>
      </c>
      <c r="I7814" t="n">
        <v>3</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21745-2024</t>
        </is>
      </c>
      <c r="B7815" t="inlineStr">
        <is>
          <t>avverkningsanmälan</t>
        </is>
      </c>
      <c r="C7815" t="inlineStr">
        <is>
          <t>Föryngringsavverkning</t>
        </is>
      </c>
      <c r="D7815" s="1" t="n">
        <v>45442</v>
      </c>
      <c r="E7815" s="1" t="n">
        <v>46307</v>
      </c>
      <c r="F7815" t="inlineStr">
        <is>
          <t>VÄRMLANDS LÄN</t>
        </is>
      </c>
      <c r="G7815" t="inlineStr">
        <is>
          <t>FORSHAGA</t>
        </is>
      </c>
      <c r="I7815" t="n">
        <v>2.7</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67147-2021</t>
        </is>
      </c>
      <c r="B7816" t="inlineStr">
        <is>
          <t>avverkningsanmälan</t>
        </is>
      </c>
      <c r="C7816" t="inlineStr">
        <is>
          <t>Föryngringsavverkning</t>
        </is>
      </c>
      <c r="D7816" s="1" t="n">
        <v>44523</v>
      </c>
      <c r="E7816" s="1" t="n">
        <v>46307</v>
      </c>
      <c r="F7816" t="inlineStr">
        <is>
          <t>VÄRMLANDS LÄN</t>
        </is>
      </c>
      <c r="G7816" t="inlineStr">
        <is>
          <t>TORSBY</t>
        </is>
      </c>
      <c r="I7816" t="n">
        <v>1.3</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59449-2024</t>
        </is>
      </c>
      <c r="B7817" t="inlineStr">
        <is>
          <t>avverkningsanmälan</t>
        </is>
      </c>
      <c r="C7817" t="inlineStr">
        <is>
          <t>Föryngringsavverkning</t>
        </is>
      </c>
      <c r="D7817" s="1" t="n">
        <v>45638</v>
      </c>
      <c r="E7817" s="1" t="n">
        <v>46307</v>
      </c>
      <c r="F7817" t="inlineStr">
        <is>
          <t>VÄRMLANDS LÄN</t>
        </is>
      </c>
      <c r="G7817" t="inlineStr">
        <is>
          <t>HAGFORS</t>
        </is>
      </c>
      <c r="I7817" t="n">
        <v>3.7</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16592-2024</t>
        </is>
      </c>
      <c r="B7818" t="inlineStr">
        <is>
          <t>avverkningsanmälan</t>
        </is>
      </c>
      <c r="C7818" t="inlineStr">
        <is>
          <t>Föryngringsavverkning</t>
        </is>
      </c>
      <c r="D7818" s="1" t="n">
        <v>45408</v>
      </c>
      <c r="E7818" s="1" t="n">
        <v>46307</v>
      </c>
      <c r="F7818" t="inlineStr">
        <is>
          <t>VÄRMLANDS LÄN</t>
        </is>
      </c>
      <c r="G7818" t="inlineStr">
        <is>
          <t>TORSBY</t>
        </is>
      </c>
      <c r="I7818" t="n">
        <v>3.6</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7272-2022</t>
        </is>
      </c>
      <c r="B7819" t="inlineStr">
        <is>
          <t>avverkningsanmälan</t>
        </is>
      </c>
      <c r="C7819" t="inlineStr">
        <is>
          <t>Föryngringsavverkning</t>
        </is>
      </c>
      <c r="D7819" s="1" t="n">
        <v>44606</v>
      </c>
      <c r="E7819" s="1" t="n">
        <v>46307</v>
      </c>
      <c r="F7819" t="inlineStr">
        <is>
          <t>VÄRMLANDS LÄN</t>
        </is>
      </c>
      <c r="G7819" t="inlineStr">
        <is>
          <t>GRUMS</t>
        </is>
      </c>
      <c r="I7819" t="n">
        <v>1.4</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32263-2024</t>
        </is>
      </c>
      <c r="B7820" t="inlineStr">
        <is>
          <t>avverkningsanmälan</t>
        </is>
      </c>
      <c r="C7820" t="inlineStr">
        <is>
          <t>Föryngringsavverkning</t>
        </is>
      </c>
      <c r="D7820" s="1" t="n">
        <v>45512</v>
      </c>
      <c r="E7820" s="1" t="n">
        <v>46307</v>
      </c>
      <c r="F7820" t="inlineStr">
        <is>
          <t>VÄRMLANDS LÄN</t>
        </is>
      </c>
      <c r="G7820" t="inlineStr">
        <is>
          <t>ARVIKA</t>
        </is>
      </c>
      <c r="I7820" t="n">
        <v>0.6</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63301-2025</t>
        </is>
      </c>
      <c r="B7821" t="inlineStr">
        <is>
          <t>avverkningsanmälan</t>
        </is>
      </c>
      <c r="C7821" t="inlineStr">
        <is>
          <t>Föryngringsavverkning</t>
        </is>
      </c>
      <c r="D7821" s="1" t="n">
        <v>46010</v>
      </c>
      <c r="E7821" s="1" t="n">
        <v>46307</v>
      </c>
      <c r="F7821" t="inlineStr">
        <is>
          <t>VÄRMLANDS LÄN</t>
        </is>
      </c>
      <c r="G7821" t="inlineStr">
        <is>
          <t>HAGFORS</t>
        </is>
      </c>
      <c r="H7821" t="inlineStr">
        <is>
          <t>Bergvik skog väst AB</t>
        </is>
      </c>
      <c r="I7821" t="n">
        <v>2.5</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63124-2025</t>
        </is>
      </c>
      <c r="B7822" t="inlineStr">
        <is>
          <t>avverkningsanmälan</t>
        </is>
      </c>
      <c r="C7822" t="inlineStr">
        <is>
          <t>Föryngringsavverkning</t>
        </is>
      </c>
      <c r="D7822" s="1" t="n">
        <v>46009</v>
      </c>
      <c r="E7822" s="1" t="n">
        <v>46307</v>
      </c>
      <c r="F7822" t="inlineStr">
        <is>
          <t>VÄRMLANDS LÄN</t>
        </is>
      </c>
      <c r="G7822" t="inlineStr">
        <is>
          <t>ARVIKA</t>
        </is>
      </c>
      <c r="I7822" t="n">
        <v>1</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63150-2025</t>
        </is>
      </c>
      <c r="B7823" t="inlineStr">
        <is>
          <t>avverkningsanmälan</t>
        </is>
      </c>
      <c r="C7823" t="inlineStr">
        <is>
          <t>Föryngringsavverkning</t>
        </is>
      </c>
      <c r="D7823" s="1" t="n">
        <v>46010</v>
      </c>
      <c r="E7823" s="1" t="n">
        <v>46307</v>
      </c>
      <c r="F7823" t="inlineStr">
        <is>
          <t>VÄRMLANDS LÄN</t>
        </is>
      </c>
      <c r="G7823" t="inlineStr">
        <is>
          <t>EDA</t>
        </is>
      </c>
      <c r="I7823" t="n">
        <v>1.6</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25558-2025</t>
        </is>
      </c>
      <c r="B7824" t="inlineStr">
        <is>
          <t>avverkningsanmälan</t>
        </is>
      </c>
      <c r="C7824" t="inlineStr">
        <is>
          <t>Föryngringsavverkning</t>
        </is>
      </c>
      <c r="D7824" s="1" t="n">
        <v>45803</v>
      </c>
      <c r="E7824" s="1" t="n">
        <v>46307</v>
      </c>
      <c r="F7824" t="inlineStr">
        <is>
          <t>VÄRMLANDS LÄN</t>
        </is>
      </c>
      <c r="G7824" t="inlineStr">
        <is>
          <t>KARLSTAD</t>
        </is>
      </c>
      <c r="I7824" t="n">
        <v>1.4</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8631-2025</t>
        </is>
      </c>
      <c r="B7825" t="inlineStr">
        <is>
          <t>avverkningsanmälan</t>
        </is>
      </c>
      <c r="C7825" t="inlineStr">
        <is>
          <t>Föryngringsavverkning</t>
        </is>
      </c>
      <c r="D7825" s="1" t="n">
        <v>45711</v>
      </c>
      <c r="E7825" s="1" t="n">
        <v>46307</v>
      </c>
      <c r="F7825" t="inlineStr">
        <is>
          <t>VÄRMLANDS LÄN</t>
        </is>
      </c>
      <c r="G7825" t="inlineStr">
        <is>
          <t>ARVIKA</t>
        </is>
      </c>
      <c r="H7825" t="inlineStr">
        <is>
          <t>Bergvik skog väst AB</t>
        </is>
      </c>
      <c r="I7825" t="n">
        <v>2.4</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5803-2023</t>
        </is>
      </c>
      <c r="B7826" t="inlineStr">
        <is>
          <t>avverkningsanmälan</t>
        </is>
      </c>
      <c r="C7826" t="inlineStr">
        <is>
          <t>Avverkning för annat ändamål</t>
        </is>
      </c>
      <c r="D7826" s="1" t="n">
        <v>44963</v>
      </c>
      <c r="E7826" s="1" t="n">
        <v>46307</v>
      </c>
      <c r="F7826" t="inlineStr">
        <is>
          <t>VÄRMLANDS LÄN</t>
        </is>
      </c>
      <c r="G7826" t="inlineStr">
        <is>
          <t>FILIPSTAD</t>
        </is>
      </c>
      <c r="H7826" t="inlineStr">
        <is>
          <t>Bergvik skog väst AB</t>
        </is>
      </c>
      <c r="I7826" t="n">
        <v>2.5</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60073-2022</t>
        </is>
      </c>
      <c r="B7827" t="inlineStr">
        <is>
          <t>avverkningsanmälan</t>
        </is>
      </c>
      <c r="C7827" t="inlineStr">
        <is>
          <t>Föryngringsavverkning</t>
        </is>
      </c>
      <c r="D7827" s="1" t="n">
        <v>44909</v>
      </c>
      <c r="E7827" s="1" t="n">
        <v>46307</v>
      </c>
      <c r="F7827" t="inlineStr">
        <is>
          <t>VÄRMLANDS LÄN</t>
        </is>
      </c>
      <c r="G7827" t="inlineStr">
        <is>
          <t>SÄFFLE</t>
        </is>
      </c>
      <c r="I7827" t="n">
        <v>1.8</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19307-2022</t>
        </is>
      </c>
      <c r="B7828" t="inlineStr">
        <is>
          <t>avverkningsanmälan</t>
        </is>
      </c>
      <c r="C7828" t="inlineStr">
        <is>
          <t>Föryngringsavverkning</t>
        </is>
      </c>
      <c r="D7828" s="1" t="n">
        <v>44692</v>
      </c>
      <c r="E7828" s="1" t="n">
        <v>46307</v>
      </c>
      <c r="F7828" t="inlineStr">
        <is>
          <t>VÄRMLANDS LÄN</t>
        </is>
      </c>
      <c r="G7828" t="inlineStr">
        <is>
          <t>TORSBY</t>
        </is>
      </c>
      <c r="I7828" t="n">
        <v>3.2</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53742-2024</t>
        </is>
      </c>
      <c r="B7829" t="inlineStr">
        <is>
          <t>avverkningsanmälan</t>
        </is>
      </c>
      <c r="C7829" t="inlineStr">
        <is>
          <t>Föryngringsavverkning</t>
        </is>
      </c>
      <c r="D7829" s="1" t="n">
        <v>45615</v>
      </c>
      <c r="E7829" s="1" t="n">
        <v>46307</v>
      </c>
      <c r="F7829" t="inlineStr">
        <is>
          <t>VÄRMLANDS LÄN</t>
        </is>
      </c>
      <c r="G7829" t="inlineStr">
        <is>
          <t>ÅRJÄNG</t>
        </is>
      </c>
      <c r="I7829" t="n">
        <v>0.8</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37000-2025</t>
        </is>
      </c>
      <c r="B7830" t="inlineStr">
        <is>
          <t>avverkningsanmälan</t>
        </is>
      </c>
      <c r="C7830" t="inlineStr">
        <is>
          <t>Avverkning för annat ändamål</t>
        </is>
      </c>
      <c r="D7830" s="1" t="n">
        <v>45874</v>
      </c>
      <c r="E7830" s="1" t="n">
        <v>46307</v>
      </c>
      <c r="F7830" t="inlineStr">
        <is>
          <t>VÄRMLANDS LÄN</t>
        </is>
      </c>
      <c r="G7830" t="inlineStr">
        <is>
          <t>SÄFFLE</t>
        </is>
      </c>
      <c r="I7830" t="n">
        <v>15.2</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63186-2025</t>
        </is>
      </c>
      <c r="B7831" t="inlineStr">
        <is>
          <t>avverkningsanmälan</t>
        </is>
      </c>
      <c r="C7831" t="inlineStr">
        <is>
          <t>Föryngringsavverkning</t>
        </is>
      </c>
      <c r="D7831" s="1" t="n">
        <v>46010</v>
      </c>
      <c r="E7831" s="1" t="n">
        <v>46307</v>
      </c>
      <c r="F7831" t="inlineStr">
        <is>
          <t>VÄRMLANDS LÄN</t>
        </is>
      </c>
      <c r="G7831" t="inlineStr">
        <is>
          <t>FILIPSTAD</t>
        </is>
      </c>
      <c r="H7831" t="inlineStr">
        <is>
          <t>Bergvik skog väst AB</t>
        </is>
      </c>
      <c r="I7831" t="n">
        <v>2.6</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52382-2024</t>
        </is>
      </c>
      <c r="B7832" t="inlineStr">
        <is>
          <t>avverkningsanmälan</t>
        </is>
      </c>
      <c r="C7832" t="inlineStr">
        <is>
          <t>Föryngringsavverkning</t>
        </is>
      </c>
      <c r="D7832" s="1" t="n">
        <v>45608</v>
      </c>
      <c r="E7832" s="1" t="n">
        <v>46307</v>
      </c>
      <c r="F7832" t="inlineStr">
        <is>
          <t>VÄRMLANDS LÄN</t>
        </is>
      </c>
      <c r="G7832" t="inlineStr">
        <is>
          <t>ÅRJÄNG</t>
        </is>
      </c>
      <c r="I7832" t="n">
        <v>8.9</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52314-2024</t>
        </is>
      </c>
      <c r="B7833" t="inlineStr">
        <is>
          <t>avverkningsanmälan</t>
        </is>
      </c>
      <c r="C7833" t="inlineStr">
        <is>
          <t>Föryngringsavverkning</t>
        </is>
      </c>
      <c r="D7833" s="1" t="n">
        <v>45608</v>
      </c>
      <c r="E7833" s="1" t="n">
        <v>46307</v>
      </c>
      <c r="F7833" t="inlineStr">
        <is>
          <t>VÄRMLANDS LÄN</t>
        </is>
      </c>
      <c r="G7833" t="inlineStr">
        <is>
          <t>TORSBY</t>
        </is>
      </c>
      <c r="I7833" t="n">
        <v>0.5</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61866-2024</t>
        </is>
      </c>
      <c r="B7834" t="inlineStr">
        <is>
          <t>avverkningsanmälan</t>
        </is>
      </c>
      <c r="C7834" t="inlineStr">
        <is>
          <t>Föryngringsavverkning</t>
        </is>
      </c>
      <c r="D7834" s="1" t="n">
        <v>45651</v>
      </c>
      <c r="E7834" s="1" t="n">
        <v>46307</v>
      </c>
      <c r="F7834" t="inlineStr">
        <is>
          <t>VÄRMLANDS LÄN</t>
        </is>
      </c>
      <c r="G7834" t="inlineStr">
        <is>
          <t>ARVIKA</t>
        </is>
      </c>
      <c r="I7834" t="n">
        <v>2</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63379-2025</t>
        </is>
      </c>
      <c r="B7835" t="inlineStr">
        <is>
          <t>avverkningsanmälan</t>
        </is>
      </c>
      <c r="C7835" t="inlineStr">
        <is>
          <t>Föryngringsavverkning</t>
        </is>
      </c>
      <c r="D7835" s="1" t="n">
        <v>46010</v>
      </c>
      <c r="E7835" s="1" t="n">
        <v>46307</v>
      </c>
      <c r="F7835" t="inlineStr">
        <is>
          <t>VÄRMLANDS LÄN</t>
        </is>
      </c>
      <c r="G7835" t="inlineStr">
        <is>
          <t>TORSBY</t>
        </is>
      </c>
      <c r="H7835" t="inlineStr">
        <is>
          <t>Bergvik skog väst AB</t>
        </is>
      </c>
      <c r="I7835" t="n">
        <v>21.9</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23721-2025</t>
        </is>
      </c>
      <c r="B7836" t="inlineStr">
        <is>
          <t>avverkningsanmälan</t>
        </is>
      </c>
      <c r="C7836" t="inlineStr">
        <is>
          <t>Föryngringsavverkning</t>
        </is>
      </c>
      <c r="D7836" s="1" t="n">
        <v>45793</v>
      </c>
      <c r="E7836" s="1" t="n">
        <v>46307</v>
      </c>
      <c r="F7836" t="inlineStr">
        <is>
          <t>VÄRMLANDS LÄN</t>
        </is>
      </c>
      <c r="G7836" t="inlineStr">
        <is>
          <t>SUNNE</t>
        </is>
      </c>
      <c r="I7836" t="n">
        <v>4.8</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53678-2025</t>
        </is>
      </c>
      <c r="B7837" t="inlineStr">
        <is>
          <t>avverkningsanmälan</t>
        </is>
      </c>
      <c r="C7837" t="inlineStr">
        <is>
          <t>Föryngringsavverkning</t>
        </is>
      </c>
      <c r="D7837" s="1" t="n">
        <v>45960</v>
      </c>
      <c r="E7837" s="1" t="n">
        <v>46307</v>
      </c>
      <c r="F7837" t="inlineStr">
        <is>
          <t>VÄRMLANDS LÄN</t>
        </is>
      </c>
      <c r="G7837" t="inlineStr">
        <is>
          <t>FORSHAGA</t>
        </is>
      </c>
      <c r="I7837" t="n">
        <v>1.4</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434-2026</t>
        </is>
      </c>
      <c r="B7838" t="inlineStr">
        <is>
          <t>avverkningsanmälan</t>
        </is>
      </c>
      <c r="C7838" t="inlineStr">
        <is>
          <t>Föryngringsavverkning</t>
        </is>
      </c>
      <c r="D7838" s="1" t="n">
        <v>46029</v>
      </c>
      <c r="E7838" s="1" t="n">
        <v>46307</v>
      </c>
      <c r="F7838" t="inlineStr">
        <is>
          <t>VÄRMLANDS LÄN</t>
        </is>
      </c>
      <c r="G7838" t="inlineStr">
        <is>
          <t>ÅRJÄNG</t>
        </is>
      </c>
      <c r="I7838" t="n">
        <v>6.2</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14768-2024</t>
        </is>
      </c>
      <c r="B7839" t="inlineStr">
        <is>
          <t>avverkningsanmälan</t>
        </is>
      </c>
      <c r="C7839" t="inlineStr">
        <is>
          <t>Föryngringsavverkning</t>
        </is>
      </c>
      <c r="D7839" s="1" t="n">
        <v>45397</v>
      </c>
      <c r="E7839" s="1" t="n">
        <v>46307</v>
      </c>
      <c r="F7839" t="inlineStr">
        <is>
          <t>VÄRMLANDS LÄN</t>
        </is>
      </c>
      <c r="G7839" t="inlineStr">
        <is>
          <t>ÅRJÄNG</t>
        </is>
      </c>
      <c r="I7839" t="n">
        <v>1.9</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51075-2025</t>
        </is>
      </c>
      <c r="B7840" t="inlineStr">
        <is>
          <t>avverkningsanmälan</t>
        </is>
      </c>
      <c r="C7840" t="inlineStr">
        <is>
          <t>Föryngringsavverkning</t>
        </is>
      </c>
      <c r="D7840" s="1" t="n">
        <v>45946</v>
      </c>
      <c r="E7840" s="1" t="n">
        <v>46307</v>
      </c>
      <c r="F7840" t="inlineStr">
        <is>
          <t>VÄRMLANDS LÄN</t>
        </is>
      </c>
      <c r="G7840" t="inlineStr">
        <is>
          <t>ARVIKA</t>
        </is>
      </c>
      <c r="I7840" t="n">
        <v>2.3</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63171-2025</t>
        </is>
      </c>
      <c r="B7841" t="inlineStr">
        <is>
          <t>avverkningsanmälan</t>
        </is>
      </c>
      <c r="C7841" t="inlineStr">
        <is>
          <t>Föryngringsavverkning</t>
        </is>
      </c>
      <c r="D7841" s="1" t="n">
        <v>46010</v>
      </c>
      <c r="E7841" s="1" t="n">
        <v>46307</v>
      </c>
      <c r="F7841" t="inlineStr">
        <is>
          <t>VÄRMLANDS LÄN</t>
        </is>
      </c>
      <c r="G7841" t="inlineStr">
        <is>
          <t>SÄFFLE</t>
        </is>
      </c>
      <c r="I7841" t="n">
        <v>7.6</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15144-2023</t>
        </is>
      </c>
      <c r="B7842" t="inlineStr">
        <is>
          <t>avverkningsanmälan</t>
        </is>
      </c>
      <c r="C7842" t="inlineStr">
        <is>
          <t>Föryngringsavverkning</t>
        </is>
      </c>
      <c r="D7842" s="1" t="n">
        <v>45016</v>
      </c>
      <c r="E7842" s="1" t="n">
        <v>46307</v>
      </c>
      <c r="F7842" t="inlineStr">
        <is>
          <t>VÄRMLANDS LÄN</t>
        </is>
      </c>
      <c r="G7842" t="inlineStr">
        <is>
          <t>EDA</t>
        </is>
      </c>
      <c r="H7842" t="inlineStr">
        <is>
          <t>Övriga statliga verk och myndigheter</t>
        </is>
      </c>
      <c r="I7842" t="n">
        <v>0.3</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20050-2026</t>
        </is>
      </c>
      <c r="B7843" t="inlineStr">
        <is>
          <t>avverkningsanmälan</t>
        </is>
      </c>
      <c r="C7843" t="inlineStr">
        <is>
          <t>Föryngringsavverkning</t>
        </is>
      </c>
      <c r="D7843" s="1" t="n">
        <v>46136</v>
      </c>
      <c r="E7843" s="1" t="n">
        <v>46307</v>
      </c>
      <c r="F7843" t="inlineStr">
        <is>
          <t>VÄRMLANDS LÄN</t>
        </is>
      </c>
      <c r="G7843" t="inlineStr">
        <is>
          <t>FILIPSTAD</t>
        </is>
      </c>
      <c r="H7843" t="inlineStr">
        <is>
          <t>Bergvik skog väst AB</t>
        </is>
      </c>
      <c r="I7843" t="n">
        <v>3.1</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63018-2025</t>
        </is>
      </c>
      <c r="B7844" t="inlineStr">
        <is>
          <t>avverkningsanmälan</t>
        </is>
      </c>
      <c r="C7844" t="inlineStr">
        <is>
          <t>Föryngringsavverkning</t>
        </is>
      </c>
      <c r="D7844" s="1" t="n">
        <v>46009</v>
      </c>
      <c r="E7844" s="1" t="n">
        <v>46307</v>
      </c>
      <c r="F7844" t="inlineStr">
        <is>
          <t>VÄRMLANDS LÄN</t>
        </is>
      </c>
      <c r="G7844" t="inlineStr">
        <is>
          <t>KRISTINEHAMN</t>
        </is>
      </c>
      <c r="I7844" t="n">
        <v>0.8</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19865-2025</t>
        </is>
      </c>
      <c r="B7845" t="inlineStr">
        <is>
          <t>avverkningsanmälan</t>
        </is>
      </c>
      <c r="C7845" t="inlineStr">
        <is>
          <t>Föryngringsavverkning</t>
        </is>
      </c>
      <c r="D7845" s="1" t="n">
        <v>45771</v>
      </c>
      <c r="E7845" s="1" t="n">
        <v>46307</v>
      </c>
      <c r="F7845" t="inlineStr">
        <is>
          <t>VÄRMLANDS LÄN</t>
        </is>
      </c>
      <c r="G7845" t="inlineStr">
        <is>
          <t>SÄFFLE</t>
        </is>
      </c>
      <c r="I7845" t="n">
        <v>1.4</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28427-2025</t>
        </is>
      </c>
      <c r="B7846" t="inlineStr">
        <is>
          <t>avverkningsanmälan</t>
        </is>
      </c>
      <c r="C7846" t="inlineStr">
        <is>
          <t>Föryngringsavverkning</t>
        </is>
      </c>
      <c r="D7846" s="1" t="n">
        <v>45819</v>
      </c>
      <c r="E7846" s="1" t="n">
        <v>46307</v>
      </c>
      <c r="F7846" t="inlineStr">
        <is>
          <t>VÄRMLANDS LÄN</t>
        </is>
      </c>
      <c r="G7846" t="inlineStr">
        <is>
          <t>ARVIKA</t>
        </is>
      </c>
      <c r="I7846" t="n">
        <v>3.8</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22667-2025</t>
        </is>
      </c>
      <c r="B7847" t="inlineStr">
        <is>
          <t>avverkningsanmälan</t>
        </is>
      </c>
      <c r="C7847" t="inlineStr">
        <is>
          <t>Föryngringsavverkning</t>
        </is>
      </c>
      <c r="D7847" s="1" t="n">
        <v>45789</v>
      </c>
      <c r="E7847" s="1" t="n">
        <v>46307</v>
      </c>
      <c r="F7847" t="inlineStr">
        <is>
          <t>VÄRMLANDS LÄN</t>
        </is>
      </c>
      <c r="G7847" t="inlineStr">
        <is>
          <t>ÅRJÄNG</t>
        </is>
      </c>
      <c r="I7847" t="n">
        <v>4.4</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29265-2025</t>
        </is>
      </c>
      <c r="B7848" t="inlineStr">
        <is>
          <t>avverkningsanmälan</t>
        </is>
      </c>
      <c r="C7848" t="inlineStr">
        <is>
          <t>Föryngringsavverkning</t>
        </is>
      </c>
      <c r="D7848" s="1" t="n">
        <v>45824</v>
      </c>
      <c r="E7848" s="1" t="n">
        <v>46307</v>
      </c>
      <c r="F7848" t="inlineStr">
        <is>
          <t>VÄRMLANDS LÄN</t>
        </is>
      </c>
      <c r="G7848" t="inlineStr">
        <is>
          <t>KARLSTAD</t>
        </is>
      </c>
      <c r="I7848" t="n">
        <v>1.5</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19722-2026</t>
        </is>
      </c>
      <c r="B7849" t="inlineStr">
        <is>
          <t>avverkningsanmälan</t>
        </is>
      </c>
      <c r="C7849" t="inlineStr">
        <is>
          <t>Föryngringsavverkning</t>
        </is>
      </c>
      <c r="D7849" s="1" t="n">
        <v>46135</v>
      </c>
      <c r="E7849" s="1" t="n">
        <v>46307</v>
      </c>
      <c r="F7849" t="inlineStr">
        <is>
          <t>VÄRMLANDS LÄN</t>
        </is>
      </c>
      <c r="G7849" t="inlineStr">
        <is>
          <t>EDA</t>
        </is>
      </c>
      <c r="I7849" t="n">
        <v>0.8</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19829-2026</t>
        </is>
      </c>
      <c r="B7850" t="inlineStr">
        <is>
          <t>avverkningsanmälan</t>
        </is>
      </c>
      <c r="C7850" t="inlineStr">
        <is>
          <t>Föryngringsavverkning</t>
        </is>
      </c>
      <c r="D7850" s="1" t="n">
        <v>46135</v>
      </c>
      <c r="E7850" s="1" t="n">
        <v>46307</v>
      </c>
      <c r="F7850" t="inlineStr">
        <is>
          <t>VÄRMLANDS LÄN</t>
        </is>
      </c>
      <c r="G7850" t="inlineStr">
        <is>
          <t>ARVIKA</t>
        </is>
      </c>
      <c r="I7850" t="n">
        <v>1.2</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16494-2022</t>
        </is>
      </c>
      <c r="B7851" t="inlineStr">
        <is>
          <t>avverkningsanmälan</t>
        </is>
      </c>
      <c r="C7851" t="inlineStr">
        <is>
          <t>Föryngringsavverkning</t>
        </is>
      </c>
      <c r="D7851" s="1" t="n">
        <v>44671</v>
      </c>
      <c r="E7851" s="1" t="n">
        <v>46307</v>
      </c>
      <c r="F7851" t="inlineStr">
        <is>
          <t>VÄRMLANDS LÄN</t>
        </is>
      </c>
      <c r="G7851" t="inlineStr">
        <is>
          <t>SÄFFLE</t>
        </is>
      </c>
      <c r="I7851" t="n">
        <v>0.9</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31901-2022</t>
        </is>
      </c>
      <c r="B7852" t="inlineStr">
        <is>
          <t>avverkningsanmälan</t>
        </is>
      </c>
      <c r="C7852" t="inlineStr">
        <is>
          <t>Föryngringsavverkning</t>
        </is>
      </c>
      <c r="D7852" s="1" t="n">
        <v>44777</v>
      </c>
      <c r="E7852" s="1" t="n">
        <v>46307</v>
      </c>
      <c r="F7852" t="inlineStr">
        <is>
          <t>VÄRMLANDS LÄN</t>
        </is>
      </c>
      <c r="G7852" t="inlineStr">
        <is>
          <t>EDA</t>
        </is>
      </c>
      <c r="I7852" t="n">
        <v>1.3</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30531-2023</t>
        </is>
      </c>
      <c r="B7853" t="inlineStr">
        <is>
          <t>avverkningsanmälan</t>
        </is>
      </c>
      <c r="C7853" t="inlineStr">
        <is>
          <t>Föryngringsavverkning</t>
        </is>
      </c>
      <c r="D7853" s="1" t="n">
        <v>45111</v>
      </c>
      <c r="E7853" s="1" t="n">
        <v>46307</v>
      </c>
      <c r="F7853" t="inlineStr">
        <is>
          <t>VÄRMLANDS LÄN</t>
        </is>
      </c>
      <c r="G7853" t="inlineStr">
        <is>
          <t>TORSBY</t>
        </is>
      </c>
      <c r="I7853" t="n">
        <v>0.8</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30548-2023</t>
        </is>
      </c>
      <c r="B7854" t="inlineStr">
        <is>
          <t>avverkningsanmälan</t>
        </is>
      </c>
      <c r="C7854" t="inlineStr">
        <is>
          <t>Föryngringsavverkning</t>
        </is>
      </c>
      <c r="D7854" s="1" t="n">
        <v>45111</v>
      </c>
      <c r="E7854" s="1" t="n">
        <v>46307</v>
      </c>
      <c r="F7854" t="inlineStr">
        <is>
          <t>VÄRMLANDS LÄN</t>
        </is>
      </c>
      <c r="G7854" t="inlineStr">
        <is>
          <t>ÅRJÄNG</t>
        </is>
      </c>
      <c r="I7854" t="n">
        <v>4.7</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63120-2025</t>
        </is>
      </c>
      <c r="B7855" t="inlineStr">
        <is>
          <t>avverkningsanmälan</t>
        </is>
      </c>
      <c r="C7855" t="inlineStr">
        <is>
          <t>Föryngringsavverkning</t>
        </is>
      </c>
      <c r="D7855" s="1" t="n">
        <v>46009</v>
      </c>
      <c r="E7855" s="1" t="n">
        <v>46307</v>
      </c>
      <c r="F7855" t="inlineStr">
        <is>
          <t>VÄRMLANDS LÄN</t>
        </is>
      </c>
      <c r="G7855" t="inlineStr">
        <is>
          <t>KARLSTAD</t>
        </is>
      </c>
      <c r="I7855" t="n">
        <v>4</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57100-2022</t>
        </is>
      </c>
      <c r="B7856" t="inlineStr">
        <is>
          <t>avverkningsanmälan</t>
        </is>
      </c>
      <c r="C7856" t="inlineStr">
        <is>
          <t>Föryngringsavverkning</t>
        </is>
      </c>
      <c r="D7856" s="1" t="n">
        <v>44895</v>
      </c>
      <c r="E7856" s="1" t="n">
        <v>46307</v>
      </c>
      <c r="F7856" t="inlineStr">
        <is>
          <t>VÄRMLANDS LÄN</t>
        </is>
      </c>
      <c r="G7856" t="inlineStr">
        <is>
          <t>KARLSTAD</t>
        </is>
      </c>
      <c r="I7856" t="n">
        <v>0.3</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32747-2024</t>
        </is>
      </c>
      <c r="B7857" t="inlineStr">
        <is>
          <t>avverkningsanmälan</t>
        </is>
      </c>
      <c r="C7857" t="inlineStr">
        <is>
          <t>Föryngringsavverkning</t>
        </is>
      </c>
      <c r="D7857" s="1" t="n">
        <v>45516</v>
      </c>
      <c r="E7857" s="1" t="n">
        <v>46307</v>
      </c>
      <c r="F7857" t="inlineStr">
        <is>
          <t>VÄRMLANDS LÄN</t>
        </is>
      </c>
      <c r="G7857" t="inlineStr">
        <is>
          <t>SÄFFLE</t>
        </is>
      </c>
      <c r="I7857" t="n">
        <v>2</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32751-2024</t>
        </is>
      </c>
      <c r="B7858" t="inlineStr">
        <is>
          <t>avverkningsanmälan</t>
        </is>
      </c>
      <c r="C7858" t="inlineStr">
        <is>
          <t>Avverkning för annat ändamål</t>
        </is>
      </c>
      <c r="D7858" s="1" t="n">
        <v>45516</v>
      </c>
      <c r="E7858" s="1" t="n">
        <v>46307</v>
      </c>
      <c r="F7858" t="inlineStr">
        <is>
          <t>VÄRMLANDS LÄN</t>
        </is>
      </c>
      <c r="G7858" t="inlineStr">
        <is>
          <t>SÄFFLE</t>
        </is>
      </c>
      <c r="I7858" t="n">
        <v>3.6</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58244-2025</t>
        </is>
      </c>
      <c r="B7859" t="inlineStr">
        <is>
          <t>avverkningsanmälan</t>
        </is>
      </c>
      <c r="C7859" t="inlineStr">
        <is>
          <t>Föryngringsavverkning</t>
        </is>
      </c>
      <c r="D7859" s="1" t="n">
        <v>45985</v>
      </c>
      <c r="E7859" s="1" t="n">
        <v>46307</v>
      </c>
      <c r="F7859" t="inlineStr">
        <is>
          <t>VÄRMLANDS LÄN</t>
        </is>
      </c>
      <c r="G7859" t="inlineStr">
        <is>
          <t>KIL</t>
        </is>
      </c>
      <c r="I7859" t="n">
        <v>2.3</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32776-2024</t>
        </is>
      </c>
      <c r="B7860" t="inlineStr">
        <is>
          <t>avverkningsanmälan</t>
        </is>
      </c>
      <c r="C7860" t="inlineStr">
        <is>
          <t>Föryngringsavverkning</t>
        </is>
      </c>
      <c r="D7860" s="1" t="n">
        <v>45516</v>
      </c>
      <c r="E7860" s="1" t="n">
        <v>46307</v>
      </c>
      <c r="F7860" t="inlineStr">
        <is>
          <t>VÄRMLANDS LÄN</t>
        </is>
      </c>
      <c r="G7860" t="inlineStr">
        <is>
          <t>ÅRJÄNG</t>
        </is>
      </c>
      <c r="I7860" t="n">
        <v>1</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63248-2025</t>
        </is>
      </c>
      <c r="B7861" t="inlineStr">
        <is>
          <t>avverkningsanmälan</t>
        </is>
      </c>
      <c r="C7861" t="inlineStr">
        <is>
          <t>Föryngringsavverkning</t>
        </is>
      </c>
      <c r="D7861" s="1" t="n">
        <v>46010</v>
      </c>
      <c r="E7861" s="1" t="n">
        <v>46307</v>
      </c>
      <c r="F7861" t="inlineStr">
        <is>
          <t>VÄRMLANDS LÄN</t>
        </is>
      </c>
      <c r="G7861" t="inlineStr">
        <is>
          <t>EDA</t>
        </is>
      </c>
      <c r="I7861" t="n">
        <v>3.1</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63361-2025</t>
        </is>
      </c>
      <c r="B7862" t="inlineStr">
        <is>
          <t>avverkningsanmälan</t>
        </is>
      </c>
      <c r="C7862" t="inlineStr">
        <is>
          <t>Föryngringsavverkning</t>
        </is>
      </c>
      <c r="D7862" s="1" t="n">
        <v>46010</v>
      </c>
      <c r="E7862" s="1" t="n">
        <v>46307</v>
      </c>
      <c r="F7862" t="inlineStr">
        <is>
          <t>VÄRMLANDS LÄN</t>
        </is>
      </c>
      <c r="G7862" t="inlineStr">
        <is>
          <t>HAGFORS</t>
        </is>
      </c>
      <c r="H7862" t="inlineStr">
        <is>
          <t>Bergvik skog väst AB</t>
        </is>
      </c>
      <c r="I7862" t="n">
        <v>1.9</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19971-2026</t>
        </is>
      </c>
      <c r="B7863" t="inlineStr">
        <is>
          <t>avverkningsanmälan</t>
        </is>
      </c>
      <c r="C7863" t="inlineStr">
        <is>
          <t>Föryngringsavverkning</t>
        </is>
      </c>
      <c r="D7863" s="1" t="n">
        <v>46136</v>
      </c>
      <c r="E7863" s="1" t="n">
        <v>46307</v>
      </c>
      <c r="F7863" t="inlineStr">
        <is>
          <t>VÄRMLANDS LÄN</t>
        </is>
      </c>
      <c r="G7863" t="inlineStr">
        <is>
          <t>TORSBY</t>
        </is>
      </c>
      <c r="I7863" t="n">
        <v>2.3</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45206-2023</t>
        </is>
      </c>
      <c r="B7864" t="inlineStr">
        <is>
          <t>avverkningsanmälan</t>
        </is>
      </c>
      <c r="C7864" t="inlineStr">
        <is>
          <t>Föryngringsavverkning</t>
        </is>
      </c>
      <c r="D7864" s="1" t="n">
        <v>45191</v>
      </c>
      <c r="E7864" s="1" t="n">
        <v>46307</v>
      </c>
      <c r="F7864" t="inlineStr">
        <is>
          <t>VÄRMLANDS LÄN</t>
        </is>
      </c>
      <c r="G7864" t="inlineStr">
        <is>
          <t>SUNNE</t>
        </is>
      </c>
      <c r="I7864" t="n">
        <v>1.1</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17174-2023</t>
        </is>
      </c>
      <c r="B7865" t="inlineStr">
        <is>
          <t>avverkningsanmälan</t>
        </is>
      </c>
      <c r="C7865" t="inlineStr">
        <is>
          <t>Föryngringsavverkning</t>
        </is>
      </c>
      <c r="D7865" s="1" t="n">
        <v>45034</v>
      </c>
      <c r="E7865" s="1" t="n">
        <v>46307</v>
      </c>
      <c r="F7865" t="inlineStr">
        <is>
          <t>VÄRMLANDS LÄN</t>
        </is>
      </c>
      <c r="G7865" t="inlineStr">
        <is>
          <t>ÅRJÄNG</t>
        </is>
      </c>
      <c r="I7865" t="n">
        <v>4.9</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63280-2025</t>
        </is>
      </c>
      <c r="B7866" t="inlineStr">
        <is>
          <t>avverkningsanmälan</t>
        </is>
      </c>
      <c r="C7866" t="inlineStr">
        <is>
          <t>Föryngringsavverkning</t>
        </is>
      </c>
      <c r="D7866" s="1" t="n">
        <v>46010</v>
      </c>
      <c r="E7866" s="1" t="n">
        <v>46307</v>
      </c>
      <c r="F7866" t="inlineStr">
        <is>
          <t>VÄRMLANDS LÄN</t>
        </is>
      </c>
      <c r="G7866" t="inlineStr">
        <is>
          <t>SUNNE</t>
        </is>
      </c>
      <c r="H7866" t="inlineStr">
        <is>
          <t>Kyrkan</t>
        </is>
      </c>
      <c r="I7866" t="n">
        <v>7.9</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63285-2025</t>
        </is>
      </c>
      <c r="B7867" t="inlineStr">
        <is>
          <t>avverkningsanmälan</t>
        </is>
      </c>
      <c r="C7867" t="inlineStr">
        <is>
          <t>Föryngringsavverkning</t>
        </is>
      </c>
      <c r="D7867" s="1" t="n">
        <v>46010</v>
      </c>
      <c r="E7867" s="1" t="n">
        <v>46307</v>
      </c>
      <c r="F7867" t="inlineStr">
        <is>
          <t>VÄRMLANDS LÄN</t>
        </is>
      </c>
      <c r="G7867" t="inlineStr">
        <is>
          <t>HAGFORS</t>
        </is>
      </c>
      <c r="H7867" t="inlineStr">
        <is>
          <t>Bergvik skog väst AB</t>
        </is>
      </c>
      <c r="I7867" t="n">
        <v>1.7</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19882-2026</t>
        </is>
      </c>
      <c r="B7868" t="inlineStr">
        <is>
          <t>avverkningsanmälan</t>
        </is>
      </c>
      <c r="C7868" t="inlineStr">
        <is>
          <t>Föryngringsavverkning</t>
        </is>
      </c>
      <c r="D7868" s="1" t="n">
        <v>46135</v>
      </c>
      <c r="E7868" s="1" t="n">
        <v>46307</v>
      </c>
      <c r="F7868" t="inlineStr">
        <is>
          <t>VÄRMLANDS LÄN</t>
        </is>
      </c>
      <c r="G7868" t="inlineStr">
        <is>
          <t>FILIPSTAD</t>
        </is>
      </c>
      <c r="H7868" t="inlineStr">
        <is>
          <t>Bergvik skog väst AB</t>
        </is>
      </c>
      <c r="I7868" t="n">
        <v>8.800000000000001</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37420-2025</t>
        </is>
      </c>
      <c r="B7869" t="inlineStr">
        <is>
          <t>avverkningsanmälan</t>
        </is>
      </c>
      <c r="C7869" t="inlineStr">
        <is>
          <t>Föryngringsavverkning</t>
        </is>
      </c>
      <c r="D7869" s="1" t="n">
        <v>45877</v>
      </c>
      <c r="E7869" s="1" t="n">
        <v>46307</v>
      </c>
      <c r="F7869" t="inlineStr">
        <is>
          <t>VÄRMLANDS LÄN</t>
        </is>
      </c>
      <c r="G7869" t="inlineStr">
        <is>
          <t>ÅRJÄNG</t>
        </is>
      </c>
      <c r="I7869" t="n">
        <v>0.9</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1200-2023</t>
        </is>
      </c>
      <c r="B7870" t="inlineStr">
        <is>
          <t>avverkningsanmälan</t>
        </is>
      </c>
      <c r="C7870" t="inlineStr">
        <is>
          <t>Föryngringsavverkning</t>
        </is>
      </c>
      <c r="D7870" s="1" t="n">
        <v>44935</v>
      </c>
      <c r="E7870" s="1" t="n">
        <v>46307</v>
      </c>
      <c r="F7870" t="inlineStr">
        <is>
          <t>VÄRMLANDS LÄN</t>
        </is>
      </c>
      <c r="G7870" t="inlineStr">
        <is>
          <t>ÅRJÄNG</t>
        </is>
      </c>
      <c r="I7870" t="n">
        <v>1.5</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24244-2023</t>
        </is>
      </c>
      <c r="B7871" t="inlineStr">
        <is>
          <t>avverkningsanmälan</t>
        </is>
      </c>
      <c r="C7871" t="inlineStr">
        <is>
          <t>Föryngringsavverkning</t>
        </is>
      </c>
      <c r="D7871" s="1" t="n">
        <v>45079</v>
      </c>
      <c r="E7871" s="1" t="n">
        <v>46307</v>
      </c>
      <c r="F7871" t="inlineStr">
        <is>
          <t>VÄRMLANDS LÄN</t>
        </is>
      </c>
      <c r="G7871" t="inlineStr">
        <is>
          <t>TORSBY</t>
        </is>
      </c>
      <c r="I7871" t="n">
        <v>3</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4745-2024</t>
        </is>
      </c>
      <c r="B7872" t="inlineStr">
        <is>
          <t>avverkningsanmälan</t>
        </is>
      </c>
      <c r="C7872" t="inlineStr">
        <is>
          <t>Föryngringsavverkning</t>
        </is>
      </c>
      <c r="D7872" s="1" t="n">
        <v>45328</v>
      </c>
      <c r="E7872" s="1" t="n">
        <v>46307</v>
      </c>
      <c r="F7872" t="inlineStr">
        <is>
          <t>VÄRMLANDS LÄN</t>
        </is>
      </c>
      <c r="G7872" t="inlineStr">
        <is>
          <t>HAGFORS</t>
        </is>
      </c>
      <c r="I7872" t="n">
        <v>4.2</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22362-2024</t>
        </is>
      </c>
      <c r="B7873" t="inlineStr">
        <is>
          <t>avverkningsanmälan</t>
        </is>
      </c>
      <c r="C7873" t="inlineStr">
        <is>
          <t>Föryngringsavverkning</t>
        </is>
      </c>
      <c r="D7873" s="1" t="n">
        <v>45446</v>
      </c>
      <c r="E7873" s="1" t="n">
        <v>46307</v>
      </c>
      <c r="F7873" t="inlineStr">
        <is>
          <t>VÄRMLANDS LÄN</t>
        </is>
      </c>
      <c r="G7873" t="inlineStr">
        <is>
          <t>FORSHAGA</t>
        </is>
      </c>
      <c r="I7873" t="n">
        <v>1.6</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62210-2023</t>
        </is>
      </c>
      <c r="B7874" t="inlineStr">
        <is>
          <t>avverkningsanmälan</t>
        </is>
      </c>
      <c r="C7874" t="inlineStr">
        <is>
          <t>Föryngringsavverkning</t>
        </is>
      </c>
      <c r="D7874" s="1" t="n">
        <v>45267</v>
      </c>
      <c r="E7874" s="1" t="n">
        <v>46307</v>
      </c>
      <c r="F7874" t="inlineStr">
        <is>
          <t>VÄRMLANDS LÄN</t>
        </is>
      </c>
      <c r="G7874" t="inlineStr">
        <is>
          <t>TORSBY</t>
        </is>
      </c>
      <c r="I7874" t="n">
        <v>3</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18210-2024</t>
        </is>
      </c>
      <c r="B7875" t="inlineStr">
        <is>
          <t>avverkningsanmälan</t>
        </is>
      </c>
      <c r="C7875" t="inlineStr">
        <is>
          <t>Föryngringsavverkning</t>
        </is>
      </c>
      <c r="D7875" s="1" t="n">
        <v>45420</v>
      </c>
      <c r="E7875" s="1" t="n">
        <v>46307</v>
      </c>
      <c r="F7875" t="inlineStr">
        <is>
          <t>VÄRMLANDS LÄN</t>
        </is>
      </c>
      <c r="G7875" t="inlineStr">
        <is>
          <t>FILIPSTAD</t>
        </is>
      </c>
      <c r="H7875" t="inlineStr">
        <is>
          <t>Bergvik skog väst AB</t>
        </is>
      </c>
      <c r="I7875" t="n">
        <v>5</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28988-2024</t>
        </is>
      </c>
      <c r="B7876" t="inlineStr">
        <is>
          <t>avverkningsanmälan</t>
        </is>
      </c>
      <c r="C7876" t="inlineStr">
        <is>
          <t>Föryngringsavverkning</t>
        </is>
      </c>
      <c r="D7876" s="1" t="n">
        <v>45481</v>
      </c>
      <c r="E7876" s="1" t="n">
        <v>46307</v>
      </c>
      <c r="F7876" t="inlineStr">
        <is>
          <t>VÄRMLANDS LÄN</t>
        </is>
      </c>
      <c r="G7876" t="inlineStr">
        <is>
          <t>SÄFFLE</t>
        </is>
      </c>
      <c r="I7876" t="n">
        <v>1.8</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19967-2026</t>
        </is>
      </c>
      <c r="B7877" t="inlineStr">
        <is>
          <t>avverkningsanmälan</t>
        </is>
      </c>
      <c r="C7877" t="inlineStr">
        <is>
          <t>Föryngringsavverkning</t>
        </is>
      </c>
      <c r="D7877" s="1" t="n">
        <v>46136</v>
      </c>
      <c r="E7877" s="1" t="n">
        <v>46307</v>
      </c>
      <c r="F7877" t="inlineStr">
        <is>
          <t>VÄRMLANDS LÄN</t>
        </is>
      </c>
      <c r="G7877" t="inlineStr">
        <is>
          <t>TORSBY</t>
        </is>
      </c>
      <c r="I7877" t="n">
        <v>4.1</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37483-2025</t>
        </is>
      </c>
      <c r="B7878" t="inlineStr">
        <is>
          <t>avverkningsanmälan</t>
        </is>
      </c>
      <c r="C7878" t="inlineStr">
        <is>
          <t>Föryngringsavverkning</t>
        </is>
      </c>
      <c r="D7878" s="1" t="n">
        <v>45877</v>
      </c>
      <c r="E7878" s="1" t="n">
        <v>46307</v>
      </c>
      <c r="F7878" t="inlineStr">
        <is>
          <t>VÄRMLANDS LÄN</t>
        </is>
      </c>
      <c r="G7878" t="inlineStr">
        <is>
          <t>SUNNE</t>
        </is>
      </c>
      <c r="I7878" t="n">
        <v>1.2</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40021-2025</t>
        </is>
      </c>
      <c r="B7879" t="inlineStr">
        <is>
          <t>avverkningsanmälan</t>
        </is>
      </c>
      <c r="C7879" t="inlineStr">
        <is>
          <t>Föryngringsavverkning</t>
        </is>
      </c>
      <c r="D7879" s="1" t="n">
        <v>45894</v>
      </c>
      <c r="E7879" s="1" t="n">
        <v>46307</v>
      </c>
      <c r="F7879" t="inlineStr">
        <is>
          <t>VÄRMLANDS LÄN</t>
        </is>
      </c>
      <c r="G7879" t="inlineStr">
        <is>
          <t>SÄFFLE</t>
        </is>
      </c>
      <c r="I7879" t="n">
        <v>4.1</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21974-2025</t>
        </is>
      </c>
      <c r="B7880" t="inlineStr">
        <is>
          <t>avverkningsanmälan</t>
        </is>
      </c>
      <c r="C7880" t="inlineStr">
        <is>
          <t>Föryngringsavverkning</t>
        </is>
      </c>
      <c r="D7880" s="1" t="n">
        <v>45784</v>
      </c>
      <c r="E7880" s="1" t="n">
        <v>46307</v>
      </c>
      <c r="F7880" t="inlineStr">
        <is>
          <t>VÄRMLANDS LÄN</t>
        </is>
      </c>
      <c r="G7880" t="inlineStr">
        <is>
          <t>TORSBY</t>
        </is>
      </c>
      <c r="H7880" t="inlineStr">
        <is>
          <t>Bergvik skog väst AB</t>
        </is>
      </c>
      <c r="I7880" t="n">
        <v>6.9</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7643-2025</t>
        </is>
      </c>
      <c r="B7881" t="inlineStr">
        <is>
          <t>avverkningsanmälan</t>
        </is>
      </c>
      <c r="C7881" t="inlineStr">
        <is>
          <t>Föryngringsavverkning</t>
        </is>
      </c>
      <c r="D7881" s="1" t="n">
        <v>45705</v>
      </c>
      <c r="E7881" s="1" t="n">
        <v>46307</v>
      </c>
      <c r="F7881" t="inlineStr">
        <is>
          <t>VÄRMLANDS LÄN</t>
        </is>
      </c>
      <c r="G7881" t="inlineStr">
        <is>
          <t>TORSBY</t>
        </is>
      </c>
      <c r="I7881" t="n">
        <v>1.4</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61865-2024</t>
        </is>
      </c>
      <c r="B7882" t="inlineStr">
        <is>
          <t>avverkningsanmälan</t>
        </is>
      </c>
      <c r="C7882" t="inlineStr">
        <is>
          <t>Föryngringsavverkning</t>
        </is>
      </c>
      <c r="D7882" s="1" t="n">
        <v>45651</v>
      </c>
      <c r="E7882" s="1" t="n">
        <v>46307</v>
      </c>
      <c r="F7882" t="inlineStr">
        <is>
          <t>VÄRMLANDS LÄN</t>
        </is>
      </c>
      <c r="G7882" t="inlineStr">
        <is>
          <t>ARVIKA</t>
        </is>
      </c>
      <c r="I7882" t="n">
        <v>2.8</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1285-2022</t>
        </is>
      </c>
      <c r="B7883" t="inlineStr">
        <is>
          <t>avverkningsanmälan</t>
        </is>
      </c>
      <c r="C7883" t="inlineStr">
        <is>
          <t>Föryngringsavverkning</t>
        </is>
      </c>
      <c r="D7883" s="1" t="n">
        <v>44572</v>
      </c>
      <c r="E7883" s="1" t="n">
        <v>46307</v>
      </c>
      <c r="F7883" t="inlineStr">
        <is>
          <t>VÄRMLANDS LÄN</t>
        </is>
      </c>
      <c r="G7883" t="inlineStr">
        <is>
          <t>SÄFFLE</t>
        </is>
      </c>
      <c r="I7883" t="n">
        <v>2.3</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37510-2025</t>
        </is>
      </c>
      <c r="B7884" t="inlineStr">
        <is>
          <t>avverkningsanmälan</t>
        </is>
      </c>
      <c r="C7884" t="inlineStr">
        <is>
          <t>Föryngringsavverkning</t>
        </is>
      </c>
      <c r="D7884" s="1" t="n">
        <v>45877</v>
      </c>
      <c r="E7884" s="1" t="n">
        <v>46307</v>
      </c>
      <c r="F7884" t="inlineStr">
        <is>
          <t>VÄRMLANDS LÄN</t>
        </is>
      </c>
      <c r="G7884" t="inlineStr">
        <is>
          <t>ÅRJÄNG</t>
        </is>
      </c>
      <c r="I7884" t="n">
        <v>10.4</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38232-2025</t>
        </is>
      </c>
      <c r="B7885" t="inlineStr">
        <is>
          <t>avverkningsanmälan</t>
        </is>
      </c>
      <c r="C7885" t="inlineStr">
        <is>
          <t>Föryngringsavverkning</t>
        </is>
      </c>
      <c r="D7885" s="1" t="n">
        <v>45883</v>
      </c>
      <c r="E7885" s="1" t="n">
        <v>46307</v>
      </c>
      <c r="F7885" t="inlineStr">
        <is>
          <t>VÄRMLANDS LÄN</t>
        </is>
      </c>
      <c r="G7885" t="inlineStr">
        <is>
          <t>TORSBY</t>
        </is>
      </c>
      <c r="H7885" t="inlineStr">
        <is>
          <t>Bergvik skog väst AB</t>
        </is>
      </c>
      <c r="I7885" t="n">
        <v>4.3</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35367-2025</t>
        </is>
      </c>
      <c r="B7886" t="inlineStr">
        <is>
          <t>avverkningsanmälan</t>
        </is>
      </c>
      <c r="C7886" t="inlineStr">
        <is>
          <t>Föryngringsavverkning</t>
        </is>
      </c>
      <c r="D7886" s="1" t="n">
        <v>45854</v>
      </c>
      <c r="E7886" s="1" t="n">
        <v>46307</v>
      </c>
      <c r="F7886" t="inlineStr">
        <is>
          <t>VÄRMLANDS LÄN</t>
        </is>
      </c>
      <c r="G7886" t="inlineStr">
        <is>
          <t>TORSBY</t>
        </is>
      </c>
      <c r="I7886" t="n">
        <v>2.9</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63626-2025</t>
        </is>
      </c>
      <c r="B7887" t="inlineStr">
        <is>
          <t>avverkningsanmälan</t>
        </is>
      </c>
      <c r="C7887" t="inlineStr">
        <is>
          <t>Föryngringsavverkning</t>
        </is>
      </c>
      <c r="D7887" s="1" t="n">
        <v>46014</v>
      </c>
      <c r="E7887" s="1" t="n">
        <v>46307</v>
      </c>
      <c r="F7887" t="inlineStr">
        <is>
          <t>VÄRMLANDS LÄN</t>
        </is>
      </c>
      <c r="G7887" t="inlineStr">
        <is>
          <t>TORSBY</t>
        </is>
      </c>
      <c r="I7887" t="n">
        <v>3.2</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21580-2024</t>
        </is>
      </c>
      <c r="B7888" t="inlineStr">
        <is>
          <t>avverkningsanmälan</t>
        </is>
      </c>
      <c r="C7888" t="inlineStr">
        <is>
          <t>Föryngringsavverkning</t>
        </is>
      </c>
      <c r="D7888" s="1" t="n">
        <v>45441</v>
      </c>
      <c r="E7888" s="1" t="n">
        <v>46307</v>
      </c>
      <c r="F7888" t="inlineStr">
        <is>
          <t>VÄRMLANDS LÄN</t>
        </is>
      </c>
      <c r="G7888" t="inlineStr">
        <is>
          <t>TORSBY</t>
        </is>
      </c>
      <c r="I7888" t="n">
        <v>2.8</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12402-2025</t>
        </is>
      </c>
      <c r="B7889" t="inlineStr">
        <is>
          <t>avverkningsanmälan</t>
        </is>
      </c>
      <c r="C7889" t="inlineStr">
        <is>
          <t>Föryngringsavverkning</t>
        </is>
      </c>
      <c r="D7889" s="1" t="n">
        <v>45730</v>
      </c>
      <c r="E7889" s="1" t="n">
        <v>46307</v>
      </c>
      <c r="F7889" t="inlineStr">
        <is>
          <t>VÄRMLANDS LÄN</t>
        </is>
      </c>
      <c r="G7889" t="inlineStr">
        <is>
          <t>TORSBY</t>
        </is>
      </c>
      <c r="I7889" t="n">
        <v>1.5</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54367-2022</t>
        </is>
      </c>
      <c r="B7890" t="inlineStr">
        <is>
          <t>avverkningsanmälan</t>
        </is>
      </c>
      <c r="C7890" t="inlineStr">
        <is>
          <t>Föryngringsavverkning</t>
        </is>
      </c>
      <c r="D7890" s="1" t="n">
        <v>44879</v>
      </c>
      <c r="E7890" s="1" t="n">
        <v>46307</v>
      </c>
      <c r="F7890" t="inlineStr">
        <is>
          <t>VÄRMLANDS LÄN</t>
        </is>
      </c>
      <c r="G7890" t="inlineStr">
        <is>
          <t>SÄFFLE</t>
        </is>
      </c>
      <c r="I7890" t="n">
        <v>2.1</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70127-2021</t>
        </is>
      </c>
      <c r="B7891" t="inlineStr">
        <is>
          <t>avverkningsanmälan</t>
        </is>
      </c>
      <c r="C7891" t="inlineStr">
        <is>
          <t>Föryngringsavverkning</t>
        </is>
      </c>
      <c r="D7891" s="1" t="n">
        <v>44533</v>
      </c>
      <c r="E7891" s="1" t="n">
        <v>46307</v>
      </c>
      <c r="F7891" t="inlineStr">
        <is>
          <t>VÄRMLANDS LÄN</t>
        </is>
      </c>
      <c r="G7891" t="inlineStr">
        <is>
          <t>KARLSTAD</t>
        </is>
      </c>
      <c r="I7891" t="n">
        <v>0.9</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17094-2025</t>
        </is>
      </c>
      <c r="B7892" t="inlineStr">
        <is>
          <t>avverkningsanmälan</t>
        </is>
      </c>
      <c r="C7892" t="inlineStr">
        <is>
          <t>Föryngringsavverkning</t>
        </is>
      </c>
      <c r="D7892" s="1" t="n">
        <v>45755</v>
      </c>
      <c r="E7892" s="1" t="n">
        <v>46307</v>
      </c>
      <c r="F7892" t="inlineStr">
        <is>
          <t>VÄRMLANDS LÄN</t>
        </is>
      </c>
      <c r="G7892" t="inlineStr">
        <is>
          <t>SUNNE</t>
        </is>
      </c>
      <c r="I7892" t="n">
        <v>1</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40646-2025</t>
        </is>
      </c>
      <c r="B7893" t="inlineStr">
        <is>
          <t>avverkningsanmälan</t>
        </is>
      </c>
      <c r="C7893" t="inlineStr">
        <is>
          <t>Föryngringsavverkning</t>
        </is>
      </c>
      <c r="D7893" s="1" t="n">
        <v>45896</v>
      </c>
      <c r="E7893" s="1" t="n">
        <v>46307</v>
      </c>
      <c r="F7893" t="inlineStr">
        <is>
          <t>VÄRMLANDS LÄN</t>
        </is>
      </c>
      <c r="G7893" t="inlineStr">
        <is>
          <t>FILIPSTAD</t>
        </is>
      </c>
      <c r="H7893" t="inlineStr">
        <is>
          <t>Bergvik skog väst AB</t>
        </is>
      </c>
      <c r="I7893" t="n">
        <v>1.8</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44385-2022</t>
        </is>
      </c>
      <c r="B7894" t="inlineStr">
        <is>
          <t>avverkningsanmälan</t>
        </is>
      </c>
      <c r="C7894" t="inlineStr">
        <is>
          <t>Avverkning för annat ändamål</t>
        </is>
      </c>
      <c r="D7894" s="1" t="n">
        <v>44839</v>
      </c>
      <c r="E7894" s="1" t="n">
        <v>46307</v>
      </c>
      <c r="F7894" t="inlineStr">
        <is>
          <t>VÄRMLANDS LÄN</t>
        </is>
      </c>
      <c r="G7894" t="inlineStr">
        <is>
          <t>ÅRJÄNG</t>
        </is>
      </c>
      <c r="I7894" t="n">
        <v>1.2</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40221-2022</t>
        </is>
      </c>
      <c r="B7895" t="inlineStr">
        <is>
          <t>avverkningsanmälan</t>
        </is>
      </c>
      <c r="C7895" t="inlineStr">
        <is>
          <t>Föryngringsavverkning</t>
        </is>
      </c>
      <c r="D7895" s="1" t="n">
        <v>44820</v>
      </c>
      <c r="E7895" s="1" t="n">
        <v>46307</v>
      </c>
      <c r="F7895" t="inlineStr">
        <is>
          <t>VÄRMLANDS LÄN</t>
        </is>
      </c>
      <c r="G7895" t="inlineStr">
        <is>
          <t>TORSBY</t>
        </is>
      </c>
      <c r="I7895" t="n">
        <v>2.1</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61008-2024</t>
        </is>
      </c>
      <c r="B7896" t="inlineStr">
        <is>
          <t>avverkningsanmälan</t>
        </is>
      </c>
      <c r="C7896" t="inlineStr">
        <is>
          <t>Föryngringsavverkning</t>
        </is>
      </c>
      <c r="D7896" s="1" t="n">
        <v>45645</v>
      </c>
      <c r="E7896" s="1" t="n">
        <v>46307</v>
      </c>
      <c r="F7896" t="inlineStr">
        <is>
          <t>VÄRMLANDS LÄN</t>
        </is>
      </c>
      <c r="G7896" t="inlineStr">
        <is>
          <t>ARVIKA</t>
        </is>
      </c>
      <c r="I7896" t="n">
        <v>38.7</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42343-2025</t>
        </is>
      </c>
      <c r="B7897" t="inlineStr">
        <is>
          <t>avverkningsanmälan</t>
        </is>
      </c>
      <c r="C7897" t="inlineStr">
        <is>
          <t>Föryngringsavverkning</t>
        </is>
      </c>
      <c r="D7897" s="1" t="n">
        <v>45877</v>
      </c>
      <c r="E7897" s="1" t="n">
        <v>46307</v>
      </c>
      <c r="F7897" t="inlineStr">
        <is>
          <t>VÄRMLANDS LÄN</t>
        </is>
      </c>
      <c r="G7897" t="inlineStr">
        <is>
          <t>KARLSTAD</t>
        </is>
      </c>
      <c r="I7897" t="n">
        <v>1.5</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67174-2021</t>
        </is>
      </c>
      <c r="B7898" t="inlineStr">
        <is>
          <t>avverkningsanmälan</t>
        </is>
      </c>
      <c r="C7898" t="inlineStr">
        <is>
          <t>Föryngringsavverkning</t>
        </is>
      </c>
      <c r="D7898" s="1" t="n">
        <v>44523</v>
      </c>
      <c r="E7898" s="1" t="n">
        <v>46307</v>
      </c>
      <c r="F7898" t="inlineStr">
        <is>
          <t>VÄRMLANDS LÄN</t>
        </is>
      </c>
      <c r="G7898" t="inlineStr">
        <is>
          <t>SÄFFLE</t>
        </is>
      </c>
      <c r="I7898" t="n">
        <v>2.8</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68180-2021</t>
        </is>
      </c>
      <c r="B7899" t="inlineStr">
        <is>
          <t>avverkningsanmälan</t>
        </is>
      </c>
      <c r="C7899" t="inlineStr">
        <is>
          <t>Föryngringsavverkning</t>
        </is>
      </c>
      <c r="D7899" s="1" t="n">
        <v>44526</v>
      </c>
      <c r="E7899" s="1" t="n">
        <v>46307</v>
      </c>
      <c r="F7899" t="inlineStr">
        <is>
          <t>VÄRMLANDS LÄN</t>
        </is>
      </c>
      <c r="G7899" t="inlineStr">
        <is>
          <t>ÅRJÄNG</t>
        </is>
      </c>
      <c r="H7899" t="inlineStr">
        <is>
          <t>Kyrkan</t>
        </is>
      </c>
      <c r="I7899" t="n">
        <v>4.1</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10134-2024</t>
        </is>
      </c>
      <c r="B7900" t="inlineStr">
        <is>
          <t>avverkningsanmälan</t>
        </is>
      </c>
      <c r="C7900" t="inlineStr">
        <is>
          <t>Föryngringsavverkning</t>
        </is>
      </c>
      <c r="D7900" s="1" t="n">
        <v>45364</v>
      </c>
      <c r="E7900" s="1" t="n">
        <v>46307</v>
      </c>
      <c r="F7900" t="inlineStr">
        <is>
          <t>VÄRMLANDS LÄN</t>
        </is>
      </c>
      <c r="G7900" t="inlineStr">
        <is>
          <t>SUNNE</t>
        </is>
      </c>
      <c r="I7900" t="n">
        <v>1.2</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21576-2025</t>
        </is>
      </c>
      <c r="B7901" t="inlineStr">
        <is>
          <t>avverkningsanmälan</t>
        </is>
      </c>
      <c r="C7901" t="inlineStr">
        <is>
          <t>Föryngringsavverkning</t>
        </is>
      </c>
      <c r="D7901" s="1" t="n">
        <v>45782</v>
      </c>
      <c r="E7901" s="1" t="n">
        <v>46307</v>
      </c>
      <c r="F7901" t="inlineStr">
        <is>
          <t>VÄRMLANDS LÄN</t>
        </is>
      </c>
      <c r="G7901" t="inlineStr">
        <is>
          <t>TORSBY</t>
        </is>
      </c>
      <c r="I7901" t="n">
        <v>3.5</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49428-2024</t>
        </is>
      </c>
      <c r="B7902" t="inlineStr">
        <is>
          <t>avverkningsanmälan</t>
        </is>
      </c>
      <c r="C7902" t="inlineStr">
        <is>
          <t>Avverkning för annat ändamål</t>
        </is>
      </c>
      <c r="D7902" s="1" t="n">
        <v>45595</v>
      </c>
      <c r="E7902" s="1" t="n">
        <v>46307</v>
      </c>
      <c r="F7902" t="inlineStr">
        <is>
          <t>VÄRMLANDS LÄN</t>
        </is>
      </c>
      <c r="G7902" t="inlineStr">
        <is>
          <t>SUNNE</t>
        </is>
      </c>
      <c r="I7902" t="n">
        <v>1.2</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22822-2024</t>
        </is>
      </c>
      <c r="B7903" t="inlineStr">
        <is>
          <t>avverkningsanmälan</t>
        </is>
      </c>
      <c r="C7903" t="inlineStr">
        <is>
          <t>Föryngringsavverkning</t>
        </is>
      </c>
      <c r="D7903" s="1" t="n">
        <v>45448</v>
      </c>
      <c r="E7903" s="1" t="n">
        <v>46307</v>
      </c>
      <c r="F7903" t="inlineStr">
        <is>
          <t>VÄRMLANDS LÄN</t>
        </is>
      </c>
      <c r="G7903" t="inlineStr">
        <is>
          <t>GRUMS</t>
        </is>
      </c>
      <c r="I7903" t="n">
        <v>1.3</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20184-2026</t>
        </is>
      </c>
      <c r="B7904" t="inlineStr">
        <is>
          <t>avverkningsanmälan</t>
        </is>
      </c>
      <c r="C7904" t="inlineStr">
        <is>
          <t>Föryngringsavverkning</t>
        </is>
      </c>
      <c r="D7904" s="1" t="n">
        <v>46139</v>
      </c>
      <c r="E7904" s="1" t="n">
        <v>46307</v>
      </c>
      <c r="F7904" t="inlineStr">
        <is>
          <t>VÄRMLANDS LÄN</t>
        </is>
      </c>
      <c r="G7904" t="inlineStr">
        <is>
          <t>KIL</t>
        </is>
      </c>
      <c r="I7904" t="n">
        <v>6.5</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63678-2025</t>
        </is>
      </c>
      <c r="B7905" t="inlineStr">
        <is>
          <t>avverkningsanmälan</t>
        </is>
      </c>
      <c r="C7905" t="inlineStr">
        <is>
          <t>Föryngringsavverkning</t>
        </is>
      </c>
      <c r="D7905" s="1" t="n">
        <v>46014</v>
      </c>
      <c r="E7905" s="1" t="n">
        <v>46307</v>
      </c>
      <c r="F7905" t="inlineStr">
        <is>
          <t>VÄRMLANDS LÄN</t>
        </is>
      </c>
      <c r="G7905" t="inlineStr">
        <is>
          <t>FILIPSTAD</t>
        </is>
      </c>
      <c r="I7905" t="n">
        <v>9.9</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63697-2025</t>
        </is>
      </c>
      <c r="B7906" t="inlineStr">
        <is>
          <t>avverkningsanmälan</t>
        </is>
      </c>
      <c r="C7906" t="inlineStr">
        <is>
          <t>Föryngringsavverkning</t>
        </is>
      </c>
      <c r="D7906" s="1" t="n">
        <v>46014</v>
      </c>
      <c r="E7906" s="1" t="n">
        <v>46307</v>
      </c>
      <c r="F7906" t="inlineStr">
        <is>
          <t>VÄRMLANDS LÄN</t>
        </is>
      </c>
      <c r="G7906" t="inlineStr">
        <is>
          <t>TORSBY</t>
        </is>
      </c>
      <c r="I7906" t="n">
        <v>11.6</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35583-2025</t>
        </is>
      </c>
      <c r="B7907" t="inlineStr">
        <is>
          <t>avverkningsanmälan</t>
        </is>
      </c>
      <c r="C7907" t="inlineStr">
        <is>
          <t>Föryngringsavverkning</t>
        </is>
      </c>
      <c r="D7907" s="1" t="n">
        <v>45856</v>
      </c>
      <c r="E7907" s="1" t="n">
        <v>46307</v>
      </c>
      <c r="F7907" t="inlineStr">
        <is>
          <t>VÄRMLANDS LÄN</t>
        </is>
      </c>
      <c r="G7907" t="inlineStr">
        <is>
          <t>EDA</t>
        </is>
      </c>
      <c r="I7907" t="n">
        <v>2</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35584-2025</t>
        </is>
      </c>
      <c r="B7908" t="inlineStr">
        <is>
          <t>avverkningsanmälan</t>
        </is>
      </c>
      <c r="C7908" t="inlineStr">
        <is>
          <t>Föryngringsavverkning</t>
        </is>
      </c>
      <c r="D7908" s="1" t="n">
        <v>45856</v>
      </c>
      <c r="E7908" s="1" t="n">
        <v>46307</v>
      </c>
      <c r="F7908" t="inlineStr">
        <is>
          <t>VÄRMLANDS LÄN</t>
        </is>
      </c>
      <c r="G7908" t="inlineStr">
        <is>
          <t>EDA</t>
        </is>
      </c>
      <c r="I7908" t="n">
        <v>2.9</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47770-2023</t>
        </is>
      </c>
      <c r="B7909" t="inlineStr">
        <is>
          <t>avverkningsanmälan</t>
        </is>
      </c>
      <c r="C7909" t="inlineStr">
        <is>
          <t>Föryngringsavverkning</t>
        </is>
      </c>
      <c r="D7909" s="1" t="n">
        <v>45203</v>
      </c>
      <c r="E7909" s="1" t="n">
        <v>46307</v>
      </c>
      <c r="F7909" t="inlineStr">
        <is>
          <t>VÄRMLANDS LÄN</t>
        </is>
      </c>
      <c r="G7909" t="inlineStr">
        <is>
          <t>KRISTINEHAMN</t>
        </is>
      </c>
      <c r="I7909" t="n">
        <v>9.300000000000001</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63478-2025</t>
        </is>
      </c>
      <c r="B7910" t="inlineStr">
        <is>
          <t>avverkningsanmälan</t>
        </is>
      </c>
      <c r="C7910" t="inlineStr">
        <is>
          <t>Föryngringsavverkning</t>
        </is>
      </c>
      <c r="D7910" s="1" t="n">
        <v>46013</v>
      </c>
      <c r="E7910" s="1" t="n">
        <v>46307</v>
      </c>
      <c r="F7910" t="inlineStr">
        <is>
          <t>VÄRMLANDS LÄN</t>
        </is>
      </c>
      <c r="G7910" t="inlineStr">
        <is>
          <t>EDA</t>
        </is>
      </c>
      <c r="I7910" t="n">
        <v>1.8</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32093-2022</t>
        </is>
      </c>
      <c r="B7911" t="inlineStr">
        <is>
          <t>avverkningsanmälan</t>
        </is>
      </c>
      <c r="C7911" t="inlineStr">
        <is>
          <t>Föryngringsavverkning</t>
        </is>
      </c>
      <c r="D7911" s="1" t="n">
        <v>44778</v>
      </c>
      <c r="E7911" s="1" t="n">
        <v>46307</v>
      </c>
      <c r="F7911" t="inlineStr">
        <is>
          <t>VÄRMLANDS LÄN</t>
        </is>
      </c>
      <c r="G7911" t="inlineStr">
        <is>
          <t>SUNNE</t>
        </is>
      </c>
      <c r="I7911" t="n">
        <v>8.5</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31945-2022</t>
        </is>
      </c>
      <c r="B7912" t="inlineStr">
        <is>
          <t>avverkningsanmälan</t>
        </is>
      </c>
      <c r="C7912" t="inlineStr">
        <is>
          <t>Föryngringsavverkning</t>
        </is>
      </c>
      <c r="D7912" s="1" t="n">
        <v>44777</v>
      </c>
      <c r="E7912" s="1" t="n">
        <v>46307</v>
      </c>
      <c r="F7912" t="inlineStr">
        <is>
          <t>VÄRMLANDS LÄN</t>
        </is>
      </c>
      <c r="G7912" t="inlineStr">
        <is>
          <t>SÄFFLE</t>
        </is>
      </c>
      <c r="I7912" t="n">
        <v>1.3</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63479-2025</t>
        </is>
      </c>
      <c r="B7913" t="inlineStr">
        <is>
          <t>avverkningsanmälan</t>
        </is>
      </c>
      <c r="C7913" t="inlineStr">
        <is>
          <t>Föryngringsavverkning</t>
        </is>
      </c>
      <c r="D7913" s="1" t="n">
        <v>46013</v>
      </c>
      <c r="E7913" s="1" t="n">
        <v>46307</v>
      </c>
      <c r="F7913" t="inlineStr">
        <is>
          <t>VÄRMLANDS LÄN</t>
        </is>
      </c>
      <c r="G7913" t="inlineStr">
        <is>
          <t>EDA</t>
        </is>
      </c>
      <c r="I7913" t="n">
        <v>1.2</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63721-2025</t>
        </is>
      </c>
      <c r="B7914" t="inlineStr">
        <is>
          <t>avverkningsanmälan</t>
        </is>
      </c>
      <c r="C7914" t="inlineStr">
        <is>
          <t>Föryngringsavverkning</t>
        </is>
      </c>
      <c r="D7914" s="1" t="n">
        <v>46014</v>
      </c>
      <c r="E7914" s="1" t="n">
        <v>46307</v>
      </c>
      <c r="F7914" t="inlineStr">
        <is>
          <t>VÄRMLANDS LÄN</t>
        </is>
      </c>
      <c r="G7914" t="inlineStr">
        <is>
          <t>ARVIKA</t>
        </is>
      </c>
      <c r="I7914" t="n">
        <v>1.3</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16085-2025</t>
        </is>
      </c>
      <c r="B7915" t="inlineStr">
        <is>
          <t>avverkningsanmälan</t>
        </is>
      </c>
      <c r="C7915" t="inlineStr">
        <is>
          <t>Föryngringsavverkning</t>
        </is>
      </c>
      <c r="D7915" s="1" t="n">
        <v>45749</v>
      </c>
      <c r="E7915" s="1" t="n">
        <v>46307</v>
      </c>
      <c r="F7915" t="inlineStr">
        <is>
          <t>VÄRMLANDS LÄN</t>
        </is>
      </c>
      <c r="G7915" t="inlineStr">
        <is>
          <t>SUNNE</t>
        </is>
      </c>
      <c r="I7915" t="n">
        <v>1.1</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16086-2025</t>
        </is>
      </c>
      <c r="B7916" t="inlineStr">
        <is>
          <t>avverkningsanmälan</t>
        </is>
      </c>
      <c r="C7916" t="inlineStr">
        <is>
          <t>Föryngringsavverkning</t>
        </is>
      </c>
      <c r="D7916" s="1" t="n">
        <v>45749</v>
      </c>
      <c r="E7916" s="1" t="n">
        <v>46307</v>
      </c>
      <c r="F7916" t="inlineStr">
        <is>
          <t>VÄRMLANDS LÄN</t>
        </is>
      </c>
      <c r="G7916" t="inlineStr">
        <is>
          <t>SUNNE</t>
        </is>
      </c>
      <c r="I7916" t="n">
        <v>1.7</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32688-2025</t>
        </is>
      </c>
      <c r="B7917" t="inlineStr">
        <is>
          <t>avverkningsanmälan</t>
        </is>
      </c>
      <c r="C7917" t="inlineStr">
        <is>
          <t>Föryngringsavverkning</t>
        </is>
      </c>
      <c r="D7917" s="1" t="n">
        <v>45838</v>
      </c>
      <c r="E7917" s="1" t="n">
        <v>46307</v>
      </c>
      <c r="F7917" t="inlineStr">
        <is>
          <t>VÄRMLANDS LÄN</t>
        </is>
      </c>
      <c r="G7917" t="inlineStr">
        <is>
          <t>HAGFORS</t>
        </is>
      </c>
      <c r="H7917" t="inlineStr">
        <is>
          <t>Kyrkan</t>
        </is>
      </c>
      <c r="I7917" t="n">
        <v>3.9</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11965-2025</t>
        </is>
      </c>
      <c r="B7918" t="inlineStr">
        <is>
          <t>avverkningsanmälan</t>
        </is>
      </c>
      <c r="C7918" t="inlineStr">
        <is>
          <t>Föryngringsavverkning</t>
        </is>
      </c>
      <c r="D7918" s="1" t="n">
        <v>45728</v>
      </c>
      <c r="E7918" s="1" t="n">
        <v>46307</v>
      </c>
      <c r="F7918" t="inlineStr">
        <is>
          <t>VÄRMLANDS LÄN</t>
        </is>
      </c>
      <c r="G7918" t="inlineStr">
        <is>
          <t>SÄFFLE</t>
        </is>
      </c>
      <c r="I7918" t="n">
        <v>3</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9059-2025</t>
        </is>
      </c>
      <c r="B7919" t="inlineStr">
        <is>
          <t>avverkningsanmälan</t>
        </is>
      </c>
      <c r="C7919" t="inlineStr">
        <is>
          <t>Föryngringsavverkning</t>
        </is>
      </c>
      <c r="D7919" s="1" t="n">
        <v>45713</v>
      </c>
      <c r="E7919" s="1" t="n">
        <v>46307</v>
      </c>
      <c r="F7919" t="inlineStr">
        <is>
          <t>VÄRMLANDS LÄN</t>
        </is>
      </c>
      <c r="G7919" t="inlineStr">
        <is>
          <t>ARVIKA</t>
        </is>
      </c>
      <c r="I7919" t="n">
        <v>1.2</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11899-2025</t>
        </is>
      </c>
      <c r="B7920" t="inlineStr">
        <is>
          <t>avverkningsanmälan</t>
        </is>
      </c>
      <c r="C7920" t="inlineStr">
        <is>
          <t>Föryngringsavverkning</t>
        </is>
      </c>
      <c r="D7920" s="1" t="n">
        <v>45728</v>
      </c>
      <c r="E7920" s="1" t="n">
        <v>46307</v>
      </c>
      <c r="F7920" t="inlineStr">
        <is>
          <t>VÄRMLANDS LÄN</t>
        </is>
      </c>
      <c r="G7920" t="inlineStr">
        <is>
          <t>ÅRJÄNG</t>
        </is>
      </c>
      <c r="I7920" t="n">
        <v>3.9</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11969-2025</t>
        </is>
      </c>
      <c r="B7921" t="inlineStr">
        <is>
          <t>avverkningsanmälan</t>
        </is>
      </c>
      <c r="C7921" t="inlineStr">
        <is>
          <t>Föryngringsavverkning</t>
        </is>
      </c>
      <c r="D7921" s="1" t="n">
        <v>45728</v>
      </c>
      <c r="E7921" s="1" t="n">
        <v>46307</v>
      </c>
      <c r="F7921" t="inlineStr">
        <is>
          <t>VÄRMLANDS LÄN</t>
        </is>
      </c>
      <c r="G7921" t="inlineStr">
        <is>
          <t>ARVIKA</t>
        </is>
      </c>
      <c r="I7921" t="n">
        <v>4</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11065-2024</t>
        </is>
      </c>
      <c r="B7922" t="inlineStr">
        <is>
          <t>avverkningsanmälan</t>
        </is>
      </c>
      <c r="C7922" t="inlineStr">
        <is>
          <t>Föryngringsavverkning</t>
        </is>
      </c>
      <c r="D7922" s="1" t="n">
        <v>45370</v>
      </c>
      <c r="E7922" s="1" t="n">
        <v>46307</v>
      </c>
      <c r="F7922" t="inlineStr">
        <is>
          <t>VÄRMLANDS LÄN</t>
        </is>
      </c>
      <c r="G7922" t="inlineStr">
        <is>
          <t>SUNNE</t>
        </is>
      </c>
      <c r="I7922" t="n">
        <v>5.3</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20533-2026</t>
        </is>
      </c>
      <c r="B7923" t="inlineStr">
        <is>
          <t>avverkningsanmälan</t>
        </is>
      </c>
      <c r="C7923" t="inlineStr">
        <is>
          <t>Föryngringsavverkning</t>
        </is>
      </c>
      <c r="D7923" s="1" t="n">
        <v>46140</v>
      </c>
      <c r="E7923" s="1" t="n">
        <v>46307</v>
      </c>
      <c r="F7923" t="inlineStr">
        <is>
          <t>VÄRMLANDS LÄN</t>
        </is>
      </c>
      <c r="G7923" t="inlineStr">
        <is>
          <t>STORFORS</t>
        </is>
      </c>
      <c r="H7923" t="inlineStr">
        <is>
          <t>Bergvik skog väst AB</t>
        </is>
      </c>
      <c r="I7923" t="n">
        <v>1.6</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63704-2025</t>
        </is>
      </c>
      <c r="B7924" t="inlineStr">
        <is>
          <t>avverkningsanmälan</t>
        </is>
      </c>
      <c r="C7924" t="inlineStr">
        <is>
          <t>Föryngringsavverkning</t>
        </is>
      </c>
      <c r="D7924" s="1" t="n">
        <v>46014</v>
      </c>
      <c r="E7924" s="1" t="n">
        <v>46307</v>
      </c>
      <c r="F7924" t="inlineStr">
        <is>
          <t>VÄRMLANDS LÄN</t>
        </is>
      </c>
      <c r="G7924" t="inlineStr">
        <is>
          <t>SUNNE</t>
        </is>
      </c>
      <c r="I7924" t="n">
        <v>3.2</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63636-2025</t>
        </is>
      </c>
      <c r="B7925" t="inlineStr">
        <is>
          <t>avverkningsanmälan</t>
        </is>
      </c>
      <c r="C7925" t="inlineStr">
        <is>
          <t>Föryngringsavverkning</t>
        </is>
      </c>
      <c r="D7925" s="1" t="n">
        <v>46014</v>
      </c>
      <c r="E7925" s="1" t="n">
        <v>46307</v>
      </c>
      <c r="F7925" t="inlineStr">
        <is>
          <t>VÄRMLANDS LÄN</t>
        </is>
      </c>
      <c r="G7925" t="inlineStr">
        <is>
          <t>TORSBY</t>
        </is>
      </c>
      <c r="I7925" t="n">
        <v>0.8</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63705-2025</t>
        </is>
      </c>
      <c r="B7926" t="inlineStr">
        <is>
          <t>avverkningsanmälan</t>
        </is>
      </c>
      <c r="C7926" t="inlineStr">
        <is>
          <t>Föryngringsavverkning</t>
        </is>
      </c>
      <c r="D7926" s="1" t="n">
        <v>46014</v>
      </c>
      <c r="E7926" s="1" t="n">
        <v>46307</v>
      </c>
      <c r="F7926" t="inlineStr">
        <is>
          <t>VÄRMLANDS LÄN</t>
        </is>
      </c>
      <c r="G7926" t="inlineStr">
        <is>
          <t>SUNNE</t>
        </is>
      </c>
      <c r="I7926" t="n">
        <v>0.3</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30712-2023</t>
        </is>
      </c>
      <c r="B7927" t="inlineStr">
        <is>
          <t>avverkningsanmälan</t>
        </is>
      </c>
      <c r="C7927" t="inlineStr">
        <is>
          <t>Föryngringsavverkning</t>
        </is>
      </c>
      <c r="D7927" s="1" t="n">
        <v>45112</v>
      </c>
      <c r="E7927" s="1" t="n">
        <v>46307</v>
      </c>
      <c r="F7927" t="inlineStr">
        <is>
          <t>VÄRMLANDS LÄN</t>
        </is>
      </c>
      <c r="G7927" t="inlineStr">
        <is>
          <t>SUNNE</t>
        </is>
      </c>
      <c r="I7927" t="n">
        <v>0.5</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42143-2025</t>
        </is>
      </c>
      <c r="B7928" t="inlineStr">
        <is>
          <t>avverkningsanmälan</t>
        </is>
      </c>
      <c r="C7928" t="inlineStr">
        <is>
          <t>Föryngringsavverkning</t>
        </is>
      </c>
      <c r="D7928" s="1" t="n">
        <v>45904</v>
      </c>
      <c r="E7928" s="1" t="n">
        <v>46307</v>
      </c>
      <c r="F7928" t="inlineStr">
        <is>
          <t>VÄRMLANDS LÄN</t>
        </is>
      </c>
      <c r="G7928" t="inlineStr">
        <is>
          <t>GRUMS</t>
        </is>
      </c>
      <c r="I7928" t="n">
        <v>2</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3688-2026</t>
        </is>
      </c>
      <c r="B7929" t="inlineStr">
        <is>
          <t>avverkningsanmälan</t>
        </is>
      </c>
      <c r="C7929" t="inlineStr">
        <is>
          <t>Föryngringsavverkning</t>
        </is>
      </c>
      <c r="D7929" s="1" t="n">
        <v>46043</v>
      </c>
      <c r="E7929" s="1" t="n">
        <v>46307</v>
      </c>
      <c r="F7929" t="inlineStr">
        <is>
          <t>VÄRMLANDS LÄN</t>
        </is>
      </c>
      <c r="G7929" t="inlineStr">
        <is>
          <t>SUNNE</t>
        </is>
      </c>
      <c r="I7929" t="n">
        <v>1.8</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42174-2025</t>
        </is>
      </c>
      <c r="B7930" t="inlineStr">
        <is>
          <t>avverkningsanmälan</t>
        </is>
      </c>
      <c r="C7930" t="inlineStr">
        <is>
          <t>Föryngringsavverkning</t>
        </is>
      </c>
      <c r="D7930" s="1" t="n">
        <v>45904</v>
      </c>
      <c r="E7930" s="1" t="n">
        <v>46307</v>
      </c>
      <c r="F7930" t="inlineStr">
        <is>
          <t>VÄRMLANDS LÄN</t>
        </is>
      </c>
      <c r="G7930" t="inlineStr">
        <is>
          <t>KARLSTAD</t>
        </is>
      </c>
      <c r="I7930" t="n">
        <v>2.2</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23061-2022</t>
        </is>
      </c>
      <c r="B7931" t="inlineStr">
        <is>
          <t>avverkningsanmälan</t>
        </is>
      </c>
      <c r="C7931" t="inlineStr">
        <is>
          <t>Föryngringsavverkning</t>
        </is>
      </c>
      <c r="D7931" s="1" t="n">
        <v>44718</v>
      </c>
      <c r="E7931" s="1" t="n">
        <v>46307</v>
      </c>
      <c r="F7931" t="inlineStr">
        <is>
          <t>VÄRMLANDS LÄN</t>
        </is>
      </c>
      <c r="G7931" t="inlineStr">
        <is>
          <t>ARVIKA</t>
        </is>
      </c>
      <c r="I7931" t="n">
        <v>1</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59391-2025</t>
        </is>
      </c>
      <c r="B7932" t="inlineStr">
        <is>
          <t>avverkningsanmälan</t>
        </is>
      </c>
      <c r="C7932" t="inlineStr">
        <is>
          <t>Avverkning för annat ändamål</t>
        </is>
      </c>
      <c r="D7932" s="1" t="n">
        <v>45989</v>
      </c>
      <c r="E7932" s="1" t="n">
        <v>46307</v>
      </c>
      <c r="F7932" t="inlineStr">
        <is>
          <t>VÄRMLANDS LÄN</t>
        </is>
      </c>
      <c r="G7932" t="inlineStr">
        <is>
          <t>GRUMS</t>
        </is>
      </c>
      <c r="I7932" t="n">
        <v>4.4</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63496-2025</t>
        </is>
      </c>
      <c r="B7933" t="inlineStr">
        <is>
          <t>avverkningsanmälan</t>
        </is>
      </c>
      <c r="C7933" t="inlineStr">
        <is>
          <t>Föryngringsavverkning</t>
        </is>
      </c>
      <c r="D7933" s="1" t="n">
        <v>46013</v>
      </c>
      <c r="E7933" s="1" t="n">
        <v>46307</v>
      </c>
      <c r="F7933" t="inlineStr">
        <is>
          <t>VÄRMLANDS LÄN</t>
        </is>
      </c>
      <c r="G7933" t="inlineStr">
        <is>
          <t>ARVIKA</t>
        </is>
      </c>
      <c r="I7933" t="n">
        <v>2</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63572-2025</t>
        </is>
      </c>
      <c r="B7934" t="inlineStr">
        <is>
          <t>avverkningsanmälan</t>
        </is>
      </c>
      <c r="C7934" t="inlineStr">
        <is>
          <t>Föryngringsavverkning</t>
        </is>
      </c>
      <c r="D7934" s="1" t="n">
        <v>46013</v>
      </c>
      <c r="E7934" s="1" t="n">
        <v>46307</v>
      </c>
      <c r="F7934" t="inlineStr">
        <is>
          <t>VÄRMLANDS LÄN</t>
        </is>
      </c>
      <c r="G7934" t="inlineStr">
        <is>
          <t>STORFORS</t>
        </is>
      </c>
      <c r="H7934" t="inlineStr">
        <is>
          <t>Kyrkan</t>
        </is>
      </c>
      <c r="I7934" t="n">
        <v>2.2</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63490-2025</t>
        </is>
      </c>
      <c r="B7935" t="inlineStr">
        <is>
          <t>avverkningsanmälan</t>
        </is>
      </c>
      <c r="C7935" t="inlineStr">
        <is>
          <t>Föryngringsavverkning</t>
        </is>
      </c>
      <c r="D7935" s="1" t="n">
        <v>46013</v>
      </c>
      <c r="E7935" s="1" t="n">
        <v>46307</v>
      </c>
      <c r="F7935" t="inlineStr">
        <is>
          <t>VÄRMLANDS LÄN</t>
        </is>
      </c>
      <c r="G7935" t="inlineStr">
        <is>
          <t>EDA</t>
        </is>
      </c>
      <c r="I7935" t="n">
        <v>0.9</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67-2026</t>
        </is>
      </c>
      <c r="B7936" t="inlineStr">
        <is>
          <t>avverkningsanmälan</t>
        </is>
      </c>
      <c r="C7936" t="inlineStr">
        <is>
          <t>Föryngringsavverkning</t>
        </is>
      </c>
      <c r="D7936" s="1" t="n">
        <v>46014</v>
      </c>
      <c r="E7936" s="1" t="n">
        <v>46307</v>
      </c>
      <c r="F7936" t="inlineStr">
        <is>
          <t>VÄRMLANDS LÄN</t>
        </is>
      </c>
      <c r="G7936" t="inlineStr">
        <is>
          <t>SUNNE</t>
        </is>
      </c>
      <c r="I7936" t="n">
        <v>0.7</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77-2026</t>
        </is>
      </c>
      <c r="B7937" t="inlineStr">
        <is>
          <t>avverkningsanmälan</t>
        </is>
      </c>
      <c r="C7937" t="inlineStr">
        <is>
          <t>Föryngringsavverkning</t>
        </is>
      </c>
      <c r="D7937" s="1" t="n">
        <v>46016</v>
      </c>
      <c r="E7937" s="1" t="n">
        <v>46307</v>
      </c>
      <c r="F7937" t="inlineStr">
        <is>
          <t>VÄRMLANDS LÄN</t>
        </is>
      </c>
      <c r="G7937" t="inlineStr">
        <is>
          <t>EDA</t>
        </is>
      </c>
      <c r="I7937" t="n">
        <v>2.6</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68-2026</t>
        </is>
      </c>
      <c r="B7938" t="inlineStr">
        <is>
          <t>avverkningsanmälan</t>
        </is>
      </c>
      <c r="C7938" t="inlineStr">
        <is>
          <t>Föryngringsavverkning</t>
        </is>
      </c>
      <c r="D7938" s="1" t="n">
        <v>46016</v>
      </c>
      <c r="E7938" s="1" t="n">
        <v>46307</v>
      </c>
      <c r="F7938" t="inlineStr">
        <is>
          <t>VÄRMLANDS LÄN</t>
        </is>
      </c>
      <c r="G7938" t="inlineStr">
        <is>
          <t>EDA</t>
        </is>
      </c>
      <c r="I7938" t="n">
        <v>2</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83-2026</t>
        </is>
      </c>
      <c r="B7939" t="inlineStr">
        <is>
          <t>avverkningsanmälan</t>
        </is>
      </c>
      <c r="C7939" t="inlineStr">
        <is>
          <t>Föryngringsavverkning</t>
        </is>
      </c>
      <c r="D7939" s="1" t="n">
        <v>46016</v>
      </c>
      <c r="E7939" s="1" t="n">
        <v>46307</v>
      </c>
      <c r="F7939" t="inlineStr">
        <is>
          <t>VÄRMLANDS LÄN</t>
        </is>
      </c>
      <c r="G7939" t="inlineStr">
        <is>
          <t>EDA</t>
        </is>
      </c>
      <c r="I7939" t="n">
        <v>1</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75-2026</t>
        </is>
      </c>
      <c r="B7940" t="inlineStr">
        <is>
          <t>avverkningsanmälan</t>
        </is>
      </c>
      <c r="C7940" t="inlineStr">
        <is>
          <t>Föryngringsavverkning</t>
        </is>
      </c>
      <c r="D7940" s="1" t="n">
        <v>46016</v>
      </c>
      <c r="E7940" s="1" t="n">
        <v>46307</v>
      </c>
      <c r="F7940" t="inlineStr">
        <is>
          <t>VÄRMLANDS LÄN</t>
        </is>
      </c>
      <c r="G7940" t="inlineStr">
        <is>
          <t>EDA</t>
        </is>
      </c>
      <c r="I7940" t="n">
        <v>0.9</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87-2026</t>
        </is>
      </c>
      <c r="B7941" t="inlineStr">
        <is>
          <t>avverkningsanmälan</t>
        </is>
      </c>
      <c r="C7941" t="inlineStr">
        <is>
          <t>Föryngringsavverkning</t>
        </is>
      </c>
      <c r="D7941" s="1" t="n">
        <v>46016</v>
      </c>
      <c r="E7941" s="1" t="n">
        <v>46307</v>
      </c>
      <c r="F7941" t="inlineStr">
        <is>
          <t>VÄRMLANDS LÄN</t>
        </is>
      </c>
      <c r="G7941" t="inlineStr">
        <is>
          <t>EDA</t>
        </is>
      </c>
      <c r="I7941" t="n">
        <v>1.1</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84-2026</t>
        </is>
      </c>
      <c r="B7942" t="inlineStr">
        <is>
          <t>avverkningsanmälan</t>
        </is>
      </c>
      <c r="C7942" t="inlineStr">
        <is>
          <t>Föryngringsavverkning</t>
        </is>
      </c>
      <c r="D7942" s="1" t="n">
        <v>46016</v>
      </c>
      <c r="E7942" s="1" t="n">
        <v>46307</v>
      </c>
      <c r="F7942" t="inlineStr">
        <is>
          <t>VÄRMLANDS LÄN</t>
        </is>
      </c>
      <c r="G7942" t="inlineStr">
        <is>
          <t>EDA</t>
        </is>
      </c>
      <c r="I7942" t="n">
        <v>0.7</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63781-2025</t>
        </is>
      </c>
      <c r="B7943" t="inlineStr">
        <is>
          <t>avverkningsanmälan</t>
        </is>
      </c>
      <c r="C7943" t="inlineStr">
        <is>
          <t>Föryngringsavverkning</t>
        </is>
      </c>
      <c r="D7943" s="1" t="n">
        <v>46019</v>
      </c>
      <c r="E7943" s="1" t="n">
        <v>46307</v>
      </c>
      <c r="F7943" t="inlineStr">
        <is>
          <t>VÄRMLANDS LÄN</t>
        </is>
      </c>
      <c r="G7943" t="inlineStr">
        <is>
          <t>TORSBY</t>
        </is>
      </c>
      <c r="I7943" t="n">
        <v>5.4</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63831-2025</t>
        </is>
      </c>
      <c r="B7944" t="inlineStr">
        <is>
          <t>avverkningsanmälan</t>
        </is>
      </c>
      <c r="C7944" t="inlineStr">
        <is>
          <t>Föryngringsavverkning</t>
        </is>
      </c>
      <c r="D7944" s="1" t="n">
        <v>46020</v>
      </c>
      <c r="E7944" s="1" t="n">
        <v>46307</v>
      </c>
      <c r="F7944" t="inlineStr">
        <is>
          <t>VÄRMLANDS LÄN</t>
        </is>
      </c>
      <c r="G7944" t="inlineStr">
        <is>
          <t>HAGFORS</t>
        </is>
      </c>
      <c r="I7944" t="n">
        <v>1.9</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63844-2025</t>
        </is>
      </c>
      <c r="B7945" t="inlineStr">
        <is>
          <t>avverkningsanmälan</t>
        </is>
      </c>
      <c r="C7945" t="inlineStr">
        <is>
          <t>Föryngringsavverkning</t>
        </is>
      </c>
      <c r="D7945" s="1" t="n">
        <v>46020</v>
      </c>
      <c r="E7945" s="1" t="n">
        <v>46307</v>
      </c>
      <c r="F7945" t="inlineStr">
        <is>
          <t>VÄRMLANDS LÄN</t>
        </is>
      </c>
      <c r="G7945" t="inlineStr">
        <is>
          <t>ÅRJÄNG</t>
        </is>
      </c>
      <c r="I7945" t="n">
        <v>3.2</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17763-2025</t>
        </is>
      </c>
      <c r="B7946" t="inlineStr">
        <is>
          <t>avverkningsanmälan</t>
        </is>
      </c>
      <c r="C7946" t="inlineStr">
        <is>
          <t>Föryngringsavverkning</t>
        </is>
      </c>
      <c r="D7946" s="1" t="n">
        <v>45758</v>
      </c>
      <c r="E7946" s="1" t="n">
        <v>46307</v>
      </c>
      <c r="F7946" t="inlineStr">
        <is>
          <t>VÄRMLANDS LÄN</t>
        </is>
      </c>
      <c r="G7946" t="inlineStr">
        <is>
          <t>FILIPSTAD</t>
        </is>
      </c>
      <c r="H7946" t="inlineStr">
        <is>
          <t>Bergvik skog väst AB</t>
        </is>
      </c>
      <c r="I7946" t="n">
        <v>13.1</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63764-2025</t>
        </is>
      </c>
      <c r="B7947" t="inlineStr">
        <is>
          <t>avverkningsanmälan</t>
        </is>
      </c>
      <c r="C7947" t="inlineStr">
        <is>
          <t>Föryngringsavverkning</t>
        </is>
      </c>
      <c r="D7947" s="1" t="n">
        <v>46018</v>
      </c>
      <c r="E7947" s="1" t="n">
        <v>46307</v>
      </c>
      <c r="F7947" t="inlineStr">
        <is>
          <t>VÄRMLANDS LÄN</t>
        </is>
      </c>
      <c r="G7947" t="inlineStr">
        <is>
          <t>HAGFORS</t>
        </is>
      </c>
      <c r="I7947" t="n">
        <v>4</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63765-2025</t>
        </is>
      </c>
      <c r="B7948" t="inlineStr">
        <is>
          <t>avverkningsanmälan</t>
        </is>
      </c>
      <c r="C7948" t="inlineStr">
        <is>
          <t>Föryngringsavverkning</t>
        </is>
      </c>
      <c r="D7948" s="1" t="n">
        <v>46018</v>
      </c>
      <c r="E7948" s="1" t="n">
        <v>46307</v>
      </c>
      <c r="F7948" t="inlineStr">
        <is>
          <t>VÄRMLANDS LÄN</t>
        </is>
      </c>
      <c r="G7948" t="inlineStr">
        <is>
          <t>HAGFORS</t>
        </is>
      </c>
      <c r="I7948" t="n">
        <v>1.4</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18469-2024</t>
        </is>
      </c>
      <c r="B7949" t="inlineStr">
        <is>
          <t>avverkningsanmälan</t>
        </is>
      </c>
      <c r="C7949" t="inlineStr">
        <is>
          <t>Föryngringsavverkning</t>
        </is>
      </c>
      <c r="D7949" s="1" t="n">
        <v>45425</v>
      </c>
      <c r="E7949" s="1" t="n">
        <v>46307</v>
      </c>
      <c r="F7949" t="inlineStr">
        <is>
          <t>VÄRMLANDS LÄN</t>
        </is>
      </c>
      <c r="G7949" t="inlineStr">
        <is>
          <t>SÄFFLE</t>
        </is>
      </c>
      <c r="I7949" t="n">
        <v>7.9</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57316-2021</t>
        </is>
      </c>
      <c r="B7950" t="inlineStr">
        <is>
          <t>avverkningsanmälan</t>
        </is>
      </c>
      <c r="C7950" t="inlineStr">
        <is>
          <t>Föryngringsavverkning</t>
        </is>
      </c>
      <c r="D7950" s="1" t="n">
        <v>44483</v>
      </c>
      <c r="E7950" s="1" t="n">
        <v>46307</v>
      </c>
      <c r="F7950" t="inlineStr">
        <is>
          <t>VÄRMLANDS LÄN</t>
        </is>
      </c>
      <c r="G7950" t="inlineStr">
        <is>
          <t>SUNNE</t>
        </is>
      </c>
      <c r="I7950" t="n">
        <v>0.9</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63816-2025</t>
        </is>
      </c>
      <c r="B7951" t="inlineStr">
        <is>
          <t>avverkningsanmälan</t>
        </is>
      </c>
      <c r="C7951" t="inlineStr">
        <is>
          <t>Föryngringsavverkning</t>
        </is>
      </c>
      <c r="D7951" s="1" t="n">
        <v>46020</v>
      </c>
      <c r="E7951" s="1" t="n">
        <v>46307</v>
      </c>
      <c r="F7951" t="inlineStr">
        <is>
          <t>VÄRMLANDS LÄN</t>
        </is>
      </c>
      <c r="G7951" t="inlineStr">
        <is>
          <t>SUNNE</t>
        </is>
      </c>
      <c r="I7951" t="n">
        <v>5.5</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63817-2025</t>
        </is>
      </c>
      <c r="B7952" t="inlineStr">
        <is>
          <t>avverkningsanmälan</t>
        </is>
      </c>
      <c r="C7952" t="inlineStr">
        <is>
          <t>Föryngringsavverkning</t>
        </is>
      </c>
      <c r="D7952" s="1" t="n">
        <v>46020</v>
      </c>
      <c r="E7952" s="1" t="n">
        <v>46307</v>
      </c>
      <c r="F7952" t="inlineStr">
        <is>
          <t>VÄRMLANDS LÄN</t>
        </is>
      </c>
      <c r="G7952" t="inlineStr">
        <is>
          <t>SUNNE</t>
        </is>
      </c>
      <c r="I7952" t="n">
        <v>2</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63858-2025</t>
        </is>
      </c>
      <c r="B7953" t="inlineStr">
        <is>
          <t>avverkningsanmälan</t>
        </is>
      </c>
      <c r="C7953" t="inlineStr">
        <is>
          <t>Föryngringsavverkning</t>
        </is>
      </c>
      <c r="D7953" s="1" t="n">
        <v>46020</v>
      </c>
      <c r="E7953" s="1" t="n">
        <v>46307</v>
      </c>
      <c r="F7953" t="inlineStr">
        <is>
          <t>VÄRMLANDS LÄN</t>
        </is>
      </c>
      <c r="G7953" t="inlineStr">
        <is>
          <t>ÅRJÄNG</t>
        </is>
      </c>
      <c r="I7953" t="n">
        <v>1.8</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15120-2022</t>
        </is>
      </c>
      <c r="B7954" t="inlineStr">
        <is>
          <t>avverkningsanmälan</t>
        </is>
      </c>
      <c r="C7954" t="inlineStr">
        <is>
          <t>Föryngringsavverkning</t>
        </is>
      </c>
      <c r="D7954" s="1" t="n">
        <v>44658</v>
      </c>
      <c r="E7954" s="1" t="n">
        <v>46307</v>
      </c>
      <c r="F7954" t="inlineStr">
        <is>
          <t>VÄRMLANDS LÄN</t>
        </is>
      </c>
      <c r="G7954" t="inlineStr">
        <is>
          <t>SUNNE</t>
        </is>
      </c>
      <c r="I7954" t="n">
        <v>1.4</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6030-2023</t>
        </is>
      </c>
      <c r="B7955" t="inlineStr">
        <is>
          <t>avverkningsanmälan</t>
        </is>
      </c>
      <c r="C7955" t="inlineStr">
        <is>
          <t>Föryngringsavverkning</t>
        </is>
      </c>
      <c r="D7955" s="1" t="n">
        <v>44964</v>
      </c>
      <c r="E7955" s="1" t="n">
        <v>46307</v>
      </c>
      <c r="F7955" t="inlineStr">
        <is>
          <t>VÄRMLANDS LÄN</t>
        </is>
      </c>
      <c r="G7955" t="inlineStr">
        <is>
          <t>ARVIKA</t>
        </is>
      </c>
      <c r="I7955" t="n">
        <v>10.5</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63836-2025</t>
        </is>
      </c>
      <c r="B7956" t="inlineStr">
        <is>
          <t>avverkningsanmälan</t>
        </is>
      </c>
      <c r="C7956" t="inlineStr">
        <is>
          <t>Föryngringsavverkning</t>
        </is>
      </c>
      <c r="D7956" s="1" t="n">
        <v>46020</v>
      </c>
      <c r="E7956" s="1" t="n">
        <v>46307</v>
      </c>
      <c r="F7956" t="inlineStr">
        <is>
          <t>VÄRMLANDS LÄN</t>
        </is>
      </c>
      <c r="G7956" t="inlineStr">
        <is>
          <t>ÅRJÄNG</t>
        </is>
      </c>
      <c r="I7956" t="n">
        <v>12.7</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63825-2025</t>
        </is>
      </c>
      <c r="B7957" t="inlineStr">
        <is>
          <t>avverkningsanmälan</t>
        </is>
      </c>
      <c r="C7957" t="inlineStr">
        <is>
          <t>Föryngringsavverkning</t>
        </is>
      </c>
      <c r="D7957" s="1" t="n">
        <v>46020</v>
      </c>
      <c r="E7957" s="1" t="n">
        <v>46307</v>
      </c>
      <c r="F7957" t="inlineStr">
        <is>
          <t>VÄRMLANDS LÄN</t>
        </is>
      </c>
      <c r="G7957" t="inlineStr">
        <is>
          <t>KARLSTAD</t>
        </is>
      </c>
      <c r="I7957" t="n">
        <v>3.9</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63875-2025</t>
        </is>
      </c>
      <c r="B7958" t="inlineStr">
        <is>
          <t>avverkningsanmälan</t>
        </is>
      </c>
      <c r="C7958" t="inlineStr">
        <is>
          <t>Föryngringsavverkning</t>
        </is>
      </c>
      <c r="D7958" s="1" t="n">
        <v>46020</v>
      </c>
      <c r="E7958" s="1" t="n">
        <v>46307</v>
      </c>
      <c r="F7958" t="inlineStr">
        <is>
          <t>VÄRMLANDS LÄN</t>
        </is>
      </c>
      <c r="G7958" t="inlineStr">
        <is>
          <t>HAGFORS</t>
        </is>
      </c>
      <c r="I7958" t="n">
        <v>2.6</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62987-2025</t>
        </is>
      </c>
      <c r="B7959" t="inlineStr">
        <is>
          <t>avverkningsanmälan</t>
        </is>
      </c>
      <c r="C7959" t="inlineStr">
        <is>
          <t>Föryngringsavverkning</t>
        </is>
      </c>
      <c r="D7959" s="1" t="n">
        <v>46009</v>
      </c>
      <c r="E7959" s="1" t="n">
        <v>46307</v>
      </c>
      <c r="F7959" t="inlineStr">
        <is>
          <t>VÄRMLANDS LÄN</t>
        </is>
      </c>
      <c r="G7959" t="inlineStr">
        <is>
          <t>STORFORS</t>
        </is>
      </c>
      <c r="H7959" t="inlineStr">
        <is>
          <t>Naturvårdsverket</t>
        </is>
      </c>
      <c r="I7959" t="n">
        <v>0.7</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63834-2025</t>
        </is>
      </c>
      <c r="B7960" t="inlineStr">
        <is>
          <t>avverkningsanmälan</t>
        </is>
      </c>
      <c r="C7960" t="inlineStr">
        <is>
          <t>Föryngringsavverkning</t>
        </is>
      </c>
      <c r="D7960" s="1" t="n">
        <v>46020</v>
      </c>
      <c r="E7960" s="1" t="n">
        <v>46307</v>
      </c>
      <c r="F7960" t="inlineStr">
        <is>
          <t>VÄRMLANDS LÄN</t>
        </is>
      </c>
      <c r="G7960" t="inlineStr">
        <is>
          <t>HAGFORS</t>
        </is>
      </c>
      <c r="I7960" t="n">
        <v>2.4</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63837-2025</t>
        </is>
      </c>
      <c r="B7961" t="inlineStr">
        <is>
          <t>avverkningsanmälan</t>
        </is>
      </c>
      <c r="C7961" t="inlineStr">
        <is>
          <t>Föryngringsavverkning</t>
        </is>
      </c>
      <c r="D7961" s="1" t="n">
        <v>46020</v>
      </c>
      <c r="E7961" s="1" t="n">
        <v>46307</v>
      </c>
      <c r="F7961" t="inlineStr">
        <is>
          <t>VÄRMLANDS LÄN</t>
        </is>
      </c>
      <c r="G7961" t="inlineStr">
        <is>
          <t>ÅRJÄNG</t>
        </is>
      </c>
      <c r="I7961" t="n">
        <v>5.6</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63811-2025</t>
        </is>
      </c>
      <c r="B7962" t="inlineStr">
        <is>
          <t>avverkningsanmälan</t>
        </is>
      </c>
      <c r="C7962" t="inlineStr">
        <is>
          <t>Föryngringsavverkning</t>
        </is>
      </c>
      <c r="D7962" s="1" t="n">
        <v>46020</v>
      </c>
      <c r="E7962" s="1" t="n">
        <v>46307</v>
      </c>
      <c r="F7962" t="inlineStr">
        <is>
          <t>VÄRMLANDS LÄN</t>
        </is>
      </c>
      <c r="G7962" t="inlineStr">
        <is>
          <t>KIL</t>
        </is>
      </c>
      <c r="I7962" t="n">
        <v>2.6</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63908-2025</t>
        </is>
      </c>
      <c r="B7963" t="inlineStr">
        <is>
          <t>avverkningsanmälan</t>
        </is>
      </c>
      <c r="C7963" t="inlineStr">
        <is>
          <t>Föryngringsavverkning</t>
        </is>
      </c>
      <c r="D7963" s="1" t="n">
        <v>46020</v>
      </c>
      <c r="E7963" s="1" t="n">
        <v>46307</v>
      </c>
      <c r="F7963" t="inlineStr">
        <is>
          <t>VÄRMLANDS LÄN</t>
        </is>
      </c>
      <c r="G7963" t="inlineStr">
        <is>
          <t>TORSBY</t>
        </is>
      </c>
      <c r="H7963" t="inlineStr">
        <is>
          <t>Bergvik skog väst AB</t>
        </is>
      </c>
      <c r="I7963" t="n">
        <v>1.6</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24710-2024</t>
        </is>
      </c>
      <c r="B7964" t="inlineStr">
        <is>
          <t>avverkningsanmälan</t>
        </is>
      </c>
      <c r="C7964" t="inlineStr">
        <is>
          <t>Föryngringsavverkning</t>
        </is>
      </c>
      <c r="D7964" s="1" t="n">
        <v>45460</v>
      </c>
      <c r="E7964" s="1" t="n">
        <v>46307</v>
      </c>
      <c r="F7964" t="inlineStr">
        <is>
          <t>VÄRMLANDS LÄN</t>
        </is>
      </c>
      <c r="G7964" t="inlineStr">
        <is>
          <t>KRISTINEHAMN</t>
        </is>
      </c>
      <c r="I7964" t="n">
        <v>1.2</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63830-2025</t>
        </is>
      </c>
      <c r="B7965" t="inlineStr">
        <is>
          <t>avverkningsanmälan</t>
        </is>
      </c>
      <c r="C7965" t="inlineStr">
        <is>
          <t>Föryngringsavverkning</t>
        </is>
      </c>
      <c r="D7965" s="1" t="n">
        <v>46020</v>
      </c>
      <c r="E7965" s="1" t="n">
        <v>46307</v>
      </c>
      <c r="F7965" t="inlineStr">
        <is>
          <t>VÄRMLANDS LÄN</t>
        </is>
      </c>
      <c r="G7965" t="inlineStr">
        <is>
          <t>ÅRJÄNG</t>
        </is>
      </c>
      <c r="I7965" t="n">
        <v>7.3</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63832-2025</t>
        </is>
      </c>
      <c r="B7966" t="inlineStr">
        <is>
          <t>avverkningsanmälan</t>
        </is>
      </c>
      <c r="C7966" t="inlineStr">
        <is>
          <t>Föryngringsavverkning</t>
        </is>
      </c>
      <c r="D7966" s="1" t="n">
        <v>46020</v>
      </c>
      <c r="E7966" s="1" t="n">
        <v>46307</v>
      </c>
      <c r="F7966" t="inlineStr">
        <is>
          <t>VÄRMLANDS LÄN</t>
        </is>
      </c>
      <c r="G7966" t="inlineStr">
        <is>
          <t>SUNNE</t>
        </is>
      </c>
      <c r="I7966" t="n">
        <v>3.3</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47534-2024</t>
        </is>
      </c>
      <c r="B7967" t="inlineStr">
        <is>
          <t>avverkningsanmälan</t>
        </is>
      </c>
      <c r="C7967" t="inlineStr">
        <is>
          <t>Föryngringsavverkning</t>
        </is>
      </c>
      <c r="D7967" s="1" t="n">
        <v>45587</v>
      </c>
      <c r="E7967" s="1" t="n">
        <v>46307</v>
      </c>
      <c r="F7967" t="inlineStr">
        <is>
          <t>VÄRMLANDS LÄN</t>
        </is>
      </c>
      <c r="G7967" t="inlineStr">
        <is>
          <t>ARVIKA</t>
        </is>
      </c>
      <c r="H7967" t="inlineStr">
        <is>
          <t>Bergvik skog väst AB</t>
        </is>
      </c>
      <c r="I7967" t="n">
        <v>0.5</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63172-2025</t>
        </is>
      </c>
      <c r="B7968" t="inlineStr">
        <is>
          <t>avverkningsanmälan</t>
        </is>
      </c>
      <c r="C7968" t="inlineStr">
        <is>
          <t>Föryngringsavverkning</t>
        </is>
      </c>
      <c r="D7968" s="1" t="n">
        <v>46010</v>
      </c>
      <c r="E7968" s="1" t="n">
        <v>46307</v>
      </c>
      <c r="F7968" t="inlineStr">
        <is>
          <t>VÄRMLANDS LÄN</t>
        </is>
      </c>
      <c r="G7968" t="inlineStr">
        <is>
          <t>KARLSTAD</t>
        </is>
      </c>
      <c r="H7968" t="inlineStr">
        <is>
          <t>Naturvårdsverket</t>
        </is>
      </c>
      <c r="I7968" t="n">
        <v>4.6</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47623-2024</t>
        </is>
      </c>
      <c r="B7969" t="inlineStr">
        <is>
          <t>avverkningsanmälan</t>
        </is>
      </c>
      <c r="C7969" t="inlineStr">
        <is>
          <t>Föryngringsavverkning</t>
        </is>
      </c>
      <c r="D7969" s="1" t="n">
        <v>45588</v>
      </c>
      <c r="E7969" s="1" t="n">
        <v>46307</v>
      </c>
      <c r="F7969" t="inlineStr">
        <is>
          <t>VÄRMLANDS LÄN</t>
        </is>
      </c>
      <c r="G7969" t="inlineStr">
        <is>
          <t>ÅRJÄNG</t>
        </is>
      </c>
      <c r="H7969" t="inlineStr">
        <is>
          <t>Kommuner</t>
        </is>
      </c>
      <c r="I7969" t="n">
        <v>2.7</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59542-2022</t>
        </is>
      </c>
      <c r="B7970" t="inlineStr">
        <is>
          <t>avverkningsanmälan</t>
        </is>
      </c>
      <c r="C7970" t="inlineStr">
        <is>
          <t>Föryngringsavverkning</t>
        </is>
      </c>
      <c r="D7970" s="1" t="n">
        <v>44907</v>
      </c>
      <c r="E7970" s="1" t="n">
        <v>46307</v>
      </c>
      <c r="F7970" t="inlineStr">
        <is>
          <t>VÄRMLANDS LÄN</t>
        </is>
      </c>
      <c r="G7970" t="inlineStr">
        <is>
          <t>GRUMS</t>
        </is>
      </c>
      <c r="I7970" t="n">
        <v>0.8</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21402-2024</t>
        </is>
      </c>
      <c r="B7971" t="inlineStr">
        <is>
          <t>avverkningsanmälan</t>
        </is>
      </c>
      <c r="C7971" t="inlineStr">
        <is>
          <t>Föryngringsavverkning</t>
        </is>
      </c>
      <c r="D7971" s="1" t="n">
        <v>45441</v>
      </c>
      <c r="E7971" s="1" t="n">
        <v>46307</v>
      </c>
      <c r="F7971" t="inlineStr">
        <is>
          <t>VÄRMLANDS LÄN</t>
        </is>
      </c>
      <c r="G7971" t="inlineStr">
        <is>
          <t>GRUMS</t>
        </is>
      </c>
      <c r="I7971" t="n">
        <v>1.3</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14455-2023</t>
        </is>
      </c>
      <c r="B7972" t="inlineStr">
        <is>
          <t>avverkningsanmälan</t>
        </is>
      </c>
      <c r="C7972" t="inlineStr">
        <is>
          <t>Föryngringsavverkning</t>
        </is>
      </c>
      <c r="D7972" s="1" t="n">
        <v>45012</v>
      </c>
      <c r="E7972" s="1" t="n">
        <v>46307</v>
      </c>
      <c r="F7972" t="inlineStr">
        <is>
          <t>VÄRMLANDS LÄN</t>
        </is>
      </c>
      <c r="G7972" t="inlineStr">
        <is>
          <t>ARVIKA</t>
        </is>
      </c>
      <c r="I7972" t="n">
        <v>1.7</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14465-2023</t>
        </is>
      </c>
      <c r="B7973" t="inlineStr">
        <is>
          <t>avverkningsanmälan</t>
        </is>
      </c>
      <c r="C7973" t="inlineStr">
        <is>
          <t>Föryngringsavverkning</t>
        </is>
      </c>
      <c r="D7973" s="1" t="n">
        <v>45012</v>
      </c>
      <c r="E7973" s="1" t="n">
        <v>46307</v>
      </c>
      <c r="F7973" t="inlineStr">
        <is>
          <t>VÄRMLANDS LÄN</t>
        </is>
      </c>
      <c r="G7973" t="inlineStr">
        <is>
          <t>SÄFFLE</t>
        </is>
      </c>
      <c r="I7973" t="n">
        <v>1.4</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63080-2025</t>
        </is>
      </c>
      <c r="B7974" t="inlineStr">
        <is>
          <t>avverkningsanmälan</t>
        </is>
      </c>
      <c r="C7974" t="inlineStr">
        <is>
          <t>Föryngringsavverkning</t>
        </is>
      </c>
      <c r="D7974" s="1" t="n">
        <v>46009</v>
      </c>
      <c r="E7974" s="1" t="n">
        <v>46307</v>
      </c>
      <c r="F7974" t="inlineStr">
        <is>
          <t>VÄRMLANDS LÄN</t>
        </is>
      </c>
      <c r="G7974" t="inlineStr">
        <is>
          <t>STORFORS</t>
        </is>
      </c>
      <c r="H7974" t="inlineStr">
        <is>
          <t>Naturvårdsverket</t>
        </is>
      </c>
      <c r="I7974" t="n">
        <v>1.9</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44178-2025</t>
        </is>
      </c>
      <c r="B7975" t="inlineStr">
        <is>
          <t>avverkningsanmälan</t>
        </is>
      </c>
      <c r="C7975" t="inlineStr">
        <is>
          <t>Föryngringsavverkning</t>
        </is>
      </c>
      <c r="D7975" s="1" t="n">
        <v>45915</v>
      </c>
      <c r="E7975" s="1" t="n">
        <v>46307</v>
      </c>
      <c r="F7975" t="inlineStr">
        <is>
          <t>VÄRMLANDS LÄN</t>
        </is>
      </c>
      <c r="G7975" t="inlineStr">
        <is>
          <t>STORFORS</t>
        </is>
      </c>
      <c r="H7975" t="inlineStr">
        <is>
          <t>Bergvik skog väst AB</t>
        </is>
      </c>
      <c r="I7975" t="n">
        <v>10.6</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59146-2025</t>
        </is>
      </c>
      <c r="B7976" t="inlineStr">
        <is>
          <t>avverkningsanmälan</t>
        </is>
      </c>
      <c r="C7976" t="inlineStr">
        <is>
          <t>Föryngringsavverkning</t>
        </is>
      </c>
      <c r="D7976" s="1" t="n">
        <v>45988</v>
      </c>
      <c r="E7976" s="1" t="n">
        <v>46307</v>
      </c>
      <c r="F7976" t="inlineStr">
        <is>
          <t>VÄRMLANDS LÄN</t>
        </is>
      </c>
      <c r="G7976" t="inlineStr">
        <is>
          <t>STORFORS</t>
        </is>
      </c>
      <c r="H7976" t="inlineStr">
        <is>
          <t>Bergvik skog väst AB</t>
        </is>
      </c>
      <c r="I7976" t="n">
        <v>9.9</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53925-2023</t>
        </is>
      </c>
      <c r="B7977" t="inlineStr">
        <is>
          <t>avverkningsanmälan</t>
        </is>
      </c>
      <c r="C7977" t="inlineStr">
        <is>
          <t>Föryngringsavverkning</t>
        </is>
      </c>
      <c r="D7977" s="1" t="n">
        <v>45231</v>
      </c>
      <c r="E7977" s="1" t="n">
        <v>46307</v>
      </c>
      <c r="F7977" t="inlineStr">
        <is>
          <t>VÄRMLANDS LÄN</t>
        </is>
      </c>
      <c r="G7977" t="inlineStr">
        <is>
          <t>EDA</t>
        </is>
      </c>
      <c r="I7977" t="n">
        <v>2.4</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7360-2025</t>
        </is>
      </c>
      <c r="B7978" t="inlineStr">
        <is>
          <t>avverkningsanmälan</t>
        </is>
      </c>
      <c r="C7978" t="inlineStr">
        <is>
          <t>Föryngringsavverkning</t>
        </is>
      </c>
      <c r="D7978" s="1" t="n">
        <v>45704</v>
      </c>
      <c r="E7978" s="1" t="n">
        <v>46307</v>
      </c>
      <c r="F7978" t="inlineStr">
        <is>
          <t>VÄRMLANDS LÄN</t>
        </is>
      </c>
      <c r="G7978" t="inlineStr">
        <is>
          <t>SÄFFLE</t>
        </is>
      </c>
      <c r="I7978" t="n">
        <v>3.5</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4028-2025</t>
        </is>
      </c>
      <c r="B7979" t="inlineStr">
        <is>
          <t>avverkningsanmälan</t>
        </is>
      </c>
      <c r="C7979" t="inlineStr">
        <is>
          <t>Föryngringsavverkning</t>
        </is>
      </c>
      <c r="D7979" s="1" t="n">
        <v>45684</v>
      </c>
      <c r="E7979" s="1" t="n">
        <v>46307</v>
      </c>
      <c r="F7979" t="inlineStr">
        <is>
          <t>VÄRMLANDS LÄN</t>
        </is>
      </c>
      <c r="G7979" t="inlineStr">
        <is>
          <t>HAGFORS</t>
        </is>
      </c>
      <c r="I7979" t="n">
        <v>1.2</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4723-2025</t>
        </is>
      </c>
      <c r="B7980" t="inlineStr">
        <is>
          <t>avverkningsanmälan</t>
        </is>
      </c>
      <c r="C7980" t="inlineStr">
        <is>
          <t>Föryngringsavverkning</t>
        </is>
      </c>
      <c r="D7980" s="1" t="n">
        <v>45688</v>
      </c>
      <c r="E7980" s="1" t="n">
        <v>46307</v>
      </c>
      <c r="F7980" t="inlineStr">
        <is>
          <t>VÄRMLANDS LÄN</t>
        </is>
      </c>
      <c r="G7980" t="inlineStr">
        <is>
          <t>KARLSTAD</t>
        </is>
      </c>
      <c r="I7980" t="n">
        <v>2.4</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37687-2025</t>
        </is>
      </c>
      <c r="B7981" t="inlineStr">
        <is>
          <t>avverkningsanmälan</t>
        </is>
      </c>
      <c r="C7981" t="inlineStr">
        <is>
          <t>Föryngringsavverkning</t>
        </is>
      </c>
      <c r="D7981" s="1" t="n">
        <v>45880</v>
      </c>
      <c r="E7981" s="1" t="n">
        <v>46307</v>
      </c>
      <c r="F7981" t="inlineStr">
        <is>
          <t>VÄRMLANDS LÄN</t>
        </is>
      </c>
      <c r="G7981" t="inlineStr">
        <is>
          <t>ARVIKA</t>
        </is>
      </c>
      <c r="H7981" t="inlineStr">
        <is>
          <t>Bergvik skog väst AB</t>
        </is>
      </c>
      <c r="I7981" t="n">
        <v>1.2</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49580-2025</t>
        </is>
      </c>
      <c r="B7982" t="inlineStr">
        <is>
          <t>avverkningsanmälan</t>
        </is>
      </c>
      <c r="C7982" t="inlineStr">
        <is>
          <t>Föryngringsavverkning</t>
        </is>
      </c>
      <c r="D7982" s="1" t="n">
        <v>45939</v>
      </c>
      <c r="E7982" s="1" t="n">
        <v>46307</v>
      </c>
      <c r="F7982" t="inlineStr">
        <is>
          <t>VÄRMLANDS LÄN</t>
        </is>
      </c>
      <c r="G7982" t="inlineStr">
        <is>
          <t>STORFORS</t>
        </is>
      </c>
      <c r="H7982" t="inlineStr">
        <is>
          <t>Bergvik skog väst AB</t>
        </is>
      </c>
      <c r="I7982" t="n">
        <v>3.3</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3729-2025</t>
        </is>
      </c>
      <c r="B7983" t="inlineStr">
        <is>
          <t>avverkningsanmälan</t>
        </is>
      </c>
      <c r="C7983" t="inlineStr">
        <is>
          <t>Föryngringsavverkning</t>
        </is>
      </c>
      <c r="D7983" s="1" t="n">
        <v>45681</v>
      </c>
      <c r="E7983" s="1" t="n">
        <v>46307</v>
      </c>
      <c r="F7983" t="inlineStr">
        <is>
          <t>VÄRMLANDS LÄN</t>
        </is>
      </c>
      <c r="G7983" t="inlineStr">
        <is>
          <t>ÅRJÄNG</t>
        </is>
      </c>
      <c r="I7983" t="n">
        <v>1.9</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64093-2025</t>
        </is>
      </c>
      <c r="B7984" t="inlineStr">
        <is>
          <t>avverkningsanmälan</t>
        </is>
      </c>
      <c r="C7984" t="inlineStr">
        <is>
          <t>Föryngringsavverkning</t>
        </is>
      </c>
      <c r="D7984" s="1" t="n">
        <v>46021</v>
      </c>
      <c r="E7984" s="1" t="n">
        <v>46307</v>
      </c>
      <c r="F7984" t="inlineStr">
        <is>
          <t>VÄRMLANDS LÄN</t>
        </is>
      </c>
      <c r="G7984" t="inlineStr">
        <is>
          <t>SUNNE</t>
        </is>
      </c>
      <c r="I7984" t="n">
        <v>1.1</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23167-2023</t>
        </is>
      </c>
      <c r="B7985" t="inlineStr">
        <is>
          <t>avverkningsanmälan</t>
        </is>
      </c>
      <c r="C7985" t="inlineStr">
        <is>
          <t>Föryngringsavverkning</t>
        </is>
      </c>
      <c r="D7985" s="1" t="n">
        <v>45075</v>
      </c>
      <c r="E7985" s="1" t="n">
        <v>46307</v>
      </c>
      <c r="F7985" t="inlineStr">
        <is>
          <t>VÄRMLANDS LÄN</t>
        </is>
      </c>
      <c r="G7985" t="inlineStr">
        <is>
          <t>SUNNE</t>
        </is>
      </c>
      <c r="I7985" t="n">
        <v>1.2</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56880-2023</t>
        </is>
      </c>
      <c r="B7986" t="inlineStr">
        <is>
          <t>avverkningsanmälan</t>
        </is>
      </c>
      <c r="C7986" t="inlineStr">
        <is>
          <t>Föryngringsavverkning</t>
        </is>
      </c>
      <c r="D7986" s="1" t="n">
        <v>45244</v>
      </c>
      <c r="E7986" s="1" t="n">
        <v>46307</v>
      </c>
      <c r="F7986" t="inlineStr">
        <is>
          <t>VÄRMLANDS LÄN</t>
        </is>
      </c>
      <c r="G7986" t="inlineStr">
        <is>
          <t>TORSBY</t>
        </is>
      </c>
      <c r="H7986" t="inlineStr">
        <is>
          <t>Övriga Aktiebolag</t>
        </is>
      </c>
      <c r="I7986" t="n">
        <v>4.9</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28154-2022</t>
        </is>
      </c>
      <c r="B7987" t="inlineStr">
        <is>
          <t>avverkningsanmälan</t>
        </is>
      </c>
      <c r="C7987" t="inlineStr">
        <is>
          <t>Föryngringsavverkning</t>
        </is>
      </c>
      <c r="D7987" s="1" t="n">
        <v>44746</v>
      </c>
      <c r="E7987" s="1" t="n">
        <v>46307</v>
      </c>
      <c r="F7987" t="inlineStr">
        <is>
          <t>VÄRMLANDS LÄN</t>
        </is>
      </c>
      <c r="G7987" t="inlineStr">
        <is>
          <t>KARLSTAD</t>
        </is>
      </c>
      <c r="I7987" t="n">
        <v>7.1</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23203-2023</t>
        </is>
      </c>
      <c r="B7988" t="inlineStr">
        <is>
          <t>avverkningsanmälan</t>
        </is>
      </c>
      <c r="C7988" t="inlineStr">
        <is>
          <t>Föryngringsavverkning</t>
        </is>
      </c>
      <c r="D7988" s="1" t="n">
        <v>45075</v>
      </c>
      <c r="E7988" s="1" t="n">
        <v>46307</v>
      </c>
      <c r="F7988" t="inlineStr">
        <is>
          <t>VÄRMLANDS LÄN</t>
        </is>
      </c>
      <c r="G7988" t="inlineStr">
        <is>
          <t>ÅRJÄNG</t>
        </is>
      </c>
      <c r="I7988" t="n">
        <v>4.3</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23212-2023</t>
        </is>
      </c>
      <c r="B7989" t="inlineStr">
        <is>
          <t>avverkningsanmälan</t>
        </is>
      </c>
      <c r="C7989" t="inlineStr">
        <is>
          <t>Föryngringsavverkning</t>
        </is>
      </c>
      <c r="D7989" s="1" t="n">
        <v>45075</v>
      </c>
      <c r="E7989" s="1" t="n">
        <v>46307</v>
      </c>
      <c r="F7989" t="inlineStr">
        <is>
          <t>VÄRMLANDS LÄN</t>
        </is>
      </c>
      <c r="G7989" t="inlineStr">
        <is>
          <t>ÅRJÄNG</t>
        </is>
      </c>
      <c r="I7989" t="n">
        <v>1.5</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56170-2023</t>
        </is>
      </c>
      <c r="B7990" t="inlineStr">
        <is>
          <t>avverkningsanmälan</t>
        </is>
      </c>
      <c r="C7990" t="inlineStr">
        <is>
          <t>Föryngringsavverkning</t>
        </is>
      </c>
      <c r="D7990" s="1" t="n">
        <v>45240</v>
      </c>
      <c r="E7990" s="1" t="n">
        <v>46307</v>
      </c>
      <c r="F7990" t="inlineStr">
        <is>
          <t>VÄRMLANDS LÄN</t>
        </is>
      </c>
      <c r="G7990" t="inlineStr">
        <is>
          <t>TORSBY</t>
        </is>
      </c>
      <c r="I7990" t="n">
        <v>3.8</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6646-2024</t>
        </is>
      </c>
      <c r="B7991" t="inlineStr">
        <is>
          <t>avverkningsanmälan</t>
        </is>
      </c>
      <c r="C7991" t="inlineStr">
        <is>
          <t>Föryngringsavverkning</t>
        </is>
      </c>
      <c r="D7991" s="1" t="n">
        <v>45341</v>
      </c>
      <c r="E7991" s="1" t="n">
        <v>46307</v>
      </c>
      <c r="F7991" t="inlineStr">
        <is>
          <t>VÄRMLANDS LÄN</t>
        </is>
      </c>
      <c r="G7991" t="inlineStr">
        <is>
          <t>TORSBY</t>
        </is>
      </c>
      <c r="I7991" t="n">
        <v>1.8</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6648-2024</t>
        </is>
      </c>
      <c r="B7992" t="inlineStr">
        <is>
          <t>avverkningsanmälan</t>
        </is>
      </c>
      <c r="C7992" t="inlineStr">
        <is>
          <t>Föryngringsavverkning</t>
        </is>
      </c>
      <c r="D7992" s="1" t="n">
        <v>45341</v>
      </c>
      <c r="E7992" s="1" t="n">
        <v>46307</v>
      </c>
      <c r="F7992" t="inlineStr">
        <is>
          <t>VÄRMLANDS LÄN</t>
        </is>
      </c>
      <c r="G7992" t="inlineStr">
        <is>
          <t>TORSBY</t>
        </is>
      </c>
      <c r="I7992" t="n">
        <v>3.9</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34920-2025</t>
        </is>
      </c>
      <c r="B7993" t="inlineStr">
        <is>
          <t>avverkningsanmälan</t>
        </is>
      </c>
      <c r="C7993" t="inlineStr">
        <is>
          <t>Föryngringsavverkning</t>
        </is>
      </c>
      <c r="D7993" s="1" t="n">
        <v>45849</v>
      </c>
      <c r="E7993" s="1" t="n">
        <v>46307</v>
      </c>
      <c r="F7993" t="inlineStr">
        <is>
          <t>VÄRMLANDS LÄN</t>
        </is>
      </c>
      <c r="G7993" t="inlineStr">
        <is>
          <t>ARVIKA</t>
        </is>
      </c>
      <c r="I7993" t="n">
        <v>1.1</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64024-2025</t>
        </is>
      </c>
      <c r="B7994" t="inlineStr">
        <is>
          <t>avverkningsanmälan</t>
        </is>
      </c>
      <c r="C7994" t="inlineStr">
        <is>
          <t>Föryngringsavverkning</t>
        </is>
      </c>
      <c r="D7994" s="1" t="n">
        <v>46021</v>
      </c>
      <c r="E7994" s="1" t="n">
        <v>46307</v>
      </c>
      <c r="F7994" t="inlineStr">
        <is>
          <t>VÄRMLANDS LÄN</t>
        </is>
      </c>
      <c r="G7994" t="inlineStr">
        <is>
          <t>SUNNE</t>
        </is>
      </c>
      <c r="I7994" t="n">
        <v>1.7</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26534-2025</t>
        </is>
      </c>
      <c r="B7995" t="inlineStr">
        <is>
          <t>avverkningsanmälan</t>
        </is>
      </c>
      <c r="C7995" t="inlineStr">
        <is>
          <t>Föryngringsavverkning</t>
        </is>
      </c>
      <c r="D7995" s="1" t="n">
        <v>45807</v>
      </c>
      <c r="E7995" s="1" t="n">
        <v>46307</v>
      </c>
      <c r="F7995" t="inlineStr">
        <is>
          <t>VÄRMLANDS LÄN</t>
        </is>
      </c>
      <c r="G7995" t="inlineStr">
        <is>
          <t>SÄFFLE</t>
        </is>
      </c>
      <c r="I7995" t="n">
        <v>1.6</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26537-2025</t>
        </is>
      </c>
      <c r="B7996" t="inlineStr">
        <is>
          <t>avverkningsanmälan</t>
        </is>
      </c>
      <c r="C7996" t="inlineStr">
        <is>
          <t>Föryngringsavverkning</t>
        </is>
      </c>
      <c r="D7996" s="1" t="n">
        <v>45807</v>
      </c>
      <c r="E7996" s="1" t="n">
        <v>46307</v>
      </c>
      <c r="F7996" t="inlineStr">
        <is>
          <t>VÄRMLANDS LÄN</t>
        </is>
      </c>
      <c r="G7996" t="inlineStr">
        <is>
          <t>SÄFFLE</t>
        </is>
      </c>
      <c r="I7996" t="n">
        <v>1.8</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55066-2023</t>
        </is>
      </c>
      <c r="B7997" t="inlineStr">
        <is>
          <t>avverkningsanmälan</t>
        </is>
      </c>
      <c r="C7997" t="inlineStr">
        <is>
          <t>Föryngringsavverkning</t>
        </is>
      </c>
      <c r="D7997" s="1" t="n">
        <v>45237</v>
      </c>
      <c r="E7997" s="1" t="n">
        <v>46307</v>
      </c>
      <c r="F7997" t="inlineStr">
        <is>
          <t>VÄRMLANDS LÄN</t>
        </is>
      </c>
      <c r="G7997" t="inlineStr">
        <is>
          <t>HAMMARÖ</t>
        </is>
      </c>
      <c r="H7997" t="inlineStr">
        <is>
          <t>Kommuner</t>
        </is>
      </c>
      <c r="I7997" t="n">
        <v>0.9</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41521-2025</t>
        </is>
      </c>
      <c r="B7998" t="inlineStr">
        <is>
          <t>avverkningsanmälan</t>
        </is>
      </c>
      <c r="C7998" t="inlineStr">
        <is>
          <t>Föryngringsavverkning</t>
        </is>
      </c>
      <c r="D7998" s="1" t="n">
        <v>45901</v>
      </c>
      <c r="E7998" s="1" t="n">
        <v>46307</v>
      </c>
      <c r="F7998" t="inlineStr">
        <is>
          <t>VÄRMLANDS LÄN</t>
        </is>
      </c>
      <c r="G7998" t="inlineStr">
        <is>
          <t>FILIPSTAD</t>
        </is>
      </c>
      <c r="H7998" t="inlineStr">
        <is>
          <t>Bergvik skog väst AB</t>
        </is>
      </c>
      <c r="I7998" t="n">
        <v>1.7</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64030-2025</t>
        </is>
      </c>
      <c r="B7999" t="inlineStr">
        <is>
          <t>avverkningsanmälan</t>
        </is>
      </c>
      <c r="C7999" t="inlineStr">
        <is>
          <t>Föryngringsavverkning</t>
        </is>
      </c>
      <c r="D7999" s="1" t="n">
        <v>46021</v>
      </c>
      <c r="E7999" s="1" t="n">
        <v>46307</v>
      </c>
      <c r="F7999" t="inlineStr">
        <is>
          <t>VÄRMLANDS LÄN</t>
        </is>
      </c>
      <c r="G7999" t="inlineStr">
        <is>
          <t>SUNNE</t>
        </is>
      </c>
      <c r="I7999" t="n">
        <v>3.6</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23720-2025</t>
        </is>
      </c>
      <c r="B8000" t="inlineStr">
        <is>
          <t>avverkningsanmälan</t>
        </is>
      </c>
      <c r="C8000" t="inlineStr">
        <is>
          <t>Föryngringsavverkning</t>
        </is>
      </c>
      <c r="D8000" s="1" t="n">
        <v>45793</v>
      </c>
      <c r="E8000" s="1" t="n">
        <v>46307</v>
      </c>
      <c r="F8000" t="inlineStr">
        <is>
          <t>VÄRMLANDS LÄN</t>
        </is>
      </c>
      <c r="G8000" t="inlineStr">
        <is>
          <t>SUNNE</t>
        </is>
      </c>
      <c r="I8000" t="n">
        <v>0.8</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40522-2025</t>
        </is>
      </c>
      <c r="B8001" t="inlineStr">
        <is>
          <t>avverkningsanmälan</t>
        </is>
      </c>
      <c r="C8001" t="inlineStr">
        <is>
          <t>Föryngringsavverkning</t>
        </is>
      </c>
      <c r="D8001" s="1" t="n">
        <v>45896</v>
      </c>
      <c r="E8001" s="1" t="n">
        <v>46307</v>
      </c>
      <c r="F8001" t="inlineStr">
        <is>
          <t>VÄRMLANDS LÄN</t>
        </is>
      </c>
      <c r="G8001" t="inlineStr">
        <is>
          <t>GRUMS</t>
        </is>
      </c>
      <c r="I8001" t="n">
        <v>0.9</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64048-2025</t>
        </is>
      </c>
      <c r="B8002" t="inlineStr">
        <is>
          <t>avverkningsanmälan</t>
        </is>
      </c>
      <c r="C8002" t="inlineStr">
        <is>
          <t>Föryngringsavverkning</t>
        </is>
      </c>
      <c r="D8002" s="1" t="n">
        <v>46021</v>
      </c>
      <c r="E8002" s="1" t="n">
        <v>46307</v>
      </c>
      <c r="F8002" t="inlineStr">
        <is>
          <t>VÄRMLANDS LÄN</t>
        </is>
      </c>
      <c r="G8002" t="inlineStr">
        <is>
          <t>SUNNE</t>
        </is>
      </c>
      <c r="I8002" t="n">
        <v>1.6</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64074-2025</t>
        </is>
      </c>
      <c r="B8003" t="inlineStr">
        <is>
          <t>avverkningsanmälan</t>
        </is>
      </c>
      <c r="C8003" t="inlineStr">
        <is>
          <t>Föryngringsavverkning</t>
        </is>
      </c>
      <c r="D8003" s="1" t="n">
        <v>46021</v>
      </c>
      <c r="E8003" s="1" t="n">
        <v>46307</v>
      </c>
      <c r="F8003" t="inlineStr">
        <is>
          <t>VÄRMLANDS LÄN</t>
        </is>
      </c>
      <c r="G8003" t="inlineStr">
        <is>
          <t>EDA</t>
        </is>
      </c>
      <c r="I8003" t="n">
        <v>1.5</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19908-2025</t>
        </is>
      </c>
      <c r="B8004" t="inlineStr">
        <is>
          <t>avverkningsanmälan</t>
        </is>
      </c>
      <c r="C8004" t="inlineStr">
        <is>
          <t>Föryngringsavverkning</t>
        </is>
      </c>
      <c r="D8004" s="1" t="n">
        <v>45771</v>
      </c>
      <c r="E8004" s="1" t="n">
        <v>46307</v>
      </c>
      <c r="F8004" t="inlineStr">
        <is>
          <t>VÄRMLANDS LÄN</t>
        </is>
      </c>
      <c r="G8004" t="inlineStr">
        <is>
          <t>SUNNE</t>
        </is>
      </c>
      <c r="I8004" t="n">
        <v>1.2</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8820-2024</t>
        </is>
      </c>
      <c r="B8005" t="inlineStr">
        <is>
          <t>avverkningsanmälan</t>
        </is>
      </c>
      <c r="C8005" t="inlineStr">
        <is>
          <t>Föryngringsavverkning</t>
        </is>
      </c>
      <c r="D8005" s="1" t="n">
        <v>45356</v>
      </c>
      <c r="E8005" s="1" t="n">
        <v>46307</v>
      </c>
      <c r="F8005" t="inlineStr">
        <is>
          <t>VÄRMLANDS LÄN</t>
        </is>
      </c>
      <c r="G8005" t="inlineStr">
        <is>
          <t>HAGFORS</t>
        </is>
      </c>
      <c r="I8005" t="n">
        <v>4.4</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5214-2025</t>
        </is>
      </c>
      <c r="B8006" t="inlineStr">
        <is>
          <t>avverkningsanmälan</t>
        </is>
      </c>
      <c r="C8006" t="inlineStr">
        <is>
          <t>Föryngringsavverkning</t>
        </is>
      </c>
      <c r="D8006" s="1" t="n">
        <v>45691</v>
      </c>
      <c r="E8006" s="1" t="n">
        <v>46307</v>
      </c>
      <c r="F8006" t="inlineStr">
        <is>
          <t>VÄRMLANDS LÄN</t>
        </is>
      </c>
      <c r="G8006" t="inlineStr">
        <is>
          <t>GRUMS</t>
        </is>
      </c>
      <c r="I8006" t="n">
        <v>2.5</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38946-2025</t>
        </is>
      </c>
      <c r="B8007" t="inlineStr">
        <is>
          <t>avverkningsanmälan</t>
        </is>
      </c>
      <c r="C8007" t="inlineStr">
        <is>
          <t>Föryngringsavverkning</t>
        </is>
      </c>
      <c r="D8007" s="1" t="n">
        <v>45887</v>
      </c>
      <c r="E8007" s="1" t="n">
        <v>46307</v>
      </c>
      <c r="F8007" t="inlineStr">
        <is>
          <t>VÄRMLANDS LÄN</t>
        </is>
      </c>
      <c r="G8007" t="inlineStr">
        <is>
          <t>KRISTINEHAMN</t>
        </is>
      </c>
      <c r="I8007" t="n">
        <v>3</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18337-2024</t>
        </is>
      </c>
      <c r="B8008" t="inlineStr">
        <is>
          <t>avverkningsanmälan</t>
        </is>
      </c>
      <c r="C8008" t="inlineStr">
        <is>
          <t>Föryngringsavverkning</t>
        </is>
      </c>
      <c r="D8008" s="1" t="n">
        <v>45422</v>
      </c>
      <c r="E8008" s="1" t="n">
        <v>46307</v>
      </c>
      <c r="F8008" t="inlineStr">
        <is>
          <t>VÄRMLANDS LÄN</t>
        </is>
      </c>
      <c r="G8008" t="inlineStr">
        <is>
          <t>TORSBY</t>
        </is>
      </c>
      <c r="I8008" t="n">
        <v>2.5</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24505-2023</t>
        </is>
      </c>
      <c r="B8009" t="inlineStr">
        <is>
          <t>avverkningsanmälan</t>
        </is>
      </c>
      <c r="C8009" t="inlineStr">
        <is>
          <t>Föryngringsavverkning</t>
        </is>
      </c>
      <c r="D8009" s="1" t="n">
        <v>45082</v>
      </c>
      <c r="E8009" s="1" t="n">
        <v>46307</v>
      </c>
      <c r="F8009" t="inlineStr">
        <is>
          <t>VÄRMLANDS LÄN</t>
        </is>
      </c>
      <c r="G8009" t="inlineStr">
        <is>
          <t>ÅRJÄNG</t>
        </is>
      </c>
      <c r="I8009" t="n">
        <v>1</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24536-2023</t>
        </is>
      </c>
      <c r="B8010" t="inlineStr">
        <is>
          <t>avverkningsanmälan</t>
        </is>
      </c>
      <c r="C8010" t="inlineStr">
        <is>
          <t>Föryngringsavverkning</t>
        </is>
      </c>
      <c r="D8010" s="1" t="n">
        <v>45082</v>
      </c>
      <c r="E8010" s="1" t="n">
        <v>46307</v>
      </c>
      <c r="F8010" t="inlineStr">
        <is>
          <t>VÄRMLANDS LÄN</t>
        </is>
      </c>
      <c r="G8010" t="inlineStr">
        <is>
          <t>SUNNE</t>
        </is>
      </c>
      <c r="I8010" t="n">
        <v>1.5</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11562-2025</t>
        </is>
      </c>
      <c r="B8011" t="inlineStr">
        <is>
          <t>avverkningsanmälan</t>
        </is>
      </c>
      <c r="C8011" t="inlineStr">
        <is>
          <t>Föryngringsavverkning</t>
        </is>
      </c>
      <c r="D8011" s="1" t="n">
        <v>45727</v>
      </c>
      <c r="E8011" s="1" t="n">
        <v>46307</v>
      </c>
      <c r="F8011" t="inlineStr">
        <is>
          <t>VÄRMLANDS LÄN</t>
        </is>
      </c>
      <c r="G8011" t="inlineStr">
        <is>
          <t>ARVIKA</t>
        </is>
      </c>
      <c r="I8011" t="n">
        <v>3.4</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63990-2025</t>
        </is>
      </c>
      <c r="B8012" t="inlineStr">
        <is>
          <t>avverkningsanmälan</t>
        </is>
      </c>
      <c r="C8012" t="inlineStr">
        <is>
          <t>Föryngringsavverkning</t>
        </is>
      </c>
      <c r="D8012" s="1" t="n">
        <v>46021</v>
      </c>
      <c r="E8012" s="1" t="n">
        <v>46307</v>
      </c>
      <c r="F8012" t="inlineStr">
        <is>
          <t>VÄRMLANDS LÄN</t>
        </is>
      </c>
      <c r="G8012" t="inlineStr">
        <is>
          <t>EDA</t>
        </is>
      </c>
      <c r="H8012" t="inlineStr">
        <is>
          <t>Övriga Aktiebolag</t>
        </is>
      </c>
      <c r="I8012" t="n">
        <v>8.300000000000001</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14446-2025</t>
        </is>
      </c>
      <c r="B8013" t="inlineStr">
        <is>
          <t>avverkningsanmälan</t>
        </is>
      </c>
      <c r="C8013" t="inlineStr">
        <is>
          <t>Föryngringsavverkning</t>
        </is>
      </c>
      <c r="D8013" s="1" t="n">
        <v>45741</v>
      </c>
      <c r="E8013" s="1" t="n">
        <v>46307</v>
      </c>
      <c r="F8013" t="inlineStr">
        <is>
          <t>VÄRMLANDS LÄN</t>
        </is>
      </c>
      <c r="G8013" t="inlineStr">
        <is>
          <t>ÅRJÄNG</t>
        </is>
      </c>
      <c r="I8013" t="n">
        <v>4.3</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19364-2023</t>
        </is>
      </c>
      <c r="B8014" t="inlineStr">
        <is>
          <t>avverkningsanmälan</t>
        </is>
      </c>
      <c r="C8014" t="inlineStr">
        <is>
          <t>Föryngringsavverkning</t>
        </is>
      </c>
      <c r="D8014" s="1" t="n">
        <v>45049</v>
      </c>
      <c r="E8014" s="1" t="n">
        <v>46307</v>
      </c>
      <c r="F8014" t="inlineStr">
        <is>
          <t>VÄRMLANDS LÄN</t>
        </is>
      </c>
      <c r="G8014" t="inlineStr">
        <is>
          <t>ARVIKA</t>
        </is>
      </c>
      <c r="I8014" t="n">
        <v>1.3</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38666-2024</t>
        </is>
      </c>
      <c r="B8015" t="inlineStr">
        <is>
          <t>avverkningsanmälan</t>
        </is>
      </c>
      <c r="C8015" t="inlineStr">
        <is>
          <t>Avverkning för annat ändamål</t>
        </is>
      </c>
      <c r="D8015" s="1" t="n">
        <v>45547</v>
      </c>
      <c r="E8015" s="1" t="n">
        <v>46307</v>
      </c>
      <c r="F8015" t="inlineStr">
        <is>
          <t>VÄRMLANDS LÄN</t>
        </is>
      </c>
      <c r="G8015" t="inlineStr">
        <is>
          <t>ARVIKA</t>
        </is>
      </c>
      <c r="H8015" t="inlineStr">
        <is>
          <t>Kommuner</t>
        </is>
      </c>
      <c r="I8015" t="n">
        <v>1.3</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56314-2024</t>
        </is>
      </c>
      <c r="B8016" t="inlineStr">
        <is>
          <t>avverkningsanmälan</t>
        </is>
      </c>
      <c r="C8016" t="inlineStr">
        <is>
          <t>Föryngringsavverkning</t>
        </is>
      </c>
      <c r="D8016" s="1" t="n">
        <v>45624</v>
      </c>
      <c r="E8016" s="1" t="n">
        <v>46307</v>
      </c>
      <c r="F8016" t="inlineStr">
        <is>
          <t>VÄRMLANDS LÄN</t>
        </is>
      </c>
      <c r="G8016" t="inlineStr">
        <is>
          <t>ÅRJÄNG</t>
        </is>
      </c>
      <c r="I8016" t="n">
        <v>0.5</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13481-2025</t>
        </is>
      </c>
      <c r="B8017" t="inlineStr">
        <is>
          <t>avverkningsanmälan</t>
        </is>
      </c>
      <c r="C8017" t="inlineStr">
        <is>
          <t>Föryngringsavverkning</t>
        </is>
      </c>
      <c r="D8017" s="1" t="n">
        <v>45736</v>
      </c>
      <c r="E8017" s="1" t="n">
        <v>46307</v>
      </c>
      <c r="F8017" t="inlineStr">
        <is>
          <t>VÄRMLANDS LÄN</t>
        </is>
      </c>
      <c r="G8017" t="inlineStr">
        <is>
          <t>ÅRJÄNG</t>
        </is>
      </c>
      <c r="I8017" t="n">
        <v>5.2</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20457-2025</t>
        </is>
      </c>
      <c r="B8018" t="inlineStr">
        <is>
          <t>avverkningsanmälan</t>
        </is>
      </c>
      <c r="C8018" t="inlineStr">
        <is>
          <t>Föryngringsavverkning</t>
        </is>
      </c>
      <c r="D8018" s="1" t="n">
        <v>45775</v>
      </c>
      <c r="E8018" s="1" t="n">
        <v>46307</v>
      </c>
      <c r="F8018" t="inlineStr">
        <is>
          <t>VÄRMLANDS LÄN</t>
        </is>
      </c>
      <c r="G8018" t="inlineStr">
        <is>
          <t>SUNNE</t>
        </is>
      </c>
      <c r="H8018" t="inlineStr">
        <is>
          <t>Övriga Aktiebolag</t>
        </is>
      </c>
      <c r="I8018" t="n">
        <v>1</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20017-2025</t>
        </is>
      </c>
      <c r="B8019" t="inlineStr">
        <is>
          <t>avverkningsanmälan</t>
        </is>
      </c>
      <c r="C8019" t="inlineStr">
        <is>
          <t>Föryngringsavverkning</t>
        </is>
      </c>
      <c r="D8019" s="1" t="n">
        <v>45772</v>
      </c>
      <c r="E8019" s="1" t="n">
        <v>46307</v>
      </c>
      <c r="F8019" t="inlineStr">
        <is>
          <t>VÄRMLANDS LÄN</t>
        </is>
      </c>
      <c r="G8019" t="inlineStr">
        <is>
          <t>SUNNE</t>
        </is>
      </c>
      <c r="H8019" t="inlineStr">
        <is>
          <t>Övriga statliga verk och myndigheter</t>
        </is>
      </c>
      <c r="I8019" t="n">
        <v>1.7</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13871-2025</t>
        </is>
      </c>
      <c r="B8020" t="inlineStr">
        <is>
          <t>avverkningsanmälan</t>
        </is>
      </c>
      <c r="C8020" t="inlineStr">
        <is>
          <t>Föryngringsavverkning</t>
        </is>
      </c>
      <c r="D8020" s="1" t="n">
        <v>45737</v>
      </c>
      <c r="E8020" s="1" t="n">
        <v>46307</v>
      </c>
      <c r="F8020" t="inlineStr">
        <is>
          <t>VÄRMLANDS LÄN</t>
        </is>
      </c>
      <c r="G8020" t="inlineStr">
        <is>
          <t>ÅRJÄNG</t>
        </is>
      </c>
      <c r="I8020" t="n">
        <v>1</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18434-2025</t>
        </is>
      </c>
      <c r="B8021" t="inlineStr">
        <is>
          <t>avverkningsanmälan</t>
        </is>
      </c>
      <c r="C8021" t="inlineStr">
        <is>
          <t>Föryngringsavverkning</t>
        </is>
      </c>
      <c r="D8021" s="1" t="n">
        <v>45762</v>
      </c>
      <c r="E8021" s="1" t="n">
        <v>46307</v>
      </c>
      <c r="F8021" t="inlineStr">
        <is>
          <t>VÄRMLANDS LÄN</t>
        </is>
      </c>
      <c r="G8021" t="inlineStr">
        <is>
          <t>SUNNE</t>
        </is>
      </c>
      <c r="I8021" t="n">
        <v>2</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64701-2023</t>
        </is>
      </c>
      <c r="B8022" t="inlineStr">
        <is>
          <t>avverkningsanmälan</t>
        </is>
      </c>
      <c r="C8022" t="inlineStr">
        <is>
          <t>Föryngringsavverkning</t>
        </is>
      </c>
      <c r="D8022" s="1" t="n">
        <v>45281</v>
      </c>
      <c r="E8022" s="1" t="n">
        <v>46307</v>
      </c>
      <c r="F8022" t="inlineStr">
        <is>
          <t>VÄRMLANDS LÄN</t>
        </is>
      </c>
      <c r="G8022" t="inlineStr">
        <is>
          <t>EDA</t>
        </is>
      </c>
      <c r="I8022" t="n">
        <v>0.5</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61908-2022</t>
        </is>
      </c>
      <c r="B8023" t="inlineStr">
        <is>
          <t>avverkningsanmälan</t>
        </is>
      </c>
      <c r="C8023" t="inlineStr">
        <is>
          <t>Föryngringsavverkning</t>
        </is>
      </c>
      <c r="D8023" s="1" t="n">
        <v>44917</v>
      </c>
      <c r="E8023" s="1" t="n">
        <v>46307</v>
      </c>
      <c r="F8023" t="inlineStr">
        <is>
          <t>VÄRMLANDS LÄN</t>
        </is>
      </c>
      <c r="G8023" t="inlineStr">
        <is>
          <t>ARVIKA</t>
        </is>
      </c>
      <c r="I8023" t="n">
        <v>0.6</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58383-2021</t>
        </is>
      </c>
      <c r="B8024" t="inlineStr">
        <is>
          <t>avverkningsanmälan</t>
        </is>
      </c>
      <c r="C8024" t="inlineStr">
        <is>
          <t>Föryngringsavverkning</t>
        </is>
      </c>
      <c r="D8024" s="1" t="n">
        <v>44488</v>
      </c>
      <c r="E8024" s="1" t="n">
        <v>46307</v>
      </c>
      <c r="F8024" t="inlineStr">
        <is>
          <t>VÄRMLANDS LÄN</t>
        </is>
      </c>
      <c r="G8024" t="inlineStr">
        <is>
          <t>SÄFFLE</t>
        </is>
      </c>
      <c r="I8024" t="n">
        <v>2.3</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51618-2022</t>
        </is>
      </c>
      <c r="B8025" t="inlineStr">
        <is>
          <t>avverkningsanmälan</t>
        </is>
      </c>
      <c r="C8025" t="inlineStr">
        <is>
          <t>Föryngringsavverkning</t>
        </is>
      </c>
      <c r="D8025" s="1" t="n">
        <v>44872</v>
      </c>
      <c r="E8025" s="1" t="n">
        <v>46307</v>
      </c>
      <c r="F8025" t="inlineStr">
        <is>
          <t>VÄRMLANDS LÄN</t>
        </is>
      </c>
      <c r="G8025" t="inlineStr">
        <is>
          <t>FILIPSTAD</t>
        </is>
      </c>
      <c r="I8025" t="n">
        <v>1.6</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73214-2021</t>
        </is>
      </c>
      <c r="B8026" t="inlineStr">
        <is>
          <t>avverkningsanmälan</t>
        </is>
      </c>
      <c r="C8026" t="inlineStr">
        <is>
          <t>Föryngringsavverkning</t>
        </is>
      </c>
      <c r="D8026" s="1" t="n">
        <v>44550</v>
      </c>
      <c r="E8026" s="1" t="n">
        <v>46307</v>
      </c>
      <c r="F8026" t="inlineStr">
        <is>
          <t>VÄRMLANDS LÄN</t>
        </is>
      </c>
      <c r="G8026" t="inlineStr">
        <is>
          <t>SUNNE</t>
        </is>
      </c>
      <c r="I8026" t="n">
        <v>1.1</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57445-2022</t>
        </is>
      </c>
      <c r="B8027" t="inlineStr">
        <is>
          <t>avverkningsanmälan</t>
        </is>
      </c>
      <c r="C8027" t="inlineStr">
        <is>
          <t>Föryngringsavverkning</t>
        </is>
      </c>
      <c r="D8027" s="1" t="n">
        <v>44896</v>
      </c>
      <c r="E8027" s="1" t="n">
        <v>46307</v>
      </c>
      <c r="F8027" t="inlineStr">
        <is>
          <t>VÄRMLANDS LÄN</t>
        </is>
      </c>
      <c r="G8027" t="inlineStr">
        <is>
          <t>KARLSTAD</t>
        </is>
      </c>
      <c r="I8027" t="n">
        <v>3.2</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52834-2023</t>
        </is>
      </c>
      <c r="B8028" t="inlineStr">
        <is>
          <t>avverkningsanmälan</t>
        </is>
      </c>
      <c r="C8028" t="inlineStr">
        <is>
          <t>Föryngringsavverkning</t>
        </is>
      </c>
      <c r="D8028" s="1" t="n">
        <v>45226</v>
      </c>
      <c r="E8028" s="1" t="n">
        <v>46307</v>
      </c>
      <c r="F8028" t="inlineStr">
        <is>
          <t>VÄRMLANDS LÄN</t>
        </is>
      </c>
      <c r="G8028" t="inlineStr">
        <is>
          <t>STORFORS</t>
        </is>
      </c>
      <c r="H8028" t="inlineStr">
        <is>
          <t>Bergvik skog väst AB</t>
        </is>
      </c>
      <c r="I8028" t="n">
        <v>2.4</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27410-2023</t>
        </is>
      </c>
      <c r="B8029" t="inlineStr">
        <is>
          <t>avverkningsanmälan</t>
        </is>
      </c>
      <c r="C8029" t="inlineStr">
        <is>
          <t>Föryngringsavverkning</t>
        </is>
      </c>
      <c r="D8029" s="1" t="n">
        <v>45097</v>
      </c>
      <c r="E8029" s="1" t="n">
        <v>46307</v>
      </c>
      <c r="F8029" t="inlineStr">
        <is>
          <t>VÄRMLANDS LÄN</t>
        </is>
      </c>
      <c r="G8029" t="inlineStr">
        <is>
          <t>HAGFORS</t>
        </is>
      </c>
      <c r="H8029" t="inlineStr">
        <is>
          <t>Kyrkan</t>
        </is>
      </c>
      <c r="I8029" t="n">
        <v>3.1</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13438-2024</t>
        </is>
      </c>
      <c r="B8030" t="inlineStr">
        <is>
          <t>avverkningsanmälan</t>
        </is>
      </c>
      <c r="C8030" t="inlineStr">
        <is>
          <t>Föryngringsavverkning</t>
        </is>
      </c>
      <c r="D8030" s="1" t="n">
        <v>45387</v>
      </c>
      <c r="E8030" s="1" t="n">
        <v>46307</v>
      </c>
      <c r="F8030" t="inlineStr">
        <is>
          <t>VÄRMLANDS LÄN</t>
        </is>
      </c>
      <c r="G8030" t="inlineStr">
        <is>
          <t>SÄFFLE</t>
        </is>
      </c>
      <c r="I8030" t="n">
        <v>2.5</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37904-2025</t>
        </is>
      </c>
      <c r="B8031" t="inlineStr">
        <is>
          <t>avverkningsanmälan</t>
        </is>
      </c>
      <c r="C8031" t="inlineStr">
        <is>
          <t>Föryngringsavverkning</t>
        </is>
      </c>
      <c r="D8031" s="1" t="n">
        <v>45881</v>
      </c>
      <c r="E8031" s="1" t="n">
        <v>46307</v>
      </c>
      <c r="F8031" t="inlineStr">
        <is>
          <t>VÄRMLANDS LÄN</t>
        </is>
      </c>
      <c r="G8031" t="inlineStr">
        <is>
          <t>TORSBY</t>
        </is>
      </c>
      <c r="I8031" t="n">
        <v>1.9</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13208-2025</t>
        </is>
      </c>
      <c r="B8032" t="inlineStr">
        <is>
          <t>avverkningsanmälan</t>
        </is>
      </c>
      <c r="C8032" t="inlineStr">
        <is>
          <t>Föryngringsavverkning</t>
        </is>
      </c>
      <c r="D8032" s="1" t="n">
        <v>45735</v>
      </c>
      <c r="E8032" s="1" t="n">
        <v>46307</v>
      </c>
      <c r="F8032" t="inlineStr">
        <is>
          <t>VÄRMLANDS LÄN</t>
        </is>
      </c>
      <c r="G8032" t="inlineStr">
        <is>
          <t>SUNNE</t>
        </is>
      </c>
      <c r="I8032" t="n">
        <v>1.5</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55428-2022</t>
        </is>
      </c>
      <c r="B8033" t="inlineStr">
        <is>
          <t>avverkningsanmälan</t>
        </is>
      </c>
      <c r="C8033" t="inlineStr">
        <is>
          <t>Föryngringsavverkning</t>
        </is>
      </c>
      <c r="D8033" s="1" t="n">
        <v>44887</v>
      </c>
      <c r="E8033" s="1" t="n">
        <v>46307</v>
      </c>
      <c r="F8033" t="inlineStr">
        <is>
          <t>VÄRMLANDS LÄN</t>
        </is>
      </c>
      <c r="G8033" t="inlineStr">
        <is>
          <t>TORSBY</t>
        </is>
      </c>
      <c r="I8033" t="n">
        <v>1.1</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50106-2022</t>
        </is>
      </c>
      <c r="B8034" t="inlineStr">
        <is>
          <t>avverkningsanmälan</t>
        </is>
      </c>
      <c r="C8034" t="inlineStr">
        <is>
          <t>Föryngringsavverkning</t>
        </is>
      </c>
      <c r="D8034" s="1" t="n">
        <v>44865</v>
      </c>
      <c r="E8034" s="1" t="n">
        <v>46307</v>
      </c>
      <c r="F8034" t="inlineStr">
        <is>
          <t>VÄRMLANDS LÄN</t>
        </is>
      </c>
      <c r="G8034" t="inlineStr">
        <is>
          <t>EDA</t>
        </is>
      </c>
      <c r="I8034" t="n">
        <v>2.6</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19666-2023</t>
        </is>
      </c>
      <c r="B8035" t="inlineStr">
        <is>
          <t>avverkningsanmälan</t>
        </is>
      </c>
      <c r="C8035" t="inlineStr">
        <is>
          <t>Avverkning för annat ändamål</t>
        </is>
      </c>
      <c r="D8035" s="1" t="n">
        <v>45051</v>
      </c>
      <c r="E8035" s="1" t="n">
        <v>46307</v>
      </c>
      <c r="F8035" t="inlineStr">
        <is>
          <t>VÄRMLANDS LÄN</t>
        </is>
      </c>
      <c r="G8035" t="inlineStr">
        <is>
          <t>KARLSTAD</t>
        </is>
      </c>
      <c r="I8035" t="n">
        <v>0.4</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46293-2025</t>
        </is>
      </c>
      <c r="B8036" t="inlineStr">
        <is>
          <t>avverkningsanmälan</t>
        </is>
      </c>
      <c r="C8036" t="inlineStr">
        <is>
          <t>Föryngringsavverkning</t>
        </is>
      </c>
      <c r="D8036" s="1" t="n">
        <v>45925</v>
      </c>
      <c r="E8036" s="1" t="n">
        <v>46307</v>
      </c>
      <c r="F8036" t="inlineStr">
        <is>
          <t>VÄRMLANDS LÄN</t>
        </is>
      </c>
      <c r="G8036" t="inlineStr">
        <is>
          <t>TORSBY</t>
        </is>
      </c>
      <c r="I8036" t="n">
        <v>24.3</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30895-2024</t>
        </is>
      </c>
      <c r="B8037" t="inlineStr">
        <is>
          <t>avverkningsanmälan</t>
        </is>
      </c>
      <c r="C8037" t="inlineStr">
        <is>
          <t>Föryngringsavverkning</t>
        </is>
      </c>
      <c r="D8037" s="1" t="n">
        <v>45498</v>
      </c>
      <c r="E8037" s="1" t="n">
        <v>46307</v>
      </c>
      <c r="F8037" t="inlineStr">
        <is>
          <t>VÄRMLANDS LÄN</t>
        </is>
      </c>
      <c r="G8037" t="inlineStr">
        <is>
          <t>EDA</t>
        </is>
      </c>
      <c r="I8037" t="n">
        <v>0.8</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397-2026</t>
        </is>
      </c>
      <c r="B8038" t="inlineStr">
        <is>
          <t>avverkningsanmälan</t>
        </is>
      </c>
      <c r="C8038" t="inlineStr">
        <is>
          <t>Föryngringsavverkning</t>
        </is>
      </c>
      <c r="D8038" s="1" t="n">
        <v>46028</v>
      </c>
      <c r="E8038" s="1" t="n">
        <v>46307</v>
      </c>
      <c r="F8038" t="inlineStr">
        <is>
          <t>VÄRMLANDS LÄN</t>
        </is>
      </c>
      <c r="G8038" t="inlineStr">
        <is>
          <t>ÅRJÄNG</t>
        </is>
      </c>
      <c r="I8038" t="n">
        <v>0.8</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3260-2025</t>
        </is>
      </c>
      <c r="B8039" t="inlineStr">
        <is>
          <t>avverkningsanmälan</t>
        </is>
      </c>
      <c r="C8039" t="inlineStr">
        <is>
          <t>Föryngringsavverkning</t>
        </is>
      </c>
      <c r="D8039" s="1" t="n">
        <v>45679</v>
      </c>
      <c r="E8039" s="1" t="n">
        <v>46307</v>
      </c>
      <c r="F8039" t="inlineStr">
        <is>
          <t>VÄRMLANDS LÄN</t>
        </is>
      </c>
      <c r="G8039" t="inlineStr">
        <is>
          <t>SUNNE</t>
        </is>
      </c>
      <c r="I8039" t="n">
        <v>1.8</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42177-2025</t>
        </is>
      </c>
      <c r="B8040" t="inlineStr">
        <is>
          <t>avverkningsanmälan</t>
        </is>
      </c>
      <c r="C8040" t="inlineStr">
        <is>
          <t>Föryngringsavverkning</t>
        </is>
      </c>
      <c r="D8040" s="1" t="n">
        <v>45904</v>
      </c>
      <c r="E8040" s="1" t="n">
        <v>46307</v>
      </c>
      <c r="F8040" t="inlineStr">
        <is>
          <t>VÄRMLANDS LÄN</t>
        </is>
      </c>
      <c r="G8040" t="inlineStr">
        <is>
          <t>KRISTINEHAMN</t>
        </is>
      </c>
      <c r="I8040" t="n">
        <v>2.4</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16421-2025</t>
        </is>
      </c>
      <c r="B8041" t="inlineStr">
        <is>
          <t>avverkningsanmälan</t>
        </is>
      </c>
      <c r="C8041" t="inlineStr">
        <is>
          <t>Föryngringsavverkning</t>
        </is>
      </c>
      <c r="D8041" s="1" t="n">
        <v>45751</v>
      </c>
      <c r="E8041" s="1" t="n">
        <v>46307</v>
      </c>
      <c r="F8041" t="inlineStr">
        <is>
          <t>VÄRMLANDS LÄN</t>
        </is>
      </c>
      <c r="G8041" t="inlineStr">
        <is>
          <t>KARLSTAD</t>
        </is>
      </c>
      <c r="I8041" t="n">
        <v>2.9</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47734-2025</t>
        </is>
      </c>
      <c r="B8042" t="inlineStr">
        <is>
          <t>avverkningsanmälan</t>
        </is>
      </c>
      <c r="C8042" t="inlineStr">
        <is>
          <t>Föryngringsavverkning</t>
        </is>
      </c>
      <c r="D8042" s="1" t="n">
        <v>45931</v>
      </c>
      <c r="E8042" s="1" t="n">
        <v>46307</v>
      </c>
      <c r="F8042" t="inlineStr">
        <is>
          <t>VÄRMLANDS LÄN</t>
        </is>
      </c>
      <c r="G8042" t="inlineStr">
        <is>
          <t>FORSHAGA</t>
        </is>
      </c>
      <c r="H8042" t="inlineStr">
        <is>
          <t>Kommuner</t>
        </is>
      </c>
      <c r="I8042" t="n">
        <v>2.2</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29401-2024</t>
        </is>
      </c>
      <c r="B8043" t="inlineStr">
        <is>
          <t>avverkningsanmälan</t>
        </is>
      </c>
      <c r="C8043" t="inlineStr">
        <is>
          <t>Föryngringsavverkning</t>
        </is>
      </c>
      <c r="D8043" s="1" t="n">
        <v>45483</v>
      </c>
      <c r="E8043" s="1" t="n">
        <v>46307</v>
      </c>
      <c r="F8043" t="inlineStr">
        <is>
          <t>VÄRMLANDS LÄN</t>
        </is>
      </c>
      <c r="G8043" t="inlineStr">
        <is>
          <t>ARVIKA</t>
        </is>
      </c>
      <c r="I8043" t="n">
        <v>1.4</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37409-2025</t>
        </is>
      </c>
      <c r="B8044" t="inlineStr">
        <is>
          <t>avverkningsanmälan</t>
        </is>
      </c>
      <c r="C8044" t="inlineStr">
        <is>
          <t>Föryngringsavverkning</t>
        </is>
      </c>
      <c r="D8044" s="1" t="n">
        <v>45877</v>
      </c>
      <c r="E8044" s="1" t="n">
        <v>46307</v>
      </c>
      <c r="F8044" t="inlineStr">
        <is>
          <t>VÄRMLANDS LÄN</t>
        </is>
      </c>
      <c r="G8044" t="inlineStr">
        <is>
          <t>ÅRJÄNG</t>
        </is>
      </c>
      <c r="I8044" t="n">
        <v>4.8</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29175-2024</t>
        </is>
      </c>
      <c r="B8045" t="inlineStr">
        <is>
          <t>avverkningsanmälan</t>
        </is>
      </c>
      <c r="C8045" t="inlineStr">
        <is>
          <t>Föryngringsavverkning</t>
        </is>
      </c>
      <c r="D8045" s="1" t="n">
        <v>45482</v>
      </c>
      <c r="E8045" s="1" t="n">
        <v>46307</v>
      </c>
      <c r="F8045" t="inlineStr">
        <is>
          <t>VÄRMLANDS LÄN</t>
        </is>
      </c>
      <c r="G8045" t="inlineStr">
        <is>
          <t>ARVIKA</t>
        </is>
      </c>
      <c r="H8045" t="inlineStr">
        <is>
          <t>Bergvik skog väst AB</t>
        </is>
      </c>
      <c r="I8045" t="n">
        <v>0.4</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365-2026</t>
        </is>
      </c>
      <c r="B8046" t="inlineStr">
        <is>
          <t>avverkningsanmälan</t>
        </is>
      </c>
      <c r="C8046" t="inlineStr">
        <is>
          <t>Föryngringsavverkning</t>
        </is>
      </c>
      <c r="D8046" s="1" t="n">
        <v>46027</v>
      </c>
      <c r="E8046" s="1" t="n">
        <v>46307</v>
      </c>
      <c r="F8046" t="inlineStr">
        <is>
          <t>VÄRMLANDS LÄN</t>
        </is>
      </c>
      <c r="G8046" t="inlineStr">
        <is>
          <t>ÅRJÄNG</t>
        </is>
      </c>
      <c r="I8046" t="n">
        <v>1.6</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11196-2024</t>
        </is>
      </c>
      <c r="B8047" t="inlineStr">
        <is>
          <t>avverkningsanmälan</t>
        </is>
      </c>
      <c r="C8047" t="inlineStr">
        <is>
          <t>Föryngringsavverkning</t>
        </is>
      </c>
      <c r="D8047" s="1" t="n">
        <v>45371</v>
      </c>
      <c r="E8047" s="1" t="n">
        <v>46307</v>
      </c>
      <c r="F8047" t="inlineStr">
        <is>
          <t>VÄRMLANDS LÄN</t>
        </is>
      </c>
      <c r="G8047" t="inlineStr">
        <is>
          <t>FORSHAGA</t>
        </is>
      </c>
      <c r="I8047" t="n">
        <v>2.1</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52901-2022</t>
        </is>
      </c>
      <c r="B8048" t="inlineStr">
        <is>
          <t>avverkningsanmälan</t>
        </is>
      </c>
      <c r="C8048" t="inlineStr">
        <is>
          <t>Föryngringsavverkning</t>
        </is>
      </c>
      <c r="D8048" s="1" t="n">
        <v>44872</v>
      </c>
      <c r="E8048" s="1" t="n">
        <v>46307</v>
      </c>
      <c r="F8048" t="inlineStr">
        <is>
          <t>VÄRMLANDS LÄN</t>
        </is>
      </c>
      <c r="G8048" t="inlineStr">
        <is>
          <t>TORSBY</t>
        </is>
      </c>
      <c r="I8048" t="n">
        <v>1.4</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44290-2025</t>
        </is>
      </c>
      <c r="B8049" t="inlineStr">
        <is>
          <t>avverkningsanmälan</t>
        </is>
      </c>
      <c r="C8049" t="inlineStr">
        <is>
          <t>Föryngringsavverkning</t>
        </is>
      </c>
      <c r="D8049" s="1" t="n">
        <v>45916</v>
      </c>
      <c r="E8049" s="1" t="n">
        <v>46307</v>
      </c>
      <c r="F8049" t="inlineStr">
        <is>
          <t>VÄRMLANDS LÄN</t>
        </is>
      </c>
      <c r="G8049" t="inlineStr">
        <is>
          <t>TORSBY</t>
        </is>
      </c>
      <c r="I8049" t="n">
        <v>3.1</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1841-2024</t>
        </is>
      </c>
      <c r="B8050" t="inlineStr">
        <is>
          <t>avverkningsanmälan</t>
        </is>
      </c>
      <c r="C8050" t="inlineStr">
        <is>
          <t>Föryngringsavverkning</t>
        </is>
      </c>
      <c r="D8050" s="1" t="n">
        <v>45307</v>
      </c>
      <c r="E8050" s="1" t="n">
        <v>46307</v>
      </c>
      <c r="F8050" t="inlineStr">
        <is>
          <t>VÄRMLANDS LÄN</t>
        </is>
      </c>
      <c r="G8050" t="inlineStr">
        <is>
          <t>KARLSTAD</t>
        </is>
      </c>
      <c r="I8050" t="n">
        <v>4.3</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1842-2024</t>
        </is>
      </c>
      <c r="B8051" t="inlineStr">
        <is>
          <t>avverkningsanmälan</t>
        </is>
      </c>
      <c r="C8051" t="inlineStr">
        <is>
          <t>Föryngringsavverkning</t>
        </is>
      </c>
      <c r="D8051" s="1" t="n">
        <v>45307</v>
      </c>
      <c r="E8051" s="1" t="n">
        <v>46307</v>
      </c>
      <c r="F8051" t="inlineStr">
        <is>
          <t>VÄRMLANDS LÄN</t>
        </is>
      </c>
      <c r="G8051" t="inlineStr">
        <is>
          <t>SUNNE</t>
        </is>
      </c>
      <c r="I8051" t="n">
        <v>0.8</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57452-2022</t>
        </is>
      </c>
      <c r="B8052" t="inlineStr">
        <is>
          <t>avverkningsanmälan</t>
        </is>
      </c>
      <c r="C8052" t="inlineStr">
        <is>
          <t>Föryngringsavverkning</t>
        </is>
      </c>
      <c r="D8052" s="1" t="n">
        <v>44896</v>
      </c>
      <c r="E8052" s="1" t="n">
        <v>46307</v>
      </c>
      <c r="F8052" t="inlineStr">
        <is>
          <t>VÄRMLANDS LÄN</t>
        </is>
      </c>
      <c r="G8052" t="inlineStr">
        <is>
          <t>TORSBY</t>
        </is>
      </c>
      <c r="H8052" t="inlineStr">
        <is>
          <t>Bergvik skog väst AB</t>
        </is>
      </c>
      <c r="I8052" t="n">
        <v>4.8</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48079-2025</t>
        </is>
      </c>
      <c r="B8053" t="inlineStr">
        <is>
          <t>avverkningsanmälan</t>
        </is>
      </c>
      <c r="C8053" t="inlineStr">
        <is>
          <t>Föryngringsavverkning</t>
        </is>
      </c>
      <c r="D8053" s="1" t="n">
        <v>45932</v>
      </c>
      <c r="E8053" s="1" t="n">
        <v>46307</v>
      </c>
      <c r="F8053" t="inlineStr">
        <is>
          <t>VÄRMLANDS LÄN</t>
        </is>
      </c>
      <c r="G8053" t="inlineStr">
        <is>
          <t>SÄFFLE</t>
        </is>
      </c>
      <c r="H8053" t="inlineStr">
        <is>
          <t>Kyrkan</t>
        </is>
      </c>
      <c r="I8053" t="n">
        <v>12</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43974-2025</t>
        </is>
      </c>
      <c r="B8054" t="inlineStr">
        <is>
          <t>avverkningsanmälan</t>
        </is>
      </c>
      <c r="C8054" t="inlineStr">
        <is>
          <t>Föryngringsavverkning</t>
        </is>
      </c>
      <c r="D8054" s="1" t="n">
        <v>45915</v>
      </c>
      <c r="E8054" s="1" t="n">
        <v>46307</v>
      </c>
      <c r="F8054" t="inlineStr">
        <is>
          <t>VÄRMLANDS LÄN</t>
        </is>
      </c>
      <c r="G8054" t="inlineStr">
        <is>
          <t>EDA</t>
        </is>
      </c>
      <c r="I8054" t="n">
        <v>2.3</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235-2026</t>
        </is>
      </c>
      <c r="B8055" t="inlineStr">
        <is>
          <t>avverkningsanmälan</t>
        </is>
      </c>
      <c r="C8055" t="inlineStr">
        <is>
          <t>Föryngringsavverkning</t>
        </is>
      </c>
      <c r="D8055" s="1" t="n">
        <v>46027</v>
      </c>
      <c r="E8055" s="1" t="n">
        <v>46307</v>
      </c>
      <c r="F8055" t="inlineStr">
        <is>
          <t>VÄRMLANDS LÄN</t>
        </is>
      </c>
      <c r="G8055" t="inlineStr">
        <is>
          <t>TORSBY</t>
        </is>
      </c>
      <c r="H8055" t="inlineStr">
        <is>
          <t>Bergvik skog väst AB</t>
        </is>
      </c>
      <c r="I8055" t="n">
        <v>0.7</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22843-2025</t>
        </is>
      </c>
      <c r="B8056" t="inlineStr">
        <is>
          <t>avverkningsanmälan</t>
        </is>
      </c>
      <c r="C8056" t="inlineStr">
        <is>
          <t>Föryngringsavverkning</t>
        </is>
      </c>
      <c r="D8056" s="1" t="n">
        <v>45790</v>
      </c>
      <c r="E8056" s="1" t="n">
        <v>46307</v>
      </c>
      <c r="F8056" t="inlineStr">
        <is>
          <t>VÄRMLANDS LÄN</t>
        </is>
      </c>
      <c r="G8056" t="inlineStr">
        <is>
          <t>FILIPSTAD</t>
        </is>
      </c>
      <c r="I8056" t="n">
        <v>1.1</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24567-2022</t>
        </is>
      </c>
      <c r="B8057" t="inlineStr">
        <is>
          <t>avverkningsanmälan</t>
        </is>
      </c>
      <c r="C8057" t="inlineStr">
        <is>
          <t>Föryngringsavverkning</t>
        </is>
      </c>
      <c r="D8057" s="1" t="n">
        <v>44727</v>
      </c>
      <c r="E8057" s="1" t="n">
        <v>46307</v>
      </c>
      <c r="F8057" t="inlineStr">
        <is>
          <t>VÄRMLANDS LÄN</t>
        </is>
      </c>
      <c r="G8057" t="inlineStr">
        <is>
          <t>MUNKFORS</t>
        </is>
      </c>
      <c r="I8057" t="n">
        <v>2.2</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59622-2022</t>
        </is>
      </c>
      <c r="B8058" t="inlineStr">
        <is>
          <t>avverkningsanmälan</t>
        </is>
      </c>
      <c r="C8058" t="inlineStr">
        <is>
          <t>Föryngringsavverkning</t>
        </is>
      </c>
      <c r="D8058" s="1" t="n">
        <v>44907</v>
      </c>
      <c r="E8058" s="1" t="n">
        <v>46307</v>
      </c>
      <c r="F8058" t="inlineStr">
        <is>
          <t>VÄRMLANDS LÄN</t>
        </is>
      </c>
      <c r="G8058" t="inlineStr">
        <is>
          <t>ÅRJÄNG</t>
        </is>
      </c>
      <c r="I8058" t="n">
        <v>1.5</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49728-2025</t>
        </is>
      </c>
      <c r="B8059" t="inlineStr">
        <is>
          <t>avverkningsanmälan</t>
        </is>
      </c>
      <c r="C8059" t="inlineStr">
        <is>
          <t>Föryngringsavverkning</t>
        </is>
      </c>
      <c r="D8059" s="1" t="n">
        <v>45939</v>
      </c>
      <c r="E8059" s="1" t="n">
        <v>46307</v>
      </c>
      <c r="F8059" t="inlineStr">
        <is>
          <t>VÄRMLANDS LÄN</t>
        </is>
      </c>
      <c r="G8059" t="inlineStr">
        <is>
          <t>ÅRJÄNG</t>
        </is>
      </c>
      <c r="I8059" t="n">
        <v>22</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31618-2025</t>
        </is>
      </c>
      <c r="B8060" t="inlineStr">
        <is>
          <t>avverkningsanmälan</t>
        </is>
      </c>
      <c r="C8060" t="inlineStr">
        <is>
          <t>Föryngringsavverkning</t>
        </is>
      </c>
      <c r="D8060" s="1" t="n">
        <v>45833</v>
      </c>
      <c r="E8060" s="1" t="n">
        <v>46307</v>
      </c>
      <c r="F8060" t="inlineStr">
        <is>
          <t>VÄRMLANDS LÄN</t>
        </is>
      </c>
      <c r="G8060" t="inlineStr">
        <is>
          <t>HAGFORS</t>
        </is>
      </c>
      <c r="H8060" t="inlineStr">
        <is>
          <t>Bergvik skog väst AB</t>
        </is>
      </c>
      <c r="I8060" t="n">
        <v>4.4</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52564-2025</t>
        </is>
      </c>
      <c r="B8061" t="inlineStr">
        <is>
          <t>avverkningsanmälan</t>
        </is>
      </c>
      <c r="C8061" t="inlineStr">
        <is>
          <t>Föryngringsavverkning</t>
        </is>
      </c>
      <c r="D8061" s="1" t="n">
        <v>45954</v>
      </c>
      <c r="E8061" s="1" t="n">
        <v>46307</v>
      </c>
      <c r="F8061" t="inlineStr">
        <is>
          <t>VÄRMLANDS LÄN</t>
        </is>
      </c>
      <c r="G8061" t="inlineStr">
        <is>
          <t>TORSBY</t>
        </is>
      </c>
      <c r="I8061" t="n">
        <v>2.4</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60198-2022</t>
        </is>
      </c>
      <c r="B8062" t="inlineStr">
        <is>
          <t>avverkningsanmälan</t>
        </is>
      </c>
      <c r="C8062" t="inlineStr">
        <is>
          <t>Föryngringsavverkning</t>
        </is>
      </c>
      <c r="D8062" s="1" t="n">
        <v>44910</v>
      </c>
      <c r="E8062" s="1" t="n">
        <v>46307</v>
      </c>
      <c r="F8062" t="inlineStr">
        <is>
          <t>VÄRMLANDS LÄN</t>
        </is>
      </c>
      <c r="G8062" t="inlineStr">
        <is>
          <t>SÄFFLE</t>
        </is>
      </c>
      <c r="H8062" t="inlineStr">
        <is>
          <t>Bergvik skog väst AB</t>
        </is>
      </c>
      <c r="I8062" t="n">
        <v>1.5</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39157-2025</t>
        </is>
      </c>
      <c r="B8063" t="inlineStr">
        <is>
          <t>avverkningsanmälan</t>
        </is>
      </c>
      <c r="C8063" t="inlineStr">
        <is>
          <t>Föryngringsavverkning</t>
        </is>
      </c>
      <c r="D8063" s="1" t="n">
        <v>45888</v>
      </c>
      <c r="E8063" s="1" t="n">
        <v>46307</v>
      </c>
      <c r="F8063" t="inlineStr">
        <is>
          <t>VÄRMLANDS LÄN</t>
        </is>
      </c>
      <c r="G8063" t="inlineStr">
        <is>
          <t>KRISTINEHAMN</t>
        </is>
      </c>
      <c r="I8063" t="n">
        <v>7.1</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658-2022</t>
        </is>
      </c>
      <c r="B8064" t="inlineStr">
        <is>
          <t>avverkningsanmälan</t>
        </is>
      </c>
      <c r="C8064" t="inlineStr">
        <is>
          <t>Föryngringsavverkning</t>
        </is>
      </c>
      <c r="D8064" s="1" t="n">
        <v>44566</v>
      </c>
      <c r="E8064" s="1" t="n">
        <v>46307</v>
      </c>
      <c r="F8064" t="inlineStr">
        <is>
          <t>VÄRMLANDS LÄN</t>
        </is>
      </c>
      <c r="G8064" t="inlineStr">
        <is>
          <t>HAGFORS</t>
        </is>
      </c>
      <c r="I8064" t="n">
        <v>3.7</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39069-2022</t>
        </is>
      </c>
      <c r="B8065" t="inlineStr">
        <is>
          <t>avverkningsanmälan</t>
        </is>
      </c>
      <c r="C8065" t="inlineStr">
        <is>
          <t>Föryngringsavverkning</t>
        </is>
      </c>
      <c r="D8065" s="1" t="n">
        <v>44816</v>
      </c>
      <c r="E8065" s="1" t="n">
        <v>46307</v>
      </c>
      <c r="F8065" t="inlineStr">
        <is>
          <t>VÄRMLANDS LÄN</t>
        </is>
      </c>
      <c r="G8065" t="inlineStr">
        <is>
          <t>TORSBY</t>
        </is>
      </c>
      <c r="I8065" t="n">
        <v>0.3</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39073-2022</t>
        </is>
      </c>
      <c r="B8066" t="inlineStr">
        <is>
          <t>avverkningsanmälan</t>
        </is>
      </c>
      <c r="C8066" t="inlineStr">
        <is>
          <t>Föryngringsavverkning</t>
        </is>
      </c>
      <c r="D8066" s="1" t="n">
        <v>44817</v>
      </c>
      <c r="E8066" s="1" t="n">
        <v>46307</v>
      </c>
      <c r="F8066" t="inlineStr">
        <is>
          <t>VÄRMLANDS LÄN</t>
        </is>
      </c>
      <c r="G8066" t="inlineStr">
        <is>
          <t>ARVIKA</t>
        </is>
      </c>
      <c r="H8066" t="inlineStr">
        <is>
          <t>Bergvik skog väst AB</t>
        </is>
      </c>
      <c r="I8066" t="n">
        <v>1.4</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20527-2026</t>
        </is>
      </c>
      <c r="B8067" t="inlineStr">
        <is>
          <t>avverkningsanmälan</t>
        </is>
      </c>
      <c r="C8067" t="inlineStr">
        <is>
          <t>Föryngringsavverkning</t>
        </is>
      </c>
      <c r="D8067" s="1" t="n">
        <v>46140</v>
      </c>
      <c r="E8067" s="1" t="n">
        <v>46307</v>
      </c>
      <c r="F8067" t="inlineStr">
        <is>
          <t>VÄRMLANDS LÄN</t>
        </is>
      </c>
      <c r="G8067" t="inlineStr">
        <is>
          <t>STORFORS</t>
        </is>
      </c>
      <c r="H8067" t="inlineStr">
        <is>
          <t>Bergvik skog väst AB</t>
        </is>
      </c>
      <c r="I8067" t="n">
        <v>3.8</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1048-2026</t>
        </is>
      </c>
      <c r="B8068" t="inlineStr">
        <is>
          <t>avverkningsanmälan</t>
        </is>
      </c>
      <c r="C8068" t="inlineStr">
        <is>
          <t>Föryngringsavverkning</t>
        </is>
      </c>
      <c r="D8068" s="1" t="n">
        <v>46029</v>
      </c>
      <c r="E8068" s="1" t="n">
        <v>46307</v>
      </c>
      <c r="F8068" t="inlineStr">
        <is>
          <t>VÄRMLANDS LÄN</t>
        </is>
      </c>
      <c r="G8068" t="inlineStr">
        <is>
          <t>EDA</t>
        </is>
      </c>
      <c r="I8068" t="n">
        <v>1</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10584-2023</t>
        </is>
      </c>
      <c r="B8069" t="inlineStr">
        <is>
          <t>avverkningsanmälan</t>
        </is>
      </c>
      <c r="C8069" t="inlineStr">
        <is>
          <t>Föryngringsavverkning</t>
        </is>
      </c>
      <c r="D8069" s="1" t="n">
        <v>44988</v>
      </c>
      <c r="E8069" s="1" t="n">
        <v>46307</v>
      </c>
      <c r="F8069" t="inlineStr">
        <is>
          <t>VÄRMLANDS LÄN</t>
        </is>
      </c>
      <c r="G8069" t="inlineStr">
        <is>
          <t>TORSBY</t>
        </is>
      </c>
      <c r="I8069" t="n">
        <v>1.1</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20552-2026</t>
        </is>
      </c>
      <c r="B8070" t="inlineStr">
        <is>
          <t>avverkningsanmälan</t>
        </is>
      </c>
      <c r="C8070" t="inlineStr">
        <is>
          <t>Föryngringsavverkning</t>
        </is>
      </c>
      <c r="D8070" s="1" t="n">
        <v>46140</v>
      </c>
      <c r="E8070" s="1" t="n">
        <v>46307</v>
      </c>
      <c r="F8070" t="inlineStr">
        <is>
          <t>VÄRMLANDS LÄN</t>
        </is>
      </c>
      <c r="G8070" t="inlineStr">
        <is>
          <t>EDA</t>
        </is>
      </c>
      <c r="H8070" t="inlineStr">
        <is>
          <t>Bergvik skog väst AB</t>
        </is>
      </c>
      <c r="I8070" t="n">
        <v>7.2</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20553-2026</t>
        </is>
      </c>
      <c r="B8071" t="inlineStr">
        <is>
          <t>avverkningsanmälan</t>
        </is>
      </c>
      <c r="C8071" t="inlineStr">
        <is>
          <t>Föryngringsavverkning</t>
        </is>
      </c>
      <c r="D8071" s="1" t="n">
        <v>46140</v>
      </c>
      <c r="E8071" s="1" t="n">
        <v>46307</v>
      </c>
      <c r="F8071" t="inlineStr">
        <is>
          <t>VÄRMLANDS LÄN</t>
        </is>
      </c>
      <c r="G8071" t="inlineStr">
        <is>
          <t>ÅRJÄNG</t>
        </is>
      </c>
      <c r="I8071" t="n">
        <v>0.6</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748-2026</t>
        </is>
      </c>
      <c r="B8072" t="inlineStr">
        <is>
          <t>avverkningsanmälan</t>
        </is>
      </c>
      <c r="C8072" t="inlineStr">
        <is>
          <t>Föryngringsavverkning</t>
        </is>
      </c>
      <c r="D8072" s="1" t="n">
        <v>46029</v>
      </c>
      <c r="E8072" s="1" t="n">
        <v>46307</v>
      </c>
      <c r="F8072" t="inlineStr">
        <is>
          <t>VÄRMLANDS LÄN</t>
        </is>
      </c>
      <c r="G8072" t="inlineStr">
        <is>
          <t>TORSBY</t>
        </is>
      </c>
      <c r="I8072" t="n">
        <v>2.9</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1070-2026</t>
        </is>
      </c>
      <c r="B8073" t="inlineStr">
        <is>
          <t>avverkningsanmälan</t>
        </is>
      </c>
      <c r="C8073" t="inlineStr">
        <is>
          <t>Föryngringsavverkning</t>
        </is>
      </c>
      <c r="D8073" s="1" t="n">
        <v>46029</v>
      </c>
      <c r="E8073" s="1" t="n">
        <v>46307</v>
      </c>
      <c r="F8073" t="inlineStr">
        <is>
          <t>VÄRMLANDS LÄN</t>
        </is>
      </c>
      <c r="G8073" t="inlineStr">
        <is>
          <t>EDA</t>
        </is>
      </c>
      <c r="I8073" t="n">
        <v>3.1</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1078-2026</t>
        </is>
      </c>
      <c r="B8074" t="inlineStr">
        <is>
          <t>avverkningsanmälan</t>
        </is>
      </c>
      <c r="C8074" t="inlineStr">
        <is>
          <t>Föryngringsavverkning</t>
        </is>
      </c>
      <c r="D8074" s="1" t="n">
        <v>46029</v>
      </c>
      <c r="E8074" s="1" t="n">
        <v>46307</v>
      </c>
      <c r="F8074" t="inlineStr">
        <is>
          <t>VÄRMLANDS LÄN</t>
        </is>
      </c>
      <c r="G8074" t="inlineStr">
        <is>
          <t>EDA</t>
        </is>
      </c>
      <c r="I8074" t="n">
        <v>0.8</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48807-2025</t>
        </is>
      </c>
      <c r="B8075" t="inlineStr">
        <is>
          <t>avverkningsanmälan</t>
        </is>
      </c>
      <c r="C8075" t="inlineStr">
        <is>
          <t>Avverkning för annat ändamål</t>
        </is>
      </c>
      <c r="D8075" s="1" t="n">
        <v>45937</v>
      </c>
      <c r="E8075" s="1" t="n">
        <v>46307</v>
      </c>
      <c r="F8075" t="inlineStr">
        <is>
          <t>VÄRMLANDS LÄN</t>
        </is>
      </c>
      <c r="G8075" t="inlineStr">
        <is>
          <t>HAGFORS</t>
        </is>
      </c>
      <c r="I8075" t="n">
        <v>2.6</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1045-2026</t>
        </is>
      </c>
      <c r="B8076" t="inlineStr">
        <is>
          <t>avverkningsanmälan</t>
        </is>
      </c>
      <c r="C8076" t="inlineStr">
        <is>
          <t>Föryngringsavverkning</t>
        </is>
      </c>
      <c r="D8076" s="1" t="n">
        <v>46030</v>
      </c>
      <c r="E8076" s="1" t="n">
        <v>46307</v>
      </c>
      <c r="F8076" t="inlineStr">
        <is>
          <t>VÄRMLANDS LÄN</t>
        </is>
      </c>
      <c r="G8076" t="inlineStr">
        <is>
          <t>TORSBY</t>
        </is>
      </c>
      <c r="I8076" t="n">
        <v>1.1</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31924-2024</t>
        </is>
      </c>
      <c r="B8077" t="inlineStr">
        <is>
          <t>avverkningsanmälan</t>
        </is>
      </c>
      <c r="C8077" t="inlineStr">
        <is>
          <t>Föryngringsavverkning</t>
        </is>
      </c>
      <c r="D8077" s="1" t="n">
        <v>45510</v>
      </c>
      <c r="E8077" s="1" t="n">
        <v>46307</v>
      </c>
      <c r="F8077" t="inlineStr">
        <is>
          <t>VÄRMLANDS LÄN</t>
        </is>
      </c>
      <c r="G8077" t="inlineStr">
        <is>
          <t>EDA</t>
        </is>
      </c>
      <c r="I8077" t="n">
        <v>3.2</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31939-2024</t>
        </is>
      </c>
      <c r="B8078" t="inlineStr">
        <is>
          <t>avverkningsanmälan</t>
        </is>
      </c>
      <c r="C8078" t="inlineStr">
        <is>
          <t>Föryngringsavverkning</t>
        </is>
      </c>
      <c r="D8078" s="1" t="n">
        <v>45510</v>
      </c>
      <c r="E8078" s="1" t="n">
        <v>46307</v>
      </c>
      <c r="F8078" t="inlineStr">
        <is>
          <t>VÄRMLANDS LÄN</t>
        </is>
      </c>
      <c r="G8078" t="inlineStr">
        <is>
          <t>EDA</t>
        </is>
      </c>
      <c r="I8078" t="n">
        <v>2.9</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1760-2026</t>
        </is>
      </c>
      <c r="B8079" t="inlineStr">
        <is>
          <t>avverkningsanmälan</t>
        </is>
      </c>
      <c r="C8079" t="inlineStr">
        <is>
          <t>Föryngringsavverkning</t>
        </is>
      </c>
      <c r="D8079" s="1" t="n">
        <v>46030</v>
      </c>
      <c r="E8079" s="1" t="n">
        <v>46307</v>
      </c>
      <c r="F8079" t="inlineStr">
        <is>
          <t>VÄRMLANDS LÄN</t>
        </is>
      </c>
      <c r="G8079" t="inlineStr">
        <is>
          <t>ÅRJÄNG</t>
        </is>
      </c>
      <c r="H8079" t="inlineStr">
        <is>
          <t>Övriga Aktiebolag</t>
        </is>
      </c>
      <c r="I8079" t="n">
        <v>2</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1211-2026</t>
        </is>
      </c>
      <c r="B8080" t="inlineStr">
        <is>
          <t>avverkningsanmälan</t>
        </is>
      </c>
      <c r="C8080" t="inlineStr">
        <is>
          <t>Föryngringsavverkning</t>
        </is>
      </c>
      <c r="D8080" s="1" t="n">
        <v>46030</v>
      </c>
      <c r="E8080" s="1" t="n">
        <v>46307</v>
      </c>
      <c r="F8080" t="inlineStr">
        <is>
          <t>VÄRMLANDS LÄN</t>
        </is>
      </c>
      <c r="G8080" t="inlineStr">
        <is>
          <t>ÅRJÄNG</t>
        </is>
      </c>
      <c r="H8080" t="inlineStr">
        <is>
          <t>Övriga Aktiebolag</t>
        </is>
      </c>
      <c r="I8080" t="n">
        <v>2.3</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20239-2026</t>
        </is>
      </c>
      <c r="B8081" t="inlineStr">
        <is>
          <t>avverkningsanmälan</t>
        </is>
      </c>
      <c r="C8081" t="inlineStr">
        <is>
          <t>Föryngringsavverkning</t>
        </is>
      </c>
      <c r="D8081" s="1" t="n">
        <v>46139</v>
      </c>
      <c r="E8081" s="1" t="n">
        <v>46307</v>
      </c>
      <c r="F8081" t="inlineStr">
        <is>
          <t>VÄRMLANDS LÄN</t>
        </is>
      </c>
      <c r="G8081" t="inlineStr">
        <is>
          <t>TORSBY</t>
        </is>
      </c>
      <c r="I8081" t="n">
        <v>4.2</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20588-2026</t>
        </is>
      </c>
      <c r="B8082" t="inlineStr">
        <is>
          <t>avverkningsanmälan</t>
        </is>
      </c>
      <c r="C8082" t="inlineStr">
        <is>
          <t>Föryngringsavverkning</t>
        </is>
      </c>
      <c r="D8082" s="1" t="n">
        <v>46140</v>
      </c>
      <c r="E8082" s="1" t="n">
        <v>46307</v>
      </c>
      <c r="F8082" t="inlineStr">
        <is>
          <t>VÄRMLANDS LÄN</t>
        </is>
      </c>
      <c r="G8082" t="inlineStr">
        <is>
          <t>TORSBY</t>
        </is>
      </c>
      <c r="I8082" t="n">
        <v>4.4</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972-2026</t>
        </is>
      </c>
      <c r="B8083" t="inlineStr">
        <is>
          <t>avverkningsanmälan</t>
        </is>
      </c>
      <c r="C8083" t="inlineStr">
        <is>
          <t>Föryngringsavverkning</t>
        </is>
      </c>
      <c r="D8083" s="1" t="n">
        <v>46030</v>
      </c>
      <c r="E8083" s="1" t="n">
        <v>46307</v>
      </c>
      <c r="F8083" t="inlineStr">
        <is>
          <t>VÄRMLANDS LÄN</t>
        </is>
      </c>
      <c r="G8083" t="inlineStr">
        <is>
          <t>SÄFFLE</t>
        </is>
      </c>
      <c r="I8083" t="n">
        <v>5</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975-2026</t>
        </is>
      </c>
      <c r="B8084" t="inlineStr">
        <is>
          <t>avverkningsanmälan</t>
        </is>
      </c>
      <c r="C8084" t="inlineStr">
        <is>
          <t>Avverkning för annat ändamål</t>
        </is>
      </c>
      <c r="D8084" s="1" t="n">
        <v>46030</v>
      </c>
      <c r="E8084" s="1" t="n">
        <v>46307</v>
      </c>
      <c r="F8084" t="inlineStr">
        <is>
          <t>VÄRMLANDS LÄN</t>
        </is>
      </c>
      <c r="G8084" t="inlineStr">
        <is>
          <t>HAGFORS</t>
        </is>
      </c>
      <c r="H8084" t="inlineStr">
        <is>
          <t>Bergvik skog väst AB</t>
        </is>
      </c>
      <c r="I8084" t="n">
        <v>2.1</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28943-2025</t>
        </is>
      </c>
      <c r="B8085" t="inlineStr">
        <is>
          <t>avverkningsanmälan</t>
        </is>
      </c>
      <c r="C8085" t="inlineStr">
        <is>
          <t>Föryngringsavverkning</t>
        </is>
      </c>
      <c r="D8085" s="1" t="n">
        <v>45820</v>
      </c>
      <c r="E8085" s="1" t="n">
        <v>46307</v>
      </c>
      <c r="F8085" t="inlineStr">
        <is>
          <t>VÄRMLANDS LÄN</t>
        </is>
      </c>
      <c r="G8085" t="inlineStr">
        <is>
          <t>SÄFFLE</t>
        </is>
      </c>
      <c r="I8085" t="n">
        <v>1.8</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33641-2024</t>
        </is>
      </c>
      <c r="B8086" t="inlineStr">
        <is>
          <t>avverkningsanmälan</t>
        </is>
      </c>
      <c r="C8086" t="inlineStr">
        <is>
          <t>Föryngringsavverkning</t>
        </is>
      </c>
      <c r="D8086" s="1" t="n">
        <v>45520</v>
      </c>
      <c r="E8086" s="1" t="n">
        <v>46307</v>
      </c>
      <c r="F8086" t="inlineStr">
        <is>
          <t>VÄRMLANDS LÄN</t>
        </is>
      </c>
      <c r="G8086" t="inlineStr">
        <is>
          <t>ARVIKA</t>
        </is>
      </c>
      <c r="H8086" t="inlineStr">
        <is>
          <t>Bergvik skog väst AB</t>
        </is>
      </c>
      <c r="I8086" t="n">
        <v>3.4</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48650-2025</t>
        </is>
      </c>
      <c r="B8087" t="inlineStr">
        <is>
          <t>avverkningsanmälan</t>
        </is>
      </c>
      <c r="C8087" t="inlineStr">
        <is>
          <t>Föryngringsavverkning</t>
        </is>
      </c>
      <c r="D8087" s="1" t="n">
        <v>45936</v>
      </c>
      <c r="E8087" s="1" t="n">
        <v>46307</v>
      </c>
      <c r="F8087" t="inlineStr">
        <is>
          <t>VÄRMLANDS LÄN</t>
        </is>
      </c>
      <c r="G8087" t="inlineStr">
        <is>
          <t>ARVIKA</t>
        </is>
      </c>
      <c r="H8087" t="inlineStr">
        <is>
          <t>Bergvik skog väst AB</t>
        </is>
      </c>
      <c r="I8087" t="n">
        <v>1.1</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937-2026</t>
        </is>
      </c>
      <c r="B8088" t="inlineStr">
        <is>
          <t>avverkningsanmälan</t>
        </is>
      </c>
      <c r="C8088" t="inlineStr">
        <is>
          <t>Föryngringsavverkning</t>
        </is>
      </c>
      <c r="D8088" s="1" t="n">
        <v>46030</v>
      </c>
      <c r="E8088" s="1" t="n">
        <v>46307</v>
      </c>
      <c r="F8088" t="inlineStr">
        <is>
          <t>VÄRMLANDS LÄN</t>
        </is>
      </c>
      <c r="G8088" t="inlineStr">
        <is>
          <t>ARVIKA</t>
        </is>
      </c>
      <c r="I8088" t="n">
        <v>0.9</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61703-2022</t>
        </is>
      </c>
      <c r="B8089" t="inlineStr">
        <is>
          <t>avverkningsanmälan</t>
        </is>
      </c>
      <c r="C8089" t="inlineStr">
        <is>
          <t>Föryngringsavverkning</t>
        </is>
      </c>
      <c r="D8089" s="1" t="n">
        <v>44917</v>
      </c>
      <c r="E8089" s="1" t="n">
        <v>46307</v>
      </c>
      <c r="F8089" t="inlineStr">
        <is>
          <t>VÄRMLANDS LÄN</t>
        </is>
      </c>
      <c r="G8089" t="inlineStr">
        <is>
          <t>EDA</t>
        </is>
      </c>
      <c r="H8089" t="inlineStr">
        <is>
          <t>Bergvik skog väst AB</t>
        </is>
      </c>
      <c r="I8089" t="n">
        <v>9.699999999999999</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7797-2025</t>
        </is>
      </c>
      <c r="B8090" t="inlineStr">
        <is>
          <t>avverkningsanmälan</t>
        </is>
      </c>
      <c r="C8090" t="inlineStr">
        <is>
          <t>Föryngringsavverkning</t>
        </is>
      </c>
      <c r="D8090" s="1" t="n">
        <v>45706</v>
      </c>
      <c r="E8090" s="1" t="n">
        <v>46307</v>
      </c>
      <c r="F8090" t="inlineStr">
        <is>
          <t>VÄRMLANDS LÄN</t>
        </is>
      </c>
      <c r="G8090" t="inlineStr">
        <is>
          <t>SÄFFLE</t>
        </is>
      </c>
      <c r="I8090" t="n">
        <v>2</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45876-2024</t>
        </is>
      </c>
      <c r="B8091" t="inlineStr">
        <is>
          <t>avverkningsanmälan</t>
        </is>
      </c>
      <c r="C8091" t="inlineStr">
        <is>
          <t>Föryngringsavverkning</t>
        </is>
      </c>
      <c r="D8091" s="1" t="n">
        <v>45580</v>
      </c>
      <c r="E8091" s="1" t="n">
        <v>46307</v>
      </c>
      <c r="F8091" t="inlineStr">
        <is>
          <t>VÄRMLANDS LÄN</t>
        </is>
      </c>
      <c r="G8091" t="inlineStr">
        <is>
          <t>ÅRJÄNG</t>
        </is>
      </c>
      <c r="I8091" t="n">
        <v>0.9</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64772-2023</t>
        </is>
      </c>
      <c r="B8092" t="inlineStr">
        <is>
          <t>avverkningsanmälan</t>
        </is>
      </c>
      <c r="C8092" t="inlineStr">
        <is>
          <t>Föryngringsavverkning</t>
        </is>
      </c>
      <c r="D8092" s="1" t="n">
        <v>45282</v>
      </c>
      <c r="E8092" s="1" t="n">
        <v>46307</v>
      </c>
      <c r="F8092" t="inlineStr">
        <is>
          <t>VÄRMLANDS LÄN</t>
        </is>
      </c>
      <c r="G8092" t="inlineStr">
        <is>
          <t>MUNKFORS</t>
        </is>
      </c>
      <c r="I8092" t="n">
        <v>1.4</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35250-2025</t>
        </is>
      </c>
      <c r="B8093" t="inlineStr">
        <is>
          <t>avverkningsanmälan</t>
        </is>
      </c>
      <c r="C8093" t="inlineStr">
        <is>
          <t>Föryngringsavverkning</t>
        </is>
      </c>
      <c r="D8093" s="1" t="n">
        <v>45853</v>
      </c>
      <c r="E8093" s="1" t="n">
        <v>46307</v>
      </c>
      <c r="F8093" t="inlineStr">
        <is>
          <t>VÄRMLANDS LÄN</t>
        </is>
      </c>
      <c r="G8093" t="inlineStr">
        <is>
          <t>ARVIKA</t>
        </is>
      </c>
      <c r="I8093" t="n">
        <v>3.1</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20449-2026</t>
        </is>
      </c>
      <c r="B8094" t="inlineStr">
        <is>
          <t>avverkningsanmälan</t>
        </is>
      </c>
      <c r="C8094" t="inlineStr">
        <is>
          <t>Föryngringsavverkning</t>
        </is>
      </c>
      <c r="D8094" s="1" t="n">
        <v>46140</v>
      </c>
      <c r="E8094" s="1" t="n">
        <v>46307</v>
      </c>
      <c r="F8094" t="inlineStr">
        <is>
          <t>VÄRMLANDS LÄN</t>
        </is>
      </c>
      <c r="G8094" t="inlineStr">
        <is>
          <t>STORFORS</t>
        </is>
      </c>
      <c r="H8094" t="inlineStr">
        <is>
          <t>Bergvik skog väst AB</t>
        </is>
      </c>
      <c r="I8094" t="n">
        <v>5.9</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947-2026</t>
        </is>
      </c>
      <c r="B8095" t="inlineStr">
        <is>
          <t>avverkningsanmälan</t>
        </is>
      </c>
      <c r="C8095" t="inlineStr">
        <is>
          <t>Föryngringsavverkning</t>
        </is>
      </c>
      <c r="D8095" s="1" t="n">
        <v>46030</v>
      </c>
      <c r="E8095" s="1" t="n">
        <v>46307</v>
      </c>
      <c r="F8095" t="inlineStr">
        <is>
          <t>VÄRMLANDS LÄN</t>
        </is>
      </c>
      <c r="G8095" t="inlineStr">
        <is>
          <t>ÅRJÄNG</t>
        </is>
      </c>
      <c r="I8095" t="n">
        <v>1.4</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20487-2026</t>
        </is>
      </c>
      <c r="B8096" t="inlineStr">
        <is>
          <t>avverkningsanmälan</t>
        </is>
      </c>
      <c r="C8096" t="inlineStr">
        <is>
          <t>Föryngringsavverkning</t>
        </is>
      </c>
      <c r="D8096" s="1" t="n">
        <v>46140</v>
      </c>
      <c r="E8096" s="1" t="n">
        <v>46307</v>
      </c>
      <c r="F8096" t="inlineStr">
        <is>
          <t>VÄRMLANDS LÄN</t>
        </is>
      </c>
      <c r="G8096" t="inlineStr">
        <is>
          <t>FILIPSTAD</t>
        </is>
      </c>
      <c r="H8096" t="inlineStr">
        <is>
          <t>Bergvik skog väst AB</t>
        </is>
      </c>
      <c r="I8096" t="n">
        <v>5.2</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991-2026</t>
        </is>
      </c>
      <c r="B8097" t="inlineStr">
        <is>
          <t>avverkningsanmälan</t>
        </is>
      </c>
      <c r="C8097" t="inlineStr">
        <is>
          <t>Föryngringsavverkning</t>
        </is>
      </c>
      <c r="D8097" s="1" t="n">
        <v>46030</v>
      </c>
      <c r="E8097" s="1" t="n">
        <v>46307</v>
      </c>
      <c r="F8097" t="inlineStr">
        <is>
          <t>VÄRMLANDS LÄN</t>
        </is>
      </c>
      <c r="G8097" t="inlineStr">
        <is>
          <t>TORSBY</t>
        </is>
      </c>
      <c r="I8097" t="n">
        <v>7.1</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44231-2023</t>
        </is>
      </c>
      <c r="B8098" t="inlineStr">
        <is>
          <t>avverkningsanmälan</t>
        </is>
      </c>
      <c r="C8098" t="inlineStr">
        <is>
          <t>Föryngringsavverkning</t>
        </is>
      </c>
      <c r="D8098" s="1" t="n">
        <v>45188</v>
      </c>
      <c r="E8098" s="1" t="n">
        <v>46307</v>
      </c>
      <c r="F8098" t="inlineStr">
        <is>
          <t>VÄRMLANDS LÄN</t>
        </is>
      </c>
      <c r="G8098" t="inlineStr">
        <is>
          <t>SUNNE</t>
        </is>
      </c>
      <c r="I8098" t="n">
        <v>1.9</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61102-2023</t>
        </is>
      </c>
      <c r="B8099" t="inlineStr">
        <is>
          <t>avverkningsanmälan</t>
        </is>
      </c>
      <c r="C8099" t="inlineStr">
        <is>
          <t>Föryngringsavverkning</t>
        </is>
      </c>
      <c r="D8099" s="1" t="n">
        <v>45260</v>
      </c>
      <c r="E8099" s="1" t="n">
        <v>46307</v>
      </c>
      <c r="F8099" t="inlineStr">
        <is>
          <t>VÄRMLANDS LÄN</t>
        </is>
      </c>
      <c r="G8099" t="inlineStr">
        <is>
          <t>KARLSTAD</t>
        </is>
      </c>
      <c r="I8099" t="n">
        <v>1.8</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20560-2026</t>
        </is>
      </c>
      <c r="B8100" t="inlineStr">
        <is>
          <t>avverkningsanmälan</t>
        </is>
      </c>
      <c r="C8100" t="inlineStr">
        <is>
          <t>Föryngringsavverkning</t>
        </is>
      </c>
      <c r="D8100" s="1" t="n">
        <v>46140</v>
      </c>
      <c r="E8100" s="1" t="n">
        <v>46307</v>
      </c>
      <c r="F8100" t="inlineStr">
        <is>
          <t>VÄRMLANDS LÄN</t>
        </is>
      </c>
      <c r="G8100" t="inlineStr">
        <is>
          <t>EDA</t>
        </is>
      </c>
      <c r="H8100" t="inlineStr">
        <is>
          <t>Bergvik skog väst AB</t>
        </is>
      </c>
      <c r="I8100" t="n">
        <v>2.9</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20566-2026</t>
        </is>
      </c>
      <c r="B8101" t="inlineStr">
        <is>
          <t>avverkningsanmälan</t>
        </is>
      </c>
      <c r="C8101" t="inlineStr">
        <is>
          <t>Föryngringsavverkning</t>
        </is>
      </c>
      <c r="D8101" s="1" t="n">
        <v>46140</v>
      </c>
      <c r="E8101" s="1" t="n">
        <v>46307</v>
      </c>
      <c r="F8101" t="inlineStr">
        <is>
          <t>VÄRMLANDS LÄN</t>
        </is>
      </c>
      <c r="G8101" t="inlineStr">
        <is>
          <t>SUNNE</t>
        </is>
      </c>
      <c r="I8101" t="n">
        <v>1.9</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60710-2024</t>
        </is>
      </c>
      <c r="B8102" t="inlineStr">
        <is>
          <t>avverkningsanmälan</t>
        </is>
      </c>
      <c r="C8102" t="inlineStr">
        <is>
          <t>Föryngringsavverkning</t>
        </is>
      </c>
      <c r="D8102" s="1" t="n">
        <v>45643</v>
      </c>
      <c r="E8102" s="1" t="n">
        <v>46307</v>
      </c>
      <c r="F8102" t="inlineStr">
        <is>
          <t>VÄRMLANDS LÄN</t>
        </is>
      </c>
      <c r="G8102" t="inlineStr">
        <is>
          <t>TORSBY</t>
        </is>
      </c>
      <c r="I8102" t="n">
        <v>1.8</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59048-2022</t>
        </is>
      </c>
      <c r="B8103" t="inlineStr">
        <is>
          <t>avverkningsanmälan</t>
        </is>
      </c>
      <c r="C8103" t="inlineStr">
        <is>
          <t>Avverkning för att bevara och utveckla /försöksver</t>
        </is>
      </c>
      <c r="D8103" s="1" t="n">
        <v>44903</v>
      </c>
      <c r="E8103" s="1" t="n">
        <v>46307</v>
      </c>
      <c r="F8103" t="inlineStr">
        <is>
          <t>VÄRMLANDS LÄN</t>
        </is>
      </c>
      <c r="G8103" t="inlineStr">
        <is>
          <t>HAGFORS</t>
        </is>
      </c>
      <c r="I8103" t="n">
        <v>0.8</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10329-2025</t>
        </is>
      </c>
      <c r="B8104" t="inlineStr">
        <is>
          <t>avverkningsanmälan</t>
        </is>
      </c>
      <c r="C8104" t="inlineStr">
        <is>
          <t>Föryngringsavverkning</t>
        </is>
      </c>
      <c r="D8104" s="1" t="n">
        <v>45720</v>
      </c>
      <c r="E8104" s="1" t="n">
        <v>46307</v>
      </c>
      <c r="F8104" t="inlineStr">
        <is>
          <t>VÄRMLANDS LÄN</t>
        </is>
      </c>
      <c r="G8104" t="inlineStr">
        <is>
          <t>TORSBY</t>
        </is>
      </c>
      <c r="I8104" t="n">
        <v>2.4</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21724-2025</t>
        </is>
      </c>
      <c r="B8105" t="inlineStr">
        <is>
          <t>avverkningsanmälan</t>
        </is>
      </c>
      <c r="C8105" t="inlineStr">
        <is>
          <t>Föryngringsavverkning</t>
        </is>
      </c>
      <c r="D8105" s="1" t="n">
        <v>45783</v>
      </c>
      <c r="E8105" s="1" t="n">
        <v>46307</v>
      </c>
      <c r="F8105" t="inlineStr">
        <is>
          <t>VÄRMLANDS LÄN</t>
        </is>
      </c>
      <c r="G8105" t="inlineStr">
        <is>
          <t>HAGFORS</t>
        </is>
      </c>
      <c r="I8105" t="n">
        <v>2.1</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951-2026</t>
        </is>
      </c>
      <c r="B8106" t="inlineStr">
        <is>
          <t>avverkningsanmälan</t>
        </is>
      </c>
      <c r="C8106" t="inlineStr">
        <is>
          <t>Föryngringsavverkning</t>
        </is>
      </c>
      <c r="D8106" s="1" t="n">
        <v>46030</v>
      </c>
      <c r="E8106" s="1" t="n">
        <v>46307</v>
      </c>
      <c r="F8106" t="inlineStr">
        <is>
          <t>VÄRMLANDS LÄN</t>
        </is>
      </c>
      <c r="G8106" t="inlineStr">
        <is>
          <t>ÅRJÄNG</t>
        </is>
      </c>
      <c r="I8106" t="n">
        <v>1</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41634-2025</t>
        </is>
      </c>
      <c r="B8107" t="inlineStr">
        <is>
          <t>avverkningsanmälan</t>
        </is>
      </c>
      <c r="C8107" t="inlineStr">
        <is>
          <t>Föryngringsavverkning</t>
        </is>
      </c>
      <c r="D8107" s="1" t="n">
        <v>45902</v>
      </c>
      <c r="E8107" s="1" t="n">
        <v>46307</v>
      </c>
      <c r="F8107" t="inlineStr">
        <is>
          <t>VÄRMLANDS LÄN</t>
        </is>
      </c>
      <c r="G8107" t="inlineStr">
        <is>
          <t>TORSBY</t>
        </is>
      </c>
      <c r="I8107" t="n">
        <v>2.4</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37298-2023</t>
        </is>
      </c>
      <c r="B8108" t="inlineStr">
        <is>
          <t>avverkningsanmälan</t>
        </is>
      </c>
      <c r="C8108" t="inlineStr">
        <is>
          <t>Föryngringsavverkning</t>
        </is>
      </c>
      <c r="D8108" s="1" t="n">
        <v>45156</v>
      </c>
      <c r="E8108" s="1" t="n">
        <v>46307</v>
      </c>
      <c r="F8108" t="inlineStr">
        <is>
          <t>VÄRMLANDS LÄN</t>
        </is>
      </c>
      <c r="G8108" t="inlineStr">
        <is>
          <t>EDA</t>
        </is>
      </c>
      <c r="I8108" t="n">
        <v>1.4</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1893-2025</t>
        </is>
      </c>
      <c r="B8109" t="inlineStr">
        <is>
          <t>avverkningsanmälan</t>
        </is>
      </c>
      <c r="C8109" t="inlineStr">
        <is>
          <t>Föryngringsavverkning</t>
        </is>
      </c>
      <c r="D8109" s="1" t="n">
        <v>45671</v>
      </c>
      <c r="E8109" s="1" t="n">
        <v>46307</v>
      </c>
      <c r="F8109" t="inlineStr">
        <is>
          <t>VÄRMLANDS LÄN</t>
        </is>
      </c>
      <c r="G8109" t="inlineStr">
        <is>
          <t>EDA</t>
        </is>
      </c>
      <c r="I8109" t="n">
        <v>2.7</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45265-2023</t>
        </is>
      </c>
      <c r="B8110" t="inlineStr">
        <is>
          <t>avverkningsanmälan</t>
        </is>
      </c>
      <c r="C8110" t="inlineStr">
        <is>
          <t>Föryngringsavverkning</t>
        </is>
      </c>
      <c r="D8110" s="1" t="n">
        <v>45187</v>
      </c>
      <c r="E8110" s="1" t="n">
        <v>46307</v>
      </c>
      <c r="F8110" t="inlineStr">
        <is>
          <t>VÄRMLANDS LÄN</t>
        </is>
      </c>
      <c r="G8110" t="inlineStr">
        <is>
          <t>KARLSTAD</t>
        </is>
      </c>
      <c r="I8110" t="n">
        <v>0.4</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45265-2023</t>
        </is>
      </c>
      <c r="B8111" t="inlineStr">
        <is>
          <t>avverkningsanmälan</t>
        </is>
      </c>
      <c r="C8111" t="inlineStr">
        <is>
          <t>Föryngringsavverkning</t>
        </is>
      </c>
      <c r="D8111" s="1" t="n">
        <v>45187</v>
      </c>
      <c r="E8111" s="1" t="n">
        <v>46307</v>
      </c>
      <c r="F8111" t="inlineStr">
        <is>
          <t>VÄRMLANDS LÄN</t>
        </is>
      </c>
      <c r="G8111" t="inlineStr">
        <is>
          <t>KARLSTAD</t>
        </is>
      </c>
      <c r="I8111" t="n">
        <v>0.9</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42586-2025</t>
        </is>
      </c>
      <c r="B8112" t="inlineStr">
        <is>
          <t>avverkningsanmälan</t>
        </is>
      </c>
      <c r="C8112" t="inlineStr">
        <is>
          <t>Föryngringsavverkning</t>
        </is>
      </c>
      <c r="D8112" s="1" t="n">
        <v>45905</v>
      </c>
      <c r="E8112" s="1" t="n">
        <v>46307</v>
      </c>
      <c r="F8112" t="inlineStr">
        <is>
          <t>VÄRMLANDS LÄN</t>
        </is>
      </c>
      <c r="G8112" t="inlineStr">
        <is>
          <t>SÄFFLE</t>
        </is>
      </c>
      <c r="I8112" t="n">
        <v>3.1</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58840-2025</t>
        </is>
      </c>
      <c r="B8113" t="inlineStr">
        <is>
          <t>avverkningsanmälan</t>
        </is>
      </c>
      <c r="C8113" t="inlineStr">
        <is>
          <t>Föryngringsavverkning</t>
        </is>
      </c>
      <c r="D8113" s="1" t="n">
        <v>45987</v>
      </c>
      <c r="E8113" s="1" t="n">
        <v>46307</v>
      </c>
      <c r="F8113" t="inlineStr">
        <is>
          <t>VÄRMLANDS LÄN</t>
        </is>
      </c>
      <c r="G8113" t="inlineStr">
        <is>
          <t>TORSBY</t>
        </is>
      </c>
      <c r="H8113" t="inlineStr">
        <is>
          <t>Bergvik skog väst AB</t>
        </is>
      </c>
      <c r="I8113" t="n">
        <v>18.9</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27077-2025</t>
        </is>
      </c>
      <c r="B8114" t="inlineStr">
        <is>
          <t>avverkningsanmälan</t>
        </is>
      </c>
      <c r="C8114" t="inlineStr">
        <is>
          <t>Föryngringsavverkning</t>
        </is>
      </c>
      <c r="D8114" s="1" t="n">
        <v>45811</v>
      </c>
      <c r="E8114" s="1" t="n">
        <v>46307</v>
      </c>
      <c r="F8114" t="inlineStr">
        <is>
          <t>VÄRMLANDS LÄN</t>
        </is>
      </c>
      <c r="G8114" t="inlineStr">
        <is>
          <t>KRISTINEHAMN</t>
        </is>
      </c>
      <c r="I8114" t="n">
        <v>2.8</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26158-2025</t>
        </is>
      </c>
      <c r="B8115" t="inlineStr">
        <is>
          <t>avverkningsanmälan</t>
        </is>
      </c>
      <c r="C8115" t="inlineStr">
        <is>
          <t>Föryngringsavverkning</t>
        </is>
      </c>
      <c r="D8115" s="1" t="n">
        <v>45805</v>
      </c>
      <c r="E8115" s="1" t="n">
        <v>46307</v>
      </c>
      <c r="F8115" t="inlineStr">
        <is>
          <t>VÄRMLANDS LÄN</t>
        </is>
      </c>
      <c r="G8115" t="inlineStr">
        <is>
          <t>TORSBY</t>
        </is>
      </c>
      <c r="I8115" t="n">
        <v>1.3</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19993-2026</t>
        </is>
      </c>
      <c r="B8116" t="inlineStr">
        <is>
          <t>avverkningsanmälan</t>
        </is>
      </c>
      <c r="C8116" t="inlineStr">
        <is>
          <t>Föryngringsavverkning</t>
        </is>
      </c>
      <c r="D8116" s="1" t="n">
        <v>46136</v>
      </c>
      <c r="E8116" s="1" t="n">
        <v>46307</v>
      </c>
      <c r="F8116" t="inlineStr">
        <is>
          <t>VÄRMLANDS LÄN</t>
        </is>
      </c>
      <c r="G8116" t="inlineStr">
        <is>
          <t>HAGFORS</t>
        </is>
      </c>
      <c r="H8116" t="inlineStr">
        <is>
          <t>Bergvik skog väst AB</t>
        </is>
      </c>
      <c r="I8116" t="n">
        <v>8.4</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52587-2025</t>
        </is>
      </c>
      <c r="B8117" t="inlineStr">
        <is>
          <t>avverkningsanmälan</t>
        </is>
      </c>
      <c r="C8117" t="inlineStr">
        <is>
          <t>Föryngringsavverkning</t>
        </is>
      </c>
      <c r="D8117" s="1" t="n">
        <v>45954</v>
      </c>
      <c r="E8117" s="1" t="n">
        <v>46307</v>
      </c>
      <c r="F8117" t="inlineStr">
        <is>
          <t>VÄRMLANDS LÄN</t>
        </is>
      </c>
      <c r="G8117" t="inlineStr">
        <is>
          <t>TORSBY</t>
        </is>
      </c>
      <c r="I8117" t="n">
        <v>4.2</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822-2026</t>
        </is>
      </c>
      <c r="B8118" t="inlineStr">
        <is>
          <t>avverkningsanmälan</t>
        </is>
      </c>
      <c r="C8118" t="inlineStr">
        <is>
          <t>Föryngringsavverkning</t>
        </is>
      </c>
      <c r="D8118" s="1" t="n">
        <v>46030</v>
      </c>
      <c r="E8118" s="1" t="n">
        <v>46307</v>
      </c>
      <c r="F8118" t="inlineStr">
        <is>
          <t>VÄRMLANDS LÄN</t>
        </is>
      </c>
      <c r="G8118" t="inlineStr">
        <is>
          <t>KARLSTAD</t>
        </is>
      </c>
      <c r="I8118" t="n">
        <v>0.9</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30377-2025</t>
        </is>
      </c>
      <c r="B8119" t="inlineStr">
        <is>
          <t>avverkningsanmälan</t>
        </is>
      </c>
      <c r="C8119" t="inlineStr">
        <is>
          <t>Föryngringsavverkning</t>
        </is>
      </c>
      <c r="D8119" s="1" t="n">
        <v>45827</v>
      </c>
      <c r="E8119" s="1" t="n">
        <v>46307</v>
      </c>
      <c r="F8119" t="inlineStr">
        <is>
          <t>VÄRMLANDS LÄN</t>
        </is>
      </c>
      <c r="G8119" t="inlineStr">
        <is>
          <t>TORSBY</t>
        </is>
      </c>
      <c r="I8119" t="n">
        <v>1.5</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6504-2025</t>
        </is>
      </c>
      <c r="B8120" t="inlineStr">
        <is>
          <t>avverkningsanmälan</t>
        </is>
      </c>
      <c r="C8120" t="inlineStr">
        <is>
          <t>Föryngringsavverkning</t>
        </is>
      </c>
      <c r="D8120" s="1" t="n">
        <v>45699</v>
      </c>
      <c r="E8120" s="1" t="n">
        <v>46307</v>
      </c>
      <c r="F8120" t="inlineStr">
        <is>
          <t>VÄRMLANDS LÄN</t>
        </is>
      </c>
      <c r="G8120" t="inlineStr">
        <is>
          <t>SUNNE</t>
        </is>
      </c>
      <c r="I8120" t="n">
        <v>2.3</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24772-2025</t>
        </is>
      </c>
      <c r="B8121" t="inlineStr">
        <is>
          <t>avverkningsanmälan</t>
        </is>
      </c>
      <c r="C8121" t="inlineStr">
        <is>
          <t>Föryngringsavverkning</t>
        </is>
      </c>
      <c r="D8121" s="1" t="n">
        <v>45799</v>
      </c>
      <c r="E8121" s="1" t="n">
        <v>46307</v>
      </c>
      <c r="F8121" t="inlineStr">
        <is>
          <t>VÄRMLANDS LÄN</t>
        </is>
      </c>
      <c r="G8121" t="inlineStr">
        <is>
          <t>KARLSTAD</t>
        </is>
      </c>
      <c r="I8121" t="n">
        <v>1</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21273-2025</t>
        </is>
      </c>
      <c r="B8122" t="inlineStr">
        <is>
          <t>avverkningsanmälan</t>
        </is>
      </c>
      <c r="C8122" t="inlineStr">
        <is>
          <t>Föryngringsavverkning</t>
        </is>
      </c>
      <c r="D8122" s="1" t="n">
        <v>45779</v>
      </c>
      <c r="E8122" s="1" t="n">
        <v>46307</v>
      </c>
      <c r="F8122" t="inlineStr">
        <is>
          <t>VÄRMLANDS LÄN</t>
        </is>
      </c>
      <c r="G8122" t="inlineStr">
        <is>
          <t>SÄFFLE</t>
        </is>
      </c>
      <c r="I8122" t="n">
        <v>1</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952-2026</t>
        </is>
      </c>
      <c r="B8123" t="inlineStr">
        <is>
          <t>avverkningsanmälan</t>
        </is>
      </c>
      <c r="C8123" t="inlineStr">
        <is>
          <t>Föryngringsavverkning</t>
        </is>
      </c>
      <c r="D8123" s="1" t="n">
        <v>46030</v>
      </c>
      <c r="E8123" s="1" t="n">
        <v>46307</v>
      </c>
      <c r="F8123" t="inlineStr">
        <is>
          <t>VÄRMLANDS LÄN</t>
        </is>
      </c>
      <c r="G8123" t="inlineStr">
        <is>
          <t>SÄFFLE</t>
        </is>
      </c>
      <c r="I8123" t="n">
        <v>5.4</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960-2026</t>
        </is>
      </c>
      <c r="B8124" t="inlineStr">
        <is>
          <t>avverkningsanmälan</t>
        </is>
      </c>
      <c r="C8124" t="inlineStr">
        <is>
          <t>Föryngringsavverkning</t>
        </is>
      </c>
      <c r="D8124" s="1" t="n">
        <v>46030</v>
      </c>
      <c r="E8124" s="1" t="n">
        <v>46307</v>
      </c>
      <c r="F8124" t="inlineStr">
        <is>
          <t>VÄRMLANDS LÄN</t>
        </is>
      </c>
      <c r="G8124" t="inlineStr">
        <is>
          <t>ARVIKA</t>
        </is>
      </c>
      <c r="I8124" t="n">
        <v>2.1</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963-2026</t>
        </is>
      </c>
      <c r="B8125" t="inlineStr">
        <is>
          <t>avverkningsanmälan</t>
        </is>
      </c>
      <c r="C8125" t="inlineStr">
        <is>
          <t>Föryngringsavverkning</t>
        </is>
      </c>
      <c r="D8125" s="1" t="n">
        <v>46030</v>
      </c>
      <c r="E8125" s="1" t="n">
        <v>46307</v>
      </c>
      <c r="F8125" t="inlineStr">
        <is>
          <t>VÄRMLANDS LÄN</t>
        </is>
      </c>
      <c r="G8125" t="inlineStr">
        <is>
          <t>SÄFFLE</t>
        </is>
      </c>
      <c r="I8125" t="n">
        <v>6.5</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45034-2025</t>
        </is>
      </c>
      <c r="B8126" t="inlineStr">
        <is>
          <t>avverkningsanmälan</t>
        </is>
      </c>
      <c r="C8126" t="inlineStr">
        <is>
          <t>Föryngringsavverkning</t>
        </is>
      </c>
      <c r="D8126" s="1" t="n">
        <v>45918</v>
      </c>
      <c r="E8126" s="1" t="n">
        <v>46307</v>
      </c>
      <c r="F8126" t="inlineStr">
        <is>
          <t>VÄRMLANDS LÄN</t>
        </is>
      </c>
      <c r="G8126" t="inlineStr">
        <is>
          <t>SUNNE</t>
        </is>
      </c>
      <c r="I8126" t="n">
        <v>1.3</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4668-2025</t>
        </is>
      </c>
      <c r="B8127" t="inlineStr">
        <is>
          <t>avverkningsanmälan</t>
        </is>
      </c>
      <c r="C8127" t="inlineStr">
        <is>
          <t>Föryngringsavverkning</t>
        </is>
      </c>
      <c r="D8127" s="1" t="n">
        <v>45687</v>
      </c>
      <c r="E8127" s="1" t="n">
        <v>46307</v>
      </c>
      <c r="F8127" t="inlineStr">
        <is>
          <t>VÄRMLANDS LÄN</t>
        </is>
      </c>
      <c r="G8127" t="inlineStr">
        <is>
          <t>ÅRJÄNG</t>
        </is>
      </c>
      <c r="I8127" t="n">
        <v>8.5</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61976-2022</t>
        </is>
      </c>
      <c r="B8128" t="inlineStr">
        <is>
          <t>avverkningsanmälan</t>
        </is>
      </c>
      <c r="C8128" t="inlineStr">
        <is>
          <t>Föryngringsavverkning</t>
        </is>
      </c>
      <c r="D8128" s="1" t="n">
        <v>44918</v>
      </c>
      <c r="E8128" s="1" t="n">
        <v>46307</v>
      </c>
      <c r="F8128" t="inlineStr">
        <is>
          <t>VÄRMLANDS LÄN</t>
        </is>
      </c>
      <c r="G8128" t="inlineStr">
        <is>
          <t>EDA</t>
        </is>
      </c>
      <c r="I8128" t="n">
        <v>6.1</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71778-2021</t>
        </is>
      </c>
      <c r="B8129" t="inlineStr">
        <is>
          <t>avverkningsanmälan</t>
        </is>
      </c>
      <c r="C8129" t="inlineStr">
        <is>
          <t>Föryngringsavverkning</t>
        </is>
      </c>
      <c r="D8129" s="1" t="n">
        <v>44543</v>
      </c>
      <c r="E8129" s="1" t="n">
        <v>46307</v>
      </c>
      <c r="F8129" t="inlineStr">
        <is>
          <t>VÄRMLANDS LÄN</t>
        </is>
      </c>
      <c r="G8129" t="inlineStr">
        <is>
          <t>ARVIKA</t>
        </is>
      </c>
      <c r="I8129" t="n">
        <v>2.5</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71781-2021</t>
        </is>
      </c>
      <c r="B8130" t="inlineStr">
        <is>
          <t>avverkningsanmälan</t>
        </is>
      </c>
      <c r="C8130" t="inlineStr">
        <is>
          <t>Föryngringsavverkning</t>
        </is>
      </c>
      <c r="D8130" s="1" t="n">
        <v>44539</v>
      </c>
      <c r="E8130" s="1" t="n">
        <v>46307</v>
      </c>
      <c r="F8130" t="inlineStr">
        <is>
          <t>VÄRMLANDS LÄN</t>
        </is>
      </c>
      <c r="G8130" t="inlineStr">
        <is>
          <t>GRUMS</t>
        </is>
      </c>
      <c r="H8130" t="inlineStr">
        <is>
          <t>Bergvik skog väst AB</t>
        </is>
      </c>
      <c r="I8130" t="n">
        <v>7</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29372-2023</t>
        </is>
      </c>
      <c r="B8131" t="inlineStr">
        <is>
          <t>avverkningsanmälan</t>
        </is>
      </c>
      <c r="C8131" t="inlineStr">
        <is>
          <t>Föryngringsavverkning</t>
        </is>
      </c>
      <c r="D8131" s="1" t="n">
        <v>45106</v>
      </c>
      <c r="E8131" s="1" t="n">
        <v>46307</v>
      </c>
      <c r="F8131" t="inlineStr">
        <is>
          <t>VÄRMLANDS LÄN</t>
        </is>
      </c>
      <c r="G8131" t="inlineStr">
        <is>
          <t>HAGFORS</t>
        </is>
      </c>
      <c r="I8131" t="n">
        <v>0.7</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51616-2023</t>
        </is>
      </c>
      <c r="B8132" t="inlineStr">
        <is>
          <t>avverkningsanmälan</t>
        </is>
      </c>
      <c r="C8132" t="inlineStr">
        <is>
          <t>Föryngringsavverkning</t>
        </is>
      </c>
      <c r="D8132" s="1" t="n">
        <v>45222</v>
      </c>
      <c r="E8132" s="1" t="n">
        <v>46307</v>
      </c>
      <c r="F8132" t="inlineStr">
        <is>
          <t>VÄRMLANDS LÄN</t>
        </is>
      </c>
      <c r="G8132" t="inlineStr">
        <is>
          <t>KRISTINEHAMN</t>
        </is>
      </c>
      <c r="I8132" t="n">
        <v>1.1</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449-2026</t>
        </is>
      </c>
      <c r="B8133" t="inlineStr">
        <is>
          <t>avverkningsanmälan</t>
        </is>
      </c>
      <c r="C8133" t="inlineStr">
        <is>
          <t>Föryngringsavverkning</t>
        </is>
      </c>
      <c r="D8133" s="1" t="n">
        <v>46029</v>
      </c>
      <c r="E8133" s="1" t="n">
        <v>46307</v>
      </c>
      <c r="F8133" t="inlineStr">
        <is>
          <t>VÄRMLANDS LÄN</t>
        </is>
      </c>
      <c r="G8133" t="inlineStr">
        <is>
          <t>ÅRJÄNG</t>
        </is>
      </c>
      <c r="I8133" t="n">
        <v>1.6</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483-2026</t>
        </is>
      </c>
      <c r="B8134" t="inlineStr">
        <is>
          <t>avverkningsanmälan</t>
        </is>
      </c>
      <c r="C8134" t="inlineStr">
        <is>
          <t>Föryngringsavverkning</t>
        </is>
      </c>
      <c r="D8134" s="1" t="n">
        <v>46029</v>
      </c>
      <c r="E8134" s="1" t="n">
        <v>46307</v>
      </c>
      <c r="F8134" t="inlineStr">
        <is>
          <t>VÄRMLANDS LÄN</t>
        </is>
      </c>
      <c r="G8134" t="inlineStr">
        <is>
          <t>ÅRJÄNG</t>
        </is>
      </c>
      <c r="I8134" t="n">
        <v>0.6</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486-2026</t>
        </is>
      </c>
      <c r="B8135" t="inlineStr">
        <is>
          <t>avverkningsanmälan</t>
        </is>
      </c>
      <c r="C8135" t="inlineStr">
        <is>
          <t>Föryngringsavverkning</t>
        </is>
      </c>
      <c r="D8135" s="1" t="n">
        <v>46029</v>
      </c>
      <c r="E8135" s="1" t="n">
        <v>46307</v>
      </c>
      <c r="F8135" t="inlineStr">
        <is>
          <t>VÄRMLANDS LÄN</t>
        </is>
      </c>
      <c r="G8135" t="inlineStr">
        <is>
          <t>ÅRJÄNG</t>
        </is>
      </c>
      <c r="I8135" t="n">
        <v>1.4</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20331-2026</t>
        </is>
      </c>
      <c r="B8136" t="inlineStr">
        <is>
          <t>avverkningsanmälan</t>
        </is>
      </c>
      <c r="C8136" t="inlineStr">
        <is>
          <t>Föryngringsavverkning</t>
        </is>
      </c>
      <c r="D8136" s="1" t="n">
        <v>46139</v>
      </c>
      <c r="E8136" s="1" t="n">
        <v>46307</v>
      </c>
      <c r="F8136" t="inlineStr">
        <is>
          <t>VÄRMLANDS LÄN</t>
        </is>
      </c>
      <c r="G8136" t="inlineStr">
        <is>
          <t>SUNNE</t>
        </is>
      </c>
      <c r="I8136" t="n">
        <v>1.8</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24104-2025</t>
        </is>
      </c>
      <c r="B8137" t="inlineStr">
        <is>
          <t>avverkningsanmälan</t>
        </is>
      </c>
      <c r="C8137" t="inlineStr">
        <is>
          <t>Föryngringsavverkning</t>
        </is>
      </c>
      <c r="D8137" s="1" t="n">
        <v>45796</v>
      </c>
      <c r="E8137" s="1" t="n">
        <v>46307</v>
      </c>
      <c r="F8137" t="inlineStr">
        <is>
          <t>VÄRMLANDS LÄN</t>
        </is>
      </c>
      <c r="G8137" t="inlineStr">
        <is>
          <t>KARLSTAD</t>
        </is>
      </c>
      <c r="I8137" t="n">
        <v>1.7</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1082-2026</t>
        </is>
      </c>
      <c r="B8138" t="inlineStr">
        <is>
          <t>avverkningsanmälan</t>
        </is>
      </c>
      <c r="C8138" t="inlineStr">
        <is>
          <t>Föryngringsavverkning</t>
        </is>
      </c>
      <c r="D8138" s="1" t="n">
        <v>46029</v>
      </c>
      <c r="E8138" s="1" t="n">
        <v>46307</v>
      </c>
      <c r="F8138" t="inlineStr">
        <is>
          <t>VÄRMLANDS LÄN</t>
        </is>
      </c>
      <c r="G8138" t="inlineStr">
        <is>
          <t>EDA</t>
        </is>
      </c>
      <c r="I8138" t="n">
        <v>3.7</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60724-2022</t>
        </is>
      </c>
      <c r="B8139" t="inlineStr">
        <is>
          <t>avverkningsanmälan</t>
        </is>
      </c>
      <c r="C8139" t="inlineStr">
        <is>
          <t>Avverkning för annat ändamål</t>
        </is>
      </c>
      <c r="D8139" s="1" t="n">
        <v>44913</v>
      </c>
      <c r="E8139" s="1" t="n">
        <v>46307</v>
      </c>
      <c r="F8139" t="inlineStr">
        <is>
          <t>VÄRMLANDS LÄN</t>
        </is>
      </c>
      <c r="G8139" t="inlineStr">
        <is>
          <t>KARLSTAD</t>
        </is>
      </c>
      <c r="I8139" t="n">
        <v>2.8</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24656-2025</t>
        </is>
      </c>
      <c r="B8140" t="inlineStr">
        <is>
          <t>avverkningsanmälan</t>
        </is>
      </c>
      <c r="C8140" t="inlineStr">
        <is>
          <t>Föryngringsavverkning</t>
        </is>
      </c>
      <c r="D8140" s="1" t="n">
        <v>45798</v>
      </c>
      <c r="E8140" s="1" t="n">
        <v>46307</v>
      </c>
      <c r="F8140" t="inlineStr">
        <is>
          <t>VÄRMLANDS LÄN</t>
        </is>
      </c>
      <c r="G8140" t="inlineStr">
        <is>
          <t>KARLSTAD</t>
        </is>
      </c>
      <c r="I8140" t="n">
        <v>1.2</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60221-2023</t>
        </is>
      </c>
      <c r="B8141" t="inlineStr">
        <is>
          <t>avverkningsanmälan</t>
        </is>
      </c>
      <c r="C8141" t="inlineStr">
        <is>
          <t>Avverkning för annat ändamål</t>
        </is>
      </c>
      <c r="D8141" s="1" t="n">
        <v>45258</v>
      </c>
      <c r="E8141" s="1" t="n">
        <v>46307</v>
      </c>
      <c r="F8141" t="inlineStr">
        <is>
          <t>VÄRMLANDS LÄN</t>
        </is>
      </c>
      <c r="G8141" t="inlineStr">
        <is>
          <t>HAGFORS</t>
        </is>
      </c>
      <c r="H8141" t="inlineStr">
        <is>
          <t>Bergvik skog väst AB</t>
        </is>
      </c>
      <c r="I8141" t="n">
        <v>1.4</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827-2026</t>
        </is>
      </c>
      <c r="B8142" t="inlineStr">
        <is>
          <t>avverkningsanmälan</t>
        </is>
      </c>
      <c r="C8142" t="inlineStr">
        <is>
          <t>Föryngringsavverkning</t>
        </is>
      </c>
      <c r="D8142" s="1" t="n">
        <v>46030</v>
      </c>
      <c r="E8142" s="1" t="n">
        <v>46307</v>
      </c>
      <c r="F8142" t="inlineStr">
        <is>
          <t>VÄRMLANDS LÄN</t>
        </is>
      </c>
      <c r="G8142" t="inlineStr">
        <is>
          <t>FORSHAGA</t>
        </is>
      </c>
      <c r="I8142" t="n">
        <v>1.2</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24329-2023</t>
        </is>
      </c>
      <c r="B8143" t="inlineStr">
        <is>
          <t>avverkningsanmälan</t>
        </is>
      </c>
      <c r="C8143" t="inlineStr">
        <is>
          <t>Föryngringsavverkning</t>
        </is>
      </c>
      <c r="D8143" s="1" t="n">
        <v>45081</v>
      </c>
      <c r="E8143" s="1" t="n">
        <v>46307</v>
      </c>
      <c r="F8143" t="inlineStr">
        <is>
          <t>VÄRMLANDS LÄN</t>
        </is>
      </c>
      <c r="G8143" t="inlineStr">
        <is>
          <t>ARVIKA</t>
        </is>
      </c>
      <c r="I8143" t="n">
        <v>0.8</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41148-2025</t>
        </is>
      </c>
      <c r="B8144" t="inlineStr">
        <is>
          <t>avverkningsanmälan</t>
        </is>
      </c>
      <c r="C8144" t="inlineStr">
        <is>
          <t>Föryngringsavverkning</t>
        </is>
      </c>
      <c r="D8144" s="1" t="n">
        <v>45898</v>
      </c>
      <c r="E8144" s="1" t="n">
        <v>46307</v>
      </c>
      <c r="F8144" t="inlineStr">
        <is>
          <t>VÄRMLANDS LÄN</t>
        </is>
      </c>
      <c r="G8144" t="inlineStr">
        <is>
          <t>TORSBY</t>
        </is>
      </c>
      <c r="I8144" t="n">
        <v>0.9</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26004-2025</t>
        </is>
      </c>
      <c r="B8145" t="inlineStr">
        <is>
          <t>avverkningsanmälan</t>
        </is>
      </c>
      <c r="C8145" t="inlineStr">
        <is>
          <t>Föryngringsavverkning</t>
        </is>
      </c>
      <c r="D8145" s="1" t="n">
        <v>45804</v>
      </c>
      <c r="E8145" s="1" t="n">
        <v>46307</v>
      </c>
      <c r="F8145" t="inlineStr">
        <is>
          <t>VÄRMLANDS LÄN</t>
        </is>
      </c>
      <c r="G8145" t="inlineStr">
        <is>
          <t>EDA</t>
        </is>
      </c>
      <c r="I8145" t="n">
        <v>1.3</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23803-2022</t>
        </is>
      </c>
      <c r="B8146" t="inlineStr">
        <is>
          <t>avverkningsanmälan</t>
        </is>
      </c>
      <c r="C8146" t="inlineStr">
        <is>
          <t>Föryngringsavverkning</t>
        </is>
      </c>
      <c r="D8146" s="1" t="n">
        <v>44720</v>
      </c>
      <c r="E8146" s="1" t="n">
        <v>46307</v>
      </c>
      <c r="F8146" t="inlineStr">
        <is>
          <t>VÄRMLANDS LÄN</t>
        </is>
      </c>
      <c r="G8146" t="inlineStr">
        <is>
          <t>TORSBY</t>
        </is>
      </c>
      <c r="I8146" t="n">
        <v>3</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23823-2022</t>
        </is>
      </c>
      <c r="B8147" t="inlineStr">
        <is>
          <t>avverkningsanmälan</t>
        </is>
      </c>
      <c r="C8147" t="inlineStr">
        <is>
          <t>Avverkning för annat ändamål</t>
        </is>
      </c>
      <c r="D8147" s="1" t="n">
        <v>44722</v>
      </c>
      <c r="E8147" s="1" t="n">
        <v>46307</v>
      </c>
      <c r="F8147" t="inlineStr">
        <is>
          <t>VÄRMLANDS LÄN</t>
        </is>
      </c>
      <c r="G8147" t="inlineStr">
        <is>
          <t>TORSBY</t>
        </is>
      </c>
      <c r="I8147" t="n">
        <v>2.4</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42677-2025</t>
        </is>
      </c>
      <c r="B8148" t="inlineStr">
        <is>
          <t>avverkningsanmälan</t>
        </is>
      </c>
      <c r="C8148" t="inlineStr">
        <is>
          <t>Föryngringsavverkning</t>
        </is>
      </c>
      <c r="D8148" s="1" t="n">
        <v>45908</v>
      </c>
      <c r="E8148" s="1" t="n">
        <v>46307</v>
      </c>
      <c r="F8148" t="inlineStr">
        <is>
          <t>VÄRMLANDS LÄN</t>
        </is>
      </c>
      <c r="G8148" t="inlineStr">
        <is>
          <t>ÅRJÄNG</t>
        </is>
      </c>
      <c r="I8148" t="n">
        <v>2.7</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42705-2025</t>
        </is>
      </c>
      <c r="B8149" t="inlineStr">
        <is>
          <t>avverkningsanmälan</t>
        </is>
      </c>
      <c r="C8149" t="inlineStr">
        <is>
          <t>Föryngringsavverkning</t>
        </is>
      </c>
      <c r="D8149" s="1" t="n">
        <v>45908</v>
      </c>
      <c r="E8149" s="1" t="n">
        <v>46307</v>
      </c>
      <c r="F8149" t="inlineStr">
        <is>
          <t>VÄRMLANDS LÄN</t>
        </is>
      </c>
      <c r="G8149" t="inlineStr">
        <is>
          <t>TORSBY</t>
        </is>
      </c>
      <c r="I8149" t="n">
        <v>2.7</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22346-2025</t>
        </is>
      </c>
      <c r="B8150" t="inlineStr">
        <is>
          <t>avverkningsanmälan</t>
        </is>
      </c>
      <c r="C8150" t="inlineStr">
        <is>
          <t>Föryngringsavverkning</t>
        </is>
      </c>
      <c r="D8150" s="1" t="n">
        <v>45786</v>
      </c>
      <c r="E8150" s="1" t="n">
        <v>46307</v>
      </c>
      <c r="F8150" t="inlineStr">
        <is>
          <t>VÄRMLANDS LÄN</t>
        </is>
      </c>
      <c r="G8150" t="inlineStr">
        <is>
          <t>HAGFORS</t>
        </is>
      </c>
      <c r="I8150" t="n">
        <v>1.5</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1636-2026</t>
        </is>
      </c>
      <c r="B8151" t="inlineStr">
        <is>
          <t>avverkningsanmälan</t>
        </is>
      </c>
      <c r="C8151" t="inlineStr">
        <is>
          <t>Föryngringsavverkning</t>
        </is>
      </c>
      <c r="D8151" s="1" t="n">
        <v>46034</v>
      </c>
      <c r="E8151" s="1" t="n">
        <v>46307</v>
      </c>
      <c r="F8151" t="inlineStr">
        <is>
          <t>VÄRMLANDS LÄN</t>
        </is>
      </c>
      <c r="G8151" t="inlineStr">
        <is>
          <t>ÅRJÄNG</t>
        </is>
      </c>
      <c r="I8151" t="n">
        <v>4.4</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1970-2026</t>
        </is>
      </c>
      <c r="B8152" t="inlineStr">
        <is>
          <t>avverkningsanmälan</t>
        </is>
      </c>
      <c r="C8152" t="inlineStr">
        <is>
          <t>Föryngringsavverkning</t>
        </is>
      </c>
      <c r="D8152" s="1" t="n">
        <v>46031</v>
      </c>
      <c r="E8152" s="1" t="n">
        <v>46307</v>
      </c>
      <c r="F8152" t="inlineStr">
        <is>
          <t>VÄRMLANDS LÄN</t>
        </is>
      </c>
      <c r="G8152" t="inlineStr">
        <is>
          <t>ARVIKA</t>
        </is>
      </c>
      <c r="I8152" t="n">
        <v>3.7</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60043-2022</t>
        </is>
      </c>
      <c r="B8153" t="inlineStr">
        <is>
          <t>avverkningsanmälan</t>
        </is>
      </c>
      <c r="C8153" t="inlineStr">
        <is>
          <t>Föryngringsavverkning</t>
        </is>
      </c>
      <c r="D8153" s="1" t="n">
        <v>44902</v>
      </c>
      <c r="E8153" s="1" t="n">
        <v>46307</v>
      </c>
      <c r="F8153" t="inlineStr">
        <is>
          <t>VÄRMLANDS LÄN</t>
        </is>
      </c>
      <c r="G8153" t="inlineStr">
        <is>
          <t>FORSHAGA</t>
        </is>
      </c>
      <c r="I8153" t="n">
        <v>0.9</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58616-2021</t>
        </is>
      </c>
      <c r="B8154" t="inlineStr">
        <is>
          <t>avverkningsanmälan</t>
        </is>
      </c>
      <c r="C8154" t="inlineStr">
        <is>
          <t>Föryngringsavverkning</t>
        </is>
      </c>
      <c r="D8154" s="1" t="n">
        <v>44489</v>
      </c>
      <c r="E8154" s="1" t="n">
        <v>46307</v>
      </c>
      <c r="F8154" t="inlineStr">
        <is>
          <t>VÄRMLANDS LÄN</t>
        </is>
      </c>
      <c r="G8154" t="inlineStr">
        <is>
          <t>KRISTINEHAMN</t>
        </is>
      </c>
      <c r="I8154" t="n">
        <v>6.8</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5081-2025</t>
        </is>
      </c>
      <c r="B8155" t="inlineStr">
        <is>
          <t>avverkningsanmälan</t>
        </is>
      </c>
      <c r="C8155" t="inlineStr">
        <is>
          <t>Föryngringsavverkning</t>
        </is>
      </c>
      <c r="D8155" s="1" t="n">
        <v>45691</v>
      </c>
      <c r="E8155" s="1" t="n">
        <v>46307</v>
      </c>
      <c r="F8155" t="inlineStr">
        <is>
          <t>VÄRMLANDS LÄN</t>
        </is>
      </c>
      <c r="G8155" t="inlineStr">
        <is>
          <t>EDA</t>
        </is>
      </c>
      <c r="I8155" t="n">
        <v>3.3</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21581-2024</t>
        </is>
      </c>
      <c r="B8156" t="inlineStr">
        <is>
          <t>avverkningsanmälan</t>
        </is>
      </c>
      <c r="C8156" t="inlineStr">
        <is>
          <t>Föryngringsavverkning</t>
        </is>
      </c>
      <c r="D8156" s="1" t="n">
        <v>45441</v>
      </c>
      <c r="E8156" s="1" t="n">
        <v>46307</v>
      </c>
      <c r="F8156" t="inlineStr">
        <is>
          <t>VÄRMLANDS LÄN</t>
        </is>
      </c>
      <c r="G8156" t="inlineStr">
        <is>
          <t>TORSBY</t>
        </is>
      </c>
      <c r="I8156" t="n">
        <v>5.5</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39159-2025</t>
        </is>
      </c>
      <c r="B8157" t="inlineStr">
        <is>
          <t>avverkningsanmälan</t>
        </is>
      </c>
      <c r="C8157" t="inlineStr">
        <is>
          <t>Föryngringsavverkning</t>
        </is>
      </c>
      <c r="D8157" s="1" t="n">
        <v>45888</v>
      </c>
      <c r="E8157" s="1" t="n">
        <v>46307</v>
      </c>
      <c r="F8157" t="inlineStr">
        <is>
          <t>VÄRMLANDS LÄN</t>
        </is>
      </c>
      <c r="G8157" t="inlineStr">
        <is>
          <t>KRISTINEHAMN</t>
        </is>
      </c>
      <c r="I8157" t="n">
        <v>1.4</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1338-2026</t>
        </is>
      </c>
      <c r="B8158" t="inlineStr">
        <is>
          <t>avverkningsanmälan</t>
        </is>
      </c>
      <c r="C8158" t="inlineStr">
        <is>
          <t>Föryngringsavverkning</t>
        </is>
      </c>
      <c r="D8158" s="1" t="n">
        <v>46031</v>
      </c>
      <c r="E8158" s="1" t="n">
        <v>46307</v>
      </c>
      <c r="F8158" t="inlineStr">
        <is>
          <t>VÄRMLANDS LÄN</t>
        </is>
      </c>
      <c r="G8158" t="inlineStr">
        <is>
          <t>EDA</t>
        </is>
      </c>
      <c r="I8158" t="n">
        <v>2</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34541-2024</t>
        </is>
      </c>
      <c r="B8159" t="inlineStr">
        <is>
          <t>avverkningsanmälan</t>
        </is>
      </c>
      <c r="C8159" t="inlineStr">
        <is>
          <t>Föryngringsavverkning</t>
        </is>
      </c>
      <c r="D8159" s="1" t="n">
        <v>45525</v>
      </c>
      <c r="E8159" s="1" t="n">
        <v>46307</v>
      </c>
      <c r="F8159" t="inlineStr">
        <is>
          <t>VÄRMLANDS LÄN</t>
        </is>
      </c>
      <c r="G8159" t="inlineStr">
        <is>
          <t>HAGFORS</t>
        </is>
      </c>
      <c r="I8159" t="n">
        <v>1</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33804-2024</t>
        </is>
      </c>
      <c r="B8160" t="inlineStr">
        <is>
          <t>avverkningsanmälan</t>
        </is>
      </c>
      <c r="C8160" t="inlineStr">
        <is>
          <t>Föryngringsavverkning</t>
        </is>
      </c>
      <c r="D8160" s="1" t="n">
        <v>45520</v>
      </c>
      <c r="E8160" s="1" t="n">
        <v>46307</v>
      </c>
      <c r="F8160" t="inlineStr">
        <is>
          <t>VÄRMLANDS LÄN</t>
        </is>
      </c>
      <c r="G8160" t="inlineStr">
        <is>
          <t>KARLSTAD</t>
        </is>
      </c>
      <c r="I8160" t="n">
        <v>1.8</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1428-2026</t>
        </is>
      </c>
      <c r="B8161" t="inlineStr">
        <is>
          <t>avverkningsanmälan</t>
        </is>
      </c>
      <c r="C8161" t="inlineStr">
        <is>
          <t>Föryngringsavverkning</t>
        </is>
      </c>
      <c r="D8161" s="1" t="n">
        <v>46032</v>
      </c>
      <c r="E8161" s="1" t="n">
        <v>46307</v>
      </c>
      <c r="F8161" t="inlineStr">
        <is>
          <t>VÄRMLANDS LÄN</t>
        </is>
      </c>
      <c r="G8161" t="inlineStr">
        <is>
          <t>TORSBY</t>
        </is>
      </c>
      <c r="I8161" t="n">
        <v>4</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54781-2025</t>
        </is>
      </c>
      <c r="B8162" t="inlineStr">
        <is>
          <t>avverkningsanmälan</t>
        </is>
      </c>
      <c r="C8162" t="inlineStr">
        <is>
          <t>Föryngringsavverkning</t>
        </is>
      </c>
      <c r="D8162" s="1" t="n">
        <v>45966</v>
      </c>
      <c r="E8162" s="1" t="n">
        <v>46307</v>
      </c>
      <c r="F8162" t="inlineStr">
        <is>
          <t>VÄRMLANDS LÄN</t>
        </is>
      </c>
      <c r="G8162" t="inlineStr">
        <is>
          <t>SÄFFLE</t>
        </is>
      </c>
      <c r="I8162" t="n">
        <v>2.3</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28687-2025</t>
        </is>
      </c>
      <c r="B8163" t="inlineStr">
        <is>
          <t>avverkningsanmälan</t>
        </is>
      </c>
      <c r="C8163" t="inlineStr">
        <is>
          <t>Föryngringsavverkning</t>
        </is>
      </c>
      <c r="D8163" s="1" t="n">
        <v>45819</v>
      </c>
      <c r="E8163" s="1" t="n">
        <v>46307</v>
      </c>
      <c r="F8163" t="inlineStr">
        <is>
          <t>VÄRMLANDS LÄN</t>
        </is>
      </c>
      <c r="G8163" t="inlineStr">
        <is>
          <t>FILIPSTAD</t>
        </is>
      </c>
      <c r="H8163" t="inlineStr">
        <is>
          <t>Bergvik skog väst AB</t>
        </is>
      </c>
      <c r="I8163" t="n">
        <v>1.9</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31930-2024</t>
        </is>
      </c>
      <c r="B8164" t="inlineStr">
        <is>
          <t>avverkningsanmälan</t>
        </is>
      </c>
      <c r="C8164" t="inlineStr">
        <is>
          <t>Avverkning för annat ändamål</t>
        </is>
      </c>
      <c r="D8164" s="1" t="n">
        <v>45510</v>
      </c>
      <c r="E8164" s="1" t="n">
        <v>46307</v>
      </c>
      <c r="F8164" t="inlineStr">
        <is>
          <t>VÄRMLANDS LÄN</t>
        </is>
      </c>
      <c r="G8164" t="inlineStr">
        <is>
          <t>GRUMS</t>
        </is>
      </c>
      <c r="I8164" t="n">
        <v>0.6</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36399-2023</t>
        </is>
      </c>
      <c r="B8165" t="inlineStr">
        <is>
          <t>avverkningsanmälan</t>
        </is>
      </c>
      <c r="C8165" t="inlineStr">
        <is>
          <t>Föryngringsavverkning</t>
        </is>
      </c>
      <c r="D8165" s="1" t="n">
        <v>45149</v>
      </c>
      <c r="E8165" s="1" t="n">
        <v>46307</v>
      </c>
      <c r="F8165" t="inlineStr">
        <is>
          <t>VÄRMLANDS LÄN</t>
        </is>
      </c>
      <c r="G8165" t="inlineStr">
        <is>
          <t>KARLSTAD</t>
        </is>
      </c>
      <c r="I8165" t="n">
        <v>4.2</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28711-2025</t>
        </is>
      </c>
      <c r="B8166" t="inlineStr">
        <is>
          <t>avverkningsanmälan</t>
        </is>
      </c>
      <c r="C8166" t="inlineStr">
        <is>
          <t>Föryngringsavverkning</t>
        </is>
      </c>
      <c r="D8166" s="1" t="n">
        <v>45820</v>
      </c>
      <c r="E8166" s="1" t="n">
        <v>46307</v>
      </c>
      <c r="F8166" t="inlineStr">
        <is>
          <t>VÄRMLANDS LÄN</t>
        </is>
      </c>
      <c r="G8166" t="inlineStr">
        <is>
          <t>ÅRJÄNG</t>
        </is>
      </c>
      <c r="I8166" t="n">
        <v>2</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28797-2025</t>
        </is>
      </c>
      <c r="B8167" t="inlineStr">
        <is>
          <t>avverkningsanmälan</t>
        </is>
      </c>
      <c r="C8167" t="inlineStr">
        <is>
          <t>Föryngringsavverkning</t>
        </is>
      </c>
      <c r="D8167" s="1" t="n">
        <v>45820</v>
      </c>
      <c r="E8167" s="1" t="n">
        <v>46307</v>
      </c>
      <c r="F8167" t="inlineStr">
        <is>
          <t>VÄRMLANDS LÄN</t>
        </is>
      </c>
      <c r="G8167" t="inlineStr">
        <is>
          <t>ÅRJÄNG</t>
        </is>
      </c>
      <c r="I8167" t="n">
        <v>3</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35668-2023</t>
        </is>
      </c>
      <c r="B8168" t="inlineStr">
        <is>
          <t>avverkningsanmälan</t>
        </is>
      </c>
      <c r="C8168" t="inlineStr">
        <is>
          <t>Föryngringsavverkning</t>
        </is>
      </c>
      <c r="D8168" s="1" t="n">
        <v>45147</v>
      </c>
      <c r="E8168" s="1" t="n">
        <v>46307</v>
      </c>
      <c r="F8168" t="inlineStr">
        <is>
          <t>VÄRMLANDS LÄN</t>
        </is>
      </c>
      <c r="G8168" t="inlineStr">
        <is>
          <t>HAGFORS</t>
        </is>
      </c>
      <c r="I8168" t="n">
        <v>1</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20484-2026</t>
        </is>
      </c>
      <c r="B8169" t="inlineStr">
        <is>
          <t>avverkningsanmälan</t>
        </is>
      </c>
      <c r="C8169" t="inlineStr">
        <is>
          <t>Föryngringsavverkning</t>
        </is>
      </c>
      <c r="D8169" s="1" t="n">
        <v>46140</v>
      </c>
      <c r="E8169" s="1" t="n">
        <v>46307</v>
      </c>
      <c r="F8169" t="inlineStr">
        <is>
          <t>VÄRMLANDS LÄN</t>
        </is>
      </c>
      <c r="G8169" t="inlineStr">
        <is>
          <t>KRISTINEHAMN</t>
        </is>
      </c>
      <c r="H8169" t="inlineStr">
        <is>
          <t>Bergvik skog väst AB</t>
        </is>
      </c>
      <c r="I8169" t="n">
        <v>7.7</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1635-2026</t>
        </is>
      </c>
      <c r="B8170" t="inlineStr">
        <is>
          <t>avverkningsanmälan</t>
        </is>
      </c>
      <c r="C8170" t="inlineStr">
        <is>
          <t>Föryngringsavverkning</t>
        </is>
      </c>
      <c r="D8170" s="1" t="n">
        <v>46034</v>
      </c>
      <c r="E8170" s="1" t="n">
        <v>46307</v>
      </c>
      <c r="F8170" t="inlineStr">
        <is>
          <t>VÄRMLANDS LÄN</t>
        </is>
      </c>
      <c r="G8170" t="inlineStr">
        <is>
          <t>TORSBY</t>
        </is>
      </c>
      <c r="I8170" t="n">
        <v>1.9</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1677-2026</t>
        </is>
      </c>
      <c r="B8171" t="inlineStr">
        <is>
          <t>avverkningsanmälan</t>
        </is>
      </c>
      <c r="C8171" t="inlineStr">
        <is>
          <t>Föryngringsavverkning</t>
        </is>
      </c>
      <c r="D8171" s="1" t="n">
        <v>46034</v>
      </c>
      <c r="E8171" s="1" t="n">
        <v>46307</v>
      </c>
      <c r="F8171" t="inlineStr">
        <is>
          <t>VÄRMLANDS LÄN</t>
        </is>
      </c>
      <c r="G8171" t="inlineStr">
        <is>
          <t>SÄFFLE</t>
        </is>
      </c>
      <c r="I8171" t="n">
        <v>1.5</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20674-2023</t>
        </is>
      </c>
      <c r="B8172" t="inlineStr">
        <is>
          <t>avverkningsanmälan</t>
        </is>
      </c>
      <c r="C8172" t="inlineStr">
        <is>
          <t>Föryngringsavverkning</t>
        </is>
      </c>
      <c r="D8172" s="1" t="n">
        <v>45058</v>
      </c>
      <c r="E8172" s="1" t="n">
        <v>46307</v>
      </c>
      <c r="F8172" t="inlineStr">
        <is>
          <t>VÄRMLANDS LÄN</t>
        </is>
      </c>
      <c r="G8172" t="inlineStr">
        <is>
          <t>ÅRJÄNG</t>
        </is>
      </c>
      <c r="I8172" t="n">
        <v>11.1</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71971-2021</t>
        </is>
      </c>
      <c r="B8173" t="inlineStr">
        <is>
          <t>avverkningsanmälan</t>
        </is>
      </c>
      <c r="C8173" t="inlineStr">
        <is>
          <t>Föryngringsavverkning</t>
        </is>
      </c>
      <c r="D8173" s="1" t="n">
        <v>44544</v>
      </c>
      <c r="E8173" s="1" t="n">
        <v>46307</v>
      </c>
      <c r="F8173" t="inlineStr">
        <is>
          <t>VÄRMLANDS LÄN</t>
        </is>
      </c>
      <c r="G8173" t="inlineStr">
        <is>
          <t>FILIPSTAD</t>
        </is>
      </c>
      <c r="H8173" t="inlineStr">
        <is>
          <t>Bergvik skog väst AB</t>
        </is>
      </c>
      <c r="I8173" t="n">
        <v>6.1</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50252-2024</t>
        </is>
      </c>
      <c r="B8174" t="inlineStr">
        <is>
          <t>avverkningsanmälan</t>
        </is>
      </c>
      <c r="C8174" t="inlineStr">
        <is>
          <t>Föryngringsavverkning</t>
        </is>
      </c>
      <c r="D8174" s="1" t="n">
        <v>45600</v>
      </c>
      <c r="E8174" s="1" t="n">
        <v>46307</v>
      </c>
      <c r="F8174" t="inlineStr">
        <is>
          <t>VÄRMLANDS LÄN</t>
        </is>
      </c>
      <c r="G8174" t="inlineStr">
        <is>
          <t>KIL</t>
        </is>
      </c>
      <c r="I8174" t="n">
        <v>4.5</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33187-2025</t>
        </is>
      </c>
      <c r="B8175" t="inlineStr">
        <is>
          <t>avverkningsanmälan</t>
        </is>
      </c>
      <c r="C8175" t="inlineStr">
        <is>
          <t>Föryngringsavverkning</t>
        </is>
      </c>
      <c r="D8175" s="1" t="n">
        <v>45840</v>
      </c>
      <c r="E8175" s="1" t="n">
        <v>46307</v>
      </c>
      <c r="F8175" t="inlineStr">
        <is>
          <t>VÄRMLANDS LÄN</t>
        </is>
      </c>
      <c r="G8175" t="inlineStr">
        <is>
          <t>HAGFORS</t>
        </is>
      </c>
      <c r="I8175" t="n">
        <v>18.2</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50678-2024</t>
        </is>
      </c>
      <c r="B8176" t="inlineStr">
        <is>
          <t>avverkningsanmälan</t>
        </is>
      </c>
      <c r="C8176" t="inlineStr">
        <is>
          <t>Föryngringsavverkning</t>
        </is>
      </c>
      <c r="D8176" s="1" t="n">
        <v>45601</v>
      </c>
      <c r="E8176" s="1" t="n">
        <v>46307</v>
      </c>
      <c r="F8176" t="inlineStr">
        <is>
          <t>VÄRMLANDS LÄN</t>
        </is>
      </c>
      <c r="G8176" t="inlineStr">
        <is>
          <t>ARVIKA</t>
        </is>
      </c>
      <c r="I8176" t="n">
        <v>0.8</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27569-2024</t>
        </is>
      </c>
      <c r="B8177" t="inlineStr">
        <is>
          <t>avverkningsanmälan</t>
        </is>
      </c>
      <c r="C8177" t="inlineStr">
        <is>
          <t>Föryngringsavverkning</t>
        </is>
      </c>
      <c r="D8177" s="1" t="n">
        <v>45474</v>
      </c>
      <c r="E8177" s="1" t="n">
        <v>46307</v>
      </c>
      <c r="F8177" t="inlineStr">
        <is>
          <t>VÄRMLANDS LÄN</t>
        </is>
      </c>
      <c r="G8177" t="inlineStr">
        <is>
          <t>KARLSTAD</t>
        </is>
      </c>
      <c r="I8177" t="n">
        <v>0.5</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16591-2024</t>
        </is>
      </c>
      <c r="B8178" t="inlineStr">
        <is>
          <t>avverkningsanmälan</t>
        </is>
      </c>
      <c r="C8178" t="inlineStr">
        <is>
          <t>Föryngringsavverkning</t>
        </is>
      </c>
      <c r="D8178" s="1" t="n">
        <v>45408</v>
      </c>
      <c r="E8178" s="1" t="n">
        <v>46307</v>
      </c>
      <c r="F8178" t="inlineStr">
        <is>
          <t>VÄRMLANDS LÄN</t>
        </is>
      </c>
      <c r="G8178" t="inlineStr">
        <is>
          <t>TORSBY</t>
        </is>
      </c>
      <c r="I8178" t="n">
        <v>0.7</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45300-2023</t>
        </is>
      </c>
      <c r="B8179" t="inlineStr">
        <is>
          <t>avverkningsanmälan</t>
        </is>
      </c>
      <c r="C8179" t="inlineStr">
        <is>
          <t>Föryngringsavverkning</t>
        </is>
      </c>
      <c r="D8179" s="1" t="n">
        <v>45191</v>
      </c>
      <c r="E8179" s="1" t="n">
        <v>46307</v>
      </c>
      <c r="F8179" t="inlineStr">
        <is>
          <t>VÄRMLANDS LÄN</t>
        </is>
      </c>
      <c r="G8179" t="inlineStr">
        <is>
          <t>ARVIKA</t>
        </is>
      </c>
      <c r="I8179" t="n">
        <v>1</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23870-2023</t>
        </is>
      </c>
      <c r="B8180" t="inlineStr">
        <is>
          <t>avverkningsanmälan</t>
        </is>
      </c>
      <c r="C8180" t="inlineStr">
        <is>
          <t>Föryngringsavverkning</t>
        </is>
      </c>
      <c r="D8180" s="1" t="n">
        <v>45078</v>
      </c>
      <c r="E8180" s="1" t="n">
        <v>46307</v>
      </c>
      <c r="F8180" t="inlineStr">
        <is>
          <t>VÄRMLANDS LÄN</t>
        </is>
      </c>
      <c r="G8180" t="inlineStr">
        <is>
          <t>ÅRJÄNG</t>
        </is>
      </c>
      <c r="I8180" t="n">
        <v>1.6</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1740-2026</t>
        </is>
      </c>
      <c r="B8181" t="inlineStr">
        <is>
          <t>avverkningsanmälan</t>
        </is>
      </c>
      <c r="C8181" t="inlineStr">
        <is>
          <t>Föryngringsavverkning</t>
        </is>
      </c>
      <c r="D8181" s="1" t="n">
        <v>46034</v>
      </c>
      <c r="E8181" s="1" t="n">
        <v>46307</v>
      </c>
      <c r="F8181" t="inlineStr">
        <is>
          <t>VÄRMLANDS LÄN</t>
        </is>
      </c>
      <c r="G8181" t="inlineStr">
        <is>
          <t>KRISTINEHAMN</t>
        </is>
      </c>
      <c r="I8181" t="n">
        <v>2.4</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22558-2025</t>
        </is>
      </c>
      <c r="B8182" t="inlineStr">
        <is>
          <t>avverkningsanmälan</t>
        </is>
      </c>
      <c r="C8182" t="inlineStr">
        <is>
          <t>Föryngringsavverkning</t>
        </is>
      </c>
      <c r="D8182" s="1" t="n">
        <v>45789</v>
      </c>
      <c r="E8182" s="1" t="n">
        <v>46307</v>
      </c>
      <c r="F8182" t="inlineStr">
        <is>
          <t>VÄRMLANDS LÄN</t>
        </is>
      </c>
      <c r="G8182" t="inlineStr">
        <is>
          <t>FILIPSTAD</t>
        </is>
      </c>
      <c r="I8182" t="n">
        <v>3.6</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20168-2026</t>
        </is>
      </c>
      <c r="B8183" t="inlineStr">
        <is>
          <t>avverkningsanmälan</t>
        </is>
      </c>
      <c r="C8183" t="inlineStr">
        <is>
          <t>Föryngringsavverkning</t>
        </is>
      </c>
      <c r="D8183" s="1" t="n">
        <v>46139</v>
      </c>
      <c r="E8183" s="1" t="n">
        <v>46307</v>
      </c>
      <c r="F8183" t="inlineStr">
        <is>
          <t>VÄRMLANDS LÄN</t>
        </is>
      </c>
      <c r="G8183" t="inlineStr">
        <is>
          <t>KRISTINEHAMN</t>
        </is>
      </c>
      <c r="I8183" t="n">
        <v>5.7</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1257-2026</t>
        </is>
      </c>
      <c r="B8184" t="inlineStr">
        <is>
          <t>avverkningsanmälan</t>
        </is>
      </c>
      <c r="C8184" t="inlineStr">
        <is>
          <t>Föryngringsavverkning</t>
        </is>
      </c>
      <c r="D8184" s="1" t="n">
        <v>46031</v>
      </c>
      <c r="E8184" s="1" t="n">
        <v>46307</v>
      </c>
      <c r="F8184" t="inlineStr">
        <is>
          <t>VÄRMLANDS LÄN</t>
        </is>
      </c>
      <c r="G8184" t="inlineStr">
        <is>
          <t>ÅRJÄNG</t>
        </is>
      </c>
      <c r="I8184" t="n">
        <v>2.1</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1311-2026</t>
        </is>
      </c>
      <c r="B8185" t="inlineStr">
        <is>
          <t>avverkningsanmälan</t>
        </is>
      </c>
      <c r="C8185" t="inlineStr">
        <is>
          <t>Föryngringsavverkning</t>
        </is>
      </c>
      <c r="D8185" s="1" t="n">
        <v>46031</v>
      </c>
      <c r="E8185" s="1" t="n">
        <v>46307</v>
      </c>
      <c r="F8185" t="inlineStr">
        <is>
          <t>VÄRMLANDS LÄN</t>
        </is>
      </c>
      <c r="G8185" t="inlineStr">
        <is>
          <t>SUNNE</t>
        </is>
      </c>
      <c r="I8185" t="n">
        <v>1</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28827-2024</t>
        </is>
      </c>
      <c r="B8186" t="inlineStr">
        <is>
          <t>avverkningsanmälan</t>
        </is>
      </c>
      <c r="C8186" t="inlineStr">
        <is>
          <t>Föryngringsavverkning</t>
        </is>
      </c>
      <c r="D8186" s="1" t="n">
        <v>45478</v>
      </c>
      <c r="E8186" s="1" t="n">
        <v>46307</v>
      </c>
      <c r="F8186" t="inlineStr">
        <is>
          <t>VÄRMLANDS LÄN</t>
        </is>
      </c>
      <c r="G8186" t="inlineStr">
        <is>
          <t>KRISTINEHAMN</t>
        </is>
      </c>
      <c r="I8186" t="n">
        <v>2.8</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28836-2024</t>
        </is>
      </c>
      <c r="B8187" t="inlineStr">
        <is>
          <t>avverkningsanmälan</t>
        </is>
      </c>
      <c r="C8187" t="inlineStr">
        <is>
          <t>Föryngringsavverkning</t>
        </is>
      </c>
      <c r="D8187" s="1" t="n">
        <v>45478</v>
      </c>
      <c r="E8187" s="1" t="n">
        <v>46307</v>
      </c>
      <c r="F8187" t="inlineStr">
        <is>
          <t>VÄRMLANDS LÄN</t>
        </is>
      </c>
      <c r="G8187" t="inlineStr">
        <is>
          <t>KRISTINEHAMN</t>
        </is>
      </c>
      <c r="I8187" t="n">
        <v>0.6</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53188-2025</t>
        </is>
      </c>
      <c r="B8188" t="inlineStr">
        <is>
          <t>avverkningsanmälan</t>
        </is>
      </c>
      <c r="C8188" t="inlineStr">
        <is>
          <t>Föryngringsavverkning</t>
        </is>
      </c>
      <c r="D8188" s="1" t="n">
        <v>45958</v>
      </c>
      <c r="E8188" s="1" t="n">
        <v>46307</v>
      </c>
      <c r="F8188" t="inlineStr">
        <is>
          <t>VÄRMLANDS LÄN</t>
        </is>
      </c>
      <c r="G8188" t="inlineStr">
        <is>
          <t>ARVIKA</t>
        </is>
      </c>
      <c r="I8188" t="n">
        <v>1</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23047-2024</t>
        </is>
      </c>
      <c r="B8189" t="inlineStr">
        <is>
          <t>avverkningsanmälan</t>
        </is>
      </c>
      <c r="C8189" t="inlineStr">
        <is>
          <t>Föryngringsavverkning</t>
        </is>
      </c>
      <c r="D8189" s="1" t="n">
        <v>45450</v>
      </c>
      <c r="E8189" s="1" t="n">
        <v>46307</v>
      </c>
      <c r="F8189" t="inlineStr">
        <is>
          <t>VÄRMLANDS LÄN</t>
        </is>
      </c>
      <c r="G8189" t="inlineStr">
        <is>
          <t>HAGFORS</t>
        </is>
      </c>
      <c r="I8189" t="n">
        <v>0.8</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20311-2026</t>
        </is>
      </c>
      <c r="B8190" t="inlineStr">
        <is>
          <t>avverkningsanmälan</t>
        </is>
      </c>
      <c r="C8190" t="inlineStr">
        <is>
          <t>Föryngringsavverkning</t>
        </is>
      </c>
      <c r="D8190" s="1" t="n">
        <v>46139</v>
      </c>
      <c r="E8190" s="1" t="n">
        <v>46307</v>
      </c>
      <c r="F8190" t="inlineStr">
        <is>
          <t>VÄRMLANDS LÄN</t>
        </is>
      </c>
      <c r="G8190" t="inlineStr">
        <is>
          <t>STORFORS</t>
        </is>
      </c>
      <c r="H8190" t="inlineStr">
        <is>
          <t>Kyrkan</t>
        </is>
      </c>
      <c r="I8190" t="n">
        <v>6.6</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1296-2026</t>
        </is>
      </c>
      <c r="B8191" t="inlineStr">
        <is>
          <t>avverkningsanmälan</t>
        </is>
      </c>
      <c r="C8191" t="inlineStr">
        <is>
          <t>Föryngringsavverkning</t>
        </is>
      </c>
      <c r="D8191" s="1" t="n">
        <v>46031</v>
      </c>
      <c r="E8191" s="1" t="n">
        <v>46307</v>
      </c>
      <c r="F8191" t="inlineStr">
        <is>
          <t>VÄRMLANDS LÄN</t>
        </is>
      </c>
      <c r="G8191" t="inlineStr">
        <is>
          <t>KARLSTAD</t>
        </is>
      </c>
      <c r="H8191" t="inlineStr">
        <is>
          <t>Kyrkan</t>
        </is>
      </c>
      <c r="I8191" t="n">
        <v>7.3</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4832-2022</t>
        </is>
      </c>
      <c r="B8192" t="inlineStr">
        <is>
          <t>avverkningsanmälan</t>
        </is>
      </c>
      <c r="C8192" t="inlineStr">
        <is>
          <t>Föryngringsavverkning</t>
        </is>
      </c>
      <c r="D8192" s="1" t="n">
        <v>44592</v>
      </c>
      <c r="E8192" s="1" t="n">
        <v>46307</v>
      </c>
      <c r="F8192" t="inlineStr">
        <is>
          <t>VÄRMLANDS LÄN</t>
        </is>
      </c>
      <c r="G8192" t="inlineStr">
        <is>
          <t>KIL</t>
        </is>
      </c>
      <c r="I8192" t="n">
        <v>1.1</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34172-2024</t>
        </is>
      </c>
      <c r="B8193" t="inlineStr">
        <is>
          <t>avverkningsanmälan</t>
        </is>
      </c>
      <c r="C8193" t="inlineStr">
        <is>
          <t>Föryngringsavverkning</t>
        </is>
      </c>
      <c r="D8193" s="1" t="n">
        <v>45524</v>
      </c>
      <c r="E8193" s="1" t="n">
        <v>46307</v>
      </c>
      <c r="F8193" t="inlineStr">
        <is>
          <t>VÄRMLANDS LÄN</t>
        </is>
      </c>
      <c r="G8193" t="inlineStr">
        <is>
          <t>ÅRJÄNG</t>
        </is>
      </c>
      <c r="I8193" t="n">
        <v>0.9</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52581-2024</t>
        </is>
      </c>
      <c r="B8194" t="inlineStr">
        <is>
          <t>avverkningsanmälan</t>
        </is>
      </c>
      <c r="C8194" t="inlineStr">
        <is>
          <t>Föryngringsavverkning</t>
        </is>
      </c>
      <c r="D8194" s="1" t="n">
        <v>45609</v>
      </c>
      <c r="E8194" s="1" t="n">
        <v>46307</v>
      </c>
      <c r="F8194" t="inlineStr">
        <is>
          <t>VÄRMLANDS LÄN</t>
        </is>
      </c>
      <c r="G8194" t="inlineStr">
        <is>
          <t>TORSBY</t>
        </is>
      </c>
      <c r="I8194" t="n">
        <v>1.2</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49979-2024</t>
        </is>
      </c>
      <c r="B8195" t="inlineStr">
        <is>
          <t>avverkningsanmälan</t>
        </is>
      </c>
      <c r="C8195" t="inlineStr">
        <is>
          <t>Avverkning för annat ändamål</t>
        </is>
      </c>
      <c r="D8195" s="1" t="n">
        <v>45597</v>
      </c>
      <c r="E8195" s="1" t="n">
        <v>46307</v>
      </c>
      <c r="F8195" t="inlineStr">
        <is>
          <t>VÄRMLANDS LÄN</t>
        </is>
      </c>
      <c r="G8195" t="inlineStr">
        <is>
          <t>SÄFFLE</t>
        </is>
      </c>
      <c r="I8195" t="n">
        <v>2.8</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60126-2024</t>
        </is>
      </c>
      <c r="B8196" t="inlineStr">
        <is>
          <t>avverkningsanmälan</t>
        </is>
      </c>
      <c r="C8196" t="inlineStr">
        <is>
          <t>Föryngringsavverkning</t>
        </is>
      </c>
      <c r="D8196" s="1" t="n">
        <v>45642</v>
      </c>
      <c r="E8196" s="1" t="n">
        <v>46307</v>
      </c>
      <c r="F8196" t="inlineStr">
        <is>
          <t>VÄRMLANDS LÄN</t>
        </is>
      </c>
      <c r="G8196" t="inlineStr">
        <is>
          <t>ÅRJÄNG</t>
        </is>
      </c>
      <c r="I8196" t="n">
        <v>1.2</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58897-2025</t>
        </is>
      </c>
      <c r="B8197" t="inlineStr">
        <is>
          <t>avverkningsanmälan</t>
        </is>
      </c>
      <c r="C8197" t="inlineStr">
        <is>
          <t>Föryngringsavverkning</t>
        </is>
      </c>
      <c r="D8197" s="1" t="n">
        <v>45987</v>
      </c>
      <c r="E8197" s="1" t="n">
        <v>46307</v>
      </c>
      <c r="F8197" t="inlineStr">
        <is>
          <t>VÄRMLANDS LÄN</t>
        </is>
      </c>
      <c r="G8197" t="inlineStr">
        <is>
          <t>TORSBY</t>
        </is>
      </c>
      <c r="H8197" t="inlineStr">
        <is>
          <t>Bergvik skog väst AB</t>
        </is>
      </c>
      <c r="I8197" t="n">
        <v>4.7</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60148-2024</t>
        </is>
      </c>
      <c r="B8198" t="inlineStr">
        <is>
          <t>avverkningsanmälan</t>
        </is>
      </c>
      <c r="C8198" t="inlineStr">
        <is>
          <t>Föryngringsavverkning</t>
        </is>
      </c>
      <c r="D8198" s="1" t="n">
        <v>45642</v>
      </c>
      <c r="E8198" s="1" t="n">
        <v>46307</v>
      </c>
      <c r="F8198" t="inlineStr">
        <is>
          <t>VÄRMLANDS LÄN</t>
        </is>
      </c>
      <c r="G8198" t="inlineStr">
        <is>
          <t>TORSBY</t>
        </is>
      </c>
      <c r="I8198" t="n">
        <v>12.4</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1745-2026</t>
        </is>
      </c>
      <c r="B8199" t="inlineStr">
        <is>
          <t>avverkningsanmälan</t>
        </is>
      </c>
      <c r="C8199" t="inlineStr">
        <is>
          <t>Föryngringsavverkning</t>
        </is>
      </c>
      <c r="D8199" s="1" t="n">
        <v>46030</v>
      </c>
      <c r="E8199" s="1" t="n">
        <v>46307</v>
      </c>
      <c r="F8199" t="inlineStr">
        <is>
          <t>VÄRMLANDS LÄN</t>
        </is>
      </c>
      <c r="G8199" t="inlineStr">
        <is>
          <t>HAGFORS</t>
        </is>
      </c>
      <c r="I8199" t="n">
        <v>0.8</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15563-2022</t>
        </is>
      </c>
      <c r="B8200" t="inlineStr">
        <is>
          <t>avverkningsanmälan</t>
        </is>
      </c>
      <c r="C8200" t="inlineStr">
        <is>
          <t>Föryngringsavverkning</t>
        </is>
      </c>
      <c r="D8200" s="1" t="n">
        <v>44662</v>
      </c>
      <c r="E8200" s="1" t="n">
        <v>46307</v>
      </c>
      <c r="F8200" t="inlineStr">
        <is>
          <t>VÄRMLANDS LÄN</t>
        </is>
      </c>
      <c r="G8200" t="inlineStr">
        <is>
          <t>FORSHAGA</t>
        </is>
      </c>
      <c r="I8200" t="n">
        <v>3.7</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37076-2023</t>
        </is>
      </c>
      <c r="B8201" t="inlineStr">
        <is>
          <t>avverkningsanmälan</t>
        </is>
      </c>
      <c r="C8201" t="inlineStr">
        <is>
          <t>Föryngringsavverkning</t>
        </is>
      </c>
      <c r="D8201" s="1" t="n">
        <v>45154</v>
      </c>
      <c r="E8201" s="1" t="n">
        <v>46307</v>
      </c>
      <c r="F8201" t="inlineStr">
        <is>
          <t>VÄRMLANDS LÄN</t>
        </is>
      </c>
      <c r="G8201" t="inlineStr">
        <is>
          <t>KARLSTAD</t>
        </is>
      </c>
      <c r="H8201" t="inlineStr">
        <is>
          <t>Övriga statliga verk och myndigheter</t>
        </is>
      </c>
      <c r="I8201" t="n">
        <v>11.6</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1484-2026</t>
        </is>
      </c>
      <c r="B8202" t="inlineStr">
        <is>
          <t>avverkningsanmälan</t>
        </is>
      </c>
      <c r="C8202" t="inlineStr">
        <is>
          <t>Föryngringsavverkning</t>
        </is>
      </c>
      <c r="D8202" s="1" t="n">
        <v>46034</v>
      </c>
      <c r="E8202" s="1" t="n">
        <v>46307</v>
      </c>
      <c r="F8202" t="inlineStr">
        <is>
          <t>VÄRMLANDS LÄN</t>
        </is>
      </c>
      <c r="G8202" t="inlineStr">
        <is>
          <t>KARLSTAD</t>
        </is>
      </c>
      <c r="H8202" t="inlineStr">
        <is>
          <t>Kyrkan</t>
        </is>
      </c>
      <c r="I8202" t="n">
        <v>3.4</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27101-2024</t>
        </is>
      </c>
      <c r="B8203" t="inlineStr">
        <is>
          <t>avverkningsanmälan</t>
        </is>
      </c>
      <c r="C8203" t="inlineStr">
        <is>
          <t>Föryngringsavverkning</t>
        </is>
      </c>
      <c r="D8203" s="1" t="n">
        <v>45471</v>
      </c>
      <c r="E8203" s="1" t="n">
        <v>46307</v>
      </c>
      <c r="F8203" t="inlineStr">
        <is>
          <t>VÄRMLANDS LÄN</t>
        </is>
      </c>
      <c r="G8203" t="inlineStr">
        <is>
          <t>TORSBY</t>
        </is>
      </c>
      <c r="I8203" t="n">
        <v>0.5</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27116-2024</t>
        </is>
      </c>
      <c r="B8204" t="inlineStr">
        <is>
          <t>avverkningsanmälan</t>
        </is>
      </c>
      <c r="C8204" t="inlineStr">
        <is>
          <t>Föryngringsavverkning</t>
        </is>
      </c>
      <c r="D8204" s="1" t="n">
        <v>45471</v>
      </c>
      <c r="E8204" s="1" t="n">
        <v>46307</v>
      </c>
      <c r="F8204" t="inlineStr">
        <is>
          <t>VÄRMLANDS LÄN</t>
        </is>
      </c>
      <c r="G8204" t="inlineStr">
        <is>
          <t>TORSBY</t>
        </is>
      </c>
      <c r="I8204" t="n">
        <v>0.3</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22037-2025</t>
        </is>
      </c>
      <c r="B8205" t="inlineStr">
        <is>
          <t>avverkningsanmälan</t>
        </is>
      </c>
      <c r="C8205" t="inlineStr">
        <is>
          <t>Föryngringsavverkning</t>
        </is>
      </c>
      <c r="D8205" s="1" t="n">
        <v>45785</v>
      </c>
      <c r="E8205" s="1" t="n">
        <v>46307</v>
      </c>
      <c r="F8205" t="inlineStr">
        <is>
          <t>VÄRMLANDS LÄN</t>
        </is>
      </c>
      <c r="G8205" t="inlineStr">
        <is>
          <t>ARVIKA</t>
        </is>
      </c>
      <c r="I8205" t="n">
        <v>2.4</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22090-2025</t>
        </is>
      </c>
      <c r="B8206" t="inlineStr">
        <is>
          <t>avverkningsanmälan</t>
        </is>
      </c>
      <c r="C8206" t="inlineStr">
        <is>
          <t>Föryngringsavverkning</t>
        </is>
      </c>
      <c r="D8206" s="1" t="n">
        <v>45785</v>
      </c>
      <c r="E8206" s="1" t="n">
        <v>46307</v>
      </c>
      <c r="F8206" t="inlineStr">
        <is>
          <t>VÄRMLANDS LÄN</t>
        </is>
      </c>
      <c r="G8206" t="inlineStr">
        <is>
          <t>TORSBY</t>
        </is>
      </c>
      <c r="I8206" t="n">
        <v>3.9</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12907-2022</t>
        </is>
      </c>
      <c r="B8207" t="inlineStr">
        <is>
          <t>avverkningsanmälan</t>
        </is>
      </c>
      <c r="C8207" t="inlineStr">
        <is>
          <t>Föryngringsavverkning</t>
        </is>
      </c>
      <c r="D8207" s="1" t="n">
        <v>44642</v>
      </c>
      <c r="E8207" s="1" t="n">
        <v>46307</v>
      </c>
      <c r="F8207" t="inlineStr">
        <is>
          <t>VÄRMLANDS LÄN</t>
        </is>
      </c>
      <c r="G8207" t="inlineStr">
        <is>
          <t>ÅRJÄNG</t>
        </is>
      </c>
      <c r="I8207" t="n">
        <v>7.3</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13060-2022</t>
        </is>
      </c>
      <c r="B8208" t="inlineStr">
        <is>
          <t>avverkningsanmälan</t>
        </is>
      </c>
      <c r="C8208" t="inlineStr">
        <is>
          <t>Föryngringsavverkning</t>
        </is>
      </c>
      <c r="D8208" s="1" t="n">
        <v>44643</v>
      </c>
      <c r="E8208" s="1" t="n">
        <v>46307</v>
      </c>
      <c r="F8208" t="inlineStr">
        <is>
          <t>VÄRMLANDS LÄN</t>
        </is>
      </c>
      <c r="G8208" t="inlineStr">
        <is>
          <t>ÅRJÄNG</t>
        </is>
      </c>
      <c r="I8208" t="n">
        <v>2.6</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27038-2024</t>
        </is>
      </c>
      <c r="B8209" t="inlineStr">
        <is>
          <t>avverkningsanmälan</t>
        </is>
      </c>
      <c r="C8209" t="inlineStr">
        <is>
          <t>Föryngringsavverkning</t>
        </is>
      </c>
      <c r="D8209" s="1" t="n">
        <v>45471</v>
      </c>
      <c r="E8209" s="1" t="n">
        <v>46307</v>
      </c>
      <c r="F8209" t="inlineStr">
        <is>
          <t>VÄRMLANDS LÄN</t>
        </is>
      </c>
      <c r="G8209" t="inlineStr">
        <is>
          <t>TORSBY</t>
        </is>
      </c>
      <c r="I8209" t="n">
        <v>0.7</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20435-2024</t>
        </is>
      </c>
      <c r="B8210" t="inlineStr">
        <is>
          <t>avverkningsanmälan</t>
        </is>
      </c>
      <c r="C8210" t="inlineStr">
        <is>
          <t>Föryngringsavverkning</t>
        </is>
      </c>
      <c r="D8210" s="1" t="n">
        <v>45435</v>
      </c>
      <c r="E8210" s="1" t="n">
        <v>46307</v>
      </c>
      <c r="F8210" t="inlineStr">
        <is>
          <t>VÄRMLANDS LÄN</t>
        </is>
      </c>
      <c r="G8210" t="inlineStr">
        <is>
          <t>SUNNE</t>
        </is>
      </c>
      <c r="I8210" t="n">
        <v>11.9</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31306-2023</t>
        </is>
      </c>
      <c r="B8211" t="inlineStr">
        <is>
          <t>avverkningsanmälan</t>
        </is>
      </c>
      <c r="C8211" t="inlineStr">
        <is>
          <t>Föryngringsavverkning</t>
        </is>
      </c>
      <c r="D8211" s="1" t="n">
        <v>45114</v>
      </c>
      <c r="E8211" s="1" t="n">
        <v>46307</v>
      </c>
      <c r="F8211" t="inlineStr">
        <is>
          <t>VÄRMLANDS LÄN</t>
        </is>
      </c>
      <c r="G8211" t="inlineStr">
        <is>
          <t>FILIPSTAD</t>
        </is>
      </c>
      <c r="H8211" t="inlineStr">
        <is>
          <t>Bergvik skog väst AB</t>
        </is>
      </c>
      <c r="I8211" t="n">
        <v>6</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31316-2023</t>
        </is>
      </c>
      <c r="B8212" t="inlineStr">
        <is>
          <t>avverkningsanmälan</t>
        </is>
      </c>
      <c r="C8212" t="inlineStr">
        <is>
          <t>Föryngringsavverkning</t>
        </is>
      </c>
      <c r="D8212" s="1" t="n">
        <v>45114</v>
      </c>
      <c r="E8212" s="1" t="n">
        <v>46307</v>
      </c>
      <c r="F8212" t="inlineStr">
        <is>
          <t>VÄRMLANDS LÄN</t>
        </is>
      </c>
      <c r="G8212" t="inlineStr">
        <is>
          <t>KARLSTAD</t>
        </is>
      </c>
      <c r="I8212" t="n">
        <v>0.5</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20590-2026</t>
        </is>
      </c>
      <c r="B8213" t="inlineStr">
        <is>
          <t>avverkningsanmälan</t>
        </is>
      </c>
      <c r="C8213" t="inlineStr">
        <is>
          <t>Föryngringsavverkning</t>
        </is>
      </c>
      <c r="D8213" s="1" t="n">
        <v>46140</v>
      </c>
      <c r="E8213" s="1" t="n">
        <v>46307</v>
      </c>
      <c r="F8213" t="inlineStr">
        <is>
          <t>VÄRMLANDS LÄN</t>
        </is>
      </c>
      <c r="G8213" t="inlineStr">
        <is>
          <t>EDA</t>
        </is>
      </c>
      <c r="I8213" t="n">
        <v>1.2</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20592-2026</t>
        </is>
      </c>
      <c r="B8214" t="inlineStr">
        <is>
          <t>avverkningsanmälan</t>
        </is>
      </c>
      <c r="C8214" t="inlineStr">
        <is>
          <t>Föryngringsavverkning</t>
        </is>
      </c>
      <c r="D8214" s="1" t="n">
        <v>46140</v>
      </c>
      <c r="E8214" s="1" t="n">
        <v>46307</v>
      </c>
      <c r="F8214" t="inlineStr">
        <is>
          <t>VÄRMLANDS LÄN</t>
        </is>
      </c>
      <c r="G8214" t="inlineStr">
        <is>
          <t>EDA</t>
        </is>
      </c>
      <c r="I8214" t="n">
        <v>0.5</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32405-2023</t>
        </is>
      </c>
      <c r="B8215" t="inlineStr">
        <is>
          <t>avverkningsanmälan</t>
        </is>
      </c>
      <c r="C8215" t="inlineStr">
        <is>
          <t>Föryngringsavverkning</t>
        </is>
      </c>
      <c r="D8215" s="1" t="n">
        <v>45110</v>
      </c>
      <c r="E8215" s="1" t="n">
        <v>46307</v>
      </c>
      <c r="F8215" t="inlineStr">
        <is>
          <t>VÄRMLANDS LÄN</t>
        </is>
      </c>
      <c r="G8215" t="inlineStr">
        <is>
          <t>SUNNE</t>
        </is>
      </c>
      <c r="H8215" t="inlineStr">
        <is>
          <t>Övriga statliga verk och myndigheter</t>
        </is>
      </c>
      <c r="I8215" t="n">
        <v>4.2</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1496-2022</t>
        </is>
      </c>
      <c r="B8216" t="inlineStr">
        <is>
          <t>avverkningsanmälan</t>
        </is>
      </c>
      <c r="C8216" t="inlineStr">
        <is>
          <t>Föryngringsavverkning</t>
        </is>
      </c>
      <c r="D8216" s="1" t="n">
        <v>44573</v>
      </c>
      <c r="E8216" s="1" t="n">
        <v>46307</v>
      </c>
      <c r="F8216" t="inlineStr">
        <is>
          <t>VÄRMLANDS LÄN</t>
        </is>
      </c>
      <c r="G8216" t="inlineStr">
        <is>
          <t>KARLSTAD</t>
        </is>
      </c>
      <c r="I8216" t="n">
        <v>1.4</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21495-2025</t>
        </is>
      </c>
      <c r="B8217" t="inlineStr">
        <is>
          <t>avverkningsanmälan</t>
        </is>
      </c>
      <c r="C8217" t="inlineStr">
        <is>
          <t>Föryngringsavverkning</t>
        </is>
      </c>
      <c r="D8217" s="1" t="n">
        <v>45782</v>
      </c>
      <c r="E8217" s="1" t="n">
        <v>46307</v>
      </c>
      <c r="F8217" t="inlineStr">
        <is>
          <t>VÄRMLANDS LÄN</t>
        </is>
      </c>
      <c r="G8217" t="inlineStr">
        <is>
          <t>SUNNE</t>
        </is>
      </c>
      <c r="I8217" t="n">
        <v>1</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1570-2026</t>
        </is>
      </c>
      <c r="B8218" t="inlineStr">
        <is>
          <t>avverkningsanmälan</t>
        </is>
      </c>
      <c r="C8218" t="inlineStr">
        <is>
          <t>Föryngringsavverkning</t>
        </is>
      </c>
      <c r="D8218" s="1" t="n">
        <v>46034</v>
      </c>
      <c r="E8218" s="1" t="n">
        <v>46307</v>
      </c>
      <c r="F8218" t="inlineStr">
        <is>
          <t>VÄRMLANDS LÄN</t>
        </is>
      </c>
      <c r="G8218" t="inlineStr">
        <is>
          <t>HAGFORS</t>
        </is>
      </c>
      <c r="H8218" t="inlineStr">
        <is>
          <t>Bergvik skog väst AB</t>
        </is>
      </c>
      <c r="I8218" t="n">
        <v>16.8</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41203-2024</t>
        </is>
      </c>
      <c r="B8219" t="inlineStr">
        <is>
          <t>avverkningsanmälan</t>
        </is>
      </c>
      <c r="C8219" t="inlineStr">
        <is>
          <t>Föryngringsavverkning</t>
        </is>
      </c>
      <c r="D8219" s="1" t="n">
        <v>45559</v>
      </c>
      <c r="E8219" s="1" t="n">
        <v>46307</v>
      </c>
      <c r="F8219" t="inlineStr">
        <is>
          <t>VÄRMLANDS LÄN</t>
        </is>
      </c>
      <c r="G8219" t="inlineStr">
        <is>
          <t>ARVIKA</t>
        </is>
      </c>
      <c r="H8219" t="inlineStr">
        <is>
          <t>Kommuner</t>
        </is>
      </c>
      <c r="I8219" t="n">
        <v>1.8</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20232-2026</t>
        </is>
      </c>
      <c r="B8220" t="inlineStr">
        <is>
          <t>avverkningsanmälan</t>
        </is>
      </c>
      <c r="C8220" t="inlineStr">
        <is>
          <t>Föryngringsavverkning</t>
        </is>
      </c>
      <c r="D8220" s="1" t="n">
        <v>46139</v>
      </c>
      <c r="E8220" s="1" t="n">
        <v>46307</v>
      </c>
      <c r="F8220" t="inlineStr">
        <is>
          <t>VÄRMLANDS LÄN</t>
        </is>
      </c>
      <c r="G8220" t="inlineStr">
        <is>
          <t>TORSBY</t>
        </is>
      </c>
      <c r="I8220" t="n">
        <v>1.3</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33421-2023</t>
        </is>
      </c>
      <c r="B8221" t="inlineStr">
        <is>
          <t>avverkningsanmälan</t>
        </is>
      </c>
      <c r="C8221" t="inlineStr">
        <is>
          <t>Avverkning för annat ändamål</t>
        </is>
      </c>
      <c r="D8221" s="1" t="n">
        <v>45128</v>
      </c>
      <c r="E8221" s="1" t="n">
        <v>46307</v>
      </c>
      <c r="F8221" t="inlineStr">
        <is>
          <t>VÄRMLANDS LÄN</t>
        </is>
      </c>
      <c r="G8221" t="inlineStr">
        <is>
          <t>EDA</t>
        </is>
      </c>
      <c r="I8221" t="n">
        <v>4.2</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5699-2022</t>
        </is>
      </c>
      <c r="B8222" t="inlineStr">
        <is>
          <t>avverkningsanmälan</t>
        </is>
      </c>
      <c r="C8222" t="inlineStr">
        <is>
          <t>Föryngringsavverkning</t>
        </is>
      </c>
      <c r="D8222" s="1" t="n">
        <v>44596</v>
      </c>
      <c r="E8222" s="1" t="n">
        <v>46307</v>
      </c>
      <c r="F8222" t="inlineStr">
        <is>
          <t>VÄRMLANDS LÄN</t>
        </is>
      </c>
      <c r="G8222" t="inlineStr">
        <is>
          <t>EDA</t>
        </is>
      </c>
      <c r="I8222" t="n">
        <v>1.3</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20273-2026</t>
        </is>
      </c>
      <c r="B8223" t="inlineStr">
        <is>
          <t>avverkningsanmälan</t>
        </is>
      </c>
      <c r="C8223" t="inlineStr">
        <is>
          <t>Föryngringsavverkning</t>
        </is>
      </c>
      <c r="D8223" s="1" t="n">
        <v>46139</v>
      </c>
      <c r="E8223" s="1" t="n">
        <v>46307</v>
      </c>
      <c r="F8223" t="inlineStr">
        <is>
          <t>VÄRMLANDS LÄN</t>
        </is>
      </c>
      <c r="G8223" t="inlineStr">
        <is>
          <t>TORSBY</t>
        </is>
      </c>
      <c r="I8223" t="n">
        <v>1.2</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27708-2025</t>
        </is>
      </c>
      <c r="B8224" t="inlineStr">
        <is>
          <t>avverkningsanmälan</t>
        </is>
      </c>
      <c r="C8224" t="inlineStr">
        <is>
          <t>Föryngringsavverkning</t>
        </is>
      </c>
      <c r="D8224" s="1" t="n">
        <v>45813</v>
      </c>
      <c r="E8224" s="1" t="n">
        <v>46307</v>
      </c>
      <c r="F8224" t="inlineStr">
        <is>
          <t>VÄRMLANDS LÄN</t>
        </is>
      </c>
      <c r="G8224" t="inlineStr">
        <is>
          <t>ARVIKA</t>
        </is>
      </c>
      <c r="I8224" t="n">
        <v>1.5</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28793-2025</t>
        </is>
      </c>
      <c r="B8225" t="inlineStr">
        <is>
          <t>avverkningsanmälan</t>
        </is>
      </c>
      <c r="C8225" t="inlineStr">
        <is>
          <t>Föryngringsavverkning</t>
        </is>
      </c>
      <c r="D8225" s="1" t="n">
        <v>45820</v>
      </c>
      <c r="E8225" s="1" t="n">
        <v>46307</v>
      </c>
      <c r="F8225" t="inlineStr">
        <is>
          <t>VÄRMLANDS LÄN</t>
        </is>
      </c>
      <c r="G8225" t="inlineStr">
        <is>
          <t>ÅRJÄNG</t>
        </is>
      </c>
      <c r="I8225" t="n">
        <v>2.6</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46190-2024</t>
        </is>
      </c>
      <c r="B8226" t="inlineStr">
        <is>
          <t>avverkningsanmälan</t>
        </is>
      </c>
      <c r="C8226" t="inlineStr">
        <is>
          <t>Föryngringsavverkning</t>
        </is>
      </c>
      <c r="D8226" s="1" t="n">
        <v>45581</v>
      </c>
      <c r="E8226" s="1" t="n">
        <v>46307</v>
      </c>
      <c r="F8226" t="inlineStr">
        <is>
          <t>VÄRMLANDS LÄN</t>
        </is>
      </c>
      <c r="G8226" t="inlineStr">
        <is>
          <t>HAGFORS</t>
        </is>
      </c>
      <c r="H8226" t="inlineStr">
        <is>
          <t>Bergvik skog väst AB</t>
        </is>
      </c>
      <c r="I8226" t="n">
        <v>4.8</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48128-2025</t>
        </is>
      </c>
      <c r="B8227" t="inlineStr">
        <is>
          <t>avverkningsanmälan</t>
        </is>
      </c>
      <c r="C8227" t="inlineStr">
        <is>
          <t>Föryngringsavverkning</t>
        </is>
      </c>
      <c r="D8227" s="1" t="n">
        <v>45933</v>
      </c>
      <c r="E8227" s="1" t="n">
        <v>46307</v>
      </c>
      <c r="F8227" t="inlineStr">
        <is>
          <t>VÄRMLANDS LÄN</t>
        </is>
      </c>
      <c r="G8227" t="inlineStr">
        <is>
          <t>KRISTINEHAMN</t>
        </is>
      </c>
      <c r="I8227" t="n">
        <v>1.4</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44262-2023</t>
        </is>
      </c>
      <c r="B8228" t="inlineStr">
        <is>
          <t>avverkningsanmälan</t>
        </is>
      </c>
      <c r="C8228" t="inlineStr">
        <is>
          <t>Föryngringsavverkning</t>
        </is>
      </c>
      <c r="D8228" s="1" t="n">
        <v>45188</v>
      </c>
      <c r="E8228" s="1" t="n">
        <v>46307</v>
      </c>
      <c r="F8228" t="inlineStr">
        <is>
          <t>VÄRMLANDS LÄN</t>
        </is>
      </c>
      <c r="G8228" t="inlineStr">
        <is>
          <t>TORSBY</t>
        </is>
      </c>
      <c r="I8228" t="n">
        <v>2.7</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30134-2025</t>
        </is>
      </c>
      <c r="B8229" t="inlineStr">
        <is>
          <t>avverkningsanmälan</t>
        </is>
      </c>
      <c r="C8229" t="inlineStr">
        <is>
          <t>Föryngringsavverkning</t>
        </is>
      </c>
      <c r="D8229" s="1" t="n">
        <v>45826</v>
      </c>
      <c r="E8229" s="1" t="n">
        <v>46307</v>
      </c>
      <c r="F8229" t="inlineStr">
        <is>
          <t>VÄRMLANDS LÄN</t>
        </is>
      </c>
      <c r="G8229" t="inlineStr">
        <is>
          <t>ÅRJÄNG</t>
        </is>
      </c>
      <c r="I8229" t="n">
        <v>1.7</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3610-2025</t>
        </is>
      </c>
      <c r="B8230" t="inlineStr">
        <is>
          <t>avverkningsanmälan</t>
        </is>
      </c>
      <c r="C8230" t="inlineStr">
        <is>
          <t>Föryngringsavverkning</t>
        </is>
      </c>
      <c r="D8230" s="1" t="n">
        <v>45681</v>
      </c>
      <c r="E8230" s="1" t="n">
        <v>46307</v>
      </c>
      <c r="F8230" t="inlineStr">
        <is>
          <t>VÄRMLANDS LÄN</t>
        </is>
      </c>
      <c r="G8230" t="inlineStr">
        <is>
          <t>ARVIKA</t>
        </is>
      </c>
      <c r="I8230" t="n">
        <v>0.5</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20784-2025</t>
        </is>
      </c>
      <c r="B8231" t="inlineStr">
        <is>
          <t>avverkningsanmälan</t>
        </is>
      </c>
      <c r="C8231" t="inlineStr">
        <is>
          <t>Föryngringsavverkning</t>
        </is>
      </c>
      <c r="D8231" s="1" t="n">
        <v>45776</v>
      </c>
      <c r="E8231" s="1" t="n">
        <v>46307</v>
      </c>
      <c r="F8231" t="inlineStr">
        <is>
          <t>VÄRMLANDS LÄN</t>
        </is>
      </c>
      <c r="G8231" t="inlineStr">
        <is>
          <t>GRUMS</t>
        </is>
      </c>
      <c r="I8231" t="n">
        <v>9.5</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2389-2025</t>
        </is>
      </c>
      <c r="B8232" t="inlineStr">
        <is>
          <t>avverkningsanmälan</t>
        </is>
      </c>
      <c r="C8232" t="inlineStr">
        <is>
          <t>Föryngringsavverkning</t>
        </is>
      </c>
      <c r="D8232" s="1" t="n">
        <v>45674</v>
      </c>
      <c r="E8232" s="1" t="n">
        <v>46307</v>
      </c>
      <c r="F8232" t="inlineStr">
        <is>
          <t>VÄRMLANDS LÄN</t>
        </is>
      </c>
      <c r="G8232" t="inlineStr">
        <is>
          <t>EDA</t>
        </is>
      </c>
      <c r="I8232" t="n">
        <v>2</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1750-2026</t>
        </is>
      </c>
      <c r="B8233" t="inlineStr">
        <is>
          <t>avverkningsanmälan</t>
        </is>
      </c>
      <c r="C8233" t="inlineStr">
        <is>
          <t>Föryngringsavverkning</t>
        </is>
      </c>
      <c r="D8233" s="1" t="n">
        <v>46034</v>
      </c>
      <c r="E8233" s="1" t="n">
        <v>46307</v>
      </c>
      <c r="F8233" t="inlineStr">
        <is>
          <t>VÄRMLANDS LÄN</t>
        </is>
      </c>
      <c r="G8233" t="inlineStr">
        <is>
          <t>ARVIKA</t>
        </is>
      </c>
      <c r="I8233" t="n">
        <v>2.4</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1756-2026</t>
        </is>
      </c>
      <c r="B8234" t="inlineStr">
        <is>
          <t>avverkningsanmälan</t>
        </is>
      </c>
      <c r="C8234" t="inlineStr">
        <is>
          <t>Föryngringsavverkning</t>
        </is>
      </c>
      <c r="D8234" s="1" t="n">
        <v>46034</v>
      </c>
      <c r="E8234" s="1" t="n">
        <v>46307</v>
      </c>
      <c r="F8234" t="inlineStr">
        <is>
          <t>VÄRMLANDS LÄN</t>
        </is>
      </c>
      <c r="G8234" t="inlineStr">
        <is>
          <t>KRISTINEHAMN</t>
        </is>
      </c>
      <c r="I8234" t="n">
        <v>0.4</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13160-2022</t>
        </is>
      </c>
      <c r="B8235" t="inlineStr">
        <is>
          <t>avverkningsanmälan</t>
        </is>
      </c>
      <c r="C8235" t="inlineStr">
        <is>
          <t>Föryngringsavverkning</t>
        </is>
      </c>
      <c r="D8235" s="1" t="n">
        <v>44644</v>
      </c>
      <c r="E8235" s="1" t="n">
        <v>46307</v>
      </c>
      <c r="F8235" t="inlineStr">
        <is>
          <t>VÄRMLANDS LÄN</t>
        </is>
      </c>
      <c r="G8235" t="inlineStr">
        <is>
          <t>ÅRJÄNG</t>
        </is>
      </c>
      <c r="I8235" t="n">
        <v>1.2</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24411-2025</t>
        </is>
      </c>
      <c r="B8236" t="inlineStr">
        <is>
          <t>avverkningsanmälan</t>
        </is>
      </c>
      <c r="C8236" t="inlineStr">
        <is>
          <t>Föryngringsavverkning</t>
        </is>
      </c>
      <c r="D8236" s="1" t="n">
        <v>45797</v>
      </c>
      <c r="E8236" s="1" t="n">
        <v>46307</v>
      </c>
      <c r="F8236" t="inlineStr">
        <is>
          <t>VÄRMLANDS LÄN</t>
        </is>
      </c>
      <c r="G8236" t="inlineStr">
        <is>
          <t>TORSBY</t>
        </is>
      </c>
      <c r="H8236" t="inlineStr">
        <is>
          <t>Övriga statliga verk och myndigheter</t>
        </is>
      </c>
      <c r="I8236" t="n">
        <v>3.2</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1346-2026</t>
        </is>
      </c>
      <c r="B8237" t="inlineStr">
        <is>
          <t>avverkningsanmälan</t>
        </is>
      </c>
      <c r="C8237" t="inlineStr">
        <is>
          <t>Föryngringsavverkning</t>
        </is>
      </c>
      <c r="D8237" s="1" t="n">
        <v>46031</v>
      </c>
      <c r="E8237" s="1" t="n">
        <v>46307</v>
      </c>
      <c r="F8237" t="inlineStr">
        <is>
          <t>VÄRMLANDS LÄN</t>
        </is>
      </c>
      <c r="G8237" t="inlineStr">
        <is>
          <t>EDA</t>
        </is>
      </c>
      <c r="I8237" t="n">
        <v>3.6</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6803-2022</t>
        </is>
      </c>
      <c r="B8238" t="inlineStr">
        <is>
          <t>avverkningsanmälan</t>
        </is>
      </c>
      <c r="C8238" t="inlineStr">
        <is>
          <t>Föryngringsavverkning</t>
        </is>
      </c>
      <c r="D8238" s="1" t="n">
        <v>44602</v>
      </c>
      <c r="E8238" s="1" t="n">
        <v>46307</v>
      </c>
      <c r="F8238" t="inlineStr">
        <is>
          <t>VÄRMLANDS LÄN</t>
        </is>
      </c>
      <c r="G8238" t="inlineStr">
        <is>
          <t>EDA</t>
        </is>
      </c>
      <c r="I8238" t="n">
        <v>2.9</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15720-2022</t>
        </is>
      </c>
      <c r="B8239" t="inlineStr">
        <is>
          <t>avverkningsanmälan</t>
        </is>
      </c>
      <c r="C8239" t="inlineStr">
        <is>
          <t>Föryngringsavverkning</t>
        </is>
      </c>
      <c r="D8239" s="1" t="n">
        <v>44663</v>
      </c>
      <c r="E8239" s="1" t="n">
        <v>46307</v>
      </c>
      <c r="F8239" t="inlineStr">
        <is>
          <t>VÄRMLANDS LÄN</t>
        </is>
      </c>
      <c r="G8239" t="inlineStr">
        <is>
          <t>ARVIKA</t>
        </is>
      </c>
      <c r="I8239" t="n">
        <v>3</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62827-2025</t>
        </is>
      </c>
      <c r="B8240" t="inlineStr">
        <is>
          <t>avverkningsanmälan</t>
        </is>
      </c>
      <c r="C8240" t="inlineStr">
        <is>
          <t>Föryngringsavverkning</t>
        </is>
      </c>
      <c r="D8240" s="1" t="n">
        <v>46008</v>
      </c>
      <c r="E8240" s="1" t="n">
        <v>46307</v>
      </c>
      <c r="F8240" t="inlineStr">
        <is>
          <t>VÄRMLANDS LÄN</t>
        </is>
      </c>
      <c r="G8240" t="inlineStr">
        <is>
          <t>SUNNE</t>
        </is>
      </c>
      <c r="I8240" t="n">
        <v>0.9</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2977-2024</t>
        </is>
      </c>
      <c r="B8241" t="inlineStr">
        <is>
          <t>avverkningsanmälan</t>
        </is>
      </c>
      <c r="C8241" t="inlineStr">
        <is>
          <t>Föryngringsavverkning</t>
        </is>
      </c>
      <c r="D8241" s="1" t="n">
        <v>45315</v>
      </c>
      <c r="E8241" s="1" t="n">
        <v>46307</v>
      </c>
      <c r="F8241" t="inlineStr">
        <is>
          <t>VÄRMLANDS LÄN</t>
        </is>
      </c>
      <c r="G8241" t="inlineStr">
        <is>
          <t>SUNNE</t>
        </is>
      </c>
      <c r="I8241" t="n">
        <v>2</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3076-2024</t>
        </is>
      </c>
      <c r="B8242" t="inlineStr">
        <is>
          <t>avverkningsanmälan</t>
        </is>
      </c>
      <c r="C8242" t="inlineStr">
        <is>
          <t>Föryngringsavverkning</t>
        </is>
      </c>
      <c r="D8242" s="1" t="n">
        <v>45316</v>
      </c>
      <c r="E8242" s="1" t="n">
        <v>46307</v>
      </c>
      <c r="F8242" t="inlineStr">
        <is>
          <t>VÄRMLANDS LÄN</t>
        </is>
      </c>
      <c r="G8242" t="inlineStr">
        <is>
          <t>SUNNE</t>
        </is>
      </c>
      <c r="I8242" t="n">
        <v>5.5</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45348-2025</t>
        </is>
      </c>
      <c r="B8243" t="inlineStr">
        <is>
          <t>avverkningsanmälan</t>
        </is>
      </c>
      <c r="C8243" t="inlineStr">
        <is>
          <t>Föryngringsavverkning</t>
        </is>
      </c>
      <c r="D8243" s="1" t="n">
        <v>45922</v>
      </c>
      <c r="E8243" s="1" t="n">
        <v>46307</v>
      </c>
      <c r="F8243" t="inlineStr">
        <is>
          <t>VÄRMLANDS LÄN</t>
        </is>
      </c>
      <c r="G8243" t="inlineStr">
        <is>
          <t>SÄFFLE</t>
        </is>
      </c>
      <c r="I8243" t="n">
        <v>7.3</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51587-2025</t>
        </is>
      </c>
      <c r="B8244" t="inlineStr">
        <is>
          <t>avverkningsanmälan</t>
        </is>
      </c>
      <c r="C8244" t="inlineStr">
        <is>
          <t>Föryngringsavverkning</t>
        </is>
      </c>
      <c r="D8244" s="1" t="n">
        <v>45951</v>
      </c>
      <c r="E8244" s="1" t="n">
        <v>46307</v>
      </c>
      <c r="F8244" t="inlineStr">
        <is>
          <t>VÄRMLANDS LÄN</t>
        </is>
      </c>
      <c r="G8244" t="inlineStr">
        <is>
          <t>TORSBY</t>
        </is>
      </c>
      <c r="I8244" t="n">
        <v>9</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37710-2025</t>
        </is>
      </c>
      <c r="B8245" t="inlineStr">
        <is>
          <t>avverkningsanmälan</t>
        </is>
      </c>
      <c r="C8245" t="inlineStr">
        <is>
          <t>Föryngringsavverkning</t>
        </is>
      </c>
      <c r="D8245" s="1" t="n">
        <v>45880</v>
      </c>
      <c r="E8245" s="1" t="n">
        <v>46307</v>
      </c>
      <c r="F8245" t="inlineStr">
        <is>
          <t>VÄRMLANDS LÄN</t>
        </is>
      </c>
      <c r="G8245" t="inlineStr">
        <is>
          <t>SÄFFLE</t>
        </is>
      </c>
      <c r="I8245" t="n">
        <v>3.4</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4249-2025</t>
        </is>
      </c>
      <c r="B8246" t="inlineStr">
        <is>
          <t>avverkningsanmälan</t>
        </is>
      </c>
      <c r="C8246" t="inlineStr">
        <is>
          <t>Föryngringsavverkning</t>
        </is>
      </c>
      <c r="D8246" s="1" t="n">
        <v>45685</v>
      </c>
      <c r="E8246" s="1" t="n">
        <v>46307</v>
      </c>
      <c r="F8246" t="inlineStr">
        <is>
          <t>VÄRMLANDS LÄN</t>
        </is>
      </c>
      <c r="G8246" t="inlineStr">
        <is>
          <t>SÄFFLE</t>
        </is>
      </c>
      <c r="I8246" t="n">
        <v>6.6</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60930-2021</t>
        </is>
      </c>
      <c r="B8247" t="inlineStr">
        <is>
          <t>avverkningsanmälan</t>
        </is>
      </c>
      <c r="C8247" t="inlineStr">
        <is>
          <t>Föryngringsavverkning</t>
        </is>
      </c>
      <c r="D8247" s="1" t="n">
        <v>44497</v>
      </c>
      <c r="E8247" s="1" t="n">
        <v>46307</v>
      </c>
      <c r="F8247" t="inlineStr">
        <is>
          <t>VÄRMLANDS LÄN</t>
        </is>
      </c>
      <c r="G8247" t="inlineStr">
        <is>
          <t>ÅRJÄNG</t>
        </is>
      </c>
      <c r="I8247" t="n">
        <v>1.7</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8967-2023</t>
        </is>
      </c>
      <c r="B8248" t="inlineStr">
        <is>
          <t>avverkningsanmälan</t>
        </is>
      </c>
      <c r="C8248" t="inlineStr">
        <is>
          <t>Föryngringsavverkning</t>
        </is>
      </c>
      <c r="D8248" s="1" t="n">
        <v>44979</v>
      </c>
      <c r="E8248" s="1" t="n">
        <v>46307</v>
      </c>
      <c r="F8248" t="inlineStr">
        <is>
          <t>VÄRMLANDS LÄN</t>
        </is>
      </c>
      <c r="G8248" t="inlineStr">
        <is>
          <t>EDA</t>
        </is>
      </c>
      <c r="I8248" t="n">
        <v>1.4</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73901-2021</t>
        </is>
      </c>
      <c r="B8249" t="inlineStr">
        <is>
          <t>avverkningsanmälan</t>
        </is>
      </c>
      <c r="C8249" t="inlineStr">
        <is>
          <t>Föryngringsavverkning</t>
        </is>
      </c>
      <c r="D8249" s="1" t="n">
        <v>44552</v>
      </c>
      <c r="E8249" s="1" t="n">
        <v>46307</v>
      </c>
      <c r="F8249" t="inlineStr">
        <is>
          <t>VÄRMLANDS LÄN</t>
        </is>
      </c>
      <c r="G8249" t="inlineStr">
        <is>
          <t>GRUMS</t>
        </is>
      </c>
      <c r="I8249" t="n">
        <v>1.9</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26438-2025</t>
        </is>
      </c>
      <c r="B8250" t="inlineStr">
        <is>
          <t>avverkningsanmälan</t>
        </is>
      </c>
      <c r="C8250" t="inlineStr">
        <is>
          <t>Föryngringsavverkning</t>
        </is>
      </c>
      <c r="D8250" s="1" t="n">
        <v>45807</v>
      </c>
      <c r="E8250" s="1" t="n">
        <v>46307</v>
      </c>
      <c r="F8250" t="inlineStr">
        <is>
          <t>VÄRMLANDS LÄN</t>
        </is>
      </c>
      <c r="G8250" t="inlineStr">
        <is>
          <t>KIL</t>
        </is>
      </c>
      <c r="I8250" t="n">
        <v>0.9</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12209-2023</t>
        </is>
      </c>
      <c r="B8251" t="inlineStr">
        <is>
          <t>avverkningsanmälan</t>
        </is>
      </c>
      <c r="C8251" t="inlineStr">
        <is>
          <t>Föryngringsavverkning</t>
        </is>
      </c>
      <c r="D8251" s="1" t="n">
        <v>44998</v>
      </c>
      <c r="E8251" s="1" t="n">
        <v>46307</v>
      </c>
      <c r="F8251" t="inlineStr">
        <is>
          <t>VÄRMLANDS LÄN</t>
        </is>
      </c>
      <c r="G8251" t="inlineStr">
        <is>
          <t>ÅRJÄNG</t>
        </is>
      </c>
      <c r="I8251" t="n">
        <v>1.5</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1847-2025</t>
        </is>
      </c>
      <c r="B8252" t="inlineStr">
        <is>
          <t>avverkningsanmälan</t>
        </is>
      </c>
      <c r="C8252" t="inlineStr">
        <is>
          <t>Föryngringsavverkning</t>
        </is>
      </c>
      <c r="D8252" s="1" t="n">
        <v>45671</v>
      </c>
      <c r="E8252" s="1" t="n">
        <v>46307</v>
      </c>
      <c r="F8252" t="inlineStr">
        <is>
          <t>VÄRMLANDS LÄN</t>
        </is>
      </c>
      <c r="G8252" t="inlineStr">
        <is>
          <t>KIL</t>
        </is>
      </c>
      <c r="I8252" t="n">
        <v>1.9</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20414-2026</t>
        </is>
      </c>
      <c r="B8253" t="inlineStr">
        <is>
          <t>avverkningsanmälan</t>
        </is>
      </c>
      <c r="C8253" t="inlineStr">
        <is>
          <t>Föryngringsavverkning</t>
        </is>
      </c>
      <c r="D8253" s="1" t="n">
        <v>46140</v>
      </c>
      <c r="E8253" s="1" t="n">
        <v>46307</v>
      </c>
      <c r="F8253" t="inlineStr">
        <is>
          <t>VÄRMLANDS LÄN</t>
        </is>
      </c>
      <c r="G8253" t="inlineStr">
        <is>
          <t>TORSBY</t>
        </is>
      </c>
      <c r="I8253" t="n">
        <v>23.8</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29156-2025</t>
        </is>
      </c>
      <c r="B8254" t="inlineStr">
        <is>
          <t>avverkningsanmälan</t>
        </is>
      </c>
      <c r="C8254" t="inlineStr">
        <is>
          <t>Föryngringsavverkning</t>
        </is>
      </c>
      <c r="D8254" s="1" t="n">
        <v>45821</v>
      </c>
      <c r="E8254" s="1" t="n">
        <v>46307</v>
      </c>
      <c r="F8254" t="inlineStr">
        <is>
          <t>VÄRMLANDS LÄN</t>
        </is>
      </c>
      <c r="G8254" t="inlineStr">
        <is>
          <t>ARVIKA</t>
        </is>
      </c>
      <c r="I8254" t="n">
        <v>2.6</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29783-2025</t>
        </is>
      </c>
      <c r="B8255" t="inlineStr">
        <is>
          <t>avverkningsanmälan</t>
        </is>
      </c>
      <c r="C8255" t="inlineStr">
        <is>
          <t>Föryngringsavverkning</t>
        </is>
      </c>
      <c r="D8255" s="1" t="n">
        <v>45825</v>
      </c>
      <c r="E8255" s="1" t="n">
        <v>46307</v>
      </c>
      <c r="F8255" t="inlineStr">
        <is>
          <t>VÄRMLANDS LÄN</t>
        </is>
      </c>
      <c r="G8255" t="inlineStr">
        <is>
          <t>ÅRJÄNG</t>
        </is>
      </c>
      <c r="I8255" t="n">
        <v>3</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37945-2025</t>
        </is>
      </c>
      <c r="B8256" t="inlineStr">
        <is>
          <t>avverkningsanmälan</t>
        </is>
      </c>
      <c r="C8256" t="inlineStr">
        <is>
          <t>Föryngringsavverkning</t>
        </is>
      </c>
      <c r="D8256" s="1" t="n">
        <v>45881</v>
      </c>
      <c r="E8256" s="1" t="n">
        <v>46307</v>
      </c>
      <c r="F8256" t="inlineStr">
        <is>
          <t>VÄRMLANDS LÄN</t>
        </is>
      </c>
      <c r="G8256" t="inlineStr">
        <is>
          <t>TORSBY</t>
        </is>
      </c>
      <c r="I8256" t="n">
        <v>3.2</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64902-2021</t>
        </is>
      </c>
      <c r="B8257" t="inlineStr">
        <is>
          <t>avverkningsanmälan</t>
        </is>
      </c>
      <c r="C8257" t="inlineStr">
        <is>
          <t>Föryngringsavverkning</t>
        </is>
      </c>
      <c r="D8257" s="1" t="n">
        <v>44512</v>
      </c>
      <c r="E8257" s="1" t="n">
        <v>46307</v>
      </c>
      <c r="F8257" t="inlineStr">
        <is>
          <t>VÄRMLANDS LÄN</t>
        </is>
      </c>
      <c r="G8257" t="inlineStr">
        <is>
          <t>TORSBY</t>
        </is>
      </c>
      <c r="I8257" t="n">
        <v>6.1</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60850-2025</t>
        </is>
      </c>
      <c r="B8258" t="inlineStr">
        <is>
          <t>avverkningsanmälan</t>
        </is>
      </c>
      <c r="C8258" t="inlineStr">
        <is>
          <t>Föryngringsavverkning</t>
        </is>
      </c>
      <c r="D8258" s="1" t="n">
        <v>45999</v>
      </c>
      <c r="E8258" s="1" t="n">
        <v>46307</v>
      </c>
      <c r="F8258" t="inlineStr">
        <is>
          <t>VÄRMLANDS LÄN</t>
        </is>
      </c>
      <c r="G8258" t="inlineStr">
        <is>
          <t>FORSHAGA</t>
        </is>
      </c>
      <c r="I8258" t="n">
        <v>1.3</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13274-2025</t>
        </is>
      </c>
      <c r="B8259" t="inlineStr">
        <is>
          <t>avverkningsanmälan</t>
        </is>
      </c>
      <c r="C8259" t="inlineStr">
        <is>
          <t>Föryngringsavverkning</t>
        </is>
      </c>
      <c r="D8259" s="1" t="n">
        <v>45735</v>
      </c>
      <c r="E8259" s="1" t="n">
        <v>46307</v>
      </c>
      <c r="F8259" t="inlineStr">
        <is>
          <t>VÄRMLANDS LÄN</t>
        </is>
      </c>
      <c r="G8259" t="inlineStr">
        <is>
          <t>SÄFFLE</t>
        </is>
      </c>
      <c r="I8259" t="n">
        <v>1.4</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36840-2025</t>
        </is>
      </c>
      <c r="B8260" t="inlineStr">
        <is>
          <t>avverkningsanmälan</t>
        </is>
      </c>
      <c r="C8260" t="inlineStr">
        <is>
          <t>Föryngringsavverkning</t>
        </is>
      </c>
      <c r="D8260" s="1" t="n">
        <v>45874</v>
      </c>
      <c r="E8260" s="1" t="n">
        <v>46307</v>
      </c>
      <c r="F8260" t="inlineStr">
        <is>
          <t>VÄRMLANDS LÄN</t>
        </is>
      </c>
      <c r="G8260" t="inlineStr">
        <is>
          <t>SÄFFLE</t>
        </is>
      </c>
      <c r="I8260" t="n">
        <v>5.8</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34572-2025</t>
        </is>
      </c>
      <c r="B8261" t="inlineStr">
        <is>
          <t>avverkningsanmälan</t>
        </is>
      </c>
      <c r="C8261" t="inlineStr">
        <is>
          <t>Föryngringsavverkning</t>
        </is>
      </c>
      <c r="D8261" s="1" t="n">
        <v>45847</v>
      </c>
      <c r="E8261" s="1" t="n">
        <v>46307</v>
      </c>
      <c r="F8261" t="inlineStr">
        <is>
          <t>VÄRMLANDS LÄN</t>
        </is>
      </c>
      <c r="G8261" t="inlineStr">
        <is>
          <t>HAGFORS</t>
        </is>
      </c>
      <c r="I8261" t="n">
        <v>3.3</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36477-2025</t>
        </is>
      </c>
      <c r="B8262" t="inlineStr">
        <is>
          <t>avverkningsanmälan</t>
        </is>
      </c>
      <c r="C8262" t="inlineStr">
        <is>
          <t>Föryngringsavverkning</t>
        </is>
      </c>
      <c r="D8262" s="1" t="n">
        <v>45869</v>
      </c>
      <c r="E8262" s="1" t="n">
        <v>46307</v>
      </c>
      <c r="F8262" t="inlineStr">
        <is>
          <t>VÄRMLANDS LÄN</t>
        </is>
      </c>
      <c r="G8262" t="inlineStr">
        <is>
          <t>TORSBY</t>
        </is>
      </c>
      <c r="I8262" t="n">
        <v>7.5</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1365-2026</t>
        </is>
      </c>
      <c r="B8263" t="inlineStr">
        <is>
          <t>avverkningsanmälan</t>
        </is>
      </c>
      <c r="C8263" t="inlineStr">
        <is>
          <t>Föryngringsavverkning</t>
        </is>
      </c>
      <c r="D8263" s="1" t="n">
        <v>46031</v>
      </c>
      <c r="E8263" s="1" t="n">
        <v>46307</v>
      </c>
      <c r="F8263" t="inlineStr">
        <is>
          <t>VÄRMLANDS LÄN</t>
        </is>
      </c>
      <c r="G8263" t="inlineStr">
        <is>
          <t>ARVIKA</t>
        </is>
      </c>
      <c r="I8263" t="n">
        <v>0.7</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22662-2022</t>
        </is>
      </c>
      <c r="B8264" t="inlineStr">
        <is>
          <t>avverkningsanmälan</t>
        </is>
      </c>
      <c r="C8264" t="inlineStr">
        <is>
          <t>Föryngringsavverkning</t>
        </is>
      </c>
      <c r="D8264" s="1" t="n">
        <v>44714</v>
      </c>
      <c r="E8264" s="1" t="n">
        <v>46307</v>
      </c>
      <c r="F8264" t="inlineStr">
        <is>
          <t>VÄRMLANDS LÄN</t>
        </is>
      </c>
      <c r="G8264" t="inlineStr">
        <is>
          <t>TORSBY</t>
        </is>
      </c>
      <c r="I8264" t="n">
        <v>4.8</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51661-2024</t>
        </is>
      </c>
      <c r="B8265" t="inlineStr">
        <is>
          <t>avverkningsanmälan</t>
        </is>
      </c>
      <c r="C8265" t="inlineStr">
        <is>
          <t>Föryngringsavverkning</t>
        </is>
      </c>
      <c r="D8265" s="1" t="n">
        <v>45606</v>
      </c>
      <c r="E8265" s="1" t="n">
        <v>46307</v>
      </c>
      <c r="F8265" t="inlineStr">
        <is>
          <t>VÄRMLANDS LÄN</t>
        </is>
      </c>
      <c r="G8265" t="inlineStr">
        <is>
          <t>TORSBY</t>
        </is>
      </c>
      <c r="I8265" t="n">
        <v>6.9</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51663-2024</t>
        </is>
      </c>
      <c r="B8266" t="inlineStr">
        <is>
          <t>avverkningsanmälan</t>
        </is>
      </c>
      <c r="C8266" t="inlineStr">
        <is>
          <t>Föryngringsavverkning</t>
        </is>
      </c>
      <c r="D8266" s="1" t="n">
        <v>45606</v>
      </c>
      <c r="E8266" s="1" t="n">
        <v>46307</v>
      </c>
      <c r="F8266" t="inlineStr">
        <is>
          <t>VÄRMLANDS LÄN</t>
        </is>
      </c>
      <c r="G8266" t="inlineStr">
        <is>
          <t>TORSBY</t>
        </is>
      </c>
      <c r="I8266" t="n">
        <v>1.8</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33778-2025</t>
        </is>
      </c>
      <c r="B8267" t="inlineStr">
        <is>
          <t>avverkningsanmälan</t>
        </is>
      </c>
      <c r="C8267" t="inlineStr">
        <is>
          <t>Föryngringsavverkning</t>
        </is>
      </c>
      <c r="D8267" s="1" t="n">
        <v>45842</v>
      </c>
      <c r="E8267" s="1" t="n">
        <v>46307</v>
      </c>
      <c r="F8267" t="inlineStr">
        <is>
          <t>VÄRMLANDS LÄN</t>
        </is>
      </c>
      <c r="G8267" t="inlineStr">
        <is>
          <t>SUNNE</t>
        </is>
      </c>
      <c r="I8267" t="n">
        <v>12.7</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614-2026</t>
        </is>
      </c>
      <c r="B8268" t="inlineStr">
        <is>
          <t>avverkningsanmälan</t>
        </is>
      </c>
      <c r="C8268" t="inlineStr">
        <is>
          <t>Föryngringsavverkning</t>
        </is>
      </c>
      <c r="D8268" s="1" t="n">
        <v>46024</v>
      </c>
      <c r="E8268" s="1" t="n">
        <v>46307</v>
      </c>
      <c r="F8268" t="inlineStr">
        <is>
          <t>VÄRMLANDS LÄN</t>
        </is>
      </c>
      <c r="G8268" t="inlineStr">
        <is>
          <t>GRUMS</t>
        </is>
      </c>
      <c r="I8268" t="n">
        <v>5.3</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59814-2025</t>
        </is>
      </c>
      <c r="B8269" t="inlineStr">
        <is>
          <t>avverkningsanmälan</t>
        </is>
      </c>
      <c r="C8269" t="inlineStr">
        <is>
          <t>Föryngringsavverkning</t>
        </is>
      </c>
      <c r="D8269" s="1" t="n">
        <v>45992</v>
      </c>
      <c r="E8269" s="1" t="n">
        <v>46307</v>
      </c>
      <c r="F8269" t="inlineStr">
        <is>
          <t>VÄRMLANDS LÄN</t>
        </is>
      </c>
      <c r="G8269" t="inlineStr">
        <is>
          <t>SUNNE</t>
        </is>
      </c>
      <c r="I8269" t="n">
        <v>1.1</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54041-2025</t>
        </is>
      </c>
      <c r="B8270" t="inlineStr">
        <is>
          <t>avverkningsanmälan</t>
        </is>
      </c>
      <c r="C8270" t="inlineStr">
        <is>
          <t>Föryngringsavverkning</t>
        </is>
      </c>
      <c r="D8270" s="1" t="n">
        <v>45963</v>
      </c>
      <c r="E8270" s="1" t="n">
        <v>46307</v>
      </c>
      <c r="F8270" t="inlineStr">
        <is>
          <t>VÄRMLANDS LÄN</t>
        </is>
      </c>
      <c r="G8270" t="inlineStr">
        <is>
          <t>ARVIKA</t>
        </is>
      </c>
      <c r="I8270" t="n">
        <v>1.6</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54080-2025</t>
        </is>
      </c>
      <c r="B8271" t="inlineStr">
        <is>
          <t>avverkningsanmälan</t>
        </is>
      </c>
      <c r="C8271" t="inlineStr">
        <is>
          <t>Föryngringsavverkning</t>
        </is>
      </c>
      <c r="D8271" s="1" t="n">
        <v>45964</v>
      </c>
      <c r="E8271" s="1" t="n">
        <v>46307</v>
      </c>
      <c r="F8271" t="inlineStr">
        <is>
          <t>VÄRMLANDS LÄN</t>
        </is>
      </c>
      <c r="G8271" t="inlineStr">
        <is>
          <t>FILIPSTAD</t>
        </is>
      </c>
      <c r="I8271" t="n">
        <v>2.3</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54155-2025</t>
        </is>
      </c>
      <c r="B8272" t="inlineStr">
        <is>
          <t>avverkningsanmälan</t>
        </is>
      </c>
      <c r="C8272" t="inlineStr">
        <is>
          <t>Föryngringsavverkning</t>
        </is>
      </c>
      <c r="D8272" s="1" t="n">
        <v>45964</v>
      </c>
      <c r="E8272" s="1" t="n">
        <v>46307</v>
      </c>
      <c r="F8272" t="inlineStr">
        <is>
          <t>VÄRMLANDS LÄN</t>
        </is>
      </c>
      <c r="G8272" t="inlineStr">
        <is>
          <t>ÅRJÄNG</t>
        </is>
      </c>
      <c r="I8272" t="n">
        <v>7.2</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37627-2025</t>
        </is>
      </c>
      <c r="B8273" t="inlineStr">
        <is>
          <t>avverkningsanmälan</t>
        </is>
      </c>
      <c r="C8273" t="inlineStr">
        <is>
          <t>Föryngringsavverkning</t>
        </is>
      </c>
      <c r="D8273" s="1" t="n">
        <v>45880</v>
      </c>
      <c r="E8273" s="1" t="n">
        <v>46307</v>
      </c>
      <c r="F8273" t="inlineStr">
        <is>
          <t>VÄRMLANDS LÄN</t>
        </is>
      </c>
      <c r="G8273" t="inlineStr">
        <is>
          <t>KARLSTAD</t>
        </is>
      </c>
      <c r="I8273" t="n">
        <v>0.7</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33379-2025</t>
        </is>
      </c>
      <c r="B8274" t="inlineStr">
        <is>
          <t>avverkningsanmälan</t>
        </is>
      </c>
      <c r="C8274" t="inlineStr">
        <is>
          <t>Föryngringsavverkning</t>
        </is>
      </c>
      <c r="D8274" s="1" t="n">
        <v>45841</v>
      </c>
      <c r="E8274" s="1" t="n">
        <v>46307</v>
      </c>
      <c r="F8274" t="inlineStr">
        <is>
          <t>VÄRMLANDS LÄN</t>
        </is>
      </c>
      <c r="G8274" t="inlineStr">
        <is>
          <t>FILIPSTAD</t>
        </is>
      </c>
      <c r="H8274" t="inlineStr">
        <is>
          <t>Bergvik skog väst AB</t>
        </is>
      </c>
      <c r="I8274" t="n">
        <v>1.7</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43862-2025</t>
        </is>
      </c>
      <c r="B8275" t="inlineStr">
        <is>
          <t>avverkningsanmälan</t>
        </is>
      </c>
      <c r="C8275" t="inlineStr">
        <is>
          <t>Föryngringsavverkning</t>
        </is>
      </c>
      <c r="D8275" s="1" t="n">
        <v>45912</v>
      </c>
      <c r="E8275" s="1" t="n">
        <v>46307</v>
      </c>
      <c r="F8275" t="inlineStr">
        <is>
          <t>VÄRMLANDS LÄN</t>
        </is>
      </c>
      <c r="G8275" t="inlineStr">
        <is>
          <t>SÄFFLE</t>
        </is>
      </c>
      <c r="I8275" t="n">
        <v>2</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11569-2025</t>
        </is>
      </c>
      <c r="B8276" t="inlineStr">
        <is>
          <t>avverkningsanmälan</t>
        </is>
      </c>
      <c r="C8276" t="inlineStr">
        <is>
          <t>Föryngringsavverkning</t>
        </is>
      </c>
      <c r="D8276" s="1" t="n">
        <v>45727</v>
      </c>
      <c r="E8276" s="1" t="n">
        <v>46307</v>
      </c>
      <c r="F8276" t="inlineStr">
        <is>
          <t>VÄRMLANDS LÄN</t>
        </is>
      </c>
      <c r="G8276" t="inlineStr">
        <is>
          <t>TORSBY</t>
        </is>
      </c>
      <c r="I8276" t="n">
        <v>0.7</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8664-2026</t>
        </is>
      </c>
      <c r="B8277" t="inlineStr">
        <is>
          <t>avverkningsanmälan</t>
        </is>
      </c>
      <c r="C8277" t="inlineStr">
        <is>
          <t>Föryngringsavverkning</t>
        </is>
      </c>
      <c r="D8277" s="1" t="n">
        <v>46066</v>
      </c>
      <c r="E8277" s="1" t="n">
        <v>46307</v>
      </c>
      <c r="F8277" t="inlineStr">
        <is>
          <t>VÄRMLANDS LÄN</t>
        </is>
      </c>
      <c r="G8277" t="inlineStr">
        <is>
          <t>KARLSTAD</t>
        </is>
      </c>
      <c r="I8277" t="n">
        <v>1.5</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2279-2026</t>
        </is>
      </c>
      <c r="B8278" t="inlineStr">
        <is>
          <t>avverkningsanmälan</t>
        </is>
      </c>
      <c r="C8278" t="inlineStr">
        <is>
          <t>Föryngringsavverkning</t>
        </is>
      </c>
      <c r="D8278" s="1" t="n">
        <v>46036</v>
      </c>
      <c r="E8278" s="1" t="n">
        <v>46307</v>
      </c>
      <c r="F8278" t="inlineStr">
        <is>
          <t>VÄRMLANDS LÄN</t>
        </is>
      </c>
      <c r="G8278" t="inlineStr">
        <is>
          <t>TORSBY</t>
        </is>
      </c>
      <c r="I8278" t="n">
        <v>9.1</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63868-2025</t>
        </is>
      </c>
      <c r="B8279" t="inlineStr">
        <is>
          <t>avverkningsanmälan</t>
        </is>
      </c>
      <c r="C8279" t="inlineStr">
        <is>
          <t>Föryngringsavverkning</t>
        </is>
      </c>
      <c r="D8279" s="1" t="n">
        <v>46020</v>
      </c>
      <c r="E8279" s="1" t="n">
        <v>46307</v>
      </c>
      <c r="F8279" t="inlineStr">
        <is>
          <t>VÄRMLANDS LÄN</t>
        </is>
      </c>
      <c r="G8279" t="inlineStr">
        <is>
          <t>HAGFORS</t>
        </is>
      </c>
      <c r="I8279" t="n">
        <v>2.3</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1936-2026</t>
        </is>
      </c>
      <c r="B8280" t="inlineStr">
        <is>
          <t>avverkningsanmälan</t>
        </is>
      </c>
      <c r="C8280" t="inlineStr">
        <is>
          <t>Föryngringsavverkning</t>
        </is>
      </c>
      <c r="D8280" s="1" t="n">
        <v>46035</v>
      </c>
      <c r="E8280" s="1" t="n">
        <v>46307</v>
      </c>
      <c r="F8280" t="inlineStr">
        <is>
          <t>VÄRMLANDS LÄN</t>
        </is>
      </c>
      <c r="G8280" t="inlineStr">
        <is>
          <t>ÅRJÄNG</t>
        </is>
      </c>
      <c r="I8280" t="n">
        <v>1.4</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53964-2024</t>
        </is>
      </c>
      <c r="B8281" t="inlineStr">
        <is>
          <t>avverkningsanmälan</t>
        </is>
      </c>
      <c r="C8281" t="inlineStr">
        <is>
          <t>Föryngringsavverkning</t>
        </is>
      </c>
      <c r="D8281" s="1" t="n">
        <v>45616</v>
      </c>
      <c r="E8281" s="1" t="n">
        <v>46307</v>
      </c>
      <c r="F8281" t="inlineStr">
        <is>
          <t>VÄRMLANDS LÄN</t>
        </is>
      </c>
      <c r="G8281" t="inlineStr">
        <is>
          <t>ARVIKA</t>
        </is>
      </c>
      <c r="I8281" t="n">
        <v>2.7</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32845-2024</t>
        </is>
      </c>
      <c r="B8282" t="inlineStr">
        <is>
          <t>avverkningsanmälan</t>
        </is>
      </c>
      <c r="C8282" t="inlineStr">
        <is>
          <t>Föryngringsavverkning</t>
        </is>
      </c>
      <c r="D8282" s="1" t="n">
        <v>45516</v>
      </c>
      <c r="E8282" s="1" t="n">
        <v>46307</v>
      </c>
      <c r="F8282" t="inlineStr">
        <is>
          <t>VÄRMLANDS LÄN</t>
        </is>
      </c>
      <c r="G8282" t="inlineStr">
        <is>
          <t>TORSBY</t>
        </is>
      </c>
      <c r="H8282" t="inlineStr">
        <is>
          <t>Bergvik skog väst AB</t>
        </is>
      </c>
      <c r="I8282" t="n">
        <v>2.8</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9766-2025</t>
        </is>
      </c>
      <c r="B8283" t="inlineStr">
        <is>
          <t>avverkningsanmälan</t>
        </is>
      </c>
      <c r="C8283" t="inlineStr">
        <is>
          <t>Föryngringsavverkning</t>
        </is>
      </c>
      <c r="D8283" s="1" t="n">
        <v>45716</v>
      </c>
      <c r="E8283" s="1" t="n">
        <v>46307</v>
      </c>
      <c r="F8283" t="inlineStr">
        <is>
          <t>VÄRMLANDS LÄN</t>
        </is>
      </c>
      <c r="G8283" t="inlineStr">
        <is>
          <t>MUNKFORS</t>
        </is>
      </c>
      <c r="I8283" t="n">
        <v>4.1</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2971-2025</t>
        </is>
      </c>
      <c r="B8284" t="inlineStr">
        <is>
          <t>avverkningsanmälan</t>
        </is>
      </c>
      <c r="C8284" t="inlineStr">
        <is>
          <t>Föryngringsavverkning</t>
        </is>
      </c>
      <c r="D8284" s="1" t="n">
        <v>45678</v>
      </c>
      <c r="E8284" s="1" t="n">
        <v>46307</v>
      </c>
      <c r="F8284" t="inlineStr">
        <is>
          <t>VÄRMLANDS LÄN</t>
        </is>
      </c>
      <c r="G8284" t="inlineStr">
        <is>
          <t>HAGFORS</t>
        </is>
      </c>
      <c r="I8284" t="n">
        <v>0.7</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2351-2026</t>
        </is>
      </c>
      <c r="B8285" t="inlineStr">
        <is>
          <t>avverkningsanmälan</t>
        </is>
      </c>
      <c r="C8285" t="inlineStr">
        <is>
          <t>Föryngringsavverkning</t>
        </is>
      </c>
      <c r="D8285" s="1" t="n">
        <v>46036</v>
      </c>
      <c r="E8285" s="1" t="n">
        <v>46307</v>
      </c>
      <c r="F8285" t="inlineStr">
        <is>
          <t>VÄRMLANDS LÄN</t>
        </is>
      </c>
      <c r="G8285" t="inlineStr">
        <is>
          <t>TORSBY</t>
        </is>
      </c>
      <c r="H8285" t="inlineStr">
        <is>
          <t>Bergvik skog väst AB</t>
        </is>
      </c>
      <c r="I8285" t="n">
        <v>13.2</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14292-2023</t>
        </is>
      </c>
      <c r="B8286" t="inlineStr">
        <is>
          <t>avverkningsanmälan</t>
        </is>
      </c>
      <c r="C8286" t="inlineStr">
        <is>
          <t>Föryngringsavverkning</t>
        </is>
      </c>
      <c r="D8286" s="1" t="n">
        <v>45011</v>
      </c>
      <c r="E8286" s="1" t="n">
        <v>46307</v>
      </c>
      <c r="F8286" t="inlineStr">
        <is>
          <t>VÄRMLANDS LÄN</t>
        </is>
      </c>
      <c r="G8286" t="inlineStr">
        <is>
          <t>TORSBY</t>
        </is>
      </c>
      <c r="I8286" t="n">
        <v>1.6</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14293-2023</t>
        </is>
      </c>
      <c r="B8287" t="inlineStr">
        <is>
          <t>avverkningsanmälan</t>
        </is>
      </c>
      <c r="C8287" t="inlineStr">
        <is>
          <t>Föryngringsavverkning</t>
        </is>
      </c>
      <c r="D8287" s="1" t="n">
        <v>45011</v>
      </c>
      <c r="E8287" s="1" t="n">
        <v>46307</v>
      </c>
      <c r="F8287" t="inlineStr">
        <is>
          <t>VÄRMLANDS LÄN</t>
        </is>
      </c>
      <c r="G8287" t="inlineStr">
        <is>
          <t>TORSBY</t>
        </is>
      </c>
      <c r="I8287" t="n">
        <v>2.4</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27939-2023</t>
        </is>
      </c>
      <c r="B8288" t="inlineStr">
        <is>
          <t>avverkningsanmälan</t>
        </is>
      </c>
      <c r="C8288" t="inlineStr">
        <is>
          <t>Föryngringsavverkning</t>
        </is>
      </c>
      <c r="D8288" s="1" t="n">
        <v>45098</v>
      </c>
      <c r="E8288" s="1" t="n">
        <v>46307</v>
      </c>
      <c r="F8288" t="inlineStr">
        <is>
          <t>VÄRMLANDS LÄN</t>
        </is>
      </c>
      <c r="G8288" t="inlineStr">
        <is>
          <t>KRISTINEHAMN</t>
        </is>
      </c>
      <c r="I8288" t="n">
        <v>1.8</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2077-2026</t>
        </is>
      </c>
      <c r="B8289" t="inlineStr">
        <is>
          <t>avverkningsanmälan</t>
        </is>
      </c>
      <c r="C8289" t="inlineStr">
        <is>
          <t>Föryngringsavverkning</t>
        </is>
      </c>
      <c r="D8289" s="1" t="n">
        <v>46036</v>
      </c>
      <c r="E8289" s="1" t="n">
        <v>46307</v>
      </c>
      <c r="F8289" t="inlineStr">
        <is>
          <t>VÄRMLANDS LÄN</t>
        </is>
      </c>
      <c r="G8289" t="inlineStr">
        <is>
          <t>KRISTINEHAMN</t>
        </is>
      </c>
      <c r="I8289" t="n">
        <v>5.2</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27961-2023</t>
        </is>
      </c>
      <c r="B8290" t="inlineStr">
        <is>
          <t>avverkningsanmälan</t>
        </is>
      </c>
      <c r="C8290" t="inlineStr">
        <is>
          <t>Föryngringsavverkning</t>
        </is>
      </c>
      <c r="D8290" s="1" t="n">
        <v>45098</v>
      </c>
      <c r="E8290" s="1" t="n">
        <v>46307</v>
      </c>
      <c r="F8290" t="inlineStr">
        <is>
          <t>VÄRMLANDS LÄN</t>
        </is>
      </c>
      <c r="G8290" t="inlineStr">
        <is>
          <t>KRISTINEHAMN</t>
        </is>
      </c>
      <c r="I8290" t="n">
        <v>0.9</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27991-2023</t>
        </is>
      </c>
      <c r="B8291" t="inlineStr">
        <is>
          <t>avverkningsanmälan</t>
        </is>
      </c>
      <c r="C8291" t="inlineStr">
        <is>
          <t>Föryngringsavverkning</t>
        </is>
      </c>
      <c r="D8291" s="1" t="n">
        <v>45098</v>
      </c>
      <c r="E8291" s="1" t="n">
        <v>46307</v>
      </c>
      <c r="F8291" t="inlineStr">
        <is>
          <t>VÄRMLANDS LÄN</t>
        </is>
      </c>
      <c r="G8291" t="inlineStr">
        <is>
          <t>SUNNE</t>
        </is>
      </c>
      <c r="I8291" t="n">
        <v>13.9</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28026-2023</t>
        </is>
      </c>
      <c r="B8292" t="inlineStr">
        <is>
          <t>avverkningsanmälan</t>
        </is>
      </c>
      <c r="C8292" t="inlineStr">
        <is>
          <t>Föryngringsavverkning</t>
        </is>
      </c>
      <c r="D8292" s="1" t="n">
        <v>45098</v>
      </c>
      <c r="E8292" s="1" t="n">
        <v>46307</v>
      </c>
      <c r="F8292" t="inlineStr">
        <is>
          <t>VÄRMLANDS LÄN</t>
        </is>
      </c>
      <c r="G8292" t="inlineStr">
        <is>
          <t>SUNNE</t>
        </is>
      </c>
      <c r="I8292" t="n">
        <v>1.3</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41385-2025</t>
        </is>
      </c>
      <c r="B8293" t="inlineStr">
        <is>
          <t>avverkningsanmälan</t>
        </is>
      </c>
      <c r="C8293" t="inlineStr">
        <is>
          <t>Föryngringsavverkning</t>
        </is>
      </c>
      <c r="D8293" s="1" t="n">
        <v>45898</v>
      </c>
      <c r="E8293" s="1" t="n">
        <v>46307</v>
      </c>
      <c r="F8293" t="inlineStr">
        <is>
          <t>VÄRMLANDS LÄN</t>
        </is>
      </c>
      <c r="G8293" t="inlineStr">
        <is>
          <t>SUNNE</t>
        </is>
      </c>
      <c r="I8293" t="n">
        <v>1.6</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56481-2023</t>
        </is>
      </c>
      <c r="B8294" t="inlineStr">
        <is>
          <t>avverkningsanmälan</t>
        </is>
      </c>
      <c r="C8294" t="inlineStr">
        <is>
          <t>Föryngringsavverkning</t>
        </is>
      </c>
      <c r="D8294" s="1" t="n">
        <v>45243</v>
      </c>
      <c r="E8294" s="1" t="n">
        <v>46307</v>
      </c>
      <c r="F8294" t="inlineStr">
        <is>
          <t>VÄRMLANDS LÄN</t>
        </is>
      </c>
      <c r="G8294" t="inlineStr">
        <is>
          <t>EDA</t>
        </is>
      </c>
      <c r="I8294" t="n">
        <v>9.9</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29492-2024</t>
        </is>
      </c>
      <c r="B8295" t="inlineStr">
        <is>
          <t>avverkningsanmälan</t>
        </is>
      </c>
      <c r="C8295" t="inlineStr">
        <is>
          <t>Föryngringsavverkning</t>
        </is>
      </c>
      <c r="D8295" s="1" t="n">
        <v>45484</v>
      </c>
      <c r="E8295" s="1" t="n">
        <v>46307</v>
      </c>
      <c r="F8295" t="inlineStr">
        <is>
          <t>VÄRMLANDS LÄN</t>
        </is>
      </c>
      <c r="G8295" t="inlineStr">
        <is>
          <t>HAGFORS</t>
        </is>
      </c>
      <c r="I8295" t="n">
        <v>5.4</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48622-2022</t>
        </is>
      </c>
      <c r="B8296" t="inlineStr">
        <is>
          <t>avverkningsanmälan</t>
        </is>
      </c>
      <c r="C8296" t="inlineStr">
        <is>
          <t>Avverkning för att bevara och utveckla /försöksver</t>
        </is>
      </c>
      <c r="D8296" s="1" t="n">
        <v>44859</v>
      </c>
      <c r="E8296" s="1" t="n">
        <v>46307</v>
      </c>
      <c r="F8296" t="inlineStr">
        <is>
          <t>VÄRMLANDS LÄN</t>
        </is>
      </c>
      <c r="G8296" t="inlineStr">
        <is>
          <t>ÅRJÄNG</t>
        </is>
      </c>
      <c r="I8296" t="n">
        <v>2.6</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56280-2023</t>
        </is>
      </c>
      <c r="B8297" t="inlineStr">
        <is>
          <t>avverkningsanmälan</t>
        </is>
      </c>
      <c r="C8297" t="inlineStr">
        <is>
          <t>Föryngringsavverkning</t>
        </is>
      </c>
      <c r="D8297" s="1" t="n">
        <v>45241</v>
      </c>
      <c r="E8297" s="1" t="n">
        <v>46307</v>
      </c>
      <c r="F8297" t="inlineStr">
        <is>
          <t>VÄRMLANDS LÄN</t>
        </is>
      </c>
      <c r="G8297" t="inlineStr">
        <is>
          <t>FORSHAGA</t>
        </is>
      </c>
      <c r="I8297" t="n">
        <v>2.9</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20318-2026</t>
        </is>
      </c>
      <c r="B8298" t="inlineStr">
        <is>
          <t>avverkningsanmälan</t>
        </is>
      </c>
      <c r="C8298" t="inlineStr">
        <is>
          <t>Föryngringsavverkning</t>
        </is>
      </c>
      <c r="D8298" s="1" t="n">
        <v>46139</v>
      </c>
      <c r="E8298" s="1" t="n">
        <v>46307</v>
      </c>
      <c r="F8298" t="inlineStr">
        <is>
          <t>VÄRMLANDS LÄN</t>
        </is>
      </c>
      <c r="G8298" t="inlineStr">
        <is>
          <t>SÄFFLE</t>
        </is>
      </c>
      <c r="I8298" t="n">
        <v>4.4</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5736-2025</t>
        </is>
      </c>
      <c r="B8299" t="inlineStr">
        <is>
          <t>avverkningsanmälan</t>
        </is>
      </c>
      <c r="C8299" t="inlineStr">
        <is>
          <t>Föryngringsavverkning</t>
        </is>
      </c>
      <c r="D8299" s="1" t="n">
        <v>45694</v>
      </c>
      <c r="E8299" s="1" t="n">
        <v>46307</v>
      </c>
      <c r="F8299" t="inlineStr">
        <is>
          <t>VÄRMLANDS LÄN</t>
        </is>
      </c>
      <c r="G8299" t="inlineStr">
        <is>
          <t>EDA</t>
        </is>
      </c>
      <c r="I8299" t="n">
        <v>0.5</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6927-2025</t>
        </is>
      </c>
      <c r="B8300" t="inlineStr">
        <is>
          <t>avverkningsanmälan</t>
        </is>
      </c>
      <c r="C8300" t="inlineStr">
        <is>
          <t>Föryngringsavverkning</t>
        </is>
      </c>
      <c r="D8300" s="1" t="n">
        <v>45701</v>
      </c>
      <c r="E8300" s="1" t="n">
        <v>46307</v>
      </c>
      <c r="F8300" t="inlineStr">
        <is>
          <t>VÄRMLANDS LÄN</t>
        </is>
      </c>
      <c r="G8300" t="inlineStr">
        <is>
          <t>KRISTINEHAMN</t>
        </is>
      </c>
      <c r="H8300" t="inlineStr">
        <is>
          <t>Naturvårdsverket</t>
        </is>
      </c>
      <c r="I8300" t="n">
        <v>1.7</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3667-2023</t>
        </is>
      </c>
      <c r="B8301" t="inlineStr">
        <is>
          <t>avverkningsanmälan</t>
        </is>
      </c>
      <c r="C8301" t="inlineStr">
        <is>
          <t>Föryngringsavverkning</t>
        </is>
      </c>
      <c r="D8301" s="1" t="n">
        <v>44950</v>
      </c>
      <c r="E8301" s="1" t="n">
        <v>46307</v>
      </c>
      <c r="F8301" t="inlineStr">
        <is>
          <t>VÄRMLANDS LÄN</t>
        </is>
      </c>
      <c r="G8301" t="inlineStr">
        <is>
          <t>TORSBY</t>
        </is>
      </c>
      <c r="I8301" t="n">
        <v>21.2</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58611-2025</t>
        </is>
      </c>
      <c r="B8302" t="inlineStr">
        <is>
          <t>avverkningsanmälan</t>
        </is>
      </c>
      <c r="C8302" t="inlineStr">
        <is>
          <t>Avverkning för annat ändamål</t>
        </is>
      </c>
      <c r="D8302" s="1" t="n">
        <v>45986</v>
      </c>
      <c r="E8302" s="1" t="n">
        <v>46307</v>
      </c>
      <c r="F8302" t="inlineStr">
        <is>
          <t>VÄRMLANDS LÄN</t>
        </is>
      </c>
      <c r="G8302" t="inlineStr">
        <is>
          <t>FILIPSTAD</t>
        </is>
      </c>
      <c r="I8302" t="n">
        <v>3.7</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26859-2024</t>
        </is>
      </c>
      <c r="B8303" t="inlineStr">
        <is>
          <t>avverkningsanmälan</t>
        </is>
      </c>
      <c r="C8303" t="inlineStr">
        <is>
          <t>Föryngringsavverkning</t>
        </is>
      </c>
      <c r="D8303" s="1" t="n">
        <v>45470</v>
      </c>
      <c r="E8303" s="1" t="n">
        <v>46307</v>
      </c>
      <c r="F8303" t="inlineStr">
        <is>
          <t>VÄRMLANDS LÄN</t>
        </is>
      </c>
      <c r="G8303" t="inlineStr">
        <is>
          <t>HAGFORS</t>
        </is>
      </c>
      <c r="I8303" t="n">
        <v>2.7</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26866-2024</t>
        </is>
      </c>
      <c r="B8304" t="inlineStr">
        <is>
          <t>avverkningsanmälan</t>
        </is>
      </c>
      <c r="C8304" t="inlineStr">
        <is>
          <t>Föryngringsavverkning</t>
        </is>
      </c>
      <c r="D8304" s="1" t="n">
        <v>45470</v>
      </c>
      <c r="E8304" s="1" t="n">
        <v>46307</v>
      </c>
      <c r="F8304" t="inlineStr">
        <is>
          <t>VÄRMLANDS LÄN</t>
        </is>
      </c>
      <c r="G8304" t="inlineStr">
        <is>
          <t>ÅRJÄNG</t>
        </is>
      </c>
      <c r="H8304" t="inlineStr">
        <is>
          <t>Kyrkan</t>
        </is>
      </c>
      <c r="I8304" t="n">
        <v>3.3</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26887-2024</t>
        </is>
      </c>
      <c r="B8305" t="inlineStr">
        <is>
          <t>avverkningsanmälan</t>
        </is>
      </c>
      <c r="C8305" t="inlineStr">
        <is>
          <t>Föryngringsavverkning</t>
        </is>
      </c>
      <c r="D8305" s="1" t="n">
        <v>45470</v>
      </c>
      <c r="E8305" s="1" t="n">
        <v>46307</v>
      </c>
      <c r="F8305" t="inlineStr">
        <is>
          <t>VÄRMLANDS LÄN</t>
        </is>
      </c>
      <c r="G8305" t="inlineStr">
        <is>
          <t>TORSBY</t>
        </is>
      </c>
      <c r="I8305" t="n">
        <v>2.9</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3148-2025</t>
        </is>
      </c>
      <c r="B8306" t="inlineStr">
        <is>
          <t>avverkningsanmälan</t>
        </is>
      </c>
      <c r="C8306" t="inlineStr">
        <is>
          <t>Föryngringsavverkning</t>
        </is>
      </c>
      <c r="D8306" s="1" t="n">
        <v>45678</v>
      </c>
      <c r="E8306" s="1" t="n">
        <v>46307</v>
      </c>
      <c r="F8306" t="inlineStr">
        <is>
          <t>VÄRMLANDS LÄN</t>
        </is>
      </c>
      <c r="G8306" t="inlineStr">
        <is>
          <t>SUNNE</t>
        </is>
      </c>
      <c r="I8306" t="n">
        <v>1.5</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18424-2024</t>
        </is>
      </c>
      <c r="B8307" t="inlineStr">
        <is>
          <t>avverkningsanmälan</t>
        </is>
      </c>
      <c r="C8307" t="inlineStr">
        <is>
          <t>Föryngringsavverkning</t>
        </is>
      </c>
      <c r="D8307" s="1" t="n">
        <v>45425</v>
      </c>
      <c r="E8307" s="1" t="n">
        <v>46307</v>
      </c>
      <c r="F8307" t="inlineStr">
        <is>
          <t>VÄRMLANDS LÄN</t>
        </is>
      </c>
      <c r="G8307" t="inlineStr">
        <is>
          <t>SÄFFLE</t>
        </is>
      </c>
      <c r="I8307" t="n">
        <v>2.1</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26533-2025</t>
        </is>
      </c>
      <c r="B8308" t="inlineStr">
        <is>
          <t>avverkningsanmälan</t>
        </is>
      </c>
      <c r="C8308" t="inlineStr">
        <is>
          <t>Föryngringsavverkning</t>
        </is>
      </c>
      <c r="D8308" s="1" t="n">
        <v>45807</v>
      </c>
      <c r="E8308" s="1" t="n">
        <v>46307</v>
      </c>
      <c r="F8308" t="inlineStr">
        <is>
          <t>VÄRMLANDS LÄN</t>
        </is>
      </c>
      <c r="G8308" t="inlineStr">
        <is>
          <t>TORSBY</t>
        </is>
      </c>
      <c r="I8308" t="n">
        <v>1.1</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21280-2024</t>
        </is>
      </c>
      <c r="B8309" t="inlineStr">
        <is>
          <t>avverkningsanmälan</t>
        </is>
      </c>
      <c r="C8309" t="inlineStr">
        <is>
          <t>Föryngringsavverkning</t>
        </is>
      </c>
      <c r="D8309" s="1" t="n">
        <v>45440</v>
      </c>
      <c r="E8309" s="1" t="n">
        <v>46307</v>
      </c>
      <c r="F8309" t="inlineStr">
        <is>
          <t>VÄRMLANDS LÄN</t>
        </is>
      </c>
      <c r="G8309" t="inlineStr">
        <is>
          <t>TORSBY</t>
        </is>
      </c>
      <c r="I8309" t="n">
        <v>10.1</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2008-2026</t>
        </is>
      </c>
      <c r="B8310" t="inlineStr">
        <is>
          <t>avverkningsanmälan</t>
        </is>
      </c>
      <c r="C8310" t="inlineStr">
        <is>
          <t>Föryngringsavverkning</t>
        </is>
      </c>
      <c r="D8310" s="1" t="n">
        <v>46035</v>
      </c>
      <c r="E8310" s="1" t="n">
        <v>46307</v>
      </c>
      <c r="F8310" t="inlineStr">
        <is>
          <t>VÄRMLANDS LÄN</t>
        </is>
      </c>
      <c r="G8310" t="inlineStr">
        <is>
          <t>TORSBY</t>
        </is>
      </c>
      <c r="I8310" t="n">
        <v>1</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58367-2021</t>
        </is>
      </c>
      <c r="B8311" t="inlineStr">
        <is>
          <t>avverkningsanmälan</t>
        </is>
      </c>
      <c r="C8311" t="inlineStr">
        <is>
          <t>Föryngringsavverkning</t>
        </is>
      </c>
      <c r="D8311" s="1" t="n">
        <v>44488</v>
      </c>
      <c r="E8311" s="1" t="n">
        <v>46307</v>
      </c>
      <c r="F8311" t="inlineStr">
        <is>
          <t>VÄRMLANDS LÄN</t>
        </is>
      </c>
      <c r="G8311" t="inlineStr">
        <is>
          <t>SUNNE</t>
        </is>
      </c>
      <c r="I8311" t="n">
        <v>0.5</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67818-2021</t>
        </is>
      </c>
      <c r="B8312" t="inlineStr">
        <is>
          <t>avverkningsanmälan</t>
        </is>
      </c>
      <c r="C8312" t="inlineStr">
        <is>
          <t>Föryngringsavverkning</t>
        </is>
      </c>
      <c r="D8312" s="1" t="n">
        <v>44525</v>
      </c>
      <c r="E8312" s="1" t="n">
        <v>46307</v>
      </c>
      <c r="F8312" t="inlineStr">
        <is>
          <t>VÄRMLANDS LÄN</t>
        </is>
      </c>
      <c r="G8312" t="inlineStr">
        <is>
          <t>SUNNE</t>
        </is>
      </c>
      <c r="I8312" t="n">
        <v>8.699999999999999</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1825-2026</t>
        </is>
      </c>
      <c r="B8313" t="inlineStr">
        <is>
          <t>avverkningsanmälan</t>
        </is>
      </c>
      <c r="C8313" t="inlineStr">
        <is>
          <t>Föryngringsavverkning</t>
        </is>
      </c>
      <c r="D8313" s="1" t="n">
        <v>46035</v>
      </c>
      <c r="E8313" s="1" t="n">
        <v>46307</v>
      </c>
      <c r="F8313" t="inlineStr">
        <is>
          <t>VÄRMLANDS LÄN</t>
        </is>
      </c>
      <c r="G8313" t="inlineStr">
        <is>
          <t>EDA</t>
        </is>
      </c>
      <c r="I8313" t="n">
        <v>2.1</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64095-2025</t>
        </is>
      </c>
      <c r="B8314" t="inlineStr">
        <is>
          <t>avverkningsanmälan</t>
        </is>
      </c>
      <c r="C8314" t="inlineStr">
        <is>
          <t>Föryngringsavverkning</t>
        </is>
      </c>
      <c r="D8314" s="1" t="n">
        <v>46021</v>
      </c>
      <c r="E8314" s="1" t="n">
        <v>46307</v>
      </c>
      <c r="F8314" t="inlineStr">
        <is>
          <t>VÄRMLANDS LÄN</t>
        </is>
      </c>
      <c r="G8314" t="inlineStr">
        <is>
          <t>ÅRJÄNG</t>
        </is>
      </c>
      <c r="I8314" t="n">
        <v>3.2</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66222-2021</t>
        </is>
      </c>
      <c r="B8315" t="inlineStr">
        <is>
          <t>avverkningsanmälan</t>
        </is>
      </c>
      <c r="C8315" t="inlineStr">
        <is>
          <t>Föryngringsavverkning</t>
        </is>
      </c>
      <c r="D8315" s="1" t="n">
        <v>44518</v>
      </c>
      <c r="E8315" s="1" t="n">
        <v>46307</v>
      </c>
      <c r="F8315" t="inlineStr">
        <is>
          <t>VÄRMLANDS LÄN</t>
        </is>
      </c>
      <c r="G8315" t="inlineStr">
        <is>
          <t>EDA</t>
        </is>
      </c>
      <c r="I8315" t="n">
        <v>0.6</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68526-2021</t>
        </is>
      </c>
      <c r="B8316" t="inlineStr">
        <is>
          <t>avverkningsanmälan</t>
        </is>
      </c>
      <c r="C8316" t="inlineStr">
        <is>
          <t>Föryngringsavverkning</t>
        </is>
      </c>
      <c r="D8316" s="1" t="n">
        <v>44526</v>
      </c>
      <c r="E8316" s="1" t="n">
        <v>46307</v>
      </c>
      <c r="F8316" t="inlineStr">
        <is>
          <t>VÄRMLANDS LÄN</t>
        </is>
      </c>
      <c r="G8316" t="inlineStr">
        <is>
          <t>KRISTINEHAMN</t>
        </is>
      </c>
      <c r="I8316" t="n">
        <v>1.7</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68530-2021</t>
        </is>
      </c>
      <c r="B8317" t="inlineStr">
        <is>
          <t>avverkningsanmälan</t>
        </is>
      </c>
      <c r="C8317" t="inlineStr">
        <is>
          <t>Föryngringsavverkning</t>
        </is>
      </c>
      <c r="D8317" s="1" t="n">
        <v>44526</v>
      </c>
      <c r="E8317" s="1" t="n">
        <v>46307</v>
      </c>
      <c r="F8317" t="inlineStr">
        <is>
          <t>VÄRMLANDS LÄN</t>
        </is>
      </c>
      <c r="G8317" t="inlineStr">
        <is>
          <t>KRISTINEHAMN</t>
        </is>
      </c>
      <c r="I8317" t="n">
        <v>1.9</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1842-2026</t>
        </is>
      </c>
      <c r="B8318" t="inlineStr">
        <is>
          <t>avverkningsanmälan</t>
        </is>
      </c>
      <c r="C8318" t="inlineStr">
        <is>
          <t>Föryngringsavverkning</t>
        </is>
      </c>
      <c r="D8318" s="1" t="n">
        <v>46035</v>
      </c>
      <c r="E8318" s="1" t="n">
        <v>46307</v>
      </c>
      <c r="F8318" t="inlineStr">
        <is>
          <t>VÄRMLANDS LÄN</t>
        </is>
      </c>
      <c r="G8318" t="inlineStr">
        <is>
          <t>SUNNE</t>
        </is>
      </c>
      <c r="I8318" t="n">
        <v>0.5</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53988-2022</t>
        </is>
      </c>
      <c r="B8319" t="inlineStr">
        <is>
          <t>avverkningsanmälan</t>
        </is>
      </c>
      <c r="C8319" t="inlineStr">
        <is>
          <t>Föryngringsavverkning</t>
        </is>
      </c>
      <c r="D8319" s="1" t="n">
        <v>44876</v>
      </c>
      <c r="E8319" s="1" t="n">
        <v>46307</v>
      </c>
      <c r="F8319" t="inlineStr">
        <is>
          <t>VÄRMLANDS LÄN</t>
        </is>
      </c>
      <c r="G8319" t="inlineStr">
        <is>
          <t>TORSBY</t>
        </is>
      </c>
      <c r="I8319" t="n">
        <v>6</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2994-2026</t>
        </is>
      </c>
      <c r="B8320" t="inlineStr">
        <is>
          <t>avverkningsanmälan</t>
        </is>
      </c>
      <c r="C8320" t="inlineStr">
        <is>
          <t>Föryngringsavverkning</t>
        </is>
      </c>
      <c r="D8320" s="1" t="n">
        <v>46038</v>
      </c>
      <c r="E8320" s="1" t="n">
        <v>46307</v>
      </c>
      <c r="F8320" t="inlineStr">
        <is>
          <t>VÄRMLANDS LÄN</t>
        </is>
      </c>
      <c r="G8320" t="inlineStr">
        <is>
          <t>ÅRJÄNG</t>
        </is>
      </c>
      <c r="I8320" t="n">
        <v>5.6</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58177-2025</t>
        </is>
      </c>
      <c r="B8321" t="inlineStr">
        <is>
          <t>avverkningsanmälan</t>
        </is>
      </c>
      <c r="C8321" t="inlineStr">
        <is>
          <t>Föryngringsavverkning</t>
        </is>
      </c>
      <c r="D8321" s="1" t="n">
        <v>45982</v>
      </c>
      <c r="E8321" s="1" t="n">
        <v>46307</v>
      </c>
      <c r="F8321" t="inlineStr">
        <is>
          <t>VÄRMLANDS LÄN</t>
        </is>
      </c>
      <c r="G8321" t="inlineStr">
        <is>
          <t>SUNNE</t>
        </is>
      </c>
      <c r="I8321" t="n">
        <v>1.2</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771-2026</t>
        </is>
      </c>
      <c r="B8322" t="inlineStr">
        <is>
          <t>avverkningsanmälan</t>
        </is>
      </c>
      <c r="C8322" t="inlineStr">
        <is>
          <t>Avverkning för annat ändamål</t>
        </is>
      </c>
      <c r="D8322" s="1" t="n">
        <v>46027</v>
      </c>
      <c r="E8322" s="1" t="n">
        <v>46307</v>
      </c>
      <c r="F8322" t="inlineStr">
        <is>
          <t>VÄRMLANDS LÄN</t>
        </is>
      </c>
      <c r="G8322" t="inlineStr">
        <is>
          <t>ARVIKA</t>
        </is>
      </c>
      <c r="I8322" t="n">
        <v>1</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3034-2026</t>
        </is>
      </c>
      <c r="B8323" t="inlineStr">
        <is>
          <t>avverkningsanmälan</t>
        </is>
      </c>
      <c r="C8323" t="inlineStr">
        <is>
          <t>Föryngringsavverkning</t>
        </is>
      </c>
      <c r="D8323" s="1" t="n">
        <v>46038</v>
      </c>
      <c r="E8323" s="1" t="n">
        <v>46307</v>
      </c>
      <c r="F8323" t="inlineStr">
        <is>
          <t>VÄRMLANDS LÄN</t>
        </is>
      </c>
      <c r="G8323" t="inlineStr">
        <is>
          <t>KRISTINEHAMN</t>
        </is>
      </c>
      <c r="I8323" t="n">
        <v>2.9</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2966-2026</t>
        </is>
      </c>
      <c r="B8324" t="inlineStr">
        <is>
          <t>avverkningsanmälan</t>
        </is>
      </c>
      <c r="C8324" t="inlineStr">
        <is>
          <t>Föryngringsavverkning</t>
        </is>
      </c>
      <c r="D8324" s="1" t="n">
        <v>46038</v>
      </c>
      <c r="E8324" s="1" t="n">
        <v>46307</v>
      </c>
      <c r="F8324" t="inlineStr">
        <is>
          <t>VÄRMLANDS LÄN</t>
        </is>
      </c>
      <c r="G8324" t="inlineStr">
        <is>
          <t>TORSBY</t>
        </is>
      </c>
      <c r="I8324" t="n">
        <v>5</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2960-2026</t>
        </is>
      </c>
      <c r="B8325" t="inlineStr">
        <is>
          <t>avverkningsanmälan</t>
        </is>
      </c>
      <c r="C8325" t="inlineStr">
        <is>
          <t>Föryngringsavverkning</t>
        </is>
      </c>
      <c r="D8325" s="1" t="n">
        <v>46038</v>
      </c>
      <c r="E8325" s="1" t="n">
        <v>46307</v>
      </c>
      <c r="F8325" t="inlineStr">
        <is>
          <t>VÄRMLANDS LÄN</t>
        </is>
      </c>
      <c r="G8325" t="inlineStr">
        <is>
          <t>TORSBY</t>
        </is>
      </c>
      <c r="I8325" t="n">
        <v>1.8</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2582-2026</t>
        </is>
      </c>
      <c r="B8326" t="inlineStr">
        <is>
          <t>avverkningsanmälan</t>
        </is>
      </c>
      <c r="C8326" t="inlineStr">
        <is>
          <t>Föryngringsavverkning</t>
        </is>
      </c>
      <c r="D8326" s="1" t="n">
        <v>46037</v>
      </c>
      <c r="E8326" s="1" t="n">
        <v>46307</v>
      </c>
      <c r="F8326" t="inlineStr">
        <is>
          <t>VÄRMLANDS LÄN</t>
        </is>
      </c>
      <c r="G8326" t="inlineStr">
        <is>
          <t>SÄFFLE</t>
        </is>
      </c>
      <c r="I8326" t="n">
        <v>2.4</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2889-2026</t>
        </is>
      </c>
      <c r="B8327" t="inlineStr">
        <is>
          <t>avverkningsanmälan</t>
        </is>
      </c>
      <c r="C8327" t="inlineStr">
        <is>
          <t>Föryngringsavverkning</t>
        </is>
      </c>
      <c r="D8327" s="1" t="n">
        <v>46038</v>
      </c>
      <c r="E8327" s="1" t="n">
        <v>46307</v>
      </c>
      <c r="F8327" t="inlineStr">
        <is>
          <t>VÄRMLANDS LÄN</t>
        </is>
      </c>
      <c r="G8327" t="inlineStr">
        <is>
          <t>ÅRJÄNG</t>
        </is>
      </c>
      <c r="I8327" t="n">
        <v>1.6</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2866-2026</t>
        </is>
      </c>
      <c r="B8328" t="inlineStr">
        <is>
          <t>avverkningsanmälan</t>
        </is>
      </c>
      <c r="C8328" t="inlineStr">
        <is>
          <t>Föryngringsavverkning</t>
        </is>
      </c>
      <c r="D8328" s="1" t="n">
        <v>46038</v>
      </c>
      <c r="E8328" s="1" t="n">
        <v>46307</v>
      </c>
      <c r="F8328" t="inlineStr">
        <is>
          <t>VÄRMLANDS LÄN</t>
        </is>
      </c>
      <c r="G8328" t="inlineStr">
        <is>
          <t>ÅRJÄNG</t>
        </is>
      </c>
      <c r="I8328" t="n">
        <v>1.7</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2895-2026</t>
        </is>
      </c>
      <c r="B8329" t="inlineStr">
        <is>
          <t>avverkningsanmälan</t>
        </is>
      </c>
      <c r="C8329" t="inlineStr">
        <is>
          <t>Föryngringsavverkning</t>
        </is>
      </c>
      <c r="D8329" s="1" t="n">
        <v>46038</v>
      </c>
      <c r="E8329" s="1" t="n">
        <v>46307</v>
      </c>
      <c r="F8329" t="inlineStr">
        <is>
          <t>VÄRMLANDS LÄN</t>
        </is>
      </c>
      <c r="G8329" t="inlineStr">
        <is>
          <t>ÅRJÄNG</t>
        </is>
      </c>
      <c r="I8329" t="n">
        <v>3.2</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2583-2026</t>
        </is>
      </c>
      <c r="B8330" t="inlineStr">
        <is>
          <t>avverkningsanmälan</t>
        </is>
      </c>
      <c r="C8330" t="inlineStr">
        <is>
          <t>Föryngringsavverkning</t>
        </is>
      </c>
      <c r="D8330" s="1" t="n">
        <v>46037</v>
      </c>
      <c r="E8330" s="1" t="n">
        <v>46307</v>
      </c>
      <c r="F8330" t="inlineStr">
        <is>
          <t>VÄRMLANDS LÄN</t>
        </is>
      </c>
      <c r="G8330" t="inlineStr">
        <is>
          <t>ÅRJÄNG</t>
        </is>
      </c>
      <c r="I8330" t="n">
        <v>1.6</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3030-2026</t>
        </is>
      </c>
      <c r="B8331" t="inlineStr">
        <is>
          <t>avverkningsanmälan</t>
        </is>
      </c>
      <c r="C8331" t="inlineStr">
        <is>
          <t>Föryngringsavverkning</t>
        </is>
      </c>
      <c r="D8331" s="1" t="n">
        <v>46038</v>
      </c>
      <c r="E8331" s="1" t="n">
        <v>46307</v>
      </c>
      <c r="F8331" t="inlineStr">
        <is>
          <t>VÄRMLANDS LÄN</t>
        </is>
      </c>
      <c r="G8331" t="inlineStr">
        <is>
          <t>KRISTINEHAMN</t>
        </is>
      </c>
      <c r="I8331" t="n">
        <v>3.3</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3038-2026</t>
        </is>
      </c>
      <c r="B8332" t="inlineStr">
        <is>
          <t>avverkningsanmälan</t>
        </is>
      </c>
      <c r="C8332" t="inlineStr">
        <is>
          <t>Föryngringsavverkning</t>
        </is>
      </c>
      <c r="D8332" s="1" t="n">
        <v>46038</v>
      </c>
      <c r="E8332" s="1" t="n">
        <v>46307</v>
      </c>
      <c r="F8332" t="inlineStr">
        <is>
          <t>VÄRMLANDS LÄN</t>
        </is>
      </c>
      <c r="G8332" t="inlineStr">
        <is>
          <t>KRISTINEHAMN</t>
        </is>
      </c>
      <c r="I8332" t="n">
        <v>2.9</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2856-2026</t>
        </is>
      </c>
      <c r="B8333" t="inlineStr">
        <is>
          <t>avverkningsanmälan</t>
        </is>
      </c>
      <c r="C8333" t="inlineStr">
        <is>
          <t>Föryngringsavverkning</t>
        </is>
      </c>
      <c r="D8333" s="1" t="n">
        <v>46038</v>
      </c>
      <c r="E8333" s="1" t="n">
        <v>46307</v>
      </c>
      <c r="F8333" t="inlineStr">
        <is>
          <t>VÄRMLANDS LÄN</t>
        </is>
      </c>
      <c r="G8333" t="inlineStr">
        <is>
          <t>TORSBY</t>
        </is>
      </c>
      <c r="I8333" t="n">
        <v>0.8</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2861-2026</t>
        </is>
      </c>
      <c r="B8334" t="inlineStr">
        <is>
          <t>avverkningsanmälan</t>
        </is>
      </c>
      <c r="C8334" t="inlineStr">
        <is>
          <t>Föryngringsavverkning</t>
        </is>
      </c>
      <c r="D8334" s="1" t="n">
        <v>46038</v>
      </c>
      <c r="E8334" s="1" t="n">
        <v>46307</v>
      </c>
      <c r="F8334" t="inlineStr">
        <is>
          <t>VÄRMLANDS LÄN</t>
        </is>
      </c>
      <c r="G8334" t="inlineStr">
        <is>
          <t>TORSBY</t>
        </is>
      </c>
      <c r="I8334" t="n">
        <v>5.7</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2865-2026</t>
        </is>
      </c>
      <c r="B8335" t="inlineStr">
        <is>
          <t>avverkningsanmälan</t>
        </is>
      </c>
      <c r="C8335" t="inlineStr">
        <is>
          <t>Föryngringsavverkning</t>
        </is>
      </c>
      <c r="D8335" s="1" t="n">
        <v>46038</v>
      </c>
      <c r="E8335" s="1" t="n">
        <v>46307</v>
      </c>
      <c r="F8335" t="inlineStr">
        <is>
          <t>VÄRMLANDS LÄN</t>
        </is>
      </c>
      <c r="G8335" t="inlineStr">
        <is>
          <t>TORSBY</t>
        </is>
      </c>
      <c r="I8335" t="n">
        <v>3.7</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2559-2026</t>
        </is>
      </c>
      <c r="B8336" t="inlineStr">
        <is>
          <t>avverkningsanmälan</t>
        </is>
      </c>
      <c r="C8336" t="inlineStr">
        <is>
          <t>Föryngringsavverkning</t>
        </is>
      </c>
      <c r="D8336" s="1" t="n">
        <v>46037</v>
      </c>
      <c r="E8336" s="1" t="n">
        <v>46307</v>
      </c>
      <c r="F8336" t="inlineStr">
        <is>
          <t>VÄRMLANDS LÄN</t>
        </is>
      </c>
      <c r="G8336" t="inlineStr">
        <is>
          <t>TORSBY</t>
        </is>
      </c>
      <c r="I8336" t="n">
        <v>7</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2572-2026</t>
        </is>
      </c>
      <c r="B8337" t="inlineStr">
        <is>
          <t>avverkningsanmälan</t>
        </is>
      </c>
      <c r="C8337" t="inlineStr">
        <is>
          <t>Föryngringsavverkning</t>
        </is>
      </c>
      <c r="D8337" s="1" t="n">
        <v>46037</v>
      </c>
      <c r="E8337" s="1" t="n">
        <v>46307</v>
      </c>
      <c r="F8337" t="inlineStr">
        <is>
          <t>VÄRMLANDS LÄN</t>
        </is>
      </c>
      <c r="G8337" t="inlineStr">
        <is>
          <t>ÅRJÄNG</t>
        </is>
      </c>
      <c r="I8337" t="n">
        <v>2.3</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3414-2026</t>
        </is>
      </c>
      <c r="B8338" t="inlineStr">
        <is>
          <t>avverkningsanmälan</t>
        </is>
      </c>
      <c r="C8338" t="inlineStr">
        <is>
          <t>Föryngringsavverkning</t>
        </is>
      </c>
      <c r="D8338" s="1" t="n">
        <v>46042</v>
      </c>
      <c r="E8338" s="1" t="n">
        <v>46307</v>
      </c>
      <c r="F8338" t="inlineStr">
        <is>
          <t>VÄRMLANDS LÄN</t>
        </is>
      </c>
      <c r="G8338" t="inlineStr">
        <is>
          <t>TORSBY</t>
        </is>
      </c>
      <c r="H8338" t="inlineStr">
        <is>
          <t>Bergvik skog väst AB</t>
        </is>
      </c>
      <c r="I8338" t="n">
        <v>3.7</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3054-2026</t>
        </is>
      </c>
      <c r="B8339" t="inlineStr">
        <is>
          <t>avverkningsanmälan</t>
        </is>
      </c>
      <c r="C8339" t="inlineStr">
        <is>
          <t>Föryngringsavverkning</t>
        </is>
      </c>
      <c r="D8339" s="1" t="n">
        <v>46039</v>
      </c>
      <c r="E8339" s="1" t="n">
        <v>46307</v>
      </c>
      <c r="F8339" t="inlineStr">
        <is>
          <t>VÄRMLANDS LÄN</t>
        </is>
      </c>
      <c r="G8339" t="inlineStr">
        <is>
          <t>GRUMS</t>
        </is>
      </c>
      <c r="I8339" t="n">
        <v>2.3</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969-2022</t>
        </is>
      </c>
      <c r="B8340" t="inlineStr">
        <is>
          <t>avverkningsanmälan</t>
        </is>
      </c>
      <c r="C8340" t="inlineStr">
        <is>
          <t>Föryngringsavverkning</t>
        </is>
      </c>
      <c r="D8340" s="1" t="n">
        <v>44571</v>
      </c>
      <c r="E8340" s="1" t="n">
        <v>46307</v>
      </c>
      <c r="F8340" t="inlineStr">
        <is>
          <t>VÄRMLANDS LÄN</t>
        </is>
      </c>
      <c r="G8340" t="inlineStr">
        <is>
          <t>KIL</t>
        </is>
      </c>
      <c r="I8340" t="n">
        <v>7.1</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43894-2024</t>
        </is>
      </c>
      <c r="B8341" t="inlineStr">
        <is>
          <t>avverkningsanmälan</t>
        </is>
      </c>
      <c r="C8341" t="inlineStr">
        <is>
          <t>Föryngringsavverkning</t>
        </is>
      </c>
      <c r="D8341" s="1" t="n">
        <v>45572</v>
      </c>
      <c r="E8341" s="1" t="n">
        <v>46307</v>
      </c>
      <c r="F8341" t="inlineStr">
        <is>
          <t>VÄRMLANDS LÄN</t>
        </is>
      </c>
      <c r="G8341" t="inlineStr">
        <is>
          <t>SÄFFLE</t>
        </is>
      </c>
      <c r="I8341" t="n">
        <v>2.5</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36685-2025</t>
        </is>
      </c>
      <c r="B8342" t="inlineStr">
        <is>
          <t>avverkningsanmälan</t>
        </is>
      </c>
      <c r="C8342" t="inlineStr">
        <is>
          <t>Föryngringsavverkning</t>
        </is>
      </c>
      <c r="D8342" s="1" t="n">
        <v>45873</v>
      </c>
      <c r="E8342" s="1" t="n">
        <v>46307</v>
      </c>
      <c r="F8342" t="inlineStr">
        <is>
          <t>VÄRMLANDS LÄN</t>
        </is>
      </c>
      <c r="G8342" t="inlineStr">
        <is>
          <t>EDA</t>
        </is>
      </c>
      <c r="I8342" t="n">
        <v>2.3</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62169-2024</t>
        </is>
      </c>
      <c r="B8343" t="inlineStr">
        <is>
          <t>avverkningsanmälan</t>
        </is>
      </c>
      <c r="C8343" t="inlineStr">
        <is>
          <t>Föryngringsavverkning</t>
        </is>
      </c>
      <c r="D8343" s="1" t="n">
        <v>45657</v>
      </c>
      <c r="E8343" s="1" t="n">
        <v>46307</v>
      </c>
      <c r="F8343" t="inlineStr">
        <is>
          <t>VÄRMLANDS LÄN</t>
        </is>
      </c>
      <c r="G8343" t="inlineStr">
        <is>
          <t>ARVIKA</t>
        </is>
      </c>
      <c r="I8343" t="n">
        <v>2.5</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29017-2023</t>
        </is>
      </c>
      <c r="B8344" t="inlineStr">
        <is>
          <t>avverkningsanmälan</t>
        </is>
      </c>
      <c r="C8344" t="inlineStr">
        <is>
          <t>Föryngringsavverkning</t>
        </is>
      </c>
      <c r="D8344" s="1" t="n">
        <v>45104</v>
      </c>
      <c r="E8344" s="1" t="n">
        <v>46307</v>
      </c>
      <c r="F8344" t="inlineStr">
        <is>
          <t>VÄRMLANDS LÄN</t>
        </is>
      </c>
      <c r="G8344" t="inlineStr">
        <is>
          <t>KRISTINEHAMN</t>
        </is>
      </c>
      <c r="I8344" t="n">
        <v>5.6</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33832-2025</t>
        </is>
      </c>
      <c r="B8345" t="inlineStr">
        <is>
          <t>avverkningsanmälan</t>
        </is>
      </c>
      <c r="C8345" t="inlineStr">
        <is>
          <t>Föryngringsavverkning</t>
        </is>
      </c>
      <c r="D8345" s="1" t="n">
        <v>45842</v>
      </c>
      <c r="E8345" s="1" t="n">
        <v>46307</v>
      </c>
      <c r="F8345" t="inlineStr">
        <is>
          <t>VÄRMLANDS LÄN</t>
        </is>
      </c>
      <c r="G8345" t="inlineStr">
        <is>
          <t>ÅRJÄNG</t>
        </is>
      </c>
      <c r="I8345" t="n">
        <v>2</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29173-2023</t>
        </is>
      </c>
      <c r="B8346" t="inlineStr">
        <is>
          <t>avverkningsanmälan</t>
        </is>
      </c>
      <c r="C8346" t="inlineStr">
        <is>
          <t>Föryngringsavverkning</t>
        </is>
      </c>
      <c r="D8346" s="1" t="n">
        <v>45105</v>
      </c>
      <c r="E8346" s="1" t="n">
        <v>46307</v>
      </c>
      <c r="F8346" t="inlineStr">
        <is>
          <t>VÄRMLANDS LÄN</t>
        </is>
      </c>
      <c r="G8346" t="inlineStr">
        <is>
          <t>SUNNE</t>
        </is>
      </c>
      <c r="I8346" t="n">
        <v>1.6</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40601-2025</t>
        </is>
      </c>
      <c r="B8347" t="inlineStr">
        <is>
          <t>avverkningsanmälan</t>
        </is>
      </c>
      <c r="C8347" t="inlineStr">
        <is>
          <t>Föryngringsavverkning</t>
        </is>
      </c>
      <c r="D8347" s="1" t="n">
        <v>45896</v>
      </c>
      <c r="E8347" s="1" t="n">
        <v>46307</v>
      </c>
      <c r="F8347" t="inlineStr">
        <is>
          <t>VÄRMLANDS LÄN</t>
        </is>
      </c>
      <c r="G8347" t="inlineStr">
        <is>
          <t>ÅRJÄNG</t>
        </is>
      </c>
      <c r="I8347" t="n">
        <v>2.1</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3409-2026</t>
        </is>
      </c>
      <c r="B8348" t="inlineStr">
        <is>
          <t>avverkningsanmälan</t>
        </is>
      </c>
      <c r="C8348" t="inlineStr">
        <is>
          <t>Föryngringsavverkning</t>
        </is>
      </c>
      <c r="D8348" s="1" t="n">
        <v>46042</v>
      </c>
      <c r="E8348" s="1" t="n">
        <v>46307</v>
      </c>
      <c r="F8348" t="inlineStr">
        <is>
          <t>VÄRMLANDS LÄN</t>
        </is>
      </c>
      <c r="G8348" t="inlineStr">
        <is>
          <t>TORSBY</t>
        </is>
      </c>
      <c r="I8348" t="n">
        <v>5.2</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3417-2026</t>
        </is>
      </c>
      <c r="B8349" t="inlineStr">
        <is>
          <t>avverkningsanmälan</t>
        </is>
      </c>
      <c r="C8349" t="inlineStr">
        <is>
          <t>Föryngringsavverkning</t>
        </is>
      </c>
      <c r="D8349" s="1" t="n">
        <v>46042</v>
      </c>
      <c r="E8349" s="1" t="n">
        <v>46307</v>
      </c>
      <c r="F8349" t="inlineStr">
        <is>
          <t>VÄRMLANDS LÄN</t>
        </is>
      </c>
      <c r="G8349" t="inlineStr">
        <is>
          <t>TORSBY</t>
        </is>
      </c>
      <c r="H8349" t="inlineStr">
        <is>
          <t>Bergvik skog väst AB</t>
        </is>
      </c>
      <c r="I8349" t="n">
        <v>1.2</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41779-2023</t>
        </is>
      </c>
      <c r="B8350" t="inlineStr">
        <is>
          <t>avverkningsanmälan</t>
        </is>
      </c>
      <c r="C8350" t="inlineStr">
        <is>
          <t>Föryngringsavverkning</t>
        </is>
      </c>
      <c r="D8350" s="1" t="n">
        <v>45176</v>
      </c>
      <c r="E8350" s="1" t="n">
        <v>46307</v>
      </c>
      <c r="F8350" t="inlineStr">
        <is>
          <t>VÄRMLANDS LÄN</t>
        </is>
      </c>
      <c r="G8350" t="inlineStr">
        <is>
          <t>EDA</t>
        </is>
      </c>
      <c r="I8350" t="n">
        <v>9.199999999999999</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6241-2025</t>
        </is>
      </c>
      <c r="B8351" t="inlineStr">
        <is>
          <t>avverkningsanmälan</t>
        </is>
      </c>
      <c r="C8351" t="inlineStr">
        <is>
          <t>Föryngringsavverkning</t>
        </is>
      </c>
      <c r="D8351" s="1" t="n">
        <v>45698</v>
      </c>
      <c r="E8351" s="1" t="n">
        <v>46307</v>
      </c>
      <c r="F8351" t="inlineStr">
        <is>
          <t>VÄRMLANDS LÄN</t>
        </is>
      </c>
      <c r="G8351" t="inlineStr">
        <is>
          <t>ARVIKA</t>
        </is>
      </c>
      <c r="I8351" t="n">
        <v>0.5</v>
      </c>
      <c r="J8351" t="n">
        <v>0</v>
      </c>
      <c r="K8351" t="n">
        <v>0</v>
      </c>
      <c r="L8351" t="n">
        <v>0</v>
      </c>
      <c r="M8351" t="n">
        <v>0</v>
      </c>
      <c r="N8351" t="n">
        <v>0</v>
      </c>
      <c r="O8351" t="n">
        <v>0</v>
      </c>
      <c r="P8351" t="n">
        <v>0</v>
      </c>
      <c r="Q8351" t="n">
        <v>0</v>
      </c>
      <c r="R8351" t="n">
        <v>0</v>
      </c>
      <c r="S8351" t="n">
        <v>0</v>
      </c>
      <c r="T8351" t="n">
        <v>0</v>
      </c>
      <c r="U8351" t="n">
        <v>0</v>
      </c>
      <c r="V8351" s="2" t="inlineStr"/>
      <c r="Z8351">
        <f>HYPERLINK("https://klasma.github.io/Logging_1784/knärot/A 6241-2025 karta knärot.png", "A 6241-2025")</f>
        <v/>
      </c>
      <c r="AA8351">
        <f>HYPERLINK("https://klasma.github.io/Logging_1784/klagomål/A 6241-2025 FSC-klagomål.docx", "A 6241-2025")</f>
        <v/>
      </c>
      <c r="AB8351">
        <f>HYPERLINK("https://klasma.github.io/Logging_1784/klagomålsmail/A 6241-2025 FSC-klagomål mail.docx", "A 6241-2025")</f>
        <v/>
      </c>
      <c r="AC8351">
        <f>HYPERLINK("https://klasma.github.io/Logging_1784/tillsyn/A 6241-2025 tillsynsbegäran.docx", "A 6241-2025")</f>
        <v/>
      </c>
      <c r="AD8351">
        <f>HYPERLINK("https://klasma.github.io/Logging_1784/tillsynsmail/A 6241-2025 tillsynsbegäran mail.docx", "A 6241-2025")</f>
        <v/>
      </c>
    </row>
    <row r="8352" ht="15" customHeight="1">
      <c r="A8352" t="inlineStr">
        <is>
          <t>A 9370-2023</t>
        </is>
      </c>
      <c r="B8352" t="inlineStr">
        <is>
          <t>avverkningsanmälan</t>
        </is>
      </c>
      <c r="C8352" t="inlineStr">
        <is>
          <t>Föryngringsavverkning</t>
        </is>
      </c>
      <c r="D8352" s="1" t="n">
        <v>44981</v>
      </c>
      <c r="E8352" s="1" t="n">
        <v>46307</v>
      </c>
      <c r="F8352" t="inlineStr">
        <is>
          <t>VÄRMLANDS LÄN</t>
        </is>
      </c>
      <c r="G8352" t="inlineStr">
        <is>
          <t>FILIPSTAD</t>
        </is>
      </c>
      <c r="H8352" t="inlineStr">
        <is>
          <t>Bergvik skog väst AB</t>
        </is>
      </c>
      <c r="I8352" t="n">
        <v>8.1</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46019-2023</t>
        </is>
      </c>
      <c r="B8353" t="inlineStr">
        <is>
          <t>avverkningsanmälan</t>
        </is>
      </c>
      <c r="C8353" t="inlineStr">
        <is>
          <t>Föryngringsavverkning</t>
        </is>
      </c>
      <c r="D8353" s="1" t="n">
        <v>45196</v>
      </c>
      <c r="E8353" s="1" t="n">
        <v>46307</v>
      </c>
      <c r="F8353" t="inlineStr">
        <is>
          <t>VÄRMLANDS LÄN</t>
        </is>
      </c>
      <c r="G8353" t="inlineStr">
        <is>
          <t>KARLSTAD</t>
        </is>
      </c>
      <c r="I8353" t="n">
        <v>1.4</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3580-2026</t>
        </is>
      </c>
      <c r="B8354" t="inlineStr">
        <is>
          <t>avverkningsanmälan</t>
        </is>
      </c>
      <c r="C8354" t="inlineStr">
        <is>
          <t>Föryngringsavverkning</t>
        </is>
      </c>
      <c r="D8354" s="1" t="n">
        <v>46042</v>
      </c>
      <c r="E8354" s="1" t="n">
        <v>46307</v>
      </c>
      <c r="F8354" t="inlineStr">
        <is>
          <t>VÄRMLANDS LÄN</t>
        </is>
      </c>
      <c r="G8354" t="inlineStr">
        <is>
          <t>EDA</t>
        </is>
      </c>
      <c r="I8354" t="n">
        <v>1.5</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5505-2022</t>
        </is>
      </c>
      <c r="B8355" t="inlineStr">
        <is>
          <t>avverkningsanmälan</t>
        </is>
      </c>
      <c r="C8355" t="inlineStr">
        <is>
          <t>Föryngringsavverkning</t>
        </is>
      </c>
      <c r="D8355" s="1" t="n">
        <v>44595</v>
      </c>
      <c r="E8355" s="1" t="n">
        <v>46307</v>
      </c>
      <c r="F8355" t="inlineStr">
        <is>
          <t>VÄRMLANDS LÄN</t>
        </is>
      </c>
      <c r="G8355" t="inlineStr">
        <is>
          <t>KRISTINEHAMN</t>
        </is>
      </c>
      <c r="H8355" t="inlineStr">
        <is>
          <t>Kommuner</t>
        </is>
      </c>
      <c r="I8355" t="n">
        <v>1.7</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5507-2022</t>
        </is>
      </c>
      <c r="B8356" t="inlineStr">
        <is>
          <t>avverkningsanmälan</t>
        </is>
      </c>
      <c r="C8356" t="inlineStr">
        <is>
          <t>Föryngringsavverkning</t>
        </is>
      </c>
      <c r="D8356" s="1" t="n">
        <v>44595</v>
      </c>
      <c r="E8356" s="1" t="n">
        <v>46307</v>
      </c>
      <c r="F8356" t="inlineStr">
        <is>
          <t>VÄRMLANDS LÄN</t>
        </is>
      </c>
      <c r="G8356" t="inlineStr">
        <is>
          <t>KRISTINEHAMN</t>
        </is>
      </c>
      <c r="H8356" t="inlineStr">
        <is>
          <t>Kommuner</t>
        </is>
      </c>
      <c r="I8356" t="n">
        <v>0.7</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3135-2026</t>
        </is>
      </c>
      <c r="B8357" t="inlineStr">
        <is>
          <t>avverkningsanmälan</t>
        </is>
      </c>
      <c r="C8357" t="inlineStr">
        <is>
          <t>Föryngringsavverkning</t>
        </is>
      </c>
      <c r="D8357" s="1" t="n">
        <v>46041</v>
      </c>
      <c r="E8357" s="1" t="n">
        <v>46307</v>
      </c>
      <c r="F8357" t="inlineStr">
        <is>
          <t>VÄRMLANDS LÄN</t>
        </is>
      </c>
      <c r="G8357" t="inlineStr">
        <is>
          <t>EDA</t>
        </is>
      </c>
      <c r="I8357" t="n">
        <v>3.3</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3162-2026</t>
        </is>
      </c>
      <c r="B8358" t="inlineStr">
        <is>
          <t>avverkningsanmälan</t>
        </is>
      </c>
      <c r="C8358" t="inlineStr">
        <is>
          <t>Avverkning för annat ändamål</t>
        </is>
      </c>
      <c r="D8358" s="1" t="n">
        <v>46041</v>
      </c>
      <c r="E8358" s="1" t="n">
        <v>46307</v>
      </c>
      <c r="F8358" t="inlineStr">
        <is>
          <t>VÄRMLANDS LÄN</t>
        </is>
      </c>
      <c r="G8358" t="inlineStr">
        <is>
          <t>EDA</t>
        </is>
      </c>
      <c r="I8358" t="n">
        <v>3</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15300-2025</t>
        </is>
      </c>
      <c r="B8359" t="inlineStr">
        <is>
          <t>avverkningsanmälan</t>
        </is>
      </c>
      <c r="C8359" t="inlineStr">
        <is>
          <t>Föryngringsavverkning</t>
        </is>
      </c>
      <c r="D8359" s="1" t="n">
        <v>45746</v>
      </c>
      <c r="E8359" s="1" t="n">
        <v>46307</v>
      </c>
      <c r="F8359" t="inlineStr">
        <is>
          <t>VÄRMLANDS LÄN</t>
        </is>
      </c>
      <c r="G8359" t="inlineStr">
        <is>
          <t>ÅRJÄNG</t>
        </is>
      </c>
      <c r="I8359" t="n">
        <v>1.4</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3174-2026</t>
        </is>
      </c>
      <c r="B8360" t="inlineStr">
        <is>
          <t>avverkningsanmälan</t>
        </is>
      </c>
      <c r="C8360" t="inlineStr">
        <is>
          <t>Föryngringsavverkning</t>
        </is>
      </c>
      <c r="D8360" s="1" t="n">
        <v>46041</v>
      </c>
      <c r="E8360" s="1" t="n">
        <v>46307</v>
      </c>
      <c r="F8360" t="inlineStr">
        <is>
          <t>VÄRMLANDS LÄN</t>
        </is>
      </c>
      <c r="G8360" t="inlineStr">
        <is>
          <t>KIL</t>
        </is>
      </c>
      <c r="I8360" t="n">
        <v>2.2</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56299-2025</t>
        </is>
      </c>
      <c r="B8361" t="inlineStr">
        <is>
          <t>avverkningsanmälan</t>
        </is>
      </c>
      <c r="C8361" t="inlineStr">
        <is>
          <t>Föryngringsavverkning</t>
        </is>
      </c>
      <c r="D8361" s="1" t="n">
        <v>45974</v>
      </c>
      <c r="E8361" s="1" t="n">
        <v>46307</v>
      </c>
      <c r="F8361" t="inlineStr">
        <is>
          <t>VÄRMLANDS LÄN</t>
        </is>
      </c>
      <c r="G8361" t="inlineStr">
        <is>
          <t>TORSBY</t>
        </is>
      </c>
      <c r="I8361" t="n">
        <v>7.1</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20259-2026</t>
        </is>
      </c>
      <c r="B8362" t="inlineStr">
        <is>
          <t>avverkningsanmälan</t>
        </is>
      </c>
      <c r="C8362" t="inlineStr">
        <is>
          <t>Föryngringsavverkning</t>
        </is>
      </c>
      <c r="D8362" s="1" t="n">
        <v>46139</v>
      </c>
      <c r="E8362" s="1" t="n">
        <v>46307</v>
      </c>
      <c r="F8362" t="inlineStr">
        <is>
          <t>VÄRMLANDS LÄN</t>
        </is>
      </c>
      <c r="G8362" t="inlineStr">
        <is>
          <t>KIL</t>
        </is>
      </c>
      <c r="I8362" t="n">
        <v>1</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20260-2026</t>
        </is>
      </c>
      <c r="B8363" t="inlineStr">
        <is>
          <t>avverkningsanmälan</t>
        </is>
      </c>
      <c r="C8363" t="inlineStr">
        <is>
          <t>Föryngringsavverkning</t>
        </is>
      </c>
      <c r="D8363" s="1" t="n">
        <v>46139</v>
      </c>
      <c r="E8363" s="1" t="n">
        <v>46307</v>
      </c>
      <c r="F8363" t="inlineStr">
        <is>
          <t>VÄRMLANDS LÄN</t>
        </is>
      </c>
      <c r="G8363" t="inlineStr">
        <is>
          <t>HAGFORS</t>
        </is>
      </c>
      <c r="I8363" t="n">
        <v>0.8</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59172-2025</t>
        </is>
      </c>
      <c r="B8364" t="inlineStr">
        <is>
          <t>avverkningsanmälan</t>
        </is>
      </c>
      <c r="C8364" t="inlineStr">
        <is>
          <t>Föryngringsavverkning</t>
        </is>
      </c>
      <c r="D8364" s="1" t="n">
        <v>45988</v>
      </c>
      <c r="E8364" s="1" t="n">
        <v>46307</v>
      </c>
      <c r="F8364" t="inlineStr">
        <is>
          <t>VÄRMLANDS LÄN</t>
        </is>
      </c>
      <c r="G8364" t="inlineStr">
        <is>
          <t>ARVIKA</t>
        </is>
      </c>
      <c r="I8364" t="n">
        <v>1.9</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14419-2025</t>
        </is>
      </c>
      <c r="B8365" t="inlineStr">
        <is>
          <t>avverkningsanmälan</t>
        </is>
      </c>
      <c r="C8365" t="inlineStr">
        <is>
          <t>Föryngringsavverkning</t>
        </is>
      </c>
      <c r="D8365" s="1" t="n">
        <v>45741</v>
      </c>
      <c r="E8365" s="1" t="n">
        <v>46307</v>
      </c>
      <c r="F8365" t="inlineStr">
        <is>
          <t>VÄRMLANDS LÄN</t>
        </is>
      </c>
      <c r="G8365" t="inlineStr">
        <is>
          <t>TORSBY</t>
        </is>
      </c>
      <c r="I8365" t="n">
        <v>1.6</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49245-2023</t>
        </is>
      </c>
      <c r="B8366" t="inlineStr">
        <is>
          <t>avverkningsanmälan</t>
        </is>
      </c>
      <c r="C8366" t="inlineStr">
        <is>
          <t>Föryngringsavverkning</t>
        </is>
      </c>
      <c r="D8366" s="1" t="n">
        <v>45210</v>
      </c>
      <c r="E8366" s="1" t="n">
        <v>46307</v>
      </c>
      <c r="F8366" t="inlineStr">
        <is>
          <t>VÄRMLANDS LÄN</t>
        </is>
      </c>
      <c r="G8366" t="inlineStr">
        <is>
          <t>ARVIKA</t>
        </is>
      </c>
      <c r="I8366" t="n">
        <v>0.9</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10574-2025</t>
        </is>
      </c>
      <c r="B8367" t="inlineStr">
        <is>
          <t>avverkningsanmälan</t>
        </is>
      </c>
      <c r="C8367" t="inlineStr">
        <is>
          <t>Föryngringsavverkning</t>
        </is>
      </c>
      <c r="D8367" s="1" t="n">
        <v>45721</v>
      </c>
      <c r="E8367" s="1" t="n">
        <v>46307</v>
      </c>
      <c r="F8367" t="inlineStr">
        <is>
          <t>VÄRMLANDS LÄN</t>
        </is>
      </c>
      <c r="G8367" t="inlineStr">
        <is>
          <t>ARVIKA</t>
        </is>
      </c>
      <c r="H8367" t="inlineStr">
        <is>
          <t>Bergvik skog väst AB</t>
        </is>
      </c>
      <c r="I8367" t="n">
        <v>0.6</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3209-2026</t>
        </is>
      </c>
      <c r="B8368" t="inlineStr">
        <is>
          <t>avverkningsanmälan</t>
        </is>
      </c>
      <c r="C8368" t="inlineStr">
        <is>
          <t>Föryngringsavverkning</t>
        </is>
      </c>
      <c r="D8368" s="1" t="n">
        <v>46041</v>
      </c>
      <c r="E8368" s="1" t="n">
        <v>46307</v>
      </c>
      <c r="F8368" t="inlineStr">
        <is>
          <t>VÄRMLANDS LÄN</t>
        </is>
      </c>
      <c r="G8368" t="inlineStr">
        <is>
          <t>SÄFFLE</t>
        </is>
      </c>
      <c r="I8368" t="n">
        <v>1.5</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3211-2026</t>
        </is>
      </c>
      <c r="B8369" t="inlineStr">
        <is>
          <t>avverkningsanmälan</t>
        </is>
      </c>
      <c r="C8369" t="inlineStr">
        <is>
          <t>Föryngringsavverkning</t>
        </is>
      </c>
      <c r="D8369" s="1" t="n">
        <v>46041</v>
      </c>
      <c r="E8369" s="1" t="n">
        <v>46307</v>
      </c>
      <c r="F8369" t="inlineStr">
        <is>
          <t>VÄRMLANDS LÄN</t>
        </is>
      </c>
      <c r="G8369" t="inlineStr">
        <is>
          <t>TORSBY</t>
        </is>
      </c>
      <c r="H8369" t="inlineStr">
        <is>
          <t>Bergvik skog väst AB</t>
        </is>
      </c>
      <c r="I8369" t="n">
        <v>6.9</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3424-2026</t>
        </is>
      </c>
      <c r="B8370" t="inlineStr">
        <is>
          <t>avverkningsanmälan</t>
        </is>
      </c>
      <c r="C8370" t="inlineStr">
        <is>
          <t>Föryngringsavverkning</t>
        </is>
      </c>
      <c r="D8370" s="1" t="n">
        <v>46042</v>
      </c>
      <c r="E8370" s="1" t="n">
        <v>46307</v>
      </c>
      <c r="F8370" t="inlineStr">
        <is>
          <t>VÄRMLANDS LÄN</t>
        </is>
      </c>
      <c r="G8370" t="inlineStr">
        <is>
          <t>ÅRJÄNG</t>
        </is>
      </c>
      <c r="I8370" t="n">
        <v>1.7</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6962-2025</t>
        </is>
      </c>
      <c r="B8371" t="inlineStr">
        <is>
          <t>avverkningsanmälan</t>
        </is>
      </c>
      <c r="C8371" t="inlineStr">
        <is>
          <t>Föryngringsavverkning</t>
        </is>
      </c>
      <c r="D8371" s="1" t="n">
        <v>45701</v>
      </c>
      <c r="E8371" s="1" t="n">
        <v>46307</v>
      </c>
      <c r="F8371" t="inlineStr">
        <is>
          <t>VÄRMLANDS LÄN</t>
        </is>
      </c>
      <c r="G8371" t="inlineStr">
        <is>
          <t>ÅRJÄNG</t>
        </is>
      </c>
      <c r="I8371" t="n">
        <v>2.6</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60359-2025</t>
        </is>
      </c>
      <c r="B8372" t="inlineStr">
        <is>
          <t>avverkningsanmälan</t>
        </is>
      </c>
      <c r="C8372" t="inlineStr">
        <is>
          <t>Föryngringsavverkning</t>
        </is>
      </c>
      <c r="D8372" s="1" t="n">
        <v>45995</v>
      </c>
      <c r="E8372" s="1" t="n">
        <v>46307</v>
      </c>
      <c r="F8372" t="inlineStr">
        <is>
          <t>VÄRMLANDS LÄN</t>
        </is>
      </c>
      <c r="G8372" t="inlineStr">
        <is>
          <t>ARVIKA</t>
        </is>
      </c>
      <c r="I8372" t="n">
        <v>1.2</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32690-2025</t>
        </is>
      </c>
      <c r="B8373" t="inlineStr">
        <is>
          <t>avverkningsanmälan</t>
        </is>
      </c>
      <c r="C8373" t="inlineStr">
        <is>
          <t>Föryngringsavverkning</t>
        </is>
      </c>
      <c r="D8373" s="1" t="n">
        <v>45839</v>
      </c>
      <c r="E8373" s="1" t="n">
        <v>46307</v>
      </c>
      <c r="F8373" t="inlineStr">
        <is>
          <t>VÄRMLANDS LÄN</t>
        </is>
      </c>
      <c r="G8373" t="inlineStr">
        <is>
          <t>HAGFORS</t>
        </is>
      </c>
      <c r="H8373" t="inlineStr">
        <is>
          <t>Kyrkan</t>
        </is>
      </c>
      <c r="I8373" t="n">
        <v>3.1</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23179-2025</t>
        </is>
      </c>
      <c r="B8374" t="inlineStr">
        <is>
          <t>avverkningsanmälan</t>
        </is>
      </c>
      <c r="C8374" t="inlineStr">
        <is>
          <t>Föryngringsavverkning</t>
        </is>
      </c>
      <c r="D8374" s="1" t="n">
        <v>45791</v>
      </c>
      <c r="E8374" s="1" t="n">
        <v>46307</v>
      </c>
      <c r="F8374" t="inlineStr">
        <is>
          <t>VÄRMLANDS LÄN</t>
        </is>
      </c>
      <c r="G8374" t="inlineStr">
        <is>
          <t>HAGFORS</t>
        </is>
      </c>
      <c r="H8374" t="inlineStr">
        <is>
          <t>Bergvik skog väst AB</t>
        </is>
      </c>
      <c r="I8374" t="n">
        <v>2.3</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26028-2025</t>
        </is>
      </c>
      <c r="B8375" t="inlineStr">
        <is>
          <t>avverkningsanmälan</t>
        </is>
      </c>
      <c r="C8375" t="inlineStr">
        <is>
          <t>Föryngringsavverkning</t>
        </is>
      </c>
      <c r="D8375" s="1" t="n">
        <v>45804</v>
      </c>
      <c r="E8375" s="1" t="n">
        <v>46307</v>
      </c>
      <c r="F8375" t="inlineStr">
        <is>
          <t>VÄRMLANDS LÄN</t>
        </is>
      </c>
      <c r="G8375" t="inlineStr">
        <is>
          <t>KRISTINEHAMN</t>
        </is>
      </c>
      <c r="I8375" t="n">
        <v>2.6</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15778-2023</t>
        </is>
      </c>
      <c r="B8376" t="inlineStr">
        <is>
          <t>avverkningsanmälan</t>
        </is>
      </c>
      <c r="C8376" t="inlineStr">
        <is>
          <t>Föryngringsavverkning</t>
        </is>
      </c>
      <c r="D8376" s="1" t="n">
        <v>45021</v>
      </c>
      <c r="E8376" s="1" t="n">
        <v>46307</v>
      </c>
      <c r="F8376" t="inlineStr">
        <is>
          <t>VÄRMLANDS LÄN</t>
        </is>
      </c>
      <c r="G8376" t="inlineStr">
        <is>
          <t>EDA</t>
        </is>
      </c>
      <c r="I8376" t="n">
        <v>0.7</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23191-2023</t>
        </is>
      </c>
      <c r="B8377" t="inlineStr">
        <is>
          <t>avverkningsanmälan</t>
        </is>
      </c>
      <c r="C8377" t="inlineStr">
        <is>
          <t>Föryngringsavverkning</t>
        </is>
      </c>
      <c r="D8377" s="1" t="n">
        <v>45071</v>
      </c>
      <c r="E8377" s="1" t="n">
        <v>46307</v>
      </c>
      <c r="F8377" t="inlineStr">
        <is>
          <t>VÄRMLANDS LÄN</t>
        </is>
      </c>
      <c r="G8377" t="inlineStr">
        <is>
          <t>EDA</t>
        </is>
      </c>
      <c r="I8377" t="n">
        <v>1.1</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29256-2023</t>
        </is>
      </c>
      <c r="B8378" t="inlineStr">
        <is>
          <t>avverkningsanmälan</t>
        </is>
      </c>
      <c r="C8378" t="inlineStr">
        <is>
          <t>Föryngringsavverkning</t>
        </is>
      </c>
      <c r="D8378" s="1" t="n">
        <v>45105</v>
      </c>
      <c r="E8378" s="1" t="n">
        <v>46307</v>
      </c>
      <c r="F8378" t="inlineStr">
        <is>
          <t>VÄRMLANDS LÄN</t>
        </is>
      </c>
      <c r="G8378" t="inlineStr">
        <is>
          <t>TORSBY</t>
        </is>
      </c>
      <c r="I8378" t="n">
        <v>1.3</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8585-2022</t>
        </is>
      </c>
      <c r="B8379" t="inlineStr">
        <is>
          <t>avverkningsanmälan</t>
        </is>
      </c>
      <c r="C8379" t="inlineStr">
        <is>
          <t>Föryngringsavverkning</t>
        </is>
      </c>
      <c r="D8379" s="1" t="n">
        <v>44613</v>
      </c>
      <c r="E8379" s="1" t="n">
        <v>46307</v>
      </c>
      <c r="F8379" t="inlineStr">
        <is>
          <t>VÄRMLANDS LÄN</t>
        </is>
      </c>
      <c r="G8379" t="inlineStr">
        <is>
          <t>SUNNE</t>
        </is>
      </c>
      <c r="I8379" t="n">
        <v>0.4</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56240-2024</t>
        </is>
      </c>
      <c r="B8380" t="inlineStr">
        <is>
          <t>avverkningsanmälan</t>
        </is>
      </c>
      <c r="C8380" t="inlineStr">
        <is>
          <t>Föryngringsavverkning</t>
        </is>
      </c>
      <c r="D8380" s="1" t="n">
        <v>45624</v>
      </c>
      <c r="E8380" s="1" t="n">
        <v>46307</v>
      </c>
      <c r="F8380" t="inlineStr">
        <is>
          <t>VÄRMLANDS LÄN</t>
        </is>
      </c>
      <c r="G8380" t="inlineStr">
        <is>
          <t>TORSBY</t>
        </is>
      </c>
      <c r="I8380" t="n">
        <v>1.5</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3071-2026</t>
        </is>
      </c>
      <c r="B8381" t="inlineStr">
        <is>
          <t>avverkningsanmälan</t>
        </is>
      </c>
      <c r="C8381" t="inlineStr">
        <is>
          <t>Föryngringsavverkning</t>
        </is>
      </c>
      <c r="D8381" s="1" t="n">
        <v>46040</v>
      </c>
      <c r="E8381" s="1" t="n">
        <v>46307</v>
      </c>
      <c r="F8381" t="inlineStr">
        <is>
          <t>VÄRMLANDS LÄN</t>
        </is>
      </c>
      <c r="G8381" t="inlineStr">
        <is>
          <t>FILIPSTAD</t>
        </is>
      </c>
      <c r="I8381" t="n">
        <v>3.8</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13723-2023</t>
        </is>
      </c>
      <c r="B8382" t="inlineStr">
        <is>
          <t>avverkningsanmälan</t>
        </is>
      </c>
      <c r="C8382" t="inlineStr">
        <is>
          <t>Föryngringsavverkning</t>
        </is>
      </c>
      <c r="D8382" s="1" t="n">
        <v>45007</v>
      </c>
      <c r="E8382" s="1" t="n">
        <v>46307</v>
      </c>
      <c r="F8382" t="inlineStr">
        <is>
          <t>VÄRMLANDS LÄN</t>
        </is>
      </c>
      <c r="G8382" t="inlineStr">
        <is>
          <t>TORSBY</t>
        </is>
      </c>
      <c r="I8382" t="n">
        <v>2.2</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13795-2023</t>
        </is>
      </c>
      <c r="B8383" t="inlineStr">
        <is>
          <t>avverkningsanmälan</t>
        </is>
      </c>
      <c r="C8383" t="inlineStr">
        <is>
          <t>Föryngringsavverkning</t>
        </is>
      </c>
      <c r="D8383" s="1" t="n">
        <v>45007</v>
      </c>
      <c r="E8383" s="1" t="n">
        <v>46307</v>
      </c>
      <c r="F8383" t="inlineStr">
        <is>
          <t>VÄRMLANDS LÄN</t>
        </is>
      </c>
      <c r="G8383" t="inlineStr">
        <is>
          <t>STORFORS</t>
        </is>
      </c>
      <c r="H8383" t="inlineStr">
        <is>
          <t>Kyrkan</t>
        </is>
      </c>
      <c r="I8383" t="n">
        <v>0.8</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29825-2025</t>
        </is>
      </c>
      <c r="B8384" t="inlineStr">
        <is>
          <t>avverkningsanmälan</t>
        </is>
      </c>
      <c r="C8384" t="inlineStr">
        <is>
          <t>Föryngringsavverkning</t>
        </is>
      </c>
      <c r="D8384" s="1" t="n">
        <v>45825</v>
      </c>
      <c r="E8384" s="1" t="n">
        <v>46307</v>
      </c>
      <c r="F8384" t="inlineStr">
        <is>
          <t>VÄRMLANDS LÄN</t>
        </is>
      </c>
      <c r="G8384" t="inlineStr">
        <is>
          <t>SUNNE</t>
        </is>
      </c>
      <c r="I8384" t="n">
        <v>3.2</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33955-2025</t>
        </is>
      </c>
      <c r="B8385" t="inlineStr">
        <is>
          <t>avverkningsanmälan</t>
        </is>
      </c>
      <c r="C8385" t="inlineStr">
        <is>
          <t>Föryngringsavverkning</t>
        </is>
      </c>
      <c r="D8385" s="1" t="n">
        <v>45842</v>
      </c>
      <c r="E8385" s="1" t="n">
        <v>46307</v>
      </c>
      <c r="F8385" t="inlineStr">
        <is>
          <t>VÄRMLANDS LÄN</t>
        </is>
      </c>
      <c r="G8385" t="inlineStr">
        <is>
          <t>SUNNE</t>
        </is>
      </c>
      <c r="I8385" t="n">
        <v>1.6</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37733-2025</t>
        </is>
      </c>
      <c r="B8386" t="inlineStr">
        <is>
          <t>avverkningsanmälan</t>
        </is>
      </c>
      <c r="C8386" t="inlineStr">
        <is>
          <t>Föryngringsavverkning</t>
        </is>
      </c>
      <c r="D8386" s="1" t="n">
        <v>45880</v>
      </c>
      <c r="E8386" s="1" t="n">
        <v>46307</v>
      </c>
      <c r="F8386" t="inlineStr">
        <is>
          <t>VÄRMLANDS LÄN</t>
        </is>
      </c>
      <c r="G8386" t="inlineStr">
        <is>
          <t>FILIPSTAD</t>
        </is>
      </c>
      <c r="H8386" t="inlineStr">
        <is>
          <t>Bergvik skog väst AB</t>
        </is>
      </c>
      <c r="I8386" t="n">
        <v>7.6</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34243-2025</t>
        </is>
      </c>
      <c r="B8387" t="inlineStr">
        <is>
          <t>avverkningsanmälan</t>
        </is>
      </c>
      <c r="C8387" t="inlineStr">
        <is>
          <t>Föryngringsavverkning</t>
        </is>
      </c>
      <c r="D8387" s="1" t="n">
        <v>45845</v>
      </c>
      <c r="E8387" s="1" t="n">
        <v>46307</v>
      </c>
      <c r="F8387" t="inlineStr">
        <is>
          <t>VÄRMLANDS LÄN</t>
        </is>
      </c>
      <c r="G8387" t="inlineStr">
        <is>
          <t>ÅRJÄNG</t>
        </is>
      </c>
      <c r="I8387" t="n">
        <v>2.6</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11367-2025</t>
        </is>
      </c>
      <c r="B8388" t="inlineStr">
        <is>
          <t>avverkningsanmälan</t>
        </is>
      </c>
      <c r="C8388" t="inlineStr">
        <is>
          <t>Föryngringsavverkning</t>
        </is>
      </c>
      <c r="D8388" s="1" t="n">
        <v>45726</v>
      </c>
      <c r="E8388" s="1" t="n">
        <v>46307</v>
      </c>
      <c r="F8388" t="inlineStr">
        <is>
          <t>VÄRMLANDS LÄN</t>
        </is>
      </c>
      <c r="G8388" t="inlineStr">
        <is>
          <t>HAGFORS</t>
        </is>
      </c>
      <c r="H8388" t="inlineStr">
        <is>
          <t>Bergvik skog väst AB</t>
        </is>
      </c>
      <c r="I8388" t="n">
        <v>3.1</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7367-2025</t>
        </is>
      </c>
      <c r="B8389" t="inlineStr">
        <is>
          <t>avverkningsanmälan</t>
        </is>
      </c>
      <c r="C8389" t="inlineStr">
        <is>
          <t>Föryngringsavverkning</t>
        </is>
      </c>
      <c r="D8389" s="1" t="n">
        <v>45704</v>
      </c>
      <c r="E8389" s="1" t="n">
        <v>46307</v>
      </c>
      <c r="F8389" t="inlineStr">
        <is>
          <t>VÄRMLANDS LÄN</t>
        </is>
      </c>
      <c r="G8389" t="inlineStr">
        <is>
          <t>EDA</t>
        </is>
      </c>
      <c r="I8389" t="n">
        <v>1.7</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46208-2023</t>
        </is>
      </c>
      <c r="B8390" t="inlineStr">
        <is>
          <t>avverkningsanmälan</t>
        </is>
      </c>
      <c r="C8390" t="inlineStr">
        <is>
          <t>Föryngringsavverkning</t>
        </is>
      </c>
      <c r="D8390" s="1" t="n">
        <v>45196</v>
      </c>
      <c r="E8390" s="1" t="n">
        <v>46307</v>
      </c>
      <c r="F8390" t="inlineStr">
        <is>
          <t>VÄRMLANDS LÄN</t>
        </is>
      </c>
      <c r="G8390" t="inlineStr">
        <is>
          <t>HAGFORS</t>
        </is>
      </c>
      <c r="I8390" t="n">
        <v>0.5</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36764-2025</t>
        </is>
      </c>
      <c r="B8391" t="inlineStr">
        <is>
          <t>avverkningsanmälan</t>
        </is>
      </c>
      <c r="C8391" t="inlineStr">
        <is>
          <t>Föryngringsavverkning</t>
        </is>
      </c>
      <c r="D8391" s="1" t="n">
        <v>45873</v>
      </c>
      <c r="E8391" s="1" t="n">
        <v>46307</v>
      </c>
      <c r="F8391" t="inlineStr">
        <is>
          <t>VÄRMLANDS LÄN</t>
        </is>
      </c>
      <c r="G8391" t="inlineStr">
        <is>
          <t>HAGFORS</t>
        </is>
      </c>
      <c r="I8391" t="n">
        <v>0.7</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41936-2024</t>
        </is>
      </c>
      <c r="B8392" t="inlineStr">
        <is>
          <t>avverkningsanmälan</t>
        </is>
      </c>
      <c r="C8392" t="inlineStr">
        <is>
          <t>Föryngringsavverkning</t>
        </is>
      </c>
      <c r="D8392" s="1" t="n">
        <v>45561</v>
      </c>
      <c r="E8392" s="1" t="n">
        <v>46307</v>
      </c>
      <c r="F8392" t="inlineStr">
        <is>
          <t>VÄRMLANDS LÄN</t>
        </is>
      </c>
      <c r="G8392" t="inlineStr">
        <is>
          <t>TORSBY</t>
        </is>
      </c>
      <c r="I8392" t="n">
        <v>9.9</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46249-2023</t>
        </is>
      </c>
      <c r="B8393" t="inlineStr">
        <is>
          <t>avverkningsanmälan</t>
        </is>
      </c>
      <c r="C8393" t="inlineStr">
        <is>
          <t>Föryngringsavverkning</t>
        </is>
      </c>
      <c r="D8393" s="1" t="n">
        <v>45196</v>
      </c>
      <c r="E8393" s="1" t="n">
        <v>46307</v>
      </c>
      <c r="F8393" t="inlineStr">
        <is>
          <t>VÄRMLANDS LÄN</t>
        </is>
      </c>
      <c r="G8393" t="inlineStr">
        <is>
          <t>ÅRJÄNG</t>
        </is>
      </c>
      <c r="I8393" t="n">
        <v>1.7</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36834-2025</t>
        </is>
      </c>
      <c r="B8394" t="inlineStr">
        <is>
          <t>avverkningsanmälan</t>
        </is>
      </c>
      <c r="C8394" t="inlineStr">
        <is>
          <t>Föryngringsavverkning</t>
        </is>
      </c>
      <c r="D8394" s="1" t="n">
        <v>45874</v>
      </c>
      <c r="E8394" s="1" t="n">
        <v>46307</v>
      </c>
      <c r="F8394" t="inlineStr">
        <is>
          <t>VÄRMLANDS LÄN</t>
        </is>
      </c>
      <c r="G8394" t="inlineStr">
        <is>
          <t>ÅRJÄNG</t>
        </is>
      </c>
      <c r="I8394" t="n">
        <v>2.9</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1104-2025</t>
        </is>
      </c>
      <c r="B8395" t="inlineStr">
        <is>
          <t>avverkningsanmälan</t>
        </is>
      </c>
      <c r="C8395" t="inlineStr">
        <is>
          <t>Föryngringsavverkning</t>
        </is>
      </c>
      <c r="D8395" s="1" t="n">
        <v>45666</v>
      </c>
      <c r="E8395" s="1" t="n">
        <v>46307</v>
      </c>
      <c r="F8395" t="inlineStr">
        <is>
          <t>VÄRMLANDS LÄN</t>
        </is>
      </c>
      <c r="G8395" t="inlineStr">
        <is>
          <t>TORSBY</t>
        </is>
      </c>
      <c r="I8395" t="n">
        <v>6.9</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3536-2024</t>
        </is>
      </c>
      <c r="B8396" t="inlineStr">
        <is>
          <t>avverkningsanmälan</t>
        </is>
      </c>
      <c r="C8396" t="inlineStr">
        <is>
          <t>Föryngringsavverkning</t>
        </is>
      </c>
      <c r="D8396" s="1" t="n">
        <v>45320</v>
      </c>
      <c r="E8396" s="1" t="n">
        <v>46307</v>
      </c>
      <c r="F8396" t="inlineStr">
        <is>
          <t>VÄRMLANDS LÄN</t>
        </is>
      </c>
      <c r="G8396" t="inlineStr">
        <is>
          <t>TORSBY</t>
        </is>
      </c>
      <c r="I8396" t="n">
        <v>2.7</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12881-2026</t>
        </is>
      </c>
      <c r="B8397" t="inlineStr">
        <is>
          <t>avverkningsanmälan</t>
        </is>
      </c>
      <c r="C8397" t="inlineStr">
        <is>
          <t>Föryngringsavverkning</t>
        </is>
      </c>
      <c r="D8397" s="1" t="n">
        <v>46091</v>
      </c>
      <c r="E8397" s="1" t="n">
        <v>46307</v>
      </c>
      <c r="F8397" t="inlineStr">
        <is>
          <t>VÄRMLANDS LÄN</t>
        </is>
      </c>
      <c r="G8397" t="inlineStr">
        <is>
          <t>KARLSTAD</t>
        </is>
      </c>
      <c r="I8397" t="n">
        <v>3.4</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3206-2026</t>
        </is>
      </c>
      <c r="B8398" t="inlineStr">
        <is>
          <t>avverkningsanmälan</t>
        </is>
      </c>
      <c r="C8398" t="inlineStr">
        <is>
          <t>Föryngringsavverkning</t>
        </is>
      </c>
      <c r="D8398" s="1" t="n">
        <v>46041</v>
      </c>
      <c r="E8398" s="1" t="n">
        <v>46307</v>
      </c>
      <c r="F8398" t="inlineStr">
        <is>
          <t>VÄRMLANDS LÄN</t>
        </is>
      </c>
      <c r="G8398" t="inlineStr">
        <is>
          <t>SÄFFLE</t>
        </is>
      </c>
      <c r="I8398" t="n">
        <v>1.5</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29136-2025</t>
        </is>
      </c>
      <c r="B8399" t="inlineStr">
        <is>
          <t>avverkningsanmälan</t>
        </is>
      </c>
      <c r="C8399" t="inlineStr">
        <is>
          <t>Föryngringsavverkning</t>
        </is>
      </c>
      <c r="D8399" s="1" t="n">
        <v>45821</v>
      </c>
      <c r="E8399" s="1" t="n">
        <v>46307</v>
      </c>
      <c r="F8399" t="inlineStr">
        <is>
          <t>VÄRMLANDS LÄN</t>
        </is>
      </c>
      <c r="G8399" t="inlineStr">
        <is>
          <t>ÅRJÄNG</t>
        </is>
      </c>
      <c r="I8399" t="n">
        <v>0.9</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12826-2025</t>
        </is>
      </c>
      <c r="B8400" t="inlineStr">
        <is>
          <t>avverkningsanmälan</t>
        </is>
      </c>
      <c r="C8400" t="inlineStr">
        <is>
          <t>Föryngringsavverkning</t>
        </is>
      </c>
      <c r="D8400" s="1" t="n">
        <v>45733</v>
      </c>
      <c r="E8400" s="1" t="n">
        <v>46307</v>
      </c>
      <c r="F8400" t="inlineStr">
        <is>
          <t>VÄRMLANDS LÄN</t>
        </is>
      </c>
      <c r="G8400" t="inlineStr">
        <is>
          <t>EDA</t>
        </is>
      </c>
      <c r="I8400" t="n">
        <v>1.2</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15044-2026</t>
        </is>
      </c>
      <c r="B8401" t="inlineStr">
        <is>
          <t>avverkningsanmälan</t>
        </is>
      </c>
      <c r="C8401" t="inlineStr">
        <is>
          <t>Föryngringsavverkning</t>
        </is>
      </c>
      <c r="D8401" s="1" t="n">
        <v>46104</v>
      </c>
      <c r="E8401" s="1" t="n">
        <v>46307</v>
      </c>
      <c r="F8401" t="inlineStr">
        <is>
          <t>VÄRMLANDS LÄN</t>
        </is>
      </c>
      <c r="G8401" t="inlineStr">
        <is>
          <t>EDA</t>
        </is>
      </c>
      <c r="I8401" t="n">
        <v>1.2</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57939-2022</t>
        </is>
      </c>
      <c r="B8402" t="inlineStr">
        <is>
          <t>avverkningsanmälan</t>
        </is>
      </c>
      <c r="C8402" t="inlineStr">
        <is>
          <t>Föryngringsavverkning</t>
        </is>
      </c>
      <c r="D8402" s="1" t="n">
        <v>44900</v>
      </c>
      <c r="E8402" s="1" t="n">
        <v>46307</v>
      </c>
      <c r="F8402" t="inlineStr">
        <is>
          <t>VÄRMLANDS LÄN</t>
        </is>
      </c>
      <c r="G8402" t="inlineStr">
        <is>
          <t>SUNNE</t>
        </is>
      </c>
      <c r="I8402" t="n">
        <v>2.7</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7876-2022</t>
        </is>
      </c>
      <c r="B8403" t="inlineStr">
        <is>
          <t>avverkningsanmälan</t>
        </is>
      </c>
      <c r="C8403" t="inlineStr">
        <is>
          <t>Föryngringsavverkning</t>
        </is>
      </c>
      <c r="D8403" s="1" t="n">
        <v>44608</v>
      </c>
      <c r="E8403" s="1" t="n">
        <v>46307</v>
      </c>
      <c r="F8403" t="inlineStr">
        <is>
          <t>VÄRMLANDS LÄN</t>
        </is>
      </c>
      <c r="G8403" t="inlineStr">
        <is>
          <t>SÄFFLE</t>
        </is>
      </c>
      <c r="I8403" t="n">
        <v>2.9</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3929-2026</t>
        </is>
      </c>
      <c r="B8404" t="inlineStr">
        <is>
          <t>avverkningsanmälan</t>
        </is>
      </c>
      <c r="C8404" t="inlineStr">
        <is>
          <t>Föryngringsavverkning</t>
        </is>
      </c>
      <c r="D8404" s="1" t="n">
        <v>46043</v>
      </c>
      <c r="E8404" s="1" t="n">
        <v>46307</v>
      </c>
      <c r="F8404" t="inlineStr">
        <is>
          <t>VÄRMLANDS LÄN</t>
        </is>
      </c>
      <c r="G8404" t="inlineStr">
        <is>
          <t>ARVIKA</t>
        </is>
      </c>
      <c r="I8404" t="n">
        <v>4</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28572-2022</t>
        </is>
      </c>
      <c r="B8405" t="inlineStr">
        <is>
          <t>avverkningsanmälan</t>
        </is>
      </c>
      <c r="C8405" t="inlineStr">
        <is>
          <t>Föryngringsavverkning</t>
        </is>
      </c>
      <c r="D8405" s="1" t="n">
        <v>44748</v>
      </c>
      <c r="E8405" s="1" t="n">
        <v>46307</v>
      </c>
      <c r="F8405" t="inlineStr">
        <is>
          <t>VÄRMLANDS LÄN</t>
        </is>
      </c>
      <c r="G8405" t="inlineStr">
        <is>
          <t>SUNNE</t>
        </is>
      </c>
      <c r="I8405" t="n">
        <v>2.2</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39958-2023</t>
        </is>
      </c>
      <c r="B8406" t="inlineStr">
        <is>
          <t>avverkningsanmälan</t>
        </is>
      </c>
      <c r="C8406" t="inlineStr">
        <is>
          <t>Föryngringsavverkning</t>
        </is>
      </c>
      <c r="D8406" s="1" t="n">
        <v>45168</v>
      </c>
      <c r="E8406" s="1" t="n">
        <v>46307</v>
      </c>
      <c r="F8406" t="inlineStr">
        <is>
          <t>VÄRMLANDS LÄN</t>
        </is>
      </c>
      <c r="G8406" t="inlineStr">
        <is>
          <t>KARLSTAD</t>
        </is>
      </c>
      <c r="I8406" t="n">
        <v>1.5</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3986-2026</t>
        </is>
      </c>
      <c r="B8407" t="inlineStr">
        <is>
          <t>avverkningsanmälan</t>
        </is>
      </c>
      <c r="C8407" t="inlineStr">
        <is>
          <t>Föryngringsavverkning</t>
        </is>
      </c>
      <c r="D8407" s="1" t="n">
        <v>46044</v>
      </c>
      <c r="E8407" s="1" t="n">
        <v>46307</v>
      </c>
      <c r="F8407" t="inlineStr">
        <is>
          <t>VÄRMLANDS LÄN</t>
        </is>
      </c>
      <c r="G8407" t="inlineStr">
        <is>
          <t>ÅRJÄNG</t>
        </is>
      </c>
      <c r="I8407" t="n">
        <v>1.9</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3989-2026</t>
        </is>
      </c>
      <c r="B8408" t="inlineStr">
        <is>
          <t>avverkningsanmälan</t>
        </is>
      </c>
      <c r="C8408" t="inlineStr">
        <is>
          <t>Föryngringsavverkning</t>
        </is>
      </c>
      <c r="D8408" s="1" t="n">
        <v>46044</v>
      </c>
      <c r="E8408" s="1" t="n">
        <v>46307</v>
      </c>
      <c r="F8408" t="inlineStr">
        <is>
          <t>VÄRMLANDS LÄN</t>
        </is>
      </c>
      <c r="G8408" t="inlineStr">
        <is>
          <t>KARLSTAD</t>
        </is>
      </c>
      <c r="I8408" t="n">
        <v>3.9</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3680-2026</t>
        </is>
      </c>
      <c r="B8409" t="inlineStr">
        <is>
          <t>avverkningsanmälan</t>
        </is>
      </c>
      <c r="C8409" t="inlineStr">
        <is>
          <t>Föryngringsavverkning</t>
        </is>
      </c>
      <c r="D8409" s="1" t="n">
        <v>46043</v>
      </c>
      <c r="E8409" s="1" t="n">
        <v>46307</v>
      </c>
      <c r="F8409" t="inlineStr">
        <is>
          <t>VÄRMLANDS LÄN</t>
        </is>
      </c>
      <c r="G8409" t="inlineStr">
        <is>
          <t>TORSBY</t>
        </is>
      </c>
      <c r="I8409" t="n">
        <v>5.5</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18220-2023</t>
        </is>
      </c>
      <c r="B8410" t="inlineStr">
        <is>
          <t>avverkningsanmälan</t>
        </is>
      </c>
      <c r="C8410" t="inlineStr">
        <is>
          <t>Avverkning för annat ändamål</t>
        </is>
      </c>
      <c r="D8410" s="1" t="n">
        <v>45041</v>
      </c>
      <c r="E8410" s="1" t="n">
        <v>46307</v>
      </c>
      <c r="F8410" t="inlineStr">
        <is>
          <t>VÄRMLANDS LÄN</t>
        </is>
      </c>
      <c r="G8410" t="inlineStr">
        <is>
          <t>SUNNE</t>
        </is>
      </c>
      <c r="I8410" t="n">
        <v>0.6</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18228-2023</t>
        </is>
      </c>
      <c r="B8411" t="inlineStr">
        <is>
          <t>avverkningsanmälan</t>
        </is>
      </c>
      <c r="C8411" t="inlineStr">
        <is>
          <t>Föryngringsavverkning</t>
        </is>
      </c>
      <c r="D8411" s="1" t="n">
        <v>45040</v>
      </c>
      <c r="E8411" s="1" t="n">
        <v>46307</v>
      </c>
      <c r="F8411" t="inlineStr">
        <is>
          <t>VÄRMLANDS LÄN</t>
        </is>
      </c>
      <c r="G8411" t="inlineStr">
        <is>
          <t>SÄFFLE</t>
        </is>
      </c>
      <c r="I8411" t="n">
        <v>1.9</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16433-2023</t>
        </is>
      </c>
      <c r="B8412" t="inlineStr">
        <is>
          <t>avverkningsanmälan</t>
        </is>
      </c>
      <c r="C8412" t="inlineStr">
        <is>
          <t>Föryngringsavverkning</t>
        </is>
      </c>
      <c r="D8412" s="1" t="n">
        <v>45022</v>
      </c>
      <c r="E8412" s="1" t="n">
        <v>46307</v>
      </c>
      <c r="F8412" t="inlineStr">
        <is>
          <t>VÄRMLANDS LÄN</t>
        </is>
      </c>
      <c r="G8412" t="inlineStr">
        <is>
          <t>TORSBY</t>
        </is>
      </c>
      <c r="I8412" t="n">
        <v>2</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49683-2023</t>
        </is>
      </c>
      <c r="B8413" t="inlineStr">
        <is>
          <t>avverkningsanmälan</t>
        </is>
      </c>
      <c r="C8413" t="inlineStr">
        <is>
          <t>Föryngringsavverkning</t>
        </is>
      </c>
      <c r="D8413" s="1" t="n">
        <v>45212</v>
      </c>
      <c r="E8413" s="1" t="n">
        <v>46307</v>
      </c>
      <c r="F8413" t="inlineStr">
        <is>
          <t>VÄRMLANDS LÄN</t>
        </is>
      </c>
      <c r="G8413" t="inlineStr">
        <is>
          <t>SUNNE</t>
        </is>
      </c>
      <c r="H8413" t="inlineStr">
        <is>
          <t>Kommuner</t>
        </is>
      </c>
      <c r="I8413" t="n">
        <v>4.3</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35417-2025</t>
        </is>
      </c>
      <c r="B8414" t="inlineStr">
        <is>
          <t>avverkningsanmälan</t>
        </is>
      </c>
      <c r="C8414" t="inlineStr">
        <is>
          <t>Föryngringsavverkning</t>
        </is>
      </c>
      <c r="D8414" s="1" t="n">
        <v>45855</v>
      </c>
      <c r="E8414" s="1" t="n">
        <v>46307</v>
      </c>
      <c r="F8414" t="inlineStr">
        <is>
          <t>VÄRMLANDS LÄN</t>
        </is>
      </c>
      <c r="G8414" t="inlineStr">
        <is>
          <t>SÄFFLE</t>
        </is>
      </c>
      <c r="I8414" t="n">
        <v>4.6</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61531-2025</t>
        </is>
      </c>
      <c r="B8415" t="inlineStr">
        <is>
          <t>avverkningsanmälan</t>
        </is>
      </c>
      <c r="C8415" t="inlineStr">
        <is>
          <t>Föryngringsavverkning</t>
        </is>
      </c>
      <c r="D8415" s="1" t="n">
        <v>46001</v>
      </c>
      <c r="E8415" s="1" t="n">
        <v>46307</v>
      </c>
      <c r="F8415" t="inlineStr">
        <is>
          <t>VÄRMLANDS LÄN</t>
        </is>
      </c>
      <c r="G8415" t="inlineStr">
        <is>
          <t>TORSBY</t>
        </is>
      </c>
      <c r="I8415" t="n">
        <v>1.2</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33449-2025</t>
        </is>
      </c>
      <c r="B8416" t="inlineStr">
        <is>
          <t>avverkningsanmälan</t>
        </is>
      </c>
      <c r="C8416" t="inlineStr">
        <is>
          <t>Föryngringsavverkning</t>
        </is>
      </c>
      <c r="D8416" s="1" t="n">
        <v>45841</v>
      </c>
      <c r="E8416" s="1" t="n">
        <v>46307</v>
      </c>
      <c r="F8416" t="inlineStr">
        <is>
          <t>VÄRMLANDS LÄN</t>
        </is>
      </c>
      <c r="G8416" t="inlineStr">
        <is>
          <t>FILIPSTAD</t>
        </is>
      </c>
      <c r="H8416" t="inlineStr">
        <is>
          <t>Bergvik skog väst AB</t>
        </is>
      </c>
      <c r="I8416" t="n">
        <v>1.4</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21392-2023</t>
        </is>
      </c>
      <c r="B8417" t="inlineStr">
        <is>
          <t>avverkningsanmälan</t>
        </is>
      </c>
      <c r="C8417" t="inlineStr">
        <is>
          <t>Föryngringsavverkning</t>
        </is>
      </c>
      <c r="D8417" s="1" t="n">
        <v>45061</v>
      </c>
      <c r="E8417" s="1" t="n">
        <v>46307</v>
      </c>
      <c r="F8417" t="inlineStr">
        <is>
          <t>VÄRMLANDS LÄN</t>
        </is>
      </c>
      <c r="G8417" t="inlineStr">
        <is>
          <t>ÅRJÄNG</t>
        </is>
      </c>
      <c r="I8417" t="n">
        <v>11.7</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21411-2023</t>
        </is>
      </c>
      <c r="B8418" t="inlineStr">
        <is>
          <t>avverkningsanmälan</t>
        </is>
      </c>
      <c r="C8418" t="inlineStr">
        <is>
          <t>Föryngringsavverkning</t>
        </is>
      </c>
      <c r="D8418" s="1" t="n">
        <v>45063</v>
      </c>
      <c r="E8418" s="1" t="n">
        <v>46307</v>
      </c>
      <c r="F8418" t="inlineStr">
        <is>
          <t>VÄRMLANDS LÄN</t>
        </is>
      </c>
      <c r="G8418" t="inlineStr">
        <is>
          <t>TORSBY</t>
        </is>
      </c>
      <c r="I8418" t="n">
        <v>2.3</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44096-2024</t>
        </is>
      </c>
      <c r="B8419" t="inlineStr">
        <is>
          <t>avverkningsanmälan</t>
        </is>
      </c>
      <c r="C8419" t="inlineStr">
        <is>
          <t>Föryngringsavverkning</t>
        </is>
      </c>
      <c r="D8419" s="1" t="n">
        <v>45572</v>
      </c>
      <c r="E8419" s="1" t="n">
        <v>46307</v>
      </c>
      <c r="F8419" t="inlineStr">
        <is>
          <t>VÄRMLANDS LÄN</t>
        </is>
      </c>
      <c r="G8419" t="inlineStr">
        <is>
          <t>SUNNE</t>
        </is>
      </c>
      <c r="I8419" t="n">
        <v>0.6</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4848-2023</t>
        </is>
      </c>
      <c r="B8420" t="inlineStr">
        <is>
          <t>avverkningsanmälan</t>
        </is>
      </c>
      <c r="C8420" t="inlineStr">
        <is>
          <t>Föryngringsavverkning</t>
        </is>
      </c>
      <c r="D8420" s="1" t="n">
        <v>44952</v>
      </c>
      <c r="E8420" s="1" t="n">
        <v>46307</v>
      </c>
      <c r="F8420" t="inlineStr">
        <is>
          <t>VÄRMLANDS LÄN</t>
        </is>
      </c>
      <c r="G8420" t="inlineStr">
        <is>
          <t>SÄFFLE</t>
        </is>
      </c>
      <c r="I8420" t="n">
        <v>3.4</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62186-2025</t>
        </is>
      </c>
      <c r="B8421" t="inlineStr">
        <is>
          <t>avverkningsanmälan</t>
        </is>
      </c>
      <c r="C8421" t="inlineStr">
        <is>
          <t>Föryngringsavverkning</t>
        </is>
      </c>
      <c r="D8421" s="1" t="n">
        <v>46006</v>
      </c>
      <c r="E8421" s="1" t="n">
        <v>46307</v>
      </c>
      <c r="F8421" t="inlineStr">
        <is>
          <t>VÄRMLANDS LÄN</t>
        </is>
      </c>
      <c r="G8421" t="inlineStr">
        <is>
          <t>TORSBY</t>
        </is>
      </c>
      <c r="I8421" t="n">
        <v>1</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25929-2025</t>
        </is>
      </c>
      <c r="B8422" t="inlineStr">
        <is>
          <t>avverkningsanmälan</t>
        </is>
      </c>
      <c r="C8422" t="inlineStr">
        <is>
          <t>Föryngringsavverkning</t>
        </is>
      </c>
      <c r="D8422" s="1" t="n">
        <v>45804</v>
      </c>
      <c r="E8422" s="1" t="n">
        <v>46307</v>
      </c>
      <c r="F8422" t="inlineStr">
        <is>
          <t>VÄRMLANDS LÄN</t>
        </is>
      </c>
      <c r="G8422" t="inlineStr">
        <is>
          <t>EDA</t>
        </is>
      </c>
      <c r="I8422" t="n">
        <v>1.7</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11153-2024</t>
        </is>
      </c>
      <c r="B8423" t="inlineStr">
        <is>
          <t>avverkningsanmälan</t>
        </is>
      </c>
      <c r="C8423" t="inlineStr">
        <is>
          <t>Föryngringsavverkning</t>
        </is>
      </c>
      <c r="D8423" s="1" t="n">
        <v>45371</v>
      </c>
      <c r="E8423" s="1" t="n">
        <v>46307</v>
      </c>
      <c r="F8423" t="inlineStr">
        <is>
          <t>VÄRMLANDS LÄN</t>
        </is>
      </c>
      <c r="G8423" t="inlineStr">
        <is>
          <t>TORSBY</t>
        </is>
      </c>
      <c r="I8423" t="n">
        <v>1.4</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49217-2023</t>
        </is>
      </c>
      <c r="B8424" t="inlineStr">
        <is>
          <t>avverkningsanmälan</t>
        </is>
      </c>
      <c r="C8424" t="inlineStr">
        <is>
          <t>Föryngringsavverkning</t>
        </is>
      </c>
      <c r="D8424" s="1" t="n">
        <v>45210</v>
      </c>
      <c r="E8424" s="1" t="n">
        <v>46307</v>
      </c>
      <c r="F8424" t="inlineStr">
        <is>
          <t>VÄRMLANDS LÄN</t>
        </is>
      </c>
      <c r="G8424" t="inlineStr">
        <is>
          <t>SUNNE</t>
        </is>
      </c>
      <c r="H8424" t="inlineStr">
        <is>
          <t>Kommuner</t>
        </is>
      </c>
      <c r="I8424" t="n">
        <v>1.4</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3928-2026</t>
        </is>
      </c>
      <c r="B8425" t="inlineStr">
        <is>
          <t>avverkningsanmälan</t>
        </is>
      </c>
      <c r="C8425" t="inlineStr">
        <is>
          <t>Föryngringsavverkning</t>
        </is>
      </c>
      <c r="D8425" s="1" t="n">
        <v>46043</v>
      </c>
      <c r="E8425" s="1" t="n">
        <v>46307</v>
      </c>
      <c r="F8425" t="inlineStr">
        <is>
          <t>VÄRMLANDS LÄN</t>
        </is>
      </c>
      <c r="G8425" t="inlineStr">
        <is>
          <t>ARVIKA</t>
        </is>
      </c>
      <c r="I8425" t="n">
        <v>2.4</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3936-2026</t>
        </is>
      </c>
      <c r="B8426" t="inlineStr">
        <is>
          <t>avverkningsanmälan</t>
        </is>
      </c>
      <c r="C8426" t="inlineStr">
        <is>
          <t>Föryngringsavverkning</t>
        </is>
      </c>
      <c r="D8426" s="1" t="n">
        <v>46043</v>
      </c>
      <c r="E8426" s="1" t="n">
        <v>46307</v>
      </c>
      <c r="F8426" t="inlineStr">
        <is>
          <t>VÄRMLANDS LÄN</t>
        </is>
      </c>
      <c r="G8426" t="inlineStr">
        <is>
          <t>SUNNE</t>
        </is>
      </c>
      <c r="I8426" t="n">
        <v>0.8</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3940-2026</t>
        </is>
      </c>
      <c r="B8427" t="inlineStr">
        <is>
          <t>avverkningsanmälan</t>
        </is>
      </c>
      <c r="C8427" t="inlineStr">
        <is>
          <t>Föryngringsavverkning</t>
        </is>
      </c>
      <c r="D8427" s="1" t="n">
        <v>46043</v>
      </c>
      <c r="E8427" s="1" t="n">
        <v>46307</v>
      </c>
      <c r="F8427" t="inlineStr">
        <is>
          <t>VÄRMLANDS LÄN</t>
        </is>
      </c>
      <c r="G8427" t="inlineStr">
        <is>
          <t>TORSBY</t>
        </is>
      </c>
      <c r="I8427" t="n">
        <v>2.1</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30160-2025</t>
        </is>
      </c>
      <c r="B8428" t="inlineStr">
        <is>
          <t>avverkningsanmälan</t>
        </is>
      </c>
      <c r="C8428" t="inlineStr">
        <is>
          <t>Föryngringsavverkning</t>
        </is>
      </c>
      <c r="D8428" s="1" t="n">
        <v>45827</v>
      </c>
      <c r="E8428" s="1" t="n">
        <v>46307</v>
      </c>
      <c r="F8428" t="inlineStr">
        <is>
          <t>VÄRMLANDS LÄN</t>
        </is>
      </c>
      <c r="G8428" t="inlineStr">
        <is>
          <t>MUNKFORS</t>
        </is>
      </c>
      <c r="H8428" t="inlineStr">
        <is>
          <t>Bergvik skog väst AB</t>
        </is>
      </c>
      <c r="I8428" t="n">
        <v>1.6</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53301-2025</t>
        </is>
      </c>
      <c r="B8429" t="inlineStr">
        <is>
          <t>avverkningsanmälan</t>
        </is>
      </c>
      <c r="C8429" t="inlineStr">
        <is>
          <t>Föryngringsavverkning</t>
        </is>
      </c>
      <c r="D8429" s="1" t="n">
        <v>45959</v>
      </c>
      <c r="E8429" s="1" t="n">
        <v>46307</v>
      </c>
      <c r="F8429" t="inlineStr">
        <is>
          <t>VÄRMLANDS LÄN</t>
        </is>
      </c>
      <c r="G8429" t="inlineStr">
        <is>
          <t>ARVIKA</t>
        </is>
      </c>
      <c r="I8429" t="n">
        <v>1.2</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5360-2025</t>
        </is>
      </c>
      <c r="B8430" t="inlineStr">
        <is>
          <t>avverkningsanmälan</t>
        </is>
      </c>
      <c r="C8430" t="inlineStr">
        <is>
          <t>Föryngringsavverkning</t>
        </is>
      </c>
      <c r="D8430" s="1" t="n">
        <v>45692</v>
      </c>
      <c r="E8430" s="1" t="n">
        <v>46307</v>
      </c>
      <c r="F8430" t="inlineStr">
        <is>
          <t>VÄRMLANDS LÄN</t>
        </is>
      </c>
      <c r="G8430" t="inlineStr">
        <is>
          <t>ARVIKA</t>
        </is>
      </c>
      <c r="H8430" t="inlineStr">
        <is>
          <t>Kommuner</t>
        </is>
      </c>
      <c r="I8430" t="n">
        <v>0.8</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20102-2026</t>
        </is>
      </c>
      <c r="B8431" t="inlineStr">
        <is>
          <t>avverkningsanmälan</t>
        </is>
      </c>
      <c r="C8431" t="inlineStr">
        <is>
          <t>Föryngringsavverkning</t>
        </is>
      </c>
      <c r="D8431" s="1" t="n">
        <v>46136</v>
      </c>
      <c r="E8431" s="1" t="n">
        <v>46307</v>
      </c>
      <c r="F8431" t="inlineStr">
        <is>
          <t>VÄRMLANDS LÄN</t>
        </is>
      </c>
      <c r="G8431" t="inlineStr">
        <is>
          <t>KRISTINEHAMN</t>
        </is>
      </c>
      <c r="I8431" t="n">
        <v>0.3</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44423-2024</t>
        </is>
      </c>
      <c r="B8432" t="inlineStr">
        <is>
          <t>avverkningsanmälan</t>
        </is>
      </c>
      <c r="C8432" t="inlineStr">
        <is>
          <t>Föryngringsavverkning</t>
        </is>
      </c>
      <c r="D8432" s="1" t="n">
        <v>45573</v>
      </c>
      <c r="E8432" s="1" t="n">
        <v>46307</v>
      </c>
      <c r="F8432" t="inlineStr">
        <is>
          <t>VÄRMLANDS LÄN</t>
        </is>
      </c>
      <c r="G8432" t="inlineStr">
        <is>
          <t>TORSBY</t>
        </is>
      </c>
      <c r="I8432" t="n">
        <v>34.1</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52057-2024</t>
        </is>
      </c>
      <c r="B8433" t="inlineStr">
        <is>
          <t>avverkningsanmälan</t>
        </is>
      </c>
      <c r="C8433" t="inlineStr">
        <is>
          <t>Föryngringsavverkning</t>
        </is>
      </c>
      <c r="D8433" s="1" t="n">
        <v>45608</v>
      </c>
      <c r="E8433" s="1" t="n">
        <v>46307</v>
      </c>
      <c r="F8433" t="inlineStr">
        <is>
          <t>VÄRMLANDS LÄN</t>
        </is>
      </c>
      <c r="G8433" t="inlineStr">
        <is>
          <t>TORSBY</t>
        </is>
      </c>
      <c r="I8433" t="n">
        <v>3.6</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52062-2024</t>
        </is>
      </c>
      <c r="B8434" t="inlineStr">
        <is>
          <t>avverkningsanmälan</t>
        </is>
      </c>
      <c r="C8434" t="inlineStr">
        <is>
          <t>Föryngringsavverkning</t>
        </is>
      </c>
      <c r="D8434" s="1" t="n">
        <v>45608</v>
      </c>
      <c r="E8434" s="1" t="n">
        <v>46307</v>
      </c>
      <c r="F8434" t="inlineStr">
        <is>
          <t>VÄRMLANDS LÄN</t>
        </is>
      </c>
      <c r="G8434" t="inlineStr">
        <is>
          <t>TORSBY</t>
        </is>
      </c>
      <c r="I8434" t="n">
        <v>2.1</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29702-2025</t>
        </is>
      </c>
      <c r="B8435" t="inlineStr">
        <is>
          <t>avverkningsanmälan</t>
        </is>
      </c>
      <c r="C8435" t="inlineStr">
        <is>
          <t>Föryngringsavverkning</t>
        </is>
      </c>
      <c r="D8435" s="1" t="n">
        <v>45825</v>
      </c>
      <c r="E8435" s="1" t="n">
        <v>46307</v>
      </c>
      <c r="F8435" t="inlineStr">
        <is>
          <t>VÄRMLANDS LÄN</t>
        </is>
      </c>
      <c r="G8435" t="inlineStr">
        <is>
          <t>TORSBY</t>
        </is>
      </c>
      <c r="I8435" t="n">
        <v>8.6</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69008-2021</t>
        </is>
      </c>
      <c r="B8436" t="inlineStr">
        <is>
          <t>avverkningsanmälan</t>
        </is>
      </c>
      <c r="C8436" t="inlineStr">
        <is>
          <t>Föryngringsavverkning</t>
        </is>
      </c>
      <c r="D8436" s="1" t="n">
        <v>44530</v>
      </c>
      <c r="E8436" s="1" t="n">
        <v>46307</v>
      </c>
      <c r="F8436" t="inlineStr">
        <is>
          <t>VÄRMLANDS LÄN</t>
        </is>
      </c>
      <c r="G8436" t="inlineStr">
        <is>
          <t>KARLSTAD</t>
        </is>
      </c>
      <c r="I8436" t="n">
        <v>6.2</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1828-2026</t>
        </is>
      </c>
      <c r="B8437" t="inlineStr">
        <is>
          <t>avverkningsanmälan</t>
        </is>
      </c>
      <c r="C8437" t="inlineStr">
        <is>
          <t>Föryngringsavverkning</t>
        </is>
      </c>
      <c r="D8437" s="1" t="n">
        <v>46035</v>
      </c>
      <c r="E8437" s="1" t="n">
        <v>46307</v>
      </c>
      <c r="F8437" t="inlineStr">
        <is>
          <t>VÄRMLANDS LÄN</t>
        </is>
      </c>
      <c r="G8437" t="inlineStr">
        <is>
          <t>TORSBY</t>
        </is>
      </c>
      <c r="I8437" t="n">
        <v>1.3</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20405-2026</t>
        </is>
      </c>
      <c r="B8438" t="inlineStr">
        <is>
          <t>avverkningsanmälan</t>
        </is>
      </c>
      <c r="C8438" t="inlineStr">
        <is>
          <t>Föryngringsavverkning</t>
        </is>
      </c>
      <c r="D8438" s="1" t="n">
        <v>46139</v>
      </c>
      <c r="E8438" s="1" t="n">
        <v>46307</v>
      </c>
      <c r="F8438" t="inlineStr">
        <is>
          <t>VÄRMLANDS LÄN</t>
        </is>
      </c>
      <c r="G8438" t="inlineStr">
        <is>
          <t>SÄFFLE</t>
        </is>
      </c>
      <c r="I8438" t="n">
        <v>8.1</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11670-2025</t>
        </is>
      </c>
      <c r="B8439" t="inlineStr">
        <is>
          <t>avverkningsanmälan</t>
        </is>
      </c>
      <c r="C8439" t="inlineStr">
        <is>
          <t>Föryngringsavverkning</t>
        </is>
      </c>
      <c r="D8439" s="1" t="n">
        <v>45727</v>
      </c>
      <c r="E8439" s="1" t="n">
        <v>46307</v>
      </c>
      <c r="F8439" t="inlineStr">
        <is>
          <t>VÄRMLANDS LÄN</t>
        </is>
      </c>
      <c r="G8439" t="inlineStr">
        <is>
          <t>TORSBY</t>
        </is>
      </c>
      <c r="I8439" t="n">
        <v>10.9</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53570-2024</t>
        </is>
      </c>
      <c r="B8440" t="inlineStr">
        <is>
          <t>avverkningsanmälan</t>
        </is>
      </c>
      <c r="C8440" t="inlineStr">
        <is>
          <t>Föryngringsavverkning</t>
        </is>
      </c>
      <c r="D8440" s="1" t="n">
        <v>45614</v>
      </c>
      <c r="E8440" s="1" t="n">
        <v>46307</v>
      </c>
      <c r="F8440" t="inlineStr">
        <is>
          <t>VÄRMLANDS LÄN</t>
        </is>
      </c>
      <c r="G8440" t="inlineStr">
        <is>
          <t>TORSBY</t>
        </is>
      </c>
      <c r="I8440" t="n">
        <v>15.5</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33189-2025</t>
        </is>
      </c>
      <c r="B8441" t="inlineStr">
        <is>
          <t>avverkningsanmälan</t>
        </is>
      </c>
      <c r="C8441" t="inlineStr">
        <is>
          <t>Föryngringsavverkning</t>
        </is>
      </c>
      <c r="D8441" s="1" t="n">
        <v>45840</v>
      </c>
      <c r="E8441" s="1" t="n">
        <v>46307</v>
      </c>
      <c r="F8441" t="inlineStr">
        <is>
          <t>VÄRMLANDS LÄN</t>
        </is>
      </c>
      <c r="G8441" t="inlineStr">
        <is>
          <t>TORSBY</t>
        </is>
      </c>
      <c r="I8441" t="n">
        <v>2.7</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20453-2026</t>
        </is>
      </c>
      <c r="B8442" t="inlineStr">
        <is>
          <t>avverkningsanmälan</t>
        </is>
      </c>
      <c r="C8442" t="inlineStr">
        <is>
          <t>Föryngringsavverkning</t>
        </is>
      </c>
      <c r="D8442" s="1" t="n">
        <v>46140</v>
      </c>
      <c r="E8442" s="1" t="n">
        <v>46307</v>
      </c>
      <c r="F8442" t="inlineStr">
        <is>
          <t>VÄRMLANDS LÄN</t>
        </is>
      </c>
      <c r="G8442" t="inlineStr">
        <is>
          <t>STORFORS</t>
        </is>
      </c>
      <c r="H8442" t="inlineStr">
        <is>
          <t>Bergvik skog väst AB</t>
        </is>
      </c>
      <c r="I8442" t="n">
        <v>16.1</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20465-2026</t>
        </is>
      </c>
      <c r="B8443" t="inlineStr">
        <is>
          <t>avverkningsanmälan</t>
        </is>
      </c>
      <c r="C8443" t="inlineStr">
        <is>
          <t>Föryngringsavverkning</t>
        </is>
      </c>
      <c r="D8443" s="1" t="n">
        <v>46140</v>
      </c>
      <c r="E8443" s="1" t="n">
        <v>46307</v>
      </c>
      <c r="F8443" t="inlineStr">
        <is>
          <t>VÄRMLANDS LÄN</t>
        </is>
      </c>
      <c r="G8443" t="inlineStr">
        <is>
          <t>STORFORS</t>
        </is>
      </c>
      <c r="H8443" t="inlineStr">
        <is>
          <t>Bergvik skog väst AB</t>
        </is>
      </c>
      <c r="I8443" t="n">
        <v>10.7</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15885-2025</t>
        </is>
      </c>
      <c r="B8444" t="inlineStr">
        <is>
          <t>avverkningsanmälan</t>
        </is>
      </c>
      <c r="C8444" t="inlineStr">
        <is>
          <t>Föryngringsavverkning</t>
        </is>
      </c>
      <c r="D8444" s="1" t="n">
        <v>45749</v>
      </c>
      <c r="E8444" s="1" t="n">
        <v>46307</v>
      </c>
      <c r="F8444" t="inlineStr">
        <is>
          <t>VÄRMLANDS LÄN</t>
        </is>
      </c>
      <c r="G8444" t="inlineStr">
        <is>
          <t>TORSBY</t>
        </is>
      </c>
      <c r="I8444" t="n">
        <v>9.9</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20060-2025</t>
        </is>
      </c>
      <c r="B8445" t="inlineStr">
        <is>
          <t>avverkningsanmälan</t>
        </is>
      </c>
      <c r="C8445" t="inlineStr">
        <is>
          <t>Föryngringsavverkning</t>
        </is>
      </c>
      <c r="D8445" s="1" t="n">
        <v>45772</v>
      </c>
      <c r="E8445" s="1" t="n">
        <v>46307</v>
      </c>
      <c r="F8445" t="inlineStr">
        <is>
          <t>VÄRMLANDS LÄN</t>
        </is>
      </c>
      <c r="G8445" t="inlineStr">
        <is>
          <t>TORSBY</t>
        </is>
      </c>
      <c r="I8445" t="n">
        <v>0.5</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4171-2026</t>
        </is>
      </c>
      <c r="B8446" t="inlineStr">
        <is>
          <t>avverkningsanmälan</t>
        </is>
      </c>
      <c r="C8446" t="inlineStr">
        <is>
          <t>Föryngringsavverkning</t>
        </is>
      </c>
      <c r="D8446" s="1" t="n">
        <v>46044</v>
      </c>
      <c r="E8446" s="1" t="n">
        <v>46307</v>
      </c>
      <c r="F8446" t="inlineStr">
        <is>
          <t>VÄRMLANDS LÄN</t>
        </is>
      </c>
      <c r="G8446" t="inlineStr">
        <is>
          <t>TORSBY</t>
        </is>
      </c>
      <c r="I8446" t="n">
        <v>2.2</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58129-2022</t>
        </is>
      </c>
      <c r="B8447" t="inlineStr">
        <is>
          <t>avverkningsanmälan</t>
        </is>
      </c>
      <c r="C8447" t="inlineStr">
        <is>
          <t>Avverkning för annat ändamål</t>
        </is>
      </c>
      <c r="D8447" s="1" t="n">
        <v>44900</v>
      </c>
      <c r="E8447" s="1" t="n">
        <v>46307</v>
      </c>
      <c r="F8447" t="inlineStr">
        <is>
          <t>VÄRMLANDS LÄN</t>
        </is>
      </c>
      <c r="G8447" t="inlineStr">
        <is>
          <t>SUNNE</t>
        </is>
      </c>
      <c r="I8447" t="n">
        <v>1.8</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3968-2025</t>
        </is>
      </c>
      <c r="B8448" t="inlineStr">
        <is>
          <t>avverkningsanmälan</t>
        </is>
      </c>
      <c r="C8448" t="inlineStr">
        <is>
          <t>Föryngringsavverkning</t>
        </is>
      </c>
      <c r="D8448" s="1" t="n">
        <v>45684</v>
      </c>
      <c r="E8448" s="1" t="n">
        <v>46307</v>
      </c>
      <c r="F8448" t="inlineStr">
        <is>
          <t>VÄRMLANDS LÄN</t>
        </is>
      </c>
      <c r="G8448" t="inlineStr">
        <is>
          <t>ÅRJÄNG</t>
        </is>
      </c>
      <c r="I8448" t="n">
        <v>1.1</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58851-2023</t>
        </is>
      </c>
      <c r="B8449" t="inlineStr">
        <is>
          <t>avverkningsanmälan</t>
        </is>
      </c>
      <c r="C8449" t="inlineStr">
        <is>
          <t>Föryngringsavverkning</t>
        </is>
      </c>
      <c r="D8449" s="1" t="n">
        <v>45252</v>
      </c>
      <c r="E8449" s="1" t="n">
        <v>46307</v>
      </c>
      <c r="F8449" t="inlineStr">
        <is>
          <t>VÄRMLANDS LÄN</t>
        </is>
      </c>
      <c r="G8449" t="inlineStr">
        <is>
          <t>SUNNE</t>
        </is>
      </c>
      <c r="I8449" t="n">
        <v>7.2</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22714-2025</t>
        </is>
      </c>
      <c r="B8450" t="inlineStr">
        <is>
          <t>avverkningsanmälan</t>
        </is>
      </c>
      <c r="C8450" t="inlineStr">
        <is>
          <t>Föryngringsavverkning</t>
        </is>
      </c>
      <c r="D8450" s="1" t="n">
        <v>45788</v>
      </c>
      <c r="E8450" s="1" t="n">
        <v>46307</v>
      </c>
      <c r="F8450" t="inlineStr">
        <is>
          <t>VÄRMLANDS LÄN</t>
        </is>
      </c>
      <c r="G8450" t="inlineStr">
        <is>
          <t>ARVIKA</t>
        </is>
      </c>
      <c r="I8450" t="n">
        <v>2.3</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3685-2026</t>
        </is>
      </c>
      <c r="B8451" t="inlineStr">
        <is>
          <t>avverkningsanmälan</t>
        </is>
      </c>
      <c r="C8451" t="inlineStr">
        <is>
          <t>Föryngringsavverkning</t>
        </is>
      </c>
      <c r="D8451" s="1" t="n">
        <v>46043</v>
      </c>
      <c r="E8451" s="1" t="n">
        <v>46307</v>
      </c>
      <c r="F8451" t="inlineStr">
        <is>
          <t>VÄRMLANDS LÄN</t>
        </is>
      </c>
      <c r="G8451" t="inlineStr">
        <is>
          <t>TORSBY</t>
        </is>
      </c>
      <c r="I8451" t="n">
        <v>5.4</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3713-2026</t>
        </is>
      </c>
      <c r="B8452" t="inlineStr">
        <is>
          <t>avverkningsanmälan</t>
        </is>
      </c>
      <c r="C8452" t="inlineStr">
        <is>
          <t>Föryngringsavverkning</t>
        </is>
      </c>
      <c r="D8452" s="1" t="n">
        <v>46043</v>
      </c>
      <c r="E8452" s="1" t="n">
        <v>46307</v>
      </c>
      <c r="F8452" t="inlineStr">
        <is>
          <t>VÄRMLANDS LÄN</t>
        </is>
      </c>
      <c r="G8452" t="inlineStr">
        <is>
          <t>SUNNE</t>
        </is>
      </c>
      <c r="I8452" t="n">
        <v>3.7</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6481-2025</t>
        </is>
      </c>
      <c r="B8453" t="inlineStr">
        <is>
          <t>avverkningsanmälan</t>
        </is>
      </c>
      <c r="C8453" t="inlineStr">
        <is>
          <t>Föryngringsavverkning</t>
        </is>
      </c>
      <c r="D8453" s="1" t="n">
        <v>45699</v>
      </c>
      <c r="E8453" s="1" t="n">
        <v>46307</v>
      </c>
      <c r="F8453" t="inlineStr">
        <is>
          <t>VÄRMLANDS LÄN</t>
        </is>
      </c>
      <c r="G8453" t="inlineStr">
        <is>
          <t>SUNNE</t>
        </is>
      </c>
      <c r="I8453" t="n">
        <v>1.8</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55274-2023</t>
        </is>
      </c>
      <c r="B8454" t="inlineStr">
        <is>
          <t>avverkningsanmälan</t>
        </is>
      </c>
      <c r="C8454" t="inlineStr">
        <is>
          <t>Föryngringsavverkning</t>
        </is>
      </c>
      <c r="D8454" s="1" t="n">
        <v>45237</v>
      </c>
      <c r="E8454" s="1" t="n">
        <v>46307</v>
      </c>
      <c r="F8454" t="inlineStr">
        <is>
          <t>VÄRMLANDS LÄN</t>
        </is>
      </c>
      <c r="G8454" t="inlineStr">
        <is>
          <t>SÄFFLE</t>
        </is>
      </c>
      <c r="I8454" t="n">
        <v>0.7</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25799-2022</t>
        </is>
      </c>
      <c r="B8455" t="inlineStr">
        <is>
          <t>avverkningsanmälan</t>
        </is>
      </c>
      <c r="C8455" t="inlineStr">
        <is>
          <t>Föryngringsavverkning</t>
        </is>
      </c>
      <c r="D8455" s="1" t="n">
        <v>44708</v>
      </c>
      <c r="E8455" s="1" t="n">
        <v>46307</v>
      </c>
      <c r="F8455" t="inlineStr">
        <is>
          <t>VÄRMLANDS LÄN</t>
        </is>
      </c>
      <c r="G8455" t="inlineStr">
        <is>
          <t>KARLSTAD</t>
        </is>
      </c>
      <c r="I8455" t="n">
        <v>1.5</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56643-2022</t>
        </is>
      </c>
      <c r="B8456" t="inlineStr">
        <is>
          <t>avverkningsanmälan</t>
        </is>
      </c>
      <c r="C8456" t="inlineStr">
        <is>
          <t>Föryngringsavverkning</t>
        </is>
      </c>
      <c r="D8456" s="1" t="n">
        <v>44893</v>
      </c>
      <c r="E8456" s="1" t="n">
        <v>46307</v>
      </c>
      <c r="F8456" t="inlineStr">
        <is>
          <t>VÄRMLANDS LÄN</t>
        </is>
      </c>
      <c r="G8456" t="inlineStr">
        <is>
          <t>KARLSTAD</t>
        </is>
      </c>
      <c r="I8456" t="n">
        <v>3.8</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38835-2024</t>
        </is>
      </c>
      <c r="B8457" t="inlineStr">
        <is>
          <t>avverkningsanmälan</t>
        </is>
      </c>
      <c r="C8457" t="inlineStr">
        <is>
          <t>Föryngringsavverkning</t>
        </is>
      </c>
      <c r="D8457" s="1" t="n">
        <v>45547</v>
      </c>
      <c r="E8457" s="1" t="n">
        <v>46307</v>
      </c>
      <c r="F8457" t="inlineStr">
        <is>
          <t>VÄRMLANDS LÄN</t>
        </is>
      </c>
      <c r="G8457" t="inlineStr">
        <is>
          <t>KIL</t>
        </is>
      </c>
      <c r="I8457" t="n">
        <v>1.8</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40466-2024</t>
        </is>
      </c>
      <c r="B8458" t="inlineStr">
        <is>
          <t>avverkningsanmälan</t>
        </is>
      </c>
      <c r="C8458" t="inlineStr">
        <is>
          <t>Föryngringsavverkning</t>
        </is>
      </c>
      <c r="D8458" s="1" t="n">
        <v>45555</v>
      </c>
      <c r="E8458" s="1" t="n">
        <v>46307</v>
      </c>
      <c r="F8458" t="inlineStr">
        <is>
          <t>VÄRMLANDS LÄN</t>
        </is>
      </c>
      <c r="G8458" t="inlineStr">
        <is>
          <t>SÄFFLE</t>
        </is>
      </c>
      <c r="I8458" t="n">
        <v>17.3</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58020-2024</t>
        </is>
      </c>
      <c r="B8459" t="inlineStr">
        <is>
          <t>avverkningsanmälan</t>
        </is>
      </c>
      <c r="C8459" t="inlineStr">
        <is>
          <t>Föryngringsavverkning</t>
        </is>
      </c>
      <c r="D8459" s="1" t="n">
        <v>45631</v>
      </c>
      <c r="E8459" s="1" t="n">
        <v>46307</v>
      </c>
      <c r="F8459" t="inlineStr">
        <is>
          <t>VÄRMLANDS LÄN</t>
        </is>
      </c>
      <c r="G8459" t="inlineStr">
        <is>
          <t>SÄFFLE</t>
        </is>
      </c>
      <c r="I8459" t="n">
        <v>0.6</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18447-2025</t>
        </is>
      </c>
      <c r="B8460" t="inlineStr">
        <is>
          <t>avverkningsanmälan</t>
        </is>
      </c>
      <c r="C8460" t="inlineStr">
        <is>
          <t>Föryngringsavverkning</t>
        </is>
      </c>
      <c r="D8460" s="1" t="n">
        <v>45762</v>
      </c>
      <c r="E8460" s="1" t="n">
        <v>46307</v>
      </c>
      <c r="F8460" t="inlineStr">
        <is>
          <t>VÄRMLANDS LÄN</t>
        </is>
      </c>
      <c r="G8460" t="inlineStr">
        <is>
          <t>TORSBY</t>
        </is>
      </c>
      <c r="I8460" t="n">
        <v>12.8</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44906-2024</t>
        </is>
      </c>
      <c r="B8461" t="inlineStr">
        <is>
          <t>avverkningsanmälan</t>
        </is>
      </c>
      <c r="C8461" t="inlineStr">
        <is>
          <t>Föryngringsavverkning</t>
        </is>
      </c>
      <c r="D8461" s="1" t="n">
        <v>45575</v>
      </c>
      <c r="E8461" s="1" t="n">
        <v>46307</v>
      </c>
      <c r="F8461" t="inlineStr">
        <is>
          <t>VÄRMLANDS LÄN</t>
        </is>
      </c>
      <c r="G8461" t="inlineStr">
        <is>
          <t>HAGFORS</t>
        </is>
      </c>
      <c r="I8461" t="n">
        <v>1</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20519-2026</t>
        </is>
      </c>
      <c r="B8462" t="inlineStr">
        <is>
          <t>avverkningsanmälan</t>
        </is>
      </c>
      <c r="C8462" t="inlineStr">
        <is>
          <t>Föryngringsavverkning</t>
        </is>
      </c>
      <c r="D8462" s="1" t="n">
        <v>46140</v>
      </c>
      <c r="E8462" s="1" t="n">
        <v>46307</v>
      </c>
      <c r="F8462" t="inlineStr">
        <is>
          <t>VÄRMLANDS LÄN</t>
        </is>
      </c>
      <c r="G8462" t="inlineStr">
        <is>
          <t>SUNNE</t>
        </is>
      </c>
      <c r="I8462" t="n">
        <v>7.1</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20557-2026</t>
        </is>
      </c>
      <c r="B8463" t="inlineStr">
        <is>
          <t>avverkningsanmälan</t>
        </is>
      </c>
      <c r="C8463" t="inlineStr">
        <is>
          <t>Föryngringsavverkning</t>
        </is>
      </c>
      <c r="D8463" s="1" t="n">
        <v>46140</v>
      </c>
      <c r="E8463" s="1" t="n">
        <v>46307</v>
      </c>
      <c r="F8463" t="inlineStr">
        <is>
          <t>VÄRMLANDS LÄN</t>
        </is>
      </c>
      <c r="G8463" t="inlineStr">
        <is>
          <t>EDA</t>
        </is>
      </c>
      <c r="H8463" t="inlineStr">
        <is>
          <t>Bergvik skog väst AB</t>
        </is>
      </c>
      <c r="I8463" t="n">
        <v>3.7</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49925-2024</t>
        </is>
      </c>
      <c r="B8464" t="inlineStr">
        <is>
          <t>avverkningsanmälan</t>
        </is>
      </c>
      <c r="C8464" t="inlineStr">
        <is>
          <t>Föryngringsavverkning</t>
        </is>
      </c>
      <c r="D8464" s="1" t="n">
        <v>45597</v>
      </c>
      <c r="E8464" s="1" t="n">
        <v>46307</v>
      </c>
      <c r="F8464" t="inlineStr">
        <is>
          <t>VÄRMLANDS LÄN</t>
        </is>
      </c>
      <c r="G8464" t="inlineStr">
        <is>
          <t>ARVIKA</t>
        </is>
      </c>
      <c r="I8464" t="n">
        <v>1.3</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12933-2023</t>
        </is>
      </c>
      <c r="B8465" t="inlineStr">
        <is>
          <t>avverkningsanmälan</t>
        </is>
      </c>
      <c r="C8465" t="inlineStr">
        <is>
          <t>Föryngringsavverkning</t>
        </is>
      </c>
      <c r="D8465" s="1" t="n">
        <v>45001</v>
      </c>
      <c r="E8465" s="1" t="n">
        <v>46307</v>
      </c>
      <c r="F8465" t="inlineStr">
        <is>
          <t>VÄRMLANDS LÄN</t>
        </is>
      </c>
      <c r="G8465" t="inlineStr">
        <is>
          <t>TORSBY</t>
        </is>
      </c>
      <c r="I8465" t="n">
        <v>7.1</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20564-2026</t>
        </is>
      </c>
      <c r="B8466" t="inlineStr">
        <is>
          <t>avverkningsanmälan</t>
        </is>
      </c>
      <c r="C8466" t="inlineStr">
        <is>
          <t>Föryngringsavverkning</t>
        </is>
      </c>
      <c r="D8466" s="1" t="n">
        <v>46140</v>
      </c>
      <c r="E8466" s="1" t="n">
        <v>46307</v>
      </c>
      <c r="F8466" t="inlineStr">
        <is>
          <t>VÄRMLANDS LÄN</t>
        </is>
      </c>
      <c r="G8466" t="inlineStr">
        <is>
          <t>HAGFORS</t>
        </is>
      </c>
      <c r="H8466" t="inlineStr">
        <is>
          <t>Bergvik skog väst AB</t>
        </is>
      </c>
      <c r="I8466" t="n">
        <v>2.9</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20570-2026</t>
        </is>
      </c>
      <c r="B8467" t="inlineStr">
        <is>
          <t>avverkningsanmälan</t>
        </is>
      </c>
      <c r="C8467" t="inlineStr">
        <is>
          <t>Föryngringsavverkning</t>
        </is>
      </c>
      <c r="D8467" s="1" t="n">
        <v>46140</v>
      </c>
      <c r="E8467" s="1" t="n">
        <v>46307</v>
      </c>
      <c r="F8467" t="inlineStr">
        <is>
          <t>VÄRMLANDS LÄN</t>
        </is>
      </c>
      <c r="G8467" t="inlineStr">
        <is>
          <t>KRISTINEHAMN</t>
        </is>
      </c>
      <c r="H8467" t="inlineStr">
        <is>
          <t>Sveaskog</t>
        </is>
      </c>
      <c r="I8467" t="n">
        <v>14.2</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29508-2023</t>
        </is>
      </c>
      <c r="B8468" t="inlineStr">
        <is>
          <t>avverkningsanmälan</t>
        </is>
      </c>
      <c r="C8468" t="inlineStr">
        <is>
          <t>Föryngringsavverkning</t>
        </is>
      </c>
      <c r="D8468" s="1" t="n">
        <v>45106</v>
      </c>
      <c r="E8468" s="1" t="n">
        <v>46307</v>
      </c>
      <c r="F8468" t="inlineStr">
        <is>
          <t>VÄRMLANDS LÄN</t>
        </is>
      </c>
      <c r="G8468" t="inlineStr">
        <is>
          <t>SÄFFLE</t>
        </is>
      </c>
      <c r="I8468" t="n">
        <v>0.6</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19324-2022</t>
        </is>
      </c>
      <c r="B8469" t="inlineStr">
        <is>
          <t>avverkningsanmälan</t>
        </is>
      </c>
      <c r="C8469" t="inlineStr">
        <is>
          <t>Föryngringsavverkning</t>
        </is>
      </c>
      <c r="D8469" s="1" t="n">
        <v>44692</v>
      </c>
      <c r="E8469" s="1" t="n">
        <v>46307</v>
      </c>
      <c r="F8469" t="inlineStr">
        <is>
          <t>VÄRMLANDS LÄN</t>
        </is>
      </c>
      <c r="G8469" t="inlineStr">
        <is>
          <t>STORFORS</t>
        </is>
      </c>
      <c r="I8469" t="n">
        <v>1.8</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7184-2024</t>
        </is>
      </c>
      <c r="B8470" t="inlineStr">
        <is>
          <t>avverkningsanmälan</t>
        </is>
      </c>
      <c r="C8470" t="inlineStr">
        <is>
          <t>Föryngringsavverkning</t>
        </is>
      </c>
      <c r="D8470" s="1" t="n">
        <v>45344</v>
      </c>
      <c r="E8470" s="1" t="n">
        <v>46307</v>
      </c>
      <c r="F8470" t="inlineStr">
        <is>
          <t>VÄRMLANDS LÄN</t>
        </is>
      </c>
      <c r="G8470" t="inlineStr">
        <is>
          <t>ÅRJÄNG</t>
        </is>
      </c>
      <c r="I8470" t="n">
        <v>1.3</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3937-2026</t>
        </is>
      </c>
      <c r="B8471" t="inlineStr">
        <is>
          <t>avverkningsanmälan</t>
        </is>
      </c>
      <c r="C8471" t="inlineStr">
        <is>
          <t>Föryngringsavverkning</t>
        </is>
      </c>
      <c r="D8471" s="1" t="n">
        <v>46043</v>
      </c>
      <c r="E8471" s="1" t="n">
        <v>46307</v>
      </c>
      <c r="F8471" t="inlineStr">
        <is>
          <t>VÄRMLANDS LÄN</t>
        </is>
      </c>
      <c r="G8471" t="inlineStr">
        <is>
          <t>SUNNE</t>
        </is>
      </c>
      <c r="I8471" t="n">
        <v>4.2</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20594-2026</t>
        </is>
      </c>
      <c r="B8472" t="inlineStr">
        <is>
          <t>avverkningsanmälan</t>
        </is>
      </c>
      <c r="C8472" t="inlineStr">
        <is>
          <t>Föryngringsavverkning</t>
        </is>
      </c>
      <c r="D8472" s="1" t="n">
        <v>46140</v>
      </c>
      <c r="E8472" s="1" t="n">
        <v>46307</v>
      </c>
      <c r="F8472" t="inlineStr">
        <is>
          <t>VÄRMLANDS LÄN</t>
        </is>
      </c>
      <c r="G8472" t="inlineStr">
        <is>
          <t>HAGFORS</t>
        </is>
      </c>
      <c r="I8472" t="n">
        <v>0.7</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49214-2023</t>
        </is>
      </c>
      <c r="B8473" t="inlineStr">
        <is>
          <t>avverkningsanmälan</t>
        </is>
      </c>
      <c r="C8473" t="inlineStr">
        <is>
          <t>Föryngringsavverkning</t>
        </is>
      </c>
      <c r="D8473" s="1" t="n">
        <v>45210</v>
      </c>
      <c r="E8473" s="1" t="n">
        <v>46307</v>
      </c>
      <c r="F8473" t="inlineStr">
        <is>
          <t>VÄRMLANDS LÄN</t>
        </is>
      </c>
      <c r="G8473" t="inlineStr">
        <is>
          <t>SUNNE</t>
        </is>
      </c>
      <c r="H8473" t="inlineStr">
        <is>
          <t>Kommuner</t>
        </is>
      </c>
      <c r="I8473" t="n">
        <v>1</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72772-2021</t>
        </is>
      </c>
      <c r="B8474" t="inlineStr">
        <is>
          <t>avverkningsanmälan</t>
        </is>
      </c>
      <c r="C8474" t="inlineStr">
        <is>
          <t>Föryngringsavverkning</t>
        </is>
      </c>
      <c r="D8474" s="1" t="n">
        <v>44547</v>
      </c>
      <c r="E8474" s="1" t="n">
        <v>46307</v>
      </c>
      <c r="F8474" t="inlineStr">
        <is>
          <t>VÄRMLANDS LÄN</t>
        </is>
      </c>
      <c r="G8474" t="inlineStr">
        <is>
          <t>KARLSTAD</t>
        </is>
      </c>
      <c r="I8474" t="n">
        <v>2.5</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59871-2024</t>
        </is>
      </c>
      <c r="B8475" t="inlineStr">
        <is>
          <t>avverkningsanmälan</t>
        </is>
      </c>
      <c r="C8475" t="inlineStr">
        <is>
          <t>Föryngringsavverkning</t>
        </is>
      </c>
      <c r="D8475" s="1" t="n">
        <v>45640</v>
      </c>
      <c r="E8475" s="1" t="n">
        <v>46307</v>
      </c>
      <c r="F8475" t="inlineStr">
        <is>
          <t>VÄRMLANDS LÄN</t>
        </is>
      </c>
      <c r="G8475" t="inlineStr">
        <is>
          <t>KIL</t>
        </is>
      </c>
      <c r="I8475" t="n">
        <v>2</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3925-2026</t>
        </is>
      </c>
      <c r="B8476" t="inlineStr">
        <is>
          <t>avverkningsanmälan</t>
        </is>
      </c>
      <c r="C8476" t="inlineStr">
        <is>
          <t>Föryngringsavverkning</t>
        </is>
      </c>
      <c r="D8476" s="1" t="n">
        <v>46043</v>
      </c>
      <c r="E8476" s="1" t="n">
        <v>46307</v>
      </c>
      <c r="F8476" t="inlineStr">
        <is>
          <t>VÄRMLANDS LÄN</t>
        </is>
      </c>
      <c r="G8476" t="inlineStr">
        <is>
          <t>ARVIKA</t>
        </is>
      </c>
      <c r="I8476" t="n">
        <v>1.7</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30997-2025</t>
        </is>
      </c>
      <c r="B8477" t="inlineStr">
        <is>
          <t>avverkningsanmälan</t>
        </is>
      </c>
      <c r="C8477" t="inlineStr">
        <is>
          <t>Föryngringsavverkning</t>
        </is>
      </c>
      <c r="D8477" s="1" t="n">
        <v>45832</v>
      </c>
      <c r="E8477" s="1" t="n">
        <v>46307</v>
      </c>
      <c r="F8477" t="inlineStr">
        <is>
          <t>VÄRMLANDS LÄN</t>
        </is>
      </c>
      <c r="G8477" t="inlineStr">
        <is>
          <t>EDA</t>
        </is>
      </c>
      <c r="I8477" t="n">
        <v>2</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58714-2021</t>
        </is>
      </c>
      <c r="B8478" t="inlineStr">
        <is>
          <t>avverkningsanmälan</t>
        </is>
      </c>
      <c r="C8478" t="inlineStr">
        <is>
          <t>Föryngringsavverkning</t>
        </is>
      </c>
      <c r="D8478" s="1" t="n">
        <v>44489</v>
      </c>
      <c r="E8478" s="1" t="n">
        <v>46307</v>
      </c>
      <c r="F8478" t="inlineStr">
        <is>
          <t>VÄRMLANDS LÄN</t>
        </is>
      </c>
      <c r="G8478" t="inlineStr">
        <is>
          <t>FORSHAGA</t>
        </is>
      </c>
      <c r="I8478" t="n">
        <v>1.6</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3769-2026</t>
        </is>
      </c>
      <c r="B8479" t="inlineStr">
        <is>
          <t>avverkningsanmälan</t>
        </is>
      </c>
      <c r="C8479" t="inlineStr">
        <is>
          <t>Föryngringsavverkning</t>
        </is>
      </c>
      <c r="D8479" s="1" t="n">
        <v>46043</v>
      </c>
      <c r="E8479" s="1" t="n">
        <v>46307</v>
      </c>
      <c r="F8479" t="inlineStr">
        <is>
          <t>VÄRMLANDS LÄN</t>
        </is>
      </c>
      <c r="G8479" t="inlineStr">
        <is>
          <t>SÄFFLE</t>
        </is>
      </c>
      <c r="I8479" t="n">
        <v>0.8</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3772-2026</t>
        </is>
      </c>
      <c r="B8480" t="inlineStr">
        <is>
          <t>avverkningsanmälan</t>
        </is>
      </c>
      <c r="C8480" t="inlineStr">
        <is>
          <t>Föryngringsavverkning</t>
        </is>
      </c>
      <c r="D8480" s="1" t="n">
        <v>46043</v>
      </c>
      <c r="E8480" s="1" t="n">
        <v>46307</v>
      </c>
      <c r="F8480" t="inlineStr">
        <is>
          <t>VÄRMLANDS LÄN</t>
        </is>
      </c>
      <c r="G8480" t="inlineStr">
        <is>
          <t>ÅRJÄNG</t>
        </is>
      </c>
      <c r="I8480" t="n">
        <v>1.9</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59890-2024</t>
        </is>
      </c>
      <c r="B8481" t="inlineStr">
        <is>
          <t>avverkningsanmälan</t>
        </is>
      </c>
      <c r="C8481" t="inlineStr">
        <is>
          <t>Föryngringsavverkning</t>
        </is>
      </c>
      <c r="D8481" s="1" t="n">
        <v>45641</v>
      </c>
      <c r="E8481" s="1" t="n">
        <v>46307</v>
      </c>
      <c r="F8481" t="inlineStr">
        <is>
          <t>VÄRMLANDS LÄN</t>
        </is>
      </c>
      <c r="G8481" t="inlineStr">
        <is>
          <t>KARLSTAD</t>
        </is>
      </c>
      <c r="I8481" t="n">
        <v>0.7</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28710-2025</t>
        </is>
      </c>
      <c r="B8482" t="inlineStr">
        <is>
          <t>avverkningsanmälan</t>
        </is>
      </c>
      <c r="C8482" t="inlineStr">
        <is>
          <t>Föryngringsavverkning</t>
        </is>
      </c>
      <c r="D8482" s="1" t="n">
        <v>45820</v>
      </c>
      <c r="E8482" s="1" t="n">
        <v>46307</v>
      </c>
      <c r="F8482" t="inlineStr">
        <is>
          <t>VÄRMLANDS LÄN</t>
        </is>
      </c>
      <c r="G8482" t="inlineStr">
        <is>
          <t>ÅRJÄNG</t>
        </is>
      </c>
      <c r="I8482" t="n">
        <v>1.2</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4156-2026</t>
        </is>
      </c>
      <c r="B8483" t="inlineStr">
        <is>
          <t>avverkningsanmälan</t>
        </is>
      </c>
      <c r="C8483" t="inlineStr">
        <is>
          <t>Föryngringsavverkning</t>
        </is>
      </c>
      <c r="D8483" s="1" t="n">
        <v>46044</v>
      </c>
      <c r="E8483" s="1" t="n">
        <v>46307</v>
      </c>
      <c r="F8483" t="inlineStr">
        <is>
          <t>VÄRMLANDS LÄN</t>
        </is>
      </c>
      <c r="G8483" t="inlineStr">
        <is>
          <t>MUNKFORS</t>
        </is>
      </c>
      <c r="I8483" t="n">
        <v>4.8</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8784-2023</t>
        </is>
      </c>
      <c r="B8484" t="inlineStr">
        <is>
          <t>avverkningsanmälan</t>
        </is>
      </c>
      <c r="C8484" t="inlineStr">
        <is>
          <t>Avverkning för annat ändamål</t>
        </is>
      </c>
      <c r="D8484" s="1" t="n">
        <v>44978</v>
      </c>
      <c r="E8484" s="1" t="n">
        <v>46307</v>
      </c>
      <c r="F8484" t="inlineStr">
        <is>
          <t>VÄRMLANDS LÄN</t>
        </is>
      </c>
      <c r="G8484" t="inlineStr">
        <is>
          <t>ARVIKA</t>
        </is>
      </c>
      <c r="I8484" t="n">
        <v>0.3</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29373-2023</t>
        </is>
      </c>
      <c r="B8485" t="inlineStr">
        <is>
          <t>avverkningsanmälan</t>
        </is>
      </c>
      <c r="C8485" t="inlineStr">
        <is>
          <t>Föryngringsavverkning</t>
        </is>
      </c>
      <c r="D8485" s="1" t="n">
        <v>45106</v>
      </c>
      <c r="E8485" s="1" t="n">
        <v>46307</v>
      </c>
      <c r="F8485" t="inlineStr">
        <is>
          <t>VÄRMLANDS LÄN</t>
        </is>
      </c>
      <c r="G8485" t="inlineStr">
        <is>
          <t>HAGFORS</t>
        </is>
      </c>
      <c r="I8485" t="n">
        <v>1.6</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60049-2024</t>
        </is>
      </c>
      <c r="B8486" t="inlineStr">
        <is>
          <t>avverkningsanmälan</t>
        </is>
      </c>
      <c r="C8486" t="inlineStr">
        <is>
          <t>Föryngringsavverkning</t>
        </is>
      </c>
      <c r="D8486" s="1" t="n">
        <v>45642</v>
      </c>
      <c r="E8486" s="1" t="n">
        <v>46307</v>
      </c>
      <c r="F8486" t="inlineStr">
        <is>
          <t>VÄRMLANDS LÄN</t>
        </is>
      </c>
      <c r="G8486" t="inlineStr">
        <is>
          <t>EDA</t>
        </is>
      </c>
      <c r="I8486" t="n">
        <v>1.8</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50786-2024</t>
        </is>
      </c>
      <c r="B8487" t="inlineStr">
        <is>
          <t>avverkningsanmälan</t>
        </is>
      </c>
      <c r="C8487" t="inlineStr">
        <is>
          <t>Föryngringsavverkning</t>
        </is>
      </c>
      <c r="D8487" s="1" t="n">
        <v>45602</v>
      </c>
      <c r="E8487" s="1" t="n">
        <v>46307</v>
      </c>
      <c r="F8487" t="inlineStr">
        <is>
          <t>VÄRMLANDS LÄN</t>
        </is>
      </c>
      <c r="G8487" t="inlineStr">
        <is>
          <t>FILIPSTAD</t>
        </is>
      </c>
      <c r="H8487" t="inlineStr">
        <is>
          <t>Bergvik skog väst AB</t>
        </is>
      </c>
      <c r="I8487" t="n">
        <v>3.9</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12614-2026</t>
        </is>
      </c>
      <c r="B8488" t="inlineStr">
        <is>
          <t>avverkningsanmälan</t>
        </is>
      </c>
      <c r="C8488" t="inlineStr">
        <is>
          <t>Föryngringsavverkning</t>
        </is>
      </c>
      <c r="D8488" s="1" t="n">
        <v>46091</v>
      </c>
      <c r="E8488" s="1" t="n">
        <v>46307</v>
      </c>
      <c r="F8488" t="inlineStr">
        <is>
          <t>VÄRMLANDS LÄN</t>
        </is>
      </c>
      <c r="G8488" t="inlineStr">
        <is>
          <t>ÅRJÄNG</t>
        </is>
      </c>
      <c r="I8488" t="n">
        <v>4.3</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26758-2025</t>
        </is>
      </c>
      <c r="B8489" t="inlineStr">
        <is>
          <t>avverkningsanmälan</t>
        </is>
      </c>
      <c r="C8489" t="inlineStr">
        <is>
          <t>Föryngringsavverkning</t>
        </is>
      </c>
      <c r="D8489" s="1" t="n">
        <v>45807</v>
      </c>
      <c r="E8489" s="1" t="n">
        <v>46307</v>
      </c>
      <c r="F8489" t="inlineStr">
        <is>
          <t>VÄRMLANDS LÄN</t>
        </is>
      </c>
      <c r="G8489" t="inlineStr">
        <is>
          <t>ÅRJÄNG</t>
        </is>
      </c>
      <c r="I8489" t="n">
        <v>1.5</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56327-2023</t>
        </is>
      </c>
      <c r="B8490" t="inlineStr">
        <is>
          <t>avverkningsanmälan</t>
        </is>
      </c>
      <c r="C8490" t="inlineStr">
        <is>
          <t>Avverkning för annat ändamål</t>
        </is>
      </c>
      <c r="D8490" s="1" t="n">
        <v>45243</v>
      </c>
      <c r="E8490" s="1" t="n">
        <v>46307</v>
      </c>
      <c r="F8490" t="inlineStr">
        <is>
          <t>VÄRMLANDS LÄN</t>
        </is>
      </c>
      <c r="G8490" t="inlineStr">
        <is>
          <t>KARLSTAD</t>
        </is>
      </c>
      <c r="I8490" t="n">
        <v>0.8</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35057-2023</t>
        </is>
      </c>
      <c r="B8491" t="inlineStr">
        <is>
          <t>avverkningsanmälan</t>
        </is>
      </c>
      <c r="C8491" t="inlineStr">
        <is>
          <t>Föryngringsavverkning</t>
        </is>
      </c>
      <c r="D8491" s="1" t="n">
        <v>45145</v>
      </c>
      <c r="E8491" s="1" t="n">
        <v>46307</v>
      </c>
      <c r="F8491" t="inlineStr">
        <is>
          <t>VÄRMLANDS LÄN</t>
        </is>
      </c>
      <c r="G8491" t="inlineStr">
        <is>
          <t>TORSBY</t>
        </is>
      </c>
      <c r="I8491" t="n">
        <v>0.8</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62904-2023</t>
        </is>
      </c>
      <c r="B8492" t="inlineStr">
        <is>
          <t>avverkningsanmälan</t>
        </is>
      </c>
      <c r="C8492" t="inlineStr">
        <is>
          <t>Föryngringsavverkning</t>
        </is>
      </c>
      <c r="D8492" s="1" t="n">
        <v>45272</v>
      </c>
      <c r="E8492" s="1" t="n">
        <v>46307</v>
      </c>
      <c r="F8492" t="inlineStr">
        <is>
          <t>VÄRMLANDS LÄN</t>
        </is>
      </c>
      <c r="G8492" t="inlineStr">
        <is>
          <t>SUNNE</t>
        </is>
      </c>
      <c r="H8492" t="inlineStr">
        <is>
          <t>Kommuner</t>
        </is>
      </c>
      <c r="I8492" t="n">
        <v>4.8</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3442-2025</t>
        </is>
      </c>
      <c r="B8493" t="inlineStr">
        <is>
          <t>avverkningsanmälan</t>
        </is>
      </c>
      <c r="C8493" t="inlineStr">
        <is>
          <t>Föryngringsavverkning</t>
        </is>
      </c>
      <c r="D8493" s="1" t="n">
        <v>45680</v>
      </c>
      <c r="E8493" s="1" t="n">
        <v>46307</v>
      </c>
      <c r="F8493" t="inlineStr">
        <is>
          <t>VÄRMLANDS LÄN</t>
        </is>
      </c>
      <c r="G8493" t="inlineStr">
        <is>
          <t>TORSBY</t>
        </is>
      </c>
      <c r="I8493" t="n">
        <v>1</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17036-2023</t>
        </is>
      </c>
      <c r="B8494" t="inlineStr">
        <is>
          <t>avverkningsanmälan</t>
        </is>
      </c>
      <c r="C8494" t="inlineStr">
        <is>
          <t>Föryngringsavverkning</t>
        </is>
      </c>
      <c r="D8494" s="1" t="n">
        <v>45034</v>
      </c>
      <c r="E8494" s="1" t="n">
        <v>46307</v>
      </c>
      <c r="F8494" t="inlineStr">
        <is>
          <t>VÄRMLANDS LÄN</t>
        </is>
      </c>
      <c r="G8494" t="inlineStr">
        <is>
          <t>SUNNE</t>
        </is>
      </c>
      <c r="H8494" t="inlineStr">
        <is>
          <t>Övriga Aktiebolag</t>
        </is>
      </c>
      <c r="I8494" t="n">
        <v>6.5</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3409-2025</t>
        </is>
      </c>
      <c r="B8495" t="inlineStr">
        <is>
          <t>avverkningsanmälan</t>
        </is>
      </c>
      <c r="C8495" t="inlineStr">
        <is>
          <t>Föryngringsavverkning</t>
        </is>
      </c>
      <c r="D8495" s="1" t="n">
        <v>45680</v>
      </c>
      <c r="E8495" s="1" t="n">
        <v>46307</v>
      </c>
      <c r="F8495" t="inlineStr">
        <is>
          <t>VÄRMLANDS LÄN</t>
        </is>
      </c>
      <c r="G8495" t="inlineStr">
        <is>
          <t>TORSBY</t>
        </is>
      </c>
      <c r="I8495" t="n">
        <v>1</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17488-2023</t>
        </is>
      </c>
      <c r="B8496" t="inlineStr">
        <is>
          <t>avverkningsanmälan</t>
        </is>
      </c>
      <c r="C8496" t="inlineStr">
        <is>
          <t>Föryngringsavverkning</t>
        </is>
      </c>
      <c r="D8496" s="1" t="n">
        <v>45036</v>
      </c>
      <c r="E8496" s="1" t="n">
        <v>46307</v>
      </c>
      <c r="F8496" t="inlineStr">
        <is>
          <t>VÄRMLANDS LÄN</t>
        </is>
      </c>
      <c r="G8496" t="inlineStr">
        <is>
          <t>TORSBY</t>
        </is>
      </c>
      <c r="I8496" t="n">
        <v>15.6</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53583-2024</t>
        </is>
      </c>
      <c r="B8497" t="inlineStr">
        <is>
          <t>avverkningsanmälan</t>
        </is>
      </c>
      <c r="C8497" t="inlineStr">
        <is>
          <t>Föryngringsavverkning</t>
        </is>
      </c>
      <c r="D8497" s="1" t="n">
        <v>45614</v>
      </c>
      <c r="E8497" s="1" t="n">
        <v>46307</v>
      </c>
      <c r="F8497" t="inlineStr">
        <is>
          <t>VÄRMLANDS LÄN</t>
        </is>
      </c>
      <c r="G8497" t="inlineStr">
        <is>
          <t>TORSBY</t>
        </is>
      </c>
      <c r="I8497" t="n">
        <v>0.7</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33499-2024</t>
        </is>
      </c>
      <c r="B8498" t="inlineStr">
        <is>
          <t>avverkningsanmälan</t>
        </is>
      </c>
      <c r="C8498" t="inlineStr">
        <is>
          <t>Föryngringsavverkning</t>
        </is>
      </c>
      <c r="D8498" s="1" t="n">
        <v>45519</v>
      </c>
      <c r="E8498" s="1" t="n">
        <v>46307</v>
      </c>
      <c r="F8498" t="inlineStr">
        <is>
          <t>VÄRMLANDS LÄN</t>
        </is>
      </c>
      <c r="G8498" t="inlineStr">
        <is>
          <t>TORSBY</t>
        </is>
      </c>
      <c r="I8498" t="n">
        <v>1.6</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24000-2025</t>
        </is>
      </c>
      <c r="B8499" t="inlineStr">
        <is>
          <t>avverkningsanmälan</t>
        </is>
      </c>
      <c r="C8499" t="inlineStr">
        <is>
          <t>Föryngringsavverkning</t>
        </is>
      </c>
      <c r="D8499" s="1" t="n">
        <v>45796</v>
      </c>
      <c r="E8499" s="1" t="n">
        <v>46307</v>
      </c>
      <c r="F8499" t="inlineStr">
        <is>
          <t>VÄRMLANDS LÄN</t>
        </is>
      </c>
      <c r="G8499" t="inlineStr">
        <is>
          <t>HAGFORS</t>
        </is>
      </c>
      <c r="I8499" t="n">
        <v>1.8</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14252-2023</t>
        </is>
      </c>
      <c r="B8500" t="inlineStr">
        <is>
          <t>avverkningsanmälan</t>
        </is>
      </c>
      <c r="C8500" t="inlineStr">
        <is>
          <t>Föryngringsavverkning</t>
        </is>
      </c>
      <c r="D8500" s="1" t="n">
        <v>45009</v>
      </c>
      <c r="E8500" s="1" t="n">
        <v>46307</v>
      </c>
      <c r="F8500" t="inlineStr">
        <is>
          <t>VÄRMLANDS LÄN</t>
        </is>
      </c>
      <c r="G8500" t="inlineStr">
        <is>
          <t>SUNNE</t>
        </is>
      </c>
      <c r="I8500" t="n">
        <v>0.6</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40524-2025</t>
        </is>
      </c>
      <c r="B8501" t="inlineStr">
        <is>
          <t>avverkningsanmälan</t>
        </is>
      </c>
      <c r="C8501" t="inlineStr">
        <is>
          <t>Föryngringsavverkning</t>
        </is>
      </c>
      <c r="D8501" s="1" t="n">
        <v>45896</v>
      </c>
      <c r="E8501" s="1" t="n">
        <v>46307</v>
      </c>
      <c r="F8501" t="inlineStr">
        <is>
          <t>VÄRMLANDS LÄN</t>
        </is>
      </c>
      <c r="G8501" t="inlineStr">
        <is>
          <t>GRUMS</t>
        </is>
      </c>
      <c r="I8501" t="n">
        <v>1.4</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4908-2024</t>
        </is>
      </c>
      <c r="B8502" t="inlineStr">
        <is>
          <t>avverkningsanmälan</t>
        </is>
      </c>
      <c r="C8502" t="inlineStr">
        <is>
          <t>Föryngringsavverkning</t>
        </is>
      </c>
      <c r="D8502" s="1" t="n">
        <v>45329</v>
      </c>
      <c r="E8502" s="1" t="n">
        <v>46307</v>
      </c>
      <c r="F8502" t="inlineStr">
        <is>
          <t>VÄRMLANDS LÄN</t>
        </is>
      </c>
      <c r="G8502" t="inlineStr">
        <is>
          <t>TORSBY</t>
        </is>
      </c>
      <c r="I8502" t="n">
        <v>4</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1641-2026</t>
        </is>
      </c>
      <c r="B8503" t="inlineStr">
        <is>
          <t>avverkningsanmälan</t>
        </is>
      </c>
      <c r="C8503" t="inlineStr">
        <is>
          <t>Föryngringsavverkning</t>
        </is>
      </c>
      <c r="D8503" s="1" t="n">
        <v>46034</v>
      </c>
      <c r="E8503" s="1" t="n">
        <v>46307</v>
      </c>
      <c r="F8503" t="inlineStr">
        <is>
          <t>VÄRMLANDS LÄN</t>
        </is>
      </c>
      <c r="G8503" t="inlineStr">
        <is>
          <t>SUNNE</t>
        </is>
      </c>
      <c r="I8503" t="n">
        <v>4.5</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13726-2024</t>
        </is>
      </c>
      <c r="B8504" t="inlineStr">
        <is>
          <t>avverkningsanmälan</t>
        </is>
      </c>
      <c r="C8504" t="inlineStr">
        <is>
          <t>Föryngringsavverkning</t>
        </is>
      </c>
      <c r="D8504" s="1" t="n">
        <v>45390</v>
      </c>
      <c r="E8504" s="1" t="n">
        <v>46307</v>
      </c>
      <c r="F8504" t="inlineStr">
        <is>
          <t>VÄRMLANDS LÄN</t>
        </is>
      </c>
      <c r="G8504" t="inlineStr">
        <is>
          <t>ÅRJÄNG</t>
        </is>
      </c>
      <c r="I8504" t="n">
        <v>2.2</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15741-2025</t>
        </is>
      </c>
      <c r="B8505" t="inlineStr">
        <is>
          <t>avverkningsanmälan</t>
        </is>
      </c>
      <c r="C8505" t="inlineStr">
        <is>
          <t>Föryngringsavverkning</t>
        </is>
      </c>
      <c r="D8505" s="1" t="n">
        <v>45747</v>
      </c>
      <c r="E8505" s="1" t="n">
        <v>46307</v>
      </c>
      <c r="F8505" t="inlineStr">
        <is>
          <t>VÄRMLANDS LÄN</t>
        </is>
      </c>
      <c r="G8505" t="inlineStr">
        <is>
          <t>SUNNE</t>
        </is>
      </c>
      <c r="I8505" t="n">
        <v>2.7</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46961-2023</t>
        </is>
      </c>
      <c r="B8506" t="inlineStr">
        <is>
          <t>avverkningsanmälan</t>
        </is>
      </c>
      <c r="C8506" t="inlineStr">
        <is>
          <t>Föryngringsavverkning</t>
        </is>
      </c>
      <c r="D8506" s="1" t="n">
        <v>45201</v>
      </c>
      <c r="E8506" s="1" t="n">
        <v>46307</v>
      </c>
      <c r="F8506" t="inlineStr">
        <is>
          <t>VÄRMLANDS LÄN</t>
        </is>
      </c>
      <c r="G8506" t="inlineStr">
        <is>
          <t>KARLSTAD</t>
        </is>
      </c>
      <c r="I8506" t="n">
        <v>1.4</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19952-2024</t>
        </is>
      </c>
      <c r="B8507" t="inlineStr">
        <is>
          <t>avverkningsanmälan</t>
        </is>
      </c>
      <c r="C8507" t="inlineStr">
        <is>
          <t>Föryngringsavverkning</t>
        </is>
      </c>
      <c r="D8507" s="1" t="n">
        <v>45433</v>
      </c>
      <c r="E8507" s="1" t="n">
        <v>46307</v>
      </c>
      <c r="F8507" t="inlineStr">
        <is>
          <t>VÄRMLANDS LÄN</t>
        </is>
      </c>
      <c r="G8507" t="inlineStr">
        <is>
          <t>SÄFFLE</t>
        </is>
      </c>
      <c r="I8507" t="n">
        <v>2.5</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12068-2022</t>
        </is>
      </c>
      <c r="B8508" t="inlineStr">
        <is>
          <t>avverkningsanmälan</t>
        </is>
      </c>
      <c r="C8508" t="inlineStr">
        <is>
          <t>Föryngringsavverkning</t>
        </is>
      </c>
      <c r="D8508" s="1" t="n">
        <v>44636</v>
      </c>
      <c r="E8508" s="1" t="n">
        <v>46307</v>
      </c>
      <c r="F8508" t="inlineStr">
        <is>
          <t>VÄRMLANDS LÄN</t>
        </is>
      </c>
      <c r="G8508" t="inlineStr">
        <is>
          <t>ÅRJÄNG</t>
        </is>
      </c>
      <c r="I8508" t="n">
        <v>4.3</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26840-2023</t>
        </is>
      </c>
      <c r="B8509" t="inlineStr">
        <is>
          <t>avverkningsanmälan</t>
        </is>
      </c>
      <c r="C8509" t="inlineStr">
        <is>
          <t>Föryngringsavverkning</t>
        </is>
      </c>
      <c r="D8509" s="1" t="n">
        <v>45093</v>
      </c>
      <c r="E8509" s="1" t="n">
        <v>46307</v>
      </c>
      <c r="F8509" t="inlineStr">
        <is>
          <t>VÄRMLANDS LÄN</t>
        </is>
      </c>
      <c r="G8509" t="inlineStr">
        <is>
          <t>GRUMS</t>
        </is>
      </c>
      <c r="I8509" t="n">
        <v>1.1</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22521-2025</t>
        </is>
      </c>
      <c r="B8510" t="inlineStr">
        <is>
          <t>avverkningsanmälan</t>
        </is>
      </c>
      <c r="C8510" t="inlineStr">
        <is>
          <t>Föryngringsavverkning</t>
        </is>
      </c>
      <c r="D8510" s="1" t="n">
        <v>45786</v>
      </c>
      <c r="E8510" s="1" t="n">
        <v>46307</v>
      </c>
      <c r="F8510" t="inlineStr">
        <is>
          <t>VÄRMLANDS LÄN</t>
        </is>
      </c>
      <c r="G8510" t="inlineStr">
        <is>
          <t>ARVIKA</t>
        </is>
      </c>
      <c r="I8510" t="n">
        <v>4.3</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36847-2025</t>
        </is>
      </c>
      <c r="B8511" t="inlineStr">
        <is>
          <t>avverkningsanmälan</t>
        </is>
      </c>
      <c r="C8511" t="inlineStr">
        <is>
          <t>Föryngringsavverkning</t>
        </is>
      </c>
      <c r="D8511" s="1" t="n">
        <v>45874</v>
      </c>
      <c r="E8511" s="1" t="n">
        <v>46307</v>
      </c>
      <c r="F8511" t="inlineStr">
        <is>
          <t>VÄRMLANDS LÄN</t>
        </is>
      </c>
      <c r="G8511" t="inlineStr">
        <is>
          <t>SÄFFLE</t>
        </is>
      </c>
      <c r="I8511" t="n">
        <v>1.9</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44838-2024</t>
        </is>
      </c>
      <c r="B8512" t="inlineStr">
        <is>
          <t>avverkningsanmälan</t>
        </is>
      </c>
      <c r="C8512" t="inlineStr">
        <is>
          <t>Föryngringsavverkning</t>
        </is>
      </c>
      <c r="D8512" s="1" t="n">
        <v>45574</v>
      </c>
      <c r="E8512" s="1" t="n">
        <v>46307</v>
      </c>
      <c r="F8512" t="inlineStr">
        <is>
          <t>VÄRMLANDS LÄN</t>
        </is>
      </c>
      <c r="G8512" t="inlineStr">
        <is>
          <t>TORSBY</t>
        </is>
      </c>
      <c r="I8512" t="n">
        <v>0.6</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29146-2025</t>
        </is>
      </c>
      <c r="B8513" t="inlineStr">
        <is>
          <t>avverkningsanmälan</t>
        </is>
      </c>
      <c r="C8513" t="inlineStr">
        <is>
          <t>Föryngringsavverkning</t>
        </is>
      </c>
      <c r="D8513" s="1" t="n">
        <v>45821</v>
      </c>
      <c r="E8513" s="1" t="n">
        <v>46307</v>
      </c>
      <c r="F8513" t="inlineStr">
        <is>
          <t>VÄRMLANDS LÄN</t>
        </is>
      </c>
      <c r="G8513" t="inlineStr">
        <is>
          <t>ÅRJÄNG</t>
        </is>
      </c>
      <c r="I8513" t="n">
        <v>1.4</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33897-2025</t>
        </is>
      </c>
      <c r="B8514" t="inlineStr">
        <is>
          <t>avverkningsanmälan</t>
        </is>
      </c>
      <c r="C8514" t="inlineStr">
        <is>
          <t>Föryngringsavverkning</t>
        </is>
      </c>
      <c r="D8514" s="1" t="n">
        <v>45842</v>
      </c>
      <c r="E8514" s="1" t="n">
        <v>46307</v>
      </c>
      <c r="F8514" t="inlineStr">
        <is>
          <t>VÄRMLANDS LÄN</t>
        </is>
      </c>
      <c r="G8514" t="inlineStr">
        <is>
          <t>TORSBY</t>
        </is>
      </c>
      <c r="I8514" t="n">
        <v>13.7</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47919-2025</t>
        </is>
      </c>
      <c r="B8515" t="inlineStr">
        <is>
          <t>avverkningsanmälan</t>
        </is>
      </c>
      <c r="C8515" t="inlineStr">
        <is>
          <t>Föryngringsavverkning</t>
        </is>
      </c>
      <c r="D8515" s="1" t="n">
        <v>45932</v>
      </c>
      <c r="E8515" s="1" t="n">
        <v>46307</v>
      </c>
      <c r="F8515" t="inlineStr">
        <is>
          <t>VÄRMLANDS LÄN</t>
        </is>
      </c>
      <c r="G8515" t="inlineStr">
        <is>
          <t>SÄFFLE</t>
        </is>
      </c>
      <c r="H8515" t="inlineStr">
        <is>
          <t>Kyrkan</t>
        </is>
      </c>
      <c r="I8515" t="n">
        <v>9.1</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9285-2023</t>
        </is>
      </c>
      <c r="B8516" t="inlineStr">
        <is>
          <t>avverkningsanmälan</t>
        </is>
      </c>
      <c r="C8516" t="inlineStr">
        <is>
          <t>Föryngringsavverkning</t>
        </is>
      </c>
      <c r="D8516" s="1" t="n">
        <v>44980</v>
      </c>
      <c r="E8516" s="1" t="n">
        <v>46307</v>
      </c>
      <c r="F8516" t="inlineStr">
        <is>
          <t>VÄRMLANDS LÄN</t>
        </is>
      </c>
      <c r="G8516" t="inlineStr">
        <is>
          <t>ARVIKA</t>
        </is>
      </c>
      <c r="I8516" t="n">
        <v>1.9</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4279-2024</t>
        </is>
      </c>
      <c r="B8517" t="inlineStr">
        <is>
          <t>avverkningsanmälan</t>
        </is>
      </c>
      <c r="C8517" t="inlineStr">
        <is>
          <t>Föryngringsavverkning</t>
        </is>
      </c>
      <c r="D8517" s="1" t="n">
        <v>45324</v>
      </c>
      <c r="E8517" s="1" t="n">
        <v>46307</v>
      </c>
      <c r="F8517" t="inlineStr">
        <is>
          <t>VÄRMLANDS LÄN</t>
        </is>
      </c>
      <c r="G8517" t="inlineStr">
        <is>
          <t>HAGFORS</t>
        </is>
      </c>
      <c r="I8517" t="n">
        <v>1.2</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20494-2026</t>
        </is>
      </c>
      <c r="B8518" t="inlineStr">
        <is>
          <t>avverkningsanmälan</t>
        </is>
      </c>
      <c r="C8518" t="inlineStr">
        <is>
          <t>Föryngringsavverkning</t>
        </is>
      </c>
      <c r="D8518" s="1" t="n">
        <v>46140</v>
      </c>
      <c r="E8518" s="1" t="n">
        <v>46307</v>
      </c>
      <c r="F8518" t="inlineStr">
        <is>
          <t>VÄRMLANDS LÄN</t>
        </is>
      </c>
      <c r="G8518" t="inlineStr">
        <is>
          <t>HAGFORS</t>
        </is>
      </c>
      <c r="H8518" t="inlineStr">
        <is>
          <t>Bergvik skog väst AB</t>
        </is>
      </c>
      <c r="I8518" t="n">
        <v>2.3</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17245-2025</t>
        </is>
      </c>
      <c r="B8519" t="inlineStr">
        <is>
          <t>avverkningsanmälan</t>
        </is>
      </c>
      <c r="C8519" t="inlineStr">
        <is>
          <t>Föryngringsavverkning</t>
        </is>
      </c>
      <c r="D8519" s="1" t="n">
        <v>45756</v>
      </c>
      <c r="E8519" s="1" t="n">
        <v>46307</v>
      </c>
      <c r="F8519" t="inlineStr">
        <is>
          <t>VÄRMLANDS LÄN</t>
        </is>
      </c>
      <c r="G8519" t="inlineStr">
        <is>
          <t>KRISTINEHAMN</t>
        </is>
      </c>
      <c r="H8519" t="inlineStr">
        <is>
          <t>Sveaskog</t>
        </is>
      </c>
      <c r="I8519" t="n">
        <v>2.2</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6926-2024</t>
        </is>
      </c>
      <c r="B8520" t="inlineStr">
        <is>
          <t>avverkningsanmälan</t>
        </is>
      </c>
      <c r="C8520" t="inlineStr">
        <is>
          <t>Föryngringsavverkning</t>
        </is>
      </c>
      <c r="D8520" s="1" t="n">
        <v>45343</v>
      </c>
      <c r="E8520" s="1" t="n">
        <v>46307</v>
      </c>
      <c r="F8520" t="inlineStr">
        <is>
          <t>VÄRMLANDS LÄN</t>
        </is>
      </c>
      <c r="G8520" t="inlineStr">
        <is>
          <t>SUNNE</t>
        </is>
      </c>
      <c r="I8520" t="n">
        <v>7.4</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62401-2025</t>
        </is>
      </c>
      <c r="B8521" t="inlineStr">
        <is>
          <t>avverkningsanmälan</t>
        </is>
      </c>
      <c r="C8521" t="inlineStr">
        <is>
          <t>Föryngringsavverkning</t>
        </is>
      </c>
      <c r="D8521" s="1" t="n">
        <v>46007</v>
      </c>
      <c r="E8521" s="1" t="n">
        <v>46307</v>
      </c>
      <c r="F8521" t="inlineStr">
        <is>
          <t>VÄRMLANDS LÄN</t>
        </is>
      </c>
      <c r="G8521" t="inlineStr">
        <is>
          <t>TORSBY</t>
        </is>
      </c>
      <c r="I8521" t="n">
        <v>1.5</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20489-2026</t>
        </is>
      </c>
      <c r="B8522" t="inlineStr">
        <is>
          <t>avverkningsanmälan</t>
        </is>
      </c>
      <c r="C8522" t="inlineStr">
        <is>
          <t>Föryngringsavverkning</t>
        </is>
      </c>
      <c r="D8522" s="1" t="n">
        <v>46140</v>
      </c>
      <c r="E8522" s="1" t="n">
        <v>46307</v>
      </c>
      <c r="F8522" t="inlineStr">
        <is>
          <t>VÄRMLANDS LÄN</t>
        </is>
      </c>
      <c r="G8522" t="inlineStr">
        <is>
          <t>FILIPSTAD</t>
        </is>
      </c>
      <c r="H8522" t="inlineStr">
        <is>
          <t>Bergvik skog väst AB</t>
        </is>
      </c>
      <c r="I8522" t="n">
        <v>10</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44768-2025</t>
        </is>
      </c>
      <c r="B8523" t="inlineStr">
        <is>
          <t>avverkningsanmälan</t>
        </is>
      </c>
      <c r="C8523" t="inlineStr">
        <is>
          <t>Föryngringsavverkning</t>
        </is>
      </c>
      <c r="D8523" s="1" t="n">
        <v>45917</v>
      </c>
      <c r="E8523" s="1" t="n">
        <v>46307</v>
      </c>
      <c r="F8523" t="inlineStr">
        <is>
          <t>VÄRMLANDS LÄN</t>
        </is>
      </c>
      <c r="G8523" t="inlineStr">
        <is>
          <t>ÅRJÄNG</t>
        </is>
      </c>
      <c r="I8523" t="n">
        <v>8.699999999999999</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22992-2025</t>
        </is>
      </c>
      <c r="B8524" t="inlineStr">
        <is>
          <t>avverkningsanmälan</t>
        </is>
      </c>
      <c r="C8524" t="inlineStr">
        <is>
          <t>Föryngringsavverkning</t>
        </is>
      </c>
      <c r="D8524" s="1" t="n">
        <v>45790</v>
      </c>
      <c r="E8524" s="1" t="n">
        <v>46307</v>
      </c>
      <c r="F8524" t="inlineStr">
        <is>
          <t>VÄRMLANDS LÄN</t>
        </is>
      </c>
      <c r="G8524" t="inlineStr">
        <is>
          <t>ARVIKA</t>
        </is>
      </c>
      <c r="I8524" t="n">
        <v>2</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3943-2026</t>
        </is>
      </c>
      <c r="B8525" t="inlineStr">
        <is>
          <t>avverkningsanmälan</t>
        </is>
      </c>
      <c r="C8525" t="inlineStr">
        <is>
          <t>Föryngringsavverkning</t>
        </is>
      </c>
      <c r="D8525" s="1" t="n">
        <v>46043</v>
      </c>
      <c r="E8525" s="1" t="n">
        <v>46307</v>
      </c>
      <c r="F8525" t="inlineStr">
        <is>
          <t>VÄRMLANDS LÄN</t>
        </is>
      </c>
      <c r="G8525" t="inlineStr">
        <is>
          <t>EDA</t>
        </is>
      </c>
      <c r="I8525" t="n">
        <v>3.8</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48239-2022</t>
        </is>
      </c>
      <c r="B8526" t="inlineStr">
        <is>
          <t>avverkningsanmälan</t>
        </is>
      </c>
      <c r="C8526" t="inlineStr">
        <is>
          <t>Föryngringsavverkning</t>
        </is>
      </c>
      <c r="D8526" s="1" t="n">
        <v>44858</v>
      </c>
      <c r="E8526" s="1" t="n">
        <v>46307</v>
      </c>
      <c r="F8526" t="inlineStr">
        <is>
          <t>VÄRMLANDS LÄN</t>
        </is>
      </c>
      <c r="G8526" t="inlineStr">
        <is>
          <t>TORSBY</t>
        </is>
      </c>
      <c r="I8526" t="n">
        <v>3.9</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8789-2023</t>
        </is>
      </c>
      <c r="B8527" t="inlineStr">
        <is>
          <t>avverkningsanmälan</t>
        </is>
      </c>
      <c r="C8527" t="inlineStr">
        <is>
          <t>Avverkning för annat ändamål</t>
        </is>
      </c>
      <c r="D8527" s="1" t="n">
        <v>44978</v>
      </c>
      <c r="E8527" s="1" t="n">
        <v>46307</v>
      </c>
      <c r="F8527" t="inlineStr">
        <is>
          <t>VÄRMLANDS LÄN</t>
        </is>
      </c>
      <c r="G8527" t="inlineStr">
        <is>
          <t>ARVIKA</t>
        </is>
      </c>
      <c r="I8527" t="n">
        <v>0.4</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22124-2022</t>
        </is>
      </c>
      <c r="B8528" t="inlineStr">
        <is>
          <t>avverkningsanmälan</t>
        </is>
      </c>
      <c r="C8528" t="inlineStr">
        <is>
          <t>Avverkning för annat ändamål</t>
        </is>
      </c>
      <c r="D8528" s="1" t="n">
        <v>44712</v>
      </c>
      <c r="E8528" s="1" t="n">
        <v>46307</v>
      </c>
      <c r="F8528" t="inlineStr">
        <is>
          <t>VÄRMLANDS LÄN</t>
        </is>
      </c>
      <c r="G8528" t="inlineStr">
        <is>
          <t>TORSBY</t>
        </is>
      </c>
      <c r="I8528" t="n">
        <v>1.4</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44489-2025</t>
        </is>
      </c>
      <c r="B8529" t="inlineStr">
        <is>
          <t>avverkningsanmälan</t>
        </is>
      </c>
      <c r="C8529" t="inlineStr">
        <is>
          <t>Föryngringsavverkning</t>
        </is>
      </c>
      <c r="D8529" s="1" t="n">
        <v>45916</v>
      </c>
      <c r="E8529" s="1" t="n">
        <v>46307</v>
      </c>
      <c r="F8529" t="inlineStr">
        <is>
          <t>VÄRMLANDS LÄN</t>
        </is>
      </c>
      <c r="G8529" t="inlineStr">
        <is>
          <t>SUNNE</t>
        </is>
      </c>
      <c r="I8529" t="n">
        <v>1.2</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13814-2024</t>
        </is>
      </c>
      <c r="B8530" t="inlineStr">
        <is>
          <t>avverkningsanmälan</t>
        </is>
      </c>
      <c r="C8530" t="inlineStr">
        <is>
          <t>Föryngringsavverkning</t>
        </is>
      </c>
      <c r="D8530" s="1" t="n">
        <v>45391</v>
      </c>
      <c r="E8530" s="1" t="n">
        <v>46307</v>
      </c>
      <c r="F8530" t="inlineStr">
        <is>
          <t>VÄRMLANDS LÄN</t>
        </is>
      </c>
      <c r="G8530" t="inlineStr">
        <is>
          <t>ÅRJÄNG</t>
        </is>
      </c>
      <c r="I8530" t="n">
        <v>2.4</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41713-2025</t>
        </is>
      </c>
      <c r="B8531" t="inlineStr">
        <is>
          <t>avverkningsanmälan</t>
        </is>
      </c>
      <c r="C8531" t="inlineStr">
        <is>
          <t>Föryngringsavverkning</t>
        </is>
      </c>
      <c r="D8531" s="1" t="n">
        <v>45902</v>
      </c>
      <c r="E8531" s="1" t="n">
        <v>46307</v>
      </c>
      <c r="F8531" t="inlineStr">
        <is>
          <t>VÄRMLANDS LÄN</t>
        </is>
      </c>
      <c r="G8531" t="inlineStr">
        <is>
          <t>ARVIKA</t>
        </is>
      </c>
      <c r="I8531" t="n">
        <v>1.8</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41714-2025</t>
        </is>
      </c>
      <c r="B8532" t="inlineStr">
        <is>
          <t>avverkningsanmälan</t>
        </is>
      </c>
      <c r="C8532" t="inlineStr">
        <is>
          <t>Föryngringsavverkning</t>
        </is>
      </c>
      <c r="D8532" s="1" t="n">
        <v>45902</v>
      </c>
      <c r="E8532" s="1" t="n">
        <v>46307</v>
      </c>
      <c r="F8532" t="inlineStr">
        <is>
          <t>VÄRMLANDS LÄN</t>
        </is>
      </c>
      <c r="G8532" t="inlineStr">
        <is>
          <t>ARVIKA</t>
        </is>
      </c>
      <c r="I8532" t="n">
        <v>6.8</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47225-2025</t>
        </is>
      </c>
      <c r="B8533" t="inlineStr">
        <is>
          <t>avverkningsanmälan</t>
        </is>
      </c>
      <c r="C8533" t="inlineStr">
        <is>
          <t>Föryngringsavverkning</t>
        </is>
      </c>
      <c r="D8533" s="1" t="n">
        <v>45930</v>
      </c>
      <c r="E8533" s="1" t="n">
        <v>46307</v>
      </c>
      <c r="F8533" t="inlineStr">
        <is>
          <t>VÄRMLANDS LÄN</t>
        </is>
      </c>
      <c r="G8533" t="inlineStr">
        <is>
          <t>ÅRJÄNG</t>
        </is>
      </c>
      <c r="I8533" t="n">
        <v>1.9</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3935-2026</t>
        </is>
      </c>
      <c r="B8534" t="inlineStr">
        <is>
          <t>avverkningsanmälan</t>
        </is>
      </c>
      <c r="C8534" t="inlineStr">
        <is>
          <t>Föryngringsavverkning</t>
        </is>
      </c>
      <c r="D8534" s="1" t="n">
        <v>46043</v>
      </c>
      <c r="E8534" s="1" t="n">
        <v>46307</v>
      </c>
      <c r="F8534" t="inlineStr">
        <is>
          <t>VÄRMLANDS LÄN</t>
        </is>
      </c>
      <c r="G8534" t="inlineStr">
        <is>
          <t>SUNNE</t>
        </is>
      </c>
      <c r="I8534" t="n">
        <v>4.2</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47883-2025</t>
        </is>
      </c>
      <c r="B8535" t="inlineStr">
        <is>
          <t>avverkningsanmälan</t>
        </is>
      </c>
      <c r="C8535" t="inlineStr">
        <is>
          <t>Föryngringsavverkning</t>
        </is>
      </c>
      <c r="D8535" s="1" t="n">
        <v>45932</v>
      </c>
      <c r="E8535" s="1" t="n">
        <v>46307</v>
      </c>
      <c r="F8535" t="inlineStr">
        <is>
          <t>VÄRMLANDS LÄN</t>
        </is>
      </c>
      <c r="G8535" t="inlineStr">
        <is>
          <t>EDA</t>
        </is>
      </c>
      <c r="I8535" t="n">
        <v>4.7</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36120-2025</t>
        </is>
      </c>
      <c r="B8536" t="inlineStr">
        <is>
          <t>avverkningsanmälan</t>
        </is>
      </c>
      <c r="C8536" t="inlineStr">
        <is>
          <t>Föryngringsavverkning</t>
        </is>
      </c>
      <c r="D8536" s="1" t="n">
        <v>45866</v>
      </c>
      <c r="E8536" s="1" t="n">
        <v>46307</v>
      </c>
      <c r="F8536" t="inlineStr">
        <is>
          <t>VÄRMLANDS LÄN</t>
        </is>
      </c>
      <c r="G8536" t="inlineStr">
        <is>
          <t>EDA</t>
        </is>
      </c>
      <c r="I8536" t="n">
        <v>3.4</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36826-2025</t>
        </is>
      </c>
      <c r="B8537" t="inlineStr">
        <is>
          <t>avverkningsanmälan</t>
        </is>
      </c>
      <c r="C8537" t="inlineStr">
        <is>
          <t>Föryngringsavverkning</t>
        </is>
      </c>
      <c r="D8537" s="1" t="n">
        <v>45874</v>
      </c>
      <c r="E8537" s="1" t="n">
        <v>46307</v>
      </c>
      <c r="F8537" t="inlineStr">
        <is>
          <t>VÄRMLANDS LÄN</t>
        </is>
      </c>
      <c r="G8537" t="inlineStr">
        <is>
          <t>ARVIKA</t>
        </is>
      </c>
      <c r="I8537" t="n">
        <v>2</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2702-2025</t>
        </is>
      </c>
      <c r="B8538" t="inlineStr">
        <is>
          <t>avverkningsanmälan</t>
        </is>
      </c>
      <c r="C8538" t="inlineStr">
        <is>
          <t>Föryngringsavverkning</t>
        </is>
      </c>
      <c r="D8538" s="1" t="n">
        <v>45677</v>
      </c>
      <c r="E8538" s="1" t="n">
        <v>46307</v>
      </c>
      <c r="F8538" t="inlineStr">
        <is>
          <t>VÄRMLANDS LÄN</t>
        </is>
      </c>
      <c r="G8538" t="inlineStr">
        <is>
          <t>ARVIKA</t>
        </is>
      </c>
      <c r="I8538" t="n">
        <v>4.8</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13819-2024</t>
        </is>
      </c>
      <c r="B8539" t="inlineStr">
        <is>
          <t>avverkningsanmälan</t>
        </is>
      </c>
      <c r="C8539" t="inlineStr">
        <is>
          <t>Föryngringsavverkning</t>
        </is>
      </c>
      <c r="D8539" s="1" t="n">
        <v>45391</v>
      </c>
      <c r="E8539" s="1" t="n">
        <v>46307</v>
      </c>
      <c r="F8539" t="inlineStr">
        <is>
          <t>VÄRMLANDS LÄN</t>
        </is>
      </c>
      <c r="G8539" t="inlineStr">
        <is>
          <t>ÅRJÄNG</t>
        </is>
      </c>
      <c r="I8539" t="n">
        <v>1.5</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13820-2024</t>
        </is>
      </c>
      <c r="B8540" t="inlineStr">
        <is>
          <t>avverkningsanmälan</t>
        </is>
      </c>
      <c r="C8540" t="inlineStr">
        <is>
          <t>Föryngringsavverkning</t>
        </is>
      </c>
      <c r="D8540" s="1" t="n">
        <v>45390</v>
      </c>
      <c r="E8540" s="1" t="n">
        <v>46307</v>
      </c>
      <c r="F8540" t="inlineStr">
        <is>
          <t>VÄRMLANDS LÄN</t>
        </is>
      </c>
      <c r="G8540" t="inlineStr">
        <is>
          <t>GRUMS</t>
        </is>
      </c>
      <c r="I8540" t="n">
        <v>7.2</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12082-2023</t>
        </is>
      </c>
      <c r="B8541" t="inlineStr">
        <is>
          <t>avverkningsanmälan</t>
        </is>
      </c>
      <c r="C8541" t="inlineStr">
        <is>
          <t>Föryngringsavverkning</t>
        </is>
      </c>
      <c r="D8541" s="1" t="n">
        <v>44997</v>
      </c>
      <c r="E8541" s="1" t="n">
        <v>46307</v>
      </c>
      <c r="F8541" t="inlineStr">
        <is>
          <t>VÄRMLANDS LÄN</t>
        </is>
      </c>
      <c r="G8541" t="inlineStr">
        <is>
          <t>ÅRJÄNG</t>
        </is>
      </c>
      <c r="I8541" t="n">
        <v>1.3</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20543-2026</t>
        </is>
      </c>
      <c r="B8542" t="inlineStr">
        <is>
          <t>avverkningsanmälan</t>
        </is>
      </c>
      <c r="C8542" t="inlineStr">
        <is>
          <t>Föryngringsavverkning</t>
        </is>
      </c>
      <c r="D8542" s="1" t="n">
        <v>46140</v>
      </c>
      <c r="E8542" s="1" t="n">
        <v>46307</v>
      </c>
      <c r="F8542" t="inlineStr">
        <is>
          <t>VÄRMLANDS LÄN</t>
        </is>
      </c>
      <c r="G8542" t="inlineStr">
        <is>
          <t>STORFORS</t>
        </is>
      </c>
      <c r="H8542" t="inlineStr">
        <is>
          <t>Bergvik skog väst AB</t>
        </is>
      </c>
      <c r="I8542" t="n">
        <v>3</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28056-2023</t>
        </is>
      </c>
      <c r="B8543" t="inlineStr">
        <is>
          <t>avverkningsanmälan</t>
        </is>
      </c>
      <c r="C8543" t="inlineStr">
        <is>
          <t>Föryngringsavverkning</t>
        </is>
      </c>
      <c r="D8543" s="1" t="n">
        <v>45099</v>
      </c>
      <c r="E8543" s="1" t="n">
        <v>46307</v>
      </c>
      <c r="F8543" t="inlineStr">
        <is>
          <t>VÄRMLANDS LÄN</t>
        </is>
      </c>
      <c r="G8543" t="inlineStr">
        <is>
          <t>KARLSTAD</t>
        </is>
      </c>
      <c r="I8543" t="n">
        <v>9.1</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6708-2023</t>
        </is>
      </c>
      <c r="B8544" t="inlineStr">
        <is>
          <t>avverkningsanmälan</t>
        </is>
      </c>
      <c r="C8544" t="inlineStr">
        <is>
          <t>Föryngringsavverkning</t>
        </is>
      </c>
      <c r="D8544" s="1" t="n">
        <v>44960</v>
      </c>
      <c r="E8544" s="1" t="n">
        <v>46307</v>
      </c>
      <c r="F8544" t="inlineStr">
        <is>
          <t>VÄRMLANDS LÄN</t>
        </is>
      </c>
      <c r="G8544" t="inlineStr">
        <is>
          <t>TORSBY</t>
        </is>
      </c>
      <c r="I8544" t="n">
        <v>3</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65086-2023</t>
        </is>
      </c>
      <c r="B8545" t="inlineStr">
        <is>
          <t>avverkningsanmälan</t>
        </is>
      </c>
      <c r="C8545" t="inlineStr">
        <is>
          <t>Föryngringsavverkning</t>
        </is>
      </c>
      <c r="D8545" s="1" t="n">
        <v>45288</v>
      </c>
      <c r="E8545" s="1" t="n">
        <v>46307</v>
      </c>
      <c r="F8545" t="inlineStr">
        <is>
          <t>VÄRMLANDS LÄN</t>
        </is>
      </c>
      <c r="G8545" t="inlineStr">
        <is>
          <t>KARLSTAD</t>
        </is>
      </c>
      <c r="I8545" t="n">
        <v>2.2</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53744-2024</t>
        </is>
      </c>
      <c r="B8546" t="inlineStr">
        <is>
          <t>avverkningsanmälan</t>
        </is>
      </c>
      <c r="C8546" t="inlineStr">
        <is>
          <t>Föryngringsavverkning</t>
        </is>
      </c>
      <c r="D8546" s="1" t="n">
        <v>45615</v>
      </c>
      <c r="E8546" s="1" t="n">
        <v>46307</v>
      </c>
      <c r="F8546" t="inlineStr">
        <is>
          <t>VÄRMLANDS LÄN</t>
        </is>
      </c>
      <c r="G8546" t="inlineStr">
        <is>
          <t>TORSBY</t>
        </is>
      </c>
      <c r="I8546" t="n">
        <v>16.9</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4580-2026</t>
        </is>
      </c>
      <c r="B8547" t="inlineStr">
        <is>
          <t>avverkningsanmälan</t>
        </is>
      </c>
      <c r="C8547" t="inlineStr">
        <is>
          <t>Föryngringsavverkning</t>
        </is>
      </c>
      <c r="D8547" s="1" t="n">
        <v>46048</v>
      </c>
      <c r="E8547" s="1" t="n">
        <v>46307</v>
      </c>
      <c r="F8547" t="inlineStr">
        <is>
          <t>VÄRMLANDS LÄN</t>
        </is>
      </c>
      <c r="G8547" t="inlineStr">
        <is>
          <t>KRISTINEHAMN</t>
        </is>
      </c>
      <c r="I8547" t="n">
        <v>3.6</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17830-2023</t>
        </is>
      </c>
      <c r="B8548" t="inlineStr">
        <is>
          <t>avverkningsanmälan</t>
        </is>
      </c>
      <c r="C8548" t="inlineStr">
        <is>
          <t>Föryngringsavverkning</t>
        </is>
      </c>
      <c r="D8548" s="1" t="n">
        <v>45037</v>
      </c>
      <c r="E8548" s="1" t="n">
        <v>46307</v>
      </c>
      <c r="F8548" t="inlineStr">
        <is>
          <t>VÄRMLANDS LÄN</t>
        </is>
      </c>
      <c r="G8548" t="inlineStr">
        <is>
          <t>SUNNE</t>
        </is>
      </c>
      <c r="I8548" t="n">
        <v>13.1</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4618-2026</t>
        </is>
      </c>
      <c r="B8549" t="inlineStr">
        <is>
          <t>avverkningsanmälan</t>
        </is>
      </c>
      <c r="C8549" t="inlineStr">
        <is>
          <t>Föryngringsavverkning</t>
        </is>
      </c>
      <c r="D8549" s="1" t="n">
        <v>46048</v>
      </c>
      <c r="E8549" s="1" t="n">
        <v>46307</v>
      </c>
      <c r="F8549" t="inlineStr">
        <is>
          <t>VÄRMLANDS LÄN</t>
        </is>
      </c>
      <c r="G8549" t="inlineStr">
        <is>
          <t>HAGFORS</t>
        </is>
      </c>
      <c r="I8549" t="n">
        <v>13.1</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59617-2025</t>
        </is>
      </c>
      <c r="B8550" t="inlineStr">
        <is>
          <t>avverkningsanmälan</t>
        </is>
      </c>
      <c r="C8550" t="inlineStr">
        <is>
          <t>Föryngringsavverkning</t>
        </is>
      </c>
      <c r="D8550" s="1" t="n">
        <v>45992</v>
      </c>
      <c r="E8550" s="1" t="n">
        <v>46307</v>
      </c>
      <c r="F8550" t="inlineStr">
        <is>
          <t>VÄRMLANDS LÄN</t>
        </is>
      </c>
      <c r="G8550" t="inlineStr">
        <is>
          <t>GRUMS</t>
        </is>
      </c>
      <c r="I8550" t="n">
        <v>1.3</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6706-2022</t>
        </is>
      </c>
      <c r="B8551" t="inlineStr">
        <is>
          <t>avverkningsanmälan</t>
        </is>
      </c>
      <c r="C8551" t="inlineStr">
        <is>
          <t>Föryngringsavverkning</t>
        </is>
      </c>
      <c r="D8551" s="1" t="n">
        <v>44602</v>
      </c>
      <c r="E8551" s="1" t="n">
        <v>46307</v>
      </c>
      <c r="F8551" t="inlineStr">
        <is>
          <t>VÄRMLANDS LÄN</t>
        </is>
      </c>
      <c r="G8551" t="inlineStr">
        <is>
          <t>SUNNE</t>
        </is>
      </c>
      <c r="I8551" t="n">
        <v>2.2</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1100-2025</t>
        </is>
      </c>
      <c r="B8552" t="inlineStr">
        <is>
          <t>avverkningsanmälan</t>
        </is>
      </c>
      <c r="C8552" t="inlineStr">
        <is>
          <t>Föryngringsavverkning</t>
        </is>
      </c>
      <c r="D8552" s="1" t="n">
        <v>45666</v>
      </c>
      <c r="E8552" s="1" t="n">
        <v>46307</v>
      </c>
      <c r="F8552" t="inlineStr">
        <is>
          <t>VÄRMLANDS LÄN</t>
        </is>
      </c>
      <c r="G8552" t="inlineStr">
        <is>
          <t>TORSBY</t>
        </is>
      </c>
      <c r="I8552" t="n">
        <v>8.4</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57865-2022</t>
        </is>
      </c>
      <c r="B8553" t="inlineStr">
        <is>
          <t>avverkningsanmälan</t>
        </is>
      </c>
      <c r="C8553" t="inlineStr">
        <is>
          <t>Föryngringsavverkning</t>
        </is>
      </c>
      <c r="D8553" s="1" t="n">
        <v>44899</v>
      </c>
      <c r="E8553" s="1" t="n">
        <v>46307</v>
      </c>
      <c r="F8553" t="inlineStr">
        <is>
          <t>VÄRMLANDS LÄN</t>
        </is>
      </c>
      <c r="G8553" t="inlineStr">
        <is>
          <t>EDA</t>
        </is>
      </c>
      <c r="I8553" t="n">
        <v>2.5</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4252-2026</t>
        </is>
      </c>
      <c r="B8554" t="inlineStr">
        <is>
          <t>avverkningsanmälan</t>
        </is>
      </c>
      <c r="C8554" t="inlineStr">
        <is>
          <t>Föryngringsavverkning</t>
        </is>
      </c>
      <c r="D8554" s="1" t="n">
        <v>46045</v>
      </c>
      <c r="E8554" s="1" t="n">
        <v>46307</v>
      </c>
      <c r="F8554" t="inlineStr">
        <is>
          <t>VÄRMLANDS LÄN</t>
        </is>
      </c>
      <c r="G8554" t="inlineStr">
        <is>
          <t>ARVIKA</t>
        </is>
      </c>
      <c r="I8554" t="n">
        <v>1</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61913-2024</t>
        </is>
      </c>
      <c r="B8555" t="inlineStr">
        <is>
          <t>avverkningsanmälan</t>
        </is>
      </c>
      <c r="C8555" t="inlineStr">
        <is>
          <t>Föryngringsavverkning</t>
        </is>
      </c>
      <c r="D8555" s="1" t="n">
        <v>45653</v>
      </c>
      <c r="E8555" s="1" t="n">
        <v>46307</v>
      </c>
      <c r="F8555" t="inlineStr">
        <is>
          <t>VÄRMLANDS LÄN</t>
        </is>
      </c>
      <c r="G8555" t="inlineStr">
        <is>
          <t>ÅRJÄNG</t>
        </is>
      </c>
      <c r="I8555" t="n">
        <v>1.1</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10252-2024</t>
        </is>
      </c>
      <c r="B8556" t="inlineStr">
        <is>
          <t>avverkningsanmälan</t>
        </is>
      </c>
      <c r="C8556" t="inlineStr">
        <is>
          <t>Föryngringsavverkning</t>
        </is>
      </c>
      <c r="D8556" s="1" t="n">
        <v>45365</v>
      </c>
      <c r="E8556" s="1" t="n">
        <v>46307</v>
      </c>
      <c r="F8556" t="inlineStr">
        <is>
          <t>VÄRMLANDS LÄN</t>
        </is>
      </c>
      <c r="G8556" t="inlineStr">
        <is>
          <t>SUNNE</t>
        </is>
      </c>
      <c r="I8556" t="n">
        <v>1.1</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10895-2024</t>
        </is>
      </c>
      <c r="B8557" t="inlineStr">
        <is>
          <t>avverkningsanmälan</t>
        </is>
      </c>
      <c r="C8557" t="inlineStr">
        <is>
          <t>Föryngringsavverkning</t>
        </is>
      </c>
      <c r="D8557" s="1" t="n">
        <v>45370</v>
      </c>
      <c r="E8557" s="1" t="n">
        <v>46307</v>
      </c>
      <c r="F8557" t="inlineStr">
        <is>
          <t>VÄRMLANDS LÄN</t>
        </is>
      </c>
      <c r="G8557" t="inlineStr">
        <is>
          <t>TORSBY</t>
        </is>
      </c>
      <c r="I8557" t="n">
        <v>1.1</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10918-2024</t>
        </is>
      </c>
      <c r="B8558" t="inlineStr">
        <is>
          <t>avverkningsanmälan</t>
        </is>
      </c>
      <c r="C8558" t="inlineStr">
        <is>
          <t>Föryngringsavverkning</t>
        </is>
      </c>
      <c r="D8558" s="1" t="n">
        <v>45370</v>
      </c>
      <c r="E8558" s="1" t="n">
        <v>46307</v>
      </c>
      <c r="F8558" t="inlineStr">
        <is>
          <t>VÄRMLANDS LÄN</t>
        </is>
      </c>
      <c r="G8558" t="inlineStr">
        <is>
          <t>EDA</t>
        </is>
      </c>
      <c r="I8558" t="n">
        <v>1.3</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5846-2023</t>
        </is>
      </c>
      <c r="B8559" t="inlineStr">
        <is>
          <t>avverkningsanmälan</t>
        </is>
      </c>
      <c r="C8559" t="inlineStr">
        <is>
          <t>Föryngringsavverkning</t>
        </is>
      </c>
      <c r="D8559" s="1" t="n">
        <v>44963</v>
      </c>
      <c r="E8559" s="1" t="n">
        <v>46307</v>
      </c>
      <c r="F8559" t="inlineStr">
        <is>
          <t>VÄRMLANDS LÄN</t>
        </is>
      </c>
      <c r="G8559" t="inlineStr">
        <is>
          <t>FILIPSTAD</t>
        </is>
      </c>
      <c r="I8559" t="n">
        <v>2.1</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13006-2025</t>
        </is>
      </c>
      <c r="B8560" t="inlineStr">
        <is>
          <t>avverkningsanmälan</t>
        </is>
      </c>
      <c r="C8560" t="inlineStr">
        <is>
          <t>Föryngringsavverkning</t>
        </is>
      </c>
      <c r="D8560" s="1" t="n">
        <v>45734</v>
      </c>
      <c r="E8560" s="1" t="n">
        <v>46307</v>
      </c>
      <c r="F8560" t="inlineStr">
        <is>
          <t>VÄRMLANDS LÄN</t>
        </is>
      </c>
      <c r="G8560" t="inlineStr">
        <is>
          <t>TORSBY</t>
        </is>
      </c>
      <c r="I8560" t="n">
        <v>1.6</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16589-2022</t>
        </is>
      </c>
      <c r="B8561" t="inlineStr">
        <is>
          <t>avverkningsanmälan</t>
        </is>
      </c>
      <c r="C8561" t="inlineStr">
        <is>
          <t>Föryngringsavverkning</t>
        </is>
      </c>
      <c r="D8561" s="1" t="n">
        <v>44672</v>
      </c>
      <c r="E8561" s="1" t="n">
        <v>46307</v>
      </c>
      <c r="F8561" t="inlineStr">
        <is>
          <t>VÄRMLANDS LÄN</t>
        </is>
      </c>
      <c r="G8561" t="inlineStr">
        <is>
          <t>SUNNE</t>
        </is>
      </c>
      <c r="I8561" t="n">
        <v>5.4</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5931-2023</t>
        </is>
      </c>
      <c r="B8562" t="inlineStr">
        <is>
          <t>avverkningsanmälan</t>
        </is>
      </c>
      <c r="C8562" t="inlineStr">
        <is>
          <t>Föryngringsavverkning</t>
        </is>
      </c>
      <c r="D8562" s="1" t="n">
        <v>44963</v>
      </c>
      <c r="E8562" s="1" t="n">
        <v>46307</v>
      </c>
      <c r="F8562" t="inlineStr">
        <is>
          <t>VÄRMLANDS LÄN</t>
        </is>
      </c>
      <c r="G8562" t="inlineStr">
        <is>
          <t>ÅRJÄNG</t>
        </is>
      </c>
      <c r="I8562" t="n">
        <v>0.8</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12826-2023</t>
        </is>
      </c>
      <c r="B8563" t="inlineStr">
        <is>
          <t>avverkningsanmälan</t>
        </is>
      </c>
      <c r="C8563" t="inlineStr">
        <is>
          <t>Föryngringsavverkning</t>
        </is>
      </c>
      <c r="D8563" s="1" t="n">
        <v>45000</v>
      </c>
      <c r="E8563" s="1" t="n">
        <v>46307</v>
      </c>
      <c r="F8563" t="inlineStr">
        <is>
          <t>VÄRMLANDS LÄN</t>
        </is>
      </c>
      <c r="G8563" t="inlineStr">
        <is>
          <t>ARVIKA</t>
        </is>
      </c>
      <c r="I8563" t="n">
        <v>7</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60217-2022</t>
        </is>
      </c>
      <c r="B8564" t="inlineStr">
        <is>
          <t>avverkningsanmälan</t>
        </is>
      </c>
      <c r="C8564" t="inlineStr">
        <is>
          <t>Föryngringsavverkning</t>
        </is>
      </c>
      <c r="D8564" s="1" t="n">
        <v>44903</v>
      </c>
      <c r="E8564" s="1" t="n">
        <v>46307</v>
      </c>
      <c r="F8564" t="inlineStr">
        <is>
          <t>VÄRMLANDS LÄN</t>
        </is>
      </c>
      <c r="G8564" t="inlineStr">
        <is>
          <t>SUNNE</t>
        </is>
      </c>
      <c r="I8564" t="n">
        <v>2.5</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27231-2024</t>
        </is>
      </c>
      <c r="B8565" t="inlineStr">
        <is>
          <t>avverkningsanmälan</t>
        </is>
      </c>
      <c r="C8565" t="inlineStr">
        <is>
          <t>Föryngringsavverkning</t>
        </is>
      </c>
      <c r="D8565" s="1" t="n">
        <v>45471</v>
      </c>
      <c r="E8565" s="1" t="n">
        <v>46307</v>
      </c>
      <c r="F8565" t="inlineStr">
        <is>
          <t>VÄRMLANDS LÄN</t>
        </is>
      </c>
      <c r="G8565" t="inlineStr">
        <is>
          <t>SÄFFLE</t>
        </is>
      </c>
      <c r="I8565" t="n">
        <v>3</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92-2023</t>
        </is>
      </c>
      <c r="B8566" t="inlineStr">
        <is>
          <t>avverkningsanmälan</t>
        </is>
      </c>
      <c r="C8566" t="inlineStr">
        <is>
          <t>Föryngringsavverkning</t>
        </is>
      </c>
      <c r="D8566" s="1" t="n">
        <v>44918</v>
      </c>
      <c r="E8566" s="1" t="n">
        <v>46307</v>
      </c>
      <c r="F8566" t="inlineStr">
        <is>
          <t>VÄRMLANDS LÄN</t>
        </is>
      </c>
      <c r="G8566" t="inlineStr">
        <is>
          <t>SUNNE</t>
        </is>
      </c>
      <c r="I8566" t="n">
        <v>0.8</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58728-2021</t>
        </is>
      </c>
      <c r="B8567" t="inlineStr">
        <is>
          <t>avverkningsanmälan</t>
        </is>
      </c>
      <c r="C8567" t="inlineStr">
        <is>
          <t>Föryngringsavverkning</t>
        </is>
      </c>
      <c r="D8567" s="1" t="n">
        <v>44489</v>
      </c>
      <c r="E8567" s="1" t="n">
        <v>46307</v>
      </c>
      <c r="F8567" t="inlineStr">
        <is>
          <t>VÄRMLANDS LÄN</t>
        </is>
      </c>
      <c r="G8567" t="inlineStr">
        <is>
          <t>TORSBY</t>
        </is>
      </c>
      <c r="I8567" t="n">
        <v>0.6</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38315-2025</t>
        </is>
      </c>
      <c r="B8568" t="inlineStr">
        <is>
          <t>avverkningsanmälan</t>
        </is>
      </c>
      <c r="C8568" t="inlineStr">
        <is>
          <t>Föryngringsavverkning</t>
        </is>
      </c>
      <c r="D8568" s="1" t="n">
        <v>45883</v>
      </c>
      <c r="E8568" s="1" t="n">
        <v>46307</v>
      </c>
      <c r="F8568" t="inlineStr">
        <is>
          <t>VÄRMLANDS LÄN</t>
        </is>
      </c>
      <c r="G8568" t="inlineStr">
        <is>
          <t>TORSBY</t>
        </is>
      </c>
      <c r="I8568" t="n">
        <v>2.5</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62445-2023</t>
        </is>
      </c>
      <c r="B8569" t="inlineStr">
        <is>
          <t>avverkningsanmälan</t>
        </is>
      </c>
      <c r="C8569" t="inlineStr">
        <is>
          <t>Föryngringsavverkning</t>
        </is>
      </c>
      <c r="D8569" s="1" t="n">
        <v>45268</v>
      </c>
      <c r="E8569" s="1" t="n">
        <v>46307</v>
      </c>
      <c r="F8569" t="inlineStr">
        <is>
          <t>VÄRMLANDS LÄN</t>
        </is>
      </c>
      <c r="G8569" t="inlineStr">
        <is>
          <t>TORSBY</t>
        </is>
      </c>
      <c r="I8569" t="n">
        <v>2.2</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28624-2024</t>
        </is>
      </c>
      <c r="B8570" t="inlineStr">
        <is>
          <t>avverkningsanmälan</t>
        </is>
      </c>
      <c r="C8570" t="inlineStr">
        <is>
          <t>Föryngringsavverkning</t>
        </is>
      </c>
      <c r="D8570" s="1" t="n">
        <v>45478</v>
      </c>
      <c r="E8570" s="1" t="n">
        <v>46307</v>
      </c>
      <c r="F8570" t="inlineStr">
        <is>
          <t>VÄRMLANDS LÄN</t>
        </is>
      </c>
      <c r="G8570" t="inlineStr">
        <is>
          <t>TORSBY</t>
        </is>
      </c>
      <c r="I8570" t="n">
        <v>3.2</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59805-2021</t>
        </is>
      </c>
      <c r="B8571" t="inlineStr">
        <is>
          <t>avverkningsanmälan</t>
        </is>
      </c>
      <c r="C8571" t="inlineStr">
        <is>
          <t>Föryngringsavverkning</t>
        </is>
      </c>
      <c r="D8571" s="1" t="n">
        <v>44494</v>
      </c>
      <c r="E8571" s="1" t="n">
        <v>46307</v>
      </c>
      <c r="F8571" t="inlineStr">
        <is>
          <t>VÄRMLANDS LÄN</t>
        </is>
      </c>
      <c r="G8571" t="inlineStr">
        <is>
          <t>EDA</t>
        </is>
      </c>
      <c r="I8571" t="n">
        <v>8.699999999999999</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36809-2022</t>
        </is>
      </c>
      <c r="B8572" t="inlineStr">
        <is>
          <t>avverkningsanmälan</t>
        </is>
      </c>
      <c r="C8572" t="inlineStr">
        <is>
          <t>Föryngringsavverkning</t>
        </is>
      </c>
      <c r="D8572" s="1" t="n">
        <v>44805</v>
      </c>
      <c r="E8572" s="1" t="n">
        <v>46307</v>
      </c>
      <c r="F8572" t="inlineStr">
        <is>
          <t>VÄRMLANDS LÄN</t>
        </is>
      </c>
      <c r="G8572" t="inlineStr">
        <is>
          <t>FILIPSTAD</t>
        </is>
      </c>
      <c r="I8572" t="n">
        <v>3.8</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34655-2022</t>
        </is>
      </c>
      <c r="B8573" t="inlineStr">
        <is>
          <t>avverkningsanmälan</t>
        </is>
      </c>
      <c r="C8573" t="inlineStr">
        <is>
          <t>Föryngringsavverkning</t>
        </is>
      </c>
      <c r="D8573" s="1" t="n">
        <v>44795</v>
      </c>
      <c r="E8573" s="1" t="n">
        <v>46307</v>
      </c>
      <c r="F8573" t="inlineStr">
        <is>
          <t>VÄRMLANDS LÄN</t>
        </is>
      </c>
      <c r="G8573" t="inlineStr">
        <is>
          <t>TORSBY</t>
        </is>
      </c>
      <c r="I8573" t="n">
        <v>12.8</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53030-2024</t>
        </is>
      </c>
      <c r="B8574" t="inlineStr">
        <is>
          <t>avverkningsanmälan</t>
        </is>
      </c>
      <c r="C8574" t="inlineStr">
        <is>
          <t>Föryngringsavverkning</t>
        </is>
      </c>
      <c r="D8574" s="1" t="n">
        <v>45611</v>
      </c>
      <c r="E8574" s="1" t="n">
        <v>46307</v>
      </c>
      <c r="F8574" t="inlineStr">
        <is>
          <t>VÄRMLANDS LÄN</t>
        </is>
      </c>
      <c r="G8574" t="inlineStr">
        <is>
          <t>EDA</t>
        </is>
      </c>
      <c r="I8574" t="n">
        <v>1.2</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28109-2025</t>
        </is>
      </c>
      <c r="B8575" t="inlineStr">
        <is>
          <t>avverkningsanmälan</t>
        </is>
      </c>
      <c r="C8575" t="inlineStr">
        <is>
          <t>Föryngringsavverkning</t>
        </is>
      </c>
      <c r="D8575" s="1" t="n">
        <v>45817</v>
      </c>
      <c r="E8575" s="1" t="n">
        <v>46307</v>
      </c>
      <c r="F8575" t="inlineStr">
        <is>
          <t>VÄRMLANDS LÄN</t>
        </is>
      </c>
      <c r="G8575" t="inlineStr">
        <is>
          <t>ARVIKA</t>
        </is>
      </c>
      <c r="I8575" t="n">
        <v>2.5</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28117-2025</t>
        </is>
      </c>
      <c r="B8576" t="inlineStr">
        <is>
          <t>avverkningsanmälan</t>
        </is>
      </c>
      <c r="C8576" t="inlineStr">
        <is>
          <t>Föryngringsavverkning</t>
        </is>
      </c>
      <c r="D8576" s="1" t="n">
        <v>45818</v>
      </c>
      <c r="E8576" s="1" t="n">
        <v>46307</v>
      </c>
      <c r="F8576" t="inlineStr">
        <is>
          <t>VÄRMLANDS LÄN</t>
        </is>
      </c>
      <c r="G8576" t="inlineStr">
        <is>
          <t>TORSBY</t>
        </is>
      </c>
      <c r="I8576" t="n">
        <v>2.3</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25803-2023</t>
        </is>
      </c>
      <c r="B8577" t="inlineStr">
        <is>
          <t>avverkningsanmälan</t>
        </is>
      </c>
      <c r="C8577" t="inlineStr">
        <is>
          <t>Föryngringsavverkning</t>
        </is>
      </c>
      <c r="D8577" s="1" t="n">
        <v>45090</v>
      </c>
      <c r="E8577" s="1" t="n">
        <v>46307</v>
      </c>
      <c r="F8577" t="inlineStr">
        <is>
          <t>VÄRMLANDS LÄN</t>
        </is>
      </c>
      <c r="G8577" t="inlineStr">
        <is>
          <t>EDA</t>
        </is>
      </c>
      <c r="I8577" t="n">
        <v>2</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25808-2023</t>
        </is>
      </c>
      <c r="B8578" t="inlineStr">
        <is>
          <t>avverkningsanmälan</t>
        </is>
      </c>
      <c r="C8578" t="inlineStr">
        <is>
          <t>Föryngringsavverkning</t>
        </is>
      </c>
      <c r="D8578" s="1" t="n">
        <v>45090</v>
      </c>
      <c r="E8578" s="1" t="n">
        <v>46307</v>
      </c>
      <c r="F8578" t="inlineStr">
        <is>
          <t>VÄRMLANDS LÄN</t>
        </is>
      </c>
      <c r="G8578" t="inlineStr">
        <is>
          <t>EDA</t>
        </is>
      </c>
      <c r="I8578" t="n">
        <v>2.6</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25809-2023</t>
        </is>
      </c>
      <c r="B8579" t="inlineStr">
        <is>
          <t>avverkningsanmälan</t>
        </is>
      </c>
      <c r="C8579" t="inlineStr">
        <is>
          <t>Föryngringsavverkning</t>
        </is>
      </c>
      <c r="D8579" s="1" t="n">
        <v>45090</v>
      </c>
      <c r="E8579" s="1" t="n">
        <v>46307</v>
      </c>
      <c r="F8579" t="inlineStr">
        <is>
          <t>VÄRMLANDS LÄN</t>
        </is>
      </c>
      <c r="G8579" t="inlineStr">
        <is>
          <t>EDA</t>
        </is>
      </c>
      <c r="I8579" t="n">
        <v>1.1</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13288-2024</t>
        </is>
      </c>
      <c r="B8580" t="inlineStr">
        <is>
          <t>avverkningsanmälan</t>
        </is>
      </c>
      <c r="C8580" t="inlineStr">
        <is>
          <t>Föryngringsavverkning</t>
        </is>
      </c>
      <c r="D8580" s="1" t="n">
        <v>45386</v>
      </c>
      <c r="E8580" s="1" t="n">
        <v>46307</v>
      </c>
      <c r="F8580" t="inlineStr">
        <is>
          <t>VÄRMLANDS LÄN</t>
        </is>
      </c>
      <c r="G8580" t="inlineStr">
        <is>
          <t>STORFORS</t>
        </is>
      </c>
      <c r="H8580" t="inlineStr">
        <is>
          <t>Kyrkan</t>
        </is>
      </c>
      <c r="I8580" t="n">
        <v>1.3</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33967-2023</t>
        </is>
      </c>
      <c r="B8581" t="inlineStr">
        <is>
          <t>avverkningsanmälan</t>
        </is>
      </c>
      <c r="C8581" t="inlineStr">
        <is>
          <t>Föryngringsavverkning</t>
        </is>
      </c>
      <c r="D8581" s="1" t="n">
        <v>45124</v>
      </c>
      <c r="E8581" s="1" t="n">
        <v>46307</v>
      </c>
      <c r="F8581" t="inlineStr">
        <is>
          <t>VÄRMLANDS LÄN</t>
        </is>
      </c>
      <c r="G8581" t="inlineStr">
        <is>
          <t>FILIPSTAD</t>
        </is>
      </c>
      <c r="I8581" t="n">
        <v>3.1</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33973-2023</t>
        </is>
      </c>
      <c r="B8582" t="inlineStr">
        <is>
          <t>avverkningsanmälan</t>
        </is>
      </c>
      <c r="C8582" t="inlineStr">
        <is>
          <t>Föryngringsavverkning</t>
        </is>
      </c>
      <c r="D8582" s="1" t="n">
        <v>45124</v>
      </c>
      <c r="E8582" s="1" t="n">
        <v>46307</v>
      </c>
      <c r="F8582" t="inlineStr">
        <is>
          <t>VÄRMLANDS LÄN</t>
        </is>
      </c>
      <c r="G8582" t="inlineStr">
        <is>
          <t>FILIPSTAD</t>
        </is>
      </c>
      <c r="I8582" t="n">
        <v>7</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4625-2026</t>
        </is>
      </c>
      <c r="B8583" t="inlineStr">
        <is>
          <t>avverkningsanmälan</t>
        </is>
      </c>
      <c r="C8583" t="inlineStr">
        <is>
          <t>Föryngringsavverkning</t>
        </is>
      </c>
      <c r="D8583" s="1" t="n">
        <v>46048</v>
      </c>
      <c r="E8583" s="1" t="n">
        <v>46307</v>
      </c>
      <c r="F8583" t="inlineStr">
        <is>
          <t>VÄRMLANDS LÄN</t>
        </is>
      </c>
      <c r="G8583" t="inlineStr">
        <is>
          <t>HAGFORS</t>
        </is>
      </c>
      <c r="I8583" t="n">
        <v>4</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60805-2025</t>
        </is>
      </c>
      <c r="B8584" t="inlineStr">
        <is>
          <t>avverkningsanmälan</t>
        </is>
      </c>
      <c r="C8584" t="inlineStr">
        <is>
          <t>Föryngringsavverkning</t>
        </is>
      </c>
      <c r="D8584" s="1" t="n">
        <v>45999</v>
      </c>
      <c r="E8584" s="1" t="n">
        <v>46307</v>
      </c>
      <c r="F8584" t="inlineStr">
        <is>
          <t>VÄRMLANDS LÄN</t>
        </is>
      </c>
      <c r="G8584" t="inlineStr">
        <is>
          <t>KRISTINEHAMN</t>
        </is>
      </c>
      <c r="H8584" t="inlineStr">
        <is>
          <t>Naturvårdsverket</t>
        </is>
      </c>
      <c r="I8584" t="n">
        <v>3.2</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30976-2025</t>
        </is>
      </c>
      <c r="B8585" t="inlineStr">
        <is>
          <t>avverkningsanmälan</t>
        </is>
      </c>
      <c r="C8585" t="inlineStr">
        <is>
          <t>Föryngringsavverkning</t>
        </is>
      </c>
      <c r="D8585" s="1" t="n">
        <v>45832</v>
      </c>
      <c r="E8585" s="1" t="n">
        <v>46307</v>
      </c>
      <c r="F8585" t="inlineStr">
        <is>
          <t>VÄRMLANDS LÄN</t>
        </is>
      </c>
      <c r="G8585" t="inlineStr">
        <is>
          <t>SÄFFLE</t>
        </is>
      </c>
      <c r="I8585" t="n">
        <v>1</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42399-2025</t>
        </is>
      </c>
      <c r="B8586" t="inlineStr">
        <is>
          <t>avverkningsanmälan</t>
        </is>
      </c>
      <c r="C8586" t="inlineStr">
        <is>
          <t>Föryngringsavverkning</t>
        </is>
      </c>
      <c r="D8586" s="1" t="n">
        <v>45905</v>
      </c>
      <c r="E8586" s="1" t="n">
        <v>46307</v>
      </c>
      <c r="F8586" t="inlineStr">
        <is>
          <t>VÄRMLANDS LÄN</t>
        </is>
      </c>
      <c r="G8586" t="inlineStr">
        <is>
          <t>ARVIKA</t>
        </is>
      </c>
      <c r="I8586" t="n">
        <v>5.1</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4924-2026</t>
        </is>
      </c>
      <c r="B8587" t="inlineStr">
        <is>
          <t>avverkningsanmälan</t>
        </is>
      </c>
      <c r="C8587" t="inlineStr">
        <is>
          <t>Föryngringsavverkning</t>
        </is>
      </c>
      <c r="D8587" s="1" t="n">
        <v>46046</v>
      </c>
      <c r="E8587" s="1" t="n">
        <v>46307</v>
      </c>
      <c r="F8587" t="inlineStr">
        <is>
          <t>VÄRMLANDS LÄN</t>
        </is>
      </c>
      <c r="G8587" t="inlineStr">
        <is>
          <t>SÄFFLE</t>
        </is>
      </c>
      <c r="I8587" t="n">
        <v>2.5</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46326-2025</t>
        </is>
      </c>
      <c r="B8588" t="inlineStr">
        <is>
          <t>avverkningsanmälan</t>
        </is>
      </c>
      <c r="C8588" t="inlineStr">
        <is>
          <t>Föryngringsavverkning</t>
        </is>
      </c>
      <c r="D8588" s="1" t="n">
        <v>45925</v>
      </c>
      <c r="E8588" s="1" t="n">
        <v>46307</v>
      </c>
      <c r="F8588" t="inlineStr">
        <is>
          <t>VÄRMLANDS LÄN</t>
        </is>
      </c>
      <c r="G8588" t="inlineStr">
        <is>
          <t>TORSBY</t>
        </is>
      </c>
      <c r="I8588" t="n">
        <v>1</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61741-2022</t>
        </is>
      </c>
      <c r="B8589" t="inlineStr">
        <is>
          <t>avverkningsanmälan</t>
        </is>
      </c>
      <c r="C8589" t="inlineStr">
        <is>
          <t>Föryngringsavverkning</t>
        </is>
      </c>
      <c r="D8589" s="1" t="n">
        <v>44911</v>
      </c>
      <c r="E8589" s="1" t="n">
        <v>46307</v>
      </c>
      <c r="F8589" t="inlineStr">
        <is>
          <t>VÄRMLANDS LÄN</t>
        </is>
      </c>
      <c r="G8589" t="inlineStr">
        <is>
          <t>FILIPSTAD</t>
        </is>
      </c>
      <c r="I8589" t="n">
        <v>1.9</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4868-2026</t>
        </is>
      </c>
      <c r="B8590" t="inlineStr">
        <is>
          <t>avverkningsanmälan</t>
        </is>
      </c>
      <c r="C8590" t="inlineStr">
        <is>
          <t>Föryngringsavverkning</t>
        </is>
      </c>
      <c r="D8590" s="1" t="n">
        <v>46048</v>
      </c>
      <c r="E8590" s="1" t="n">
        <v>46307</v>
      </c>
      <c r="F8590" t="inlineStr">
        <is>
          <t>VÄRMLANDS LÄN</t>
        </is>
      </c>
      <c r="G8590" t="inlineStr">
        <is>
          <t>STORFORS</t>
        </is>
      </c>
      <c r="I8590" t="n">
        <v>10.8</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4923-2026</t>
        </is>
      </c>
      <c r="B8591" t="inlineStr">
        <is>
          <t>avverkningsanmälan</t>
        </is>
      </c>
      <c r="C8591" t="inlineStr">
        <is>
          <t>Föryngringsavverkning</t>
        </is>
      </c>
      <c r="D8591" s="1" t="n">
        <v>46045</v>
      </c>
      <c r="E8591" s="1" t="n">
        <v>46307</v>
      </c>
      <c r="F8591" t="inlineStr">
        <is>
          <t>VÄRMLANDS LÄN</t>
        </is>
      </c>
      <c r="G8591" t="inlineStr">
        <is>
          <t>ÅRJÄNG</t>
        </is>
      </c>
      <c r="H8591" t="inlineStr">
        <is>
          <t>Övriga Aktiebolag</t>
        </is>
      </c>
      <c r="I8591" t="n">
        <v>11.4</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522-2023</t>
        </is>
      </c>
      <c r="B8592" t="inlineStr">
        <is>
          <t>avverkningsanmälan</t>
        </is>
      </c>
      <c r="C8592" t="inlineStr">
        <is>
          <t>Föryngringsavverkning</t>
        </is>
      </c>
      <c r="D8592" s="1" t="n">
        <v>44930</v>
      </c>
      <c r="E8592" s="1" t="n">
        <v>46307</v>
      </c>
      <c r="F8592" t="inlineStr">
        <is>
          <t>VÄRMLANDS LÄN</t>
        </is>
      </c>
      <c r="G8592" t="inlineStr">
        <is>
          <t>TORSBY</t>
        </is>
      </c>
      <c r="I8592" t="n">
        <v>2.8</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596-2024</t>
        </is>
      </c>
      <c r="B8593" t="inlineStr">
        <is>
          <t>avverkningsanmälan</t>
        </is>
      </c>
      <c r="C8593" t="inlineStr">
        <is>
          <t>Föryngringsavverkning</t>
        </is>
      </c>
      <c r="D8593" s="1" t="n">
        <v>45299</v>
      </c>
      <c r="E8593" s="1" t="n">
        <v>46307</v>
      </c>
      <c r="F8593" t="inlineStr">
        <is>
          <t>VÄRMLANDS LÄN</t>
        </is>
      </c>
      <c r="G8593" t="inlineStr">
        <is>
          <t>KARLSTAD</t>
        </is>
      </c>
      <c r="I8593" t="n">
        <v>1.2</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54146-2022</t>
        </is>
      </c>
      <c r="B8594" t="inlineStr">
        <is>
          <t>avverkningsanmälan</t>
        </is>
      </c>
      <c r="C8594" t="inlineStr">
        <is>
          <t>Föryngringsavverkning</t>
        </is>
      </c>
      <c r="D8594" s="1" t="n">
        <v>44881</v>
      </c>
      <c r="E8594" s="1" t="n">
        <v>46307</v>
      </c>
      <c r="F8594" t="inlineStr">
        <is>
          <t>VÄRMLANDS LÄN</t>
        </is>
      </c>
      <c r="G8594" t="inlineStr">
        <is>
          <t>SUNNE</t>
        </is>
      </c>
      <c r="H8594" t="inlineStr">
        <is>
          <t>Bergvik skog väst AB</t>
        </is>
      </c>
      <c r="I8594" t="n">
        <v>4.5</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4420-2026</t>
        </is>
      </c>
      <c r="B8595" t="inlineStr">
        <is>
          <t>avverkningsanmälan</t>
        </is>
      </c>
      <c r="C8595" t="inlineStr">
        <is>
          <t>Föryngringsavverkning</t>
        </is>
      </c>
      <c r="D8595" s="1" t="n">
        <v>46045</v>
      </c>
      <c r="E8595" s="1" t="n">
        <v>46307</v>
      </c>
      <c r="F8595" t="inlineStr">
        <is>
          <t>VÄRMLANDS LÄN</t>
        </is>
      </c>
      <c r="G8595" t="inlineStr">
        <is>
          <t>SÄFFLE</t>
        </is>
      </c>
      <c r="I8595" t="n">
        <v>1.7</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4692-2026</t>
        </is>
      </c>
      <c r="B8596" t="inlineStr">
        <is>
          <t>avverkningsanmälan</t>
        </is>
      </c>
      <c r="C8596" t="inlineStr">
        <is>
          <t>Föryngringsavverkning</t>
        </is>
      </c>
      <c r="D8596" s="1" t="n">
        <v>46048</v>
      </c>
      <c r="E8596" s="1" t="n">
        <v>46307</v>
      </c>
      <c r="F8596" t="inlineStr">
        <is>
          <t>VÄRMLANDS LÄN</t>
        </is>
      </c>
      <c r="G8596" t="inlineStr">
        <is>
          <t>ARVIKA</t>
        </is>
      </c>
      <c r="I8596" t="n">
        <v>3.8</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4703-2026</t>
        </is>
      </c>
      <c r="B8597" t="inlineStr">
        <is>
          <t>avverkningsanmälan</t>
        </is>
      </c>
      <c r="C8597" t="inlineStr">
        <is>
          <t>Föryngringsavverkning</t>
        </is>
      </c>
      <c r="D8597" s="1" t="n">
        <v>46048</v>
      </c>
      <c r="E8597" s="1" t="n">
        <v>46307</v>
      </c>
      <c r="F8597" t="inlineStr">
        <is>
          <t>VÄRMLANDS LÄN</t>
        </is>
      </c>
      <c r="G8597" t="inlineStr">
        <is>
          <t>TORSBY</t>
        </is>
      </c>
      <c r="I8597" t="n">
        <v>3.2</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16369-2025</t>
        </is>
      </c>
      <c r="B8598" t="inlineStr">
        <is>
          <t>avverkningsanmälan</t>
        </is>
      </c>
      <c r="C8598" t="inlineStr">
        <is>
          <t>Föryngringsavverkning</t>
        </is>
      </c>
      <c r="D8598" s="1" t="n">
        <v>45751</v>
      </c>
      <c r="E8598" s="1" t="n">
        <v>46307</v>
      </c>
      <c r="F8598" t="inlineStr">
        <is>
          <t>VÄRMLANDS LÄN</t>
        </is>
      </c>
      <c r="G8598" t="inlineStr">
        <is>
          <t>EDA</t>
        </is>
      </c>
      <c r="I8598" t="n">
        <v>3.3</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15873-2025</t>
        </is>
      </c>
      <c r="B8599" t="inlineStr">
        <is>
          <t>avverkningsanmälan</t>
        </is>
      </c>
      <c r="C8599" t="inlineStr">
        <is>
          <t>Föryngringsavverkning</t>
        </is>
      </c>
      <c r="D8599" s="1" t="n">
        <v>45749</v>
      </c>
      <c r="E8599" s="1" t="n">
        <v>46307</v>
      </c>
      <c r="F8599" t="inlineStr">
        <is>
          <t>VÄRMLANDS LÄN</t>
        </is>
      </c>
      <c r="G8599" t="inlineStr">
        <is>
          <t>TORSBY</t>
        </is>
      </c>
      <c r="I8599" t="n">
        <v>8</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56662-2023</t>
        </is>
      </c>
      <c r="B8600" t="inlineStr">
        <is>
          <t>avverkningsanmälan</t>
        </is>
      </c>
      <c r="C8600" t="inlineStr">
        <is>
          <t>Föryngringsavverkning</t>
        </is>
      </c>
      <c r="D8600" s="1" t="n">
        <v>45243</v>
      </c>
      <c r="E8600" s="1" t="n">
        <v>46307</v>
      </c>
      <c r="F8600" t="inlineStr">
        <is>
          <t>VÄRMLANDS LÄN</t>
        </is>
      </c>
      <c r="G8600" t="inlineStr">
        <is>
          <t>KRISTINEHAMN</t>
        </is>
      </c>
      <c r="I8600" t="n">
        <v>0.6</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56666-2023</t>
        </is>
      </c>
      <c r="B8601" t="inlineStr">
        <is>
          <t>avverkningsanmälan</t>
        </is>
      </c>
      <c r="C8601" t="inlineStr">
        <is>
          <t>Föryngringsavverkning</t>
        </is>
      </c>
      <c r="D8601" s="1" t="n">
        <v>45243</v>
      </c>
      <c r="E8601" s="1" t="n">
        <v>46307</v>
      </c>
      <c r="F8601" t="inlineStr">
        <is>
          <t>VÄRMLANDS LÄN</t>
        </is>
      </c>
      <c r="G8601" t="inlineStr">
        <is>
          <t>KRISTINEHAMN</t>
        </is>
      </c>
      <c r="I8601" t="n">
        <v>0.9</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56667-2023</t>
        </is>
      </c>
      <c r="B8602" t="inlineStr">
        <is>
          <t>avverkningsanmälan</t>
        </is>
      </c>
      <c r="C8602" t="inlineStr">
        <is>
          <t>Föryngringsavverkning</t>
        </is>
      </c>
      <c r="D8602" s="1" t="n">
        <v>45243</v>
      </c>
      <c r="E8602" s="1" t="n">
        <v>46307</v>
      </c>
      <c r="F8602" t="inlineStr">
        <is>
          <t>VÄRMLANDS LÄN</t>
        </is>
      </c>
      <c r="G8602" t="inlineStr">
        <is>
          <t>KRISTINEHAMN</t>
        </is>
      </c>
      <c r="I8602" t="n">
        <v>1</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39896-2025</t>
        </is>
      </c>
      <c r="B8603" t="inlineStr">
        <is>
          <t>avverkningsanmälan</t>
        </is>
      </c>
      <c r="C8603" t="inlineStr">
        <is>
          <t>Föryngringsavverkning</t>
        </is>
      </c>
      <c r="D8603" s="1" t="n">
        <v>45891</v>
      </c>
      <c r="E8603" s="1" t="n">
        <v>46307</v>
      </c>
      <c r="F8603" t="inlineStr">
        <is>
          <t>VÄRMLANDS LÄN</t>
        </is>
      </c>
      <c r="G8603" t="inlineStr">
        <is>
          <t>FILIPSTAD</t>
        </is>
      </c>
      <c r="H8603" t="inlineStr">
        <is>
          <t>Bergvik skog väst AB</t>
        </is>
      </c>
      <c r="I8603" t="n">
        <v>3.3</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40540-2025</t>
        </is>
      </c>
      <c r="B8604" t="inlineStr">
        <is>
          <t>avverkningsanmälan</t>
        </is>
      </c>
      <c r="C8604" t="inlineStr">
        <is>
          <t>Föryngringsavverkning</t>
        </is>
      </c>
      <c r="D8604" s="1" t="n">
        <v>45896</v>
      </c>
      <c r="E8604" s="1" t="n">
        <v>46307</v>
      </c>
      <c r="F8604" t="inlineStr">
        <is>
          <t>VÄRMLANDS LÄN</t>
        </is>
      </c>
      <c r="G8604" t="inlineStr">
        <is>
          <t>SÄFFLE</t>
        </is>
      </c>
      <c r="I8604" t="n">
        <v>2.6</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37419-2025</t>
        </is>
      </c>
      <c r="B8605" t="inlineStr">
        <is>
          <t>avverkningsanmälan</t>
        </is>
      </c>
      <c r="C8605" t="inlineStr">
        <is>
          <t>Föryngringsavverkning</t>
        </is>
      </c>
      <c r="D8605" s="1" t="n">
        <v>45877</v>
      </c>
      <c r="E8605" s="1" t="n">
        <v>46307</v>
      </c>
      <c r="F8605" t="inlineStr">
        <is>
          <t>VÄRMLANDS LÄN</t>
        </is>
      </c>
      <c r="G8605" t="inlineStr">
        <is>
          <t>ÅRJÄNG</t>
        </is>
      </c>
      <c r="I8605" t="n">
        <v>4.9</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4605-2026</t>
        </is>
      </c>
      <c r="B8606" t="inlineStr">
        <is>
          <t>avverkningsanmälan</t>
        </is>
      </c>
      <c r="C8606" t="inlineStr">
        <is>
          <t>Föryngringsavverkning</t>
        </is>
      </c>
      <c r="D8606" s="1" t="n">
        <v>46048</v>
      </c>
      <c r="E8606" s="1" t="n">
        <v>46307</v>
      </c>
      <c r="F8606" t="inlineStr">
        <is>
          <t>VÄRMLANDS LÄN</t>
        </is>
      </c>
      <c r="G8606" t="inlineStr">
        <is>
          <t>EDA</t>
        </is>
      </c>
      <c r="I8606" t="n">
        <v>1.4</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1982-2024</t>
        </is>
      </c>
      <c r="B8607" t="inlineStr">
        <is>
          <t>avverkningsanmälan</t>
        </is>
      </c>
      <c r="C8607" t="inlineStr">
        <is>
          <t>Föryngringsavverkning</t>
        </is>
      </c>
      <c r="D8607" s="1" t="n">
        <v>45308</v>
      </c>
      <c r="E8607" s="1" t="n">
        <v>46307</v>
      </c>
      <c r="F8607" t="inlineStr">
        <is>
          <t>VÄRMLANDS LÄN</t>
        </is>
      </c>
      <c r="G8607" t="inlineStr">
        <is>
          <t>KARLSTAD</t>
        </is>
      </c>
      <c r="I8607" t="n">
        <v>3</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64705-2023</t>
        </is>
      </c>
      <c r="B8608" t="inlineStr">
        <is>
          <t>avverkningsanmälan</t>
        </is>
      </c>
      <c r="C8608" t="inlineStr">
        <is>
          <t>Föryngringsavverkning</t>
        </is>
      </c>
      <c r="D8608" s="1" t="n">
        <v>45281</v>
      </c>
      <c r="E8608" s="1" t="n">
        <v>46307</v>
      </c>
      <c r="F8608" t="inlineStr">
        <is>
          <t>VÄRMLANDS LÄN</t>
        </is>
      </c>
      <c r="G8608" t="inlineStr">
        <is>
          <t>EDA</t>
        </is>
      </c>
      <c r="I8608" t="n">
        <v>2.8</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3932-2024</t>
        </is>
      </c>
      <c r="B8609" t="inlineStr">
        <is>
          <t>avverkningsanmälan</t>
        </is>
      </c>
      <c r="C8609" t="inlineStr">
        <is>
          <t>Föryngringsavverkning</t>
        </is>
      </c>
      <c r="D8609" s="1" t="n">
        <v>45322</v>
      </c>
      <c r="E8609" s="1" t="n">
        <v>46307</v>
      </c>
      <c r="F8609" t="inlineStr">
        <is>
          <t>VÄRMLANDS LÄN</t>
        </is>
      </c>
      <c r="G8609" t="inlineStr">
        <is>
          <t>KRISTINEHAMN</t>
        </is>
      </c>
      <c r="I8609" t="n">
        <v>1</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26615-2024</t>
        </is>
      </c>
      <c r="B8610" t="inlineStr">
        <is>
          <t>avverkningsanmälan</t>
        </is>
      </c>
      <c r="C8610" t="inlineStr">
        <is>
          <t>Föryngringsavverkning</t>
        </is>
      </c>
      <c r="D8610" s="1" t="n">
        <v>45469</v>
      </c>
      <c r="E8610" s="1" t="n">
        <v>46307</v>
      </c>
      <c r="F8610" t="inlineStr">
        <is>
          <t>VÄRMLANDS LÄN</t>
        </is>
      </c>
      <c r="G8610" t="inlineStr">
        <is>
          <t>HAGFORS</t>
        </is>
      </c>
      <c r="I8610" t="n">
        <v>1.1</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4925-2026</t>
        </is>
      </c>
      <c r="B8611" t="inlineStr">
        <is>
          <t>avverkningsanmälan</t>
        </is>
      </c>
      <c r="C8611" t="inlineStr">
        <is>
          <t>Föryngringsavverkning</t>
        </is>
      </c>
      <c r="D8611" s="1" t="n">
        <v>46046</v>
      </c>
      <c r="E8611" s="1" t="n">
        <v>46307</v>
      </c>
      <c r="F8611" t="inlineStr">
        <is>
          <t>VÄRMLANDS LÄN</t>
        </is>
      </c>
      <c r="G8611" t="inlineStr">
        <is>
          <t>SÄFFLE</t>
        </is>
      </c>
      <c r="I8611" t="n">
        <v>0.5</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31561-2023</t>
        </is>
      </c>
      <c r="B8612" t="inlineStr">
        <is>
          <t>avverkningsanmälan</t>
        </is>
      </c>
      <c r="C8612" t="inlineStr">
        <is>
          <t>Föryngringsavverkning</t>
        </is>
      </c>
      <c r="D8612" s="1" t="n">
        <v>45117</v>
      </c>
      <c r="E8612" s="1" t="n">
        <v>46307</v>
      </c>
      <c r="F8612" t="inlineStr">
        <is>
          <t>VÄRMLANDS LÄN</t>
        </is>
      </c>
      <c r="G8612" t="inlineStr">
        <is>
          <t>GRUMS</t>
        </is>
      </c>
      <c r="I8612" t="n">
        <v>1.2</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26628-2024</t>
        </is>
      </c>
      <c r="B8613" t="inlineStr">
        <is>
          <t>avverkningsanmälan</t>
        </is>
      </c>
      <c r="C8613" t="inlineStr">
        <is>
          <t>Föryngringsavverkning</t>
        </is>
      </c>
      <c r="D8613" s="1" t="n">
        <v>45469</v>
      </c>
      <c r="E8613" s="1" t="n">
        <v>46307</v>
      </c>
      <c r="F8613" t="inlineStr">
        <is>
          <t>VÄRMLANDS LÄN</t>
        </is>
      </c>
      <c r="G8613" t="inlineStr">
        <is>
          <t>HAGFORS</t>
        </is>
      </c>
      <c r="I8613" t="n">
        <v>1.1</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34230-2023</t>
        </is>
      </c>
      <c r="B8614" t="inlineStr">
        <is>
          <t>avverkningsanmälan</t>
        </is>
      </c>
      <c r="C8614" t="inlineStr">
        <is>
          <t>Föryngringsavverkning</t>
        </is>
      </c>
      <c r="D8614" s="1" t="n">
        <v>45127</v>
      </c>
      <c r="E8614" s="1" t="n">
        <v>46307</v>
      </c>
      <c r="F8614" t="inlineStr">
        <is>
          <t>VÄRMLANDS LÄN</t>
        </is>
      </c>
      <c r="G8614" t="inlineStr">
        <is>
          <t>KRISTINEHAMN</t>
        </is>
      </c>
      <c r="I8614" t="n">
        <v>3.4</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11398-2024</t>
        </is>
      </c>
      <c r="B8615" t="inlineStr">
        <is>
          <t>avverkningsanmälan</t>
        </is>
      </c>
      <c r="C8615" t="inlineStr">
        <is>
          <t>Föryngringsavverkning</t>
        </is>
      </c>
      <c r="D8615" s="1" t="n">
        <v>45372</v>
      </c>
      <c r="E8615" s="1" t="n">
        <v>46307</v>
      </c>
      <c r="F8615" t="inlineStr">
        <is>
          <t>VÄRMLANDS LÄN</t>
        </is>
      </c>
      <c r="G8615" t="inlineStr">
        <is>
          <t>SÄFFLE</t>
        </is>
      </c>
      <c r="H8615" t="inlineStr">
        <is>
          <t>Bergvik skog väst AB</t>
        </is>
      </c>
      <c r="I8615" t="n">
        <v>0.7</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65754-2021</t>
        </is>
      </c>
      <c r="B8616" t="inlineStr">
        <is>
          <t>avverkningsanmälan</t>
        </is>
      </c>
      <c r="C8616" t="inlineStr">
        <is>
          <t>Föryngringsavverkning</t>
        </is>
      </c>
      <c r="D8616" s="1" t="n">
        <v>44516</v>
      </c>
      <c r="E8616" s="1" t="n">
        <v>46307</v>
      </c>
      <c r="F8616" t="inlineStr">
        <is>
          <t>VÄRMLANDS LÄN</t>
        </is>
      </c>
      <c r="G8616" t="inlineStr">
        <is>
          <t>MUNKFORS</t>
        </is>
      </c>
      <c r="I8616" t="n">
        <v>3</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24247-2025</t>
        </is>
      </c>
      <c r="B8617" t="inlineStr">
        <is>
          <t>avverkningsanmälan</t>
        </is>
      </c>
      <c r="C8617" t="inlineStr">
        <is>
          <t>Föryngringsavverkning</t>
        </is>
      </c>
      <c r="D8617" s="1" t="n">
        <v>45797</v>
      </c>
      <c r="E8617" s="1" t="n">
        <v>46307</v>
      </c>
      <c r="F8617" t="inlineStr">
        <is>
          <t>VÄRMLANDS LÄN</t>
        </is>
      </c>
      <c r="G8617" t="inlineStr">
        <is>
          <t>KIL</t>
        </is>
      </c>
      <c r="I8617" t="n">
        <v>1.7</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41017-2024</t>
        </is>
      </c>
      <c r="B8618" t="inlineStr">
        <is>
          <t>avverkningsanmälan</t>
        </is>
      </c>
      <c r="C8618" t="inlineStr">
        <is>
          <t>Föryngringsavverkning</t>
        </is>
      </c>
      <c r="D8618" s="1" t="n">
        <v>45559</v>
      </c>
      <c r="E8618" s="1" t="n">
        <v>46307</v>
      </c>
      <c r="F8618" t="inlineStr">
        <is>
          <t>VÄRMLANDS LÄN</t>
        </is>
      </c>
      <c r="G8618" t="inlineStr">
        <is>
          <t>SUNNE</t>
        </is>
      </c>
      <c r="I8618" t="n">
        <v>0.7</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14232-2025</t>
        </is>
      </c>
      <c r="B8619" t="inlineStr">
        <is>
          <t>avverkningsanmälan</t>
        </is>
      </c>
      <c r="C8619" t="inlineStr">
        <is>
          <t>Föryngringsavverkning</t>
        </is>
      </c>
      <c r="D8619" s="1" t="n">
        <v>45740</v>
      </c>
      <c r="E8619" s="1" t="n">
        <v>46307</v>
      </c>
      <c r="F8619" t="inlineStr">
        <is>
          <t>VÄRMLANDS LÄN</t>
        </is>
      </c>
      <c r="G8619" t="inlineStr">
        <is>
          <t>SÄFFLE</t>
        </is>
      </c>
      <c r="H8619" t="inlineStr">
        <is>
          <t>Bergvik skog väst AB</t>
        </is>
      </c>
      <c r="I8619" t="n">
        <v>6.1</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64686-2023</t>
        </is>
      </c>
      <c r="B8620" t="inlineStr">
        <is>
          <t>avverkningsanmälan</t>
        </is>
      </c>
      <c r="C8620" t="inlineStr">
        <is>
          <t>Föryngringsavverkning</t>
        </is>
      </c>
      <c r="D8620" s="1" t="n">
        <v>45281</v>
      </c>
      <c r="E8620" s="1" t="n">
        <v>46307</v>
      </c>
      <c r="F8620" t="inlineStr">
        <is>
          <t>VÄRMLANDS LÄN</t>
        </is>
      </c>
      <c r="G8620" t="inlineStr">
        <is>
          <t>EDA</t>
        </is>
      </c>
      <c r="I8620" t="n">
        <v>0.8</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6641-2025</t>
        </is>
      </c>
      <c r="B8621" t="inlineStr">
        <is>
          <t>avverkningsanmälan</t>
        </is>
      </c>
      <c r="C8621" t="inlineStr">
        <is>
          <t>Föryngringsavverkning</t>
        </is>
      </c>
      <c r="D8621" s="1" t="n">
        <v>45700</v>
      </c>
      <c r="E8621" s="1" t="n">
        <v>46307</v>
      </c>
      <c r="F8621" t="inlineStr">
        <is>
          <t>VÄRMLANDS LÄN</t>
        </is>
      </c>
      <c r="G8621" t="inlineStr">
        <is>
          <t>KARLSTAD</t>
        </is>
      </c>
      <c r="I8621" t="n">
        <v>6.9</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31322-2023</t>
        </is>
      </c>
      <c r="B8622" t="inlineStr">
        <is>
          <t>avverkningsanmälan</t>
        </is>
      </c>
      <c r="C8622" t="inlineStr">
        <is>
          <t>Föryngringsavverkning</t>
        </is>
      </c>
      <c r="D8622" s="1" t="n">
        <v>45114</v>
      </c>
      <c r="E8622" s="1" t="n">
        <v>46307</v>
      </c>
      <c r="F8622" t="inlineStr">
        <is>
          <t>VÄRMLANDS LÄN</t>
        </is>
      </c>
      <c r="G8622" t="inlineStr">
        <is>
          <t>EDA</t>
        </is>
      </c>
      <c r="I8622" t="n">
        <v>1.1</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57089-2023</t>
        </is>
      </c>
      <c r="B8623" t="inlineStr">
        <is>
          <t>avverkningsanmälan</t>
        </is>
      </c>
      <c r="C8623" t="inlineStr">
        <is>
          <t>Föryngringsavverkning</t>
        </is>
      </c>
      <c r="D8623" s="1" t="n">
        <v>45245</v>
      </c>
      <c r="E8623" s="1" t="n">
        <v>46307</v>
      </c>
      <c r="F8623" t="inlineStr">
        <is>
          <t>VÄRMLANDS LÄN</t>
        </is>
      </c>
      <c r="G8623" t="inlineStr">
        <is>
          <t>SÄFFLE</t>
        </is>
      </c>
      <c r="H8623" t="inlineStr">
        <is>
          <t>Bergvik skog väst AB</t>
        </is>
      </c>
      <c r="I8623" t="n">
        <v>0.5</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52034-2024</t>
        </is>
      </c>
      <c r="B8624" t="inlineStr">
        <is>
          <t>avverkningsanmälan</t>
        </is>
      </c>
      <c r="C8624" t="inlineStr">
        <is>
          <t>Föryngringsavverkning</t>
        </is>
      </c>
      <c r="D8624" s="1" t="n">
        <v>45608</v>
      </c>
      <c r="E8624" s="1" t="n">
        <v>46307</v>
      </c>
      <c r="F8624" t="inlineStr">
        <is>
          <t>VÄRMLANDS LÄN</t>
        </is>
      </c>
      <c r="G8624" t="inlineStr">
        <is>
          <t>EDA</t>
        </is>
      </c>
      <c r="I8624" t="n">
        <v>4.1</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33505-2023</t>
        </is>
      </c>
      <c r="B8625" t="inlineStr">
        <is>
          <t>avverkningsanmälan</t>
        </is>
      </c>
      <c r="C8625" t="inlineStr">
        <is>
          <t>Föryngringsavverkning</t>
        </is>
      </c>
      <c r="D8625" s="1" t="n">
        <v>45118</v>
      </c>
      <c r="E8625" s="1" t="n">
        <v>46307</v>
      </c>
      <c r="F8625" t="inlineStr">
        <is>
          <t>VÄRMLANDS LÄN</t>
        </is>
      </c>
      <c r="G8625" t="inlineStr">
        <is>
          <t>SUNNE</t>
        </is>
      </c>
      <c r="I8625" t="n">
        <v>4.6</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27450-2025</t>
        </is>
      </c>
      <c r="B8626" t="inlineStr">
        <is>
          <t>avverkningsanmälan</t>
        </is>
      </c>
      <c r="C8626" t="inlineStr">
        <is>
          <t>Föryngringsavverkning</t>
        </is>
      </c>
      <c r="D8626" s="1" t="n">
        <v>45813</v>
      </c>
      <c r="E8626" s="1" t="n">
        <v>46307</v>
      </c>
      <c r="F8626" t="inlineStr">
        <is>
          <t>VÄRMLANDS LÄN</t>
        </is>
      </c>
      <c r="G8626" t="inlineStr">
        <is>
          <t>TORSBY</t>
        </is>
      </c>
      <c r="I8626" t="n">
        <v>1.4</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4455-2026</t>
        </is>
      </c>
      <c r="B8627" t="inlineStr">
        <is>
          <t>avverkningsanmälan</t>
        </is>
      </c>
      <c r="C8627" t="inlineStr">
        <is>
          <t>Föryngringsavverkning</t>
        </is>
      </c>
      <c r="D8627" s="1" t="n">
        <v>46045</v>
      </c>
      <c r="E8627" s="1" t="n">
        <v>46307</v>
      </c>
      <c r="F8627" t="inlineStr">
        <is>
          <t>VÄRMLANDS LÄN</t>
        </is>
      </c>
      <c r="G8627" t="inlineStr">
        <is>
          <t>STORFORS</t>
        </is>
      </c>
      <c r="I8627" t="n">
        <v>2.8</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33515-2023</t>
        </is>
      </c>
      <c r="B8628" t="inlineStr">
        <is>
          <t>avverkningsanmälan</t>
        </is>
      </c>
      <c r="C8628" t="inlineStr">
        <is>
          <t>Föryngringsavverkning</t>
        </is>
      </c>
      <c r="D8628" s="1" t="n">
        <v>45131</v>
      </c>
      <c r="E8628" s="1" t="n">
        <v>46307</v>
      </c>
      <c r="F8628" t="inlineStr">
        <is>
          <t>VÄRMLANDS LÄN</t>
        </is>
      </c>
      <c r="G8628" t="inlineStr">
        <is>
          <t>KARLSTAD</t>
        </is>
      </c>
      <c r="I8628" t="n">
        <v>1.8</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29082-2025</t>
        </is>
      </c>
      <c r="B8629" t="inlineStr">
        <is>
          <t>avverkningsanmälan</t>
        </is>
      </c>
      <c r="C8629" t="inlineStr">
        <is>
          <t>Föryngringsavverkning</t>
        </is>
      </c>
      <c r="D8629" s="1" t="n">
        <v>45821</v>
      </c>
      <c r="E8629" s="1" t="n">
        <v>46307</v>
      </c>
      <c r="F8629" t="inlineStr">
        <is>
          <t>VÄRMLANDS LÄN</t>
        </is>
      </c>
      <c r="G8629" t="inlineStr">
        <is>
          <t>ÅRJÄNG</t>
        </is>
      </c>
      <c r="I8629" t="n">
        <v>1.8</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36857-2025</t>
        </is>
      </c>
      <c r="B8630" t="inlineStr">
        <is>
          <t>avverkningsanmälan</t>
        </is>
      </c>
      <c r="C8630" t="inlineStr">
        <is>
          <t>Föryngringsavverkning</t>
        </is>
      </c>
      <c r="D8630" s="1" t="n">
        <v>45874</v>
      </c>
      <c r="E8630" s="1" t="n">
        <v>46307</v>
      </c>
      <c r="F8630" t="inlineStr">
        <is>
          <t>VÄRMLANDS LÄN</t>
        </is>
      </c>
      <c r="G8630" t="inlineStr">
        <is>
          <t>ÅRJÄNG</t>
        </is>
      </c>
      <c r="I8630" t="n">
        <v>5.2</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21089-2022</t>
        </is>
      </c>
      <c r="B8631" t="inlineStr">
        <is>
          <t>avverkningsanmälan</t>
        </is>
      </c>
      <c r="C8631" t="inlineStr">
        <is>
          <t>Föryngringsavverkning</t>
        </is>
      </c>
      <c r="D8631" s="1" t="n">
        <v>44704</v>
      </c>
      <c r="E8631" s="1" t="n">
        <v>46307</v>
      </c>
      <c r="F8631" t="inlineStr">
        <is>
          <t>VÄRMLANDS LÄN</t>
        </is>
      </c>
      <c r="G8631" t="inlineStr">
        <is>
          <t>TORSBY</t>
        </is>
      </c>
      <c r="I8631" t="n">
        <v>13.4</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2309-2024</t>
        </is>
      </c>
      <c r="B8632" t="inlineStr">
        <is>
          <t>avverkningsanmälan</t>
        </is>
      </c>
      <c r="C8632" t="inlineStr">
        <is>
          <t>Föryngringsavverkning</t>
        </is>
      </c>
      <c r="D8632" s="1" t="n">
        <v>45310</v>
      </c>
      <c r="E8632" s="1" t="n">
        <v>46307</v>
      </c>
      <c r="F8632" t="inlineStr">
        <is>
          <t>VÄRMLANDS LÄN</t>
        </is>
      </c>
      <c r="G8632" t="inlineStr">
        <is>
          <t>KIL</t>
        </is>
      </c>
      <c r="I8632" t="n">
        <v>0.5</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50815-2024</t>
        </is>
      </c>
      <c r="B8633" t="inlineStr">
        <is>
          <t>avverkningsanmälan</t>
        </is>
      </c>
      <c r="C8633" t="inlineStr">
        <is>
          <t>Föryngringsavverkning</t>
        </is>
      </c>
      <c r="D8633" s="1" t="n">
        <v>45602</v>
      </c>
      <c r="E8633" s="1" t="n">
        <v>46307</v>
      </c>
      <c r="F8633" t="inlineStr">
        <is>
          <t>VÄRMLANDS LÄN</t>
        </is>
      </c>
      <c r="G8633" t="inlineStr">
        <is>
          <t>SUNNE</t>
        </is>
      </c>
      <c r="I8633" t="n">
        <v>2.5</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11737-2025</t>
        </is>
      </c>
      <c r="B8634" t="inlineStr">
        <is>
          <t>avverkningsanmälan</t>
        </is>
      </c>
      <c r="C8634" t="inlineStr">
        <is>
          <t>Föryngringsavverkning</t>
        </is>
      </c>
      <c r="D8634" s="1" t="n">
        <v>45727</v>
      </c>
      <c r="E8634" s="1" t="n">
        <v>46307</v>
      </c>
      <c r="F8634" t="inlineStr">
        <is>
          <t>VÄRMLANDS LÄN</t>
        </is>
      </c>
      <c r="G8634" t="inlineStr">
        <is>
          <t>SÄFFLE</t>
        </is>
      </c>
      <c r="I8634" t="n">
        <v>11.4</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20336-2026</t>
        </is>
      </c>
      <c r="B8635" t="inlineStr">
        <is>
          <t>avverkningsanmälan</t>
        </is>
      </c>
      <c r="C8635" t="inlineStr">
        <is>
          <t>Föryngringsavverkning</t>
        </is>
      </c>
      <c r="D8635" s="1" t="n">
        <v>46139</v>
      </c>
      <c r="E8635" s="1" t="n">
        <v>46307</v>
      </c>
      <c r="F8635" t="inlineStr">
        <is>
          <t>VÄRMLANDS LÄN</t>
        </is>
      </c>
      <c r="G8635" t="inlineStr">
        <is>
          <t>SÄFFLE</t>
        </is>
      </c>
      <c r="I8635" t="n">
        <v>3.3</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37487-2025</t>
        </is>
      </c>
      <c r="B8636" t="inlineStr">
        <is>
          <t>avverkningsanmälan</t>
        </is>
      </c>
      <c r="C8636" t="inlineStr">
        <is>
          <t>Föryngringsavverkning</t>
        </is>
      </c>
      <c r="D8636" s="1" t="n">
        <v>45877</v>
      </c>
      <c r="E8636" s="1" t="n">
        <v>46307</v>
      </c>
      <c r="F8636" t="inlineStr">
        <is>
          <t>VÄRMLANDS LÄN</t>
        </is>
      </c>
      <c r="G8636" t="inlineStr">
        <is>
          <t>KARLSTAD</t>
        </is>
      </c>
      <c r="I8636" t="n">
        <v>6.1</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11892-2025</t>
        </is>
      </c>
      <c r="B8637" t="inlineStr">
        <is>
          <t>avverkningsanmälan</t>
        </is>
      </c>
      <c r="C8637" t="inlineStr">
        <is>
          <t>Föryngringsavverkning</t>
        </is>
      </c>
      <c r="D8637" s="1" t="n">
        <v>45728</v>
      </c>
      <c r="E8637" s="1" t="n">
        <v>46307</v>
      </c>
      <c r="F8637" t="inlineStr">
        <is>
          <t>VÄRMLANDS LÄN</t>
        </is>
      </c>
      <c r="G8637" t="inlineStr">
        <is>
          <t>ARVIKA</t>
        </is>
      </c>
      <c r="I8637" t="n">
        <v>0.3</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17754-2024</t>
        </is>
      </c>
      <c r="B8638" t="inlineStr">
        <is>
          <t>avverkningsanmälan</t>
        </is>
      </c>
      <c r="C8638" t="inlineStr">
        <is>
          <t>Föryngringsavverkning</t>
        </is>
      </c>
      <c r="D8638" s="1" t="n">
        <v>45418</v>
      </c>
      <c r="E8638" s="1" t="n">
        <v>46307</v>
      </c>
      <c r="F8638" t="inlineStr">
        <is>
          <t>VÄRMLANDS LÄN</t>
        </is>
      </c>
      <c r="G8638" t="inlineStr">
        <is>
          <t>EDA</t>
        </is>
      </c>
      <c r="I8638" t="n">
        <v>2.7</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33993-2025</t>
        </is>
      </c>
      <c r="B8639" t="inlineStr">
        <is>
          <t>avverkningsanmälan</t>
        </is>
      </c>
      <c r="C8639" t="inlineStr">
        <is>
          <t>Föryngringsavverkning</t>
        </is>
      </c>
      <c r="D8639" s="1" t="n">
        <v>45843</v>
      </c>
      <c r="E8639" s="1" t="n">
        <v>46307</v>
      </c>
      <c r="F8639" t="inlineStr">
        <is>
          <t>VÄRMLANDS LÄN</t>
        </is>
      </c>
      <c r="G8639" t="inlineStr">
        <is>
          <t>ÅRJÄNG</t>
        </is>
      </c>
      <c r="I8639" t="n">
        <v>2.4</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61988-2023</t>
        </is>
      </c>
      <c r="B8640" t="inlineStr">
        <is>
          <t>avverkningsanmälan</t>
        </is>
      </c>
      <c r="C8640" t="inlineStr">
        <is>
          <t>Föryngringsavverkning</t>
        </is>
      </c>
      <c r="D8640" s="1" t="n">
        <v>45266</v>
      </c>
      <c r="E8640" s="1" t="n">
        <v>46307</v>
      </c>
      <c r="F8640" t="inlineStr">
        <is>
          <t>VÄRMLANDS LÄN</t>
        </is>
      </c>
      <c r="G8640" t="inlineStr">
        <is>
          <t>KRISTINEHAMN</t>
        </is>
      </c>
      <c r="I8640" t="n">
        <v>2.4</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14436-2024</t>
        </is>
      </c>
      <c r="B8641" t="inlineStr">
        <is>
          <t>avverkningsanmälan</t>
        </is>
      </c>
      <c r="C8641" t="inlineStr">
        <is>
          <t>Föryngringsavverkning</t>
        </is>
      </c>
      <c r="D8641" s="1" t="n">
        <v>45394</v>
      </c>
      <c r="E8641" s="1" t="n">
        <v>46307</v>
      </c>
      <c r="F8641" t="inlineStr">
        <is>
          <t>VÄRMLANDS LÄN</t>
        </is>
      </c>
      <c r="G8641" t="inlineStr">
        <is>
          <t>SÄFFLE</t>
        </is>
      </c>
      <c r="I8641" t="n">
        <v>5.6</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17878-2024</t>
        </is>
      </c>
      <c r="B8642" t="inlineStr">
        <is>
          <t>avverkningsanmälan</t>
        </is>
      </c>
      <c r="C8642" t="inlineStr">
        <is>
          <t>Avverkning för annat ändamål</t>
        </is>
      </c>
      <c r="D8642" s="1" t="n">
        <v>45419</v>
      </c>
      <c r="E8642" s="1" t="n">
        <v>46307</v>
      </c>
      <c r="F8642" t="inlineStr">
        <is>
          <t>VÄRMLANDS LÄN</t>
        </is>
      </c>
      <c r="G8642" t="inlineStr">
        <is>
          <t>ÅRJÄNG</t>
        </is>
      </c>
      <c r="I8642" t="n">
        <v>1.6</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64151-2023</t>
        </is>
      </c>
      <c r="B8643" t="inlineStr">
        <is>
          <t>avverkningsanmälan</t>
        </is>
      </c>
      <c r="C8643" t="inlineStr">
        <is>
          <t>Föryngringsavverkning</t>
        </is>
      </c>
      <c r="D8643" s="1" t="n">
        <v>45279</v>
      </c>
      <c r="E8643" s="1" t="n">
        <v>46307</v>
      </c>
      <c r="F8643" t="inlineStr">
        <is>
          <t>VÄRMLANDS LÄN</t>
        </is>
      </c>
      <c r="G8643" t="inlineStr">
        <is>
          <t>ÅRJÄNG</t>
        </is>
      </c>
      <c r="I8643" t="n">
        <v>24.5</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34505-2025</t>
        </is>
      </c>
      <c r="B8644" t="inlineStr">
        <is>
          <t>avverkningsanmälan</t>
        </is>
      </c>
      <c r="C8644" t="inlineStr">
        <is>
          <t>Föryngringsavverkning</t>
        </is>
      </c>
      <c r="D8644" s="1" t="n">
        <v>45847</v>
      </c>
      <c r="E8644" s="1" t="n">
        <v>46307</v>
      </c>
      <c r="F8644" t="inlineStr">
        <is>
          <t>VÄRMLANDS LÄN</t>
        </is>
      </c>
      <c r="G8644" t="inlineStr">
        <is>
          <t>SÄFFLE</t>
        </is>
      </c>
      <c r="I8644" t="n">
        <v>2.4</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12778-2025</t>
        </is>
      </c>
      <c r="B8645" t="inlineStr">
        <is>
          <t>avverkningsanmälan</t>
        </is>
      </c>
      <c r="C8645" t="inlineStr">
        <is>
          <t>Föryngringsavverkning</t>
        </is>
      </c>
      <c r="D8645" s="1" t="n">
        <v>45733</v>
      </c>
      <c r="E8645" s="1" t="n">
        <v>46307</v>
      </c>
      <c r="F8645" t="inlineStr">
        <is>
          <t>VÄRMLANDS LÄN</t>
        </is>
      </c>
      <c r="G8645" t="inlineStr">
        <is>
          <t>HAGFORS</t>
        </is>
      </c>
      <c r="I8645" t="n">
        <v>1.7</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8758-2023</t>
        </is>
      </c>
      <c r="B8646" t="inlineStr">
        <is>
          <t>avverkningsanmälan</t>
        </is>
      </c>
      <c r="C8646" t="inlineStr">
        <is>
          <t>Föryngringsavverkning</t>
        </is>
      </c>
      <c r="D8646" s="1" t="n">
        <v>44978</v>
      </c>
      <c r="E8646" s="1" t="n">
        <v>46307</v>
      </c>
      <c r="F8646" t="inlineStr">
        <is>
          <t>VÄRMLANDS LÄN</t>
        </is>
      </c>
      <c r="G8646" t="inlineStr">
        <is>
          <t>KRISTINEHAMN</t>
        </is>
      </c>
      <c r="I8646" t="n">
        <v>1.3</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28152-2022</t>
        </is>
      </c>
      <c r="B8647" t="inlineStr">
        <is>
          <t>avverkningsanmälan</t>
        </is>
      </c>
      <c r="C8647" t="inlineStr">
        <is>
          <t>Föryngringsavverkning</t>
        </is>
      </c>
      <c r="D8647" s="1" t="n">
        <v>44746</v>
      </c>
      <c r="E8647" s="1" t="n">
        <v>46307</v>
      </c>
      <c r="F8647" t="inlineStr">
        <is>
          <t>VÄRMLANDS LÄN</t>
        </is>
      </c>
      <c r="G8647" t="inlineStr">
        <is>
          <t>KRISTINEHAMN</t>
        </is>
      </c>
      <c r="I8647" t="n">
        <v>7.2</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45425-2025</t>
        </is>
      </c>
      <c r="B8648" t="inlineStr">
        <is>
          <t>avverkningsanmälan</t>
        </is>
      </c>
      <c r="C8648" t="inlineStr">
        <is>
          <t>Föryngringsavverkning</t>
        </is>
      </c>
      <c r="D8648" s="1" t="n">
        <v>45922</v>
      </c>
      <c r="E8648" s="1" t="n">
        <v>46307</v>
      </c>
      <c r="F8648" t="inlineStr">
        <is>
          <t>VÄRMLANDS LÄN</t>
        </is>
      </c>
      <c r="G8648" t="inlineStr">
        <is>
          <t>TORSBY</t>
        </is>
      </c>
      <c r="H8648" t="inlineStr">
        <is>
          <t>Bergvik skog väst AB</t>
        </is>
      </c>
      <c r="I8648" t="n">
        <v>6.3</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8838-2023</t>
        </is>
      </c>
      <c r="B8649" t="inlineStr">
        <is>
          <t>avverkningsanmälan</t>
        </is>
      </c>
      <c r="C8649" t="inlineStr">
        <is>
          <t>Föryngringsavverkning</t>
        </is>
      </c>
      <c r="D8649" s="1" t="n">
        <v>44978</v>
      </c>
      <c r="E8649" s="1" t="n">
        <v>46307</v>
      </c>
      <c r="F8649" t="inlineStr">
        <is>
          <t>VÄRMLANDS LÄN</t>
        </is>
      </c>
      <c r="G8649" t="inlineStr">
        <is>
          <t>ÅRJÄNG</t>
        </is>
      </c>
      <c r="I8649" t="n">
        <v>7</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28191-2022</t>
        </is>
      </c>
      <c r="B8650" t="inlineStr">
        <is>
          <t>avverkningsanmälan</t>
        </is>
      </c>
      <c r="C8650" t="inlineStr">
        <is>
          <t>Föryngringsavverkning</t>
        </is>
      </c>
      <c r="D8650" s="1" t="n">
        <v>44746</v>
      </c>
      <c r="E8650" s="1" t="n">
        <v>46307</v>
      </c>
      <c r="F8650" t="inlineStr">
        <is>
          <t>VÄRMLANDS LÄN</t>
        </is>
      </c>
      <c r="G8650" t="inlineStr">
        <is>
          <t>SUNNE</t>
        </is>
      </c>
      <c r="I8650" t="n">
        <v>1.1</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2363-2023</t>
        </is>
      </c>
      <c r="B8651" t="inlineStr">
        <is>
          <t>avverkningsanmälan</t>
        </is>
      </c>
      <c r="C8651" t="inlineStr">
        <is>
          <t>Föryngringsavverkning</t>
        </is>
      </c>
      <c r="D8651" s="1" t="n">
        <v>44938</v>
      </c>
      <c r="E8651" s="1" t="n">
        <v>46307</v>
      </c>
      <c r="F8651" t="inlineStr">
        <is>
          <t>VÄRMLANDS LÄN</t>
        </is>
      </c>
      <c r="G8651" t="inlineStr">
        <is>
          <t>STORFORS</t>
        </is>
      </c>
      <c r="I8651" t="n">
        <v>1.8</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4560-2026</t>
        </is>
      </c>
      <c r="B8652" t="inlineStr">
        <is>
          <t>avverkningsanmälan</t>
        </is>
      </c>
      <c r="C8652" t="inlineStr">
        <is>
          <t>Föryngringsavverkning</t>
        </is>
      </c>
      <c r="D8652" s="1" t="n">
        <v>46047</v>
      </c>
      <c r="E8652" s="1" t="n">
        <v>46307</v>
      </c>
      <c r="F8652" t="inlineStr">
        <is>
          <t>VÄRMLANDS LÄN</t>
        </is>
      </c>
      <c r="G8652" t="inlineStr">
        <is>
          <t>SUNNE</t>
        </is>
      </c>
      <c r="I8652" t="n">
        <v>4.2</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59862-2024</t>
        </is>
      </c>
      <c r="B8653" t="inlineStr">
        <is>
          <t>avverkningsanmälan</t>
        </is>
      </c>
      <c r="C8653" t="inlineStr">
        <is>
          <t>Föryngringsavverkning</t>
        </is>
      </c>
      <c r="D8653" s="1" t="n">
        <v>45639</v>
      </c>
      <c r="E8653" s="1" t="n">
        <v>46307</v>
      </c>
      <c r="F8653" t="inlineStr">
        <is>
          <t>VÄRMLANDS LÄN</t>
        </is>
      </c>
      <c r="G8653" t="inlineStr">
        <is>
          <t>KRISTINEHAMN</t>
        </is>
      </c>
      <c r="I8653" t="n">
        <v>1.6</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4286-2026</t>
        </is>
      </c>
      <c r="B8654" t="inlineStr">
        <is>
          <t>avverkningsanmälan</t>
        </is>
      </c>
      <c r="C8654" t="inlineStr">
        <is>
          <t>Avverkning för annat ändamål</t>
        </is>
      </c>
      <c r="D8654" s="1" t="n">
        <v>46045</v>
      </c>
      <c r="E8654" s="1" t="n">
        <v>46307</v>
      </c>
      <c r="F8654" t="inlineStr">
        <is>
          <t>VÄRMLANDS LÄN</t>
        </is>
      </c>
      <c r="G8654" t="inlineStr">
        <is>
          <t>SÄFFLE</t>
        </is>
      </c>
      <c r="I8654" t="n">
        <v>1</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2390-2025</t>
        </is>
      </c>
      <c r="B8655" t="inlineStr">
        <is>
          <t>avverkningsanmälan</t>
        </is>
      </c>
      <c r="C8655" t="inlineStr">
        <is>
          <t>Föryngringsavverkning</t>
        </is>
      </c>
      <c r="D8655" s="1" t="n">
        <v>45674</v>
      </c>
      <c r="E8655" s="1" t="n">
        <v>46307</v>
      </c>
      <c r="F8655" t="inlineStr">
        <is>
          <t>VÄRMLANDS LÄN</t>
        </is>
      </c>
      <c r="G8655" t="inlineStr">
        <is>
          <t>TORSBY</t>
        </is>
      </c>
      <c r="I8655" t="n">
        <v>4.6</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63098-2025</t>
        </is>
      </c>
      <c r="B8656" t="inlineStr">
        <is>
          <t>avverkningsanmälan</t>
        </is>
      </c>
      <c r="C8656" t="inlineStr">
        <is>
          <t>Föryngringsavverkning</t>
        </is>
      </c>
      <c r="D8656" s="1" t="n">
        <v>46009</v>
      </c>
      <c r="E8656" s="1" t="n">
        <v>46307</v>
      </c>
      <c r="F8656" t="inlineStr">
        <is>
          <t>VÄRMLANDS LÄN</t>
        </is>
      </c>
      <c r="G8656" t="inlineStr">
        <is>
          <t>TORSBY</t>
        </is>
      </c>
      <c r="I8656" t="n">
        <v>2.1</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34667-2022</t>
        </is>
      </c>
      <c r="B8657" t="inlineStr">
        <is>
          <t>avverkningsanmälan</t>
        </is>
      </c>
      <c r="C8657" t="inlineStr">
        <is>
          <t>Föryngringsavverkning</t>
        </is>
      </c>
      <c r="D8657" s="1" t="n">
        <v>44795</v>
      </c>
      <c r="E8657" s="1" t="n">
        <v>46307</v>
      </c>
      <c r="F8657" t="inlineStr">
        <is>
          <t>VÄRMLANDS LÄN</t>
        </is>
      </c>
      <c r="G8657" t="inlineStr">
        <is>
          <t>TORSBY</t>
        </is>
      </c>
      <c r="I8657" t="n">
        <v>1</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61412-2022</t>
        </is>
      </c>
      <c r="B8658" t="inlineStr">
        <is>
          <t>avverkningsanmälan</t>
        </is>
      </c>
      <c r="C8658" t="inlineStr">
        <is>
          <t>Föryngringsavverkning</t>
        </is>
      </c>
      <c r="D8658" s="1" t="n">
        <v>44916</v>
      </c>
      <c r="E8658" s="1" t="n">
        <v>46307</v>
      </c>
      <c r="F8658" t="inlineStr">
        <is>
          <t>VÄRMLANDS LÄN</t>
        </is>
      </c>
      <c r="G8658" t="inlineStr">
        <is>
          <t>EDA</t>
        </is>
      </c>
      <c r="I8658" t="n">
        <v>1.2</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34711-2022</t>
        </is>
      </c>
      <c r="B8659" t="inlineStr">
        <is>
          <t>avverkningsanmälan</t>
        </is>
      </c>
      <c r="C8659" t="inlineStr">
        <is>
          <t>Föryngringsavverkning</t>
        </is>
      </c>
      <c r="D8659" s="1" t="n">
        <v>44795</v>
      </c>
      <c r="E8659" s="1" t="n">
        <v>46307</v>
      </c>
      <c r="F8659" t="inlineStr">
        <is>
          <t>VÄRMLANDS LÄN</t>
        </is>
      </c>
      <c r="G8659" t="inlineStr">
        <is>
          <t>SUNNE</t>
        </is>
      </c>
      <c r="I8659" t="n">
        <v>0.9</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2306-2024</t>
        </is>
      </c>
      <c r="B8660" t="inlineStr">
        <is>
          <t>avverkningsanmälan</t>
        </is>
      </c>
      <c r="C8660" t="inlineStr">
        <is>
          <t>Föryngringsavverkning</t>
        </is>
      </c>
      <c r="D8660" s="1" t="n">
        <v>45310</v>
      </c>
      <c r="E8660" s="1" t="n">
        <v>46307</v>
      </c>
      <c r="F8660" t="inlineStr">
        <is>
          <t>VÄRMLANDS LÄN</t>
        </is>
      </c>
      <c r="G8660" t="inlineStr">
        <is>
          <t>KIL</t>
        </is>
      </c>
      <c r="I8660" t="n">
        <v>3.4</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26124-2024</t>
        </is>
      </c>
      <c r="B8661" t="inlineStr">
        <is>
          <t>avverkningsanmälan</t>
        </is>
      </c>
      <c r="C8661" t="inlineStr">
        <is>
          <t>Föryngringsavverkning</t>
        </is>
      </c>
      <c r="D8661" s="1" t="n">
        <v>45468</v>
      </c>
      <c r="E8661" s="1" t="n">
        <v>46307</v>
      </c>
      <c r="F8661" t="inlineStr">
        <is>
          <t>VÄRMLANDS LÄN</t>
        </is>
      </c>
      <c r="G8661" t="inlineStr">
        <is>
          <t>TORSBY</t>
        </is>
      </c>
      <c r="I8661" t="n">
        <v>5.7</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4284-2026</t>
        </is>
      </c>
      <c r="B8662" t="inlineStr">
        <is>
          <t>avverkningsanmälan</t>
        </is>
      </c>
      <c r="C8662" t="inlineStr">
        <is>
          <t>Avverkning för annat ändamål</t>
        </is>
      </c>
      <c r="D8662" s="1" t="n">
        <v>46045</v>
      </c>
      <c r="E8662" s="1" t="n">
        <v>46307</v>
      </c>
      <c r="F8662" t="inlineStr">
        <is>
          <t>VÄRMLANDS LÄN</t>
        </is>
      </c>
      <c r="G8662" t="inlineStr">
        <is>
          <t>SÄFFLE</t>
        </is>
      </c>
      <c r="I8662" t="n">
        <v>0.5</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52424-2024</t>
        </is>
      </c>
      <c r="B8663" t="inlineStr">
        <is>
          <t>avverkningsanmälan</t>
        </is>
      </c>
      <c r="C8663" t="inlineStr">
        <is>
          <t>Föryngringsavverkning</t>
        </is>
      </c>
      <c r="D8663" s="1" t="n">
        <v>45609</v>
      </c>
      <c r="E8663" s="1" t="n">
        <v>46307</v>
      </c>
      <c r="F8663" t="inlineStr">
        <is>
          <t>VÄRMLANDS LÄN</t>
        </is>
      </c>
      <c r="G8663" t="inlineStr">
        <is>
          <t>SÄFFLE</t>
        </is>
      </c>
      <c r="I8663" t="n">
        <v>1.4</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4997-2025</t>
        </is>
      </c>
      <c r="B8664" t="inlineStr">
        <is>
          <t>avverkningsanmälan</t>
        </is>
      </c>
      <c r="C8664" t="inlineStr">
        <is>
          <t>Föryngringsavverkning</t>
        </is>
      </c>
      <c r="D8664" s="1" t="n">
        <v>45691</v>
      </c>
      <c r="E8664" s="1" t="n">
        <v>46307</v>
      </c>
      <c r="F8664" t="inlineStr">
        <is>
          <t>VÄRMLANDS LÄN</t>
        </is>
      </c>
      <c r="G8664" t="inlineStr">
        <is>
          <t>ARVIKA</t>
        </is>
      </c>
      <c r="I8664" t="n">
        <v>1.7</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19457-2023</t>
        </is>
      </c>
      <c r="B8665" t="inlineStr">
        <is>
          <t>avverkningsanmälan</t>
        </is>
      </c>
      <c r="C8665" t="inlineStr">
        <is>
          <t>Föryngringsavverkning</t>
        </is>
      </c>
      <c r="D8665" s="1" t="n">
        <v>45050</v>
      </c>
      <c r="E8665" s="1" t="n">
        <v>46307</v>
      </c>
      <c r="F8665" t="inlineStr">
        <is>
          <t>VÄRMLANDS LÄN</t>
        </is>
      </c>
      <c r="G8665" t="inlineStr">
        <is>
          <t>SUNNE</t>
        </is>
      </c>
      <c r="I8665" t="n">
        <v>0.5</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9500-2025</t>
        </is>
      </c>
      <c r="B8666" t="inlineStr">
        <is>
          <t>avverkningsanmälan</t>
        </is>
      </c>
      <c r="C8666" t="inlineStr">
        <is>
          <t>Föryngringsavverkning</t>
        </is>
      </c>
      <c r="D8666" s="1" t="n">
        <v>45714</v>
      </c>
      <c r="E8666" s="1" t="n">
        <v>46307</v>
      </c>
      <c r="F8666" t="inlineStr">
        <is>
          <t>VÄRMLANDS LÄN</t>
        </is>
      </c>
      <c r="G8666" t="inlineStr">
        <is>
          <t>SÄFFLE</t>
        </is>
      </c>
      <c r="I8666" t="n">
        <v>4</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29588-2022</t>
        </is>
      </c>
      <c r="B8667" t="inlineStr">
        <is>
          <t>avverkningsanmälan</t>
        </is>
      </c>
      <c r="C8667" t="inlineStr">
        <is>
          <t>Föryngringsavverkning</t>
        </is>
      </c>
      <c r="D8667" s="1" t="n">
        <v>44754</v>
      </c>
      <c r="E8667" s="1" t="n">
        <v>46307</v>
      </c>
      <c r="F8667" t="inlineStr">
        <is>
          <t>VÄRMLANDS LÄN</t>
        </is>
      </c>
      <c r="G8667" t="inlineStr">
        <is>
          <t>SUNNE</t>
        </is>
      </c>
      <c r="I8667" t="n">
        <v>1.9</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31393-2025</t>
        </is>
      </c>
      <c r="B8668" t="inlineStr">
        <is>
          <t>avverkningsanmälan</t>
        </is>
      </c>
      <c r="C8668" t="inlineStr">
        <is>
          <t>Föryngringsavverkning</t>
        </is>
      </c>
      <c r="D8668" s="1" t="n">
        <v>45833</v>
      </c>
      <c r="E8668" s="1" t="n">
        <v>46307</v>
      </c>
      <c r="F8668" t="inlineStr">
        <is>
          <t>VÄRMLANDS LÄN</t>
        </is>
      </c>
      <c r="G8668" t="inlineStr">
        <is>
          <t>ÅRJÄNG</t>
        </is>
      </c>
      <c r="I8668" t="n">
        <v>1.8</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59200-2023</t>
        </is>
      </c>
      <c r="B8669" t="inlineStr">
        <is>
          <t>avverkningsanmälan</t>
        </is>
      </c>
      <c r="C8669" t="inlineStr">
        <is>
          <t>Föryngringsavverkning</t>
        </is>
      </c>
      <c r="D8669" s="1" t="n">
        <v>45253</v>
      </c>
      <c r="E8669" s="1" t="n">
        <v>46307</v>
      </c>
      <c r="F8669" t="inlineStr">
        <is>
          <t>VÄRMLANDS LÄN</t>
        </is>
      </c>
      <c r="G8669" t="inlineStr">
        <is>
          <t>KIL</t>
        </is>
      </c>
      <c r="I8669" t="n">
        <v>0.7</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4988-2026</t>
        </is>
      </c>
      <c r="B8670" t="inlineStr">
        <is>
          <t>avverkningsanmälan</t>
        </is>
      </c>
      <c r="C8670" t="inlineStr">
        <is>
          <t>Föryngringsavverkning</t>
        </is>
      </c>
      <c r="D8670" s="1" t="n">
        <v>46049</v>
      </c>
      <c r="E8670" s="1" t="n">
        <v>46307</v>
      </c>
      <c r="F8670" t="inlineStr">
        <is>
          <t>VÄRMLANDS LÄN</t>
        </is>
      </c>
      <c r="G8670" t="inlineStr">
        <is>
          <t>TORSBY</t>
        </is>
      </c>
      <c r="H8670" t="inlineStr">
        <is>
          <t>Bergvik skog väst AB</t>
        </is>
      </c>
      <c r="I8670" t="n">
        <v>3.5</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5371-2026</t>
        </is>
      </c>
      <c r="B8671" t="inlineStr">
        <is>
          <t>avverkningsanmälan</t>
        </is>
      </c>
      <c r="C8671" t="inlineStr">
        <is>
          <t>Föryngringsavverkning</t>
        </is>
      </c>
      <c r="D8671" s="1" t="n">
        <v>46050</v>
      </c>
      <c r="E8671" s="1" t="n">
        <v>46307</v>
      </c>
      <c r="F8671" t="inlineStr">
        <is>
          <t>VÄRMLANDS LÄN</t>
        </is>
      </c>
      <c r="G8671" t="inlineStr">
        <is>
          <t>HAGFORS</t>
        </is>
      </c>
      <c r="I8671" t="n">
        <v>1</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5329-2025</t>
        </is>
      </c>
      <c r="B8672" t="inlineStr">
        <is>
          <t>avverkningsanmälan</t>
        </is>
      </c>
      <c r="C8672" t="inlineStr">
        <is>
          <t>Föryngringsavverkning</t>
        </is>
      </c>
      <c r="D8672" s="1" t="n">
        <v>45692</v>
      </c>
      <c r="E8672" s="1" t="n">
        <v>46307</v>
      </c>
      <c r="F8672" t="inlineStr">
        <is>
          <t>VÄRMLANDS LÄN</t>
        </is>
      </c>
      <c r="G8672" t="inlineStr">
        <is>
          <t>ARVIKA</t>
        </is>
      </c>
      <c r="H8672" t="inlineStr">
        <is>
          <t>Kommuner</t>
        </is>
      </c>
      <c r="I8672" t="n">
        <v>3.8</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34281-2025</t>
        </is>
      </c>
      <c r="B8673" t="inlineStr">
        <is>
          <t>avverkningsanmälan</t>
        </is>
      </c>
      <c r="C8673" t="inlineStr">
        <is>
          <t>Föryngringsavverkning</t>
        </is>
      </c>
      <c r="D8673" s="1" t="n">
        <v>45846</v>
      </c>
      <c r="E8673" s="1" t="n">
        <v>46307</v>
      </c>
      <c r="F8673" t="inlineStr">
        <is>
          <t>VÄRMLANDS LÄN</t>
        </is>
      </c>
      <c r="G8673" t="inlineStr">
        <is>
          <t>HAGFORS</t>
        </is>
      </c>
      <c r="H8673" t="inlineStr">
        <is>
          <t>Bergvik skog väst AB</t>
        </is>
      </c>
      <c r="I8673" t="n">
        <v>2.2</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5193-2026</t>
        </is>
      </c>
      <c r="B8674" t="inlineStr">
        <is>
          <t>avverkningsanmälan</t>
        </is>
      </c>
      <c r="C8674" t="inlineStr">
        <is>
          <t>Föryngringsavverkning</t>
        </is>
      </c>
      <c r="D8674" s="1" t="n">
        <v>46049</v>
      </c>
      <c r="E8674" s="1" t="n">
        <v>46307</v>
      </c>
      <c r="F8674" t="inlineStr">
        <is>
          <t>VÄRMLANDS LÄN</t>
        </is>
      </c>
      <c r="G8674" t="inlineStr">
        <is>
          <t>TORSBY</t>
        </is>
      </c>
      <c r="I8674" t="n">
        <v>6.7</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59203-2023</t>
        </is>
      </c>
      <c r="B8675" t="inlineStr">
        <is>
          <t>avverkningsanmälan</t>
        </is>
      </c>
      <c r="C8675" t="inlineStr">
        <is>
          <t>Föryngringsavverkning</t>
        </is>
      </c>
      <c r="D8675" s="1" t="n">
        <v>45253</v>
      </c>
      <c r="E8675" s="1" t="n">
        <v>46307</v>
      </c>
      <c r="F8675" t="inlineStr">
        <is>
          <t>VÄRMLANDS LÄN</t>
        </is>
      </c>
      <c r="G8675" t="inlineStr">
        <is>
          <t>SÄFFLE</t>
        </is>
      </c>
      <c r="I8675" t="n">
        <v>4.8</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5214-2026</t>
        </is>
      </c>
      <c r="B8676" t="inlineStr">
        <is>
          <t>avverkningsanmälan</t>
        </is>
      </c>
      <c r="C8676" t="inlineStr">
        <is>
          <t>Föryngringsavverkning</t>
        </is>
      </c>
      <c r="D8676" s="1" t="n">
        <v>46049</v>
      </c>
      <c r="E8676" s="1" t="n">
        <v>46307</v>
      </c>
      <c r="F8676" t="inlineStr">
        <is>
          <t>VÄRMLANDS LÄN</t>
        </is>
      </c>
      <c r="G8676" t="inlineStr">
        <is>
          <t>ÅRJÄNG</t>
        </is>
      </c>
      <c r="I8676" t="n">
        <v>2.3</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5216-2026</t>
        </is>
      </c>
      <c r="B8677" t="inlineStr">
        <is>
          <t>avverkningsanmälan</t>
        </is>
      </c>
      <c r="C8677" t="inlineStr">
        <is>
          <t>Föryngringsavverkning</t>
        </is>
      </c>
      <c r="D8677" s="1" t="n">
        <v>46049</v>
      </c>
      <c r="E8677" s="1" t="n">
        <v>46307</v>
      </c>
      <c r="F8677" t="inlineStr">
        <is>
          <t>VÄRMLANDS LÄN</t>
        </is>
      </c>
      <c r="G8677" t="inlineStr">
        <is>
          <t>ÅRJÄNG</t>
        </is>
      </c>
      <c r="I8677" t="n">
        <v>0.9</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5217-2026</t>
        </is>
      </c>
      <c r="B8678" t="inlineStr">
        <is>
          <t>avverkningsanmälan</t>
        </is>
      </c>
      <c r="C8678" t="inlineStr">
        <is>
          <t>Föryngringsavverkning</t>
        </is>
      </c>
      <c r="D8678" s="1" t="n">
        <v>46049</v>
      </c>
      <c r="E8678" s="1" t="n">
        <v>46307</v>
      </c>
      <c r="F8678" t="inlineStr">
        <is>
          <t>VÄRMLANDS LÄN</t>
        </is>
      </c>
      <c r="G8678" t="inlineStr">
        <is>
          <t>ÅRJÄNG</t>
        </is>
      </c>
      <c r="I8678" t="n">
        <v>0.7</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37340-2022</t>
        </is>
      </c>
      <c r="B8679" t="inlineStr">
        <is>
          <t>avverkningsanmälan</t>
        </is>
      </c>
      <c r="C8679" t="inlineStr">
        <is>
          <t>Föryngringsavverkning</t>
        </is>
      </c>
      <c r="D8679" s="1" t="n">
        <v>44809</v>
      </c>
      <c r="E8679" s="1" t="n">
        <v>46307</v>
      </c>
      <c r="F8679" t="inlineStr">
        <is>
          <t>VÄRMLANDS LÄN</t>
        </is>
      </c>
      <c r="G8679" t="inlineStr">
        <is>
          <t>TORSBY</t>
        </is>
      </c>
      <c r="I8679" t="n">
        <v>1.3</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32059-2025</t>
        </is>
      </c>
      <c r="B8680" t="inlineStr">
        <is>
          <t>avverkningsanmälan</t>
        </is>
      </c>
      <c r="C8680" t="inlineStr">
        <is>
          <t>Föryngringsavverkning</t>
        </is>
      </c>
      <c r="D8680" s="1" t="n">
        <v>45835</v>
      </c>
      <c r="E8680" s="1" t="n">
        <v>46307</v>
      </c>
      <c r="F8680" t="inlineStr">
        <is>
          <t>VÄRMLANDS LÄN</t>
        </is>
      </c>
      <c r="G8680" t="inlineStr">
        <is>
          <t>FILIPSTAD</t>
        </is>
      </c>
      <c r="I8680" t="n">
        <v>5.5</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32333-2025</t>
        </is>
      </c>
      <c r="B8681" t="inlineStr">
        <is>
          <t>avverkningsanmälan</t>
        </is>
      </c>
      <c r="C8681" t="inlineStr">
        <is>
          <t>Föryngringsavverkning</t>
        </is>
      </c>
      <c r="D8681" s="1" t="n">
        <v>45836</v>
      </c>
      <c r="E8681" s="1" t="n">
        <v>46307</v>
      </c>
      <c r="F8681" t="inlineStr">
        <is>
          <t>VÄRMLANDS LÄN</t>
        </is>
      </c>
      <c r="G8681" t="inlineStr">
        <is>
          <t>KARLSTAD</t>
        </is>
      </c>
      <c r="I8681" t="n">
        <v>2.3</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35194-2025</t>
        </is>
      </c>
      <c r="B8682" t="inlineStr">
        <is>
          <t>avverkningsanmälan</t>
        </is>
      </c>
      <c r="C8682" t="inlineStr">
        <is>
          <t>Föryngringsavverkning</t>
        </is>
      </c>
      <c r="D8682" s="1" t="n">
        <v>45853</v>
      </c>
      <c r="E8682" s="1" t="n">
        <v>46307</v>
      </c>
      <c r="F8682" t="inlineStr">
        <is>
          <t>VÄRMLANDS LÄN</t>
        </is>
      </c>
      <c r="G8682" t="inlineStr">
        <is>
          <t>TORSBY</t>
        </is>
      </c>
      <c r="I8682" t="n">
        <v>5.9</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8394-2023</t>
        </is>
      </c>
      <c r="B8683" t="inlineStr">
        <is>
          <t>avverkningsanmälan</t>
        </is>
      </c>
      <c r="C8683" t="inlineStr">
        <is>
          <t>Föryngringsavverkning</t>
        </is>
      </c>
      <c r="D8683" s="1" t="n">
        <v>44977</v>
      </c>
      <c r="E8683" s="1" t="n">
        <v>46307</v>
      </c>
      <c r="F8683" t="inlineStr">
        <is>
          <t>VÄRMLANDS LÄN</t>
        </is>
      </c>
      <c r="G8683" t="inlineStr">
        <is>
          <t>EDA</t>
        </is>
      </c>
      <c r="I8683" t="n">
        <v>0.5</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43194-2025</t>
        </is>
      </c>
      <c r="B8684" t="inlineStr">
        <is>
          <t>avverkningsanmälan</t>
        </is>
      </c>
      <c r="C8684" t="inlineStr">
        <is>
          <t>Föryngringsavverkning</t>
        </is>
      </c>
      <c r="D8684" s="1" t="n">
        <v>45910</v>
      </c>
      <c r="E8684" s="1" t="n">
        <v>46307</v>
      </c>
      <c r="F8684" t="inlineStr">
        <is>
          <t>VÄRMLANDS LÄN</t>
        </is>
      </c>
      <c r="G8684" t="inlineStr">
        <is>
          <t>KIL</t>
        </is>
      </c>
      <c r="I8684" t="n">
        <v>1.8</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20661-2026</t>
        </is>
      </c>
      <c r="B8685" t="inlineStr">
        <is>
          <t>avverkningsanmälan</t>
        </is>
      </c>
      <c r="C8685" t="inlineStr">
        <is>
          <t>Föryngringsavverkning</t>
        </is>
      </c>
      <c r="D8685" s="1" t="n">
        <v>46141</v>
      </c>
      <c r="E8685" s="1" t="n">
        <v>46307</v>
      </c>
      <c r="F8685" t="inlineStr">
        <is>
          <t>VÄRMLANDS LÄN</t>
        </is>
      </c>
      <c r="G8685" t="inlineStr">
        <is>
          <t>FILIPSTAD</t>
        </is>
      </c>
      <c r="H8685" t="inlineStr">
        <is>
          <t>Bergvik skog väst AB</t>
        </is>
      </c>
      <c r="I8685" t="n">
        <v>5.4</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20672-2026</t>
        </is>
      </c>
      <c r="B8686" t="inlineStr">
        <is>
          <t>avverkningsanmälan</t>
        </is>
      </c>
      <c r="C8686" t="inlineStr">
        <is>
          <t>Föryngringsavverkning</t>
        </is>
      </c>
      <c r="D8686" s="1" t="n">
        <v>46141</v>
      </c>
      <c r="E8686" s="1" t="n">
        <v>46307</v>
      </c>
      <c r="F8686" t="inlineStr">
        <is>
          <t>VÄRMLANDS LÄN</t>
        </is>
      </c>
      <c r="G8686" t="inlineStr">
        <is>
          <t>KRISTINEHAMN</t>
        </is>
      </c>
      <c r="H8686" t="inlineStr">
        <is>
          <t>Naturvårdsverket</t>
        </is>
      </c>
      <c r="I8686" t="n">
        <v>2.4</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5562-2026</t>
        </is>
      </c>
      <c r="B8687" t="inlineStr">
        <is>
          <t>avverkningsanmälan</t>
        </is>
      </c>
      <c r="C8687" t="inlineStr">
        <is>
          <t>Föryngringsavverkning</t>
        </is>
      </c>
      <c r="D8687" s="1" t="n">
        <v>46050</v>
      </c>
      <c r="E8687" s="1" t="n">
        <v>46307</v>
      </c>
      <c r="F8687" t="inlineStr">
        <is>
          <t>VÄRMLANDS LÄN</t>
        </is>
      </c>
      <c r="G8687" t="inlineStr">
        <is>
          <t>TORSBY</t>
        </is>
      </c>
      <c r="I8687" t="n">
        <v>7.3</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5705-2026</t>
        </is>
      </c>
      <c r="B8688" t="inlineStr">
        <is>
          <t>avverkningsanmälan</t>
        </is>
      </c>
      <c r="C8688" t="inlineStr">
        <is>
          <t>Föryngringsavverkning</t>
        </is>
      </c>
      <c r="D8688" s="1" t="n">
        <v>46049</v>
      </c>
      <c r="E8688" s="1" t="n">
        <v>46307</v>
      </c>
      <c r="F8688" t="inlineStr">
        <is>
          <t>VÄRMLANDS LÄN</t>
        </is>
      </c>
      <c r="G8688" t="inlineStr">
        <is>
          <t>SUNNE</t>
        </is>
      </c>
      <c r="I8688" t="n">
        <v>1.8</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28194-2025</t>
        </is>
      </c>
      <c r="B8689" t="inlineStr">
        <is>
          <t>avverkningsanmälan</t>
        </is>
      </c>
      <c r="C8689" t="inlineStr">
        <is>
          <t>Föryngringsavverkning</t>
        </is>
      </c>
      <c r="D8689" s="1" t="n">
        <v>45818</v>
      </c>
      <c r="E8689" s="1" t="n">
        <v>46307</v>
      </c>
      <c r="F8689" t="inlineStr">
        <is>
          <t>VÄRMLANDS LÄN</t>
        </is>
      </c>
      <c r="G8689" t="inlineStr">
        <is>
          <t>EDA</t>
        </is>
      </c>
      <c r="I8689" t="n">
        <v>2.4</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33475-2024</t>
        </is>
      </c>
      <c r="B8690" t="inlineStr">
        <is>
          <t>avverkningsanmälan</t>
        </is>
      </c>
      <c r="C8690" t="inlineStr">
        <is>
          <t>Föryngringsavverkning</t>
        </is>
      </c>
      <c r="D8690" s="1" t="n">
        <v>45519</v>
      </c>
      <c r="E8690" s="1" t="n">
        <v>46307</v>
      </c>
      <c r="F8690" t="inlineStr">
        <is>
          <t>VÄRMLANDS LÄN</t>
        </is>
      </c>
      <c r="G8690" t="inlineStr">
        <is>
          <t>KIL</t>
        </is>
      </c>
      <c r="I8690" t="n">
        <v>3.8</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4963-2026</t>
        </is>
      </c>
      <c r="B8691" t="inlineStr">
        <is>
          <t>avverkningsanmälan</t>
        </is>
      </c>
      <c r="C8691" t="inlineStr">
        <is>
          <t>Föryngringsavverkning</t>
        </is>
      </c>
      <c r="D8691" s="1" t="n">
        <v>46049</v>
      </c>
      <c r="E8691" s="1" t="n">
        <v>46307</v>
      </c>
      <c r="F8691" t="inlineStr">
        <is>
          <t>VÄRMLANDS LÄN</t>
        </is>
      </c>
      <c r="G8691" t="inlineStr">
        <is>
          <t>KRISTINEHAMN</t>
        </is>
      </c>
      <c r="I8691" t="n">
        <v>3.3</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5030-2026</t>
        </is>
      </c>
      <c r="B8692" t="inlineStr">
        <is>
          <t>avverkningsanmälan</t>
        </is>
      </c>
      <c r="C8692" t="inlineStr">
        <is>
          <t>Föryngringsavverkning</t>
        </is>
      </c>
      <c r="D8692" s="1" t="n">
        <v>46049</v>
      </c>
      <c r="E8692" s="1" t="n">
        <v>46307</v>
      </c>
      <c r="F8692" t="inlineStr">
        <is>
          <t>VÄRMLANDS LÄN</t>
        </is>
      </c>
      <c r="G8692" t="inlineStr">
        <is>
          <t>HAGFORS</t>
        </is>
      </c>
      <c r="H8692" t="inlineStr">
        <is>
          <t>Bergvik skog väst AB</t>
        </is>
      </c>
      <c r="I8692" t="n">
        <v>6.8</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3426-2023</t>
        </is>
      </c>
      <c r="B8693" t="inlineStr">
        <is>
          <t>avverkningsanmälan</t>
        </is>
      </c>
      <c r="C8693" t="inlineStr">
        <is>
          <t>Föryngringsavverkning</t>
        </is>
      </c>
      <c r="D8693" s="1" t="n">
        <v>44949</v>
      </c>
      <c r="E8693" s="1" t="n">
        <v>46307</v>
      </c>
      <c r="F8693" t="inlineStr">
        <is>
          <t>VÄRMLANDS LÄN</t>
        </is>
      </c>
      <c r="G8693" t="inlineStr">
        <is>
          <t>HAGFORS</t>
        </is>
      </c>
      <c r="I8693" t="n">
        <v>2.7</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61428-2022</t>
        </is>
      </c>
      <c r="B8694" t="inlineStr">
        <is>
          <t>avverkningsanmälan</t>
        </is>
      </c>
      <c r="C8694" t="inlineStr">
        <is>
          <t>Föryngringsavverkning</t>
        </is>
      </c>
      <c r="D8694" s="1" t="n">
        <v>44910</v>
      </c>
      <c r="E8694" s="1" t="n">
        <v>46307</v>
      </c>
      <c r="F8694" t="inlineStr">
        <is>
          <t>VÄRMLANDS LÄN</t>
        </is>
      </c>
      <c r="G8694" t="inlineStr">
        <is>
          <t>TORSBY</t>
        </is>
      </c>
      <c r="I8694" t="n">
        <v>0.5</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61432-2022</t>
        </is>
      </c>
      <c r="B8695" t="inlineStr">
        <is>
          <t>avverkningsanmälan</t>
        </is>
      </c>
      <c r="C8695" t="inlineStr">
        <is>
          <t>Föryngringsavverkning</t>
        </is>
      </c>
      <c r="D8695" s="1" t="n">
        <v>44910</v>
      </c>
      <c r="E8695" s="1" t="n">
        <v>46307</v>
      </c>
      <c r="F8695" t="inlineStr">
        <is>
          <t>VÄRMLANDS LÄN</t>
        </is>
      </c>
      <c r="G8695" t="inlineStr">
        <is>
          <t>TORSBY</t>
        </is>
      </c>
      <c r="I8695" t="n">
        <v>0.8</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20756-2026</t>
        </is>
      </c>
      <c r="B8696" t="inlineStr">
        <is>
          <t>avverkningsanmälan</t>
        </is>
      </c>
      <c r="C8696" t="inlineStr">
        <is>
          <t>Föryngringsavverkning</t>
        </is>
      </c>
      <c r="D8696" s="1" t="n">
        <v>46141</v>
      </c>
      <c r="E8696" s="1" t="n">
        <v>46307</v>
      </c>
      <c r="F8696" t="inlineStr">
        <is>
          <t>VÄRMLANDS LÄN</t>
        </is>
      </c>
      <c r="G8696" t="inlineStr">
        <is>
          <t>HAGFORS</t>
        </is>
      </c>
      <c r="H8696" t="inlineStr">
        <is>
          <t>Bergvik skog väst AB</t>
        </is>
      </c>
      <c r="I8696" t="n">
        <v>8.300000000000001</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20759-2026</t>
        </is>
      </c>
      <c r="B8697" t="inlineStr">
        <is>
          <t>avverkningsanmälan</t>
        </is>
      </c>
      <c r="C8697" t="inlineStr">
        <is>
          <t>Föryngringsavverkning</t>
        </is>
      </c>
      <c r="D8697" s="1" t="n">
        <v>46141</v>
      </c>
      <c r="E8697" s="1" t="n">
        <v>46307</v>
      </c>
      <c r="F8697" t="inlineStr">
        <is>
          <t>VÄRMLANDS LÄN</t>
        </is>
      </c>
      <c r="G8697" t="inlineStr">
        <is>
          <t>HAGFORS</t>
        </is>
      </c>
      <c r="H8697" t="inlineStr">
        <is>
          <t>Bergvik skog väst AB</t>
        </is>
      </c>
      <c r="I8697" t="n">
        <v>3.2</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20801-2026</t>
        </is>
      </c>
      <c r="B8698" t="inlineStr">
        <is>
          <t>avverkningsanmälan</t>
        </is>
      </c>
      <c r="C8698" t="inlineStr">
        <is>
          <t>Föryngringsavverkning</t>
        </is>
      </c>
      <c r="D8698" s="1" t="n">
        <v>46141</v>
      </c>
      <c r="E8698" s="1" t="n">
        <v>46307</v>
      </c>
      <c r="F8698" t="inlineStr">
        <is>
          <t>VÄRMLANDS LÄN</t>
        </is>
      </c>
      <c r="G8698" t="inlineStr">
        <is>
          <t>FILIPSTAD</t>
        </is>
      </c>
      <c r="H8698" t="inlineStr">
        <is>
          <t>Bergvik skog väst AB</t>
        </is>
      </c>
      <c r="I8698" t="n">
        <v>5</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51658-2023</t>
        </is>
      </c>
      <c r="B8699" t="inlineStr">
        <is>
          <t>avverkningsanmälan</t>
        </is>
      </c>
      <c r="C8699" t="inlineStr">
        <is>
          <t>Föryngringsavverkning</t>
        </is>
      </c>
      <c r="D8699" s="1" t="n">
        <v>45222</v>
      </c>
      <c r="E8699" s="1" t="n">
        <v>46307</v>
      </c>
      <c r="F8699" t="inlineStr">
        <is>
          <t>VÄRMLANDS LÄN</t>
        </is>
      </c>
      <c r="G8699" t="inlineStr">
        <is>
          <t>ARVIKA</t>
        </is>
      </c>
      <c r="H8699" t="inlineStr">
        <is>
          <t>Bergvik skog väst AB</t>
        </is>
      </c>
      <c r="I8699" t="n">
        <v>4.6</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55095-2024</t>
        </is>
      </c>
      <c r="B8700" t="inlineStr">
        <is>
          <t>avverkningsanmälan</t>
        </is>
      </c>
      <c r="C8700" t="inlineStr">
        <is>
          <t>Föryngringsavverkning</t>
        </is>
      </c>
      <c r="D8700" s="1" t="n">
        <v>45621</v>
      </c>
      <c r="E8700" s="1" t="n">
        <v>46307</v>
      </c>
      <c r="F8700" t="inlineStr">
        <is>
          <t>VÄRMLANDS LÄN</t>
        </is>
      </c>
      <c r="G8700" t="inlineStr">
        <is>
          <t>EDA</t>
        </is>
      </c>
      <c r="I8700" t="n">
        <v>1.9</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5455-2026</t>
        </is>
      </c>
      <c r="B8701" t="inlineStr">
        <is>
          <t>avverkningsanmälan</t>
        </is>
      </c>
      <c r="C8701" t="inlineStr">
        <is>
          <t>Föryngringsavverkning</t>
        </is>
      </c>
      <c r="D8701" s="1" t="n">
        <v>46050</v>
      </c>
      <c r="E8701" s="1" t="n">
        <v>46307</v>
      </c>
      <c r="F8701" t="inlineStr">
        <is>
          <t>VÄRMLANDS LÄN</t>
        </is>
      </c>
      <c r="G8701" t="inlineStr">
        <is>
          <t>HAGFORS</t>
        </is>
      </c>
      <c r="I8701" t="n">
        <v>3.9</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20808-2026</t>
        </is>
      </c>
      <c r="B8702" t="inlineStr">
        <is>
          <t>avverkningsanmälan</t>
        </is>
      </c>
      <c r="C8702" t="inlineStr">
        <is>
          <t>Föryngringsavverkning</t>
        </is>
      </c>
      <c r="D8702" s="1" t="n">
        <v>46141</v>
      </c>
      <c r="E8702" s="1" t="n">
        <v>46307</v>
      </c>
      <c r="F8702" t="inlineStr">
        <is>
          <t>VÄRMLANDS LÄN</t>
        </is>
      </c>
      <c r="G8702" t="inlineStr">
        <is>
          <t>TORSBY</t>
        </is>
      </c>
      <c r="I8702" t="n">
        <v>1.2</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42223-2022</t>
        </is>
      </c>
      <c r="B8703" t="inlineStr">
        <is>
          <t>avverkningsanmälan</t>
        </is>
      </c>
      <c r="C8703" t="inlineStr">
        <is>
          <t>Föryngringsavverkning</t>
        </is>
      </c>
      <c r="D8703" s="1" t="n">
        <v>44830</v>
      </c>
      <c r="E8703" s="1" t="n">
        <v>46307</v>
      </c>
      <c r="F8703" t="inlineStr">
        <is>
          <t>VÄRMLANDS LÄN</t>
        </is>
      </c>
      <c r="G8703" t="inlineStr">
        <is>
          <t>HAGFORS</t>
        </is>
      </c>
      <c r="I8703" t="n">
        <v>2.7</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1565-2023</t>
        </is>
      </c>
      <c r="B8704" t="inlineStr">
        <is>
          <t>avverkningsanmälan</t>
        </is>
      </c>
      <c r="C8704" t="inlineStr">
        <is>
          <t>Föryngringsavverkning</t>
        </is>
      </c>
      <c r="D8704" s="1" t="n">
        <v>44937</v>
      </c>
      <c r="E8704" s="1" t="n">
        <v>46307</v>
      </c>
      <c r="F8704" t="inlineStr">
        <is>
          <t>VÄRMLANDS LÄN</t>
        </is>
      </c>
      <c r="G8704" t="inlineStr">
        <is>
          <t>EDA</t>
        </is>
      </c>
      <c r="I8704" t="n">
        <v>2.4</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5260-2026</t>
        </is>
      </c>
      <c r="B8705" t="inlineStr">
        <is>
          <t>avverkningsanmälan</t>
        </is>
      </c>
      <c r="C8705" t="inlineStr">
        <is>
          <t>Föryngringsavverkning</t>
        </is>
      </c>
      <c r="D8705" s="1" t="n">
        <v>46050</v>
      </c>
      <c r="E8705" s="1" t="n">
        <v>46307</v>
      </c>
      <c r="F8705" t="inlineStr">
        <is>
          <t>VÄRMLANDS LÄN</t>
        </is>
      </c>
      <c r="G8705" t="inlineStr">
        <is>
          <t>EDA</t>
        </is>
      </c>
      <c r="I8705" t="n">
        <v>0.3</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5152-2026</t>
        </is>
      </c>
      <c r="B8706" t="inlineStr">
        <is>
          <t>avverkningsanmälan</t>
        </is>
      </c>
      <c r="C8706" t="inlineStr">
        <is>
          <t>Föryngringsavverkning</t>
        </is>
      </c>
      <c r="D8706" s="1" t="n">
        <v>46049</v>
      </c>
      <c r="E8706" s="1" t="n">
        <v>46307</v>
      </c>
      <c r="F8706" t="inlineStr">
        <is>
          <t>VÄRMLANDS LÄN</t>
        </is>
      </c>
      <c r="G8706" t="inlineStr">
        <is>
          <t>KARLSTAD</t>
        </is>
      </c>
      <c r="I8706" t="n">
        <v>0.7</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63899-2021</t>
        </is>
      </c>
      <c r="B8707" t="inlineStr">
        <is>
          <t>avverkningsanmälan</t>
        </is>
      </c>
      <c r="C8707" t="inlineStr">
        <is>
          <t>Avverkning för annat ändamål</t>
        </is>
      </c>
      <c r="D8707" s="1" t="n">
        <v>44509</v>
      </c>
      <c r="E8707" s="1" t="n">
        <v>46307</v>
      </c>
      <c r="F8707" t="inlineStr">
        <is>
          <t>VÄRMLANDS LÄN</t>
        </is>
      </c>
      <c r="G8707" t="inlineStr">
        <is>
          <t>SUNNE</t>
        </is>
      </c>
      <c r="H8707" t="inlineStr">
        <is>
          <t>Bergvik skog väst AB</t>
        </is>
      </c>
      <c r="I8707" t="n">
        <v>0.6</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10519-2022</t>
        </is>
      </c>
      <c r="B8708" t="inlineStr">
        <is>
          <t>avverkningsanmälan</t>
        </is>
      </c>
      <c r="C8708" t="inlineStr">
        <is>
          <t>Föryngringsavverkning</t>
        </is>
      </c>
      <c r="D8708" s="1" t="n">
        <v>44623</v>
      </c>
      <c r="E8708" s="1" t="n">
        <v>46307</v>
      </c>
      <c r="F8708" t="inlineStr">
        <is>
          <t>VÄRMLANDS LÄN</t>
        </is>
      </c>
      <c r="G8708" t="inlineStr">
        <is>
          <t>ÅRJÄNG</t>
        </is>
      </c>
      <c r="I8708" t="n">
        <v>3.4</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24580-2025</t>
        </is>
      </c>
      <c r="B8709" t="inlineStr">
        <is>
          <t>avverkningsanmälan</t>
        </is>
      </c>
      <c r="C8709" t="inlineStr">
        <is>
          <t>Föryngringsavverkning</t>
        </is>
      </c>
      <c r="D8709" s="1" t="n">
        <v>45798</v>
      </c>
      <c r="E8709" s="1" t="n">
        <v>46307</v>
      </c>
      <c r="F8709" t="inlineStr">
        <is>
          <t>VÄRMLANDS LÄN</t>
        </is>
      </c>
      <c r="G8709" t="inlineStr">
        <is>
          <t>TORSBY</t>
        </is>
      </c>
      <c r="I8709" t="n">
        <v>12.2</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345-2023</t>
        </is>
      </c>
      <c r="B8710" t="inlineStr">
        <is>
          <t>avverkningsanmälan</t>
        </is>
      </c>
      <c r="C8710" t="inlineStr">
        <is>
          <t>Föryngringsavverkning</t>
        </is>
      </c>
      <c r="D8710" s="1" t="n">
        <v>44923</v>
      </c>
      <c r="E8710" s="1" t="n">
        <v>46307</v>
      </c>
      <c r="F8710" t="inlineStr">
        <is>
          <t>VÄRMLANDS LÄN</t>
        </is>
      </c>
      <c r="G8710" t="inlineStr">
        <is>
          <t>TORSBY</t>
        </is>
      </c>
      <c r="I8710" t="n">
        <v>9.4</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6715-2023</t>
        </is>
      </c>
      <c r="B8711" t="inlineStr">
        <is>
          <t>avverkningsanmälan</t>
        </is>
      </c>
      <c r="C8711" t="inlineStr">
        <is>
          <t>Föryngringsavverkning</t>
        </is>
      </c>
      <c r="D8711" s="1" t="n">
        <v>44960</v>
      </c>
      <c r="E8711" s="1" t="n">
        <v>46307</v>
      </c>
      <c r="F8711" t="inlineStr">
        <is>
          <t>VÄRMLANDS LÄN</t>
        </is>
      </c>
      <c r="G8711" t="inlineStr">
        <is>
          <t>TORSBY</t>
        </is>
      </c>
      <c r="I8711" t="n">
        <v>4.8</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61265-2022</t>
        </is>
      </c>
      <c r="B8712" t="inlineStr">
        <is>
          <t>avverkningsanmälan</t>
        </is>
      </c>
      <c r="C8712" t="inlineStr">
        <is>
          <t>Föryngringsavverkning</t>
        </is>
      </c>
      <c r="D8712" s="1" t="n">
        <v>44915</v>
      </c>
      <c r="E8712" s="1" t="n">
        <v>46307</v>
      </c>
      <c r="F8712" t="inlineStr">
        <is>
          <t>VÄRMLANDS LÄN</t>
        </is>
      </c>
      <c r="G8712" t="inlineStr">
        <is>
          <t>HAGFORS</t>
        </is>
      </c>
      <c r="I8712" t="n">
        <v>5.2</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68252-2021</t>
        </is>
      </c>
      <c r="B8713" t="inlineStr">
        <is>
          <t>avverkningsanmälan</t>
        </is>
      </c>
      <c r="C8713" t="inlineStr">
        <is>
          <t>Föryngringsavverkning</t>
        </is>
      </c>
      <c r="D8713" s="1" t="n">
        <v>44526</v>
      </c>
      <c r="E8713" s="1" t="n">
        <v>46307</v>
      </c>
      <c r="F8713" t="inlineStr">
        <is>
          <t>VÄRMLANDS LÄN</t>
        </is>
      </c>
      <c r="G8713" t="inlineStr">
        <is>
          <t>HAGFORS</t>
        </is>
      </c>
      <c r="H8713" t="inlineStr">
        <is>
          <t>Bergvik skog väst AB</t>
        </is>
      </c>
      <c r="I8713" t="n">
        <v>5.8</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5468-2026</t>
        </is>
      </c>
      <c r="B8714" t="inlineStr">
        <is>
          <t>avverkningsanmälan</t>
        </is>
      </c>
      <c r="C8714" t="inlineStr">
        <is>
          <t>Föryngringsavverkning</t>
        </is>
      </c>
      <c r="D8714" s="1" t="n">
        <v>46050</v>
      </c>
      <c r="E8714" s="1" t="n">
        <v>46307</v>
      </c>
      <c r="F8714" t="inlineStr">
        <is>
          <t>VÄRMLANDS LÄN</t>
        </is>
      </c>
      <c r="G8714" t="inlineStr">
        <is>
          <t>HAGFORS</t>
        </is>
      </c>
      <c r="I8714" t="n">
        <v>3.2</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41127-2024</t>
        </is>
      </c>
      <c r="B8715" t="inlineStr">
        <is>
          <t>avverkningsanmälan</t>
        </is>
      </c>
      <c r="C8715" t="inlineStr">
        <is>
          <t>Föryngringsavverkning</t>
        </is>
      </c>
      <c r="D8715" s="1" t="n">
        <v>45559</v>
      </c>
      <c r="E8715" s="1" t="n">
        <v>46307</v>
      </c>
      <c r="F8715" t="inlineStr">
        <is>
          <t>VÄRMLANDS LÄN</t>
        </is>
      </c>
      <c r="G8715" t="inlineStr">
        <is>
          <t>ARVIKA</t>
        </is>
      </c>
      <c r="I8715" t="n">
        <v>0.8</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5011-2024</t>
        </is>
      </c>
      <c r="B8716" t="inlineStr">
        <is>
          <t>avverkningsanmälan</t>
        </is>
      </c>
      <c r="C8716" t="inlineStr">
        <is>
          <t>Föryngringsavverkning</t>
        </is>
      </c>
      <c r="D8716" s="1" t="n">
        <v>45329</v>
      </c>
      <c r="E8716" s="1" t="n">
        <v>46307</v>
      </c>
      <c r="F8716" t="inlineStr">
        <is>
          <t>VÄRMLANDS LÄN</t>
        </is>
      </c>
      <c r="G8716" t="inlineStr">
        <is>
          <t>GRUMS</t>
        </is>
      </c>
      <c r="I8716" t="n">
        <v>22</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25601-2023</t>
        </is>
      </c>
      <c r="B8717" t="inlineStr">
        <is>
          <t>avverkningsanmälan</t>
        </is>
      </c>
      <c r="C8717" t="inlineStr">
        <is>
          <t>Föryngringsavverkning</t>
        </is>
      </c>
      <c r="D8717" s="1" t="n">
        <v>45083</v>
      </c>
      <c r="E8717" s="1" t="n">
        <v>46307</v>
      </c>
      <c r="F8717" t="inlineStr">
        <is>
          <t>VÄRMLANDS LÄN</t>
        </is>
      </c>
      <c r="G8717" t="inlineStr">
        <is>
          <t>ARVIKA</t>
        </is>
      </c>
      <c r="I8717" t="n">
        <v>0.7</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2387-2025</t>
        </is>
      </c>
      <c r="B8718" t="inlineStr">
        <is>
          <t>avverkningsanmälan</t>
        </is>
      </c>
      <c r="C8718" t="inlineStr">
        <is>
          <t>Föryngringsavverkning</t>
        </is>
      </c>
      <c r="D8718" s="1" t="n">
        <v>45674</v>
      </c>
      <c r="E8718" s="1" t="n">
        <v>46307</v>
      </c>
      <c r="F8718" t="inlineStr">
        <is>
          <t>VÄRMLANDS LÄN</t>
        </is>
      </c>
      <c r="G8718" t="inlineStr">
        <is>
          <t>TORSBY</t>
        </is>
      </c>
      <c r="I8718" t="n">
        <v>2.1</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5088-2026</t>
        </is>
      </c>
      <c r="B8719" t="inlineStr">
        <is>
          <t>avverkningsanmälan</t>
        </is>
      </c>
      <c r="C8719" t="inlineStr">
        <is>
          <t>Föryngringsavverkning</t>
        </is>
      </c>
      <c r="D8719" s="1" t="n">
        <v>46049</v>
      </c>
      <c r="E8719" s="1" t="n">
        <v>46307</v>
      </c>
      <c r="F8719" t="inlineStr">
        <is>
          <t>VÄRMLANDS LÄN</t>
        </is>
      </c>
      <c r="G8719" t="inlineStr">
        <is>
          <t>TORSBY</t>
        </is>
      </c>
      <c r="H8719" t="inlineStr">
        <is>
          <t>Bergvik skog väst AB</t>
        </is>
      </c>
      <c r="I8719" t="n">
        <v>18.3</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30832-2024</t>
        </is>
      </c>
      <c r="B8720" t="inlineStr">
        <is>
          <t>avverkningsanmälan</t>
        </is>
      </c>
      <c r="C8720" t="inlineStr">
        <is>
          <t>Föryngringsavverkning</t>
        </is>
      </c>
      <c r="D8720" s="1" t="n">
        <v>45497</v>
      </c>
      <c r="E8720" s="1" t="n">
        <v>46307</v>
      </c>
      <c r="F8720" t="inlineStr">
        <is>
          <t>VÄRMLANDS LÄN</t>
        </is>
      </c>
      <c r="G8720" t="inlineStr">
        <is>
          <t>SUNNE</t>
        </is>
      </c>
      <c r="H8720" t="inlineStr">
        <is>
          <t>Bergvik skog väst AB</t>
        </is>
      </c>
      <c r="I8720" t="n">
        <v>1.4</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5298-2026</t>
        </is>
      </c>
      <c r="B8721" t="inlineStr">
        <is>
          <t>avverkningsanmälan</t>
        </is>
      </c>
      <c r="C8721" t="inlineStr">
        <is>
          <t>Föryngringsavverkning</t>
        </is>
      </c>
      <c r="D8721" s="1" t="n">
        <v>46050</v>
      </c>
      <c r="E8721" s="1" t="n">
        <v>46307</v>
      </c>
      <c r="F8721" t="inlineStr">
        <is>
          <t>VÄRMLANDS LÄN</t>
        </is>
      </c>
      <c r="G8721" t="inlineStr">
        <is>
          <t>HAGFORS</t>
        </is>
      </c>
      <c r="I8721" t="n">
        <v>1.9</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20752-2026</t>
        </is>
      </c>
      <c r="B8722" t="inlineStr">
        <is>
          <t>avverkningsanmälan</t>
        </is>
      </c>
      <c r="C8722" t="inlineStr">
        <is>
          <t>Avverkning för att bevara och utveckla /försöksver</t>
        </is>
      </c>
      <c r="D8722" s="1" t="n">
        <v>46141</v>
      </c>
      <c r="E8722" s="1" t="n">
        <v>46307</v>
      </c>
      <c r="F8722" t="inlineStr">
        <is>
          <t>VÄRMLANDS LÄN</t>
        </is>
      </c>
      <c r="G8722" t="inlineStr">
        <is>
          <t>HAGFORS</t>
        </is>
      </c>
      <c r="H8722" t="inlineStr">
        <is>
          <t>Bergvik skog väst AB</t>
        </is>
      </c>
      <c r="I8722" t="n">
        <v>1.2</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17584-2023</t>
        </is>
      </c>
      <c r="B8723" t="inlineStr">
        <is>
          <t>avverkningsanmälan</t>
        </is>
      </c>
      <c r="C8723" t="inlineStr">
        <is>
          <t>Föryngringsavverkning</t>
        </is>
      </c>
      <c r="D8723" s="1" t="n">
        <v>45036</v>
      </c>
      <c r="E8723" s="1" t="n">
        <v>46307</v>
      </c>
      <c r="F8723" t="inlineStr">
        <is>
          <t>VÄRMLANDS LÄN</t>
        </is>
      </c>
      <c r="G8723" t="inlineStr">
        <is>
          <t>HAGFORS</t>
        </is>
      </c>
      <c r="H8723" t="inlineStr">
        <is>
          <t>Kommuner</t>
        </is>
      </c>
      <c r="I8723" t="n">
        <v>1.4</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4751-2022</t>
        </is>
      </c>
      <c r="B8724" t="inlineStr">
        <is>
          <t>avverkningsanmälan</t>
        </is>
      </c>
      <c r="C8724" t="inlineStr">
        <is>
          <t>Föryngringsavverkning</t>
        </is>
      </c>
      <c r="D8724" s="1" t="n">
        <v>44592</v>
      </c>
      <c r="E8724" s="1" t="n">
        <v>46307</v>
      </c>
      <c r="F8724" t="inlineStr">
        <is>
          <t>VÄRMLANDS LÄN</t>
        </is>
      </c>
      <c r="G8724" t="inlineStr">
        <is>
          <t>ARVIKA</t>
        </is>
      </c>
      <c r="I8724" t="n">
        <v>4.2</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20622-2026</t>
        </is>
      </c>
      <c r="B8725" t="inlineStr">
        <is>
          <t>avverkningsanmälan</t>
        </is>
      </c>
      <c r="C8725" t="inlineStr">
        <is>
          <t>Föryngringsavverkning</t>
        </is>
      </c>
      <c r="D8725" s="1" t="n">
        <v>46141</v>
      </c>
      <c r="E8725" s="1" t="n">
        <v>46307</v>
      </c>
      <c r="F8725" t="inlineStr">
        <is>
          <t>VÄRMLANDS LÄN</t>
        </is>
      </c>
      <c r="G8725" t="inlineStr">
        <is>
          <t>TORSBY</t>
        </is>
      </c>
      <c r="H8725" t="inlineStr">
        <is>
          <t>Bergvik skog väst AB</t>
        </is>
      </c>
      <c r="I8725" t="n">
        <v>8.800000000000001</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4785-2022</t>
        </is>
      </c>
      <c r="B8726" t="inlineStr">
        <is>
          <t>avverkningsanmälan</t>
        </is>
      </c>
      <c r="C8726" t="inlineStr">
        <is>
          <t>Föryngringsavverkning</t>
        </is>
      </c>
      <c r="D8726" s="1" t="n">
        <v>44592</v>
      </c>
      <c r="E8726" s="1" t="n">
        <v>46307</v>
      </c>
      <c r="F8726" t="inlineStr">
        <is>
          <t>VÄRMLANDS LÄN</t>
        </is>
      </c>
      <c r="G8726" t="inlineStr">
        <is>
          <t>SUNNE</t>
        </is>
      </c>
      <c r="I8726" t="n">
        <v>1.9</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42370-2025</t>
        </is>
      </c>
      <c r="B8727" t="inlineStr">
        <is>
          <t>avverkningsanmälan</t>
        </is>
      </c>
      <c r="C8727" t="inlineStr">
        <is>
          <t>Avverkning för annat ändamål</t>
        </is>
      </c>
      <c r="D8727" s="1" t="n">
        <v>45905</v>
      </c>
      <c r="E8727" s="1" t="n">
        <v>46307</v>
      </c>
      <c r="F8727" t="inlineStr">
        <is>
          <t>VÄRMLANDS LÄN</t>
        </is>
      </c>
      <c r="G8727" t="inlineStr">
        <is>
          <t>FORSHAGA</t>
        </is>
      </c>
      <c r="H8727" t="inlineStr">
        <is>
          <t>Kommuner</t>
        </is>
      </c>
      <c r="I8727" t="n">
        <v>0.2</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5124-2026</t>
        </is>
      </c>
      <c r="B8728" t="inlineStr">
        <is>
          <t>avverkningsanmälan</t>
        </is>
      </c>
      <c r="C8728" t="inlineStr">
        <is>
          <t>Föryngringsavverkning</t>
        </is>
      </c>
      <c r="D8728" s="1" t="n">
        <v>46049</v>
      </c>
      <c r="E8728" s="1" t="n">
        <v>46307</v>
      </c>
      <c r="F8728" t="inlineStr">
        <is>
          <t>VÄRMLANDS LÄN</t>
        </is>
      </c>
      <c r="G8728" t="inlineStr">
        <is>
          <t>KARLSTAD</t>
        </is>
      </c>
      <c r="I8728" t="n">
        <v>2</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5146-2026</t>
        </is>
      </c>
      <c r="B8729" t="inlineStr">
        <is>
          <t>avverkningsanmälan</t>
        </is>
      </c>
      <c r="C8729" t="inlineStr">
        <is>
          <t>Föryngringsavverkning</t>
        </is>
      </c>
      <c r="D8729" s="1" t="n">
        <v>46049</v>
      </c>
      <c r="E8729" s="1" t="n">
        <v>46307</v>
      </c>
      <c r="F8729" t="inlineStr">
        <is>
          <t>VÄRMLANDS LÄN</t>
        </is>
      </c>
      <c r="G8729" t="inlineStr">
        <is>
          <t>ÅRJÄNG</t>
        </is>
      </c>
      <c r="I8729" t="n">
        <v>4.8</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60663-2025</t>
        </is>
      </c>
      <c r="B8730" t="inlineStr">
        <is>
          <t>avverkningsanmälan</t>
        </is>
      </c>
      <c r="C8730" t="inlineStr">
        <is>
          <t>Föryngringsavverkning</t>
        </is>
      </c>
      <c r="D8730" s="1" t="n">
        <v>45996</v>
      </c>
      <c r="E8730" s="1" t="n">
        <v>46307</v>
      </c>
      <c r="F8730" t="inlineStr">
        <is>
          <t>VÄRMLANDS LÄN</t>
        </is>
      </c>
      <c r="G8730" t="inlineStr">
        <is>
          <t>ÅRJÄNG</t>
        </is>
      </c>
      <c r="I8730" t="n">
        <v>1.2</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7456-2023</t>
        </is>
      </c>
      <c r="B8731" t="inlineStr">
        <is>
          <t>avverkningsanmälan</t>
        </is>
      </c>
      <c r="C8731" t="inlineStr">
        <is>
          <t>Föryngringsavverkning</t>
        </is>
      </c>
      <c r="D8731" s="1" t="n">
        <v>44971</v>
      </c>
      <c r="E8731" s="1" t="n">
        <v>46307</v>
      </c>
      <c r="F8731" t="inlineStr">
        <is>
          <t>VÄRMLANDS LÄN</t>
        </is>
      </c>
      <c r="G8731" t="inlineStr">
        <is>
          <t>ARVIKA</t>
        </is>
      </c>
      <c r="H8731" t="inlineStr">
        <is>
          <t>Bergvik skog väst AB</t>
        </is>
      </c>
      <c r="I8731" t="n">
        <v>2.6</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20729-2026</t>
        </is>
      </c>
      <c r="B8732" t="inlineStr">
        <is>
          <t>avverkningsanmälan</t>
        </is>
      </c>
      <c r="C8732" t="inlineStr">
        <is>
          <t>Föryngringsavverkning</t>
        </is>
      </c>
      <c r="D8732" s="1" t="n">
        <v>46141</v>
      </c>
      <c r="E8732" s="1" t="n">
        <v>46307</v>
      </c>
      <c r="F8732" t="inlineStr">
        <is>
          <t>VÄRMLANDS LÄN</t>
        </is>
      </c>
      <c r="G8732" t="inlineStr">
        <is>
          <t>HAGFORS</t>
        </is>
      </c>
      <c r="I8732" t="n">
        <v>3</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34321-2024</t>
        </is>
      </c>
      <c r="B8733" t="inlineStr">
        <is>
          <t>avverkningsanmälan</t>
        </is>
      </c>
      <c r="C8733" t="inlineStr">
        <is>
          <t>Avverkning för annat ändamål</t>
        </is>
      </c>
      <c r="D8733" s="1" t="n">
        <v>45524</v>
      </c>
      <c r="E8733" s="1" t="n">
        <v>46307</v>
      </c>
      <c r="F8733" t="inlineStr">
        <is>
          <t>VÄRMLANDS LÄN</t>
        </is>
      </c>
      <c r="G8733" t="inlineStr">
        <is>
          <t>KARLSTAD</t>
        </is>
      </c>
      <c r="I8733" t="n">
        <v>1.4</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14581-2023</t>
        </is>
      </c>
      <c r="B8734" t="inlineStr">
        <is>
          <t>avverkningsanmälan</t>
        </is>
      </c>
      <c r="C8734" t="inlineStr">
        <is>
          <t>Föryngringsavverkning</t>
        </is>
      </c>
      <c r="D8734" s="1" t="n">
        <v>45013</v>
      </c>
      <c r="E8734" s="1" t="n">
        <v>46307</v>
      </c>
      <c r="F8734" t="inlineStr">
        <is>
          <t>VÄRMLANDS LÄN</t>
        </is>
      </c>
      <c r="G8734" t="inlineStr">
        <is>
          <t>TORSBY</t>
        </is>
      </c>
      <c r="I8734" t="n">
        <v>3</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14413-2025</t>
        </is>
      </c>
      <c r="B8735" t="inlineStr">
        <is>
          <t>avverkningsanmälan</t>
        </is>
      </c>
      <c r="C8735" t="inlineStr">
        <is>
          <t>Föryngringsavverkning</t>
        </is>
      </c>
      <c r="D8735" s="1" t="n">
        <v>45741</v>
      </c>
      <c r="E8735" s="1" t="n">
        <v>46307</v>
      </c>
      <c r="F8735" t="inlineStr">
        <is>
          <t>VÄRMLANDS LÄN</t>
        </is>
      </c>
      <c r="G8735" t="inlineStr">
        <is>
          <t>TORSBY</t>
        </is>
      </c>
      <c r="I8735" t="n">
        <v>4.1</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1235-2026</t>
        </is>
      </c>
      <c r="B8736" t="inlineStr">
        <is>
          <t>avverkningsanmälan</t>
        </is>
      </c>
      <c r="C8736" t="inlineStr">
        <is>
          <t>Föryngringsavverkning</t>
        </is>
      </c>
      <c r="D8736" s="1" t="n">
        <v>46031</v>
      </c>
      <c r="E8736" s="1" t="n">
        <v>46307</v>
      </c>
      <c r="F8736" t="inlineStr">
        <is>
          <t>VÄRMLANDS LÄN</t>
        </is>
      </c>
      <c r="G8736" t="inlineStr">
        <is>
          <t>EDA</t>
        </is>
      </c>
      <c r="I8736" t="n">
        <v>1.4</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20654-2026</t>
        </is>
      </c>
      <c r="B8737" t="inlineStr">
        <is>
          <t>avverkningsanmälan</t>
        </is>
      </c>
      <c r="C8737" t="inlineStr">
        <is>
          <t>Föryngringsavverkning</t>
        </is>
      </c>
      <c r="D8737" s="1" t="n">
        <v>46141</v>
      </c>
      <c r="E8737" s="1" t="n">
        <v>46307</v>
      </c>
      <c r="F8737" t="inlineStr">
        <is>
          <t>VÄRMLANDS LÄN</t>
        </is>
      </c>
      <c r="G8737" t="inlineStr">
        <is>
          <t>KRISTINEHAMN</t>
        </is>
      </c>
      <c r="H8737" t="inlineStr">
        <is>
          <t>Naturvårdsverket</t>
        </is>
      </c>
      <c r="I8737" t="n">
        <v>3.6</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51258-2022</t>
        </is>
      </c>
      <c r="B8738" t="inlineStr">
        <is>
          <t>avverkningsanmälan</t>
        </is>
      </c>
      <c r="C8738" t="inlineStr">
        <is>
          <t>Föryngringsavverkning</t>
        </is>
      </c>
      <c r="D8738" s="1" t="n">
        <v>44868</v>
      </c>
      <c r="E8738" s="1" t="n">
        <v>46307</v>
      </c>
      <c r="F8738" t="inlineStr">
        <is>
          <t>VÄRMLANDS LÄN</t>
        </is>
      </c>
      <c r="G8738" t="inlineStr">
        <is>
          <t>ÅRJÄNG</t>
        </is>
      </c>
      <c r="I8738" t="n">
        <v>2.6</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5493-2026</t>
        </is>
      </c>
      <c r="B8739" t="inlineStr">
        <is>
          <t>avverkningsanmälan</t>
        </is>
      </c>
      <c r="C8739" t="inlineStr">
        <is>
          <t>Föryngringsavverkning</t>
        </is>
      </c>
      <c r="D8739" s="1" t="n">
        <v>46050</v>
      </c>
      <c r="E8739" s="1" t="n">
        <v>46307</v>
      </c>
      <c r="F8739" t="inlineStr">
        <is>
          <t>VÄRMLANDS LÄN</t>
        </is>
      </c>
      <c r="G8739" t="inlineStr">
        <is>
          <t>TORSBY</t>
        </is>
      </c>
      <c r="I8739" t="n">
        <v>6</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19685-2024</t>
        </is>
      </c>
      <c r="B8740" t="inlineStr">
        <is>
          <t>avverkningsanmälan</t>
        </is>
      </c>
      <c r="C8740" t="inlineStr">
        <is>
          <t>Föryngringsavverkning</t>
        </is>
      </c>
      <c r="D8740" s="1" t="n">
        <v>45432</v>
      </c>
      <c r="E8740" s="1" t="n">
        <v>46307</v>
      </c>
      <c r="F8740" t="inlineStr">
        <is>
          <t>VÄRMLANDS LÄN</t>
        </is>
      </c>
      <c r="G8740" t="inlineStr">
        <is>
          <t>EDA</t>
        </is>
      </c>
      <c r="I8740" t="n">
        <v>1.1</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5263-2026</t>
        </is>
      </c>
      <c r="B8741" t="inlineStr">
        <is>
          <t>avverkningsanmälan</t>
        </is>
      </c>
      <c r="C8741" t="inlineStr">
        <is>
          <t>Föryngringsavverkning</t>
        </is>
      </c>
      <c r="D8741" s="1" t="n">
        <v>46050</v>
      </c>
      <c r="E8741" s="1" t="n">
        <v>46307</v>
      </c>
      <c r="F8741" t="inlineStr">
        <is>
          <t>VÄRMLANDS LÄN</t>
        </is>
      </c>
      <c r="G8741" t="inlineStr">
        <is>
          <t>HAGFORS</t>
        </is>
      </c>
      <c r="H8741" t="inlineStr">
        <is>
          <t>Bergvik skog väst AB</t>
        </is>
      </c>
      <c r="I8741" t="n">
        <v>4.3</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20880-2026</t>
        </is>
      </c>
      <c r="B8742" t="inlineStr">
        <is>
          <t>avverkningsanmälan</t>
        </is>
      </c>
      <c r="C8742" t="inlineStr">
        <is>
          <t>Avverkning för att bevara och utveckla /försöksver</t>
        </is>
      </c>
      <c r="D8742" s="1" t="n">
        <v>46142</v>
      </c>
      <c r="E8742" s="1" t="n">
        <v>46307</v>
      </c>
      <c r="F8742" t="inlineStr">
        <is>
          <t>VÄRMLANDS LÄN</t>
        </is>
      </c>
      <c r="G8742" t="inlineStr">
        <is>
          <t>HAGFORS</t>
        </is>
      </c>
      <c r="H8742" t="inlineStr">
        <is>
          <t>Bergvik skog väst AB</t>
        </is>
      </c>
      <c r="I8742" t="n">
        <v>10.6</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28925-2023</t>
        </is>
      </c>
      <c r="B8743" t="inlineStr">
        <is>
          <t>avverkningsanmälan</t>
        </is>
      </c>
      <c r="C8743" t="inlineStr">
        <is>
          <t>Föryngringsavverkning</t>
        </is>
      </c>
      <c r="D8743" s="1" t="n">
        <v>45104</v>
      </c>
      <c r="E8743" s="1" t="n">
        <v>46307</v>
      </c>
      <c r="F8743" t="inlineStr">
        <is>
          <t>VÄRMLANDS LÄN</t>
        </is>
      </c>
      <c r="G8743" t="inlineStr">
        <is>
          <t>SUNNE</t>
        </is>
      </c>
      <c r="I8743" t="n">
        <v>3.7</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5383-2026</t>
        </is>
      </c>
      <c r="B8744" t="inlineStr">
        <is>
          <t>avverkningsanmälan</t>
        </is>
      </c>
      <c r="C8744" t="inlineStr">
        <is>
          <t>Föryngringsavverkning</t>
        </is>
      </c>
      <c r="D8744" s="1" t="n">
        <v>46050</v>
      </c>
      <c r="E8744" s="1" t="n">
        <v>46307</v>
      </c>
      <c r="F8744" t="inlineStr">
        <is>
          <t>VÄRMLANDS LÄN</t>
        </is>
      </c>
      <c r="G8744" t="inlineStr">
        <is>
          <t>HAGFORS</t>
        </is>
      </c>
      <c r="I8744" t="n">
        <v>0.2</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39919-2025</t>
        </is>
      </c>
      <c r="B8745" t="inlineStr">
        <is>
          <t>avverkningsanmälan</t>
        </is>
      </c>
      <c r="C8745" t="inlineStr">
        <is>
          <t>Föryngringsavverkning</t>
        </is>
      </c>
      <c r="D8745" s="1" t="n">
        <v>45891</v>
      </c>
      <c r="E8745" s="1" t="n">
        <v>46307</v>
      </c>
      <c r="F8745" t="inlineStr">
        <is>
          <t>VÄRMLANDS LÄN</t>
        </is>
      </c>
      <c r="G8745" t="inlineStr">
        <is>
          <t>TORSBY</t>
        </is>
      </c>
      <c r="H8745" t="inlineStr">
        <is>
          <t>Bergvik skog väst AB</t>
        </is>
      </c>
      <c r="I8745" t="n">
        <v>1.9</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29494-2024</t>
        </is>
      </c>
      <c r="B8746" t="inlineStr">
        <is>
          <t>avverkningsanmälan</t>
        </is>
      </c>
      <c r="C8746" t="inlineStr">
        <is>
          <t>Föryngringsavverkning</t>
        </is>
      </c>
      <c r="D8746" s="1" t="n">
        <v>45484</v>
      </c>
      <c r="E8746" s="1" t="n">
        <v>46307</v>
      </c>
      <c r="F8746" t="inlineStr">
        <is>
          <t>VÄRMLANDS LÄN</t>
        </is>
      </c>
      <c r="G8746" t="inlineStr">
        <is>
          <t>ARVIKA</t>
        </is>
      </c>
      <c r="I8746" t="n">
        <v>3.9</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25737-2023</t>
        </is>
      </c>
      <c r="B8747" t="inlineStr">
        <is>
          <t>avverkningsanmälan</t>
        </is>
      </c>
      <c r="C8747" t="inlineStr">
        <is>
          <t>Avverkning för annat ändamål</t>
        </is>
      </c>
      <c r="D8747" s="1" t="n">
        <v>45090</v>
      </c>
      <c r="E8747" s="1" t="n">
        <v>46307</v>
      </c>
      <c r="F8747" t="inlineStr">
        <is>
          <t>VÄRMLANDS LÄN</t>
        </is>
      </c>
      <c r="G8747" t="inlineStr">
        <is>
          <t>FILIPSTAD</t>
        </is>
      </c>
      <c r="H8747" t="inlineStr">
        <is>
          <t>Bergvik skog väst AB</t>
        </is>
      </c>
      <c r="I8747" t="n">
        <v>1.8</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46695-2025</t>
        </is>
      </c>
      <c r="B8748" t="inlineStr">
        <is>
          <t>avverkningsanmälan</t>
        </is>
      </c>
      <c r="C8748" t="inlineStr">
        <is>
          <t>Föryngringsavverkning</t>
        </is>
      </c>
      <c r="D8748" s="1" t="n">
        <v>45926</v>
      </c>
      <c r="E8748" s="1" t="n">
        <v>46307</v>
      </c>
      <c r="F8748" t="inlineStr">
        <is>
          <t>VÄRMLANDS LÄN</t>
        </is>
      </c>
      <c r="G8748" t="inlineStr">
        <is>
          <t>TORSBY</t>
        </is>
      </c>
      <c r="I8748" t="n">
        <v>2.3</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44710-2025</t>
        </is>
      </c>
      <c r="B8749" t="inlineStr">
        <is>
          <t>avverkningsanmälan</t>
        </is>
      </c>
      <c r="C8749" t="inlineStr">
        <is>
          <t>Föryngringsavverkning</t>
        </is>
      </c>
      <c r="D8749" s="1" t="n">
        <v>45917</v>
      </c>
      <c r="E8749" s="1" t="n">
        <v>46307</v>
      </c>
      <c r="F8749" t="inlineStr">
        <is>
          <t>VÄRMLANDS LÄN</t>
        </is>
      </c>
      <c r="G8749" t="inlineStr">
        <is>
          <t>TORSBY</t>
        </is>
      </c>
      <c r="I8749" t="n">
        <v>7.5</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20798-2026</t>
        </is>
      </c>
      <c r="B8750" t="inlineStr">
        <is>
          <t>avverkningsanmälan</t>
        </is>
      </c>
      <c r="C8750" t="inlineStr">
        <is>
          <t>Föryngringsavverkning</t>
        </is>
      </c>
      <c r="D8750" s="1" t="n">
        <v>46141</v>
      </c>
      <c r="E8750" s="1" t="n">
        <v>46307</v>
      </c>
      <c r="F8750" t="inlineStr">
        <is>
          <t>VÄRMLANDS LÄN</t>
        </is>
      </c>
      <c r="G8750" t="inlineStr">
        <is>
          <t>HAGFORS</t>
        </is>
      </c>
      <c r="H8750" t="inlineStr">
        <is>
          <t>Bergvik skog väst AB</t>
        </is>
      </c>
      <c r="I8750" t="n">
        <v>1.9</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20800-2026</t>
        </is>
      </c>
      <c r="B8751" t="inlineStr">
        <is>
          <t>avverkningsanmälan</t>
        </is>
      </c>
      <c r="C8751" t="inlineStr">
        <is>
          <t>Föryngringsavverkning</t>
        </is>
      </c>
      <c r="D8751" s="1" t="n">
        <v>46141</v>
      </c>
      <c r="E8751" s="1" t="n">
        <v>46307</v>
      </c>
      <c r="F8751" t="inlineStr">
        <is>
          <t>VÄRMLANDS LÄN</t>
        </is>
      </c>
      <c r="G8751" t="inlineStr">
        <is>
          <t>SUNNE</t>
        </is>
      </c>
      <c r="I8751" t="n">
        <v>1.1</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10239-2023</t>
        </is>
      </c>
      <c r="B8752" t="inlineStr">
        <is>
          <t>avverkningsanmälan</t>
        </is>
      </c>
      <c r="C8752" t="inlineStr">
        <is>
          <t>Föryngringsavverkning</t>
        </is>
      </c>
      <c r="D8752" s="1" t="n">
        <v>44986</v>
      </c>
      <c r="E8752" s="1" t="n">
        <v>46307</v>
      </c>
      <c r="F8752" t="inlineStr">
        <is>
          <t>VÄRMLANDS LÄN</t>
        </is>
      </c>
      <c r="G8752" t="inlineStr">
        <is>
          <t>ÅRJÄNG</t>
        </is>
      </c>
      <c r="I8752" t="n">
        <v>5.4</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60059-2022</t>
        </is>
      </c>
      <c r="B8753" t="inlineStr">
        <is>
          <t>avverkningsanmälan</t>
        </is>
      </c>
      <c r="C8753" t="inlineStr">
        <is>
          <t>Föryngringsavverkning</t>
        </is>
      </c>
      <c r="D8753" s="1" t="n">
        <v>44909</v>
      </c>
      <c r="E8753" s="1" t="n">
        <v>46307</v>
      </c>
      <c r="F8753" t="inlineStr">
        <is>
          <t>VÄRMLANDS LÄN</t>
        </is>
      </c>
      <c r="G8753" t="inlineStr">
        <is>
          <t>ARVIKA</t>
        </is>
      </c>
      <c r="I8753" t="n">
        <v>2.2</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5554-2026</t>
        </is>
      </c>
      <c r="B8754" t="inlineStr">
        <is>
          <t>avverkningsanmälan</t>
        </is>
      </c>
      <c r="C8754" t="inlineStr">
        <is>
          <t>Föryngringsavverkning</t>
        </is>
      </c>
      <c r="D8754" s="1" t="n">
        <v>46050</v>
      </c>
      <c r="E8754" s="1" t="n">
        <v>46307</v>
      </c>
      <c r="F8754" t="inlineStr">
        <is>
          <t>VÄRMLANDS LÄN</t>
        </is>
      </c>
      <c r="G8754" t="inlineStr">
        <is>
          <t>TORSBY</t>
        </is>
      </c>
      <c r="I8754" t="n">
        <v>0.4</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13002-2025</t>
        </is>
      </c>
      <c r="B8755" t="inlineStr">
        <is>
          <t>avverkningsanmälan</t>
        </is>
      </c>
      <c r="C8755" t="inlineStr">
        <is>
          <t>Föryngringsavverkning</t>
        </is>
      </c>
      <c r="D8755" s="1" t="n">
        <v>45734</v>
      </c>
      <c r="E8755" s="1" t="n">
        <v>46307</v>
      </c>
      <c r="F8755" t="inlineStr">
        <is>
          <t>VÄRMLANDS LÄN</t>
        </is>
      </c>
      <c r="G8755" t="inlineStr">
        <is>
          <t>ÅRJÄNG</t>
        </is>
      </c>
      <c r="I8755" t="n">
        <v>2.4</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26910-2025</t>
        </is>
      </c>
      <c r="B8756" t="inlineStr">
        <is>
          <t>avverkningsanmälan</t>
        </is>
      </c>
      <c r="C8756" t="inlineStr">
        <is>
          <t>Föryngringsavverkning</t>
        </is>
      </c>
      <c r="D8756" s="1" t="n">
        <v>45811</v>
      </c>
      <c r="E8756" s="1" t="n">
        <v>46307</v>
      </c>
      <c r="F8756" t="inlineStr">
        <is>
          <t>VÄRMLANDS LÄN</t>
        </is>
      </c>
      <c r="G8756" t="inlineStr">
        <is>
          <t>KIL</t>
        </is>
      </c>
      <c r="I8756" t="n">
        <v>1.7</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5553-2026</t>
        </is>
      </c>
      <c r="B8757" t="inlineStr">
        <is>
          <t>avverkningsanmälan</t>
        </is>
      </c>
      <c r="C8757" t="inlineStr">
        <is>
          <t>Föryngringsavverkning</t>
        </is>
      </c>
      <c r="D8757" s="1" t="n">
        <v>46050</v>
      </c>
      <c r="E8757" s="1" t="n">
        <v>46307</v>
      </c>
      <c r="F8757" t="inlineStr">
        <is>
          <t>VÄRMLANDS LÄN</t>
        </is>
      </c>
      <c r="G8757" t="inlineStr">
        <is>
          <t>TORSBY</t>
        </is>
      </c>
      <c r="I8757" t="n">
        <v>1.3</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5413-2026</t>
        </is>
      </c>
      <c r="B8758" t="inlineStr">
        <is>
          <t>avverkningsanmälan</t>
        </is>
      </c>
      <c r="C8758" t="inlineStr">
        <is>
          <t>Föryngringsavverkning</t>
        </is>
      </c>
      <c r="D8758" s="1" t="n">
        <v>46050</v>
      </c>
      <c r="E8758" s="1" t="n">
        <v>46307</v>
      </c>
      <c r="F8758" t="inlineStr">
        <is>
          <t>VÄRMLANDS LÄN</t>
        </is>
      </c>
      <c r="G8758" t="inlineStr">
        <is>
          <t>EDA</t>
        </is>
      </c>
      <c r="I8758" t="n">
        <v>1.6</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5258-2026</t>
        </is>
      </c>
      <c r="B8759" t="inlineStr">
        <is>
          <t>avverkningsanmälan</t>
        </is>
      </c>
      <c r="C8759" t="inlineStr">
        <is>
          <t>Föryngringsavverkning</t>
        </is>
      </c>
      <c r="D8759" s="1" t="n">
        <v>46050</v>
      </c>
      <c r="E8759" s="1" t="n">
        <v>46307</v>
      </c>
      <c r="F8759" t="inlineStr">
        <is>
          <t>VÄRMLANDS LÄN</t>
        </is>
      </c>
      <c r="G8759" t="inlineStr">
        <is>
          <t>EDA</t>
        </is>
      </c>
      <c r="I8759" t="n">
        <v>1.3</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5259-2026</t>
        </is>
      </c>
      <c r="B8760" t="inlineStr">
        <is>
          <t>avverkningsanmälan</t>
        </is>
      </c>
      <c r="C8760" t="inlineStr">
        <is>
          <t>Föryngringsavverkning</t>
        </is>
      </c>
      <c r="D8760" s="1" t="n">
        <v>46050</v>
      </c>
      <c r="E8760" s="1" t="n">
        <v>46307</v>
      </c>
      <c r="F8760" t="inlineStr">
        <is>
          <t>VÄRMLANDS LÄN</t>
        </is>
      </c>
      <c r="G8760" t="inlineStr">
        <is>
          <t>EDA</t>
        </is>
      </c>
      <c r="I8760" t="n">
        <v>1.2</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58769-2024</t>
        </is>
      </c>
      <c r="B8761" t="inlineStr">
        <is>
          <t>avverkningsanmälan</t>
        </is>
      </c>
      <c r="C8761" t="inlineStr">
        <is>
          <t>Föryngringsavverkning</t>
        </is>
      </c>
      <c r="D8761" s="1" t="n">
        <v>45635</v>
      </c>
      <c r="E8761" s="1" t="n">
        <v>46307</v>
      </c>
      <c r="F8761" t="inlineStr">
        <is>
          <t>VÄRMLANDS LÄN</t>
        </is>
      </c>
      <c r="G8761" t="inlineStr">
        <is>
          <t>ÅRJÄNG</t>
        </is>
      </c>
      <c r="I8761" t="n">
        <v>1.3</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18505-2026</t>
        </is>
      </c>
      <c r="B8762" t="inlineStr">
        <is>
          <t>avverkningsanmälan</t>
        </is>
      </c>
      <c r="C8762" t="inlineStr">
        <is>
          <t>Föryngringsavverkning</t>
        </is>
      </c>
      <c r="D8762" s="1" t="n">
        <v>46127</v>
      </c>
      <c r="E8762" s="1" t="n">
        <v>46307</v>
      </c>
      <c r="F8762" t="inlineStr">
        <is>
          <t>VÄRMLANDS LÄN</t>
        </is>
      </c>
      <c r="G8762" t="inlineStr">
        <is>
          <t>TORSBY</t>
        </is>
      </c>
      <c r="I8762" t="n">
        <v>2.9</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21006-2026</t>
        </is>
      </c>
      <c r="B8763" t="inlineStr">
        <is>
          <t>avverkningsanmälan</t>
        </is>
      </c>
      <c r="C8763" t="inlineStr">
        <is>
          <t>Föryngringsavverkning</t>
        </is>
      </c>
      <c r="D8763" s="1" t="n">
        <v>46142</v>
      </c>
      <c r="E8763" s="1" t="n">
        <v>46307</v>
      </c>
      <c r="F8763" t="inlineStr">
        <is>
          <t>VÄRMLANDS LÄN</t>
        </is>
      </c>
      <c r="G8763" t="inlineStr">
        <is>
          <t>TORSBY</t>
        </is>
      </c>
      <c r="H8763" t="inlineStr">
        <is>
          <t>Bergvik skog väst AB</t>
        </is>
      </c>
      <c r="I8763" t="n">
        <v>24</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5169-2026</t>
        </is>
      </c>
      <c r="B8764" t="inlineStr">
        <is>
          <t>avverkningsanmälan</t>
        </is>
      </c>
      <c r="C8764" t="inlineStr">
        <is>
          <t>Föryngringsavverkning</t>
        </is>
      </c>
      <c r="D8764" s="1" t="n">
        <v>46049</v>
      </c>
      <c r="E8764" s="1" t="n">
        <v>46307</v>
      </c>
      <c r="F8764" t="inlineStr">
        <is>
          <t>VÄRMLANDS LÄN</t>
        </is>
      </c>
      <c r="G8764" t="inlineStr">
        <is>
          <t>ÅRJÄNG</t>
        </is>
      </c>
      <c r="I8764" t="n">
        <v>2.2</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19391-2025</t>
        </is>
      </c>
      <c r="B8765" t="inlineStr">
        <is>
          <t>avverkningsanmälan</t>
        </is>
      </c>
      <c r="C8765" t="inlineStr">
        <is>
          <t>Föryngringsavverkning</t>
        </is>
      </c>
      <c r="D8765" s="1" t="n">
        <v>45769</v>
      </c>
      <c r="E8765" s="1" t="n">
        <v>46307</v>
      </c>
      <c r="F8765" t="inlineStr">
        <is>
          <t>VÄRMLANDS LÄN</t>
        </is>
      </c>
      <c r="G8765" t="inlineStr">
        <is>
          <t>HAGFORS</t>
        </is>
      </c>
      <c r="I8765" t="n">
        <v>6.2</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3671-2025</t>
        </is>
      </c>
      <c r="B8766" t="inlineStr">
        <is>
          <t>avverkningsanmälan</t>
        </is>
      </c>
      <c r="C8766" t="inlineStr">
        <is>
          <t>Föryngringsavverkning</t>
        </is>
      </c>
      <c r="D8766" s="1" t="n">
        <v>45681</v>
      </c>
      <c r="E8766" s="1" t="n">
        <v>46307</v>
      </c>
      <c r="F8766" t="inlineStr">
        <is>
          <t>VÄRMLANDS LÄN</t>
        </is>
      </c>
      <c r="G8766" t="inlineStr">
        <is>
          <t>ARVIKA</t>
        </is>
      </c>
      <c r="H8766" t="inlineStr">
        <is>
          <t>Bergvik skog väst AB</t>
        </is>
      </c>
      <c r="I8766" t="n">
        <v>13.4</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57126-2024</t>
        </is>
      </c>
      <c r="B8767" t="inlineStr">
        <is>
          <t>avverkningsanmälan</t>
        </is>
      </c>
      <c r="C8767" t="inlineStr">
        <is>
          <t>Föryngringsavverkning</t>
        </is>
      </c>
      <c r="D8767" s="1" t="n">
        <v>45629</v>
      </c>
      <c r="E8767" s="1" t="n">
        <v>46307</v>
      </c>
      <c r="F8767" t="inlineStr">
        <is>
          <t>VÄRMLANDS LÄN</t>
        </is>
      </c>
      <c r="G8767" t="inlineStr">
        <is>
          <t>ÅRJÄNG</t>
        </is>
      </c>
      <c r="I8767" t="n">
        <v>1.4</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20554-2025</t>
        </is>
      </c>
      <c r="B8768" t="inlineStr">
        <is>
          <t>avverkningsanmälan</t>
        </is>
      </c>
      <c r="C8768" t="inlineStr">
        <is>
          <t>Avverkning för annat ändamål</t>
        </is>
      </c>
      <c r="D8768" s="1" t="n">
        <v>45775</v>
      </c>
      <c r="E8768" s="1" t="n">
        <v>46307</v>
      </c>
      <c r="F8768" t="inlineStr">
        <is>
          <t>VÄRMLANDS LÄN</t>
        </is>
      </c>
      <c r="G8768" t="inlineStr">
        <is>
          <t>FILIPSTAD</t>
        </is>
      </c>
      <c r="H8768" t="inlineStr">
        <is>
          <t>Bergvik skog väst AB</t>
        </is>
      </c>
      <c r="I8768" t="n">
        <v>2.3</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23718-2025</t>
        </is>
      </c>
      <c r="B8769" t="inlineStr">
        <is>
          <t>avverkningsanmälan</t>
        </is>
      </c>
      <c r="C8769" t="inlineStr">
        <is>
          <t>Föryngringsavverkning</t>
        </is>
      </c>
      <c r="D8769" s="1" t="n">
        <v>45793</v>
      </c>
      <c r="E8769" s="1" t="n">
        <v>46307</v>
      </c>
      <c r="F8769" t="inlineStr">
        <is>
          <t>VÄRMLANDS LÄN</t>
        </is>
      </c>
      <c r="G8769" t="inlineStr">
        <is>
          <t>SUNNE</t>
        </is>
      </c>
      <c r="I8769" t="n">
        <v>2</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5976-2026</t>
        </is>
      </c>
      <c r="B8770" t="inlineStr">
        <is>
          <t>avverkningsanmälan</t>
        </is>
      </c>
      <c r="C8770" t="inlineStr">
        <is>
          <t>Föryngringsavverkning</t>
        </is>
      </c>
      <c r="D8770" s="1" t="n">
        <v>46052</v>
      </c>
      <c r="E8770" s="1" t="n">
        <v>46307</v>
      </c>
      <c r="F8770" t="inlineStr">
        <is>
          <t>VÄRMLANDS LÄN</t>
        </is>
      </c>
      <c r="G8770" t="inlineStr">
        <is>
          <t>TORSBY</t>
        </is>
      </c>
      <c r="H8770" t="inlineStr">
        <is>
          <t>Bergvik skog väst AB</t>
        </is>
      </c>
      <c r="I8770" t="n">
        <v>18.4</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32503-2024</t>
        </is>
      </c>
      <c r="B8771" t="inlineStr">
        <is>
          <t>avverkningsanmälan</t>
        </is>
      </c>
      <c r="C8771" t="inlineStr">
        <is>
          <t>Föryngringsavverkning</t>
        </is>
      </c>
      <c r="D8771" s="1" t="n">
        <v>45513</v>
      </c>
      <c r="E8771" s="1" t="n">
        <v>46307</v>
      </c>
      <c r="F8771" t="inlineStr">
        <is>
          <t>VÄRMLANDS LÄN</t>
        </is>
      </c>
      <c r="G8771" t="inlineStr">
        <is>
          <t>ARVIKA</t>
        </is>
      </c>
      <c r="I8771" t="n">
        <v>1.2</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7087-2026</t>
        </is>
      </c>
      <c r="B8772" t="inlineStr">
        <is>
          <t>avverkningsanmälan</t>
        </is>
      </c>
      <c r="C8772" t="inlineStr">
        <is>
          <t>Föryngringsavverkning</t>
        </is>
      </c>
      <c r="D8772" s="1" t="n">
        <v>46058</v>
      </c>
      <c r="E8772" s="1" t="n">
        <v>46307</v>
      </c>
      <c r="F8772" t="inlineStr">
        <is>
          <t>VÄRMLANDS LÄN</t>
        </is>
      </c>
      <c r="G8772" t="inlineStr">
        <is>
          <t>HAGFORS</t>
        </is>
      </c>
      <c r="H8772" t="inlineStr">
        <is>
          <t>Bergvik skog väst AB</t>
        </is>
      </c>
      <c r="I8772" t="n">
        <v>12.6</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5720-2026</t>
        </is>
      </c>
      <c r="B8773" t="inlineStr">
        <is>
          <t>avverkningsanmälan</t>
        </is>
      </c>
      <c r="C8773" t="inlineStr">
        <is>
          <t>Föryngringsavverkning</t>
        </is>
      </c>
      <c r="D8773" s="1" t="n">
        <v>46051</v>
      </c>
      <c r="E8773" s="1" t="n">
        <v>46307</v>
      </c>
      <c r="F8773" t="inlineStr">
        <is>
          <t>VÄRMLANDS LÄN</t>
        </is>
      </c>
      <c r="G8773" t="inlineStr">
        <is>
          <t>TORSBY</t>
        </is>
      </c>
      <c r="I8773" t="n">
        <v>1.8</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24827-2025</t>
        </is>
      </c>
      <c r="B8774" t="inlineStr">
        <is>
          <t>avverkningsanmälan</t>
        </is>
      </c>
      <c r="C8774" t="inlineStr">
        <is>
          <t>Föryngringsavverkning</t>
        </is>
      </c>
      <c r="D8774" s="1" t="n">
        <v>45799</v>
      </c>
      <c r="E8774" s="1" t="n">
        <v>46307</v>
      </c>
      <c r="F8774" t="inlineStr">
        <is>
          <t>VÄRMLANDS LÄN</t>
        </is>
      </c>
      <c r="G8774" t="inlineStr">
        <is>
          <t>TORSBY</t>
        </is>
      </c>
      <c r="I8774" t="n">
        <v>27.5</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14800-2025</t>
        </is>
      </c>
      <c r="B8775" t="inlineStr">
        <is>
          <t>avverkningsanmälan</t>
        </is>
      </c>
      <c r="C8775" t="inlineStr">
        <is>
          <t>Föryngringsavverkning</t>
        </is>
      </c>
      <c r="D8775" s="1" t="n">
        <v>45743</v>
      </c>
      <c r="E8775" s="1" t="n">
        <v>46307</v>
      </c>
      <c r="F8775" t="inlineStr">
        <is>
          <t>VÄRMLANDS LÄN</t>
        </is>
      </c>
      <c r="G8775" t="inlineStr">
        <is>
          <t>TORSBY</t>
        </is>
      </c>
      <c r="I8775" t="n">
        <v>4.2</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19248-2025</t>
        </is>
      </c>
      <c r="B8776" t="inlineStr">
        <is>
          <t>avverkningsanmälan</t>
        </is>
      </c>
      <c r="C8776" t="inlineStr">
        <is>
          <t>Föryngringsavverkning</t>
        </is>
      </c>
      <c r="D8776" s="1" t="n">
        <v>45769</v>
      </c>
      <c r="E8776" s="1" t="n">
        <v>46307</v>
      </c>
      <c r="F8776" t="inlineStr">
        <is>
          <t>VÄRMLANDS LÄN</t>
        </is>
      </c>
      <c r="G8776" t="inlineStr">
        <is>
          <t>ÅRJÄNG</t>
        </is>
      </c>
      <c r="I8776" t="n">
        <v>5.3</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46152-2024</t>
        </is>
      </c>
      <c r="B8777" t="inlineStr">
        <is>
          <t>avverkningsanmälan</t>
        </is>
      </c>
      <c r="C8777" t="inlineStr">
        <is>
          <t>Avverkning för annat ändamål</t>
        </is>
      </c>
      <c r="D8777" s="1" t="n">
        <v>45581</v>
      </c>
      <c r="E8777" s="1" t="n">
        <v>46307</v>
      </c>
      <c r="F8777" t="inlineStr">
        <is>
          <t>VÄRMLANDS LÄN</t>
        </is>
      </c>
      <c r="G8777" t="inlineStr">
        <is>
          <t>TORSBY</t>
        </is>
      </c>
      <c r="I8777" t="n">
        <v>2.5</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5542-2026</t>
        </is>
      </c>
      <c r="B8778" t="inlineStr">
        <is>
          <t>avverkningsanmälan</t>
        </is>
      </c>
      <c r="C8778" t="inlineStr">
        <is>
          <t>Föryngringsavverkning</t>
        </is>
      </c>
      <c r="D8778" s="1" t="n">
        <v>46049</v>
      </c>
      <c r="E8778" s="1" t="n">
        <v>46307</v>
      </c>
      <c r="F8778" t="inlineStr">
        <is>
          <t>VÄRMLANDS LÄN</t>
        </is>
      </c>
      <c r="G8778" t="inlineStr">
        <is>
          <t>ARVIKA</t>
        </is>
      </c>
      <c r="I8778" t="n">
        <v>2.4</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5593-2026</t>
        </is>
      </c>
      <c r="B8779" t="inlineStr">
        <is>
          <t>avverkningsanmälan</t>
        </is>
      </c>
      <c r="C8779" t="inlineStr">
        <is>
          <t>Föryngringsavverkning</t>
        </is>
      </c>
      <c r="D8779" s="1" t="n">
        <v>46051</v>
      </c>
      <c r="E8779" s="1" t="n">
        <v>46307</v>
      </c>
      <c r="F8779" t="inlineStr">
        <is>
          <t>VÄRMLANDS LÄN</t>
        </is>
      </c>
      <c r="G8779" t="inlineStr">
        <is>
          <t>ÅRJÄNG</t>
        </is>
      </c>
      <c r="I8779" t="n">
        <v>4</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5683-2026</t>
        </is>
      </c>
      <c r="B8780" t="inlineStr">
        <is>
          <t>avverkningsanmälan</t>
        </is>
      </c>
      <c r="C8780" t="inlineStr">
        <is>
          <t>Föryngringsavverkning</t>
        </is>
      </c>
      <c r="D8780" s="1" t="n">
        <v>46051</v>
      </c>
      <c r="E8780" s="1" t="n">
        <v>46307</v>
      </c>
      <c r="F8780" t="inlineStr">
        <is>
          <t>VÄRMLANDS LÄN</t>
        </is>
      </c>
      <c r="G8780" t="inlineStr">
        <is>
          <t>KARLSTAD</t>
        </is>
      </c>
      <c r="I8780" t="n">
        <v>0.7</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7378-2025</t>
        </is>
      </c>
      <c r="B8781" t="inlineStr">
        <is>
          <t>avverkningsanmälan</t>
        </is>
      </c>
      <c r="C8781" t="inlineStr">
        <is>
          <t>Föryngringsavverkning</t>
        </is>
      </c>
      <c r="D8781" s="1" t="n">
        <v>45705</v>
      </c>
      <c r="E8781" s="1" t="n">
        <v>46307</v>
      </c>
      <c r="F8781" t="inlineStr">
        <is>
          <t>VÄRMLANDS LÄN</t>
        </is>
      </c>
      <c r="G8781" t="inlineStr">
        <is>
          <t>TORSBY</t>
        </is>
      </c>
      <c r="I8781" t="n">
        <v>3.7</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49602-2025</t>
        </is>
      </c>
      <c r="B8782" t="inlineStr">
        <is>
          <t>avverkningsanmälan</t>
        </is>
      </c>
      <c r="C8782" t="inlineStr">
        <is>
          <t>Föryngringsavverkning</t>
        </is>
      </c>
      <c r="D8782" s="1" t="n">
        <v>45939</v>
      </c>
      <c r="E8782" s="1" t="n">
        <v>46307</v>
      </c>
      <c r="F8782" t="inlineStr">
        <is>
          <t>VÄRMLANDS LÄN</t>
        </is>
      </c>
      <c r="G8782" t="inlineStr">
        <is>
          <t>FILIPSTAD</t>
        </is>
      </c>
      <c r="H8782" t="inlineStr">
        <is>
          <t>Bergvik skog väst AB</t>
        </is>
      </c>
      <c r="I8782" t="n">
        <v>10</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20919-2026</t>
        </is>
      </c>
      <c r="B8783" t="inlineStr">
        <is>
          <t>avverkningsanmälan</t>
        </is>
      </c>
      <c r="C8783" t="inlineStr">
        <is>
          <t>Föryngringsavverkning</t>
        </is>
      </c>
      <c r="D8783" s="1" t="n">
        <v>46142</v>
      </c>
      <c r="E8783" s="1" t="n">
        <v>46307</v>
      </c>
      <c r="F8783" t="inlineStr">
        <is>
          <t>VÄRMLANDS LÄN</t>
        </is>
      </c>
      <c r="G8783" t="inlineStr">
        <is>
          <t>FILIPSTAD</t>
        </is>
      </c>
      <c r="I8783" t="n">
        <v>2.5</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38482-2024</t>
        </is>
      </c>
      <c r="B8784" t="inlineStr">
        <is>
          <t>avverkningsanmälan</t>
        </is>
      </c>
      <c r="C8784" t="inlineStr">
        <is>
          <t>Föryngringsavverkning</t>
        </is>
      </c>
      <c r="D8784" s="1" t="n">
        <v>45546</v>
      </c>
      <c r="E8784" s="1" t="n">
        <v>46307</v>
      </c>
      <c r="F8784" t="inlineStr">
        <is>
          <t>VÄRMLANDS LÄN</t>
        </is>
      </c>
      <c r="G8784" t="inlineStr">
        <is>
          <t>ÅRJÄNG</t>
        </is>
      </c>
      <c r="I8784" t="n">
        <v>2.8</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36272-2025</t>
        </is>
      </c>
      <c r="B8785" t="inlineStr">
        <is>
          <t>avverkningsanmälan</t>
        </is>
      </c>
      <c r="C8785" t="inlineStr">
        <is>
          <t>Föryngringsavverkning</t>
        </is>
      </c>
      <c r="D8785" s="1" t="n">
        <v>45867</v>
      </c>
      <c r="E8785" s="1" t="n">
        <v>46307</v>
      </c>
      <c r="F8785" t="inlineStr">
        <is>
          <t>VÄRMLANDS LÄN</t>
        </is>
      </c>
      <c r="G8785" t="inlineStr">
        <is>
          <t>FILIPSTAD</t>
        </is>
      </c>
      <c r="H8785" t="inlineStr">
        <is>
          <t>Bergvik skog väst AB</t>
        </is>
      </c>
      <c r="I8785" t="n">
        <v>5.7</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48676-2025</t>
        </is>
      </c>
      <c r="B8786" t="inlineStr">
        <is>
          <t>avverkningsanmälan</t>
        </is>
      </c>
      <c r="C8786" t="inlineStr">
        <is>
          <t>Föryngringsavverkning</t>
        </is>
      </c>
      <c r="D8786" s="1" t="n">
        <v>45935</v>
      </c>
      <c r="E8786" s="1" t="n">
        <v>46307</v>
      </c>
      <c r="F8786" t="inlineStr">
        <is>
          <t>VÄRMLANDS LÄN</t>
        </is>
      </c>
      <c r="G8786" t="inlineStr">
        <is>
          <t>ARVIKA</t>
        </is>
      </c>
      <c r="I8786" t="n">
        <v>9.1</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29299-2024</t>
        </is>
      </c>
      <c r="B8787" t="inlineStr">
        <is>
          <t>avverkningsanmälan</t>
        </is>
      </c>
      <c r="C8787" t="inlineStr">
        <is>
          <t>Föryngringsavverkning</t>
        </is>
      </c>
      <c r="D8787" s="1" t="n">
        <v>45483</v>
      </c>
      <c r="E8787" s="1" t="n">
        <v>46307</v>
      </c>
      <c r="F8787" t="inlineStr">
        <is>
          <t>VÄRMLANDS LÄN</t>
        </is>
      </c>
      <c r="G8787" t="inlineStr">
        <is>
          <t>ARVIKA</t>
        </is>
      </c>
      <c r="I8787" t="n">
        <v>2.3</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38549-2025</t>
        </is>
      </c>
      <c r="B8788" t="inlineStr">
        <is>
          <t>avverkningsanmälan</t>
        </is>
      </c>
      <c r="C8788" t="inlineStr">
        <is>
          <t>Föryngringsavverkning</t>
        </is>
      </c>
      <c r="D8788" s="1" t="n">
        <v>45884</v>
      </c>
      <c r="E8788" s="1" t="n">
        <v>46307</v>
      </c>
      <c r="F8788" t="inlineStr">
        <is>
          <t>VÄRMLANDS LÄN</t>
        </is>
      </c>
      <c r="G8788" t="inlineStr">
        <is>
          <t>ARVIKA</t>
        </is>
      </c>
      <c r="I8788" t="n">
        <v>1.2</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31676-2025</t>
        </is>
      </c>
      <c r="B8789" t="inlineStr">
        <is>
          <t>avverkningsanmälan</t>
        </is>
      </c>
      <c r="C8789" t="inlineStr">
        <is>
          <t>Föryngringsavverkning</t>
        </is>
      </c>
      <c r="D8789" s="1" t="n">
        <v>45834</v>
      </c>
      <c r="E8789" s="1" t="n">
        <v>46307</v>
      </c>
      <c r="F8789" t="inlineStr">
        <is>
          <t>VÄRMLANDS LÄN</t>
        </is>
      </c>
      <c r="G8789" t="inlineStr">
        <is>
          <t>FILIPSTAD</t>
        </is>
      </c>
      <c r="H8789" t="inlineStr">
        <is>
          <t>Bergvik skog väst AB</t>
        </is>
      </c>
      <c r="I8789" t="n">
        <v>4.2</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6084-2026</t>
        </is>
      </c>
      <c r="B8790" t="inlineStr">
        <is>
          <t>avverkningsanmälan</t>
        </is>
      </c>
      <c r="C8790" t="inlineStr">
        <is>
          <t>Föryngringsavverkning</t>
        </is>
      </c>
      <c r="D8790" s="1" t="n">
        <v>46052</v>
      </c>
      <c r="E8790" s="1" t="n">
        <v>46307</v>
      </c>
      <c r="F8790" t="inlineStr">
        <is>
          <t>VÄRMLANDS LÄN</t>
        </is>
      </c>
      <c r="G8790" t="inlineStr">
        <is>
          <t>TORSBY</t>
        </is>
      </c>
      <c r="I8790" t="n">
        <v>19.5</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26327-2025</t>
        </is>
      </c>
      <c r="B8791" t="inlineStr">
        <is>
          <t>avverkningsanmälan</t>
        </is>
      </c>
      <c r="C8791" t="inlineStr">
        <is>
          <t>Föryngringsavverkning</t>
        </is>
      </c>
      <c r="D8791" s="1" t="n">
        <v>45805</v>
      </c>
      <c r="E8791" s="1" t="n">
        <v>46307</v>
      </c>
      <c r="F8791" t="inlineStr">
        <is>
          <t>VÄRMLANDS LÄN</t>
        </is>
      </c>
      <c r="G8791" t="inlineStr">
        <is>
          <t>SUNNE</t>
        </is>
      </c>
      <c r="I8791" t="n">
        <v>1.6</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9574-2024</t>
        </is>
      </c>
      <c r="B8792" t="inlineStr">
        <is>
          <t>avverkningsanmälan</t>
        </is>
      </c>
      <c r="C8792" t="inlineStr">
        <is>
          <t>Föryngringsavverkning</t>
        </is>
      </c>
      <c r="D8792" s="1" t="n">
        <v>45360</v>
      </c>
      <c r="E8792" s="1" t="n">
        <v>46307</v>
      </c>
      <c r="F8792" t="inlineStr">
        <is>
          <t>VÄRMLANDS LÄN</t>
        </is>
      </c>
      <c r="G8792" t="inlineStr">
        <is>
          <t>ARVIKA</t>
        </is>
      </c>
      <c r="I8792" t="n">
        <v>2.1</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13183-2025</t>
        </is>
      </c>
      <c r="B8793" t="inlineStr">
        <is>
          <t>avverkningsanmälan</t>
        </is>
      </c>
      <c r="C8793" t="inlineStr">
        <is>
          <t>Föryngringsavverkning</t>
        </is>
      </c>
      <c r="D8793" s="1" t="n">
        <v>45735</v>
      </c>
      <c r="E8793" s="1" t="n">
        <v>46307</v>
      </c>
      <c r="F8793" t="inlineStr">
        <is>
          <t>VÄRMLANDS LÄN</t>
        </is>
      </c>
      <c r="G8793" t="inlineStr">
        <is>
          <t>SÄFFLE</t>
        </is>
      </c>
      <c r="I8793" t="n">
        <v>0.6</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22485-2025</t>
        </is>
      </c>
      <c r="B8794" t="inlineStr">
        <is>
          <t>avverkningsanmälan</t>
        </is>
      </c>
      <c r="C8794" t="inlineStr">
        <is>
          <t>Föryngringsavverkning</t>
        </is>
      </c>
      <c r="D8794" s="1" t="n">
        <v>45786</v>
      </c>
      <c r="E8794" s="1" t="n">
        <v>46307</v>
      </c>
      <c r="F8794" t="inlineStr">
        <is>
          <t>VÄRMLANDS LÄN</t>
        </is>
      </c>
      <c r="G8794" t="inlineStr">
        <is>
          <t>ARVIKA</t>
        </is>
      </c>
      <c r="I8794" t="n">
        <v>1.5</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5971-2026</t>
        </is>
      </c>
      <c r="B8795" t="inlineStr">
        <is>
          <t>avverkningsanmälan</t>
        </is>
      </c>
      <c r="C8795" t="inlineStr">
        <is>
          <t>Föryngringsavverkning</t>
        </is>
      </c>
      <c r="D8795" s="1" t="n">
        <v>46052</v>
      </c>
      <c r="E8795" s="1" t="n">
        <v>46307</v>
      </c>
      <c r="F8795" t="inlineStr">
        <is>
          <t>VÄRMLANDS LÄN</t>
        </is>
      </c>
      <c r="G8795" t="inlineStr">
        <is>
          <t>FORSHAGA</t>
        </is>
      </c>
      <c r="I8795" t="n">
        <v>1.3</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5979-2026</t>
        </is>
      </c>
      <c r="B8796" t="inlineStr">
        <is>
          <t>avverkningsanmälan</t>
        </is>
      </c>
      <c r="C8796" t="inlineStr">
        <is>
          <t>Föryngringsavverkning</t>
        </is>
      </c>
      <c r="D8796" s="1" t="n">
        <v>46052</v>
      </c>
      <c r="E8796" s="1" t="n">
        <v>46307</v>
      </c>
      <c r="F8796" t="inlineStr">
        <is>
          <t>VÄRMLANDS LÄN</t>
        </is>
      </c>
      <c r="G8796" t="inlineStr">
        <is>
          <t>TORSBY</t>
        </is>
      </c>
      <c r="I8796" t="n">
        <v>1.5</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24425-2025</t>
        </is>
      </c>
      <c r="B8797" t="inlineStr">
        <is>
          <t>avverkningsanmälan</t>
        </is>
      </c>
      <c r="C8797" t="inlineStr">
        <is>
          <t>Föryngringsavverkning</t>
        </is>
      </c>
      <c r="D8797" s="1" t="n">
        <v>45797</v>
      </c>
      <c r="E8797" s="1" t="n">
        <v>46307</v>
      </c>
      <c r="F8797" t="inlineStr">
        <is>
          <t>VÄRMLANDS LÄN</t>
        </is>
      </c>
      <c r="G8797" t="inlineStr">
        <is>
          <t>TORSBY</t>
        </is>
      </c>
      <c r="I8797" t="n">
        <v>1.7</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41712-2025</t>
        </is>
      </c>
      <c r="B8798" t="inlineStr">
        <is>
          <t>avverkningsanmälan</t>
        </is>
      </c>
      <c r="C8798" t="inlineStr">
        <is>
          <t>Föryngringsavverkning</t>
        </is>
      </c>
      <c r="D8798" s="1" t="n">
        <v>45902</v>
      </c>
      <c r="E8798" s="1" t="n">
        <v>46307</v>
      </c>
      <c r="F8798" t="inlineStr">
        <is>
          <t>VÄRMLANDS LÄN</t>
        </is>
      </c>
      <c r="G8798" t="inlineStr">
        <is>
          <t>ARVIKA</t>
        </is>
      </c>
      <c r="I8798" t="n">
        <v>6</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41746-2025</t>
        </is>
      </c>
      <c r="B8799" t="inlineStr">
        <is>
          <t>avverkningsanmälan</t>
        </is>
      </c>
      <c r="C8799" t="inlineStr">
        <is>
          <t>Föryngringsavverkning</t>
        </is>
      </c>
      <c r="D8799" s="1" t="n">
        <v>45902</v>
      </c>
      <c r="E8799" s="1" t="n">
        <v>46307</v>
      </c>
      <c r="F8799" t="inlineStr">
        <is>
          <t>VÄRMLANDS LÄN</t>
        </is>
      </c>
      <c r="G8799" t="inlineStr">
        <is>
          <t>TORSBY</t>
        </is>
      </c>
      <c r="I8799" t="n">
        <v>3</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20737-2026</t>
        </is>
      </c>
      <c r="B8800" t="inlineStr">
        <is>
          <t>avverkningsanmälan</t>
        </is>
      </c>
      <c r="C8800" t="inlineStr">
        <is>
          <t>Föryngringsavverkning</t>
        </is>
      </c>
      <c r="D8800" s="1" t="n">
        <v>46141</v>
      </c>
      <c r="E8800" s="1" t="n">
        <v>46307</v>
      </c>
      <c r="F8800" t="inlineStr">
        <is>
          <t>VÄRMLANDS LÄN</t>
        </is>
      </c>
      <c r="G8800" t="inlineStr">
        <is>
          <t>ARVIKA</t>
        </is>
      </c>
      <c r="H8800" t="inlineStr">
        <is>
          <t>Bergvik skog väst AB</t>
        </is>
      </c>
      <c r="I8800" t="n">
        <v>6.1</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6259-2026</t>
        </is>
      </c>
      <c r="B8801" t="inlineStr">
        <is>
          <t>avverkningsanmälan</t>
        </is>
      </c>
      <c r="C8801" t="inlineStr">
        <is>
          <t>Avverkning för att bevara och utveckla /försöksver</t>
        </is>
      </c>
      <c r="D8801" s="1" t="n">
        <v>46051</v>
      </c>
      <c r="E8801" s="1" t="n">
        <v>46307</v>
      </c>
      <c r="F8801" t="inlineStr">
        <is>
          <t>VÄRMLANDS LÄN</t>
        </is>
      </c>
      <c r="G8801" t="inlineStr">
        <is>
          <t>KRISTINEHAMN</t>
        </is>
      </c>
      <c r="I8801" t="n">
        <v>1.1</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5639-2026</t>
        </is>
      </c>
      <c r="B8802" t="inlineStr">
        <is>
          <t>avverkningsanmälan</t>
        </is>
      </c>
      <c r="C8802" t="inlineStr">
        <is>
          <t>Föryngringsavverkning</t>
        </is>
      </c>
      <c r="D8802" s="1" t="n">
        <v>46051</v>
      </c>
      <c r="E8802" s="1" t="n">
        <v>46307</v>
      </c>
      <c r="F8802" t="inlineStr">
        <is>
          <t>VÄRMLANDS LÄN</t>
        </is>
      </c>
      <c r="G8802" t="inlineStr">
        <is>
          <t>TORSBY</t>
        </is>
      </c>
      <c r="I8802" t="n">
        <v>0.5</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5714-2026</t>
        </is>
      </c>
      <c r="B8803" t="inlineStr">
        <is>
          <t>avverkningsanmälan</t>
        </is>
      </c>
      <c r="C8803" t="inlineStr">
        <is>
          <t>Föryngringsavverkning</t>
        </is>
      </c>
      <c r="D8803" s="1" t="n">
        <v>46051</v>
      </c>
      <c r="E8803" s="1" t="n">
        <v>46307</v>
      </c>
      <c r="F8803" t="inlineStr">
        <is>
          <t>VÄRMLANDS LÄN</t>
        </is>
      </c>
      <c r="G8803" t="inlineStr">
        <is>
          <t>TORSBY</t>
        </is>
      </c>
      <c r="I8803" t="n">
        <v>1.5</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5983-2026</t>
        </is>
      </c>
      <c r="B8804" t="inlineStr">
        <is>
          <t>avverkningsanmälan</t>
        </is>
      </c>
      <c r="C8804" t="inlineStr">
        <is>
          <t>Föryngringsavverkning</t>
        </is>
      </c>
      <c r="D8804" s="1" t="n">
        <v>46052</v>
      </c>
      <c r="E8804" s="1" t="n">
        <v>46307</v>
      </c>
      <c r="F8804" t="inlineStr">
        <is>
          <t>VÄRMLANDS LÄN</t>
        </is>
      </c>
      <c r="G8804" t="inlineStr">
        <is>
          <t>TORSBY</t>
        </is>
      </c>
      <c r="I8804" t="n">
        <v>0.5</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5993-2026</t>
        </is>
      </c>
      <c r="B8805" t="inlineStr">
        <is>
          <t>avverkningsanmälan</t>
        </is>
      </c>
      <c r="C8805" t="inlineStr">
        <is>
          <t>Föryngringsavverkning</t>
        </is>
      </c>
      <c r="D8805" s="1" t="n">
        <v>46052</v>
      </c>
      <c r="E8805" s="1" t="n">
        <v>46307</v>
      </c>
      <c r="F8805" t="inlineStr">
        <is>
          <t>VÄRMLANDS LÄN</t>
        </is>
      </c>
      <c r="G8805" t="inlineStr">
        <is>
          <t>HAGFORS</t>
        </is>
      </c>
      <c r="I8805" t="n">
        <v>5.5</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6214-2026</t>
        </is>
      </c>
      <c r="B8806" t="inlineStr">
        <is>
          <t>avverkningsanmälan</t>
        </is>
      </c>
      <c r="C8806" t="inlineStr">
        <is>
          <t>Föryngringsavverkning</t>
        </is>
      </c>
      <c r="D8806" s="1" t="n">
        <v>46055</v>
      </c>
      <c r="E8806" s="1" t="n">
        <v>46307</v>
      </c>
      <c r="F8806" t="inlineStr">
        <is>
          <t>VÄRMLANDS LÄN</t>
        </is>
      </c>
      <c r="G8806" t="inlineStr">
        <is>
          <t>EDA</t>
        </is>
      </c>
      <c r="I8806" t="n">
        <v>1.7</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6392-2026</t>
        </is>
      </c>
      <c r="B8807" t="inlineStr">
        <is>
          <t>avverkningsanmälan</t>
        </is>
      </c>
      <c r="C8807" t="inlineStr">
        <is>
          <t>Föryngringsavverkning</t>
        </is>
      </c>
      <c r="D8807" s="1" t="n">
        <v>46055</v>
      </c>
      <c r="E8807" s="1" t="n">
        <v>46307</v>
      </c>
      <c r="F8807" t="inlineStr">
        <is>
          <t>VÄRMLANDS LÄN</t>
        </is>
      </c>
      <c r="G8807" t="inlineStr">
        <is>
          <t>SÄFFLE</t>
        </is>
      </c>
      <c r="I8807" t="n">
        <v>6.6</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6593-2026</t>
        </is>
      </c>
      <c r="B8808" t="inlineStr">
        <is>
          <t>avverkningsanmälan</t>
        </is>
      </c>
      <c r="C8808" t="inlineStr">
        <is>
          <t>Föryngringsavverkning</t>
        </is>
      </c>
      <c r="D8808" s="1" t="n">
        <v>46056</v>
      </c>
      <c r="E8808" s="1" t="n">
        <v>46307</v>
      </c>
      <c r="F8808" t="inlineStr">
        <is>
          <t>VÄRMLANDS LÄN</t>
        </is>
      </c>
      <c r="G8808" t="inlineStr">
        <is>
          <t>FILIPSTAD</t>
        </is>
      </c>
      <c r="I8808" t="n">
        <v>2.1</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6600-2026</t>
        </is>
      </c>
      <c r="B8809" t="inlineStr">
        <is>
          <t>avverkningsanmälan</t>
        </is>
      </c>
      <c r="C8809" t="inlineStr">
        <is>
          <t>Föryngringsavverkning</t>
        </is>
      </c>
      <c r="D8809" s="1" t="n">
        <v>46056</v>
      </c>
      <c r="E8809" s="1" t="n">
        <v>46307</v>
      </c>
      <c r="F8809" t="inlineStr">
        <is>
          <t>VÄRMLANDS LÄN</t>
        </is>
      </c>
      <c r="G8809" t="inlineStr">
        <is>
          <t>FILIPSTAD</t>
        </is>
      </c>
      <c r="I8809" t="n">
        <v>0.4</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6393-2026</t>
        </is>
      </c>
      <c r="B8810" t="inlineStr">
        <is>
          <t>avverkningsanmälan</t>
        </is>
      </c>
      <c r="C8810" t="inlineStr">
        <is>
          <t>Föryngringsavverkning</t>
        </is>
      </c>
      <c r="D8810" s="1" t="n">
        <v>46055</v>
      </c>
      <c r="E8810" s="1" t="n">
        <v>46307</v>
      </c>
      <c r="F8810" t="inlineStr">
        <is>
          <t>VÄRMLANDS LÄN</t>
        </is>
      </c>
      <c r="G8810" t="inlineStr">
        <is>
          <t>SÄFFLE</t>
        </is>
      </c>
      <c r="I8810" t="n">
        <v>1.5</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34230-2025</t>
        </is>
      </c>
      <c r="B8811" t="inlineStr">
        <is>
          <t>avverkningsanmälan</t>
        </is>
      </c>
      <c r="C8811" t="inlineStr">
        <is>
          <t>Föryngringsavverkning</t>
        </is>
      </c>
      <c r="D8811" s="1" t="n">
        <v>45845</v>
      </c>
      <c r="E8811" s="1" t="n">
        <v>46307</v>
      </c>
      <c r="F8811" t="inlineStr">
        <is>
          <t>VÄRMLANDS LÄN</t>
        </is>
      </c>
      <c r="G8811" t="inlineStr">
        <is>
          <t>ÅRJÄNG</t>
        </is>
      </c>
      <c r="I8811" t="n">
        <v>1</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20874-2026</t>
        </is>
      </c>
      <c r="B8812" t="inlineStr">
        <is>
          <t>avverkningsanmälan</t>
        </is>
      </c>
      <c r="C8812" t="inlineStr">
        <is>
          <t>Föryngringsavverkning</t>
        </is>
      </c>
      <c r="D8812" s="1" t="n">
        <v>46142</v>
      </c>
      <c r="E8812" s="1" t="n">
        <v>46307</v>
      </c>
      <c r="F8812" t="inlineStr">
        <is>
          <t>VÄRMLANDS LÄN</t>
        </is>
      </c>
      <c r="G8812" t="inlineStr">
        <is>
          <t>FILIPSTAD</t>
        </is>
      </c>
      <c r="H8812" t="inlineStr">
        <is>
          <t>Bergvik skog väst AB</t>
        </is>
      </c>
      <c r="I8812" t="n">
        <v>7.9</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6209-2026</t>
        </is>
      </c>
      <c r="B8813" t="inlineStr">
        <is>
          <t>avverkningsanmälan</t>
        </is>
      </c>
      <c r="C8813" t="inlineStr">
        <is>
          <t>Föryngringsavverkning</t>
        </is>
      </c>
      <c r="D8813" s="1" t="n">
        <v>46055</v>
      </c>
      <c r="E8813" s="1" t="n">
        <v>46307</v>
      </c>
      <c r="F8813" t="inlineStr">
        <is>
          <t>VÄRMLANDS LÄN</t>
        </is>
      </c>
      <c r="G8813" t="inlineStr">
        <is>
          <t>EDA</t>
        </is>
      </c>
      <c r="I8813" t="n">
        <v>2.3</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6803-2026</t>
        </is>
      </c>
      <c r="B8814" t="inlineStr">
        <is>
          <t>avverkningsanmälan</t>
        </is>
      </c>
      <c r="C8814" t="inlineStr">
        <is>
          <t>Föryngringsavverkning</t>
        </is>
      </c>
      <c r="D8814" s="1" t="n">
        <v>46057</v>
      </c>
      <c r="E8814" s="1" t="n">
        <v>46307</v>
      </c>
      <c r="F8814" t="inlineStr">
        <is>
          <t>VÄRMLANDS LÄN</t>
        </is>
      </c>
      <c r="G8814" t="inlineStr">
        <is>
          <t>ARVIKA</t>
        </is>
      </c>
      <c r="I8814" t="n">
        <v>2.8</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7322-2026</t>
        </is>
      </c>
      <c r="B8815" t="inlineStr">
        <is>
          <t>avverkningsanmälan</t>
        </is>
      </c>
      <c r="C8815" t="inlineStr">
        <is>
          <t>Föryngringsavverkning</t>
        </is>
      </c>
      <c r="D8815" s="1" t="n">
        <v>46058</v>
      </c>
      <c r="E8815" s="1" t="n">
        <v>46307</v>
      </c>
      <c r="F8815" t="inlineStr">
        <is>
          <t>VÄRMLANDS LÄN</t>
        </is>
      </c>
      <c r="G8815" t="inlineStr">
        <is>
          <t>TORSBY</t>
        </is>
      </c>
      <c r="I8815" t="n">
        <v>1.3</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7028-2026</t>
        </is>
      </c>
      <c r="B8816" t="inlineStr">
        <is>
          <t>avverkningsanmälan</t>
        </is>
      </c>
      <c r="C8816" t="inlineStr">
        <is>
          <t>Föryngringsavverkning</t>
        </is>
      </c>
      <c r="D8816" s="1" t="n">
        <v>46057</v>
      </c>
      <c r="E8816" s="1" t="n">
        <v>46307</v>
      </c>
      <c r="F8816" t="inlineStr">
        <is>
          <t>VÄRMLANDS LÄN</t>
        </is>
      </c>
      <c r="G8816" t="inlineStr">
        <is>
          <t>STORFORS</t>
        </is>
      </c>
      <c r="I8816" t="n">
        <v>1.4</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7311-2026</t>
        </is>
      </c>
      <c r="B8817" t="inlineStr">
        <is>
          <t>avverkningsanmälan</t>
        </is>
      </c>
      <c r="C8817" t="inlineStr">
        <is>
          <t>Avverkning för annat ändamål</t>
        </is>
      </c>
      <c r="D8817" s="1" t="n">
        <v>46058</v>
      </c>
      <c r="E8817" s="1" t="n">
        <v>46307</v>
      </c>
      <c r="F8817" t="inlineStr">
        <is>
          <t>VÄRMLANDS LÄN</t>
        </is>
      </c>
      <c r="G8817" t="inlineStr">
        <is>
          <t>TORSBY</t>
        </is>
      </c>
      <c r="I8817" t="n">
        <v>1.1</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7160-2026</t>
        </is>
      </c>
      <c r="B8818" t="inlineStr">
        <is>
          <t>avverkningsanmälan</t>
        </is>
      </c>
      <c r="C8818" t="inlineStr">
        <is>
          <t>Föryngringsavverkning</t>
        </is>
      </c>
      <c r="D8818" s="1" t="n">
        <v>46058</v>
      </c>
      <c r="E8818" s="1" t="n">
        <v>46307</v>
      </c>
      <c r="F8818" t="inlineStr">
        <is>
          <t>VÄRMLANDS LÄN</t>
        </is>
      </c>
      <c r="G8818" t="inlineStr">
        <is>
          <t>ÅRJÄNG</t>
        </is>
      </c>
      <c r="I8818" t="n">
        <v>4.8</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7190-2026</t>
        </is>
      </c>
      <c r="B8819" t="inlineStr">
        <is>
          <t>avverkningsanmälan</t>
        </is>
      </c>
      <c r="C8819" t="inlineStr">
        <is>
          <t>Föryngringsavverkning</t>
        </is>
      </c>
      <c r="D8819" s="1" t="n">
        <v>46058</v>
      </c>
      <c r="E8819" s="1" t="n">
        <v>46307</v>
      </c>
      <c r="F8819" t="inlineStr">
        <is>
          <t>VÄRMLANDS LÄN</t>
        </is>
      </c>
      <c r="G8819" t="inlineStr">
        <is>
          <t>TORSBY</t>
        </is>
      </c>
      <c r="H8819" t="inlineStr">
        <is>
          <t>Bergvik skog väst AB</t>
        </is>
      </c>
      <c r="I8819" t="n">
        <v>18.2</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7191-2026</t>
        </is>
      </c>
      <c r="B8820" t="inlineStr">
        <is>
          <t>avverkningsanmälan</t>
        </is>
      </c>
      <c r="C8820" t="inlineStr">
        <is>
          <t>Föryngringsavverkning</t>
        </is>
      </c>
      <c r="D8820" s="1" t="n">
        <v>46058</v>
      </c>
      <c r="E8820" s="1" t="n">
        <v>46307</v>
      </c>
      <c r="F8820" t="inlineStr">
        <is>
          <t>VÄRMLANDS LÄN</t>
        </is>
      </c>
      <c r="G8820" t="inlineStr">
        <is>
          <t>SÄFFLE</t>
        </is>
      </c>
      <c r="I8820" t="n">
        <v>7.5</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7438-2026</t>
        </is>
      </c>
      <c r="B8821" t="inlineStr">
        <is>
          <t>avverkningsanmälan</t>
        </is>
      </c>
      <c r="C8821" t="inlineStr">
        <is>
          <t>Föryngringsavverkning</t>
        </is>
      </c>
      <c r="D8821" s="1" t="n">
        <v>46058</v>
      </c>
      <c r="E8821" s="1" t="n">
        <v>46307</v>
      </c>
      <c r="F8821" t="inlineStr">
        <is>
          <t>VÄRMLANDS LÄN</t>
        </is>
      </c>
      <c r="G8821" t="inlineStr">
        <is>
          <t>ARVIKA</t>
        </is>
      </c>
      <c r="I8821" t="n">
        <v>2.3</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6981-2026</t>
        </is>
      </c>
      <c r="B8822" t="inlineStr">
        <is>
          <t>avverkningsanmälan</t>
        </is>
      </c>
      <c r="C8822" t="inlineStr">
        <is>
          <t>Föryngringsavverkning</t>
        </is>
      </c>
      <c r="D8822" s="1" t="n">
        <v>46057</v>
      </c>
      <c r="E8822" s="1" t="n">
        <v>46307</v>
      </c>
      <c r="F8822" t="inlineStr">
        <is>
          <t>VÄRMLANDS LÄN</t>
        </is>
      </c>
      <c r="G8822" t="inlineStr">
        <is>
          <t>ARVIKA</t>
        </is>
      </c>
      <c r="I8822" t="n">
        <v>2.2</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7000-2026</t>
        </is>
      </c>
      <c r="B8823" t="inlineStr">
        <is>
          <t>avverkningsanmälan</t>
        </is>
      </c>
      <c r="C8823" t="inlineStr">
        <is>
          <t>Föryngringsavverkning</t>
        </is>
      </c>
      <c r="D8823" s="1" t="n">
        <v>46057</v>
      </c>
      <c r="E8823" s="1" t="n">
        <v>46307</v>
      </c>
      <c r="F8823" t="inlineStr">
        <is>
          <t>VÄRMLANDS LÄN</t>
        </is>
      </c>
      <c r="G8823" t="inlineStr">
        <is>
          <t>HAGFORS</t>
        </is>
      </c>
      <c r="I8823" t="n">
        <v>0.7</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20635-2026</t>
        </is>
      </c>
      <c r="B8824" t="inlineStr">
        <is>
          <t>avverkningsanmälan</t>
        </is>
      </c>
      <c r="C8824" t="inlineStr">
        <is>
          <t>Föryngringsavverkning</t>
        </is>
      </c>
      <c r="D8824" s="1" t="n">
        <v>46141</v>
      </c>
      <c r="E8824" s="1" t="n">
        <v>46307</v>
      </c>
      <c r="F8824" t="inlineStr">
        <is>
          <t>VÄRMLANDS LÄN</t>
        </is>
      </c>
      <c r="G8824" t="inlineStr">
        <is>
          <t>TORSBY</t>
        </is>
      </c>
      <c r="H8824" t="inlineStr">
        <is>
          <t>Kyrkan</t>
        </is>
      </c>
      <c r="I8824" t="n">
        <v>1.5</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20716-2026</t>
        </is>
      </c>
      <c r="B8825" t="inlineStr">
        <is>
          <t>avverkningsanmälan</t>
        </is>
      </c>
      <c r="C8825" t="inlineStr">
        <is>
          <t>Föryngringsavverkning</t>
        </is>
      </c>
      <c r="D8825" s="1" t="n">
        <v>46141</v>
      </c>
      <c r="E8825" s="1" t="n">
        <v>46307</v>
      </c>
      <c r="F8825" t="inlineStr">
        <is>
          <t>VÄRMLANDS LÄN</t>
        </is>
      </c>
      <c r="G8825" t="inlineStr">
        <is>
          <t>ARVIKA</t>
        </is>
      </c>
      <c r="H8825" t="inlineStr">
        <is>
          <t>Bergvik skog väst AB</t>
        </is>
      </c>
      <c r="I8825" t="n">
        <v>5.3</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20725-2026</t>
        </is>
      </c>
      <c r="B8826" t="inlineStr">
        <is>
          <t>avverkningsanmälan</t>
        </is>
      </c>
      <c r="C8826" t="inlineStr">
        <is>
          <t>Föryngringsavverkning</t>
        </is>
      </c>
      <c r="D8826" s="1" t="n">
        <v>46141</v>
      </c>
      <c r="E8826" s="1" t="n">
        <v>46307</v>
      </c>
      <c r="F8826" t="inlineStr">
        <is>
          <t>VÄRMLANDS LÄN</t>
        </is>
      </c>
      <c r="G8826" t="inlineStr">
        <is>
          <t>ARVIKA</t>
        </is>
      </c>
      <c r="H8826" t="inlineStr">
        <is>
          <t>Bergvik skog väst AB</t>
        </is>
      </c>
      <c r="I8826" t="n">
        <v>3.9</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20749-2026</t>
        </is>
      </c>
      <c r="B8827" t="inlineStr">
        <is>
          <t>avverkningsanmälan</t>
        </is>
      </c>
      <c r="C8827" t="inlineStr">
        <is>
          <t>Föryngringsavverkning</t>
        </is>
      </c>
      <c r="D8827" s="1" t="n">
        <v>46141</v>
      </c>
      <c r="E8827" s="1" t="n">
        <v>46307</v>
      </c>
      <c r="F8827" t="inlineStr">
        <is>
          <t>VÄRMLANDS LÄN</t>
        </is>
      </c>
      <c r="G8827" t="inlineStr">
        <is>
          <t>STORFORS</t>
        </is>
      </c>
      <c r="H8827" t="inlineStr">
        <is>
          <t>Bergvik skog väst AB</t>
        </is>
      </c>
      <c r="I8827" t="n">
        <v>5</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7400-2026</t>
        </is>
      </c>
      <c r="B8828" t="inlineStr">
        <is>
          <t>avverkningsanmälan</t>
        </is>
      </c>
      <c r="C8828" t="inlineStr">
        <is>
          <t>Föryngringsavverkning</t>
        </is>
      </c>
      <c r="D8828" s="1" t="n">
        <v>46059</v>
      </c>
      <c r="E8828" s="1" t="n">
        <v>46307</v>
      </c>
      <c r="F8828" t="inlineStr">
        <is>
          <t>VÄRMLANDS LÄN</t>
        </is>
      </c>
      <c r="G8828" t="inlineStr">
        <is>
          <t>SUNNE</t>
        </is>
      </c>
      <c r="I8828" t="n">
        <v>1.2</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7460-2026</t>
        </is>
      </c>
      <c r="B8829" t="inlineStr">
        <is>
          <t>avverkningsanmälan</t>
        </is>
      </c>
      <c r="C8829" t="inlineStr">
        <is>
          <t>Föryngringsavverkning</t>
        </is>
      </c>
      <c r="D8829" s="1" t="n">
        <v>46059</v>
      </c>
      <c r="E8829" s="1" t="n">
        <v>46307</v>
      </c>
      <c r="F8829" t="inlineStr">
        <is>
          <t>VÄRMLANDS LÄN</t>
        </is>
      </c>
      <c r="G8829" t="inlineStr">
        <is>
          <t>EDA</t>
        </is>
      </c>
      <c r="I8829" t="n">
        <v>2.2</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46166-2024</t>
        </is>
      </c>
      <c r="B8830" t="inlineStr">
        <is>
          <t>avverkningsanmälan</t>
        </is>
      </c>
      <c r="C8830" t="inlineStr">
        <is>
          <t>Avverkning för annat ändamål</t>
        </is>
      </c>
      <c r="D8830" s="1" t="n">
        <v>45581</v>
      </c>
      <c r="E8830" s="1" t="n">
        <v>46307</v>
      </c>
      <c r="F8830" t="inlineStr">
        <is>
          <t>VÄRMLANDS LÄN</t>
        </is>
      </c>
      <c r="G8830" t="inlineStr">
        <is>
          <t>TORSBY</t>
        </is>
      </c>
      <c r="I8830" t="n">
        <v>9.699999999999999</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3606-2026</t>
        </is>
      </c>
      <c r="B8831" t="inlineStr">
        <is>
          <t>avverkningsanmälan</t>
        </is>
      </c>
      <c r="C8831" t="inlineStr">
        <is>
          <t>Föryngringsavverkning</t>
        </is>
      </c>
      <c r="D8831" s="1" t="n">
        <v>46042</v>
      </c>
      <c r="E8831" s="1" t="n">
        <v>46307</v>
      </c>
      <c r="F8831" t="inlineStr">
        <is>
          <t>VÄRMLANDS LÄN</t>
        </is>
      </c>
      <c r="G8831" t="inlineStr">
        <is>
          <t>TORSBY</t>
        </is>
      </c>
      <c r="I8831" t="n">
        <v>2.7</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61053-2025</t>
        </is>
      </c>
      <c r="B8832" t="inlineStr">
        <is>
          <t>avverkningsanmälan</t>
        </is>
      </c>
      <c r="C8832" t="inlineStr">
        <is>
          <t>Föryngringsavverkning</t>
        </is>
      </c>
      <c r="D8832" s="1" t="n">
        <v>46000</v>
      </c>
      <c r="E8832" s="1" t="n">
        <v>46307</v>
      </c>
      <c r="F8832" t="inlineStr">
        <is>
          <t>VÄRMLANDS LÄN</t>
        </is>
      </c>
      <c r="G8832" t="inlineStr">
        <is>
          <t>ÅRJÄNG</t>
        </is>
      </c>
      <c r="I8832" t="n">
        <v>4.4</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7377-2026</t>
        </is>
      </c>
      <c r="B8833" t="inlineStr">
        <is>
          <t>avverkningsanmälan</t>
        </is>
      </c>
      <c r="C8833" t="inlineStr">
        <is>
          <t>Föryngringsavverkning</t>
        </is>
      </c>
      <c r="D8833" s="1" t="n">
        <v>46059</v>
      </c>
      <c r="E8833" s="1" t="n">
        <v>46307</v>
      </c>
      <c r="F8833" t="inlineStr">
        <is>
          <t>VÄRMLANDS LÄN</t>
        </is>
      </c>
      <c r="G8833" t="inlineStr">
        <is>
          <t>SUNNE</t>
        </is>
      </c>
      <c r="I8833" t="n">
        <v>2.7</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11696-2026</t>
        </is>
      </c>
      <c r="B8834" t="inlineStr">
        <is>
          <t>avverkningsanmälan</t>
        </is>
      </c>
      <c r="C8834" t="inlineStr">
        <is>
          <t>Föryngringsavverkning</t>
        </is>
      </c>
      <c r="D8834" s="1" t="n">
        <v>46084</v>
      </c>
      <c r="E8834" s="1" t="n">
        <v>46307</v>
      </c>
      <c r="F8834" t="inlineStr">
        <is>
          <t>VÄRMLANDS LÄN</t>
        </is>
      </c>
      <c r="G8834" t="inlineStr">
        <is>
          <t>ARVIKA</t>
        </is>
      </c>
      <c r="I8834" t="n">
        <v>1.1</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7427-2026</t>
        </is>
      </c>
      <c r="B8835" t="inlineStr">
        <is>
          <t>avverkningsanmälan</t>
        </is>
      </c>
      <c r="C8835" t="inlineStr">
        <is>
          <t>Föryngringsavverkning</t>
        </is>
      </c>
      <c r="D8835" s="1" t="n">
        <v>46059</v>
      </c>
      <c r="E8835" s="1" t="n">
        <v>46307</v>
      </c>
      <c r="F8835" t="inlineStr">
        <is>
          <t>VÄRMLANDS LÄN</t>
        </is>
      </c>
      <c r="G8835" t="inlineStr">
        <is>
          <t>STORFORS</t>
        </is>
      </c>
      <c r="I8835" t="n">
        <v>1.1</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24139-2024</t>
        </is>
      </c>
      <c r="B8836" t="inlineStr">
        <is>
          <t>avverkningsanmälan</t>
        </is>
      </c>
      <c r="C8836" t="inlineStr">
        <is>
          <t>Föryngringsavverkning</t>
        </is>
      </c>
      <c r="D8836" s="1" t="n">
        <v>45456</v>
      </c>
      <c r="E8836" s="1" t="n">
        <v>46307</v>
      </c>
      <c r="F8836" t="inlineStr">
        <is>
          <t>VÄRMLANDS LÄN</t>
        </is>
      </c>
      <c r="G8836" t="inlineStr">
        <is>
          <t>FILIPSTAD</t>
        </is>
      </c>
      <c r="H8836" t="inlineStr">
        <is>
          <t>Bergvik skog väst AB</t>
        </is>
      </c>
      <c r="I8836" t="n">
        <v>2.4</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7430-2026</t>
        </is>
      </c>
      <c r="B8837" t="inlineStr">
        <is>
          <t>avverkningsanmälan</t>
        </is>
      </c>
      <c r="C8837" t="inlineStr">
        <is>
          <t>Föryngringsavverkning</t>
        </is>
      </c>
      <c r="D8837" s="1" t="n">
        <v>46059</v>
      </c>
      <c r="E8837" s="1" t="n">
        <v>46307</v>
      </c>
      <c r="F8837" t="inlineStr">
        <is>
          <t>VÄRMLANDS LÄN</t>
        </is>
      </c>
      <c r="G8837" t="inlineStr">
        <is>
          <t>FILIPSTAD</t>
        </is>
      </c>
      <c r="H8837" t="inlineStr">
        <is>
          <t>Bergvik skog väst AB</t>
        </is>
      </c>
      <c r="I8837" t="n">
        <v>2.8</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16816-2024</t>
        </is>
      </c>
      <c r="B8838" t="inlineStr">
        <is>
          <t>avverkningsanmälan</t>
        </is>
      </c>
      <c r="C8838" t="inlineStr">
        <is>
          <t>Avverkning för annat ändamål</t>
        </is>
      </c>
      <c r="D8838" s="1" t="n">
        <v>45411</v>
      </c>
      <c r="E8838" s="1" t="n">
        <v>46307</v>
      </c>
      <c r="F8838" t="inlineStr">
        <is>
          <t>VÄRMLANDS LÄN</t>
        </is>
      </c>
      <c r="G8838" t="inlineStr">
        <is>
          <t>SUNNE</t>
        </is>
      </c>
      <c r="I8838" t="n">
        <v>1.7</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3492-2024</t>
        </is>
      </c>
      <c r="B8839" t="inlineStr">
        <is>
          <t>avverkningsanmälan</t>
        </is>
      </c>
      <c r="C8839" t="inlineStr">
        <is>
          <t>Föryngringsavverkning</t>
        </is>
      </c>
      <c r="D8839" s="1" t="n">
        <v>45317</v>
      </c>
      <c r="E8839" s="1" t="n">
        <v>46307</v>
      </c>
      <c r="F8839" t="inlineStr">
        <is>
          <t>VÄRMLANDS LÄN</t>
        </is>
      </c>
      <c r="G8839" t="inlineStr">
        <is>
          <t>ÅRJÄNG</t>
        </is>
      </c>
      <c r="I8839" t="n">
        <v>8.699999999999999</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7444-2026</t>
        </is>
      </c>
      <c r="B8840" t="inlineStr">
        <is>
          <t>avverkningsanmälan</t>
        </is>
      </c>
      <c r="C8840" t="inlineStr">
        <is>
          <t>Föryngringsavverkning</t>
        </is>
      </c>
      <c r="D8840" s="1" t="n">
        <v>46059</v>
      </c>
      <c r="E8840" s="1" t="n">
        <v>46307</v>
      </c>
      <c r="F8840" t="inlineStr">
        <is>
          <t>VÄRMLANDS LÄN</t>
        </is>
      </c>
      <c r="G8840" t="inlineStr">
        <is>
          <t>STORFORS</t>
        </is>
      </c>
      <c r="I8840" t="n">
        <v>1.4</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7447-2026</t>
        </is>
      </c>
      <c r="B8841" t="inlineStr">
        <is>
          <t>avverkningsanmälan</t>
        </is>
      </c>
      <c r="C8841" t="inlineStr">
        <is>
          <t>Föryngringsavverkning</t>
        </is>
      </c>
      <c r="D8841" s="1" t="n">
        <v>46059</v>
      </c>
      <c r="E8841" s="1" t="n">
        <v>46307</v>
      </c>
      <c r="F8841" t="inlineStr">
        <is>
          <t>VÄRMLANDS LÄN</t>
        </is>
      </c>
      <c r="G8841" t="inlineStr">
        <is>
          <t>STORFORS</t>
        </is>
      </c>
      <c r="I8841" t="n">
        <v>0.5</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7455-2026</t>
        </is>
      </c>
      <c r="B8842" t="inlineStr">
        <is>
          <t>avverkningsanmälan</t>
        </is>
      </c>
      <c r="C8842" t="inlineStr">
        <is>
          <t>Föryngringsavverkning</t>
        </is>
      </c>
      <c r="D8842" s="1" t="n">
        <v>46059</v>
      </c>
      <c r="E8842" s="1" t="n">
        <v>46307</v>
      </c>
      <c r="F8842" t="inlineStr">
        <is>
          <t>VÄRMLANDS LÄN</t>
        </is>
      </c>
      <c r="G8842" t="inlineStr">
        <is>
          <t>EDA</t>
        </is>
      </c>
      <c r="I8842" t="n">
        <v>1</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7803-2026</t>
        </is>
      </c>
      <c r="B8843" t="inlineStr">
        <is>
          <t>avverkningsanmälan</t>
        </is>
      </c>
      <c r="C8843" t="inlineStr">
        <is>
          <t>Föryngringsavverkning</t>
        </is>
      </c>
      <c r="D8843" s="1" t="n">
        <v>46059</v>
      </c>
      <c r="E8843" s="1" t="n">
        <v>46307</v>
      </c>
      <c r="F8843" t="inlineStr">
        <is>
          <t>VÄRMLANDS LÄN</t>
        </is>
      </c>
      <c r="G8843" t="inlineStr">
        <is>
          <t>ÅRJÄNG</t>
        </is>
      </c>
      <c r="I8843" t="n">
        <v>5.6</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38866-2025</t>
        </is>
      </c>
      <c r="B8844" t="inlineStr">
        <is>
          <t>avverkningsanmälan</t>
        </is>
      </c>
      <c r="C8844" t="inlineStr">
        <is>
          <t>Föryngringsavverkning</t>
        </is>
      </c>
      <c r="D8844" s="1" t="n">
        <v>45887</v>
      </c>
      <c r="E8844" s="1" t="n">
        <v>46307</v>
      </c>
      <c r="F8844" t="inlineStr">
        <is>
          <t>VÄRMLANDS LÄN</t>
        </is>
      </c>
      <c r="G8844" t="inlineStr">
        <is>
          <t>SUNNE</t>
        </is>
      </c>
      <c r="I8844" t="n">
        <v>2.6</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35334-2025</t>
        </is>
      </c>
      <c r="B8845" t="inlineStr">
        <is>
          <t>avverkningsanmälan</t>
        </is>
      </c>
      <c r="C8845" t="inlineStr">
        <is>
          <t>Föryngringsavverkning</t>
        </is>
      </c>
      <c r="D8845" s="1" t="n">
        <v>45854</v>
      </c>
      <c r="E8845" s="1" t="n">
        <v>46307</v>
      </c>
      <c r="F8845" t="inlineStr">
        <is>
          <t>VÄRMLANDS LÄN</t>
        </is>
      </c>
      <c r="G8845" t="inlineStr">
        <is>
          <t>TORSBY</t>
        </is>
      </c>
      <c r="H8845" t="inlineStr">
        <is>
          <t>Bergvik skog väst AB</t>
        </is>
      </c>
      <c r="I8845" t="n">
        <v>1.4</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57364-2025</t>
        </is>
      </c>
      <c r="B8846" t="inlineStr">
        <is>
          <t>avverkningsanmälan</t>
        </is>
      </c>
      <c r="C8846" t="inlineStr">
        <is>
          <t>Föryngringsavverkning</t>
        </is>
      </c>
      <c r="D8846" s="1" t="n">
        <v>45980</v>
      </c>
      <c r="E8846" s="1" t="n">
        <v>46307</v>
      </c>
      <c r="F8846" t="inlineStr">
        <is>
          <t>VÄRMLANDS LÄN</t>
        </is>
      </c>
      <c r="G8846" t="inlineStr">
        <is>
          <t>TORSBY</t>
        </is>
      </c>
      <c r="I8846" t="n">
        <v>1.8</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3927-2026</t>
        </is>
      </c>
      <c r="B8847" t="inlineStr">
        <is>
          <t>avverkningsanmälan</t>
        </is>
      </c>
      <c r="C8847" t="inlineStr">
        <is>
          <t>Föryngringsavverkning</t>
        </is>
      </c>
      <c r="D8847" s="1" t="n">
        <v>46043</v>
      </c>
      <c r="E8847" s="1" t="n">
        <v>46307</v>
      </c>
      <c r="F8847" t="inlineStr">
        <is>
          <t>VÄRMLANDS LÄN</t>
        </is>
      </c>
      <c r="G8847" t="inlineStr">
        <is>
          <t>ARVIKA</t>
        </is>
      </c>
      <c r="I8847" t="n">
        <v>1</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16067-2026</t>
        </is>
      </c>
      <c r="B8848" t="inlineStr">
        <is>
          <t>avverkningsanmälan</t>
        </is>
      </c>
      <c r="C8848" t="inlineStr">
        <is>
          <t>Föryngringsavverkning</t>
        </is>
      </c>
      <c r="D8848" s="1" t="n">
        <v>46108</v>
      </c>
      <c r="E8848" s="1" t="n">
        <v>46307</v>
      </c>
      <c r="F8848" t="inlineStr">
        <is>
          <t>VÄRMLANDS LÄN</t>
        </is>
      </c>
      <c r="G8848" t="inlineStr">
        <is>
          <t>FILIPSTAD</t>
        </is>
      </c>
      <c r="I8848" t="n">
        <v>1.2</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7730-2026</t>
        </is>
      </c>
      <c r="B8849" t="inlineStr">
        <is>
          <t>avverkningsanmälan</t>
        </is>
      </c>
      <c r="C8849" t="inlineStr">
        <is>
          <t>Föryngringsavverkning</t>
        </is>
      </c>
      <c r="D8849" s="1" t="n">
        <v>46062</v>
      </c>
      <c r="E8849" s="1" t="n">
        <v>46307</v>
      </c>
      <c r="F8849" t="inlineStr">
        <is>
          <t>VÄRMLANDS LÄN</t>
        </is>
      </c>
      <c r="G8849" t="inlineStr">
        <is>
          <t>SUNNE</t>
        </is>
      </c>
      <c r="I8849" t="n">
        <v>3.6</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59100-2024</t>
        </is>
      </c>
      <c r="B8850" t="inlineStr">
        <is>
          <t>avverkningsanmälan</t>
        </is>
      </c>
      <c r="C8850" t="inlineStr">
        <is>
          <t>Avverkning för annat ändamål</t>
        </is>
      </c>
      <c r="D8850" s="1" t="n">
        <v>45637</v>
      </c>
      <c r="E8850" s="1" t="n">
        <v>46307</v>
      </c>
      <c r="F8850" t="inlineStr">
        <is>
          <t>VÄRMLANDS LÄN</t>
        </is>
      </c>
      <c r="G8850" t="inlineStr">
        <is>
          <t>ARVIKA</t>
        </is>
      </c>
      <c r="I8850" t="n">
        <v>1.2</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7518-2026</t>
        </is>
      </c>
      <c r="B8851" t="inlineStr">
        <is>
          <t>avverkningsanmälan</t>
        </is>
      </c>
      <c r="C8851" t="inlineStr">
        <is>
          <t>Föryngringsavverkning</t>
        </is>
      </c>
      <c r="D8851" s="1" t="n">
        <v>46059</v>
      </c>
      <c r="E8851" s="1" t="n">
        <v>46307</v>
      </c>
      <c r="F8851" t="inlineStr">
        <is>
          <t>VÄRMLANDS LÄN</t>
        </is>
      </c>
      <c r="G8851" t="inlineStr">
        <is>
          <t>ÅRJÄNG</t>
        </is>
      </c>
      <c r="I8851" t="n">
        <v>1.5</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20855-2026</t>
        </is>
      </c>
      <c r="B8852" t="inlineStr">
        <is>
          <t>avverkningsanmälan</t>
        </is>
      </c>
      <c r="C8852" t="inlineStr">
        <is>
          <t>Föryngringsavverkning</t>
        </is>
      </c>
      <c r="D8852" s="1" t="n">
        <v>46142</v>
      </c>
      <c r="E8852" s="1" t="n">
        <v>46307</v>
      </c>
      <c r="F8852" t="inlineStr">
        <is>
          <t>VÄRMLANDS LÄN</t>
        </is>
      </c>
      <c r="G8852" t="inlineStr">
        <is>
          <t>KARLSTAD</t>
        </is>
      </c>
      <c r="I8852" t="n">
        <v>2.1</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19497-2023</t>
        </is>
      </c>
      <c r="B8853" t="inlineStr">
        <is>
          <t>avverkningsanmälan</t>
        </is>
      </c>
      <c r="C8853" t="inlineStr">
        <is>
          <t>Föryngringsavverkning</t>
        </is>
      </c>
      <c r="D8853" s="1" t="n">
        <v>45050</v>
      </c>
      <c r="E8853" s="1" t="n">
        <v>46307</v>
      </c>
      <c r="F8853" t="inlineStr">
        <is>
          <t>VÄRMLANDS LÄN</t>
        </is>
      </c>
      <c r="G8853" t="inlineStr">
        <is>
          <t>SUNNE</t>
        </is>
      </c>
      <c r="I8853" t="n">
        <v>1</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49255-2024</t>
        </is>
      </c>
      <c r="B8854" t="inlineStr">
        <is>
          <t>avverkningsanmälan</t>
        </is>
      </c>
      <c r="C8854" t="inlineStr">
        <is>
          <t>Föryngringsavverkning</t>
        </is>
      </c>
      <c r="D8854" s="1" t="n">
        <v>45595</v>
      </c>
      <c r="E8854" s="1" t="n">
        <v>46307</v>
      </c>
      <c r="F8854" t="inlineStr">
        <is>
          <t>VÄRMLANDS LÄN</t>
        </is>
      </c>
      <c r="G8854" t="inlineStr">
        <is>
          <t>SÄFFLE</t>
        </is>
      </c>
      <c r="I8854" t="n">
        <v>1.4</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310-2025</t>
        </is>
      </c>
      <c r="B8855" t="inlineStr">
        <is>
          <t>avverkningsanmälan</t>
        </is>
      </c>
      <c r="C8855" t="inlineStr">
        <is>
          <t>Föryngringsavverkning</t>
        </is>
      </c>
      <c r="D8855" s="1" t="n">
        <v>45660</v>
      </c>
      <c r="E8855" s="1" t="n">
        <v>46307</v>
      </c>
      <c r="F8855" t="inlineStr">
        <is>
          <t>VÄRMLANDS LÄN</t>
        </is>
      </c>
      <c r="G8855" t="inlineStr">
        <is>
          <t>ARVIKA</t>
        </is>
      </c>
      <c r="I8855" t="n">
        <v>1.9</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20911-2026</t>
        </is>
      </c>
      <c r="B8856" t="inlineStr">
        <is>
          <t>avverkningsanmälan</t>
        </is>
      </c>
      <c r="C8856" t="inlineStr">
        <is>
          <t>Föryngringsavverkning</t>
        </is>
      </c>
      <c r="D8856" s="1" t="n">
        <v>46142</v>
      </c>
      <c r="E8856" s="1" t="n">
        <v>46307</v>
      </c>
      <c r="F8856" t="inlineStr">
        <is>
          <t>VÄRMLANDS LÄN</t>
        </is>
      </c>
      <c r="G8856" t="inlineStr">
        <is>
          <t>HAGFORS</t>
        </is>
      </c>
      <c r="H8856" t="inlineStr">
        <is>
          <t>Bergvik skog väst AB</t>
        </is>
      </c>
      <c r="I8856" t="n">
        <v>2.6</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69275-2021</t>
        </is>
      </c>
      <c r="B8857" t="inlineStr">
        <is>
          <t>avverkningsanmälan</t>
        </is>
      </c>
      <c r="C8857" t="inlineStr">
        <is>
          <t>Föryngringsavverkning</t>
        </is>
      </c>
      <c r="D8857" s="1" t="n">
        <v>44526</v>
      </c>
      <c r="E8857" s="1" t="n">
        <v>46307</v>
      </c>
      <c r="F8857" t="inlineStr">
        <is>
          <t>VÄRMLANDS LÄN</t>
        </is>
      </c>
      <c r="G8857" t="inlineStr">
        <is>
          <t>TORSBY</t>
        </is>
      </c>
      <c r="I8857" t="n">
        <v>2</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20870-2026</t>
        </is>
      </c>
      <c r="B8858" t="inlineStr">
        <is>
          <t>avverkningsanmälan</t>
        </is>
      </c>
      <c r="C8858" t="inlineStr">
        <is>
          <t>Föryngringsavverkning</t>
        </is>
      </c>
      <c r="D8858" s="1" t="n">
        <v>46142</v>
      </c>
      <c r="E8858" s="1" t="n">
        <v>46307</v>
      </c>
      <c r="F8858" t="inlineStr">
        <is>
          <t>VÄRMLANDS LÄN</t>
        </is>
      </c>
      <c r="G8858" t="inlineStr">
        <is>
          <t>HAGFORS</t>
        </is>
      </c>
      <c r="I8858" t="n">
        <v>2.4</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60207-2023</t>
        </is>
      </c>
      <c r="B8859" t="inlineStr">
        <is>
          <t>avverkningsanmälan</t>
        </is>
      </c>
      <c r="C8859" t="inlineStr">
        <is>
          <t>Föryngringsavverkning</t>
        </is>
      </c>
      <c r="D8859" s="1" t="n">
        <v>45257</v>
      </c>
      <c r="E8859" s="1" t="n">
        <v>46307</v>
      </c>
      <c r="F8859" t="inlineStr">
        <is>
          <t>VÄRMLANDS LÄN</t>
        </is>
      </c>
      <c r="G8859" t="inlineStr">
        <is>
          <t>ÅRJÄNG</t>
        </is>
      </c>
      <c r="I8859" t="n">
        <v>1.5</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33772-2025</t>
        </is>
      </c>
      <c r="B8860" t="inlineStr">
        <is>
          <t>avverkningsanmälan</t>
        </is>
      </c>
      <c r="C8860" t="inlineStr">
        <is>
          <t>Föryngringsavverkning</t>
        </is>
      </c>
      <c r="D8860" s="1" t="n">
        <v>45842</v>
      </c>
      <c r="E8860" s="1" t="n">
        <v>46307</v>
      </c>
      <c r="F8860" t="inlineStr">
        <is>
          <t>VÄRMLANDS LÄN</t>
        </is>
      </c>
      <c r="G8860" t="inlineStr">
        <is>
          <t>SUNNE</t>
        </is>
      </c>
      <c r="I8860" t="n">
        <v>1.1</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60998-2024</t>
        </is>
      </c>
      <c r="B8861" t="inlineStr">
        <is>
          <t>avverkningsanmälan</t>
        </is>
      </c>
      <c r="C8861" t="inlineStr">
        <is>
          <t>Föryngringsavverkning</t>
        </is>
      </c>
      <c r="D8861" s="1" t="n">
        <v>45645</v>
      </c>
      <c r="E8861" s="1" t="n">
        <v>46307</v>
      </c>
      <c r="F8861" t="inlineStr">
        <is>
          <t>VÄRMLANDS LÄN</t>
        </is>
      </c>
      <c r="G8861" t="inlineStr">
        <is>
          <t>ARVIKA</t>
        </is>
      </c>
      <c r="I8861" t="n">
        <v>2.8</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26947-2025</t>
        </is>
      </c>
      <c r="B8862" t="inlineStr">
        <is>
          <t>avverkningsanmälan</t>
        </is>
      </c>
      <c r="C8862" t="inlineStr">
        <is>
          <t>Föryngringsavverkning</t>
        </is>
      </c>
      <c r="D8862" s="1" t="n">
        <v>45811</v>
      </c>
      <c r="E8862" s="1" t="n">
        <v>46307</v>
      </c>
      <c r="F8862" t="inlineStr">
        <is>
          <t>VÄRMLANDS LÄN</t>
        </is>
      </c>
      <c r="G8862" t="inlineStr">
        <is>
          <t>EDA</t>
        </is>
      </c>
      <c r="I8862" t="n">
        <v>1.7</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7815-2026</t>
        </is>
      </c>
      <c r="B8863" t="inlineStr">
        <is>
          <t>avverkningsanmälan</t>
        </is>
      </c>
      <c r="C8863" t="inlineStr">
        <is>
          <t>Föryngringsavverkning</t>
        </is>
      </c>
      <c r="D8863" s="1" t="n">
        <v>46062</v>
      </c>
      <c r="E8863" s="1" t="n">
        <v>46307</v>
      </c>
      <c r="F8863" t="inlineStr">
        <is>
          <t>VÄRMLANDS LÄN</t>
        </is>
      </c>
      <c r="G8863" t="inlineStr">
        <is>
          <t>EDA</t>
        </is>
      </c>
      <c r="I8863" t="n">
        <v>1</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30218-2025</t>
        </is>
      </c>
      <c r="B8864" t="inlineStr">
        <is>
          <t>avverkningsanmälan</t>
        </is>
      </c>
      <c r="C8864" t="inlineStr">
        <is>
          <t>Föryngringsavverkning</t>
        </is>
      </c>
      <c r="D8864" s="1" t="n">
        <v>45827</v>
      </c>
      <c r="E8864" s="1" t="n">
        <v>46307</v>
      </c>
      <c r="F8864" t="inlineStr">
        <is>
          <t>VÄRMLANDS LÄN</t>
        </is>
      </c>
      <c r="G8864" t="inlineStr">
        <is>
          <t>KRISTINEHAMN</t>
        </is>
      </c>
      <c r="I8864" t="n">
        <v>1.8</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20686-2026</t>
        </is>
      </c>
      <c r="B8865" t="inlineStr">
        <is>
          <t>avverkningsanmälan</t>
        </is>
      </c>
      <c r="C8865" t="inlineStr">
        <is>
          <t>Föryngringsavverkning</t>
        </is>
      </c>
      <c r="D8865" s="1" t="n">
        <v>46141</v>
      </c>
      <c r="E8865" s="1" t="n">
        <v>46307</v>
      </c>
      <c r="F8865" t="inlineStr">
        <is>
          <t>VÄRMLANDS LÄN</t>
        </is>
      </c>
      <c r="G8865" t="inlineStr">
        <is>
          <t>KRISTINEHAMN</t>
        </is>
      </c>
      <c r="H8865" t="inlineStr">
        <is>
          <t>Naturvårdsverket</t>
        </is>
      </c>
      <c r="I8865" t="n">
        <v>1.2</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20706-2026</t>
        </is>
      </c>
      <c r="B8866" t="inlineStr">
        <is>
          <t>avverkningsanmälan</t>
        </is>
      </c>
      <c r="C8866" t="inlineStr">
        <is>
          <t>Föryngringsavverkning</t>
        </is>
      </c>
      <c r="D8866" s="1" t="n">
        <v>46141</v>
      </c>
      <c r="E8866" s="1" t="n">
        <v>46307</v>
      </c>
      <c r="F8866" t="inlineStr">
        <is>
          <t>VÄRMLANDS LÄN</t>
        </is>
      </c>
      <c r="G8866" t="inlineStr">
        <is>
          <t>HAGFORS</t>
        </is>
      </c>
      <c r="H8866" t="inlineStr">
        <is>
          <t>Bergvik skog väst AB</t>
        </is>
      </c>
      <c r="I8866" t="n">
        <v>4.6</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7813-2026</t>
        </is>
      </c>
      <c r="B8867" t="inlineStr">
        <is>
          <t>avverkningsanmälan</t>
        </is>
      </c>
      <c r="C8867" t="inlineStr">
        <is>
          <t>Föryngringsavverkning</t>
        </is>
      </c>
      <c r="D8867" s="1" t="n">
        <v>46062</v>
      </c>
      <c r="E8867" s="1" t="n">
        <v>46307</v>
      </c>
      <c r="F8867" t="inlineStr">
        <is>
          <t>VÄRMLANDS LÄN</t>
        </is>
      </c>
      <c r="G8867" t="inlineStr">
        <is>
          <t>ARVIKA</t>
        </is>
      </c>
      <c r="H8867" t="inlineStr">
        <is>
          <t>Bergvik skog väst AB</t>
        </is>
      </c>
      <c r="I8867" t="n">
        <v>3.4</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7517-2026</t>
        </is>
      </c>
      <c r="B8868" t="inlineStr">
        <is>
          <t>avverkningsanmälan</t>
        </is>
      </c>
      <c r="C8868" t="inlineStr">
        <is>
          <t>Föryngringsavverkning</t>
        </is>
      </c>
      <c r="D8868" s="1" t="n">
        <v>46059</v>
      </c>
      <c r="E8868" s="1" t="n">
        <v>46307</v>
      </c>
      <c r="F8868" t="inlineStr">
        <is>
          <t>VÄRMLANDS LÄN</t>
        </is>
      </c>
      <c r="G8868" t="inlineStr">
        <is>
          <t>SÄFFLE</t>
        </is>
      </c>
      <c r="I8868" t="n">
        <v>6.4</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21012-2026</t>
        </is>
      </c>
      <c r="B8869" t="inlineStr">
        <is>
          <t>avverkningsanmälan</t>
        </is>
      </c>
      <c r="C8869" t="inlineStr">
        <is>
          <t>Föryngringsavverkning</t>
        </is>
      </c>
      <c r="D8869" s="1" t="n">
        <v>46142</v>
      </c>
      <c r="E8869" s="1" t="n">
        <v>46307</v>
      </c>
      <c r="F8869" t="inlineStr">
        <is>
          <t>VÄRMLANDS LÄN</t>
        </is>
      </c>
      <c r="G8869" t="inlineStr">
        <is>
          <t>SÄFFLE</t>
        </is>
      </c>
      <c r="I8869" t="n">
        <v>3.6</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7623-2026</t>
        </is>
      </c>
      <c r="B8870" t="inlineStr">
        <is>
          <t>avverkningsanmälan</t>
        </is>
      </c>
      <c r="C8870" t="inlineStr">
        <is>
          <t>Föryngringsavverkning</t>
        </is>
      </c>
      <c r="D8870" s="1" t="n">
        <v>46062</v>
      </c>
      <c r="E8870" s="1" t="n">
        <v>46307</v>
      </c>
      <c r="F8870" t="inlineStr">
        <is>
          <t>VÄRMLANDS LÄN</t>
        </is>
      </c>
      <c r="G8870" t="inlineStr">
        <is>
          <t>TORSBY</t>
        </is>
      </c>
      <c r="I8870" t="n">
        <v>3.1</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7636-2026</t>
        </is>
      </c>
      <c r="B8871" t="inlineStr">
        <is>
          <t>avverkningsanmälan</t>
        </is>
      </c>
      <c r="C8871" t="inlineStr">
        <is>
          <t>Föryngringsavverkning</t>
        </is>
      </c>
      <c r="D8871" s="1" t="n">
        <v>46062</v>
      </c>
      <c r="E8871" s="1" t="n">
        <v>46307</v>
      </c>
      <c r="F8871" t="inlineStr">
        <is>
          <t>VÄRMLANDS LÄN</t>
        </is>
      </c>
      <c r="G8871" t="inlineStr">
        <is>
          <t>EDA</t>
        </is>
      </c>
      <c r="I8871" t="n">
        <v>2.1</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7657-2026</t>
        </is>
      </c>
      <c r="B8872" t="inlineStr">
        <is>
          <t>avverkningsanmälan</t>
        </is>
      </c>
      <c r="C8872" t="inlineStr">
        <is>
          <t>Föryngringsavverkning</t>
        </is>
      </c>
      <c r="D8872" s="1" t="n">
        <v>46062</v>
      </c>
      <c r="E8872" s="1" t="n">
        <v>46307</v>
      </c>
      <c r="F8872" t="inlineStr">
        <is>
          <t>VÄRMLANDS LÄN</t>
        </is>
      </c>
      <c r="G8872" t="inlineStr">
        <is>
          <t>SUNNE</t>
        </is>
      </c>
      <c r="I8872" t="n">
        <v>3.7</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21081-2026</t>
        </is>
      </c>
      <c r="B8873" t="inlineStr">
        <is>
          <t>avverkningsanmälan</t>
        </is>
      </c>
      <c r="C8873" t="inlineStr">
        <is>
          <t>Föryngringsavverkning</t>
        </is>
      </c>
      <c r="D8873" s="1" t="n">
        <v>46146</v>
      </c>
      <c r="E8873" s="1" t="n">
        <v>46307</v>
      </c>
      <c r="F8873" t="inlineStr">
        <is>
          <t>VÄRMLANDS LÄN</t>
        </is>
      </c>
      <c r="G8873" t="inlineStr">
        <is>
          <t>FORSHAGA</t>
        </is>
      </c>
      <c r="H8873" t="inlineStr">
        <is>
          <t>Bergvik skog väst AB</t>
        </is>
      </c>
      <c r="I8873" t="n">
        <v>14.8</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7766-2026</t>
        </is>
      </c>
      <c r="B8874" t="inlineStr">
        <is>
          <t>avverkningsanmälan</t>
        </is>
      </c>
      <c r="C8874" t="inlineStr">
        <is>
          <t>Föryngringsavverkning</t>
        </is>
      </c>
      <c r="D8874" s="1" t="n">
        <v>46059</v>
      </c>
      <c r="E8874" s="1" t="n">
        <v>46307</v>
      </c>
      <c r="F8874" t="inlineStr">
        <is>
          <t>VÄRMLANDS LÄN</t>
        </is>
      </c>
      <c r="G8874" t="inlineStr">
        <is>
          <t>TORSBY</t>
        </is>
      </c>
      <c r="I8874" t="n">
        <v>6.9</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21137-2026</t>
        </is>
      </c>
      <c r="B8875" t="inlineStr">
        <is>
          <t>avverkningsanmälan</t>
        </is>
      </c>
      <c r="C8875" t="inlineStr">
        <is>
          <t>Föryngringsavverkning</t>
        </is>
      </c>
      <c r="D8875" s="1" t="n">
        <v>46146</v>
      </c>
      <c r="E8875" s="1" t="n">
        <v>46307</v>
      </c>
      <c r="F8875" t="inlineStr">
        <is>
          <t>VÄRMLANDS LÄN</t>
        </is>
      </c>
      <c r="G8875" t="inlineStr">
        <is>
          <t>FORSHAGA</t>
        </is>
      </c>
      <c r="I8875" t="n">
        <v>3.4</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35039-2025</t>
        </is>
      </c>
      <c r="B8876" t="inlineStr">
        <is>
          <t>avverkningsanmälan</t>
        </is>
      </c>
      <c r="C8876" t="inlineStr">
        <is>
          <t>Föryngringsavverkning</t>
        </is>
      </c>
      <c r="D8876" s="1" t="n">
        <v>45852</v>
      </c>
      <c r="E8876" s="1" t="n">
        <v>46307</v>
      </c>
      <c r="F8876" t="inlineStr">
        <is>
          <t>VÄRMLANDS LÄN</t>
        </is>
      </c>
      <c r="G8876" t="inlineStr">
        <is>
          <t>SUNNE</t>
        </is>
      </c>
      <c r="H8876" t="inlineStr">
        <is>
          <t>Bergvik skog väst AB</t>
        </is>
      </c>
      <c r="I8876" t="n">
        <v>3.4</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21114-2026</t>
        </is>
      </c>
      <c r="B8877" t="inlineStr">
        <is>
          <t>avverkningsanmälan</t>
        </is>
      </c>
      <c r="C8877" t="inlineStr">
        <is>
          <t>Föryngringsavverkning</t>
        </is>
      </c>
      <c r="D8877" s="1" t="n">
        <v>46146</v>
      </c>
      <c r="E8877" s="1" t="n">
        <v>46307</v>
      </c>
      <c r="F8877" t="inlineStr">
        <is>
          <t>VÄRMLANDS LÄN</t>
        </is>
      </c>
      <c r="G8877" t="inlineStr">
        <is>
          <t>TORSBY</t>
        </is>
      </c>
      <c r="H8877" t="inlineStr">
        <is>
          <t>Bergvik skog väst AB</t>
        </is>
      </c>
      <c r="I8877" t="n">
        <v>8.1</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5168-2026</t>
        </is>
      </c>
      <c r="B8878" t="inlineStr">
        <is>
          <t>avverkningsanmälan</t>
        </is>
      </c>
      <c r="C8878" t="inlineStr">
        <is>
          <t>Avverkning för annat ändamål</t>
        </is>
      </c>
      <c r="D8878" s="1" t="n">
        <v>46049</v>
      </c>
      <c r="E8878" s="1" t="n">
        <v>46307</v>
      </c>
      <c r="F8878" t="inlineStr">
        <is>
          <t>VÄRMLANDS LÄN</t>
        </is>
      </c>
      <c r="G8878" t="inlineStr">
        <is>
          <t>ÅRJÄNG</t>
        </is>
      </c>
      <c r="I8878" t="n">
        <v>0.3</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8297-2026</t>
        </is>
      </c>
      <c r="B8879" t="inlineStr">
        <is>
          <t>avverkningsanmälan</t>
        </is>
      </c>
      <c r="C8879" t="inlineStr">
        <is>
          <t>Föryngringsavverkning</t>
        </is>
      </c>
      <c r="D8879" s="1" t="n">
        <v>46064</v>
      </c>
      <c r="E8879" s="1" t="n">
        <v>46307</v>
      </c>
      <c r="F8879" t="inlineStr">
        <is>
          <t>VÄRMLANDS LÄN</t>
        </is>
      </c>
      <c r="G8879" t="inlineStr">
        <is>
          <t>TORSBY</t>
        </is>
      </c>
      <c r="I8879" t="n">
        <v>0.8</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21203-2026</t>
        </is>
      </c>
      <c r="B8880" t="inlineStr">
        <is>
          <t>avverkningsanmälan</t>
        </is>
      </c>
      <c r="C8880" t="inlineStr">
        <is>
          <t>Föryngringsavverkning</t>
        </is>
      </c>
      <c r="D8880" s="1" t="n">
        <v>46146</v>
      </c>
      <c r="E8880" s="1" t="n">
        <v>46307</v>
      </c>
      <c r="F8880" t="inlineStr">
        <is>
          <t>VÄRMLANDS LÄN</t>
        </is>
      </c>
      <c r="G8880" t="inlineStr">
        <is>
          <t>HAGFORS</t>
        </is>
      </c>
      <c r="H8880" t="inlineStr">
        <is>
          <t>Bergvik skog väst AB</t>
        </is>
      </c>
      <c r="I8880" t="n">
        <v>6.7</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54734-2025</t>
        </is>
      </c>
      <c r="B8881" t="inlineStr">
        <is>
          <t>avverkningsanmälan</t>
        </is>
      </c>
      <c r="C8881" t="inlineStr">
        <is>
          <t>Föryngringsavverkning</t>
        </is>
      </c>
      <c r="D8881" s="1" t="n">
        <v>45966</v>
      </c>
      <c r="E8881" s="1" t="n">
        <v>46307</v>
      </c>
      <c r="F8881" t="inlineStr">
        <is>
          <t>VÄRMLANDS LÄN</t>
        </is>
      </c>
      <c r="G8881" t="inlineStr">
        <is>
          <t>TORSBY</t>
        </is>
      </c>
      <c r="I8881" t="n">
        <v>1.4</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6961-2026</t>
        </is>
      </c>
      <c r="B8882" t="inlineStr">
        <is>
          <t>avverkningsanmälan</t>
        </is>
      </c>
      <c r="C8882" t="inlineStr">
        <is>
          <t>Föryngringsavverkning</t>
        </is>
      </c>
      <c r="D8882" s="1" t="n">
        <v>46057</v>
      </c>
      <c r="E8882" s="1" t="n">
        <v>46307</v>
      </c>
      <c r="F8882" t="inlineStr">
        <is>
          <t>VÄRMLANDS LÄN</t>
        </is>
      </c>
      <c r="G8882" t="inlineStr">
        <is>
          <t>ARVIKA</t>
        </is>
      </c>
      <c r="I8882" t="n">
        <v>0.9</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8263-2026</t>
        </is>
      </c>
      <c r="B8883" t="inlineStr">
        <is>
          <t>avverkningsanmälan</t>
        </is>
      </c>
      <c r="C8883" t="inlineStr">
        <is>
          <t>Föryngringsavverkning</t>
        </is>
      </c>
      <c r="D8883" s="1" t="n">
        <v>46064</v>
      </c>
      <c r="E8883" s="1" t="n">
        <v>46307</v>
      </c>
      <c r="F8883" t="inlineStr">
        <is>
          <t>VÄRMLANDS LÄN</t>
        </is>
      </c>
      <c r="G8883" t="inlineStr">
        <is>
          <t>TORSBY</t>
        </is>
      </c>
      <c r="I8883" t="n">
        <v>1.1</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6486-2026</t>
        </is>
      </c>
      <c r="B8884" t="inlineStr">
        <is>
          <t>avverkningsanmälan</t>
        </is>
      </c>
      <c r="C8884" t="inlineStr">
        <is>
          <t>Föryngringsavverkning</t>
        </is>
      </c>
      <c r="D8884" s="1" t="n">
        <v>46056</v>
      </c>
      <c r="E8884" s="1" t="n">
        <v>46307</v>
      </c>
      <c r="F8884" t="inlineStr">
        <is>
          <t>VÄRMLANDS LÄN</t>
        </is>
      </c>
      <c r="G8884" t="inlineStr">
        <is>
          <t>ARVIKA</t>
        </is>
      </c>
      <c r="I8884" t="n">
        <v>1.1</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21035-2026</t>
        </is>
      </c>
      <c r="B8885" t="inlineStr">
        <is>
          <t>avverkningsanmälan</t>
        </is>
      </c>
      <c r="C8885" t="inlineStr">
        <is>
          <t>Föryngringsavverkning</t>
        </is>
      </c>
      <c r="D8885" s="1" t="n">
        <v>46146</v>
      </c>
      <c r="E8885" s="1" t="n">
        <v>46307</v>
      </c>
      <c r="F8885" t="inlineStr">
        <is>
          <t>VÄRMLANDS LÄN</t>
        </is>
      </c>
      <c r="G8885" t="inlineStr">
        <is>
          <t>STORFORS</t>
        </is>
      </c>
      <c r="I8885" t="n">
        <v>9.1</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60893-2025</t>
        </is>
      </c>
      <c r="B8886" t="inlineStr">
        <is>
          <t>avverkningsanmälan</t>
        </is>
      </c>
      <c r="C8886" t="inlineStr">
        <is>
          <t>Föryngringsavverkning</t>
        </is>
      </c>
      <c r="D8886" s="1" t="n">
        <v>45999</v>
      </c>
      <c r="E8886" s="1" t="n">
        <v>46307</v>
      </c>
      <c r="F8886" t="inlineStr">
        <is>
          <t>VÄRMLANDS LÄN</t>
        </is>
      </c>
      <c r="G8886" t="inlineStr">
        <is>
          <t>FORSHAGA</t>
        </is>
      </c>
      <c r="I8886" t="n">
        <v>1.5</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8139-2026</t>
        </is>
      </c>
      <c r="B8887" t="inlineStr">
        <is>
          <t>avverkningsanmälan</t>
        </is>
      </c>
      <c r="C8887" t="inlineStr">
        <is>
          <t>Föryngringsavverkning</t>
        </is>
      </c>
      <c r="D8887" s="1" t="n">
        <v>46064</v>
      </c>
      <c r="E8887" s="1" t="n">
        <v>46307</v>
      </c>
      <c r="F8887" t="inlineStr">
        <is>
          <t>VÄRMLANDS LÄN</t>
        </is>
      </c>
      <c r="G8887" t="inlineStr">
        <is>
          <t>FILIPSTAD</t>
        </is>
      </c>
      <c r="I8887" t="n">
        <v>1.6</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8147-2026</t>
        </is>
      </c>
      <c r="B8888" t="inlineStr">
        <is>
          <t>avverkningsanmälan</t>
        </is>
      </c>
      <c r="C8888" t="inlineStr">
        <is>
          <t>Föryngringsavverkning</t>
        </is>
      </c>
      <c r="D8888" s="1" t="n">
        <v>46064</v>
      </c>
      <c r="E8888" s="1" t="n">
        <v>46307</v>
      </c>
      <c r="F8888" t="inlineStr">
        <is>
          <t>VÄRMLANDS LÄN</t>
        </is>
      </c>
      <c r="G8888" t="inlineStr">
        <is>
          <t>TORSBY</t>
        </is>
      </c>
      <c r="I8888" t="n">
        <v>1.4</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8165-2026</t>
        </is>
      </c>
      <c r="B8889" t="inlineStr">
        <is>
          <t>avverkningsanmälan</t>
        </is>
      </c>
      <c r="C8889" t="inlineStr">
        <is>
          <t>Föryngringsavverkning</t>
        </is>
      </c>
      <c r="D8889" s="1" t="n">
        <v>46064</v>
      </c>
      <c r="E8889" s="1" t="n">
        <v>46307</v>
      </c>
      <c r="F8889" t="inlineStr">
        <is>
          <t>VÄRMLANDS LÄN</t>
        </is>
      </c>
      <c r="G8889" t="inlineStr">
        <is>
          <t>TORSBY</t>
        </is>
      </c>
      <c r="I8889" t="n">
        <v>1.1</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8224-2026</t>
        </is>
      </c>
      <c r="B8890" t="inlineStr">
        <is>
          <t>avverkningsanmälan</t>
        </is>
      </c>
      <c r="C8890" t="inlineStr">
        <is>
          <t>Föryngringsavverkning</t>
        </is>
      </c>
      <c r="D8890" s="1" t="n">
        <v>46064</v>
      </c>
      <c r="E8890" s="1" t="n">
        <v>46307</v>
      </c>
      <c r="F8890" t="inlineStr">
        <is>
          <t>VÄRMLANDS LÄN</t>
        </is>
      </c>
      <c r="G8890" t="inlineStr">
        <is>
          <t>TORSBY</t>
        </is>
      </c>
      <c r="I8890" t="n">
        <v>1.9</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15128-2026</t>
        </is>
      </c>
      <c r="B8891" t="inlineStr">
        <is>
          <t>avverkningsanmälan</t>
        </is>
      </c>
      <c r="C8891" t="inlineStr">
        <is>
          <t>Föryngringsavverkning</t>
        </is>
      </c>
      <c r="D8891" s="1" t="n">
        <v>46105</v>
      </c>
      <c r="E8891" s="1" t="n">
        <v>46307</v>
      </c>
      <c r="F8891" t="inlineStr">
        <is>
          <t>VÄRMLANDS LÄN</t>
        </is>
      </c>
      <c r="G8891" t="inlineStr">
        <is>
          <t>KARLSTAD</t>
        </is>
      </c>
      <c r="I8891" t="n">
        <v>3.5</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8164-2026</t>
        </is>
      </c>
      <c r="B8892" t="inlineStr">
        <is>
          <t>avverkningsanmälan</t>
        </is>
      </c>
      <c r="C8892" t="inlineStr">
        <is>
          <t>Föryngringsavverkning</t>
        </is>
      </c>
      <c r="D8892" s="1" t="n">
        <v>46064</v>
      </c>
      <c r="E8892" s="1" t="n">
        <v>46307</v>
      </c>
      <c r="F8892" t="inlineStr">
        <is>
          <t>VÄRMLANDS LÄN</t>
        </is>
      </c>
      <c r="G8892" t="inlineStr">
        <is>
          <t>TORSBY</t>
        </is>
      </c>
      <c r="I8892" t="n">
        <v>2.4</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8222-2026</t>
        </is>
      </c>
      <c r="B8893" t="inlineStr">
        <is>
          <t>avverkningsanmälan</t>
        </is>
      </c>
      <c r="C8893" t="inlineStr">
        <is>
          <t>Föryngringsavverkning</t>
        </is>
      </c>
      <c r="D8893" s="1" t="n">
        <v>46064</v>
      </c>
      <c r="E8893" s="1" t="n">
        <v>46307</v>
      </c>
      <c r="F8893" t="inlineStr">
        <is>
          <t>VÄRMLANDS LÄN</t>
        </is>
      </c>
      <c r="G8893" t="inlineStr">
        <is>
          <t>TORSBY</t>
        </is>
      </c>
      <c r="I8893" t="n">
        <v>9.1</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21106-2026</t>
        </is>
      </c>
      <c r="B8894" t="inlineStr">
        <is>
          <t>avverkningsanmälan</t>
        </is>
      </c>
      <c r="C8894" t="inlineStr">
        <is>
          <t>Föryngringsavverkning</t>
        </is>
      </c>
      <c r="D8894" s="1" t="n">
        <v>46146</v>
      </c>
      <c r="E8894" s="1" t="n">
        <v>46307</v>
      </c>
      <c r="F8894" t="inlineStr">
        <is>
          <t>VÄRMLANDS LÄN</t>
        </is>
      </c>
      <c r="G8894" t="inlineStr">
        <is>
          <t>FORSHAGA</t>
        </is>
      </c>
      <c r="H8894" t="inlineStr">
        <is>
          <t>Bergvik skog väst AB</t>
        </is>
      </c>
      <c r="I8894" t="n">
        <v>8.1</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21112-2026</t>
        </is>
      </c>
      <c r="B8895" t="inlineStr">
        <is>
          <t>avverkningsanmälan</t>
        </is>
      </c>
      <c r="C8895" t="inlineStr">
        <is>
          <t>Föryngringsavverkning</t>
        </is>
      </c>
      <c r="D8895" s="1" t="n">
        <v>46146</v>
      </c>
      <c r="E8895" s="1" t="n">
        <v>46307</v>
      </c>
      <c r="F8895" t="inlineStr">
        <is>
          <t>VÄRMLANDS LÄN</t>
        </is>
      </c>
      <c r="G8895" t="inlineStr">
        <is>
          <t>EDA</t>
        </is>
      </c>
      <c r="I8895" t="n">
        <v>2.8</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21146-2026</t>
        </is>
      </c>
      <c r="B8896" t="inlineStr">
        <is>
          <t>avverkningsanmälan</t>
        </is>
      </c>
      <c r="C8896" t="inlineStr">
        <is>
          <t>Föryngringsavverkning</t>
        </is>
      </c>
      <c r="D8896" s="1" t="n">
        <v>46146</v>
      </c>
      <c r="E8896" s="1" t="n">
        <v>46307</v>
      </c>
      <c r="F8896" t="inlineStr">
        <is>
          <t>VÄRMLANDS LÄN</t>
        </is>
      </c>
      <c r="G8896" t="inlineStr">
        <is>
          <t>FORSHAGA</t>
        </is>
      </c>
      <c r="I8896" t="n">
        <v>2.4</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64322-2023</t>
        </is>
      </c>
      <c r="B8897" t="inlineStr">
        <is>
          <t>avverkningsanmälan</t>
        </is>
      </c>
      <c r="C8897" t="inlineStr">
        <is>
          <t>Föryngringsavverkning</t>
        </is>
      </c>
      <c r="D8897" s="1" t="n">
        <v>45280</v>
      </c>
      <c r="E8897" s="1" t="n">
        <v>46307</v>
      </c>
      <c r="F8897" t="inlineStr">
        <is>
          <t>VÄRMLANDS LÄN</t>
        </is>
      </c>
      <c r="G8897" t="inlineStr">
        <is>
          <t>SÄFFLE</t>
        </is>
      </c>
      <c r="I8897" t="n">
        <v>0.9</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8136-2026</t>
        </is>
      </c>
      <c r="B8898" t="inlineStr">
        <is>
          <t>avverkningsanmälan</t>
        </is>
      </c>
      <c r="C8898" t="inlineStr">
        <is>
          <t>Föryngringsavverkning</t>
        </is>
      </c>
      <c r="D8898" s="1" t="n">
        <v>46064</v>
      </c>
      <c r="E8898" s="1" t="n">
        <v>46307</v>
      </c>
      <c r="F8898" t="inlineStr">
        <is>
          <t>VÄRMLANDS LÄN</t>
        </is>
      </c>
      <c r="G8898" t="inlineStr">
        <is>
          <t>EDA</t>
        </is>
      </c>
      <c r="I8898" t="n">
        <v>4.9</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8149-2026</t>
        </is>
      </c>
      <c r="B8899" t="inlineStr">
        <is>
          <t>avverkningsanmälan</t>
        </is>
      </c>
      <c r="C8899" t="inlineStr">
        <is>
          <t>Föryngringsavverkning</t>
        </is>
      </c>
      <c r="D8899" s="1" t="n">
        <v>46064</v>
      </c>
      <c r="E8899" s="1" t="n">
        <v>46307</v>
      </c>
      <c r="F8899" t="inlineStr">
        <is>
          <t>VÄRMLANDS LÄN</t>
        </is>
      </c>
      <c r="G8899" t="inlineStr">
        <is>
          <t>TORSBY</t>
        </is>
      </c>
      <c r="I8899" t="n">
        <v>1.9</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8317-2026</t>
        </is>
      </c>
      <c r="B8900" t="inlineStr">
        <is>
          <t>avverkningsanmälan</t>
        </is>
      </c>
      <c r="C8900" t="inlineStr">
        <is>
          <t>Föryngringsavverkning</t>
        </is>
      </c>
      <c r="D8900" s="1" t="n">
        <v>46064</v>
      </c>
      <c r="E8900" s="1" t="n">
        <v>46307</v>
      </c>
      <c r="F8900" t="inlineStr">
        <is>
          <t>VÄRMLANDS LÄN</t>
        </is>
      </c>
      <c r="G8900" t="inlineStr">
        <is>
          <t>TORSBY</t>
        </is>
      </c>
      <c r="H8900" t="inlineStr">
        <is>
          <t>Bergvik skog väst AB</t>
        </is>
      </c>
      <c r="I8900" t="n">
        <v>1.5</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7985-2026</t>
        </is>
      </c>
      <c r="B8901" t="inlineStr">
        <is>
          <t>avverkningsanmälan</t>
        </is>
      </c>
      <c r="C8901" t="inlineStr">
        <is>
          <t>Föryngringsavverkning</t>
        </is>
      </c>
      <c r="D8901" s="1" t="n">
        <v>46063</v>
      </c>
      <c r="E8901" s="1" t="n">
        <v>46307</v>
      </c>
      <c r="F8901" t="inlineStr">
        <is>
          <t>VÄRMLANDS LÄN</t>
        </is>
      </c>
      <c r="G8901" t="inlineStr">
        <is>
          <t>SUNNE</t>
        </is>
      </c>
      <c r="I8901" t="n">
        <v>0.6</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21161-2026</t>
        </is>
      </c>
      <c r="B8902" t="inlineStr">
        <is>
          <t>avverkningsanmälan</t>
        </is>
      </c>
      <c r="C8902" t="inlineStr">
        <is>
          <t>Avverkning för annat ändamål</t>
        </is>
      </c>
      <c r="D8902" s="1" t="n">
        <v>46146</v>
      </c>
      <c r="E8902" s="1" t="n">
        <v>46307</v>
      </c>
      <c r="F8902" t="inlineStr">
        <is>
          <t>VÄRMLANDS LÄN</t>
        </is>
      </c>
      <c r="G8902" t="inlineStr">
        <is>
          <t>TORSBY</t>
        </is>
      </c>
      <c r="H8902" t="inlineStr">
        <is>
          <t>Bergvik skog väst AB</t>
        </is>
      </c>
      <c r="I8902" t="n">
        <v>0.7</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21217-2026</t>
        </is>
      </c>
      <c r="B8903" t="inlineStr">
        <is>
          <t>avverkningsanmälan</t>
        </is>
      </c>
      <c r="C8903" t="inlineStr">
        <is>
          <t>Föryngringsavverkning</t>
        </is>
      </c>
      <c r="D8903" s="1" t="n">
        <v>46146</v>
      </c>
      <c r="E8903" s="1" t="n">
        <v>46307</v>
      </c>
      <c r="F8903" t="inlineStr">
        <is>
          <t>VÄRMLANDS LÄN</t>
        </is>
      </c>
      <c r="G8903" t="inlineStr">
        <is>
          <t>KARLSTAD</t>
        </is>
      </c>
      <c r="I8903" t="n">
        <v>1</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8642-2026</t>
        </is>
      </c>
      <c r="B8904" t="inlineStr">
        <is>
          <t>avverkningsanmälan</t>
        </is>
      </c>
      <c r="C8904" t="inlineStr">
        <is>
          <t>Föryngringsavverkning</t>
        </is>
      </c>
      <c r="D8904" s="1" t="n">
        <v>46066</v>
      </c>
      <c r="E8904" s="1" t="n">
        <v>46307</v>
      </c>
      <c r="F8904" t="inlineStr">
        <is>
          <t>VÄRMLANDS LÄN</t>
        </is>
      </c>
      <c r="G8904" t="inlineStr">
        <is>
          <t>KARLSTAD</t>
        </is>
      </c>
      <c r="I8904" t="n">
        <v>7.5</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21164-2026</t>
        </is>
      </c>
      <c r="B8905" t="inlineStr">
        <is>
          <t>avverkningsanmälan</t>
        </is>
      </c>
      <c r="C8905" t="inlineStr">
        <is>
          <t>Föryngringsavverkning</t>
        </is>
      </c>
      <c r="D8905" s="1" t="n">
        <v>46146</v>
      </c>
      <c r="E8905" s="1" t="n">
        <v>46307</v>
      </c>
      <c r="F8905" t="inlineStr">
        <is>
          <t>VÄRMLANDS LÄN</t>
        </is>
      </c>
      <c r="G8905" t="inlineStr">
        <is>
          <t>TORSBY</t>
        </is>
      </c>
      <c r="H8905" t="inlineStr">
        <is>
          <t>Bergvik skog väst AB</t>
        </is>
      </c>
      <c r="I8905" t="n">
        <v>7.7</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21221-2026</t>
        </is>
      </c>
      <c r="B8906" t="inlineStr">
        <is>
          <t>avverkningsanmälan</t>
        </is>
      </c>
      <c r="C8906" t="inlineStr">
        <is>
          <t>Föryngringsavverkning</t>
        </is>
      </c>
      <c r="D8906" s="1" t="n">
        <v>46146</v>
      </c>
      <c r="E8906" s="1" t="n">
        <v>46307</v>
      </c>
      <c r="F8906" t="inlineStr">
        <is>
          <t>VÄRMLANDS LÄN</t>
        </is>
      </c>
      <c r="G8906" t="inlineStr">
        <is>
          <t>SUNNE</t>
        </is>
      </c>
      <c r="I8906" t="n">
        <v>2.5</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8510-2026</t>
        </is>
      </c>
      <c r="B8907" t="inlineStr">
        <is>
          <t>avverkningsanmälan</t>
        </is>
      </c>
      <c r="C8907" t="inlineStr">
        <is>
          <t>Föryngringsavverkning</t>
        </is>
      </c>
      <c r="D8907" s="1" t="n">
        <v>46065</v>
      </c>
      <c r="E8907" s="1" t="n">
        <v>46307</v>
      </c>
      <c r="F8907" t="inlineStr">
        <is>
          <t>VÄRMLANDS LÄN</t>
        </is>
      </c>
      <c r="G8907" t="inlineStr">
        <is>
          <t>ÅRJÄNG</t>
        </is>
      </c>
      <c r="I8907" t="n">
        <v>1.5</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21220-2026</t>
        </is>
      </c>
      <c r="B8908" t="inlineStr">
        <is>
          <t>avverkningsanmälan</t>
        </is>
      </c>
      <c r="C8908" t="inlineStr">
        <is>
          <t>Föryngringsavverkning</t>
        </is>
      </c>
      <c r="D8908" s="1" t="n">
        <v>46146</v>
      </c>
      <c r="E8908" s="1" t="n">
        <v>46307</v>
      </c>
      <c r="F8908" t="inlineStr">
        <is>
          <t>VÄRMLANDS LÄN</t>
        </is>
      </c>
      <c r="G8908" t="inlineStr">
        <is>
          <t>KARLSTAD</t>
        </is>
      </c>
      <c r="I8908" t="n">
        <v>0.9</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51987-2024</t>
        </is>
      </c>
      <c r="B8909" t="inlineStr">
        <is>
          <t>avverkningsanmälan</t>
        </is>
      </c>
      <c r="C8909" t="inlineStr">
        <is>
          <t>Föryngringsavverkning</t>
        </is>
      </c>
      <c r="D8909" s="1" t="n">
        <v>45607</v>
      </c>
      <c r="E8909" s="1" t="n">
        <v>46307</v>
      </c>
      <c r="F8909" t="inlineStr">
        <is>
          <t>VÄRMLANDS LÄN</t>
        </is>
      </c>
      <c r="G8909" t="inlineStr">
        <is>
          <t>TORSBY</t>
        </is>
      </c>
      <c r="I8909" t="n">
        <v>17.7</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21189-2026</t>
        </is>
      </c>
      <c r="B8910" t="inlineStr">
        <is>
          <t>avverkningsanmälan</t>
        </is>
      </c>
      <c r="C8910" t="inlineStr">
        <is>
          <t>Föryngringsavverkning</t>
        </is>
      </c>
      <c r="D8910" s="1" t="n">
        <v>46146</v>
      </c>
      <c r="E8910" s="1" t="n">
        <v>46307</v>
      </c>
      <c r="F8910" t="inlineStr">
        <is>
          <t>VÄRMLANDS LÄN</t>
        </is>
      </c>
      <c r="G8910" t="inlineStr">
        <is>
          <t>SÄFFLE</t>
        </is>
      </c>
      <c r="I8910" t="n">
        <v>8.4</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8656-2026</t>
        </is>
      </c>
      <c r="B8911" t="inlineStr">
        <is>
          <t>avverkningsanmälan</t>
        </is>
      </c>
      <c r="C8911" t="inlineStr">
        <is>
          <t>Föryngringsavverkning</t>
        </is>
      </c>
      <c r="D8911" s="1" t="n">
        <v>46066</v>
      </c>
      <c r="E8911" s="1" t="n">
        <v>46307</v>
      </c>
      <c r="F8911" t="inlineStr">
        <is>
          <t>VÄRMLANDS LÄN</t>
        </is>
      </c>
      <c r="G8911" t="inlineStr">
        <is>
          <t>KARLSTAD</t>
        </is>
      </c>
      <c r="I8911" t="n">
        <v>0.8</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21267-2026</t>
        </is>
      </c>
      <c r="B8912" t="inlineStr">
        <is>
          <t>avverkningsanmälan</t>
        </is>
      </c>
      <c r="C8912" t="inlineStr">
        <is>
          <t>Föryngringsavverkning</t>
        </is>
      </c>
      <c r="D8912" s="1" t="n">
        <v>46147</v>
      </c>
      <c r="E8912" s="1" t="n">
        <v>46307</v>
      </c>
      <c r="F8912" t="inlineStr">
        <is>
          <t>VÄRMLANDS LÄN</t>
        </is>
      </c>
      <c r="G8912" t="inlineStr">
        <is>
          <t>EDA</t>
        </is>
      </c>
      <c r="I8912" t="n">
        <v>2.1</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8422-2026</t>
        </is>
      </c>
      <c r="B8913" t="inlineStr">
        <is>
          <t>avverkningsanmälan</t>
        </is>
      </c>
      <c r="C8913" t="inlineStr">
        <is>
          <t>Föryngringsavverkning</t>
        </is>
      </c>
      <c r="D8913" s="1" t="n">
        <v>46065</v>
      </c>
      <c r="E8913" s="1" t="n">
        <v>46307</v>
      </c>
      <c r="F8913" t="inlineStr">
        <is>
          <t>VÄRMLANDS LÄN</t>
        </is>
      </c>
      <c r="G8913" t="inlineStr">
        <is>
          <t>SÄFFLE</t>
        </is>
      </c>
      <c r="I8913" t="n">
        <v>3.1</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21522-2026</t>
        </is>
      </c>
      <c r="B8914" t="inlineStr">
        <is>
          <t>avverkningsanmälan</t>
        </is>
      </c>
      <c r="C8914" t="inlineStr">
        <is>
          <t>Föryngringsavverkning</t>
        </is>
      </c>
      <c r="D8914" s="1" t="n">
        <v>46148</v>
      </c>
      <c r="E8914" s="1" t="n">
        <v>46307</v>
      </c>
      <c r="F8914" t="inlineStr">
        <is>
          <t>VÄRMLANDS LÄN</t>
        </is>
      </c>
      <c r="G8914" t="inlineStr">
        <is>
          <t>EDA</t>
        </is>
      </c>
      <c r="I8914" t="n">
        <v>0.7</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21443-2026</t>
        </is>
      </c>
      <c r="B8915" t="inlineStr">
        <is>
          <t>avverkningsanmälan</t>
        </is>
      </c>
      <c r="C8915" t="inlineStr">
        <is>
          <t>Föryngringsavverkning</t>
        </is>
      </c>
      <c r="D8915" s="1" t="n">
        <v>46148</v>
      </c>
      <c r="E8915" s="1" t="n">
        <v>46307</v>
      </c>
      <c r="F8915" t="inlineStr">
        <is>
          <t>VÄRMLANDS LÄN</t>
        </is>
      </c>
      <c r="G8915" t="inlineStr">
        <is>
          <t>SUNNE</t>
        </is>
      </c>
      <c r="I8915" t="n">
        <v>6.9</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8732-2026</t>
        </is>
      </c>
      <c r="B8916" t="inlineStr">
        <is>
          <t>avverkningsanmälan</t>
        </is>
      </c>
      <c r="C8916" t="inlineStr">
        <is>
          <t>Föryngringsavverkning</t>
        </is>
      </c>
      <c r="D8916" s="1" t="n">
        <v>46066</v>
      </c>
      <c r="E8916" s="1" t="n">
        <v>46307</v>
      </c>
      <c r="F8916" t="inlineStr">
        <is>
          <t>VÄRMLANDS LÄN</t>
        </is>
      </c>
      <c r="G8916" t="inlineStr">
        <is>
          <t>GRUMS</t>
        </is>
      </c>
      <c r="I8916" t="n">
        <v>6.1</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21901-2026</t>
        </is>
      </c>
      <c r="B8917" t="inlineStr">
        <is>
          <t>avverkningsanmälan</t>
        </is>
      </c>
      <c r="C8917" t="inlineStr">
        <is>
          <t>Föryngringsavverkning</t>
        </is>
      </c>
      <c r="D8917" s="1" t="n">
        <v>46148</v>
      </c>
      <c r="E8917" s="1" t="n">
        <v>46307</v>
      </c>
      <c r="F8917" t="inlineStr">
        <is>
          <t>VÄRMLANDS LÄN</t>
        </is>
      </c>
      <c r="G8917" t="inlineStr">
        <is>
          <t>SÄFFLE</t>
        </is>
      </c>
      <c r="I8917" t="n">
        <v>1.7</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8777-2026</t>
        </is>
      </c>
      <c r="B8918" t="inlineStr">
        <is>
          <t>avverkningsanmälan</t>
        </is>
      </c>
      <c r="C8918" t="inlineStr">
        <is>
          <t>Föryngringsavverkning</t>
        </is>
      </c>
      <c r="D8918" s="1" t="n">
        <v>46066</v>
      </c>
      <c r="E8918" s="1" t="n">
        <v>46307</v>
      </c>
      <c r="F8918" t="inlineStr">
        <is>
          <t>VÄRMLANDS LÄN</t>
        </is>
      </c>
      <c r="G8918" t="inlineStr">
        <is>
          <t>SUNNE</t>
        </is>
      </c>
      <c r="I8918" t="n">
        <v>5.1</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21540-2026</t>
        </is>
      </c>
      <c r="B8919" t="inlineStr">
        <is>
          <t>avverkningsanmälan</t>
        </is>
      </c>
      <c r="C8919" t="inlineStr">
        <is>
          <t>Föryngringsavverkning</t>
        </is>
      </c>
      <c r="D8919" s="1" t="n">
        <v>46148</v>
      </c>
      <c r="E8919" s="1" t="n">
        <v>46307</v>
      </c>
      <c r="F8919" t="inlineStr">
        <is>
          <t>VÄRMLANDS LÄN</t>
        </is>
      </c>
      <c r="G8919" t="inlineStr">
        <is>
          <t>EDA</t>
        </is>
      </c>
      <c r="I8919" t="n">
        <v>1.9</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21515-2026</t>
        </is>
      </c>
      <c r="B8920" t="inlineStr">
        <is>
          <t>avverkningsanmälan</t>
        </is>
      </c>
      <c r="C8920" t="inlineStr">
        <is>
          <t>Föryngringsavverkning</t>
        </is>
      </c>
      <c r="D8920" s="1" t="n">
        <v>46148</v>
      </c>
      <c r="E8920" s="1" t="n">
        <v>46307</v>
      </c>
      <c r="F8920" t="inlineStr">
        <is>
          <t>VÄRMLANDS LÄN</t>
        </is>
      </c>
      <c r="G8920" t="inlineStr">
        <is>
          <t>EDA</t>
        </is>
      </c>
      <c r="I8920" t="n">
        <v>2.4</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8509-2026</t>
        </is>
      </c>
      <c r="B8921" t="inlineStr">
        <is>
          <t>avverkningsanmälan</t>
        </is>
      </c>
      <c r="C8921" t="inlineStr">
        <is>
          <t>Föryngringsavverkning</t>
        </is>
      </c>
      <c r="D8921" s="1" t="n">
        <v>46065</v>
      </c>
      <c r="E8921" s="1" t="n">
        <v>46307</v>
      </c>
      <c r="F8921" t="inlineStr">
        <is>
          <t>VÄRMLANDS LÄN</t>
        </is>
      </c>
      <c r="G8921" t="inlineStr">
        <is>
          <t>ÅRJÄNG</t>
        </is>
      </c>
      <c r="I8921" t="n">
        <v>0.9</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21542-2026</t>
        </is>
      </c>
      <c r="B8922" t="inlineStr">
        <is>
          <t>avverkningsanmälan</t>
        </is>
      </c>
      <c r="C8922" t="inlineStr">
        <is>
          <t>Föryngringsavverkning</t>
        </is>
      </c>
      <c r="D8922" s="1" t="n">
        <v>46148</v>
      </c>
      <c r="E8922" s="1" t="n">
        <v>46307</v>
      </c>
      <c r="F8922" t="inlineStr">
        <is>
          <t>VÄRMLANDS LÄN</t>
        </is>
      </c>
      <c r="G8922" t="inlineStr">
        <is>
          <t>FILIPSTAD</t>
        </is>
      </c>
      <c r="H8922" t="inlineStr">
        <is>
          <t>Bergvik skog väst AB</t>
        </is>
      </c>
      <c r="I8922" t="n">
        <v>12.1</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8388-2026</t>
        </is>
      </c>
      <c r="B8923" t="inlineStr">
        <is>
          <t>avverkningsanmälan</t>
        </is>
      </c>
      <c r="C8923" t="inlineStr">
        <is>
          <t>Föryngringsavverkning</t>
        </is>
      </c>
      <c r="D8923" s="1" t="n">
        <v>46064</v>
      </c>
      <c r="E8923" s="1" t="n">
        <v>46307</v>
      </c>
      <c r="F8923" t="inlineStr">
        <is>
          <t>VÄRMLANDS LÄN</t>
        </is>
      </c>
      <c r="G8923" t="inlineStr">
        <is>
          <t>EDA</t>
        </is>
      </c>
      <c r="I8923" t="n">
        <v>1.2</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8790-2026</t>
        </is>
      </c>
      <c r="B8924" t="inlineStr">
        <is>
          <t>avverkningsanmälan</t>
        </is>
      </c>
      <c r="C8924" t="inlineStr">
        <is>
          <t>Föryngringsavverkning</t>
        </is>
      </c>
      <c r="D8924" s="1" t="n">
        <v>46066</v>
      </c>
      <c r="E8924" s="1" t="n">
        <v>46307</v>
      </c>
      <c r="F8924" t="inlineStr">
        <is>
          <t>VÄRMLANDS LÄN</t>
        </is>
      </c>
      <c r="G8924" t="inlineStr">
        <is>
          <t>EDA</t>
        </is>
      </c>
      <c r="I8924" t="n">
        <v>4.9</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8507-2026</t>
        </is>
      </c>
      <c r="B8925" t="inlineStr">
        <is>
          <t>avverkningsanmälan</t>
        </is>
      </c>
      <c r="C8925" t="inlineStr">
        <is>
          <t>Föryngringsavverkning</t>
        </is>
      </c>
      <c r="D8925" s="1" t="n">
        <v>46065</v>
      </c>
      <c r="E8925" s="1" t="n">
        <v>46307</v>
      </c>
      <c r="F8925" t="inlineStr">
        <is>
          <t>VÄRMLANDS LÄN</t>
        </is>
      </c>
      <c r="G8925" t="inlineStr">
        <is>
          <t>ÅRJÄNG</t>
        </is>
      </c>
      <c r="I8925" t="n">
        <v>5</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21523-2026</t>
        </is>
      </c>
      <c r="B8926" t="inlineStr">
        <is>
          <t>avverkningsanmälan</t>
        </is>
      </c>
      <c r="C8926" t="inlineStr">
        <is>
          <t>Föryngringsavverkning</t>
        </is>
      </c>
      <c r="D8926" s="1" t="n">
        <v>46148</v>
      </c>
      <c r="E8926" s="1" t="n">
        <v>46307</v>
      </c>
      <c r="F8926" t="inlineStr">
        <is>
          <t>VÄRMLANDS LÄN</t>
        </is>
      </c>
      <c r="G8926" t="inlineStr">
        <is>
          <t>EDA</t>
        </is>
      </c>
      <c r="I8926" t="n">
        <v>0.7</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21471-2026</t>
        </is>
      </c>
      <c r="B8927" t="inlineStr">
        <is>
          <t>avverkningsanmälan</t>
        </is>
      </c>
      <c r="C8927" t="inlineStr">
        <is>
          <t>Föryngringsavverkning</t>
        </is>
      </c>
      <c r="D8927" s="1" t="n">
        <v>46148</v>
      </c>
      <c r="E8927" s="1" t="n">
        <v>46307</v>
      </c>
      <c r="F8927" t="inlineStr">
        <is>
          <t>VÄRMLANDS LÄN</t>
        </is>
      </c>
      <c r="G8927" t="inlineStr">
        <is>
          <t>TORSBY</t>
        </is>
      </c>
      <c r="I8927" t="n">
        <v>1.6</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21489-2026</t>
        </is>
      </c>
      <c r="B8928" t="inlineStr">
        <is>
          <t>avverkningsanmälan</t>
        </is>
      </c>
      <c r="C8928" t="inlineStr">
        <is>
          <t>Föryngringsavverkning</t>
        </is>
      </c>
      <c r="D8928" s="1" t="n">
        <v>46148</v>
      </c>
      <c r="E8928" s="1" t="n">
        <v>46307</v>
      </c>
      <c r="F8928" t="inlineStr">
        <is>
          <t>VÄRMLANDS LÄN</t>
        </is>
      </c>
      <c r="G8928" t="inlineStr">
        <is>
          <t>TORSBY</t>
        </is>
      </c>
      <c r="I8928" t="n">
        <v>5.3</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21514-2026</t>
        </is>
      </c>
      <c r="B8929" t="inlineStr">
        <is>
          <t>avverkningsanmälan</t>
        </is>
      </c>
      <c r="C8929" t="inlineStr">
        <is>
          <t>Föryngringsavverkning</t>
        </is>
      </c>
      <c r="D8929" s="1" t="n">
        <v>46148</v>
      </c>
      <c r="E8929" s="1" t="n">
        <v>46307</v>
      </c>
      <c r="F8929" t="inlineStr">
        <is>
          <t>VÄRMLANDS LÄN</t>
        </is>
      </c>
      <c r="G8929" t="inlineStr">
        <is>
          <t>EDA</t>
        </is>
      </c>
      <c r="I8929" t="n">
        <v>0.8</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21519-2026</t>
        </is>
      </c>
      <c r="B8930" t="inlineStr">
        <is>
          <t>avverkningsanmälan</t>
        </is>
      </c>
      <c r="C8930" t="inlineStr">
        <is>
          <t>Föryngringsavverkning</t>
        </is>
      </c>
      <c r="D8930" s="1" t="n">
        <v>46148</v>
      </c>
      <c r="E8930" s="1" t="n">
        <v>46307</v>
      </c>
      <c r="F8930" t="inlineStr">
        <is>
          <t>VÄRMLANDS LÄN</t>
        </is>
      </c>
      <c r="G8930" t="inlineStr">
        <is>
          <t>EDA</t>
        </is>
      </c>
      <c r="I8930" t="n">
        <v>4.2</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21321-2026</t>
        </is>
      </c>
      <c r="B8931" t="inlineStr">
        <is>
          <t>avverkningsanmälan</t>
        </is>
      </c>
      <c r="C8931" t="inlineStr">
        <is>
          <t>Föryngringsavverkning</t>
        </is>
      </c>
      <c r="D8931" s="1" t="n">
        <v>46147</v>
      </c>
      <c r="E8931" s="1" t="n">
        <v>46307</v>
      </c>
      <c r="F8931" t="inlineStr">
        <is>
          <t>VÄRMLANDS LÄN</t>
        </is>
      </c>
      <c r="G8931" t="inlineStr">
        <is>
          <t>SUNNE</t>
        </is>
      </c>
      <c r="I8931" t="n">
        <v>1.1</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21298-2026</t>
        </is>
      </c>
      <c r="B8932" t="inlineStr">
        <is>
          <t>avverkningsanmälan</t>
        </is>
      </c>
      <c r="C8932" t="inlineStr">
        <is>
          <t>Föryngringsavverkning</t>
        </is>
      </c>
      <c r="D8932" s="1" t="n">
        <v>46147</v>
      </c>
      <c r="E8932" s="1" t="n">
        <v>46307</v>
      </c>
      <c r="F8932" t="inlineStr">
        <is>
          <t>VÄRMLANDS LÄN</t>
        </is>
      </c>
      <c r="G8932" t="inlineStr">
        <is>
          <t>SUNNE</t>
        </is>
      </c>
      <c r="I8932" t="n">
        <v>0.9</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8958-2026</t>
        </is>
      </c>
      <c r="B8933" t="inlineStr">
        <is>
          <t>avverkningsanmälan</t>
        </is>
      </c>
      <c r="C8933" t="inlineStr">
        <is>
          <t>Föryngringsavverkning</t>
        </is>
      </c>
      <c r="D8933" s="1" t="n">
        <v>46069</v>
      </c>
      <c r="E8933" s="1" t="n">
        <v>46307</v>
      </c>
      <c r="F8933" t="inlineStr">
        <is>
          <t>VÄRMLANDS LÄN</t>
        </is>
      </c>
      <c r="G8933" t="inlineStr">
        <is>
          <t>TORSBY</t>
        </is>
      </c>
      <c r="H8933" t="inlineStr">
        <is>
          <t>Bergvik skog väst AB</t>
        </is>
      </c>
      <c r="I8933" t="n">
        <v>11.9</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21315-2026</t>
        </is>
      </c>
      <c r="B8934" t="inlineStr">
        <is>
          <t>avverkningsanmälan</t>
        </is>
      </c>
      <c r="C8934" t="inlineStr">
        <is>
          <t>Föryngringsavverkning</t>
        </is>
      </c>
      <c r="D8934" s="1" t="n">
        <v>46147</v>
      </c>
      <c r="E8934" s="1" t="n">
        <v>46307</v>
      </c>
      <c r="F8934" t="inlineStr">
        <is>
          <t>VÄRMLANDS LÄN</t>
        </is>
      </c>
      <c r="G8934" t="inlineStr">
        <is>
          <t>EDA</t>
        </is>
      </c>
      <c r="I8934" t="n">
        <v>1.1</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21852-2026</t>
        </is>
      </c>
      <c r="B8935" t="inlineStr">
        <is>
          <t>avverkningsanmälan</t>
        </is>
      </c>
      <c r="C8935" t="inlineStr">
        <is>
          <t>Föryngringsavverkning</t>
        </is>
      </c>
      <c r="D8935" s="1" t="n">
        <v>46150</v>
      </c>
      <c r="E8935" s="1" t="n">
        <v>46307</v>
      </c>
      <c r="F8935" t="inlineStr">
        <is>
          <t>VÄRMLANDS LÄN</t>
        </is>
      </c>
      <c r="G8935" t="inlineStr">
        <is>
          <t>TORSBY</t>
        </is>
      </c>
      <c r="I8935" t="n">
        <v>13.3</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21879-2026</t>
        </is>
      </c>
      <c r="B8936" t="inlineStr">
        <is>
          <t>avverkningsanmälan</t>
        </is>
      </c>
      <c r="C8936" t="inlineStr">
        <is>
          <t>Föryngringsavverkning</t>
        </is>
      </c>
      <c r="D8936" s="1" t="n">
        <v>46150</v>
      </c>
      <c r="E8936" s="1" t="n">
        <v>46307</v>
      </c>
      <c r="F8936" t="inlineStr">
        <is>
          <t>VÄRMLANDS LÄN</t>
        </is>
      </c>
      <c r="G8936" t="inlineStr">
        <is>
          <t>HAGFORS</t>
        </is>
      </c>
      <c r="H8936" t="inlineStr">
        <is>
          <t>Bergvik skog väst AB</t>
        </is>
      </c>
      <c r="I8936" t="n">
        <v>10.8</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9087-2026</t>
        </is>
      </c>
      <c r="B8937" t="inlineStr">
        <is>
          <t>avverkningsanmälan</t>
        </is>
      </c>
      <c r="C8937" t="inlineStr">
        <is>
          <t>Föryngringsavverkning</t>
        </is>
      </c>
      <c r="D8937" s="1" t="n">
        <v>46069</v>
      </c>
      <c r="E8937" s="1" t="n">
        <v>46307</v>
      </c>
      <c r="F8937" t="inlineStr">
        <is>
          <t>VÄRMLANDS LÄN</t>
        </is>
      </c>
      <c r="G8937" t="inlineStr">
        <is>
          <t>EDA</t>
        </is>
      </c>
      <c r="I8937" t="n">
        <v>0.9</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21776-2026</t>
        </is>
      </c>
      <c r="B8938" t="inlineStr">
        <is>
          <t>avverkningsanmälan</t>
        </is>
      </c>
      <c r="C8938" t="inlineStr">
        <is>
          <t>Föryngringsavverkning</t>
        </is>
      </c>
      <c r="D8938" s="1" t="n">
        <v>46150</v>
      </c>
      <c r="E8938" s="1" t="n">
        <v>46307</v>
      </c>
      <c r="F8938" t="inlineStr">
        <is>
          <t>VÄRMLANDS LÄN</t>
        </is>
      </c>
      <c r="G8938" t="inlineStr">
        <is>
          <t>HAGFORS</t>
        </is>
      </c>
      <c r="H8938" t="inlineStr">
        <is>
          <t>Bergvik skog väst AB</t>
        </is>
      </c>
      <c r="I8938" t="n">
        <v>3.5</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21894-2026</t>
        </is>
      </c>
      <c r="B8939" t="inlineStr">
        <is>
          <t>avverkningsanmälan</t>
        </is>
      </c>
      <c r="C8939" t="inlineStr">
        <is>
          <t>Föryngringsavverkning</t>
        </is>
      </c>
      <c r="D8939" s="1" t="n">
        <v>46150</v>
      </c>
      <c r="E8939" s="1" t="n">
        <v>46307</v>
      </c>
      <c r="F8939" t="inlineStr">
        <is>
          <t>VÄRMLANDS LÄN</t>
        </is>
      </c>
      <c r="G8939" t="inlineStr">
        <is>
          <t>TORSBY</t>
        </is>
      </c>
      <c r="H8939" t="inlineStr">
        <is>
          <t>Bergvik skog väst AB</t>
        </is>
      </c>
      <c r="I8939" t="n">
        <v>16.9</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21844-2026</t>
        </is>
      </c>
      <c r="B8940" t="inlineStr">
        <is>
          <t>avverkningsanmälan</t>
        </is>
      </c>
      <c r="C8940" t="inlineStr">
        <is>
          <t>Föryngringsavverkning</t>
        </is>
      </c>
      <c r="D8940" s="1" t="n">
        <v>46150</v>
      </c>
      <c r="E8940" s="1" t="n">
        <v>46307</v>
      </c>
      <c r="F8940" t="inlineStr">
        <is>
          <t>VÄRMLANDS LÄN</t>
        </is>
      </c>
      <c r="G8940" t="inlineStr">
        <is>
          <t>KRISTINEHAMN</t>
        </is>
      </c>
      <c r="H8940" t="inlineStr">
        <is>
          <t>Sveaskog</t>
        </is>
      </c>
      <c r="I8940" t="n">
        <v>2</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9240-2026</t>
        </is>
      </c>
      <c r="B8941" t="inlineStr">
        <is>
          <t>avverkningsanmälan</t>
        </is>
      </c>
      <c r="C8941" t="inlineStr">
        <is>
          <t>Föryngringsavverkning</t>
        </is>
      </c>
      <c r="D8941" s="1" t="n">
        <v>46070</v>
      </c>
      <c r="E8941" s="1" t="n">
        <v>46307</v>
      </c>
      <c r="F8941" t="inlineStr">
        <is>
          <t>VÄRMLANDS LÄN</t>
        </is>
      </c>
      <c r="G8941" t="inlineStr">
        <is>
          <t>TORSBY</t>
        </is>
      </c>
      <c r="I8941" t="n">
        <v>0.5</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22226-2026</t>
        </is>
      </c>
      <c r="B8942" t="inlineStr">
        <is>
          <t>avverkningsanmälan</t>
        </is>
      </c>
      <c r="C8942" t="inlineStr">
        <is>
          <t>Föryngringsavverkning</t>
        </is>
      </c>
      <c r="D8942" s="1" t="n">
        <v>46150</v>
      </c>
      <c r="E8942" s="1" t="n">
        <v>46307</v>
      </c>
      <c r="F8942" t="inlineStr">
        <is>
          <t>VÄRMLANDS LÄN</t>
        </is>
      </c>
      <c r="G8942" t="inlineStr">
        <is>
          <t>KIL</t>
        </is>
      </c>
      <c r="I8942" t="n">
        <v>2.1</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21719-2026</t>
        </is>
      </c>
      <c r="B8943" t="inlineStr">
        <is>
          <t>avverkningsanmälan</t>
        </is>
      </c>
      <c r="C8943" t="inlineStr">
        <is>
          <t>Föryngringsavverkning</t>
        </is>
      </c>
      <c r="D8943" s="1" t="n">
        <v>46149</v>
      </c>
      <c r="E8943" s="1" t="n">
        <v>46307</v>
      </c>
      <c r="F8943" t="inlineStr">
        <is>
          <t>VÄRMLANDS LÄN</t>
        </is>
      </c>
      <c r="G8943" t="inlineStr">
        <is>
          <t>ARVIKA</t>
        </is>
      </c>
      <c r="I8943" t="n">
        <v>1.6</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9075-2026</t>
        </is>
      </c>
      <c r="B8944" t="inlineStr">
        <is>
          <t>avverkningsanmälan</t>
        </is>
      </c>
      <c r="C8944" t="inlineStr">
        <is>
          <t>Föryngringsavverkning</t>
        </is>
      </c>
      <c r="D8944" s="1" t="n">
        <v>46069</v>
      </c>
      <c r="E8944" s="1" t="n">
        <v>46307</v>
      </c>
      <c r="F8944" t="inlineStr">
        <is>
          <t>VÄRMLANDS LÄN</t>
        </is>
      </c>
      <c r="G8944" t="inlineStr">
        <is>
          <t>KARLSTAD</t>
        </is>
      </c>
      <c r="I8944" t="n">
        <v>8.6</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21728-2026</t>
        </is>
      </c>
      <c r="B8945" t="inlineStr">
        <is>
          <t>avverkningsanmälan</t>
        </is>
      </c>
      <c r="C8945" t="inlineStr">
        <is>
          <t>Föryngringsavverkning</t>
        </is>
      </c>
      <c r="D8945" s="1" t="n">
        <v>46149</v>
      </c>
      <c r="E8945" s="1" t="n">
        <v>46307</v>
      </c>
      <c r="F8945" t="inlineStr">
        <is>
          <t>VÄRMLANDS LÄN</t>
        </is>
      </c>
      <c r="G8945" t="inlineStr">
        <is>
          <t>HAGFORS</t>
        </is>
      </c>
      <c r="H8945" t="inlineStr">
        <is>
          <t>Bergvik skog väst AB</t>
        </is>
      </c>
      <c r="I8945" t="n">
        <v>4.5</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21797-2026</t>
        </is>
      </c>
      <c r="B8946" t="inlineStr">
        <is>
          <t>avverkningsanmälan</t>
        </is>
      </c>
      <c r="C8946" t="inlineStr">
        <is>
          <t>Föryngringsavverkning</t>
        </is>
      </c>
      <c r="D8946" s="1" t="n">
        <v>46150</v>
      </c>
      <c r="E8946" s="1" t="n">
        <v>46307</v>
      </c>
      <c r="F8946" t="inlineStr">
        <is>
          <t>VÄRMLANDS LÄN</t>
        </is>
      </c>
      <c r="G8946" t="inlineStr">
        <is>
          <t>ÅRJÄNG</t>
        </is>
      </c>
      <c r="I8946" t="n">
        <v>1.3</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21634-2026</t>
        </is>
      </c>
      <c r="B8947" t="inlineStr">
        <is>
          <t>avverkningsanmälan</t>
        </is>
      </c>
      <c r="C8947" t="inlineStr">
        <is>
          <t>Föryngringsavverkning</t>
        </is>
      </c>
      <c r="D8947" s="1" t="n">
        <v>46149</v>
      </c>
      <c r="E8947" s="1" t="n">
        <v>46307</v>
      </c>
      <c r="F8947" t="inlineStr">
        <is>
          <t>VÄRMLANDS LÄN</t>
        </is>
      </c>
      <c r="G8947" t="inlineStr">
        <is>
          <t>FORSHAGA</t>
        </is>
      </c>
      <c r="I8947" t="n">
        <v>2.1</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22049-2026</t>
        </is>
      </c>
      <c r="B8948" t="inlineStr">
        <is>
          <t>avverkningsanmälan</t>
        </is>
      </c>
      <c r="C8948" t="inlineStr">
        <is>
          <t>Föryngringsavverkning</t>
        </is>
      </c>
      <c r="D8948" s="1" t="n">
        <v>46149</v>
      </c>
      <c r="E8948" s="1" t="n">
        <v>46307</v>
      </c>
      <c r="F8948" t="inlineStr">
        <is>
          <t>VÄRMLANDS LÄN</t>
        </is>
      </c>
      <c r="G8948" t="inlineStr">
        <is>
          <t>SÄFFLE</t>
        </is>
      </c>
      <c r="I8948" t="n">
        <v>7.4</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21762-2026</t>
        </is>
      </c>
      <c r="B8949" t="inlineStr">
        <is>
          <t>avverkningsanmälan</t>
        </is>
      </c>
      <c r="C8949" t="inlineStr">
        <is>
          <t>Avverkning för annat ändamål</t>
        </is>
      </c>
      <c r="D8949" s="1" t="n">
        <v>46150</v>
      </c>
      <c r="E8949" s="1" t="n">
        <v>46307</v>
      </c>
      <c r="F8949" t="inlineStr">
        <is>
          <t>VÄRMLANDS LÄN</t>
        </is>
      </c>
      <c r="G8949" t="inlineStr">
        <is>
          <t>HAGFORS</t>
        </is>
      </c>
      <c r="H8949" t="inlineStr">
        <is>
          <t>Bergvik skog väst AB</t>
        </is>
      </c>
      <c r="I8949" t="n">
        <v>0.4</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22060-2026</t>
        </is>
      </c>
      <c r="B8950" t="inlineStr">
        <is>
          <t>avverkningsanmälan</t>
        </is>
      </c>
      <c r="C8950" t="inlineStr">
        <is>
          <t>Avverkning för annat ändamål</t>
        </is>
      </c>
      <c r="D8950" s="1" t="n">
        <v>46149</v>
      </c>
      <c r="E8950" s="1" t="n">
        <v>46307</v>
      </c>
      <c r="F8950" t="inlineStr">
        <is>
          <t>VÄRMLANDS LÄN</t>
        </is>
      </c>
      <c r="G8950" t="inlineStr">
        <is>
          <t>KRISTINEHAMN</t>
        </is>
      </c>
      <c r="I8950" t="n">
        <v>0.8</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8967-2026</t>
        </is>
      </c>
      <c r="B8951" t="inlineStr">
        <is>
          <t>avverkningsanmälan</t>
        </is>
      </c>
      <c r="C8951" t="inlineStr">
        <is>
          <t>Föryngringsavverkning</t>
        </is>
      </c>
      <c r="D8951" s="1" t="n">
        <v>46069</v>
      </c>
      <c r="E8951" s="1" t="n">
        <v>46307</v>
      </c>
      <c r="F8951" t="inlineStr">
        <is>
          <t>VÄRMLANDS LÄN</t>
        </is>
      </c>
      <c r="G8951" t="inlineStr">
        <is>
          <t>TORSBY</t>
        </is>
      </c>
      <c r="H8951" t="inlineStr">
        <is>
          <t>Bergvik skog väst AB</t>
        </is>
      </c>
      <c r="I8951" t="n">
        <v>22.5</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9245-2026</t>
        </is>
      </c>
      <c r="B8952" t="inlineStr">
        <is>
          <t>avverkningsanmälan</t>
        </is>
      </c>
      <c r="C8952" t="inlineStr">
        <is>
          <t>Föryngringsavverkning</t>
        </is>
      </c>
      <c r="D8952" s="1" t="n">
        <v>46070</v>
      </c>
      <c r="E8952" s="1" t="n">
        <v>46307</v>
      </c>
      <c r="F8952" t="inlineStr">
        <is>
          <t>VÄRMLANDS LÄN</t>
        </is>
      </c>
      <c r="G8952" t="inlineStr">
        <is>
          <t>TORSBY</t>
        </is>
      </c>
      <c r="I8952" t="n">
        <v>0.6</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9248-2026</t>
        </is>
      </c>
      <c r="B8953" t="inlineStr">
        <is>
          <t>avverkningsanmälan</t>
        </is>
      </c>
      <c r="C8953" t="inlineStr">
        <is>
          <t>Föryngringsavverkning</t>
        </is>
      </c>
      <c r="D8953" s="1" t="n">
        <v>46070</v>
      </c>
      <c r="E8953" s="1" t="n">
        <v>46307</v>
      </c>
      <c r="F8953" t="inlineStr">
        <is>
          <t>VÄRMLANDS LÄN</t>
        </is>
      </c>
      <c r="G8953" t="inlineStr">
        <is>
          <t>TORSBY</t>
        </is>
      </c>
      <c r="I8953" t="n">
        <v>0.8</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21908-2026</t>
        </is>
      </c>
      <c r="B8954" t="inlineStr">
        <is>
          <t>avverkningsanmälan</t>
        </is>
      </c>
      <c r="C8954" t="inlineStr">
        <is>
          <t>Föryngringsavverkning</t>
        </is>
      </c>
      <c r="D8954" s="1" t="n">
        <v>46150</v>
      </c>
      <c r="E8954" s="1" t="n">
        <v>46307</v>
      </c>
      <c r="F8954" t="inlineStr">
        <is>
          <t>VÄRMLANDS LÄN</t>
        </is>
      </c>
      <c r="G8954" t="inlineStr">
        <is>
          <t>TORSBY</t>
        </is>
      </c>
      <c r="H8954" t="inlineStr">
        <is>
          <t>Bergvik skog väst AB</t>
        </is>
      </c>
      <c r="I8954" t="n">
        <v>2.5</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21836-2026</t>
        </is>
      </c>
      <c r="B8955" t="inlineStr">
        <is>
          <t>avverkningsanmälan</t>
        </is>
      </c>
      <c r="C8955" t="inlineStr">
        <is>
          <t>Föryngringsavverkning</t>
        </is>
      </c>
      <c r="D8955" s="1" t="n">
        <v>46150</v>
      </c>
      <c r="E8955" s="1" t="n">
        <v>46307</v>
      </c>
      <c r="F8955" t="inlineStr">
        <is>
          <t>VÄRMLANDS LÄN</t>
        </is>
      </c>
      <c r="G8955" t="inlineStr">
        <is>
          <t>ÅRJÄNG</t>
        </is>
      </c>
      <c r="I8955" t="n">
        <v>2.3</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21842-2026</t>
        </is>
      </c>
      <c r="B8956" t="inlineStr">
        <is>
          <t>avverkningsanmälan</t>
        </is>
      </c>
      <c r="C8956" t="inlineStr">
        <is>
          <t>Föryngringsavverkning</t>
        </is>
      </c>
      <c r="D8956" s="1" t="n">
        <v>46150</v>
      </c>
      <c r="E8956" s="1" t="n">
        <v>46307</v>
      </c>
      <c r="F8956" t="inlineStr">
        <is>
          <t>VÄRMLANDS LÄN</t>
        </is>
      </c>
      <c r="G8956" t="inlineStr">
        <is>
          <t>KRISTINEHAMN</t>
        </is>
      </c>
      <c r="H8956" t="inlineStr">
        <is>
          <t>Sveaskog</t>
        </is>
      </c>
      <c r="I8956" t="n">
        <v>1.2</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8919-2026</t>
        </is>
      </c>
      <c r="B8957" t="inlineStr">
        <is>
          <t>avverkningsanmälan</t>
        </is>
      </c>
      <c r="C8957" t="inlineStr">
        <is>
          <t>Föryngringsavverkning</t>
        </is>
      </c>
      <c r="D8957" s="1" t="n">
        <v>46069</v>
      </c>
      <c r="E8957" s="1" t="n">
        <v>46307</v>
      </c>
      <c r="F8957" t="inlineStr">
        <is>
          <t>VÄRMLANDS LÄN</t>
        </is>
      </c>
      <c r="G8957" t="inlineStr">
        <is>
          <t>EDA</t>
        </is>
      </c>
      <c r="I8957" t="n">
        <v>5.2</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21667-2026</t>
        </is>
      </c>
      <c r="B8958" t="inlineStr">
        <is>
          <t>avverkningsanmälan</t>
        </is>
      </c>
      <c r="C8958" t="inlineStr">
        <is>
          <t>Föryngringsavverkning</t>
        </is>
      </c>
      <c r="D8958" s="1" t="n">
        <v>46149</v>
      </c>
      <c r="E8958" s="1" t="n">
        <v>46307</v>
      </c>
      <c r="F8958" t="inlineStr">
        <is>
          <t>VÄRMLANDS LÄN</t>
        </is>
      </c>
      <c r="G8958" t="inlineStr">
        <is>
          <t>ARVIKA</t>
        </is>
      </c>
      <c r="I8958" t="n">
        <v>3.1</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21737-2026</t>
        </is>
      </c>
      <c r="B8959" t="inlineStr">
        <is>
          <t>avverkningsanmälan</t>
        </is>
      </c>
      <c r="C8959" t="inlineStr">
        <is>
          <t>Föryngringsavverkning</t>
        </is>
      </c>
      <c r="D8959" s="1" t="n">
        <v>46149</v>
      </c>
      <c r="E8959" s="1" t="n">
        <v>46307</v>
      </c>
      <c r="F8959" t="inlineStr">
        <is>
          <t>VÄRMLANDS LÄN</t>
        </is>
      </c>
      <c r="G8959" t="inlineStr">
        <is>
          <t>TORSBY</t>
        </is>
      </c>
      <c r="H8959" t="inlineStr">
        <is>
          <t>Bergvik skog väst AB</t>
        </is>
      </c>
      <c r="I8959" t="n">
        <v>7.1</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21747-2026</t>
        </is>
      </c>
      <c r="B8960" t="inlineStr">
        <is>
          <t>avverkningsanmälan</t>
        </is>
      </c>
      <c r="C8960" t="inlineStr">
        <is>
          <t>Föryngringsavverkning</t>
        </is>
      </c>
      <c r="D8960" s="1" t="n">
        <v>46149</v>
      </c>
      <c r="E8960" s="1" t="n">
        <v>46307</v>
      </c>
      <c r="F8960" t="inlineStr">
        <is>
          <t>VÄRMLANDS LÄN</t>
        </is>
      </c>
      <c r="G8960" t="inlineStr">
        <is>
          <t>EDA</t>
        </is>
      </c>
      <c r="I8960" t="n">
        <v>6.8</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21943-2026</t>
        </is>
      </c>
      <c r="B8961" t="inlineStr">
        <is>
          <t>avverkningsanmälan</t>
        </is>
      </c>
      <c r="C8961" t="inlineStr">
        <is>
          <t>Föryngringsavverkning</t>
        </is>
      </c>
      <c r="D8961" s="1" t="n">
        <v>46150</v>
      </c>
      <c r="E8961" s="1" t="n">
        <v>46307</v>
      </c>
      <c r="F8961" t="inlineStr">
        <is>
          <t>VÄRMLANDS LÄN</t>
        </is>
      </c>
      <c r="G8961" t="inlineStr">
        <is>
          <t>SUNNE</t>
        </is>
      </c>
      <c r="I8961" t="n">
        <v>8.699999999999999</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22045-2026</t>
        </is>
      </c>
      <c r="B8962" t="inlineStr">
        <is>
          <t>avverkningsanmälan</t>
        </is>
      </c>
      <c r="C8962" t="inlineStr">
        <is>
          <t>Föryngringsavverkning</t>
        </is>
      </c>
      <c r="D8962" s="1" t="n">
        <v>46153</v>
      </c>
      <c r="E8962" s="1" t="n">
        <v>46307</v>
      </c>
      <c r="F8962" t="inlineStr">
        <is>
          <t>VÄRMLANDS LÄN</t>
        </is>
      </c>
      <c r="G8962" t="inlineStr">
        <is>
          <t>FILIPSTAD</t>
        </is>
      </c>
      <c r="H8962" t="inlineStr">
        <is>
          <t>Bergvik skog väst AB</t>
        </is>
      </c>
      <c r="I8962" t="n">
        <v>5.4</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9419-2026</t>
        </is>
      </c>
      <c r="B8963" t="inlineStr">
        <is>
          <t>avverkningsanmälan</t>
        </is>
      </c>
      <c r="C8963" t="inlineStr">
        <is>
          <t>Föryngringsavverkning</t>
        </is>
      </c>
      <c r="D8963" s="1" t="n">
        <v>46071</v>
      </c>
      <c r="E8963" s="1" t="n">
        <v>46307</v>
      </c>
      <c r="F8963" t="inlineStr">
        <is>
          <t>VÄRMLANDS LÄN</t>
        </is>
      </c>
      <c r="G8963" t="inlineStr">
        <is>
          <t>SUNNE</t>
        </is>
      </c>
      <c r="I8963" t="n">
        <v>1.1</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9407-2026</t>
        </is>
      </c>
      <c r="B8964" t="inlineStr">
        <is>
          <t>avverkningsanmälan</t>
        </is>
      </c>
      <c r="C8964" t="inlineStr">
        <is>
          <t>Föryngringsavverkning</t>
        </is>
      </c>
      <c r="D8964" s="1" t="n">
        <v>46071</v>
      </c>
      <c r="E8964" s="1" t="n">
        <v>46307</v>
      </c>
      <c r="F8964" t="inlineStr">
        <is>
          <t>VÄRMLANDS LÄN</t>
        </is>
      </c>
      <c r="G8964" t="inlineStr">
        <is>
          <t>SUNNE</t>
        </is>
      </c>
      <c r="I8964" t="n">
        <v>1.2</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22112-2026</t>
        </is>
      </c>
      <c r="B8965" t="inlineStr">
        <is>
          <t>avverkningsanmälan</t>
        </is>
      </c>
      <c r="C8965" t="inlineStr">
        <is>
          <t>Föryngringsavverkning</t>
        </is>
      </c>
      <c r="D8965" s="1" t="n">
        <v>46153</v>
      </c>
      <c r="E8965" s="1" t="n">
        <v>46307</v>
      </c>
      <c r="F8965" t="inlineStr">
        <is>
          <t>VÄRMLANDS LÄN</t>
        </is>
      </c>
      <c r="G8965" t="inlineStr">
        <is>
          <t>FILIPSTAD</t>
        </is>
      </c>
      <c r="H8965" t="inlineStr">
        <is>
          <t>Bergvik skog väst AB</t>
        </is>
      </c>
      <c r="I8965" t="n">
        <v>1.6</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22136-2026</t>
        </is>
      </c>
      <c r="B8966" t="inlineStr">
        <is>
          <t>avverkningsanmälan</t>
        </is>
      </c>
      <c r="C8966" t="inlineStr">
        <is>
          <t>Föryngringsavverkning</t>
        </is>
      </c>
      <c r="D8966" s="1" t="n">
        <v>46153</v>
      </c>
      <c r="E8966" s="1" t="n">
        <v>46307</v>
      </c>
      <c r="F8966" t="inlineStr">
        <is>
          <t>VÄRMLANDS LÄN</t>
        </is>
      </c>
      <c r="G8966" t="inlineStr">
        <is>
          <t>FILIPSTAD</t>
        </is>
      </c>
      <c r="I8966" t="n">
        <v>10.8</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22280-2026</t>
        </is>
      </c>
      <c r="B8967" t="inlineStr">
        <is>
          <t>avverkningsanmälan</t>
        </is>
      </c>
      <c r="C8967" t="inlineStr">
        <is>
          <t>Föryngringsavverkning</t>
        </is>
      </c>
      <c r="D8967" s="1" t="n">
        <v>46154</v>
      </c>
      <c r="E8967" s="1" t="n">
        <v>46307</v>
      </c>
      <c r="F8967" t="inlineStr">
        <is>
          <t>VÄRMLANDS LÄN</t>
        </is>
      </c>
      <c r="G8967" t="inlineStr">
        <is>
          <t>TORSBY</t>
        </is>
      </c>
      <c r="I8967" t="n">
        <v>1.6</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15216-2026</t>
        </is>
      </c>
      <c r="B8968" t="inlineStr">
        <is>
          <t>avverkningsanmälan</t>
        </is>
      </c>
      <c r="C8968" t="inlineStr">
        <is>
          <t>Föryngringsavverkning</t>
        </is>
      </c>
      <c r="D8968" s="1" t="n">
        <v>46105</v>
      </c>
      <c r="E8968" s="1" t="n">
        <v>46307</v>
      </c>
      <c r="F8968" t="inlineStr">
        <is>
          <t>VÄRMLANDS LÄN</t>
        </is>
      </c>
      <c r="G8968" t="inlineStr">
        <is>
          <t>SUNNE</t>
        </is>
      </c>
      <c r="I8968" t="n">
        <v>2.4</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9602-2026</t>
        </is>
      </c>
      <c r="B8969" t="inlineStr">
        <is>
          <t>avverkningsanmälan</t>
        </is>
      </c>
      <c r="C8969" t="inlineStr">
        <is>
          <t>Föryngringsavverkning</t>
        </is>
      </c>
      <c r="D8969" s="1" t="n">
        <v>46071</v>
      </c>
      <c r="E8969" s="1" t="n">
        <v>46307</v>
      </c>
      <c r="F8969" t="inlineStr">
        <is>
          <t>VÄRMLANDS LÄN</t>
        </is>
      </c>
      <c r="G8969" t="inlineStr">
        <is>
          <t>ARVIKA</t>
        </is>
      </c>
      <c r="I8969" t="n">
        <v>1.7</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22096-2026</t>
        </is>
      </c>
      <c r="B8970" t="inlineStr">
        <is>
          <t>avverkningsanmälan</t>
        </is>
      </c>
      <c r="C8970" t="inlineStr">
        <is>
          <t>Föryngringsavverkning</t>
        </is>
      </c>
      <c r="D8970" s="1" t="n">
        <v>46153</v>
      </c>
      <c r="E8970" s="1" t="n">
        <v>46307</v>
      </c>
      <c r="F8970" t="inlineStr">
        <is>
          <t>VÄRMLANDS LÄN</t>
        </is>
      </c>
      <c r="G8970" t="inlineStr">
        <is>
          <t>MUNKFORS</t>
        </is>
      </c>
      <c r="H8970" t="inlineStr">
        <is>
          <t>Bergvik skog väst AB</t>
        </is>
      </c>
      <c r="I8970" t="n">
        <v>8.5</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9743-2026</t>
        </is>
      </c>
      <c r="B8971" t="inlineStr">
        <is>
          <t>avverkningsanmälan</t>
        </is>
      </c>
      <c r="C8971" t="inlineStr">
        <is>
          <t>Föryngringsavverkning</t>
        </is>
      </c>
      <c r="D8971" s="1" t="n">
        <v>46072</v>
      </c>
      <c r="E8971" s="1" t="n">
        <v>46307</v>
      </c>
      <c r="F8971" t="inlineStr">
        <is>
          <t>VÄRMLANDS LÄN</t>
        </is>
      </c>
      <c r="G8971" t="inlineStr">
        <is>
          <t>ARVIKA</t>
        </is>
      </c>
      <c r="I8971" t="n">
        <v>2.4</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9670-2026</t>
        </is>
      </c>
      <c r="B8972" t="inlineStr">
        <is>
          <t>avverkningsanmälan</t>
        </is>
      </c>
      <c r="C8972" t="inlineStr">
        <is>
          <t>Föryngringsavverkning</t>
        </is>
      </c>
      <c r="D8972" s="1" t="n">
        <v>46072</v>
      </c>
      <c r="E8972" s="1" t="n">
        <v>46307</v>
      </c>
      <c r="F8972" t="inlineStr">
        <is>
          <t>VÄRMLANDS LÄN</t>
        </is>
      </c>
      <c r="G8972" t="inlineStr">
        <is>
          <t>HAGFORS</t>
        </is>
      </c>
      <c r="I8972" t="n">
        <v>5.7</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9769-2026</t>
        </is>
      </c>
      <c r="B8973" t="inlineStr">
        <is>
          <t>avverkningsanmälan</t>
        </is>
      </c>
      <c r="C8973" t="inlineStr">
        <is>
          <t>Föryngringsavverkning</t>
        </is>
      </c>
      <c r="D8973" s="1" t="n">
        <v>46072</v>
      </c>
      <c r="E8973" s="1" t="n">
        <v>46307</v>
      </c>
      <c r="F8973" t="inlineStr">
        <is>
          <t>VÄRMLANDS LÄN</t>
        </is>
      </c>
      <c r="G8973" t="inlineStr">
        <is>
          <t>HAGFORS</t>
        </is>
      </c>
      <c r="I8973" t="n">
        <v>0.6</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10283-2026</t>
        </is>
      </c>
      <c r="B8974" t="inlineStr">
        <is>
          <t>avverkningsanmälan</t>
        </is>
      </c>
      <c r="C8974" t="inlineStr">
        <is>
          <t>Föryngringsavverkning</t>
        </is>
      </c>
      <c r="D8974" s="1" t="n">
        <v>46076</v>
      </c>
      <c r="E8974" s="1" t="n">
        <v>46307</v>
      </c>
      <c r="F8974" t="inlineStr">
        <is>
          <t>VÄRMLANDS LÄN</t>
        </is>
      </c>
      <c r="G8974" t="inlineStr">
        <is>
          <t>SUNNE</t>
        </is>
      </c>
      <c r="I8974" t="n">
        <v>1.3</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10295-2026</t>
        </is>
      </c>
      <c r="B8975" t="inlineStr">
        <is>
          <t>avverkningsanmälan</t>
        </is>
      </c>
      <c r="C8975" t="inlineStr">
        <is>
          <t>Föryngringsavverkning</t>
        </is>
      </c>
      <c r="D8975" s="1" t="n">
        <v>46076</v>
      </c>
      <c r="E8975" s="1" t="n">
        <v>46307</v>
      </c>
      <c r="F8975" t="inlineStr">
        <is>
          <t>VÄRMLANDS LÄN</t>
        </is>
      </c>
      <c r="G8975" t="inlineStr">
        <is>
          <t>TORSBY</t>
        </is>
      </c>
      <c r="I8975" t="n">
        <v>1.3</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10102-2026</t>
        </is>
      </c>
      <c r="B8976" t="inlineStr">
        <is>
          <t>avverkningsanmälan</t>
        </is>
      </c>
      <c r="C8976" t="inlineStr">
        <is>
          <t>Föryngringsavverkning</t>
        </is>
      </c>
      <c r="D8976" s="1" t="n">
        <v>46073</v>
      </c>
      <c r="E8976" s="1" t="n">
        <v>46307</v>
      </c>
      <c r="F8976" t="inlineStr">
        <is>
          <t>VÄRMLANDS LÄN</t>
        </is>
      </c>
      <c r="G8976" t="inlineStr">
        <is>
          <t>ARVIKA</t>
        </is>
      </c>
      <c r="I8976" t="n">
        <v>2.9</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10103-2026</t>
        </is>
      </c>
      <c r="B8977" t="inlineStr">
        <is>
          <t>avverkningsanmälan</t>
        </is>
      </c>
      <c r="C8977" t="inlineStr">
        <is>
          <t>Föryngringsavverkning</t>
        </is>
      </c>
      <c r="D8977" s="1" t="n">
        <v>46073</v>
      </c>
      <c r="E8977" s="1" t="n">
        <v>46307</v>
      </c>
      <c r="F8977" t="inlineStr">
        <is>
          <t>VÄRMLANDS LÄN</t>
        </is>
      </c>
      <c r="G8977" t="inlineStr">
        <is>
          <t>ARVIKA</t>
        </is>
      </c>
      <c r="I8977" t="n">
        <v>1.6</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10220-2026</t>
        </is>
      </c>
      <c r="B8978" t="inlineStr">
        <is>
          <t>avverkningsanmälan</t>
        </is>
      </c>
      <c r="C8978" t="inlineStr">
        <is>
          <t>Föryngringsavverkning</t>
        </is>
      </c>
      <c r="D8978" s="1" t="n">
        <v>46076</v>
      </c>
      <c r="E8978" s="1" t="n">
        <v>46307</v>
      </c>
      <c r="F8978" t="inlineStr">
        <is>
          <t>VÄRMLANDS LÄN</t>
        </is>
      </c>
      <c r="G8978" t="inlineStr">
        <is>
          <t>ÅRJÄNG</t>
        </is>
      </c>
      <c r="I8978" t="n">
        <v>0.8</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22005-2026</t>
        </is>
      </c>
      <c r="B8979" t="inlineStr">
        <is>
          <t>avverkningsanmälan</t>
        </is>
      </c>
      <c r="C8979" t="inlineStr">
        <is>
          <t>Föryngringsavverkning</t>
        </is>
      </c>
      <c r="D8979" s="1" t="n">
        <v>46153</v>
      </c>
      <c r="E8979" s="1" t="n">
        <v>46307</v>
      </c>
      <c r="F8979" t="inlineStr">
        <is>
          <t>VÄRMLANDS LÄN</t>
        </is>
      </c>
      <c r="G8979" t="inlineStr">
        <is>
          <t>TORSBY</t>
        </is>
      </c>
      <c r="I8979" t="n">
        <v>1.3</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9789-2026</t>
        </is>
      </c>
      <c r="B8980" t="inlineStr">
        <is>
          <t>avverkningsanmälan</t>
        </is>
      </c>
      <c r="C8980" t="inlineStr">
        <is>
          <t>Föryngringsavverkning</t>
        </is>
      </c>
      <c r="D8980" s="1" t="n">
        <v>46071</v>
      </c>
      <c r="E8980" s="1" t="n">
        <v>46307</v>
      </c>
      <c r="F8980" t="inlineStr">
        <is>
          <t>VÄRMLANDS LÄN</t>
        </is>
      </c>
      <c r="G8980" t="inlineStr">
        <is>
          <t>ARVIKA</t>
        </is>
      </c>
      <c r="I8980" t="n">
        <v>0.7</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45747-2024</t>
        </is>
      </c>
      <c r="B8981" t="inlineStr">
        <is>
          <t>avverkningsanmälan</t>
        </is>
      </c>
      <c r="C8981" t="inlineStr">
        <is>
          <t>Föryngringsavverkning</t>
        </is>
      </c>
      <c r="D8981" s="1" t="n">
        <v>45579</v>
      </c>
      <c r="E8981" s="1" t="n">
        <v>46307</v>
      </c>
      <c r="F8981" t="inlineStr">
        <is>
          <t>VÄRMLANDS LÄN</t>
        </is>
      </c>
      <c r="G8981" t="inlineStr">
        <is>
          <t>EDA</t>
        </is>
      </c>
      <c r="I8981" t="n">
        <v>1.1</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9846-2026</t>
        </is>
      </c>
      <c r="B8982" t="inlineStr">
        <is>
          <t>avverkningsanmälan</t>
        </is>
      </c>
      <c r="C8982" t="inlineStr">
        <is>
          <t>Föryngringsavverkning</t>
        </is>
      </c>
      <c r="D8982" s="1" t="n">
        <v>46072</v>
      </c>
      <c r="E8982" s="1" t="n">
        <v>46307</v>
      </c>
      <c r="F8982" t="inlineStr">
        <is>
          <t>VÄRMLANDS LÄN</t>
        </is>
      </c>
      <c r="G8982" t="inlineStr">
        <is>
          <t>SÄFFLE</t>
        </is>
      </c>
      <c r="I8982" t="n">
        <v>6.6</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22144-2026</t>
        </is>
      </c>
      <c r="B8983" t="inlineStr">
        <is>
          <t>avverkningsanmälan</t>
        </is>
      </c>
      <c r="C8983" t="inlineStr">
        <is>
          <t>Föryngringsavverkning</t>
        </is>
      </c>
      <c r="D8983" s="1" t="n">
        <v>46153</v>
      </c>
      <c r="E8983" s="1" t="n">
        <v>46307</v>
      </c>
      <c r="F8983" t="inlineStr">
        <is>
          <t>VÄRMLANDS LÄN</t>
        </is>
      </c>
      <c r="G8983" t="inlineStr">
        <is>
          <t>FILIPSTAD</t>
        </is>
      </c>
      <c r="I8983" t="n">
        <v>3.5</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10105-2026</t>
        </is>
      </c>
      <c r="B8984" t="inlineStr">
        <is>
          <t>avverkningsanmälan</t>
        </is>
      </c>
      <c r="C8984" t="inlineStr">
        <is>
          <t>Föryngringsavverkning</t>
        </is>
      </c>
      <c r="D8984" s="1" t="n">
        <v>46073</v>
      </c>
      <c r="E8984" s="1" t="n">
        <v>46307</v>
      </c>
      <c r="F8984" t="inlineStr">
        <is>
          <t>VÄRMLANDS LÄN</t>
        </is>
      </c>
      <c r="G8984" t="inlineStr">
        <is>
          <t>ARVIKA</t>
        </is>
      </c>
      <c r="I8984" t="n">
        <v>0.3</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10332-2026</t>
        </is>
      </c>
      <c r="B8985" t="inlineStr">
        <is>
          <t>avverkningsanmälan</t>
        </is>
      </c>
      <c r="C8985" t="inlineStr">
        <is>
          <t>Föryngringsavverkning</t>
        </is>
      </c>
      <c r="D8985" s="1" t="n">
        <v>46076</v>
      </c>
      <c r="E8985" s="1" t="n">
        <v>46307</v>
      </c>
      <c r="F8985" t="inlineStr">
        <is>
          <t>VÄRMLANDS LÄN</t>
        </is>
      </c>
      <c r="G8985" t="inlineStr">
        <is>
          <t>TORSBY</t>
        </is>
      </c>
      <c r="I8985" t="n">
        <v>5.7</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10536-2026</t>
        </is>
      </c>
      <c r="B8986" t="inlineStr">
        <is>
          <t>avverkningsanmälan</t>
        </is>
      </c>
      <c r="C8986" t="inlineStr">
        <is>
          <t>Föryngringsavverkning</t>
        </is>
      </c>
      <c r="D8986" s="1" t="n">
        <v>46077</v>
      </c>
      <c r="E8986" s="1" t="n">
        <v>46307</v>
      </c>
      <c r="F8986" t="inlineStr">
        <is>
          <t>VÄRMLANDS LÄN</t>
        </is>
      </c>
      <c r="G8986" t="inlineStr">
        <is>
          <t>TORSBY</t>
        </is>
      </c>
      <c r="I8986" t="n">
        <v>2.6</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10099-2026</t>
        </is>
      </c>
      <c r="B8987" t="inlineStr">
        <is>
          <t>avverkningsanmälan</t>
        </is>
      </c>
      <c r="C8987" t="inlineStr">
        <is>
          <t>Föryngringsavverkning</t>
        </is>
      </c>
      <c r="D8987" s="1" t="n">
        <v>46073</v>
      </c>
      <c r="E8987" s="1" t="n">
        <v>46307</v>
      </c>
      <c r="F8987" t="inlineStr">
        <is>
          <t>VÄRMLANDS LÄN</t>
        </is>
      </c>
      <c r="G8987" t="inlineStr">
        <is>
          <t>SUNNE</t>
        </is>
      </c>
      <c r="I8987" t="n">
        <v>11.8</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10104-2026</t>
        </is>
      </c>
      <c r="B8988" t="inlineStr">
        <is>
          <t>avverkningsanmälan</t>
        </is>
      </c>
      <c r="C8988" t="inlineStr">
        <is>
          <t>Föryngringsavverkning</t>
        </is>
      </c>
      <c r="D8988" s="1" t="n">
        <v>46073</v>
      </c>
      <c r="E8988" s="1" t="n">
        <v>46307</v>
      </c>
      <c r="F8988" t="inlineStr">
        <is>
          <t>VÄRMLANDS LÄN</t>
        </is>
      </c>
      <c r="G8988" t="inlineStr">
        <is>
          <t>ARVIKA</t>
        </is>
      </c>
      <c r="I8988" t="n">
        <v>2.7</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54929-2025</t>
        </is>
      </c>
      <c r="B8989" t="inlineStr">
        <is>
          <t>avverkningsanmälan</t>
        </is>
      </c>
      <c r="C8989" t="inlineStr">
        <is>
          <t>Avverkning för annat ändamål</t>
        </is>
      </c>
      <c r="D8989" s="1" t="n">
        <v>45967</v>
      </c>
      <c r="E8989" s="1" t="n">
        <v>46307</v>
      </c>
      <c r="F8989" t="inlineStr">
        <is>
          <t>VÄRMLANDS LÄN</t>
        </is>
      </c>
      <c r="G8989" t="inlineStr">
        <is>
          <t>ARVIKA</t>
        </is>
      </c>
      <c r="I8989" t="n">
        <v>1.7</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14051-2026</t>
        </is>
      </c>
      <c r="B8990" t="inlineStr">
        <is>
          <t>avverkningsanmälan</t>
        </is>
      </c>
      <c r="C8990" t="inlineStr">
        <is>
          <t>Föryngringsavverkning</t>
        </is>
      </c>
      <c r="D8990" s="1" t="n">
        <v>46099</v>
      </c>
      <c r="E8990" s="1" t="n">
        <v>46307</v>
      </c>
      <c r="F8990" t="inlineStr">
        <is>
          <t>VÄRMLANDS LÄN</t>
        </is>
      </c>
      <c r="G8990" t="inlineStr">
        <is>
          <t>TORSBY</t>
        </is>
      </c>
      <c r="I8990" t="n">
        <v>3.8</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10279-2026</t>
        </is>
      </c>
      <c r="B8991" t="inlineStr">
        <is>
          <t>avverkningsanmälan</t>
        </is>
      </c>
      <c r="C8991" t="inlineStr">
        <is>
          <t>Föryngringsavverkning</t>
        </is>
      </c>
      <c r="D8991" s="1" t="n">
        <v>46076</v>
      </c>
      <c r="E8991" s="1" t="n">
        <v>46307</v>
      </c>
      <c r="F8991" t="inlineStr">
        <is>
          <t>VÄRMLANDS LÄN</t>
        </is>
      </c>
      <c r="G8991" t="inlineStr">
        <is>
          <t>FILIPSTAD</t>
        </is>
      </c>
      <c r="I8991" t="n">
        <v>1.6</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22201-2026</t>
        </is>
      </c>
      <c r="B8992" t="inlineStr">
        <is>
          <t>avverkningsanmälan</t>
        </is>
      </c>
      <c r="C8992" t="inlineStr">
        <is>
          <t>Föryngringsavverkning</t>
        </is>
      </c>
      <c r="D8992" s="1" t="n">
        <v>46153</v>
      </c>
      <c r="E8992" s="1" t="n">
        <v>46307</v>
      </c>
      <c r="F8992" t="inlineStr">
        <is>
          <t>VÄRMLANDS LÄN</t>
        </is>
      </c>
      <c r="G8992" t="inlineStr">
        <is>
          <t>FILIPSTAD</t>
        </is>
      </c>
      <c r="H8992" t="inlineStr">
        <is>
          <t>Bergvik skog väst AB</t>
        </is>
      </c>
      <c r="I8992" t="n">
        <v>1.2</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22183-2026</t>
        </is>
      </c>
      <c r="B8993" t="inlineStr">
        <is>
          <t>avverkningsanmälan</t>
        </is>
      </c>
      <c r="C8993" t="inlineStr">
        <is>
          <t>Föryngringsavverkning</t>
        </is>
      </c>
      <c r="D8993" s="1" t="n">
        <v>46153</v>
      </c>
      <c r="E8993" s="1" t="n">
        <v>46307</v>
      </c>
      <c r="F8993" t="inlineStr">
        <is>
          <t>VÄRMLANDS LÄN</t>
        </is>
      </c>
      <c r="G8993" t="inlineStr">
        <is>
          <t>EDA</t>
        </is>
      </c>
      <c r="H8993" t="inlineStr">
        <is>
          <t>Bergvik skog väst AB</t>
        </is>
      </c>
      <c r="I8993" t="n">
        <v>4</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22176-2026</t>
        </is>
      </c>
      <c r="B8994" t="inlineStr">
        <is>
          <t>avverkningsanmälan</t>
        </is>
      </c>
      <c r="C8994" t="inlineStr">
        <is>
          <t>Föryngringsavverkning</t>
        </is>
      </c>
      <c r="D8994" s="1" t="n">
        <v>46153</v>
      </c>
      <c r="E8994" s="1" t="n">
        <v>46307</v>
      </c>
      <c r="F8994" t="inlineStr">
        <is>
          <t>VÄRMLANDS LÄN</t>
        </is>
      </c>
      <c r="G8994" t="inlineStr">
        <is>
          <t>FILIPSTAD</t>
        </is>
      </c>
      <c r="H8994" t="inlineStr">
        <is>
          <t>Bergvik skog väst AB</t>
        </is>
      </c>
      <c r="I8994" t="n">
        <v>6.1</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22221-2026</t>
        </is>
      </c>
      <c r="B8995" t="inlineStr">
        <is>
          <t>avverkningsanmälan</t>
        </is>
      </c>
      <c r="C8995" t="inlineStr">
        <is>
          <t>Föryngringsavverkning</t>
        </is>
      </c>
      <c r="D8995" s="1" t="n">
        <v>46153</v>
      </c>
      <c r="E8995" s="1" t="n">
        <v>46307</v>
      </c>
      <c r="F8995" t="inlineStr">
        <is>
          <t>VÄRMLANDS LÄN</t>
        </is>
      </c>
      <c r="G8995" t="inlineStr">
        <is>
          <t>FORSHAGA</t>
        </is>
      </c>
      <c r="I8995" t="n">
        <v>3</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22229-2026</t>
        </is>
      </c>
      <c r="B8996" t="inlineStr">
        <is>
          <t>avverkningsanmälan</t>
        </is>
      </c>
      <c r="C8996" t="inlineStr">
        <is>
          <t>Föryngringsavverkning</t>
        </is>
      </c>
      <c r="D8996" s="1" t="n">
        <v>46153</v>
      </c>
      <c r="E8996" s="1" t="n">
        <v>46307</v>
      </c>
      <c r="F8996" t="inlineStr">
        <is>
          <t>VÄRMLANDS LÄN</t>
        </is>
      </c>
      <c r="G8996" t="inlineStr">
        <is>
          <t>FILIPSTAD</t>
        </is>
      </c>
      <c r="H8996" t="inlineStr">
        <is>
          <t>Bergvik skog väst AB</t>
        </is>
      </c>
      <c r="I8996" t="n">
        <v>1.5</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22172-2026</t>
        </is>
      </c>
      <c r="B8997" t="inlineStr">
        <is>
          <t>avverkningsanmälan</t>
        </is>
      </c>
      <c r="C8997" t="inlineStr">
        <is>
          <t>Föryngringsavverkning</t>
        </is>
      </c>
      <c r="D8997" s="1" t="n">
        <v>46153</v>
      </c>
      <c r="E8997" s="1" t="n">
        <v>46307</v>
      </c>
      <c r="F8997" t="inlineStr">
        <is>
          <t>VÄRMLANDS LÄN</t>
        </is>
      </c>
      <c r="G8997" t="inlineStr">
        <is>
          <t>EDA</t>
        </is>
      </c>
      <c r="H8997" t="inlineStr">
        <is>
          <t>Bergvik skog väst AB</t>
        </is>
      </c>
      <c r="I8997" t="n">
        <v>18.7</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10515-2026</t>
        </is>
      </c>
      <c r="B8998" t="inlineStr">
        <is>
          <t>avverkningsanmälan</t>
        </is>
      </c>
      <c r="C8998" t="inlineStr">
        <is>
          <t>Föryngringsavverkning</t>
        </is>
      </c>
      <c r="D8998" s="1" t="n">
        <v>46077</v>
      </c>
      <c r="E8998" s="1" t="n">
        <v>46307</v>
      </c>
      <c r="F8998" t="inlineStr">
        <is>
          <t>VÄRMLANDS LÄN</t>
        </is>
      </c>
      <c r="G8998" t="inlineStr">
        <is>
          <t>TORSBY</t>
        </is>
      </c>
      <c r="I8998" t="n">
        <v>1.4</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22192-2026</t>
        </is>
      </c>
      <c r="B8999" t="inlineStr">
        <is>
          <t>avverkningsanmälan</t>
        </is>
      </c>
      <c r="C8999" t="inlineStr">
        <is>
          <t>Föryngringsavverkning</t>
        </is>
      </c>
      <c r="D8999" s="1" t="n">
        <v>46153</v>
      </c>
      <c r="E8999" s="1" t="n">
        <v>46307</v>
      </c>
      <c r="F8999" t="inlineStr">
        <is>
          <t>VÄRMLANDS LÄN</t>
        </is>
      </c>
      <c r="G8999" t="inlineStr">
        <is>
          <t>FORSHAGA</t>
        </is>
      </c>
      <c r="I8999" t="n">
        <v>7.5</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10098-2026</t>
        </is>
      </c>
      <c r="B9000" t="inlineStr">
        <is>
          <t>avverkningsanmälan</t>
        </is>
      </c>
      <c r="C9000" t="inlineStr">
        <is>
          <t>Föryngringsavverkning</t>
        </is>
      </c>
      <c r="D9000" s="1" t="n">
        <v>46073</v>
      </c>
      <c r="E9000" s="1" t="n">
        <v>46307</v>
      </c>
      <c r="F9000" t="inlineStr">
        <is>
          <t>VÄRMLANDS LÄN</t>
        </is>
      </c>
      <c r="G9000" t="inlineStr">
        <is>
          <t>ARVIKA</t>
        </is>
      </c>
      <c r="I9000" t="n">
        <v>4.7</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9922-2026</t>
        </is>
      </c>
      <c r="B9001" t="inlineStr">
        <is>
          <t>avverkningsanmälan</t>
        </is>
      </c>
      <c r="C9001" t="inlineStr">
        <is>
          <t>Föryngringsavverkning</t>
        </is>
      </c>
      <c r="D9001" s="1" t="n">
        <v>46073</v>
      </c>
      <c r="E9001" s="1" t="n">
        <v>46307</v>
      </c>
      <c r="F9001" t="inlineStr">
        <is>
          <t>VÄRMLANDS LÄN</t>
        </is>
      </c>
      <c r="G9001" t="inlineStr">
        <is>
          <t>SÄFFLE</t>
        </is>
      </c>
      <c r="I9001" t="n">
        <v>12</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22245-2026</t>
        </is>
      </c>
      <c r="B9002" t="inlineStr">
        <is>
          <t>avverkningsanmälan</t>
        </is>
      </c>
      <c r="C9002" t="inlineStr">
        <is>
          <t>Föryngringsavverkning</t>
        </is>
      </c>
      <c r="D9002" s="1" t="n">
        <v>46154</v>
      </c>
      <c r="E9002" s="1" t="n">
        <v>46307</v>
      </c>
      <c r="F9002" t="inlineStr">
        <is>
          <t>VÄRMLANDS LÄN</t>
        </is>
      </c>
      <c r="G9002" t="inlineStr">
        <is>
          <t>EDA</t>
        </is>
      </c>
      <c r="I9002" t="n">
        <v>2.2</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10168-2026</t>
        </is>
      </c>
      <c r="B9003" t="inlineStr">
        <is>
          <t>avverkningsanmälan</t>
        </is>
      </c>
      <c r="C9003" t="inlineStr">
        <is>
          <t>Föryngringsavverkning</t>
        </is>
      </c>
      <c r="D9003" s="1" t="n">
        <v>46076</v>
      </c>
      <c r="E9003" s="1" t="n">
        <v>46307</v>
      </c>
      <c r="F9003" t="inlineStr">
        <is>
          <t>VÄRMLANDS LÄN</t>
        </is>
      </c>
      <c r="G9003" t="inlineStr">
        <is>
          <t>ÅRJÄNG</t>
        </is>
      </c>
      <c r="I9003" t="n">
        <v>1.1</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10050-2026</t>
        </is>
      </c>
      <c r="B9004" t="inlineStr">
        <is>
          <t>avverkningsanmälan</t>
        </is>
      </c>
      <c r="C9004" t="inlineStr">
        <is>
          <t>Föryngringsavverkning</t>
        </is>
      </c>
      <c r="D9004" s="1" t="n">
        <v>46073</v>
      </c>
      <c r="E9004" s="1" t="n">
        <v>46307</v>
      </c>
      <c r="F9004" t="inlineStr">
        <is>
          <t>VÄRMLANDS LÄN</t>
        </is>
      </c>
      <c r="G9004" t="inlineStr">
        <is>
          <t>ARVIKA</t>
        </is>
      </c>
      <c r="I9004" t="n">
        <v>1</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10215-2026</t>
        </is>
      </c>
      <c r="B9005" t="inlineStr">
        <is>
          <t>avverkningsanmälan</t>
        </is>
      </c>
      <c r="C9005" t="inlineStr">
        <is>
          <t>Föryngringsavverkning</t>
        </is>
      </c>
      <c r="D9005" s="1" t="n">
        <v>46076</v>
      </c>
      <c r="E9005" s="1" t="n">
        <v>46307</v>
      </c>
      <c r="F9005" t="inlineStr">
        <is>
          <t>VÄRMLANDS LÄN</t>
        </is>
      </c>
      <c r="G9005" t="inlineStr">
        <is>
          <t>ÅRJÄNG</t>
        </is>
      </c>
      <c r="I9005" t="n">
        <v>1.4</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10271-2026</t>
        </is>
      </c>
      <c r="B9006" t="inlineStr">
        <is>
          <t>avverkningsanmälan</t>
        </is>
      </c>
      <c r="C9006" t="inlineStr">
        <is>
          <t>Föryngringsavverkning</t>
        </is>
      </c>
      <c r="D9006" s="1" t="n">
        <v>46076</v>
      </c>
      <c r="E9006" s="1" t="n">
        <v>46307</v>
      </c>
      <c r="F9006" t="inlineStr">
        <is>
          <t>VÄRMLANDS LÄN</t>
        </is>
      </c>
      <c r="G9006" t="inlineStr">
        <is>
          <t>HAGFORS</t>
        </is>
      </c>
      <c r="I9006" t="n">
        <v>4.4</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10603-2026</t>
        </is>
      </c>
      <c r="B9007" t="inlineStr">
        <is>
          <t>avverkningsanmälan</t>
        </is>
      </c>
      <c r="C9007" t="inlineStr">
        <is>
          <t>Avverkning för annat ändamål</t>
        </is>
      </c>
      <c r="D9007" s="1" t="n">
        <v>46077</v>
      </c>
      <c r="E9007" s="1" t="n">
        <v>46307</v>
      </c>
      <c r="F9007" t="inlineStr">
        <is>
          <t>VÄRMLANDS LÄN</t>
        </is>
      </c>
      <c r="G9007" t="inlineStr">
        <is>
          <t>ARVIKA</t>
        </is>
      </c>
      <c r="I9007" t="n">
        <v>5.2</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22218-2026</t>
        </is>
      </c>
      <c r="B9008" t="inlineStr">
        <is>
          <t>avverkningsanmälan</t>
        </is>
      </c>
      <c r="C9008" t="inlineStr">
        <is>
          <t>Föryngringsavverkning</t>
        </is>
      </c>
      <c r="D9008" s="1" t="n">
        <v>46153</v>
      </c>
      <c r="E9008" s="1" t="n">
        <v>46307</v>
      </c>
      <c r="F9008" t="inlineStr">
        <is>
          <t>VÄRMLANDS LÄN</t>
        </is>
      </c>
      <c r="G9008" t="inlineStr">
        <is>
          <t>TORSBY</t>
        </is>
      </c>
      <c r="H9008" t="inlineStr">
        <is>
          <t>Bergvik skog väst AB</t>
        </is>
      </c>
      <c r="I9008" t="n">
        <v>5</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22687-2023</t>
        </is>
      </c>
      <c r="B9009" t="inlineStr">
        <is>
          <t>avverkningsanmälan</t>
        </is>
      </c>
      <c r="C9009" t="inlineStr">
        <is>
          <t>Föryngringsavverkning</t>
        </is>
      </c>
      <c r="D9009" s="1" t="n">
        <v>45071</v>
      </c>
      <c r="E9009" s="1" t="n">
        <v>46307</v>
      </c>
      <c r="F9009" t="inlineStr">
        <is>
          <t>VÄRMLANDS LÄN</t>
        </is>
      </c>
      <c r="G9009" t="inlineStr">
        <is>
          <t>TORSBY</t>
        </is>
      </c>
      <c r="H9009" t="inlineStr">
        <is>
          <t>Bergvik skog väst AB</t>
        </is>
      </c>
      <c r="I9009" t="n">
        <v>5.8</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10277-2026</t>
        </is>
      </c>
      <c r="B9010" t="inlineStr">
        <is>
          <t>avverkningsanmälan</t>
        </is>
      </c>
      <c r="C9010" t="inlineStr">
        <is>
          <t>Föryngringsavverkning</t>
        </is>
      </c>
      <c r="D9010" s="1" t="n">
        <v>46076</v>
      </c>
      <c r="E9010" s="1" t="n">
        <v>46307</v>
      </c>
      <c r="F9010" t="inlineStr">
        <is>
          <t>VÄRMLANDS LÄN</t>
        </is>
      </c>
      <c r="G9010" t="inlineStr">
        <is>
          <t>TORSBY</t>
        </is>
      </c>
      <c r="I9010" t="n">
        <v>0.5</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10533-2026</t>
        </is>
      </c>
      <c r="B9011" t="inlineStr">
        <is>
          <t>avverkningsanmälan</t>
        </is>
      </c>
      <c r="C9011" t="inlineStr">
        <is>
          <t>Föryngringsavverkning</t>
        </is>
      </c>
      <c r="D9011" s="1" t="n">
        <v>46077</v>
      </c>
      <c r="E9011" s="1" t="n">
        <v>46307</v>
      </c>
      <c r="F9011" t="inlineStr">
        <is>
          <t>VÄRMLANDS LÄN</t>
        </is>
      </c>
      <c r="G9011" t="inlineStr">
        <is>
          <t>TORSBY</t>
        </is>
      </c>
      <c r="I9011" t="n">
        <v>1.3</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10558-2026</t>
        </is>
      </c>
      <c r="B9012" t="inlineStr">
        <is>
          <t>avverkningsanmälan</t>
        </is>
      </c>
      <c r="C9012" t="inlineStr">
        <is>
          <t>Föryngringsavverkning</t>
        </is>
      </c>
      <c r="D9012" s="1" t="n">
        <v>46077</v>
      </c>
      <c r="E9012" s="1" t="n">
        <v>46307</v>
      </c>
      <c r="F9012" t="inlineStr">
        <is>
          <t>VÄRMLANDS LÄN</t>
        </is>
      </c>
      <c r="G9012" t="inlineStr">
        <is>
          <t>SUNNE</t>
        </is>
      </c>
      <c r="I9012" t="n">
        <v>6.4</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22222-2026</t>
        </is>
      </c>
      <c r="B9013" t="inlineStr">
        <is>
          <t>avverkningsanmälan</t>
        </is>
      </c>
      <c r="C9013" t="inlineStr">
        <is>
          <t>Föryngringsavverkning</t>
        </is>
      </c>
      <c r="D9013" s="1" t="n">
        <v>46153</v>
      </c>
      <c r="E9013" s="1" t="n">
        <v>46307</v>
      </c>
      <c r="F9013" t="inlineStr">
        <is>
          <t>VÄRMLANDS LÄN</t>
        </is>
      </c>
      <c r="G9013" t="inlineStr">
        <is>
          <t>FORSHAGA</t>
        </is>
      </c>
      <c r="I9013" t="n">
        <v>0.9</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10684-2026</t>
        </is>
      </c>
      <c r="B9014" t="inlineStr">
        <is>
          <t>avverkningsanmälan</t>
        </is>
      </c>
      <c r="C9014" t="inlineStr">
        <is>
          <t>Föryngringsavverkning</t>
        </is>
      </c>
      <c r="D9014" s="1" t="n">
        <v>46078</v>
      </c>
      <c r="E9014" s="1" t="n">
        <v>46307</v>
      </c>
      <c r="F9014" t="inlineStr">
        <is>
          <t>VÄRMLANDS LÄN</t>
        </is>
      </c>
      <c r="G9014" t="inlineStr">
        <is>
          <t>TORSBY</t>
        </is>
      </c>
      <c r="I9014" t="n">
        <v>1.6</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22255-2026</t>
        </is>
      </c>
      <c r="B9015" t="inlineStr">
        <is>
          <t>avverkningsanmälan</t>
        </is>
      </c>
      <c r="C9015" t="inlineStr">
        <is>
          <t>Föryngringsavverkning</t>
        </is>
      </c>
      <c r="D9015" s="1" t="n">
        <v>46154</v>
      </c>
      <c r="E9015" s="1" t="n">
        <v>46307</v>
      </c>
      <c r="F9015" t="inlineStr">
        <is>
          <t>VÄRMLANDS LÄN</t>
        </is>
      </c>
      <c r="G9015" t="inlineStr">
        <is>
          <t>KRISTINEHAMN</t>
        </is>
      </c>
      <c r="I9015" t="n">
        <v>0.9</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22258-2026</t>
        </is>
      </c>
      <c r="B9016" t="inlineStr">
        <is>
          <t>avverkningsanmälan</t>
        </is>
      </c>
      <c r="C9016" t="inlineStr">
        <is>
          <t>Föryngringsavverkning</t>
        </is>
      </c>
      <c r="D9016" s="1" t="n">
        <v>46154</v>
      </c>
      <c r="E9016" s="1" t="n">
        <v>46307</v>
      </c>
      <c r="F9016" t="inlineStr">
        <is>
          <t>VÄRMLANDS LÄN</t>
        </is>
      </c>
      <c r="G9016" t="inlineStr">
        <is>
          <t>KARLSTAD</t>
        </is>
      </c>
      <c r="I9016" t="n">
        <v>3.8</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10976-2026</t>
        </is>
      </c>
      <c r="B9017" t="inlineStr">
        <is>
          <t>avverkningsanmälan</t>
        </is>
      </c>
      <c r="C9017" t="inlineStr">
        <is>
          <t>Föryngringsavverkning</t>
        </is>
      </c>
      <c r="D9017" s="1" t="n">
        <v>46079</v>
      </c>
      <c r="E9017" s="1" t="n">
        <v>46307</v>
      </c>
      <c r="F9017" t="inlineStr">
        <is>
          <t>VÄRMLANDS LÄN</t>
        </is>
      </c>
      <c r="G9017" t="inlineStr">
        <is>
          <t>TORSBY</t>
        </is>
      </c>
      <c r="H9017" t="inlineStr">
        <is>
          <t>Bergvik skog väst AB</t>
        </is>
      </c>
      <c r="I9017" t="n">
        <v>6.6</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10871-2026</t>
        </is>
      </c>
      <c r="B9018" t="inlineStr">
        <is>
          <t>avverkningsanmälan</t>
        </is>
      </c>
      <c r="C9018" t="inlineStr">
        <is>
          <t>Föryngringsavverkning</t>
        </is>
      </c>
      <c r="D9018" s="1" t="n">
        <v>46078</v>
      </c>
      <c r="E9018" s="1" t="n">
        <v>46307</v>
      </c>
      <c r="F9018" t="inlineStr">
        <is>
          <t>VÄRMLANDS LÄN</t>
        </is>
      </c>
      <c r="G9018" t="inlineStr">
        <is>
          <t>TORSBY</t>
        </is>
      </c>
      <c r="I9018" t="n">
        <v>4.4</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12482-2024</t>
        </is>
      </c>
      <c r="B9019" t="inlineStr">
        <is>
          <t>avverkningsanmälan</t>
        </is>
      </c>
      <c r="C9019" t="inlineStr">
        <is>
          <t>Avverkning för annat ändamål</t>
        </is>
      </c>
      <c r="D9019" s="1" t="n">
        <v>45379</v>
      </c>
      <c r="E9019" s="1" t="n">
        <v>46307</v>
      </c>
      <c r="F9019" t="inlineStr">
        <is>
          <t>VÄRMLANDS LÄN</t>
        </is>
      </c>
      <c r="G9019" t="inlineStr">
        <is>
          <t>SÄFFLE</t>
        </is>
      </c>
      <c r="I9019" t="n">
        <v>3.2</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60392-2025</t>
        </is>
      </c>
      <c r="B9020" t="inlineStr">
        <is>
          <t>avverkningsanmälan</t>
        </is>
      </c>
      <c r="C9020" t="inlineStr">
        <is>
          <t>Föryngringsavverkning</t>
        </is>
      </c>
      <c r="D9020" s="1" t="n">
        <v>45995</v>
      </c>
      <c r="E9020" s="1" t="n">
        <v>46307</v>
      </c>
      <c r="F9020" t="inlineStr">
        <is>
          <t>VÄRMLANDS LÄN</t>
        </is>
      </c>
      <c r="G9020" t="inlineStr">
        <is>
          <t>TORSBY</t>
        </is>
      </c>
      <c r="H9020" t="inlineStr">
        <is>
          <t>Bergvik skog väst AB</t>
        </is>
      </c>
      <c r="I9020" t="n">
        <v>32.3</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10919-2026</t>
        </is>
      </c>
      <c r="B9021" t="inlineStr">
        <is>
          <t>avverkningsanmälan</t>
        </is>
      </c>
      <c r="C9021" t="inlineStr">
        <is>
          <t>Föryngringsavverkning</t>
        </is>
      </c>
      <c r="D9021" s="1" t="n">
        <v>46079</v>
      </c>
      <c r="E9021" s="1" t="n">
        <v>46307</v>
      </c>
      <c r="F9021" t="inlineStr">
        <is>
          <t>VÄRMLANDS LÄN</t>
        </is>
      </c>
      <c r="G9021" t="inlineStr">
        <is>
          <t>ÅRJÄNG</t>
        </is>
      </c>
      <c r="I9021" t="n">
        <v>0.9</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62288-2023</t>
        </is>
      </c>
      <c r="B9022" t="inlineStr">
        <is>
          <t>avverkningsanmälan</t>
        </is>
      </c>
      <c r="C9022" t="inlineStr">
        <is>
          <t>Föryngringsavverkning</t>
        </is>
      </c>
      <c r="D9022" s="1" t="n">
        <v>45267</v>
      </c>
      <c r="E9022" s="1" t="n">
        <v>46307</v>
      </c>
      <c r="F9022" t="inlineStr">
        <is>
          <t>VÄRMLANDS LÄN</t>
        </is>
      </c>
      <c r="G9022" t="inlineStr">
        <is>
          <t>ÅRJÄNG</t>
        </is>
      </c>
      <c r="I9022" t="n">
        <v>2.3</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22032-2026</t>
        </is>
      </c>
      <c r="B9023" t="inlineStr">
        <is>
          <t>avverkningsanmälan</t>
        </is>
      </c>
      <c r="C9023" t="inlineStr">
        <is>
          <t>Föryngringsavverkning</t>
        </is>
      </c>
      <c r="D9023" s="1" t="n">
        <v>46153</v>
      </c>
      <c r="E9023" s="1" t="n">
        <v>46307</v>
      </c>
      <c r="F9023" t="inlineStr">
        <is>
          <t>VÄRMLANDS LÄN</t>
        </is>
      </c>
      <c r="G9023" t="inlineStr">
        <is>
          <t>FILIPSTAD</t>
        </is>
      </c>
      <c r="H9023" t="inlineStr">
        <is>
          <t>Bergvik skog väst AB</t>
        </is>
      </c>
      <c r="I9023" t="n">
        <v>3.9</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22050-2026</t>
        </is>
      </c>
      <c r="B9024" t="inlineStr">
        <is>
          <t>avverkningsanmälan</t>
        </is>
      </c>
      <c r="C9024" t="inlineStr">
        <is>
          <t>Föryngringsavverkning</t>
        </is>
      </c>
      <c r="D9024" s="1" t="n">
        <v>46153</v>
      </c>
      <c r="E9024" s="1" t="n">
        <v>46307</v>
      </c>
      <c r="F9024" t="inlineStr">
        <is>
          <t>VÄRMLANDS LÄN</t>
        </is>
      </c>
      <c r="G9024" t="inlineStr">
        <is>
          <t>TORSBY</t>
        </is>
      </c>
      <c r="H9024" t="inlineStr">
        <is>
          <t>Kommuner</t>
        </is>
      </c>
      <c r="I9024" t="n">
        <v>6.4</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22138-2026</t>
        </is>
      </c>
      <c r="B9025" t="inlineStr">
        <is>
          <t>avverkningsanmälan</t>
        </is>
      </c>
      <c r="C9025" t="inlineStr">
        <is>
          <t>Föryngringsavverkning</t>
        </is>
      </c>
      <c r="D9025" s="1" t="n">
        <v>46153</v>
      </c>
      <c r="E9025" s="1" t="n">
        <v>46307</v>
      </c>
      <c r="F9025" t="inlineStr">
        <is>
          <t>VÄRMLANDS LÄN</t>
        </is>
      </c>
      <c r="G9025" t="inlineStr">
        <is>
          <t>FILIPSTAD</t>
        </is>
      </c>
      <c r="I9025" t="n">
        <v>2.4</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11052-2026</t>
        </is>
      </c>
      <c r="B9026" t="inlineStr">
        <is>
          <t>avverkningsanmälan</t>
        </is>
      </c>
      <c r="C9026" t="inlineStr">
        <is>
          <t>Föryngringsavverkning</t>
        </is>
      </c>
      <c r="D9026" s="1" t="n">
        <v>46079</v>
      </c>
      <c r="E9026" s="1" t="n">
        <v>46307</v>
      </c>
      <c r="F9026" t="inlineStr">
        <is>
          <t>VÄRMLANDS LÄN</t>
        </is>
      </c>
      <c r="G9026" t="inlineStr">
        <is>
          <t>ÅRJÄNG</t>
        </is>
      </c>
      <c r="I9026" t="n">
        <v>0.8</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22406-2026</t>
        </is>
      </c>
      <c r="B9027" t="inlineStr">
        <is>
          <t>avverkningsanmälan</t>
        </is>
      </c>
      <c r="C9027" t="inlineStr">
        <is>
          <t>Föryngringsavverkning</t>
        </is>
      </c>
      <c r="D9027" s="1" t="n">
        <v>46154</v>
      </c>
      <c r="E9027" s="1" t="n">
        <v>46307</v>
      </c>
      <c r="F9027" t="inlineStr">
        <is>
          <t>VÄRMLANDS LÄN</t>
        </is>
      </c>
      <c r="G9027" t="inlineStr">
        <is>
          <t>GRUMS</t>
        </is>
      </c>
      <c r="I9027" t="n">
        <v>5.2</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44256-2025</t>
        </is>
      </c>
      <c r="B9028" t="inlineStr">
        <is>
          <t>avverkningsanmälan</t>
        </is>
      </c>
      <c r="C9028" t="inlineStr">
        <is>
          <t>Föryngringsavverkning</t>
        </is>
      </c>
      <c r="D9028" s="1" t="n">
        <v>45915</v>
      </c>
      <c r="E9028" s="1" t="n">
        <v>46307</v>
      </c>
      <c r="F9028" t="inlineStr">
        <is>
          <t>VÄRMLANDS LÄN</t>
        </is>
      </c>
      <c r="G9028" t="inlineStr">
        <is>
          <t>ARVIKA</t>
        </is>
      </c>
      <c r="H9028" t="inlineStr">
        <is>
          <t>Kyrkan</t>
        </is>
      </c>
      <c r="I9028" t="n">
        <v>2.2</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53243-2024</t>
        </is>
      </c>
      <c r="B9029" t="inlineStr">
        <is>
          <t>avverkningsanmälan</t>
        </is>
      </c>
      <c r="C9029" t="inlineStr">
        <is>
          <t>Föryngringsavverkning</t>
        </is>
      </c>
      <c r="D9029" s="1" t="n">
        <v>45613</v>
      </c>
      <c r="E9029" s="1" t="n">
        <v>46307</v>
      </c>
      <c r="F9029" t="inlineStr">
        <is>
          <t>VÄRMLANDS LÄN</t>
        </is>
      </c>
      <c r="G9029" t="inlineStr">
        <is>
          <t>ARVIKA</t>
        </is>
      </c>
      <c r="I9029" t="n">
        <v>3</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8129-2024</t>
        </is>
      </c>
      <c r="B9030" t="inlineStr">
        <is>
          <t>avverkningsanmälan</t>
        </is>
      </c>
      <c r="C9030" t="inlineStr">
        <is>
          <t>Föryngringsavverkning</t>
        </is>
      </c>
      <c r="D9030" s="1" t="n">
        <v>45351</v>
      </c>
      <c r="E9030" s="1" t="n">
        <v>46307</v>
      </c>
      <c r="F9030" t="inlineStr">
        <is>
          <t>VÄRMLANDS LÄN</t>
        </is>
      </c>
      <c r="G9030" t="inlineStr">
        <is>
          <t>HAGFORS</t>
        </is>
      </c>
      <c r="H9030" t="inlineStr">
        <is>
          <t>Kyrkan</t>
        </is>
      </c>
      <c r="I9030" t="n">
        <v>10</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10884-2026</t>
        </is>
      </c>
      <c r="B9031" t="inlineStr">
        <is>
          <t>avverkningsanmälan</t>
        </is>
      </c>
      <c r="C9031" t="inlineStr">
        <is>
          <t>Föryngringsavverkning</t>
        </is>
      </c>
      <c r="D9031" s="1" t="n">
        <v>46078</v>
      </c>
      <c r="E9031" s="1" t="n">
        <v>46307</v>
      </c>
      <c r="F9031" t="inlineStr">
        <is>
          <t>VÄRMLANDS LÄN</t>
        </is>
      </c>
      <c r="G9031" t="inlineStr">
        <is>
          <t>ÅRJÄNG</t>
        </is>
      </c>
      <c r="I9031" t="n">
        <v>5</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10885-2026</t>
        </is>
      </c>
      <c r="B9032" t="inlineStr">
        <is>
          <t>avverkningsanmälan</t>
        </is>
      </c>
      <c r="C9032" t="inlineStr">
        <is>
          <t>Föryngringsavverkning</t>
        </is>
      </c>
      <c r="D9032" s="1" t="n">
        <v>46078</v>
      </c>
      <c r="E9032" s="1" t="n">
        <v>46307</v>
      </c>
      <c r="F9032" t="inlineStr">
        <is>
          <t>VÄRMLANDS LÄN</t>
        </is>
      </c>
      <c r="G9032" t="inlineStr">
        <is>
          <t>ÅRJÄNG</t>
        </is>
      </c>
      <c r="I9032" t="n">
        <v>3</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11079-2026</t>
        </is>
      </c>
      <c r="B9033" t="inlineStr">
        <is>
          <t>avverkningsanmälan</t>
        </is>
      </c>
      <c r="C9033" t="inlineStr">
        <is>
          <t>Föryngringsavverkning</t>
        </is>
      </c>
      <c r="D9033" s="1" t="n">
        <v>46079</v>
      </c>
      <c r="E9033" s="1" t="n">
        <v>46307</v>
      </c>
      <c r="F9033" t="inlineStr">
        <is>
          <t>VÄRMLANDS LÄN</t>
        </is>
      </c>
      <c r="G9033" t="inlineStr">
        <is>
          <t>SÄFFLE</t>
        </is>
      </c>
      <c r="I9033" t="n">
        <v>5.3</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11081-2026</t>
        </is>
      </c>
      <c r="B9034" t="inlineStr">
        <is>
          <t>avverkningsanmälan</t>
        </is>
      </c>
      <c r="C9034" t="inlineStr">
        <is>
          <t>Föryngringsavverkning</t>
        </is>
      </c>
      <c r="D9034" s="1" t="n">
        <v>46079</v>
      </c>
      <c r="E9034" s="1" t="n">
        <v>46307</v>
      </c>
      <c r="F9034" t="inlineStr">
        <is>
          <t>VÄRMLANDS LÄN</t>
        </is>
      </c>
      <c r="G9034" t="inlineStr">
        <is>
          <t>SÄFFLE</t>
        </is>
      </c>
      <c r="I9034" t="n">
        <v>1.6</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10800-2026</t>
        </is>
      </c>
      <c r="B9035" t="inlineStr">
        <is>
          <t>avverkningsanmälan</t>
        </is>
      </c>
      <c r="C9035" t="inlineStr">
        <is>
          <t>Föryngringsavverkning</t>
        </is>
      </c>
      <c r="D9035" s="1" t="n">
        <v>46078</v>
      </c>
      <c r="E9035" s="1" t="n">
        <v>46307</v>
      </c>
      <c r="F9035" t="inlineStr">
        <is>
          <t>VÄRMLANDS LÄN</t>
        </is>
      </c>
      <c r="G9035" t="inlineStr">
        <is>
          <t>SÄFFLE</t>
        </is>
      </c>
      <c r="I9035" t="n">
        <v>0.7</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12790-2026</t>
        </is>
      </c>
      <c r="B9036" t="inlineStr">
        <is>
          <t>avverkningsanmälan</t>
        </is>
      </c>
      <c r="C9036" t="inlineStr">
        <is>
          <t>Föryngringsavverkning</t>
        </is>
      </c>
      <c r="D9036" s="1" t="n">
        <v>46092</v>
      </c>
      <c r="E9036" s="1" t="n">
        <v>46307</v>
      </c>
      <c r="F9036" t="inlineStr">
        <is>
          <t>VÄRMLANDS LÄN</t>
        </is>
      </c>
      <c r="G9036" t="inlineStr">
        <is>
          <t>TORSBY</t>
        </is>
      </c>
      <c r="I9036" t="n">
        <v>0.6</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10987-2026</t>
        </is>
      </c>
      <c r="B9037" t="inlineStr">
        <is>
          <t>avverkningsanmälan</t>
        </is>
      </c>
      <c r="C9037" t="inlineStr">
        <is>
          <t>Föryngringsavverkning</t>
        </is>
      </c>
      <c r="D9037" s="1" t="n">
        <v>46079</v>
      </c>
      <c r="E9037" s="1" t="n">
        <v>46307</v>
      </c>
      <c r="F9037" t="inlineStr">
        <is>
          <t>VÄRMLANDS LÄN</t>
        </is>
      </c>
      <c r="G9037" t="inlineStr">
        <is>
          <t>FORSHAGA</t>
        </is>
      </c>
      <c r="H9037" t="inlineStr">
        <is>
          <t>Bergvik skog väst AB</t>
        </is>
      </c>
      <c r="I9037" t="n">
        <v>4.2</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22021-2026</t>
        </is>
      </c>
      <c r="B9038" t="inlineStr">
        <is>
          <t>avverkningsanmälan</t>
        </is>
      </c>
      <c r="C9038" t="inlineStr">
        <is>
          <t>Föryngringsavverkning</t>
        </is>
      </c>
      <c r="D9038" s="1" t="n">
        <v>46153</v>
      </c>
      <c r="E9038" s="1" t="n">
        <v>46307</v>
      </c>
      <c r="F9038" t="inlineStr">
        <is>
          <t>VÄRMLANDS LÄN</t>
        </is>
      </c>
      <c r="G9038" t="inlineStr">
        <is>
          <t>FILIPSTAD</t>
        </is>
      </c>
      <c r="H9038" t="inlineStr">
        <is>
          <t>Bergvik skog väst AB</t>
        </is>
      </c>
      <c r="I9038" t="n">
        <v>5.6</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22031-2026</t>
        </is>
      </c>
      <c r="B9039" t="inlineStr">
        <is>
          <t>avverkningsanmälan</t>
        </is>
      </c>
      <c r="C9039" t="inlineStr">
        <is>
          <t>Föryngringsavverkning</t>
        </is>
      </c>
      <c r="D9039" s="1" t="n">
        <v>46153</v>
      </c>
      <c r="E9039" s="1" t="n">
        <v>46307</v>
      </c>
      <c r="F9039" t="inlineStr">
        <is>
          <t>VÄRMLANDS LÄN</t>
        </is>
      </c>
      <c r="G9039" t="inlineStr">
        <is>
          <t>TORSBY</t>
        </is>
      </c>
      <c r="H9039" t="inlineStr">
        <is>
          <t>Bergvik skog väst AB</t>
        </is>
      </c>
      <c r="I9039" t="n">
        <v>4.8</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22115-2026</t>
        </is>
      </c>
      <c r="B9040" t="inlineStr">
        <is>
          <t>avverkningsanmälan</t>
        </is>
      </c>
      <c r="C9040" t="inlineStr">
        <is>
          <t>Föryngringsavverkning</t>
        </is>
      </c>
      <c r="D9040" s="1" t="n">
        <v>46153</v>
      </c>
      <c r="E9040" s="1" t="n">
        <v>46307</v>
      </c>
      <c r="F9040" t="inlineStr">
        <is>
          <t>VÄRMLANDS LÄN</t>
        </is>
      </c>
      <c r="G9040" t="inlineStr">
        <is>
          <t>FILIPSTAD</t>
        </is>
      </c>
      <c r="H9040" t="inlineStr">
        <is>
          <t>Bergvik skog väst AB</t>
        </is>
      </c>
      <c r="I9040" t="n">
        <v>3.8</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22051-2026</t>
        </is>
      </c>
      <c r="B9041" t="inlineStr">
        <is>
          <t>avverkningsanmälan</t>
        </is>
      </c>
      <c r="C9041" t="inlineStr">
        <is>
          <t>Föryngringsavverkning</t>
        </is>
      </c>
      <c r="D9041" s="1" t="n">
        <v>46153</v>
      </c>
      <c r="E9041" s="1" t="n">
        <v>46307</v>
      </c>
      <c r="F9041" t="inlineStr">
        <is>
          <t>VÄRMLANDS LÄN</t>
        </is>
      </c>
      <c r="G9041" t="inlineStr">
        <is>
          <t>FILIPSTAD</t>
        </is>
      </c>
      <c r="H9041" t="inlineStr">
        <is>
          <t>Bergvik skog väst AB</t>
        </is>
      </c>
      <c r="I9041" t="n">
        <v>3</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11070-2026</t>
        </is>
      </c>
      <c r="B9042" t="inlineStr">
        <is>
          <t>avverkningsanmälan</t>
        </is>
      </c>
      <c r="C9042" t="inlineStr">
        <is>
          <t>Föryngringsavverkning</t>
        </is>
      </c>
      <c r="D9042" s="1" t="n">
        <v>46079</v>
      </c>
      <c r="E9042" s="1" t="n">
        <v>46307</v>
      </c>
      <c r="F9042" t="inlineStr">
        <is>
          <t>VÄRMLANDS LÄN</t>
        </is>
      </c>
      <c r="G9042" t="inlineStr">
        <is>
          <t>SÄFFLE</t>
        </is>
      </c>
      <c r="I9042" t="n">
        <v>4.2</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22393-2026</t>
        </is>
      </c>
      <c r="B9043" t="inlineStr">
        <is>
          <t>avverkningsanmälan</t>
        </is>
      </c>
      <c r="C9043" t="inlineStr">
        <is>
          <t>Föryngringsavverkning</t>
        </is>
      </c>
      <c r="D9043" s="1" t="n">
        <v>46154</v>
      </c>
      <c r="E9043" s="1" t="n">
        <v>46307</v>
      </c>
      <c r="F9043" t="inlineStr">
        <is>
          <t>VÄRMLANDS LÄN</t>
        </is>
      </c>
      <c r="G9043" t="inlineStr">
        <is>
          <t>SÄFFLE</t>
        </is>
      </c>
      <c r="I9043" t="n">
        <v>0.4</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11501-2026</t>
        </is>
      </c>
      <c r="B9044" t="inlineStr">
        <is>
          <t>avverkningsanmälan</t>
        </is>
      </c>
      <c r="C9044" t="inlineStr">
        <is>
          <t>Föryngringsavverkning</t>
        </is>
      </c>
      <c r="D9044" s="1" t="n">
        <v>46083</v>
      </c>
      <c r="E9044" s="1" t="n">
        <v>46307</v>
      </c>
      <c r="F9044" t="inlineStr">
        <is>
          <t>VÄRMLANDS LÄN</t>
        </is>
      </c>
      <c r="G9044" t="inlineStr">
        <is>
          <t>SÄFFLE</t>
        </is>
      </c>
      <c r="I9044" t="n">
        <v>5.8</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11342-2026</t>
        </is>
      </c>
      <c r="B9045" t="inlineStr">
        <is>
          <t>avverkningsanmälan</t>
        </is>
      </c>
      <c r="C9045" t="inlineStr">
        <is>
          <t>Avverkning för annat ändamål</t>
        </is>
      </c>
      <c r="D9045" s="1" t="n">
        <v>46082</v>
      </c>
      <c r="E9045" s="1" t="n">
        <v>46307</v>
      </c>
      <c r="F9045" t="inlineStr">
        <is>
          <t>VÄRMLANDS LÄN</t>
        </is>
      </c>
      <c r="G9045" t="inlineStr">
        <is>
          <t>KARLSTAD</t>
        </is>
      </c>
      <c r="I9045" t="n">
        <v>0.6</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11469-2026</t>
        </is>
      </c>
      <c r="B9046" t="inlineStr">
        <is>
          <t>avverkningsanmälan</t>
        </is>
      </c>
      <c r="C9046" t="inlineStr">
        <is>
          <t>Föryngringsavverkning</t>
        </is>
      </c>
      <c r="D9046" s="1" t="n">
        <v>46083</v>
      </c>
      <c r="E9046" s="1" t="n">
        <v>46307</v>
      </c>
      <c r="F9046" t="inlineStr">
        <is>
          <t>VÄRMLANDS LÄN</t>
        </is>
      </c>
      <c r="G9046" t="inlineStr">
        <is>
          <t>EDA</t>
        </is>
      </c>
      <c r="I9046" t="n">
        <v>1.7</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11485-2026</t>
        </is>
      </c>
      <c r="B9047" t="inlineStr">
        <is>
          <t>avverkningsanmälan</t>
        </is>
      </c>
      <c r="C9047" t="inlineStr">
        <is>
          <t>Föryngringsavverkning</t>
        </is>
      </c>
      <c r="D9047" s="1" t="n">
        <v>46083</v>
      </c>
      <c r="E9047" s="1" t="n">
        <v>46307</v>
      </c>
      <c r="F9047" t="inlineStr">
        <is>
          <t>VÄRMLANDS LÄN</t>
        </is>
      </c>
      <c r="G9047" t="inlineStr">
        <is>
          <t>EDA</t>
        </is>
      </c>
      <c r="I9047" t="n">
        <v>1.3</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11489-2026</t>
        </is>
      </c>
      <c r="B9048" t="inlineStr">
        <is>
          <t>avverkningsanmälan</t>
        </is>
      </c>
      <c r="C9048" t="inlineStr">
        <is>
          <t>Föryngringsavverkning</t>
        </is>
      </c>
      <c r="D9048" s="1" t="n">
        <v>46083</v>
      </c>
      <c r="E9048" s="1" t="n">
        <v>46307</v>
      </c>
      <c r="F9048" t="inlineStr">
        <is>
          <t>VÄRMLANDS LÄN</t>
        </is>
      </c>
      <c r="G9048" t="inlineStr">
        <is>
          <t>TORSBY</t>
        </is>
      </c>
      <c r="H9048" t="inlineStr">
        <is>
          <t>Bergvik skog väst AB</t>
        </is>
      </c>
      <c r="I9048" t="n">
        <v>7.1</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11499-2026</t>
        </is>
      </c>
      <c r="B9049" t="inlineStr">
        <is>
          <t>avverkningsanmälan</t>
        </is>
      </c>
      <c r="C9049" t="inlineStr">
        <is>
          <t>Föryngringsavverkning</t>
        </is>
      </c>
      <c r="D9049" s="1" t="n">
        <v>46083</v>
      </c>
      <c r="E9049" s="1" t="n">
        <v>46307</v>
      </c>
      <c r="F9049" t="inlineStr">
        <is>
          <t>VÄRMLANDS LÄN</t>
        </is>
      </c>
      <c r="G9049" t="inlineStr">
        <is>
          <t>SÄFFLE</t>
        </is>
      </c>
      <c r="I9049" t="n">
        <v>1.8</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11536-2026</t>
        </is>
      </c>
      <c r="B9050" t="inlineStr">
        <is>
          <t>avverkningsanmälan</t>
        </is>
      </c>
      <c r="C9050" t="inlineStr">
        <is>
          <t>Föryngringsavverkning</t>
        </is>
      </c>
      <c r="D9050" s="1" t="n">
        <v>46083</v>
      </c>
      <c r="E9050" s="1" t="n">
        <v>46307</v>
      </c>
      <c r="F9050" t="inlineStr">
        <is>
          <t>VÄRMLANDS LÄN</t>
        </is>
      </c>
      <c r="G9050" t="inlineStr">
        <is>
          <t>ÅRJÄNG</t>
        </is>
      </c>
      <c r="I9050" t="n">
        <v>1.5</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45446-2025</t>
        </is>
      </c>
      <c r="B9051" t="inlineStr">
        <is>
          <t>avverkningsanmälan</t>
        </is>
      </c>
      <c r="C9051" t="inlineStr">
        <is>
          <t>Föryngringsavverkning</t>
        </is>
      </c>
      <c r="D9051" s="1" t="n">
        <v>45922</v>
      </c>
      <c r="E9051" s="1" t="n">
        <v>46307</v>
      </c>
      <c r="F9051" t="inlineStr">
        <is>
          <t>VÄRMLANDS LÄN</t>
        </is>
      </c>
      <c r="G9051" t="inlineStr">
        <is>
          <t>ARVIKA</t>
        </is>
      </c>
      <c r="I9051" t="n">
        <v>2.4</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22220-2026</t>
        </is>
      </c>
      <c r="B9052" t="inlineStr">
        <is>
          <t>avverkningsanmälan</t>
        </is>
      </c>
      <c r="C9052" t="inlineStr">
        <is>
          <t>Föryngringsavverkning</t>
        </is>
      </c>
      <c r="D9052" s="1" t="n">
        <v>46153</v>
      </c>
      <c r="E9052" s="1" t="n">
        <v>46307</v>
      </c>
      <c r="F9052" t="inlineStr">
        <is>
          <t>VÄRMLANDS LÄN</t>
        </is>
      </c>
      <c r="G9052" t="inlineStr">
        <is>
          <t>FILIPSTAD</t>
        </is>
      </c>
      <c r="H9052" t="inlineStr">
        <is>
          <t>Bergvik skog väst AB</t>
        </is>
      </c>
      <c r="I9052" t="n">
        <v>2</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22152-2026</t>
        </is>
      </c>
      <c r="B9053" t="inlineStr">
        <is>
          <t>avverkningsanmälan</t>
        </is>
      </c>
      <c r="C9053" t="inlineStr">
        <is>
          <t>Föryngringsavverkning</t>
        </is>
      </c>
      <c r="D9053" s="1" t="n">
        <v>46153</v>
      </c>
      <c r="E9053" s="1" t="n">
        <v>46307</v>
      </c>
      <c r="F9053" t="inlineStr">
        <is>
          <t>VÄRMLANDS LÄN</t>
        </is>
      </c>
      <c r="G9053" t="inlineStr">
        <is>
          <t>FILIPSTAD</t>
        </is>
      </c>
      <c r="H9053" t="inlineStr">
        <is>
          <t>Bergvik skog väst AB</t>
        </is>
      </c>
      <c r="I9053" t="n">
        <v>0.7</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11274-2026</t>
        </is>
      </c>
      <c r="B9054" t="inlineStr">
        <is>
          <t>avverkningsanmälan</t>
        </is>
      </c>
      <c r="C9054" t="inlineStr">
        <is>
          <t>Föryngringsavverkning</t>
        </is>
      </c>
      <c r="D9054" s="1" t="n">
        <v>46080</v>
      </c>
      <c r="E9054" s="1" t="n">
        <v>46307</v>
      </c>
      <c r="F9054" t="inlineStr">
        <is>
          <t>VÄRMLANDS LÄN</t>
        </is>
      </c>
      <c r="G9054" t="inlineStr">
        <is>
          <t>TORSBY</t>
        </is>
      </c>
      <c r="I9054" t="n">
        <v>2.9</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11376-2026</t>
        </is>
      </c>
      <c r="B9055" t="inlineStr">
        <is>
          <t>avverkningsanmälan</t>
        </is>
      </c>
      <c r="C9055" t="inlineStr">
        <is>
          <t>Föryngringsavverkning</t>
        </is>
      </c>
      <c r="D9055" s="1" t="n">
        <v>46083</v>
      </c>
      <c r="E9055" s="1" t="n">
        <v>46307</v>
      </c>
      <c r="F9055" t="inlineStr">
        <is>
          <t>VÄRMLANDS LÄN</t>
        </is>
      </c>
      <c r="G9055" t="inlineStr">
        <is>
          <t>ÅRJÄNG</t>
        </is>
      </c>
      <c r="I9055" t="n">
        <v>7.4</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22243-2026</t>
        </is>
      </c>
      <c r="B9056" t="inlineStr">
        <is>
          <t>avverkningsanmälan</t>
        </is>
      </c>
      <c r="C9056" t="inlineStr">
        <is>
          <t>Föryngringsavverkning</t>
        </is>
      </c>
      <c r="D9056" s="1" t="n">
        <v>46154</v>
      </c>
      <c r="E9056" s="1" t="n">
        <v>46307</v>
      </c>
      <c r="F9056" t="inlineStr">
        <is>
          <t>VÄRMLANDS LÄN</t>
        </is>
      </c>
      <c r="G9056" t="inlineStr">
        <is>
          <t>EDA</t>
        </is>
      </c>
      <c r="H9056" t="inlineStr">
        <is>
          <t>Bergvik skog väst AB</t>
        </is>
      </c>
      <c r="I9056" t="n">
        <v>1.2</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11190-2026</t>
        </is>
      </c>
      <c r="B9057" t="inlineStr">
        <is>
          <t>avverkningsanmälan</t>
        </is>
      </c>
      <c r="C9057" t="inlineStr">
        <is>
          <t>Föryngringsavverkning</t>
        </is>
      </c>
      <c r="D9057" s="1" t="n">
        <v>46080</v>
      </c>
      <c r="E9057" s="1" t="n">
        <v>46307</v>
      </c>
      <c r="F9057" t="inlineStr">
        <is>
          <t>VÄRMLANDS LÄN</t>
        </is>
      </c>
      <c r="G9057" t="inlineStr">
        <is>
          <t>ARVIKA</t>
        </is>
      </c>
      <c r="I9057" t="n">
        <v>1.7</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22302-2026</t>
        </is>
      </c>
      <c r="B9058" t="inlineStr">
        <is>
          <t>avverkningsanmälan</t>
        </is>
      </c>
      <c r="C9058" t="inlineStr">
        <is>
          <t>Föryngringsavverkning</t>
        </is>
      </c>
      <c r="D9058" s="1" t="n">
        <v>46154</v>
      </c>
      <c r="E9058" s="1" t="n">
        <v>46307</v>
      </c>
      <c r="F9058" t="inlineStr">
        <is>
          <t>VÄRMLANDS LÄN</t>
        </is>
      </c>
      <c r="G9058" t="inlineStr">
        <is>
          <t>KARLSTAD</t>
        </is>
      </c>
      <c r="I9058" t="n">
        <v>0.5</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11497-2026</t>
        </is>
      </c>
      <c r="B9059" t="inlineStr">
        <is>
          <t>avverkningsanmälan</t>
        </is>
      </c>
      <c r="C9059" t="inlineStr">
        <is>
          <t>Föryngringsavverkning</t>
        </is>
      </c>
      <c r="D9059" s="1" t="n">
        <v>46083</v>
      </c>
      <c r="E9059" s="1" t="n">
        <v>46307</v>
      </c>
      <c r="F9059" t="inlineStr">
        <is>
          <t>VÄRMLANDS LÄN</t>
        </is>
      </c>
      <c r="G9059" t="inlineStr">
        <is>
          <t>SÄFFLE</t>
        </is>
      </c>
      <c r="I9059" t="n">
        <v>7.9</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11500-2026</t>
        </is>
      </c>
      <c r="B9060" t="inlineStr">
        <is>
          <t>avverkningsanmälan</t>
        </is>
      </c>
      <c r="C9060" t="inlineStr">
        <is>
          <t>Föryngringsavverkning</t>
        </is>
      </c>
      <c r="D9060" s="1" t="n">
        <v>46083</v>
      </c>
      <c r="E9060" s="1" t="n">
        <v>46307</v>
      </c>
      <c r="F9060" t="inlineStr">
        <is>
          <t>VÄRMLANDS LÄN</t>
        </is>
      </c>
      <c r="G9060" t="inlineStr">
        <is>
          <t>SÄFFLE</t>
        </is>
      </c>
      <c r="I9060" t="n">
        <v>0.5</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11502-2026</t>
        </is>
      </c>
      <c r="B9061" t="inlineStr">
        <is>
          <t>avverkningsanmälan</t>
        </is>
      </c>
      <c r="C9061" t="inlineStr">
        <is>
          <t>Föryngringsavverkning</t>
        </is>
      </c>
      <c r="D9061" s="1" t="n">
        <v>46083</v>
      </c>
      <c r="E9061" s="1" t="n">
        <v>46307</v>
      </c>
      <c r="F9061" t="inlineStr">
        <is>
          <t>VÄRMLANDS LÄN</t>
        </is>
      </c>
      <c r="G9061" t="inlineStr">
        <is>
          <t>SÄFFLE</t>
        </is>
      </c>
      <c r="I9061" t="n">
        <v>1.2</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11362-2026</t>
        </is>
      </c>
      <c r="B9062" t="inlineStr">
        <is>
          <t>avverkningsanmälan</t>
        </is>
      </c>
      <c r="C9062" t="inlineStr">
        <is>
          <t>Föryngringsavverkning</t>
        </is>
      </c>
      <c r="D9062" s="1" t="n">
        <v>46083</v>
      </c>
      <c r="E9062" s="1" t="n">
        <v>46307</v>
      </c>
      <c r="F9062" t="inlineStr">
        <is>
          <t>VÄRMLANDS LÄN</t>
        </is>
      </c>
      <c r="G9062" t="inlineStr">
        <is>
          <t>TORSBY</t>
        </is>
      </c>
      <c r="I9062" t="n">
        <v>3.6</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11435-2026</t>
        </is>
      </c>
      <c r="B9063" t="inlineStr">
        <is>
          <t>avverkningsanmälan</t>
        </is>
      </c>
      <c r="C9063" t="inlineStr">
        <is>
          <t>Föryngringsavverkning</t>
        </is>
      </c>
      <c r="D9063" s="1" t="n">
        <v>46083</v>
      </c>
      <c r="E9063" s="1" t="n">
        <v>46307</v>
      </c>
      <c r="F9063" t="inlineStr">
        <is>
          <t>VÄRMLANDS LÄN</t>
        </is>
      </c>
      <c r="G9063" t="inlineStr">
        <is>
          <t>ARVIKA</t>
        </is>
      </c>
      <c r="I9063" t="n">
        <v>2.1</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31726-2025</t>
        </is>
      </c>
      <c r="B9064" t="inlineStr">
        <is>
          <t>avverkningsanmälan</t>
        </is>
      </c>
      <c r="C9064" t="inlineStr">
        <is>
          <t>Föryngringsavverkning</t>
        </is>
      </c>
      <c r="D9064" s="1" t="n">
        <v>45834</v>
      </c>
      <c r="E9064" s="1" t="n">
        <v>46307</v>
      </c>
      <c r="F9064" t="inlineStr">
        <is>
          <t>VÄRMLANDS LÄN</t>
        </is>
      </c>
      <c r="G9064" t="inlineStr">
        <is>
          <t>EDA</t>
        </is>
      </c>
      <c r="I9064" t="n">
        <v>1.5</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22435-2026</t>
        </is>
      </c>
      <c r="B9065" t="inlineStr">
        <is>
          <t>avverkningsanmälan</t>
        </is>
      </c>
      <c r="C9065" t="inlineStr">
        <is>
          <t>Föryngringsavverkning</t>
        </is>
      </c>
      <c r="D9065" s="1" t="n">
        <v>46155</v>
      </c>
      <c r="E9065" s="1" t="n">
        <v>46307</v>
      </c>
      <c r="F9065" t="inlineStr">
        <is>
          <t>VÄRMLANDS LÄN</t>
        </is>
      </c>
      <c r="G9065" t="inlineStr">
        <is>
          <t>ÅRJÄNG</t>
        </is>
      </c>
      <c r="I9065" t="n">
        <v>4.6</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22438-2026</t>
        </is>
      </c>
      <c r="B9066" t="inlineStr">
        <is>
          <t>avverkningsanmälan</t>
        </is>
      </c>
      <c r="C9066" t="inlineStr">
        <is>
          <t>Föryngringsavverkning</t>
        </is>
      </c>
      <c r="D9066" s="1" t="n">
        <v>46155</v>
      </c>
      <c r="E9066" s="1" t="n">
        <v>46307</v>
      </c>
      <c r="F9066" t="inlineStr">
        <is>
          <t>VÄRMLANDS LÄN</t>
        </is>
      </c>
      <c r="G9066" t="inlineStr">
        <is>
          <t>TORSBY</t>
        </is>
      </c>
      <c r="H9066" t="inlineStr">
        <is>
          <t>Bergvik skog väst AB</t>
        </is>
      </c>
      <c r="I9066" t="n">
        <v>12.1</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11447-2026</t>
        </is>
      </c>
      <c r="B9067" t="inlineStr">
        <is>
          <t>avverkningsanmälan</t>
        </is>
      </c>
      <c r="C9067" t="inlineStr">
        <is>
          <t>Föryngringsavverkning</t>
        </is>
      </c>
      <c r="D9067" s="1" t="n">
        <v>46083</v>
      </c>
      <c r="E9067" s="1" t="n">
        <v>46307</v>
      </c>
      <c r="F9067" t="inlineStr">
        <is>
          <t>VÄRMLANDS LÄN</t>
        </is>
      </c>
      <c r="G9067" t="inlineStr">
        <is>
          <t>SUNNE</t>
        </is>
      </c>
      <c r="I9067" t="n">
        <v>2.9</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11463-2026</t>
        </is>
      </c>
      <c r="B9068" t="inlineStr">
        <is>
          <t>avverkningsanmälan</t>
        </is>
      </c>
      <c r="C9068" t="inlineStr">
        <is>
          <t>Föryngringsavverkning</t>
        </is>
      </c>
      <c r="D9068" s="1" t="n">
        <v>46083</v>
      </c>
      <c r="E9068" s="1" t="n">
        <v>46307</v>
      </c>
      <c r="F9068" t="inlineStr">
        <is>
          <t>VÄRMLANDS LÄN</t>
        </is>
      </c>
      <c r="G9068" t="inlineStr">
        <is>
          <t>KRISTINEHAMN</t>
        </is>
      </c>
      <c r="H9068" t="inlineStr">
        <is>
          <t>Bergvik skog väst AB</t>
        </is>
      </c>
      <c r="I9068" t="n">
        <v>1.2</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11377-2026</t>
        </is>
      </c>
      <c r="B9069" t="inlineStr">
        <is>
          <t>avverkningsanmälan</t>
        </is>
      </c>
      <c r="C9069" t="inlineStr">
        <is>
          <t>Föryngringsavverkning</t>
        </is>
      </c>
      <c r="D9069" s="1" t="n">
        <v>46083</v>
      </c>
      <c r="E9069" s="1" t="n">
        <v>46307</v>
      </c>
      <c r="F9069" t="inlineStr">
        <is>
          <t>VÄRMLANDS LÄN</t>
        </is>
      </c>
      <c r="G9069" t="inlineStr">
        <is>
          <t>ARVIKA</t>
        </is>
      </c>
      <c r="I9069" t="n">
        <v>0.8</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22667-2026</t>
        </is>
      </c>
      <c r="B9070" t="inlineStr">
        <is>
          <t>avverkningsanmälan</t>
        </is>
      </c>
      <c r="C9070" t="inlineStr">
        <is>
          <t>Föryngringsavverkning</t>
        </is>
      </c>
      <c r="D9070" s="1" t="n">
        <v>46155</v>
      </c>
      <c r="E9070" s="1" t="n">
        <v>46307</v>
      </c>
      <c r="F9070" t="inlineStr">
        <is>
          <t>VÄRMLANDS LÄN</t>
        </is>
      </c>
      <c r="G9070" t="inlineStr">
        <is>
          <t>HAGFORS</t>
        </is>
      </c>
      <c r="H9070" t="inlineStr">
        <is>
          <t>Bergvik skog väst AB</t>
        </is>
      </c>
      <c r="I9070" t="n">
        <v>5.9</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11625-2026</t>
        </is>
      </c>
      <c r="B9071" t="inlineStr">
        <is>
          <t>avverkningsanmälan</t>
        </is>
      </c>
      <c r="C9071" t="inlineStr">
        <is>
          <t>Föryngringsavverkning</t>
        </is>
      </c>
      <c r="D9071" s="1" t="n">
        <v>46084</v>
      </c>
      <c r="E9071" s="1" t="n">
        <v>46307</v>
      </c>
      <c r="F9071" t="inlineStr">
        <is>
          <t>VÄRMLANDS LÄN</t>
        </is>
      </c>
      <c r="G9071" t="inlineStr">
        <is>
          <t>ÅRJÄNG</t>
        </is>
      </c>
      <c r="I9071" t="n">
        <v>3.9</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5399-2026</t>
        </is>
      </c>
      <c r="B9072" t="inlineStr">
        <is>
          <t>avverkningsanmälan</t>
        </is>
      </c>
      <c r="C9072" t="inlineStr">
        <is>
          <t>Föryngringsavverkning</t>
        </is>
      </c>
      <c r="D9072" s="1" t="n">
        <v>46050</v>
      </c>
      <c r="E9072" s="1" t="n">
        <v>46307</v>
      </c>
      <c r="F9072" t="inlineStr">
        <is>
          <t>VÄRMLANDS LÄN</t>
        </is>
      </c>
      <c r="G9072" t="inlineStr">
        <is>
          <t>SÄFFLE</t>
        </is>
      </c>
      <c r="I9072" t="n">
        <v>5.1</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15022-2025</t>
        </is>
      </c>
      <c r="B9073" t="inlineStr">
        <is>
          <t>avverkningsanmälan</t>
        </is>
      </c>
      <c r="C9073" t="inlineStr">
        <is>
          <t>Föryngringsavverkning</t>
        </is>
      </c>
      <c r="D9073" s="1" t="n">
        <v>45743</v>
      </c>
      <c r="E9073" s="1" t="n">
        <v>46307</v>
      </c>
      <c r="F9073" t="inlineStr">
        <is>
          <t>VÄRMLANDS LÄN</t>
        </is>
      </c>
      <c r="G9073" t="inlineStr">
        <is>
          <t>TORSBY</t>
        </is>
      </c>
      <c r="I9073" t="n">
        <v>7.2</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53298-2025</t>
        </is>
      </c>
      <c r="B9074" t="inlineStr">
        <is>
          <t>avverkningsanmälan</t>
        </is>
      </c>
      <c r="C9074" t="inlineStr">
        <is>
          <t>Föryngringsavverkning</t>
        </is>
      </c>
      <c r="D9074" s="1" t="n">
        <v>45959</v>
      </c>
      <c r="E9074" s="1" t="n">
        <v>46307</v>
      </c>
      <c r="F9074" t="inlineStr">
        <is>
          <t>VÄRMLANDS LÄN</t>
        </is>
      </c>
      <c r="G9074" t="inlineStr">
        <is>
          <t>ÅRJÄNG</t>
        </is>
      </c>
      <c r="I9074" t="n">
        <v>1</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15860-2023</t>
        </is>
      </c>
      <c r="B9075" t="inlineStr">
        <is>
          <t>avverkningsanmälan</t>
        </is>
      </c>
      <c r="C9075" t="inlineStr">
        <is>
          <t>Föryngringsavverkning</t>
        </is>
      </c>
      <c r="D9075" s="1" t="n">
        <v>45022</v>
      </c>
      <c r="E9075" s="1" t="n">
        <v>46307</v>
      </c>
      <c r="F9075" t="inlineStr">
        <is>
          <t>VÄRMLANDS LÄN</t>
        </is>
      </c>
      <c r="G9075" t="inlineStr">
        <is>
          <t>KRISTINEHAMN</t>
        </is>
      </c>
      <c r="I9075" t="n">
        <v>1.4</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22572-2026</t>
        </is>
      </c>
      <c r="B9076" t="inlineStr">
        <is>
          <t>avverkningsanmälan</t>
        </is>
      </c>
      <c r="C9076" t="inlineStr">
        <is>
          <t>Föryngringsavverkning</t>
        </is>
      </c>
      <c r="D9076" s="1" t="n">
        <v>46155</v>
      </c>
      <c r="E9076" s="1" t="n">
        <v>46307</v>
      </c>
      <c r="F9076" t="inlineStr">
        <is>
          <t>VÄRMLANDS LÄN</t>
        </is>
      </c>
      <c r="G9076" t="inlineStr">
        <is>
          <t>HAGFORS</t>
        </is>
      </c>
      <c r="H9076" t="inlineStr">
        <is>
          <t>Bergvik skog väst AB</t>
        </is>
      </c>
      <c r="I9076" t="n">
        <v>3.6</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11953-2026</t>
        </is>
      </c>
      <c r="B9077" t="inlineStr">
        <is>
          <t>avverkningsanmälan</t>
        </is>
      </c>
      <c r="C9077" t="inlineStr">
        <is>
          <t>Föryngringsavverkning</t>
        </is>
      </c>
      <c r="D9077" s="1" t="n">
        <v>46085</v>
      </c>
      <c r="E9077" s="1" t="n">
        <v>46307</v>
      </c>
      <c r="F9077" t="inlineStr">
        <is>
          <t>VÄRMLANDS LÄN</t>
        </is>
      </c>
      <c r="G9077" t="inlineStr">
        <is>
          <t>ÅRJÄNG</t>
        </is>
      </c>
      <c r="I9077" t="n">
        <v>3.8</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11901-2026</t>
        </is>
      </c>
      <c r="B9078" t="inlineStr">
        <is>
          <t>avverkningsanmälan</t>
        </is>
      </c>
      <c r="C9078" t="inlineStr">
        <is>
          <t>Föryngringsavverkning</t>
        </is>
      </c>
      <c r="D9078" s="1" t="n">
        <v>46085</v>
      </c>
      <c r="E9078" s="1" t="n">
        <v>46307</v>
      </c>
      <c r="F9078" t="inlineStr">
        <is>
          <t>VÄRMLANDS LÄN</t>
        </is>
      </c>
      <c r="G9078" t="inlineStr">
        <is>
          <t>TORSBY</t>
        </is>
      </c>
      <c r="I9078" t="n">
        <v>6.6</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11909-2026</t>
        </is>
      </c>
      <c r="B9079" t="inlineStr">
        <is>
          <t>avverkningsanmälan</t>
        </is>
      </c>
      <c r="C9079" t="inlineStr">
        <is>
          <t>Föryngringsavverkning</t>
        </is>
      </c>
      <c r="D9079" s="1" t="n">
        <v>46085</v>
      </c>
      <c r="E9079" s="1" t="n">
        <v>46307</v>
      </c>
      <c r="F9079" t="inlineStr">
        <is>
          <t>VÄRMLANDS LÄN</t>
        </is>
      </c>
      <c r="G9079" t="inlineStr">
        <is>
          <t>TORSBY</t>
        </is>
      </c>
      <c r="I9079" t="n">
        <v>2.7</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6644-2024</t>
        </is>
      </c>
      <c r="B9080" t="inlineStr">
        <is>
          <t>avverkningsanmälan</t>
        </is>
      </c>
      <c r="C9080" t="inlineStr">
        <is>
          <t>Föryngringsavverkning</t>
        </is>
      </c>
      <c r="D9080" s="1" t="n">
        <v>45341</v>
      </c>
      <c r="E9080" s="1" t="n">
        <v>46307</v>
      </c>
      <c r="F9080" t="inlineStr">
        <is>
          <t>VÄRMLANDS LÄN</t>
        </is>
      </c>
      <c r="G9080" t="inlineStr">
        <is>
          <t>KRISTINEHAMN</t>
        </is>
      </c>
      <c r="I9080" t="n">
        <v>4.2</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11692-2026</t>
        </is>
      </c>
      <c r="B9081" t="inlineStr">
        <is>
          <t>avverkningsanmälan</t>
        </is>
      </c>
      <c r="C9081" t="inlineStr">
        <is>
          <t>Föryngringsavverkning</t>
        </is>
      </c>
      <c r="D9081" s="1" t="n">
        <v>46084</v>
      </c>
      <c r="E9081" s="1" t="n">
        <v>46307</v>
      </c>
      <c r="F9081" t="inlineStr">
        <is>
          <t>VÄRMLANDS LÄN</t>
        </is>
      </c>
      <c r="G9081" t="inlineStr">
        <is>
          <t>TORSBY</t>
        </is>
      </c>
      <c r="I9081" t="n">
        <v>0.7</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11539-2026</t>
        </is>
      </c>
      <c r="B9082" t="inlineStr">
        <is>
          <t>avverkningsanmälan</t>
        </is>
      </c>
      <c r="C9082" t="inlineStr">
        <is>
          <t>Föryngringsavverkning</t>
        </is>
      </c>
      <c r="D9082" s="1" t="n">
        <v>46083</v>
      </c>
      <c r="E9082" s="1" t="n">
        <v>46307</v>
      </c>
      <c r="F9082" t="inlineStr">
        <is>
          <t>VÄRMLANDS LÄN</t>
        </is>
      </c>
      <c r="G9082" t="inlineStr">
        <is>
          <t>ARVIKA</t>
        </is>
      </c>
      <c r="I9082" t="n">
        <v>4.5</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11623-2026</t>
        </is>
      </c>
      <c r="B9083" t="inlineStr">
        <is>
          <t>avverkningsanmälan</t>
        </is>
      </c>
      <c r="C9083" t="inlineStr">
        <is>
          <t>Föryngringsavverkning</t>
        </is>
      </c>
      <c r="D9083" s="1" t="n">
        <v>46084</v>
      </c>
      <c r="E9083" s="1" t="n">
        <v>46307</v>
      </c>
      <c r="F9083" t="inlineStr">
        <is>
          <t>VÄRMLANDS LÄN</t>
        </is>
      </c>
      <c r="G9083" t="inlineStr">
        <is>
          <t>ÅRJÄNG</t>
        </is>
      </c>
      <c r="I9083" t="n">
        <v>2.7</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11562-2026</t>
        </is>
      </c>
      <c r="B9084" t="inlineStr">
        <is>
          <t>avverkningsanmälan</t>
        </is>
      </c>
      <c r="C9084" t="inlineStr">
        <is>
          <t>Föryngringsavverkning</t>
        </is>
      </c>
      <c r="D9084" s="1" t="n">
        <v>46084</v>
      </c>
      <c r="E9084" s="1" t="n">
        <v>46307</v>
      </c>
      <c r="F9084" t="inlineStr">
        <is>
          <t>VÄRMLANDS LÄN</t>
        </is>
      </c>
      <c r="G9084" t="inlineStr">
        <is>
          <t>EDA</t>
        </is>
      </c>
      <c r="I9084" t="n">
        <v>5.5</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14025-2025</t>
        </is>
      </c>
      <c r="B9085" t="inlineStr">
        <is>
          <t>avverkningsanmälan</t>
        </is>
      </c>
      <c r="C9085" t="inlineStr">
        <is>
          <t>Föryngringsavverkning</t>
        </is>
      </c>
      <c r="D9085" s="1" t="n">
        <v>45740</v>
      </c>
      <c r="E9085" s="1" t="n">
        <v>46307</v>
      </c>
      <c r="F9085" t="inlineStr">
        <is>
          <t>VÄRMLANDS LÄN</t>
        </is>
      </c>
      <c r="G9085" t="inlineStr">
        <is>
          <t>TORSBY</t>
        </is>
      </c>
      <c r="I9085" t="n">
        <v>1.2</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11722-2026</t>
        </is>
      </c>
      <c r="B9086" t="inlineStr">
        <is>
          <t>avverkningsanmälan</t>
        </is>
      </c>
      <c r="C9086" t="inlineStr">
        <is>
          <t>Föryngringsavverkning</t>
        </is>
      </c>
      <c r="D9086" s="1" t="n">
        <v>46084</v>
      </c>
      <c r="E9086" s="1" t="n">
        <v>46307</v>
      </c>
      <c r="F9086" t="inlineStr">
        <is>
          <t>VÄRMLANDS LÄN</t>
        </is>
      </c>
      <c r="G9086" t="inlineStr">
        <is>
          <t>TORSBY</t>
        </is>
      </c>
      <c r="H9086" t="inlineStr">
        <is>
          <t>Bergvik skog väst AB</t>
        </is>
      </c>
      <c r="I9086" t="n">
        <v>6.7</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11921-2026</t>
        </is>
      </c>
      <c r="B9087" t="inlineStr">
        <is>
          <t>avverkningsanmälan</t>
        </is>
      </c>
      <c r="C9087" t="inlineStr">
        <is>
          <t>Föryngringsavverkning</t>
        </is>
      </c>
      <c r="D9087" s="1" t="n">
        <v>46085</v>
      </c>
      <c r="E9087" s="1" t="n">
        <v>46307</v>
      </c>
      <c r="F9087" t="inlineStr">
        <is>
          <t>VÄRMLANDS LÄN</t>
        </is>
      </c>
      <c r="G9087" t="inlineStr">
        <is>
          <t>ÅRJÄNG</t>
        </is>
      </c>
      <c r="I9087" t="n">
        <v>3.6</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11958-2026</t>
        </is>
      </c>
      <c r="B9088" t="inlineStr">
        <is>
          <t>avverkningsanmälan</t>
        </is>
      </c>
      <c r="C9088" t="inlineStr">
        <is>
          <t>Föryngringsavverkning</t>
        </is>
      </c>
      <c r="D9088" s="1" t="n">
        <v>46085</v>
      </c>
      <c r="E9088" s="1" t="n">
        <v>46307</v>
      </c>
      <c r="F9088" t="inlineStr">
        <is>
          <t>VÄRMLANDS LÄN</t>
        </is>
      </c>
      <c r="G9088" t="inlineStr">
        <is>
          <t>ÅRJÄNG</t>
        </is>
      </c>
      <c r="I9088" t="n">
        <v>3.8</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11983-2026</t>
        </is>
      </c>
      <c r="B9089" t="inlineStr">
        <is>
          <t>avverkningsanmälan</t>
        </is>
      </c>
      <c r="C9089" t="inlineStr">
        <is>
          <t>Föryngringsavverkning</t>
        </is>
      </c>
      <c r="D9089" s="1" t="n">
        <v>46085</v>
      </c>
      <c r="E9089" s="1" t="n">
        <v>46307</v>
      </c>
      <c r="F9089" t="inlineStr">
        <is>
          <t>VÄRMLANDS LÄN</t>
        </is>
      </c>
      <c r="G9089" t="inlineStr">
        <is>
          <t>EDA</t>
        </is>
      </c>
      <c r="I9089" t="n">
        <v>1.5</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11985-2026</t>
        </is>
      </c>
      <c r="B9090" t="inlineStr">
        <is>
          <t>avverkningsanmälan</t>
        </is>
      </c>
      <c r="C9090" t="inlineStr">
        <is>
          <t>Föryngringsavverkning</t>
        </is>
      </c>
      <c r="D9090" s="1" t="n">
        <v>46085</v>
      </c>
      <c r="E9090" s="1" t="n">
        <v>46307</v>
      </c>
      <c r="F9090" t="inlineStr">
        <is>
          <t>VÄRMLANDS LÄN</t>
        </is>
      </c>
      <c r="G9090" t="inlineStr">
        <is>
          <t>EDA</t>
        </is>
      </c>
      <c r="I9090" t="n">
        <v>1.5</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11765-2026</t>
        </is>
      </c>
      <c r="B9091" t="inlineStr">
        <is>
          <t>avverkningsanmälan</t>
        </is>
      </c>
      <c r="C9091" t="inlineStr">
        <is>
          <t>Föryngringsavverkning</t>
        </is>
      </c>
      <c r="D9091" s="1" t="n">
        <v>46084</v>
      </c>
      <c r="E9091" s="1" t="n">
        <v>46307</v>
      </c>
      <c r="F9091" t="inlineStr">
        <is>
          <t>VÄRMLANDS LÄN</t>
        </is>
      </c>
      <c r="G9091" t="inlineStr">
        <is>
          <t>TORSBY</t>
        </is>
      </c>
      <c r="I9091" t="n">
        <v>5.2</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6640-2024</t>
        </is>
      </c>
      <c r="B9092" t="inlineStr">
        <is>
          <t>avverkningsanmälan</t>
        </is>
      </c>
      <c r="C9092" t="inlineStr">
        <is>
          <t>Föryngringsavverkning</t>
        </is>
      </c>
      <c r="D9092" s="1" t="n">
        <v>45341</v>
      </c>
      <c r="E9092" s="1" t="n">
        <v>46307</v>
      </c>
      <c r="F9092" t="inlineStr">
        <is>
          <t>VÄRMLANDS LÄN</t>
        </is>
      </c>
      <c r="G9092" t="inlineStr">
        <is>
          <t>KRISTINEHAMN</t>
        </is>
      </c>
      <c r="I9092" t="n">
        <v>2.6</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18501-2026</t>
        </is>
      </c>
      <c r="B9093" t="inlineStr">
        <is>
          <t>avverkningsanmälan</t>
        </is>
      </c>
      <c r="C9093" t="inlineStr">
        <is>
          <t>Föryngringsavverkning</t>
        </is>
      </c>
      <c r="D9093" s="1" t="n">
        <v>46127</v>
      </c>
      <c r="E9093" s="1" t="n">
        <v>46307</v>
      </c>
      <c r="F9093" t="inlineStr">
        <is>
          <t>VÄRMLANDS LÄN</t>
        </is>
      </c>
      <c r="G9093" t="inlineStr">
        <is>
          <t>ARVIKA</t>
        </is>
      </c>
      <c r="I9093" t="n">
        <v>1.8</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11711-2026</t>
        </is>
      </c>
      <c r="B9094" t="inlineStr">
        <is>
          <t>avverkningsanmälan</t>
        </is>
      </c>
      <c r="C9094" t="inlineStr">
        <is>
          <t>Föryngringsavverkning</t>
        </is>
      </c>
      <c r="D9094" s="1" t="n">
        <v>46084</v>
      </c>
      <c r="E9094" s="1" t="n">
        <v>46307</v>
      </c>
      <c r="F9094" t="inlineStr">
        <is>
          <t>VÄRMLANDS LÄN</t>
        </is>
      </c>
      <c r="G9094" t="inlineStr">
        <is>
          <t>TORSBY</t>
        </is>
      </c>
      <c r="I9094" t="n">
        <v>2.2</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22516-2026</t>
        </is>
      </c>
      <c r="B9095" t="inlineStr">
        <is>
          <t>avverkningsanmälan</t>
        </is>
      </c>
      <c r="C9095" t="inlineStr">
        <is>
          <t>Föryngringsavverkning</t>
        </is>
      </c>
      <c r="D9095" s="1" t="n">
        <v>46155</v>
      </c>
      <c r="E9095" s="1" t="n">
        <v>46307</v>
      </c>
      <c r="F9095" t="inlineStr">
        <is>
          <t>VÄRMLANDS LÄN</t>
        </is>
      </c>
      <c r="G9095" t="inlineStr">
        <is>
          <t>HAGFORS</t>
        </is>
      </c>
      <c r="H9095" t="inlineStr">
        <is>
          <t>Bergvik skog väst AB</t>
        </is>
      </c>
      <c r="I9095" t="n">
        <v>14.9</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22691-2026</t>
        </is>
      </c>
      <c r="B9096" t="inlineStr">
        <is>
          <t>avverkningsanmälan</t>
        </is>
      </c>
      <c r="C9096" t="inlineStr">
        <is>
          <t>Föryngringsavverkning</t>
        </is>
      </c>
      <c r="D9096" s="1" t="n">
        <v>46156</v>
      </c>
      <c r="E9096" s="1" t="n">
        <v>46307</v>
      </c>
      <c r="F9096" t="inlineStr">
        <is>
          <t>VÄRMLANDS LÄN</t>
        </is>
      </c>
      <c r="G9096" t="inlineStr">
        <is>
          <t>TORSBY</t>
        </is>
      </c>
      <c r="H9096" t="inlineStr">
        <is>
          <t>Bergvik skog väst AB</t>
        </is>
      </c>
      <c r="I9096" t="n">
        <v>15.7</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22591-2026</t>
        </is>
      </c>
      <c r="B9097" t="inlineStr">
        <is>
          <t>avverkningsanmälan</t>
        </is>
      </c>
      <c r="C9097" t="inlineStr">
        <is>
          <t>Föryngringsavverkning</t>
        </is>
      </c>
      <c r="D9097" s="1" t="n">
        <v>46155</v>
      </c>
      <c r="E9097" s="1" t="n">
        <v>46307</v>
      </c>
      <c r="F9097" t="inlineStr">
        <is>
          <t>VÄRMLANDS LÄN</t>
        </is>
      </c>
      <c r="G9097" t="inlineStr">
        <is>
          <t>SÄFFLE</t>
        </is>
      </c>
      <c r="I9097" t="n">
        <v>1</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12003-2026</t>
        </is>
      </c>
      <c r="B9098" t="inlineStr">
        <is>
          <t>avverkningsanmälan</t>
        </is>
      </c>
      <c r="C9098" t="inlineStr">
        <is>
          <t>Föryngringsavverkning</t>
        </is>
      </c>
      <c r="D9098" s="1" t="n">
        <v>46085</v>
      </c>
      <c r="E9098" s="1" t="n">
        <v>46307</v>
      </c>
      <c r="F9098" t="inlineStr">
        <is>
          <t>VÄRMLANDS LÄN</t>
        </is>
      </c>
      <c r="G9098" t="inlineStr">
        <is>
          <t>EDA</t>
        </is>
      </c>
      <c r="I9098" t="n">
        <v>5.3</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43654-2024</t>
        </is>
      </c>
      <c r="B9099" t="inlineStr">
        <is>
          <t>avverkningsanmälan</t>
        </is>
      </c>
      <c r="C9099" t="inlineStr">
        <is>
          <t>Föryngringsavverkning</t>
        </is>
      </c>
      <c r="D9099" s="1" t="n">
        <v>45569</v>
      </c>
      <c r="E9099" s="1" t="n">
        <v>46307</v>
      </c>
      <c r="F9099" t="inlineStr">
        <is>
          <t>VÄRMLANDS LÄN</t>
        </is>
      </c>
      <c r="G9099" t="inlineStr">
        <is>
          <t>KRISTINEHAMN</t>
        </is>
      </c>
      <c r="I9099" t="n">
        <v>2.1</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10475-2025</t>
        </is>
      </c>
      <c r="B9100" t="inlineStr">
        <is>
          <t>avverkningsanmälan</t>
        </is>
      </c>
      <c r="C9100" t="inlineStr">
        <is>
          <t>Föryngringsavverkning</t>
        </is>
      </c>
      <c r="D9100" s="1" t="n">
        <v>45720</v>
      </c>
      <c r="E9100" s="1" t="n">
        <v>46307</v>
      </c>
      <c r="F9100" t="inlineStr">
        <is>
          <t>VÄRMLANDS LÄN</t>
        </is>
      </c>
      <c r="G9100" t="inlineStr">
        <is>
          <t>ARVIKA</t>
        </is>
      </c>
      <c r="H9100" t="inlineStr">
        <is>
          <t>Kyrkan</t>
        </is>
      </c>
      <c r="I9100" t="n">
        <v>4.1</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11583-2026</t>
        </is>
      </c>
      <c r="B9101" t="inlineStr">
        <is>
          <t>avverkningsanmälan</t>
        </is>
      </c>
      <c r="C9101" t="inlineStr">
        <is>
          <t>Föryngringsavverkning</t>
        </is>
      </c>
      <c r="D9101" s="1" t="n">
        <v>46084</v>
      </c>
      <c r="E9101" s="1" t="n">
        <v>46307</v>
      </c>
      <c r="F9101" t="inlineStr">
        <is>
          <t>VÄRMLANDS LÄN</t>
        </is>
      </c>
      <c r="G9101" t="inlineStr">
        <is>
          <t>TORSBY</t>
        </is>
      </c>
      <c r="I9101" t="n">
        <v>6.8</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2352-2023</t>
        </is>
      </c>
      <c r="B9102" t="inlineStr">
        <is>
          <t>avverkningsanmälan</t>
        </is>
      </c>
      <c r="C9102" t="inlineStr">
        <is>
          <t>Föryngringsavverkning</t>
        </is>
      </c>
      <c r="D9102" s="1" t="n">
        <v>44938</v>
      </c>
      <c r="E9102" s="1" t="n">
        <v>46307</v>
      </c>
      <c r="F9102" t="inlineStr">
        <is>
          <t>VÄRMLANDS LÄN</t>
        </is>
      </c>
      <c r="G9102" t="inlineStr">
        <is>
          <t>STORFORS</t>
        </is>
      </c>
      <c r="I9102" t="n">
        <v>7</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58451-2025</t>
        </is>
      </c>
      <c r="B9103" t="inlineStr">
        <is>
          <t>avverkningsanmälan</t>
        </is>
      </c>
      <c r="C9103" t="inlineStr">
        <is>
          <t>Föryngringsavverkning</t>
        </is>
      </c>
      <c r="D9103" s="1" t="n">
        <v>45985</v>
      </c>
      <c r="E9103" s="1" t="n">
        <v>46307</v>
      </c>
      <c r="F9103" t="inlineStr">
        <is>
          <t>VÄRMLANDS LÄN</t>
        </is>
      </c>
      <c r="G9103" t="inlineStr">
        <is>
          <t>STORFORS</t>
        </is>
      </c>
      <c r="H9103" t="inlineStr">
        <is>
          <t>Bergvik skog väst AB</t>
        </is>
      </c>
      <c r="I9103" t="n">
        <v>14.1</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11843-2026</t>
        </is>
      </c>
      <c r="B9104" t="inlineStr">
        <is>
          <t>avverkningsanmälan</t>
        </is>
      </c>
      <c r="C9104" t="inlineStr">
        <is>
          <t>Föryngringsavverkning</t>
        </is>
      </c>
      <c r="D9104" s="1" t="n">
        <v>46085</v>
      </c>
      <c r="E9104" s="1" t="n">
        <v>46307</v>
      </c>
      <c r="F9104" t="inlineStr">
        <is>
          <t>VÄRMLANDS LÄN</t>
        </is>
      </c>
      <c r="G9104" t="inlineStr">
        <is>
          <t>SUNNE</t>
        </is>
      </c>
      <c r="I9104" t="n">
        <v>3.8</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11962-2026</t>
        </is>
      </c>
      <c r="B9105" t="inlineStr">
        <is>
          <t>avverkningsanmälan</t>
        </is>
      </c>
      <c r="C9105" t="inlineStr">
        <is>
          <t>Föryngringsavverkning</t>
        </is>
      </c>
      <c r="D9105" s="1" t="n">
        <v>46085</v>
      </c>
      <c r="E9105" s="1" t="n">
        <v>46307</v>
      </c>
      <c r="F9105" t="inlineStr">
        <is>
          <t>VÄRMLANDS LÄN</t>
        </is>
      </c>
      <c r="G9105" t="inlineStr">
        <is>
          <t>ÅRJÄNG</t>
        </is>
      </c>
      <c r="I9105" t="n">
        <v>6</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58059-2024</t>
        </is>
      </c>
      <c r="B9106" t="inlineStr">
        <is>
          <t>avverkningsanmälan</t>
        </is>
      </c>
      <c r="C9106" t="inlineStr">
        <is>
          <t>Föryngringsavverkning</t>
        </is>
      </c>
      <c r="D9106" s="1" t="n">
        <v>45631</v>
      </c>
      <c r="E9106" s="1" t="n">
        <v>46307</v>
      </c>
      <c r="F9106" t="inlineStr">
        <is>
          <t>VÄRMLANDS LÄN</t>
        </is>
      </c>
      <c r="G9106" t="inlineStr">
        <is>
          <t>ARVIKA</t>
        </is>
      </c>
      <c r="I9106" t="n">
        <v>3.3</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12185-2026</t>
        </is>
      </c>
      <c r="B9107" t="inlineStr">
        <is>
          <t>avverkningsanmälan</t>
        </is>
      </c>
      <c r="C9107" t="inlineStr">
        <is>
          <t>Föryngringsavverkning</t>
        </is>
      </c>
      <c r="D9107" s="1" t="n">
        <v>46086</v>
      </c>
      <c r="E9107" s="1" t="n">
        <v>46307</v>
      </c>
      <c r="F9107" t="inlineStr">
        <is>
          <t>VÄRMLANDS LÄN</t>
        </is>
      </c>
      <c r="G9107" t="inlineStr">
        <is>
          <t>SUNNE</t>
        </is>
      </c>
      <c r="I9107" t="n">
        <v>0.6</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12331-2026</t>
        </is>
      </c>
      <c r="B9108" t="inlineStr">
        <is>
          <t>avverkningsanmälan</t>
        </is>
      </c>
      <c r="C9108" t="inlineStr">
        <is>
          <t>Föryngringsavverkning</t>
        </is>
      </c>
      <c r="D9108" s="1" t="n">
        <v>46087</v>
      </c>
      <c r="E9108" s="1" t="n">
        <v>46307</v>
      </c>
      <c r="F9108" t="inlineStr">
        <is>
          <t>VÄRMLANDS LÄN</t>
        </is>
      </c>
      <c r="G9108" t="inlineStr">
        <is>
          <t>ARVIKA</t>
        </is>
      </c>
      <c r="I9108" t="n">
        <v>2</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22533-2026</t>
        </is>
      </c>
      <c r="B9109" t="inlineStr">
        <is>
          <t>avverkningsanmälan</t>
        </is>
      </c>
      <c r="C9109" t="inlineStr">
        <is>
          <t>Föryngringsavverkning</t>
        </is>
      </c>
      <c r="D9109" s="1" t="n">
        <v>46155</v>
      </c>
      <c r="E9109" s="1" t="n">
        <v>46307</v>
      </c>
      <c r="F9109" t="inlineStr">
        <is>
          <t>VÄRMLANDS LÄN</t>
        </is>
      </c>
      <c r="G9109" t="inlineStr">
        <is>
          <t>FILIPSTAD</t>
        </is>
      </c>
      <c r="H9109" t="inlineStr">
        <is>
          <t>Bergvik skog väst AB</t>
        </is>
      </c>
      <c r="I9109" t="n">
        <v>4.8</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12280-2026</t>
        </is>
      </c>
      <c r="B9110" t="inlineStr">
        <is>
          <t>avverkningsanmälan</t>
        </is>
      </c>
      <c r="C9110" t="inlineStr">
        <is>
          <t>Föryngringsavverkning</t>
        </is>
      </c>
      <c r="D9110" s="1" t="n">
        <v>46087</v>
      </c>
      <c r="E9110" s="1" t="n">
        <v>46307</v>
      </c>
      <c r="F9110" t="inlineStr">
        <is>
          <t>VÄRMLANDS LÄN</t>
        </is>
      </c>
      <c r="G9110" t="inlineStr">
        <is>
          <t>SUNNE</t>
        </is>
      </c>
      <c r="I9110" t="n">
        <v>1.6</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12283-2026</t>
        </is>
      </c>
      <c r="B9111" t="inlineStr">
        <is>
          <t>avverkningsanmälan</t>
        </is>
      </c>
      <c r="C9111" t="inlineStr">
        <is>
          <t>Föryngringsavverkning</t>
        </is>
      </c>
      <c r="D9111" s="1" t="n">
        <v>46087</v>
      </c>
      <c r="E9111" s="1" t="n">
        <v>46307</v>
      </c>
      <c r="F9111" t="inlineStr">
        <is>
          <t>VÄRMLANDS LÄN</t>
        </is>
      </c>
      <c r="G9111" t="inlineStr">
        <is>
          <t>GRUMS</t>
        </is>
      </c>
      <c r="I9111" t="n">
        <v>1.9</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22588-2026</t>
        </is>
      </c>
      <c r="B9112" t="inlineStr">
        <is>
          <t>avverkningsanmälan</t>
        </is>
      </c>
      <c r="C9112" t="inlineStr">
        <is>
          <t>Föryngringsavverkning</t>
        </is>
      </c>
      <c r="D9112" s="1" t="n">
        <v>46155</v>
      </c>
      <c r="E9112" s="1" t="n">
        <v>46307</v>
      </c>
      <c r="F9112" t="inlineStr">
        <is>
          <t>VÄRMLANDS LÄN</t>
        </is>
      </c>
      <c r="G9112" t="inlineStr">
        <is>
          <t>HAGFORS</t>
        </is>
      </c>
      <c r="H9112" t="inlineStr">
        <is>
          <t>Bergvik skog väst AB</t>
        </is>
      </c>
      <c r="I9112" t="n">
        <v>6.7</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12295-2026</t>
        </is>
      </c>
      <c r="B9113" t="inlineStr">
        <is>
          <t>avverkningsanmälan</t>
        </is>
      </c>
      <c r="C9113" t="inlineStr">
        <is>
          <t>Föryngringsavverkning</t>
        </is>
      </c>
      <c r="D9113" s="1" t="n">
        <v>46087</v>
      </c>
      <c r="E9113" s="1" t="n">
        <v>46307</v>
      </c>
      <c r="F9113" t="inlineStr">
        <is>
          <t>VÄRMLANDS LÄN</t>
        </is>
      </c>
      <c r="G9113" t="inlineStr">
        <is>
          <t>HAGFORS</t>
        </is>
      </c>
      <c r="I9113" t="n">
        <v>0.9</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61586-2025</t>
        </is>
      </c>
      <c r="B9114" t="inlineStr">
        <is>
          <t>avverkningsanmälan</t>
        </is>
      </c>
      <c r="C9114" t="inlineStr">
        <is>
          <t>Avverkning för annat ändamål</t>
        </is>
      </c>
      <c r="D9114" s="1" t="n">
        <v>46002</v>
      </c>
      <c r="E9114" s="1" t="n">
        <v>46307</v>
      </c>
      <c r="F9114" t="inlineStr">
        <is>
          <t>VÄRMLANDS LÄN</t>
        </is>
      </c>
      <c r="G9114" t="inlineStr">
        <is>
          <t>STORFORS</t>
        </is>
      </c>
      <c r="H9114" t="inlineStr">
        <is>
          <t>Bergvik skog väst AB</t>
        </is>
      </c>
      <c r="I9114" t="n">
        <v>4.2</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22672-2026</t>
        </is>
      </c>
      <c r="B9115" t="inlineStr">
        <is>
          <t>avverkningsanmälan</t>
        </is>
      </c>
      <c r="C9115" t="inlineStr">
        <is>
          <t>Föryngringsavverkning</t>
        </is>
      </c>
      <c r="D9115" s="1" t="n">
        <v>46155</v>
      </c>
      <c r="E9115" s="1" t="n">
        <v>46307</v>
      </c>
      <c r="F9115" t="inlineStr">
        <is>
          <t>VÄRMLANDS LÄN</t>
        </is>
      </c>
      <c r="G9115" t="inlineStr">
        <is>
          <t>ÅRJÄNG</t>
        </is>
      </c>
      <c r="H9115" t="inlineStr">
        <is>
          <t>Kyrkan</t>
        </is>
      </c>
      <c r="I9115" t="n">
        <v>4</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22678-2026</t>
        </is>
      </c>
      <c r="B9116" t="inlineStr">
        <is>
          <t>avverkningsanmälan</t>
        </is>
      </c>
      <c r="C9116" t="inlineStr">
        <is>
          <t>Föryngringsavverkning</t>
        </is>
      </c>
      <c r="D9116" s="1" t="n">
        <v>46156</v>
      </c>
      <c r="E9116" s="1" t="n">
        <v>46307</v>
      </c>
      <c r="F9116" t="inlineStr">
        <is>
          <t>VÄRMLANDS LÄN</t>
        </is>
      </c>
      <c r="G9116" t="inlineStr">
        <is>
          <t>TORSBY</t>
        </is>
      </c>
      <c r="H9116" t="inlineStr">
        <is>
          <t>Bergvik skog väst AB</t>
        </is>
      </c>
      <c r="I9116" t="n">
        <v>18.5</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32386-2025</t>
        </is>
      </c>
      <c r="B9117" t="inlineStr">
        <is>
          <t>avverkningsanmälan</t>
        </is>
      </c>
      <c r="C9117" t="inlineStr">
        <is>
          <t>Avverkning för annat ändamål</t>
        </is>
      </c>
      <c r="D9117" s="1" t="n">
        <v>45837</v>
      </c>
      <c r="E9117" s="1" t="n">
        <v>46307</v>
      </c>
      <c r="F9117" t="inlineStr">
        <is>
          <t>VÄRMLANDS LÄN</t>
        </is>
      </c>
      <c r="G9117" t="inlineStr">
        <is>
          <t>SÄFFLE</t>
        </is>
      </c>
      <c r="I9117" t="n">
        <v>1.1</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12268-2026</t>
        </is>
      </c>
      <c r="B9118" t="inlineStr">
        <is>
          <t>avverkningsanmälan</t>
        </is>
      </c>
      <c r="C9118" t="inlineStr">
        <is>
          <t>Föryngringsavverkning</t>
        </is>
      </c>
      <c r="D9118" s="1" t="n">
        <v>46087</v>
      </c>
      <c r="E9118" s="1" t="n">
        <v>46307</v>
      </c>
      <c r="F9118" t="inlineStr">
        <is>
          <t>VÄRMLANDS LÄN</t>
        </is>
      </c>
      <c r="G9118" t="inlineStr">
        <is>
          <t>SÄFFLE</t>
        </is>
      </c>
      <c r="I9118" t="n">
        <v>1</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12273-2026</t>
        </is>
      </c>
      <c r="B9119" t="inlineStr">
        <is>
          <t>avverkningsanmälan</t>
        </is>
      </c>
      <c r="C9119" t="inlineStr">
        <is>
          <t>Föryngringsavverkning</t>
        </is>
      </c>
      <c r="D9119" s="1" t="n">
        <v>46087</v>
      </c>
      <c r="E9119" s="1" t="n">
        <v>46307</v>
      </c>
      <c r="F9119" t="inlineStr">
        <is>
          <t>VÄRMLANDS LÄN</t>
        </is>
      </c>
      <c r="G9119" t="inlineStr">
        <is>
          <t>SÄFFLE</t>
        </is>
      </c>
      <c r="I9119" t="n">
        <v>3.3</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22643-2026</t>
        </is>
      </c>
      <c r="B9120" t="inlineStr">
        <is>
          <t>avverkningsanmälan</t>
        </is>
      </c>
      <c r="C9120" t="inlineStr">
        <is>
          <t>Föryngringsavverkning</t>
        </is>
      </c>
      <c r="D9120" s="1" t="n">
        <v>46155</v>
      </c>
      <c r="E9120" s="1" t="n">
        <v>46307</v>
      </c>
      <c r="F9120" t="inlineStr">
        <is>
          <t>VÄRMLANDS LÄN</t>
        </is>
      </c>
      <c r="G9120" t="inlineStr">
        <is>
          <t>SUNNE</t>
        </is>
      </c>
      <c r="I9120" t="n">
        <v>1.4</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22648-2026</t>
        </is>
      </c>
      <c r="B9121" t="inlineStr">
        <is>
          <t>avverkningsanmälan</t>
        </is>
      </c>
      <c r="C9121" t="inlineStr">
        <is>
          <t>Föryngringsavverkning</t>
        </is>
      </c>
      <c r="D9121" s="1" t="n">
        <v>46155</v>
      </c>
      <c r="E9121" s="1" t="n">
        <v>46307</v>
      </c>
      <c r="F9121" t="inlineStr">
        <is>
          <t>VÄRMLANDS LÄN</t>
        </is>
      </c>
      <c r="G9121" t="inlineStr">
        <is>
          <t>HAGFORS</t>
        </is>
      </c>
      <c r="H9121" t="inlineStr">
        <is>
          <t>Bergvik skog väst AB</t>
        </is>
      </c>
      <c r="I9121" t="n">
        <v>1.4</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12282-2026</t>
        </is>
      </c>
      <c r="B9122" t="inlineStr">
        <is>
          <t>avverkningsanmälan</t>
        </is>
      </c>
      <c r="C9122" t="inlineStr">
        <is>
          <t>Föryngringsavverkning</t>
        </is>
      </c>
      <c r="D9122" s="1" t="n">
        <v>46087</v>
      </c>
      <c r="E9122" s="1" t="n">
        <v>46307</v>
      </c>
      <c r="F9122" t="inlineStr">
        <is>
          <t>VÄRMLANDS LÄN</t>
        </is>
      </c>
      <c r="G9122" t="inlineStr">
        <is>
          <t>SUNNE</t>
        </is>
      </c>
      <c r="I9122" t="n">
        <v>1.7</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12086-2026</t>
        </is>
      </c>
      <c r="B9123" t="inlineStr">
        <is>
          <t>avverkningsanmälan</t>
        </is>
      </c>
      <c r="C9123" t="inlineStr">
        <is>
          <t>Avverkning för att bevara och utveckla /försöksver</t>
        </is>
      </c>
      <c r="D9123" s="1" t="n">
        <v>46086</v>
      </c>
      <c r="E9123" s="1" t="n">
        <v>46307</v>
      </c>
      <c r="F9123" t="inlineStr">
        <is>
          <t>VÄRMLANDS LÄN</t>
        </is>
      </c>
      <c r="G9123" t="inlineStr">
        <is>
          <t>FORSHAGA</t>
        </is>
      </c>
      <c r="H9123" t="inlineStr">
        <is>
          <t>Bergvik skog väst AB</t>
        </is>
      </c>
      <c r="I9123" t="n">
        <v>1</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12103-2026</t>
        </is>
      </c>
      <c r="B9124" t="inlineStr">
        <is>
          <t>avverkningsanmälan</t>
        </is>
      </c>
      <c r="C9124" t="inlineStr">
        <is>
          <t>Föryngringsavverkning</t>
        </is>
      </c>
      <c r="D9124" s="1" t="n">
        <v>46086</v>
      </c>
      <c r="E9124" s="1" t="n">
        <v>46307</v>
      </c>
      <c r="F9124" t="inlineStr">
        <is>
          <t>VÄRMLANDS LÄN</t>
        </is>
      </c>
      <c r="G9124" t="inlineStr">
        <is>
          <t>KARLSTAD</t>
        </is>
      </c>
      <c r="I9124" t="n">
        <v>6.1</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12259-2026</t>
        </is>
      </c>
      <c r="B9125" t="inlineStr">
        <is>
          <t>avverkningsanmälan</t>
        </is>
      </c>
      <c r="C9125" t="inlineStr">
        <is>
          <t>Föryngringsavverkning</t>
        </is>
      </c>
      <c r="D9125" s="1" t="n">
        <v>46087</v>
      </c>
      <c r="E9125" s="1" t="n">
        <v>46307</v>
      </c>
      <c r="F9125" t="inlineStr">
        <is>
          <t>VÄRMLANDS LÄN</t>
        </is>
      </c>
      <c r="G9125" t="inlineStr">
        <is>
          <t>SÄFFLE</t>
        </is>
      </c>
      <c r="I9125" t="n">
        <v>12.7</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9593-2025</t>
        </is>
      </c>
      <c r="B9126" t="inlineStr">
        <is>
          <t>avverkningsanmälan</t>
        </is>
      </c>
      <c r="C9126" t="inlineStr">
        <is>
          <t>Föryngringsavverkning</t>
        </is>
      </c>
      <c r="D9126" s="1" t="n">
        <v>45714</v>
      </c>
      <c r="E9126" s="1" t="n">
        <v>46307</v>
      </c>
      <c r="F9126" t="inlineStr">
        <is>
          <t>VÄRMLANDS LÄN</t>
        </is>
      </c>
      <c r="G9126" t="inlineStr">
        <is>
          <t>SUNNE</t>
        </is>
      </c>
      <c r="I9126" t="n">
        <v>1.7</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28737-2026</t>
        </is>
      </c>
      <c r="B9127" t="inlineStr">
        <is>
          <t>avverkningsanmälan</t>
        </is>
      </c>
      <c r="C9127" t="inlineStr">
        <is>
          <t>Föryngringsavverkning</t>
        </is>
      </c>
      <c r="D9127" s="1" t="n">
        <v>46198</v>
      </c>
      <c r="E9127" s="1" t="n">
        <v>46307</v>
      </c>
      <c r="F9127" t="inlineStr">
        <is>
          <t>VÄRMLANDS LÄN</t>
        </is>
      </c>
      <c r="G9127" t="inlineStr">
        <is>
          <t>SÄFFLE</t>
        </is>
      </c>
      <c r="I9127" t="n">
        <v>4.8</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24607-2025</t>
        </is>
      </c>
      <c r="B9128" t="inlineStr">
        <is>
          <t>avverkningsanmälan</t>
        </is>
      </c>
      <c r="C9128" t="inlineStr">
        <is>
          <t>Föryngringsavverkning</t>
        </is>
      </c>
      <c r="D9128" s="1" t="n">
        <v>45798</v>
      </c>
      <c r="E9128" s="1" t="n">
        <v>46307</v>
      </c>
      <c r="F9128" t="inlineStr">
        <is>
          <t>VÄRMLANDS LÄN</t>
        </is>
      </c>
      <c r="G9128" t="inlineStr">
        <is>
          <t>TORSBY</t>
        </is>
      </c>
      <c r="I9128" t="n">
        <v>2.6</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22556-2026</t>
        </is>
      </c>
      <c r="B9129" t="inlineStr">
        <is>
          <t>avverkningsanmälan</t>
        </is>
      </c>
      <c r="C9129" t="inlineStr">
        <is>
          <t>Föryngringsavverkning</t>
        </is>
      </c>
      <c r="D9129" s="1" t="n">
        <v>46155</v>
      </c>
      <c r="E9129" s="1" t="n">
        <v>46307</v>
      </c>
      <c r="F9129" t="inlineStr">
        <is>
          <t>VÄRMLANDS LÄN</t>
        </is>
      </c>
      <c r="G9129" t="inlineStr">
        <is>
          <t>HAGFORS</t>
        </is>
      </c>
      <c r="H9129" t="inlineStr">
        <is>
          <t>Bergvik skog väst AB</t>
        </is>
      </c>
      <c r="I9129" t="n">
        <v>10.4</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12246-2026</t>
        </is>
      </c>
      <c r="B9130" t="inlineStr">
        <is>
          <t>avverkningsanmälan</t>
        </is>
      </c>
      <c r="C9130" t="inlineStr">
        <is>
          <t>Föryngringsavverkning</t>
        </is>
      </c>
      <c r="D9130" s="1" t="n">
        <v>46087</v>
      </c>
      <c r="E9130" s="1" t="n">
        <v>46307</v>
      </c>
      <c r="F9130" t="inlineStr">
        <is>
          <t>VÄRMLANDS LÄN</t>
        </is>
      </c>
      <c r="G9130" t="inlineStr">
        <is>
          <t>ARVIKA</t>
        </is>
      </c>
      <c r="I9130" t="n">
        <v>2.3</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12285-2026</t>
        </is>
      </c>
      <c r="B9131" t="inlineStr">
        <is>
          <t>avverkningsanmälan</t>
        </is>
      </c>
      <c r="C9131" t="inlineStr">
        <is>
          <t>Föryngringsavverkning</t>
        </is>
      </c>
      <c r="D9131" s="1" t="n">
        <v>46087</v>
      </c>
      <c r="E9131" s="1" t="n">
        <v>46307</v>
      </c>
      <c r="F9131" t="inlineStr">
        <is>
          <t>VÄRMLANDS LÄN</t>
        </is>
      </c>
      <c r="G9131" t="inlineStr">
        <is>
          <t>SUNNE</t>
        </is>
      </c>
      <c r="I9131" t="n">
        <v>1.7</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22632-2026</t>
        </is>
      </c>
      <c r="B9132" t="inlineStr">
        <is>
          <t>avverkningsanmälan</t>
        </is>
      </c>
      <c r="C9132" t="inlineStr">
        <is>
          <t>Föryngringsavverkning</t>
        </is>
      </c>
      <c r="D9132" s="1" t="n">
        <v>46155</v>
      </c>
      <c r="E9132" s="1" t="n">
        <v>46307</v>
      </c>
      <c r="F9132" t="inlineStr">
        <is>
          <t>VÄRMLANDS LÄN</t>
        </is>
      </c>
      <c r="G9132" t="inlineStr">
        <is>
          <t>SUNNE</t>
        </is>
      </c>
      <c r="I9132" t="n">
        <v>2.2</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56869-2025</t>
        </is>
      </c>
      <c r="B9133" t="inlineStr">
        <is>
          <t>avverkningsanmälan</t>
        </is>
      </c>
      <c r="C9133" t="inlineStr">
        <is>
          <t>Föryngringsavverkning</t>
        </is>
      </c>
      <c r="D9133" s="1" t="n">
        <v>45978</v>
      </c>
      <c r="E9133" s="1" t="n">
        <v>46307</v>
      </c>
      <c r="F9133" t="inlineStr">
        <is>
          <t>VÄRMLANDS LÄN</t>
        </is>
      </c>
      <c r="G9133" t="inlineStr">
        <is>
          <t>KARLSTAD</t>
        </is>
      </c>
      <c r="I9133" t="n">
        <v>6.5</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63318-2023</t>
        </is>
      </c>
      <c r="B9134" t="inlineStr">
        <is>
          <t>avverkningsanmälan</t>
        </is>
      </c>
      <c r="C9134" t="inlineStr">
        <is>
          <t>Föryngringsavverkning</t>
        </is>
      </c>
      <c r="D9134" s="1" t="n">
        <v>45274</v>
      </c>
      <c r="E9134" s="1" t="n">
        <v>46307</v>
      </c>
      <c r="F9134" t="inlineStr">
        <is>
          <t>VÄRMLANDS LÄN</t>
        </is>
      </c>
      <c r="G9134" t="inlineStr">
        <is>
          <t>FORSHAGA</t>
        </is>
      </c>
      <c r="I9134" t="n">
        <v>5</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12187-2026</t>
        </is>
      </c>
      <c r="B9135" t="inlineStr">
        <is>
          <t>avverkningsanmälan</t>
        </is>
      </c>
      <c r="C9135" t="inlineStr">
        <is>
          <t>Avverkning för annat ändamål</t>
        </is>
      </c>
      <c r="D9135" s="1" t="n">
        <v>46086</v>
      </c>
      <c r="E9135" s="1" t="n">
        <v>46307</v>
      </c>
      <c r="F9135" t="inlineStr">
        <is>
          <t>VÄRMLANDS LÄN</t>
        </is>
      </c>
      <c r="G9135" t="inlineStr">
        <is>
          <t>SÄFFLE</t>
        </is>
      </c>
      <c r="I9135" t="n">
        <v>9.1</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12216-2026</t>
        </is>
      </c>
      <c r="B9136" t="inlineStr">
        <is>
          <t>avverkningsanmälan</t>
        </is>
      </c>
      <c r="C9136" t="inlineStr">
        <is>
          <t>Föryngringsavverkning</t>
        </is>
      </c>
      <c r="D9136" s="1" t="n">
        <v>46087</v>
      </c>
      <c r="E9136" s="1" t="n">
        <v>46307</v>
      </c>
      <c r="F9136" t="inlineStr">
        <is>
          <t>VÄRMLANDS LÄN</t>
        </is>
      </c>
      <c r="G9136" t="inlineStr">
        <is>
          <t>FILIPSTAD</t>
        </is>
      </c>
      <c r="H9136" t="inlineStr">
        <is>
          <t>Bergvik skog väst AB</t>
        </is>
      </c>
      <c r="I9136" t="n">
        <v>6.3</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39334-2025</t>
        </is>
      </c>
      <c r="B9137" t="inlineStr">
        <is>
          <t>avverkningsanmälan</t>
        </is>
      </c>
      <c r="C9137" t="inlineStr">
        <is>
          <t>Föryngringsavverkning</t>
        </is>
      </c>
      <c r="D9137" s="1" t="n">
        <v>45889</v>
      </c>
      <c r="E9137" s="1" t="n">
        <v>46307</v>
      </c>
      <c r="F9137" t="inlineStr">
        <is>
          <t>VÄRMLANDS LÄN</t>
        </is>
      </c>
      <c r="G9137" t="inlineStr">
        <is>
          <t>GRUMS</t>
        </is>
      </c>
      <c r="I9137" t="n">
        <v>1.3</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59355-2025</t>
        </is>
      </c>
      <c r="B9138" t="inlineStr">
        <is>
          <t>avverkningsanmälan</t>
        </is>
      </c>
      <c r="C9138" t="inlineStr">
        <is>
          <t>Föryngringsavverkning</t>
        </is>
      </c>
      <c r="D9138" s="1" t="n">
        <v>45989</v>
      </c>
      <c r="E9138" s="1" t="n">
        <v>46307</v>
      </c>
      <c r="F9138" t="inlineStr">
        <is>
          <t>VÄRMLANDS LÄN</t>
        </is>
      </c>
      <c r="G9138" t="inlineStr">
        <is>
          <t>SÄFFLE</t>
        </is>
      </c>
      <c r="I9138" t="n">
        <v>2.1</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48777-2025</t>
        </is>
      </c>
      <c r="B9139" t="inlineStr">
        <is>
          <t>avverkningsanmälan</t>
        </is>
      </c>
      <c r="C9139" t="inlineStr">
        <is>
          <t>Föryngringsavverkning</t>
        </is>
      </c>
      <c r="D9139" s="1" t="n">
        <v>45937</v>
      </c>
      <c r="E9139" s="1" t="n">
        <v>46307</v>
      </c>
      <c r="F9139" t="inlineStr">
        <is>
          <t>VÄRMLANDS LÄN</t>
        </is>
      </c>
      <c r="G9139" t="inlineStr">
        <is>
          <t>KARLSTAD</t>
        </is>
      </c>
      <c r="I9139" t="n">
        <v>1.9</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7376-2026</t>
        </is>
      </c>
      <c r="B9140" t="inlineStr">
        <is>
          <t>avverkningsanmälan</t>
        </is>
      </c>
      <c r="C9140" t="inlineStr">
        <is>
          <t>Föryngringsavverkning</t>
        </is>
      </c>
      <c r="D9140" s="1" t="n">
        <v>46059</v>
      </c>
      <c r="E9140" s="1" t="n">
        <v>46307</v>
      </c>
      <c r="F9140" t="inlineStr">
        <is>
          <t>VÄRMLANDS LÄN</t>
        </is>
      </c>
      <c r="G9140" t="inlineStr">
        <is>
          <t>SÄFFLE</t>
        </is>
      </c>
      <c r="I9140" t="n">
        <v>4.6</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12284-2026</t>
        </is>
      </c>
      <c r="B9141" t="inlineStr">
        <is>
          <t>avverkningsanmälan</t>
        </is>
      </c>
      <c r="C9141" t="inlineStr">
        <is>
          <t>Föryngringsavverkning</t>
        </is>
      </c>
      <c r="D9141" s="1" t="n">
        <v>46087</v>
      </c>
      <c r="E9141" s="1" t="n">
        <v>46307</v>
      </c>
      <c r="F9141" t="inlineStr">
        <is>
          <t>VÄRMLANDS LÄN</t>
        </is>
      </c>
      <c r="G9141" t="inlineStr">
        <is>
          <t>SUNNE</t>
        </is>
      </c>
      <c r="I9141" t="n">
        <v>0.7</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12289-2026</t>
        </is>
      </c>
      <c r="B9142" t="inlineStr">
        <is>
          <t>avverkningsanmälan</t>
        </is>
      </c>
      <c r="C9142" t="inlineStr">
        <is>
          <t>Föryngringsavverkning</t>
        </is>
      </c>
      <c r="D9142" s="1" t="n">
        <v>46087</v>
      </c>
      <c r="E9142" s="1" t="n">
        <v>46307</v>
      </c>
      <c r="F9142" t="inlineStr">
        <is>
          <t>VÄRMLANDS LÄN</t>
        </is>
      </c>
      <c r="G9142" t="inlineStr">
        <is>
          <t>TORSBY</t>
        </is>
      </c>
      <c r="I9142" t="n">
        <v>2.1</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12291-2026</t>
        </is>
      </c>
      <c r="B9143" t="inlineStr">
        <is>
          <t>avverkningsanmälan</t>
        </is>
      </c>
      <c r="C9143" t="inlineStr">
        <is>
          <t>Föryngringsavverkning</t>
        </is>
      </c>
      <c r="D9143" s="1" t="n">
        <v>46087</v>
      </c>
      <c r="E9143" s="1" t="n">
        <v>46307</v>
      </c>
      <c r="F9143" t="inlineStr">
        <is>
          <t>VÄRMLANDS LÄN</t>
        </is>
      </c>
      <c r="G9143" t="inlineStr">
        <is>
          <t>SUNNE</t>
        </is>
      </c>
      <c r="I9143" t="n">
        <v>1.9</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22917-2026</t>
        </is>
      </c>
      <c r="B9144" t="inlineStr">
        <is>
          <t>avverkningsanmälan</t>
        </is>
      </c>
      <c r="C9144" t="inlineStr">
        <is>
          <t>Föryngringsavverkning</t>
        </is>
      </c>
      <c r="D9144" s="1" t="n">
        <v>46160</v>
      </c>
      <c r="E9144" s="1" t="n">
        <v>46307</v>
      </c>
      <c r="F9144" t="inlineStr">
        <is>
          <t>VÄRMLANDS LÄN</t>
        </is>
      </c>
      <c r="G9144" t="inlineStr">
        <is>
          <t>HAGFORS</t>
        </is>
      </c>
      <c r="H9144" t="inlineStr">
        <is>
          <t>Bergvik skog väst AB</t>
        </is>
      </c>
      <c r="I9144" t="n">
        <v>1.4</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39587-2025</t>
        </is>
      </c>
      <c r="B9145" t="inlineStr">
        <is>
          <t>avverkningsanmälan</t>
        </is>
      </c>
      <c r="C9145" t="inlineStr">
        <is>
          <t>Föryngringsavverkning</t>
        </is>
      </c>
      <c r="D9145" s="1" t="n">
        <v>45890</v>
      </c>
      <c r="E9145" s="1" t="n">
        <v>46307</v>
      </c>
      <c r="F9145" t="inlineStr">
        <is>
          <t>VÄRMLANDS LÄN</t>
        </is>
      </c>
      <c r="G9145" t="inlineStr">
        <is>
          <t>SÄFFLE</t>
        </is>
      </c>
      <c r="I9145" t="n">
        <v>1.9</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3779-2025</t>
        </is>
      </c>
      <c r="B9146" t="inlineStr">
        <is>
          <t>avverkningsanmälan</t>
        </is>
      </c>
      <c r="C9146" t="inlineStr">
        <is>
          <t>Föryngringsavverkning</t>
        </is>
      </c>
      <c r="D9146" s="1" t="n">
        <v>45681</v>
      </c>
      <c r="E9146" s="1" t="n">
        <v>46307</v>
      </c>
      <c r="F9146" t="inlineStr">
        <is>
          <t>VÄRMLANDS LÄN</t>
        </is>
      </c>
      <c r="G9146" t="inlineStr">
        <is>
          <t>GRUMS</t>
        </is>
      </c>
      <c r="H9146" t="inlineStr">
        <is>
          <t>BillerudKorsnäs AB</t>
        </is>
      </c>
      <c r="I9146" t="n">
        <v>7.6</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22949-2026</t>
        </is>
      </c>
      <c r="B9147" t="inlineStr">
        <is>
          <t>avverkningsanmälan</t>
        </is>
      </c>
      <c r="C9147" t="inlineStr">
        <is>
          <t>Föryngringsavverkning</t>
        </is>
      </c>
      <c r="D9147" s="1" t="n">
        <v>46160</v>
      </c>
      <c r="E9147" s="1" t="n">
        <v>46307</v>
      </c>
      <c r="F9147" t="inlineStr">
        <is>
          <t>VÄRMLANDS LÄN</t>
        </is>
      </c>
      <c r="G9147" t="inlineStr">
        <is>
          <t>TORSBY</t>
        </is>
      </c>
      <c r="H9147" t="inlineStr">
        <is>
          <t>Bergvik skog väst AB</t>
        </is>
      </c>
      <c r="I9147" t="n">
        <v>8.6</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22808-2026</t>
        </is>
      </c>
      <c r="B9148" t="inlineStr">
        <is>
          <t>avverkningsanmälan</t>
        </is>
      </c>
      <c r="C9148" t="inlineStr">
        <is>
          <t>Föryngringsavverkning</t>
        </is>
      </c>
      <c r="D9148" s="1" t="n">
        <v>46160</v>
      </c>
      <c r="E9148" s="1" t="n">
        <v>46307</v>
      </c>
      <c r="F9148" t="inlineStr">
        <is>
          <t>VÄRMLANDS LÄN</t>
        </is>
      </c>
      <c r="G9148" t="inlineStr">
        <is>
          <t>TORSBY</t>
        </is>
      </c>
      <c r="H9148" t="inlineStr">
        <is>
          <t>Bergvik skog väst AB</t>
        </is>
      </c>
      <c r="I9148" t="n">
        <v>4.6</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22822-2026</t>
        </is>
      </c>
      <c r="B9149" t="inlineStr">
        <is>
          <t>avverkningsanmälan</t>
        </is>
      </c>
      <c r="C9149" t="inlineStr">
        <is>
          <t>Föryngringsavverkning</t>
        </is>
      </c>
      <c r="D9149" s="1" t="n">
        <v>46160</v>
      </c>
      <c r="E9149" s="1" t="n">
        <v>46307</v>
      </c>
      <c r="F9149" t="inlineStr">
        <is>
          <t>VÄRMLANDS LÄN</t>
        </is>
      </c>
      <c r="G9149" t="inlineStr">
        <is>
          <t>TORSBY</t>
        </is>
      </c>
      <c r="H9149" t="inlineStr">
        <is>
          <t>Bergvik skog väst AB</t>
        </is>
      </c>
      <c r="I9149" t="n">
        <v>2.5</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12563-2026</t>
        </is>
      </c>
      <c r="B9150" t="inlineStr">
        <is>
          <t>avverkningsanmälan</t>
        </is>
      </c>
      <c r="C9150" t="inlineStr">
        <is>
          <t>Föryngringsavverkning</t>
        </is>
      </c>
      <c r="D9150" s="1" t="n">
        <v>46090</v>
      </c>
      <c r="E9150" s="1" t="n">
        <v>46307</v>
      </c>
      <c r="F9150" t="inlineStr">
        <is>
          <t>VÄRMLANDS LÄN</t>
        </is>
      </c>
      <c r="G9150" t="inlineStr">
        <is>
          <t>SÄFFLE</t>
        </is>
      </c>
      <c r="I9150" t="n">
        <v>2.3</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37782-2024</t>
        </is>
      </c>
      <c r="B9151" t="inlineStr">
        <is>
          <t>avverkningsanmälan</t>
        </is>
      </c>
      <c r="C9151" t="inlineStr">
        <is>
          <t>Föryngringsavverkning</t>
        </is>
      </c>
      <c r="D9151" s="1" t="n">
        <v>45542</v>
      </c>
      <c r="E9151" s="1" t="n">
        <v>46307</v>
      </c>
      <c r="F9151" t="inlineStr">
        <is>
          <t>VÄRMLANDS LÄN</t>
        </is>
      </c>
      <c r="G9151" t="inlineStr">
        <is>
          <t>SÄFFLE</t>
        </is>
      </c>
      <c r="I9151" t="n">
        <v>9</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5337-2025</t>
        </is>
      </c>
      <c r="B9152" t="inlineStr">
        <is>
          <t>avverkningsanmälan</t>
        </is>
      </c>
      <c r="C9152" t="inlineStr">
        <is>
          <t>Föryngringsavverkning</t>
        </is>
      </c>
      <c r="D9152" s="1" t="n">
        <v>45692</v>
      </c>
      <c r="E9152" s="1" t="n">
        <v>46307</v>
      </c>
      <c r="F9152" t="inlineStr">
        <is>
          <t>VÄRMLANDS LÄN</t>
        </is>
      </c>
      <c r="G9152" t="inlineStr">
        <is>
          <t>ARVIKA</t>
        </is>
      </c>
      <c r="H9152" t="inlineStr">
        <is>
          <t>Kommuner</t>
        </is>
      </c>
      <c r="I9152" t="n">
        <v>0.7</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37655-2025</t>
        </is>
      </c>
      <c r="B9153" t="inlineStr">
        <is>
          <t>avverkningsanmälan</t>
        </is>
      </c>
      <c r="C9153" t="inlineStr">
        <is>
          <t>Föryngringsavverkning</t>
        </is>
      </c>
      <c r="D9153" s="1" t="n">
        <v>45880</v>
      </c>
      <c r="E9153" s="1" t="n">
        <v>46307</v>
      </c>
      <c r="F9153" t="inlineStr">
        <is>
          <t>VÄRMLANDS LÄN</t>
        </is>
      </c>
      <c r="G9153" t="inlineStr">
        <is>
          <t>ÅRJÄNG</t>
        </is>
      </c>
      <c r="I9153" t="n">
        <v>2.3</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55277-2025</t>
        </is>
      </c>
      <c r="B9154" t="inlineStr">
        <is>
          <t>avverkningsanmälan</t>
        </is>
      </c>
      <c r="C9154" t="inlineStr">
        <is>
          <t>Föryngringsavverkning</t>
        </is>
      </c>
      <c r="D9154" s="1" t="n">
        <v>45968</v>
      </c>
      <c r="E9154" s="1" t="n">
        <v>46307</v>
      </c>
      <c r="F9154" t="inlineStr">
        <is>
          <t>VÄRMLANDS LÄN</t>
        </is>
      </c>
      <c r="G9154" t="inlineStr">
        <is>
          <t>ÅRJÄNG</t>
        </is>
      </c>
      <c r="I9154" t="n">
        <v>3.8</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42971-2025</t>
        </is>
      </c>
      <c r="B9155" t="inlineStr">
        <is>
          <t>avverkningsanmälan</t>
        </is>
      </c>
      <c r="C9155" t="inlineStr">
        <is>
          <t>Föryngringsavverkning</t>
        </is>
      </c>
      <c r="D9155" s="1" t="n">
        <v>45909</v>
      </c>
      <c r="E9155" s="1" t="n">
        <v>46307</v>
      </c>
      <c r="F9155" t="inlineStr">
        <is>
          <t>VÄRMLANDS LÄN</t>
        </is>
      </c>
      <c r="G9155" t="inlineStr">
        <is>
          <t>ÅRJÄNG</t>
        </is>
      </c>
      <c r="I9155" t="n">
        <v>1.3</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15148-2025</t>
        </is>
      </c>
      <c r="B9156" t="inlineStr">
        <is>
          <t>avverkningsanmälan</t>
        </is>
      </c>
      <c r="C9156" t="inlineStr">
        <is>
          <t>Föryngringsavverkning</t>
        </is>
      </c>
      <c r="D9156" s="1" t="n">
        <v>45744</v>
      </c>
      <c r="E9156" s="1" t="n">
        <v>46307</v>
      </c>
      <c r="F9156" t="inlineStr">
        <is>
          <t>VÄRMLANDS LÄN</t>
        </is>
      </c>
      <c r="G9156" t="inlineStr">
        <is>
          <t>ÅRJÄNG</t>
        </is>
      </c>
      <c r="I9156" t="n">
        <v>1.4</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12603-2026</t>
        </is>
      </c>
      <c r="B9157" t="inlineStr">
        <is>
          <t>avverkningsanmälan</t>
        </is>
      </c>
      <c r="C9157" t="inlineStr">
        <is>
          <t>Föryngringsavverkning</t>
        </is>
      </c>
      <c r="D9157" s="1" t="n">
        <v>46091</v>
      </c>
      <c r="E9157" s="1" t="n">
        <v>46307</v>
      </c>
      <c r="F9157" t="inlineStr">
        <is>
          <t>VÄRMLANDS LÄN</t>
        </is>
      </c>
      <c r="G9157" t="inlineStr">
        <is>
          <t>ÅRJÄNG</t>
        </is>
      </c>
      <c r="I9157" t="n">
        <v>1.8</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37071-2025</t>
        </is>
      </c>
      <c r="B9158" t="inlineStr">
        <is>
          <t>avverkningsanmälan</t>
        </is>
      </c>
      <c r="C9158" t="inlineStr">
        <is>
          <t>Föryngringsavverkning</t>
        </is>
      </c>
      <c r="D9158" s="1" t="n">
        <v>45875</v>
      </c>
      <c r="E9158" s="1" t="n">
        <v>46307</v>
      </c>
      <c r="F9158" t="inlineStr">
        <is>
          <t>VÄRMLANDS LÄN</t>
        </is>
      </c>
      <c r="G9158" t="inlineStr">
        <is>
          <t>ÅRJÄNG</t>
        </is>
      </c>
      <c r="I9158" t="n">
        <v>1.5</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29589-2025</t>
        </is>
      </c>
      <c r="B9159" t="inlineStr">
        <is>
          <t>avverkningsanmälan</t>
        </is>
      </c>
      <c r="C9159" t="inlineStr">
        <is>
          <t>Föryngringsavverkning</t>
        </is>
      </c>
      <c r="D9159" s="1" t="n">
        <v>45825</v>
      </c>
      <c r="E9159" s="1" t="n">
        <v>46307</v>
      </c>
      <c r="F9159" t="inlineStr">
        <is>
          <t>VÄRMLANDS LÄN</t>
        </is>
      </c>
      <c r="G9159" t="inlineStr">
        <is>
          <t>SÄFFLE</t>
        </is>
      </c>
      <c r="I9159" t="n">
        <v>5.3</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71903-2021</t>
        </is>
      </c>
      <c r="B9160" t="inlineStr">
        <is>
          <t>avverkningsanmälan</t>
        </is>
      </c>
      <c r="C9160" t="inlineStr">
        <is>
          <t>Föryngringsavverkning</t>
        </is>
      </c>
      <c r="D9160" s="1" t="n">
        <v>44543</v>
      </c>
      <c r="E9160" s="1" t="n">
        <v>46307</v>
      </c>
      <c r="F9160" t="inlineStr">
        <is>
          <t>VÄRMLANDS LÄN</t>
        </is>
      </c>
      <c r="G9160" t="inlineStr">
        <is>
          <t>GRUMS</t>
        </is>
      </c>
      <c r="I9160" t="n">
        <v>6.3</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22952-2026</t>
        </is>
      </c>
      <c r="B9161" t="inlineStr">
        <is>
          <t>avverkningsanmälan</t>
        </is>
      </c>
      <c r="C9161" t="inlineStr">
        <is>
          <t>Föryngringsavverkning</t>
        </is>
      </c>
      <c r="D9161" s="1" t="n">
        <v>46160</v>
      </c>
      <c r="E9161" s="1" t="n">
        <v>46307</v>
      </c>
      <c r="F9161" t="inlineStr">
        <is>
          <t>VÄRMLANDS LÄN</t>
        </is>
      </c>
      <c r="G9161" t="inlineStr">
        <is>
          <t>TORSBY</t>
        </is>
      </c>
      <c r="H9161" t="inlineStr">
        <is>
          <t>Bergvik skog väst AB</t>
        </is>
      </c>
      <c r="I9161" t="n">
        <v>1.4</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12667-2026</t>
        </is>
      </c>
      <c r="B9162" t="inlineStr">
        <is>
          <t>avverkningsanmälan</t>
        </is>
      </c>
      <c r="C9162" t="inlineStr">
        <is>
          <t>Föryngringsavverkning</t>
        </is>
      </c>
      <c r="D9162" s="1" t="n">
        <v>46091</v>
      </c>
      <c r="E9162" s="1" t="n">
        <v>46307</v>
      </c>
      <c r="F9162" t="inlineStr">
        <is>
          <t>VÄRMLANDS LÄN</t>
        </is>
      </c>
      <c r="G9162" t="inlineStr">
        <is>
          <t>ÅRJÄNG</t>
        </is>
      </c>
      <c r="I9162" t="n">
        <v>0.9</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60377-2023</t>
        </is>
      </c>
      <c r="B9163" t="inlineStr">
        <is>
          <t>avverkningsanmälan</t>
        </is>
      </c>
      <c r="C9163" t="inlineStr">
        <is>
          <t>Föryngringsavverkning</t>
        </is>
      </c>
      <c r="D9163" s="1" t="n">
        <v>45259</v>
      </c>
      <c r="E9163" s="1" t="n">
        <v>46307</v>
      </c>
      <c r="F9163" t="inlineStr">
        <is>
          <t>VÄRMLANDS LÄN</t>
        </is>
      </c>
      <c r="G9163" t="inlineStr">
        <is>
          <t>ÅRJÄNG</t>
        </is>
      </c>
      <c r="I9163" t="n">
        <v>3.1</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7822-2024</t>
        </is>
      </c>
      <c r="B9164" t="inlineStr">
        <is>
          <t>avverkningsanmälan</t>
        </is>
      </c>
      <c r="C9164" t="inlineStr">
        <is>
          <t>Föryngringsavverkning</t>
        </is>
      </c>
      <c r="D9164" s="1" t="n">
        <v>45349</v>
      </c>
      <c r="E9164" s="1" t="n">
        <v>46307</v>
      </c>
      <c r="F9164" t="inlineStr">
        <is>
          <t>VÄRMLANDS LÄN</t>
        </is>
      </c>
      <c r="G9164" t="inlineStr">
        <is>
          <t>KIL</t>
        </is>
      </c>
      <c r="I9164" t="n">
        <v>1.7</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55285-2025</t>
        </is>
      </c>
      <c r="B9165" t="inlineStr">
        <is>
          <t>avverkningsanmälan</t>
        </is>
      </c>
      <c r="C9165" t="inlineStr">
        <is>
          <t>Föryngringsavverkning</t>
        </is>
      </c>
      <c r="D9165" s="1" t="n">
        <v>45968</v>
      </c>
      <c r="E9165" s="1" t="n">
        <v>46307</v>
      </c>
      <c r="F9165" t="inlineStr">
        <is>
          <t>VÄRMLANDS LÄN</t>
        </is>
      </c>
      <c r="G9165" t="inlineStr">
        <is>
          <t>ÅRJÄNG</t>
        </is>
      </c>
      <c r="I9165" t="n">
        <v>2</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8541-2025</t>
        </is>
      </c>
      <c r="B9166" t="inlineStr">
        <is>
          <t>avverkningsanmälan</t>
        </is>
      </c>
      <c r="C9166" t="inlineStr">
        <is>
          <t>Föryngringsavverkning</t>
        </is>
      </c>
      <c r="D9166" s="1" t="n">
        <v>45709</v>
      </c>
      <c r="E9166" s="1" t="n">
        <v>46307</v>
      </c>
      <c r="F9166" t="inlineStr">
        <is>
          <t>VÄRMLANDS LÄN</t>
        </is>
      </c>
      <c r="G9166" t="inlineStr">
        <is>
          <t>KIL</t>
        </is>
      </c>
      <c r="I9166" t="n">
        <v>1</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12600-2026</t>
        </is>
      </c>
      <c r="B9167" t="inlineStr">
        <is>
          <t>avverkningsanmälan</t>
        </is>
      </c>
      <c r="C9167" t="inlineStr">
        <is>
          <t>Föryngringsavverkning</t>
        </is>
      </c>
      <c r="D9167" s="1" t="n">
        <v>46091</v>
      </c>
      <c r="E9167" s="1" t="n">
        <v>46307</v>
      </c>
      <c r="F9167" t="inlineStr">
        <is>
          <t>VÄRMLANDS LÄN</t>
        </is>
      </c>
      <c r="G9167" t="inlineStr">
        <is>
          <t>ÅRJÄNG</t>
        </is>
      </c>
      <c r="I9167" t="n">
        <v>2.9</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22727-2025</t>
        </is>
      </c>
      <c r="B9168" t="inlineStr">
        <is>
          <t>avverkningsanmälan</t>
        </is>
      </c>
      <c r="C9168" t="inlineStr">
        <is>
          <t>Föryngringsavverkning</t>
        </is>
      </c>
      <c r="D9168" s="1" t="n">
        <v>45789</v>
      </c>
      <c r="E9168" s="1" t="n">
        <v>46307</v>
      </c>
      <c r="F9168" t="inlineStr">
        <is>
          <t>VÄRMLANDS LÄN</t>
        </is>
      </c>
      <c r="G9168" t="inlineStr">
        <is>
          <t>ÅRJÄNG</t>
        </is>
      </c>
      <c r="I9168" t="n">
        <v>1.4</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42229-2025</t>
        </is>
      </c>
      <c r="B9169" t="inlineStr">
        <is>
          <t>avverkningsanmälan</t>
        </is>
      </c>
      <c r="C9169" t="inlineStr">
        <is>
          <t>Föryngringsavverkning</t>
        </is>
      </c>
      <c r="D9169" s="1" t="n">
        <v>45904</v>
      </c>
      <c r="E9169" s="1" t="n">
        <v>46307</v>
      </c>
      <c r="F9169" t="inlineStr">
        <is>
          <t>VÄRMLANDS LÄN</t>
        </is>
      </c>
      <c r="G9169" t="inlineStr">
        <is>
          <t>EDA</t>
        </is>
      </c>
      <c r="I9169" t="n">
        <v>2.1</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12461-2026</t>
        </is>
      </c>
      <c r="B9170" t="inlineStr">
        <is>
          <t>avverkningsanmälan</t>
        </is>
      </c>
      <c r="C9170" t="inlineStr">
        <is>
          <t>Föryngringsavverkning</t>
        </is>
      </c>
      <c r="D9170" s="1" t="n">
        <v>46090</v>
      </c>
      <c r="E9170" s="1" t="n">
        <v>46307</v>
      </c>
      <c r="F9170" t="inlineStr">
        <is>
          <t>VÄRMLANDS LÄN</t>
        </is>
      </c>
      <c r="G9170" t="inlineStr">
        <is>
          <t>SÄFFLE</t>
        </is>
      </c>
      <c r="I9170" t="n">
        <v>6.4</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43822-2025</t>
        </is>
      </c>
      <c r="B9171" t="inlineStr">
        <is>
          <t>avverkningsanmälan</t>
        </is>
      </c>
      <c r="C9171" t="inlineStr">
        <is>
          <t>Avverkning för annat ändamål</t>
        </is>
      </c>
      <c r="D9171" s="1" t="n">
        <v>45912</v>
      </c>
      <c r="E9171" s="1" t="n">
        <v>46307</v>
      </c>
      <c r="F9171" t="inlineStr">
        <is>
          <t>VÄRMLANDS LÄN</t>
        </is>
      </c>
      <c r="G9171" t="inlineStr">
        <is>
          <t>SUNNE</t>
        </is>
      </c>
      <c r="I9171" t="n">
        <v>2</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22903-2026</t>
        </is>
      </c>
      <c r="B9172" t="inlineStr">
        <is>
          <t>avverkningsanmälan</t>
        </is>
      </c>
      <c r="C9172" t="inlineStr">
        <is>
          <t>Föryngringsavverkning</t>
        </is>
      </c>
      <c r="D9172" s="1" t="n">
        <v>46160</v>
      </c>
      <c r="E9172" s="1" t="n">
        <v>46307</v>
      </c>
      <c r="F9172" t="inlineStr">
        <is>
          <t>VÄRMLANDS LÄN</t>
        </is>
      </c>
      <c r="G9172" t="inlineStr">
        <is>
          <t>TORSBY</t>
        </is>
      </c>
      <c r="H9172" t="inlineStr">
        <is>
          <t>Bergvik skog väst AB</t>
        </is>
      </c>
      <c r="I9172" t="n">
        <v>0.9</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10728-2026</t>
        </is>
      </c>
      <c r="B9173" t="inlineStr">
        <is>
          <t>avverkningsanmälan</t>
        </is>
      </c>
      <c r="C9173" t="inlineStr">
        <is>
          <t>Föryngringsavverkning</t>
        </is>
      </c>
      <c r="D9173" s="1" t="n">
        <v>46078</v>
      </c>
      <c r="E9173" s="1" t="n">
        <v>46307</v>
      </c>
      <c r="F9173" t="inlineStr">
        <is>
          <t>VÄRMLANDS LÄN</t>
        </is>
      </c>
      <c r="G9173" t="inlineStr">
        <is>
          <t>TORSBY</t>
        </is>
      </c>
      <c r="I9173" t="n">
        <v>0.6</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12473-2026</t>
        </is>
      </c>
      <c r="B9174" t="inlineStr">
        <is>
          <t>avverkningsanmälan</t>
        </is>
      </c>
      <c r="C9174" t="inlineStr">
        <is>
          <t>Föryngringsavverkning</t>
        </is>
      </c>
      <c r="D9174" s="1" t="n">
        <v>46090</v>
      </c>
      <c r="E9174" s="1" t="n">
        <v>46307</v>
      </c>
      <c r="F9174" t="inlineStr">
        <is>
          <t>VÄRMLANDS LÄN</t>
        </is>
      </c>
      <c r="G9174" t="inlineStr">
        <is>
          <t>SÄFFLE</t>
        </is>
      </c>
      <c r="I9174" t="n">
        <v>6.3</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22911-2026</t>
        </is>
      </c>
      <c r="B9175" t="inlineStr">
        <is>
          <t>avverkningsanmälan</t>
        </is>
      </c>
      <c r="C9175" t="inlineStr">
        <is>
          <t>Föryngringsavverkning</t>
        </is>
      </c>
      <c r="D9175" s="1" t="n">
        <v>46160</v>
      </c>
      <c r="E9175" s="1" t="n">
        <v>46307</v>
      </c>
      <c r="F9175" t="inlineStr">
        <is>
          <t>VÄRMLANDS LÄN</t>
        </is>
      </c>
      <c r="G9175" t="inlineStr">
        <is>
          <t>HAGFORS</t>
        </is>
      </c>
      <c r="I9175" t="n">
        <v>1.7</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12508-2026</t>
        </is>
      </c>
      <c r="B9176" t="inlineStr">
        <is>
          <t>avverkningsanmälan</t>
        </is>
      </c>
      <c r="C9176" t="inlineStr">
        <is>
          <t>Föryngringsavverkning</t>
        </is>
      </c>
      <c r="D9176" s="1" t="n">
        <v>46090</v>
      </c>
      <c r="E9176" s="1" t="n">
        <v>46307</v>
      </c>
      <c r="F9176" t="inlineStr">
        <is>
          <t>VÄRMLANDS LÄN</t>
        </is>
      </c>
      <c r="G9176" t="inlineStr">
        <is>
          <t>EDA</t>
        </is>
      </c>
      <c r="H9176" t="inlineStr">
        <is>
          <t>Bergvik skog väst AB</t>
        </is>
      </c>
      <c r="I9176" t="n">
        <v>10.5</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12611-2026</t>
        </is>
      </c>
      <c r="B9177" t="inlineStr">
        <is>
          <t>avverkningsanmälan</t>
        </is>
      </c>
      <c r="C9177" t="inlineStr">
        <is>
          <t>Föryngringsavverkning</t>
        </is>
      </c>
      <c r="D9177" s="1" t="n">
        <v>46091</v>
      </c>
      <c r="E9177" s="1" t="n">
        <v>46307</v>
      </c>
      <c r="F9177" t="inlineStr">
        <is>
          <t>VÄRMLANDS LÄN</t>
        </is>
      </c>
      <c r="G9177" t="inlineStr">
        <is>
          <t>HAGFORS</t>
        </is>
      </c>
      <c r="H9177" t="inlineStr">
        <is>
          <t>Bergvik skog väst AB</t>
        </is>
      </c>
      <c r="I9177" t="n">
        <v>7.2</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22971-2026</t>
        </is>
      </c>
      <c r="B9178" t="inlineStr">
        <is>
          <t>avverkningsanmälan</t>
        </is>
      </c>
      <c r="C9178" t="inlineStr">
        <is>
          <t>Föryngringsavverkning</t>
        </is>
      </c>
      <c r="D9178" s="1" t="n">
        <v>46160</v>
      </c>
      <c r="E9178" s="1" t="n">
        <v>46307</v>
      </c>
      <c r="F9178" t="inlineStr">
        <is>
          <t>VÄRMLANDS LÄN</t>
        </is>
      </c>
      <c r="G9178" t="inlineStr">
        <is>
          <t>ARVIKA</t>
        </is>
      </c>
      <c r="I9178" t="n">
        <v>2.8</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12810-2026</t>
        </is>
      </c>
      <c r="B9179" t="inlineStr">
        <is>
          <t>avverkningsanmälan</t>
        </is>
      </c>
      <c r="C9179" t="inlineStr">
        <is>
          <t>Föryngringsavverkning</t>
        </is>
      </c>
      <c r="D9179" s="1" t="n">
        <v>46091</v>
      </c>
      <c r="E9179" s="1" t="n">
        <v>46307</v>
      </c>
      <c r="F9179" t="inlineStr">
        <is>
          <t>VÄRMLANDS LÄN</t>
        </is>
      </c>
      <c r="G9179" t="inlineStr">
        <is>
          <t>SUNNE</t>
        </is>
      </c>
      <c r="I9179" t="n">
        <v>2.4</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22915-2026</t>
        </is>
      </c>
      <c r="B9180" t="inlineStr">
        <is>
          <t>avverkningsanmälan</t>
        </is>
      </c>
      <c r="C9180" t="inlineStr">
        <is>
          <t>Föryngringsavverkning</t>
        </is>
      </c>
      <c r="D9180" s="1" t="n">
        <v>46159</v>
      </c>
      <c r="E9180" s="1" t="n">
        <v>46307</v>
      </c>
      <c r="F9180" t="inlineStr">
        <is>
          <t>VÄRMLANDS LÄN</t>
        </is>
      </c>
      <c r="G9180" t="inlineStr">
        <is>
          <t>ÅRJÄNG</t>
        </is>
      </c>
      <c r="H9180" t="inlineStr">
        <is>
          <t>Övriga Aktiebolag</t>
        </is>
      </c>
      <c r="I9180" t="n">
        <v>2.5</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22925-2026</t>
        </is>
      </c>
      <c r="B9181" t="inlineStr">
        <is>
          <t>avverkningsanmälan</t>
        </is>
      </c>
      <c r="C9181" t="inlineStr">
        <is>
          <t>Föryngringsavverkning</t>
        </is>
      </c>
      <c r="D9181" s="1" t="n">
        <v>46160</v>
      </c>
      <c r="E9181" s="1" t="n">
        <v>46307</v>
      </c>
      <c r="F9181" t="inlineStr">
        <is>
          <t>VÄRMLANDS LÄN</t>
        </is>
      </c>
      <c r="G9181" t="inlineStr">
        <is>
          <t>HAGFORS</t>
        </is>
      </c>
      <c r="H9181" t="inlineStr">
        <is>
          <t>Bergvik skog väst AB</t>
        </is>
      </c>
      <c r="I9181" t="n">
        <v>17</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12534-2026</t>
        </is>
      </c>
      <c r="B9182" t="inlineStr">
        <is>
          <t>avverkningsanmälan</t>
        </is>
      </c>
      <c r="C9182" t="inlineStr">
        <is>
          <t>Föryngringsavverkning</t>
        </is>
      </c>
      <c r="D9182" s="1" t="n">
        <v>46090</v>
      </c>
      <c r="E9182" s="1" t="n">
        <v>46307</v>
      </c>
      <c r="F9182" t="inlineStr">
        <is>
          <t>VÄRMLANDS LÄN</t>
        </is>
      </c>
      <c r="G9182" t="inlineStr">
        <is>
          <t>HAGFORS</t>
        </is>
      </c>
      <c r="I9182" t="n">
        <v>3.5</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15303-2025</t>
        </is>
      </c>
      <c r="B9183" t="inlineStr">
        <is>
          <t>avverkningsanmälan</t>
        </is>
      </c>
      <c r="C9183" t="inlineStr">
        <is>
          <t>Föryngringsavverkning</t>
        </is>
      </c>
      <c r="D9183" s="1" t="n">
        <v>45746</v>
      </c>
      <c r="E9183" s="1" t="n">
        <v>46307</v>
      </c>
      <c r="F9183" t="inlineStr">
        <is>
          <t>VÄRMLANDS LÄN</t>
        </is>
      </c>
      <c r="G9183" t="inlineStr">
        <is>
          <t>ÅRJÄNG</t>
        </is>
      </c>
      <c r="I9183" t="n">
        <v>8</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35315-2022</t>
        </is>
      </c>
      <c r="B9184" t="inlineStr">
        <is>
          <t>avverkningsanmälan</t>
        </is>
      </c>
      <c r="C9184" t="inlineStr">
        <is>
          <t>Föryngringsavverkning</t>
        </is>
      </c>
      <c r="D9184" s="1" t="n">
        <v>44798</v>
      </c>
      <c r="E9184" s="1" t="n">
        <v>46307</v>
      </c>
      <c r="F9184" t="inlineStr">
        <is>
          <t>VÄRMLANDS LÄN</t>
        </is>
      </c>
      <c r="G9184" t="inlineStr">
        <is>
          <t>EDA</t>
        </is>
      </c>
      <c r="I9184" t="n">
        <v>2</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22716-2026</t>
        </is>
      </c>
      <c r="B9185" t="inlineStr">
        <is>
          <t>avverkningsanmälan</t>
        </is>
      </c>
      <c r="C9185" t="inlineStr">
        <is>
          <t>Föryngringsavverkning</t>
        </is>
      </c>
      <c r="D9185" s="1" t="n">
        <v>46156</v>
      </c>
      <c r="E9185" s="1" t="n">
        <v>46307</v>
      </c>
      <c r="F9185" t="inlineStr">
        <is>
          <t>VÄRMLANDS LÄN</t>
        </is>
      </c>
      <c r="G9185" t="inlineStr">
        <is>
          <t>TORSBY</t>
        </is>
      </c>
      <c r="I9185" t="n">
        <v>1.5</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12707-2026</t>
        </is>
      </c>
      <c r="B9186" t="inlineStr">
        <is>
          <t>avverkningsanmälan</t>
        </is>
      </c>
      <c r="C9186" t="inlineStr">
        <is>
          <t>Föryngringsavverkning</t>
        </is>
      </c>
      <c r="D9186" s="1" t="n">
        <v>46091</v>
      </c>
      <c r="E9186" s="1" t="n">
        <v>46307</v>
      </c>
      <c r="F9186" t="inlineStr">
        <is>
          <t>VÄRMLANDS LÄN</t>
        </is>
      </c>
      <c r="G9186" t="inlineStr">
        <is>
          <t>TORSBY</t>
        </is>
      </c>
      <c r="I9186" t="n">
        <v>0.9</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22717-2026</t>
        </is>
      </c>
      <c r="B9187" t="inlineStr">
        <is>
          <t>avverkningsanmälan</t>
        </is>
      </c>
      <c r="C9187" t="inlineStr">
        <is>
          <t>Föryngringsavverkning</t>
        </is>
      </c>
      <c r="D9187" s="1" t="n">
        <v>46156</v>
      </c>
      <c r="E9187" s="1" t="n">
        <v>46307</v>
      </c>
      <c r="F9187" t="inlineStr">
        <is>
          <t>VÄRMLANDS LÄN</t>
        </is>
      </c>
      <c r="G9187" t="inlineStr">
        <is>
          <t>TORSBY</t>
        </is>
      </c>
      <c r="I9187" t="n">
        <v>8.1</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22954-2026</t>
        </is>
      </c>
      <c r="B9188" t="inlineStr">
        <is>
          <t>avverkningsanmälan</t>
        </is>
      </c>
      <c r="C9188" t="inlineStr">
        <is>
          <t>Föryngringsavverkning</t>
        </is>
      </c>
      <c r="D9188" s="1" t="n">
        <v>46160</v>
      </c>
      <c r="E9188" s="1" t="n">
        <v>46307</v>
      </c>
      <c r="F9188" t="inlineStr">
        <is>
          <t>VÄRMLANDS LÄN</t>
        </is>
      </c>
      <c r="G9188" t="inlineStr">
        <is>
          <t>SUNNE</t>
        </is>
      </c>
      <c r="I9188" t="n">
        <v>0.9</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22958-2026</t>
        </is>
      </c>
      <c r="B9189" t="inlineStr">
        <is>
          <t>avverkningsanmälan</t>
        </is>
      </c>
      <c r="C9189" t="inlineStr">
        <is>
          <t>Föryngringsavverkning</t>
        </is>
      </c>
      <c r="D9189" s="1" t="n">
        <v>46160</v>
      </c>
      <c r="E9189" s="1" t="n">
        <v>46307</v>
      </c>
      <c r="F9189" t="inlineStr">
        <is>
          <t>VÄRMLANDS LÄN</t>
        </is>
      </c>
      <c r="G9189" t="inlineStr">
        <is>
          <t>SUNNE</t>
        </is>
      </c>
      <c r="I9189" t="n">
        <v>0.5</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12737-2026</t>
        </is>
      </c>
      <c r="B9190" t="inlineStr">
        <is>
          <t>avverkningsanmälan</t>
        </is>
      </c>
      <c r="C9190" t="inlineStr">
        <is>
          <t>Föryngringsavverkning</t>
        </is>
      </c>
      <c r="D9190" s="1" t="n">
        <v>46091</v>
      </c>
      <c r="E9190" s="1" t="n">
        <v>46307</v>
      </c>
      <c r="F9190" t="inlineStr">
        <is>
          <t>VÄRMLANDS LÄN</t>
        </is>
      </c>
      <c r="G9190" t="inlineStr">
        <is>
          <t>ÅRJÄNG</t>
        </is>
      </c>
      <c r="I9190" t="n">
        <v>1.2</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13107-2026</t>
        </is>
      </c>
      <c r="B9191" t="inlineStr">
        <is>
          <t>avverkningsanmälan</t>
        </is>
      </c>
      <c r="C9191" t="inlineStr">
        <is>
          <t>Föryngringsavverkning</t>
        </is>
      </c>
      <c r="D9191" s="1" t="n">
        <v>46093</v>
      </c>
      <c r="E9191" s="1" t="n">
        <v>46307</v>
      </c>
      <c r="F9191" t="inlineStr">
        <is>
          <t>VÄRMLANDS LÄN</t>
        </is>
      </c>
      <c r="G9191" t="inlineStr">
        <is>
          <t>SUNNE</t>
        </is>
      </c>
      <c r="I9191" t="n">
        <v>2.2</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21836-2025</t>
        </is>
      </c>
      <c r="B9192" t="inlineStr">
        <is>
          <t>avverkningsanmälan</t>
        </is>
      </c>
      <c r="C9192" t="inlineStr">
        <is>
          <t>Föryngringsavverkning</t>
        </is>
      </c>
      <c r="D9192" s="1" t="n">
        <v>45784</v>
      </c>
      <c r="E9192" s="1" t="n">
        <v>46307</v>
      </c>
      <c r="F9192" t="inlineStr">
        <is>
          <t>VÄRMLANDS LÄN</t>
        </is>
      </c>
      <c r="G9192" t="inlineStr">
        <is>
          <t>FORSHAGA</t>
        </is>
      </c>
      <c r="I9192" t="n">
        <v>4.2</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12878-2026</t>
        </is>
      </c>
      <c r="B9193" t="inlineStr">
        <is>
          <t>avverkningsanmälan</t>
        </is>
      </c>
      <c r="C9193" t="inlineStr">
        <is>
          <t>Föryngringsavverkning</t>
        </is>
      </c>
      <c r="D9193" s="1" t="n">
        <v>46092</v>
      </c>
      <c r="E9193" s="1" t="n">
        <v>46307</v>
      </c>
      <c r="F9193" t="inlineStr">
        <is>
          <t>VÄRMLANDS LÄN</t>
        </is>
      </c>
      <c r="G9193" t="inlineStr">
        <is>
          <t>KARLSTAD</t>
        </is>
      </c>
      <c r="H9193" t="inlineStr">
        <is>
          <t>Bergvik skog väst AB</t>
        </is>
      </c>
      <c r="I9193" t="n">
        <v>5</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24262-2025</t>
        </is>
      </c>
      <c r="B9194" t="inlineStr">
        <is>
          <t>avverkningsanmälan</t>
        </is>
      </c>
      <c r="C9194" t="inlineStr">
        <is>
          <t>Föryngringsavverkning</t>
        </is>
      </c>
      <c r="D9194" s="1" t="n">
        <v>45797</v>
      </c>
      <c r="E9194" s="1" t="n">
        <v>46307</v>
      </c>
      <c r="F9194" t="inlineStr">
        <is>
          <t>VÄRMLANDS LÄN</t>
        </is>
      </c>
      <c r="G9194" t="inlineStr">
        <is>
          <t>KIL</t>
        </is>
      </c>
      <c r="I9194" t="n">
        <v>1.2</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13127-2026</t>
        </is>
      </c>
      <c r="B9195" t="inlineStr">
        <is>
          <t>avverkningsanmälan</t>
        </is>
      </c>
      <c r="C9195" t="inlineStr">
        <is>
          <t>Föryngringsavverkning</t>
        </is>
      </c>
      <c r="D9195" s="1" t="n">
        <v>46093</v>
      </c>
      <c r="E9195" s="1" t="n">
        <v>46307</v>
      </c>
      <c r="F9195" t="inlineStr">
        <is>
          <t>VÄRMLANDS LÄN</t>
        </is>
      </c>
      <c r="G9195" t="inlineStr">
        <is>
          <t>SÄFFLE</t>
        </is>
      </c>
      <c r="I9195" t="n">
        <v>0.8</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12932-2026</t>
        </is>
      </c>
      <c r="B9196" t="inlineStr">
        <is>
          <t>avverkningsanmälan</t>
        </is>
      </c>
      <c r="C9196" t="inlineStr">
        <is>
          <t>Föryngringsavverkning</t>
        </is>
      </c>
      <c r="D9196" s="1" t="n">
        <v>46092</v>
      </c>
      <c r="E9196" s="1" t="n">
        <v>46307</v>
      </c>
      <c r="F9196" t="inlineStr">
        <is>
          <t>VÄRMLANDS LÄN</t>
        </is>
      </c>
      <c r="G9196" t="inlineStr">
        <is>
          <t>KRISTINEHAMN</t>
        </is>
      </c>
      <c r="H9196" t="inlineStr">
        <is>
          <t>Sveaskog</t>
        </is>
      </c>
      <c r="I9196" t="n">
        <v>1.4</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12972-2026</t>
        </is>
      </c>
      <c r="B9197" t="inlineStr">
        <is>
          <t>avverkningsanmälan</t>
        </is>
      </c>
      <c r="C9197" t="inlineStr">
        <is>
          <t>Föryngringsavverkning</t>
        </is>
      </c>
      <c r="D9197" s="1" t="n">
        <v>46092</v>
      </c>
      <c r="E9197" s="1" t="n">
        <v>46307</v>
      </c>
      <c r="F9197" t="inlineStr">
        <is>
          <t>VÄRMLANDS LÄN</t>
        </is>
      </c>
      <c r="G9197" t="inlineStr">
        <is>
          <t>TORSBY</t>
        </is>
      </c>
      <c r="I9197" t="n">
        <v>3.6</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23113-2026</t>
        </is>
      </c>
      <c r="B9198" t="inlineStr">
        <is>
          <t>avverkningsanmälan</t>
        </is>
      </c>
      <c r="C9198" t="inlineStr">
        <is>
          <t>Föryngringsavverkning</t>
        </is>
      </c>
      <c r="D9198" s="1" t="n">
        <v>46161</v>
      </c>
      <c r="E9198" s="1" t="n">
        <v>46307</v>
      </c>
      <c r="F9198" t="inlineStr">
        <is>
          <t>VÄRMLANDS LÄN</t>
        </is>
      </c>
      <c r="G9198" t="inlineStr">
        <is>
          <t>SUNNE</t>
        </is>
      </c>
      <c r="I9198" t="n">
        <v>1.4</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23405-2026</t>
        </is>
      </c>
      <c r="B9199" t="inlineStr">
        <is>
          <t>avverkningsanmälan</t>
        </is>
      </c>
      <c r="C9199" t="inlineStr">
        <is>
          <t>Föryngringsavverkning</t>
        </is>
      </c>
      <c r="D9199" s="1" t="n">
        <v>46162</v>
      </c>
      <c r="E9199" s="1" t="n">
        <v>46307</v>
      </c>
      <c r="F9199" t="inlineStr">
        <is>
          <t>VÄRMLANDS LÄN</t>
        </is>
      </c>
      <c r="G9199" t="inlineStr">
        <is>
          <t>TORSBY</t>
        </is>
      </c>
      <c r="H9199" t="inlineStr">
        <is>
          <t>Bergvik skog väst AB</t>
        </is>
      </c>
      <c r="I9199" t="n">
        <v>3.8</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23012-2026</t>
        </is>
      </c>
      <c r="B9200" t="inlineStr">
        <is>
          <t>avverkningsanmälan</t>
        </is>
      </c>
      <c r="C9200" t="inlineStr">
        <is>
          <t>Föryngringsavverkning</t>
        </is>
      </c>
      <c r="D9200" s="1" t="n">
        <v>46161</v>
      </c>
      <c r="E9200" s="1" t="n">
        <v>46307</v>
      </c>
      <c r="F9200" t="inlineStr">
        <is>
          <t>VÄRMLANDS LÄN</t>
        </is>
      </c>
      <c r="G9200" t="inlineStr">
        <is>
          <t>MUNKFORS</t>
        </is>
      </c>
      <c r="H9200" t="inlineStr">
        <is>
          <t>Kyrkan</t>
        </is>
      </c>
      <c r="I9200" t="n">
        <v>1.1</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13015-2026</t>
        </is>
      </c>
      <c r="B9201" t="inlineStr">
        <is>
          <t>avverkningsanmälan</t>
        </is>
      </c>
      <c r="C9201" t="inlineStr">
        <is>
          <t>Föryngringsavverkning</t>
        </is>
      </c>
      <c r="D9201" s="1" t="n">
        <v>46092</v>
      </c>
      <c r="E9201" s="1" t="n">
        <v>46307</v>
      </c>
      <c r="F9201" t="inlineStr">
        <is>
          <t>VÄRMLANDS LÄN</t>
        </is>
      </c>
      <c r="G9201" t="inlineStr">
        <is>
          <t>SUNNE</t>
        </is>
      </c>
      <c r="I9201" t="n">
        <v>1.5</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13050-2026</t>
        </is>
      </c>
      <c r="B9202" t="inlineStr">
        <is>
          <t>avverkningsanmälan</t>
        </is>
      </c>
      <c r="C9202" t="inlineStr">
        <is>
          <t>Föryngringsavverkning</t>
        </is>
      </c>
      <c r="D9202" s="1" t="n">
        <v>46093</v>
      </c>
      <c r="E9202" s="1" t="n">
        <v>46307</v>
      </c>
      <c r="F9202" t="inlineStr">
        <is>
          <t>VÄRMLANDS LÄN</t>
        </is>
      </c>
      <c r="G9202" t="inlineStr">
        <is>
          <t>TORSBY</t>
        </is>
      </c>
      <c r="H9202" t="inlineStr">
        <is>
          <t>Bergvik skog väst AB</t>
        </is>
      </c>
      <c r="I9202" t="n">
        <v>2.4</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23078-2026</t>
        </is>
      </c>
      <c r="B9203" t="inlineStr">
        <is>
          <t>avverkningsanmälan</t>
        </is>
      </c>
      <c r="C9203" t="inlineStr">
        <is>
          <t>Föryngringsavverkning</t>
        </is>
      </c>
      <c r="D9203" s="1" t="n">
        <v>46161</v>
      </c>
      <c r="E9203" s="1" t="n">
        <v>46307</v>
      </c>
      <c r="F9203" t="inlineStr">
        <is>
          <t>VÄRMLANDS LÄN</t>
        </is>
      </c>
      <c r="G9203" t="inlineStr">
        <is>
          <t>TORSBY</t>
        </is>
      </c>
      <c r="I9203" t="n">
        <v>2.5</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23279-2026</t>
        </is>
      </c>
      <c r="B9204" t="inlineStr">
        <is>
          <t>avverkningsanmälan</t>
        </is>
      </c>
      <c r="C9204" t="inlineStr">
        <is>
          <t>Avverkning för annat ändamål</t>
        </is>
      </c>
      <c r="D9204" s="1" t="n">
        <v>46162</v>
      </c>
      <c r="E9204" s="1" t="n">
        <v>46307</v>
      </c>
      <c r="F9204" t="inlineStr">
        <is>
          <t>VÄRMLANDS LÄN</t>
        </is>
      </c>
      <c r="G9204" t="inlineStr">
        <is>
          <t>ARVIKA</t>
        </is>
      </c>
      <c r="H9204" t="inlineStr">
        <is>
          <t>Bergvik skog väst AB</t>
        </is>
      </c>
      <c r="I9204" t="n">
        <v>1.9</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23287-2026</t>
        </is>
      </c>
      <c r="B9205" t="inlineStr">
        <is>
          <t>avverkningsanmälan</t>
        </is>
      </c>
      <c r="C9205" t="inlineStr">
        <is>
          <t>Föryngringsavverkning</t>
        </is>
      </c>
      <c r="D9205" s="1" t="n">
        <v>46162</v>
      </c>
      <c r="E9205" s="1" t="n">
        <v>46307</v>
      </c>
      <c r="F9205" t="inlineStr">
        <is>
          <t>VÄRMLANDS LÄN</t>
        </is>
      </c>
      <c r="G9205" t="inlineStr">
        <is>
          <t>ÅRJÄNG</t>
        </is>
      </c>
      <c r="I9205" t="n">
        <v>1.3</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12987-2026</t>
        </is>
      </c>
      <c r="B9206" t="inlineStr">
        <is>
          <t>avverkningsanmälan</t>
        </is>
      </c>
      <c r="C9206" t="inlineStr">
        <is>
          <t>Föryngringsavverkning</t>
        </is>
      </c>
      <c r="D9206" s="1" t="n">
        <v>46092</v>
      </c>
      <c r="E9206" s="1" t="n">
        <v>46307</v>
      </c>
      <c r="F9206" t="inlineStr">
        <is>
          <t>VÄRMLANDS LÄN</t>
        </is>
      </c>
      <c r="G9206" t="inlineStr">
        <is>
          <t>SÄFFLE</t>
        </is>
      </c>
      <c r="I9206" t="n">
        <v>4.8</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23147-2026</t>
        </is>
      </c>
      <c r="B9207" t="inlineStr">
        <is>
          <t>avverkningsanmälan</t>
        </is>
      </c>
      <c r="C9207" t="inlineStr">
        <is>
          <t>Föryngringsavverkning</t>
        </is>
      </c>
      <c r="D9207" s="1" t="n">
        <v>46161</v>
      </c>
      <c r="E9207" s="1" t="n">
        <v>46307</v>
      </c>
      <c r="F9207" t="inlineStr">
        <is>
          <t>VÄRMLANDS LÄN</t>
        </is>
      </c>
      <c r="G9207" t="inlineStr">
        <is>
          <t>KRISTINEHAMN</t>
        </is>
      </c>
      <c r="H9207" t="inlineStr">
        <is>
          <t>Sveaskog</t>
        </is>
      </c>
      <c r="I9207" t="n">
        <v>0.8</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13051-2026</t>
        </is>
      </c>
      <c r="B9208" t="inlineStr">
        <is>
          <t>avverkningsanmälan</t>
        </is>
      </c>
      <c r="C9208" t="inlineStr">
        <is>
          <t>Föryngringsavverkning</t>
        </is>
      </c>
      <c r="D9208" s="1" t="n">
        <v>46093</v>
      </c>
      <c r="E9208" s="1" t="n">
        <v>46307</v>
      </c>
      <c r="F9208" t="inlineStr">
        <is>
          <t>VÄRMLANDS LÄN</t>
        </is>
      </c>
      <c r="G9208" t="inlineStr">
        <is>
          <t>SÄFFLE</t>
        </is>
      </c>
      <c r="I9208" t="n">
        <v>11.2</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12903-2026</t>
        </is>
      </c>
      <c r="B9209" t="inlineStr">
        <is>
          <t>avverkningsanmälan</t>
        </is>
      </c>
      <c r="C9209" t="inlineStr">
        <is>
          <t>Avverkning för att bevara och utveckla /försöksver</t>
        </is>
      </c>
      <c r="D9209" s="1" t="n">
        <v>46092</v>
      </c>
      <c r="E9209" s="1" t="n">
        <v>46307</v>
      </c>
      <c r="F9209" t="inlineStr">
        <is>
          <t>VÄRMLANDS LÄN</t>
        </is>
      </c>
      <c r="G9209" t="inlineStr">
        <is>
          <t>KARLSTAD</t>
        </is>
      </c>
      <c r="H9209" t="inlineStr">
        <is>
          <t>Bergvik skog väst AB</t>
        </is>
      </c>
      <c r="I9209" t="n">
        <v>1</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12911-2026</t>
        </is>
      </c>
      <c r="B9210" t="inlineStr">
        <is>
          <t>avverkningsanmälan</t>
        </is>
      </c>
      <c r="C9210" t="inlineStr">
        <is>
          <t>Föryngringsavverkning</t>
        </is>
      </c>
      <c r="D9210" s="1" t="n">
        <v>46092</v>
      </c>
      <c r="E9210" s="1" t="n">
        <v>46307</v>
      </c>
      <c r="F9210" t="inlineStr">
        <is>
          <t>VÄRMLANDS LÄN</t>
        </is>
      </c>
      <c r="G9210" t="inlineStr">
        <is>
          <t>EDA</t>
        </is>
      </c>
      <c r="I9210" t="n">
        <v>1.9</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12890-2026</t>
        </is>
      </c>
      <c r="B9211" t="inlineStr">
        <is>
          <t>avverkningsanmälan</t>
        </is>
      </c>
      <c r="C9211" t="inlineStr">
        <is>
          <t>Föryngringsavverkning</t>
        </is>
      </c>
      <c r="D9211" s="1" t="n">
        <v>46092</v>
      </c>
      <c r="E9211" s="1" t="n">
        <v>46307</v>
      </c>
      <c r="F9211" t="inlineStr">
        <is>
          <t>VÄRMLANDS LÄN</t>
        </is>
      </c>
      <c r="G9211" t="inlineStr">
        <is>
          <t>TORSBY</t>
        </is>
      </c>
      <c r="I9211" t="n">
        <v>4.2</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12898-2026</t>
        </is>
      </c>
      <c r="B9212" t="inlineStr">
        <is>
          <t>avverkningsanmälan</t>
        </is>
      </c>
      <c r="C9212" t="inlineStr">
        <is>
          <t>Föryngringsavverkning</t>
        </is>
      </c>
      <c r="D9212" s="1" t="n">
        <v>46092</v>
      </c>
      <c r="E9212" s="1" t="n">
        <v>46307</v>
      </c>
      <c r="F9212" t="inlineStr">
        <is>
          <t>VÄRMLANDS LÄN</t>
        </is>
      </c>
      <c r="G9212" t="inlineStr">
        <is>
          <t>ÅRJÄNG</t>
        </is>
      </c>
      <c r="I9212" t="n">
        <v>0.9</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12914-2026</t>
        </is>
      </c>
      <c r="B9213" t="inlineStr">
        <is>
          <t>avverkningsanmälan</t>
        </is>
      </c>
      <c r="C9213" t="inlineStr">
        <is>
          <t>Föryngringsavverkning</t>
        </is>
      </c>
      <c r="D9213" s="1" t="n">
        <v>46092</v>
      </c>
      <c r="E9213" s="1" t="n">
        <v>46307</v>
      </c>
      <c r="F9213" t="inlineStr">
        <is>
          <t>VÄRMLANDS LÄN</t>
        </is>
      </c>
      <c r="G9213" t="inlineStr">
        <is>
          <t>EDA</t>
        </is>
      </c>
      <c r="I9213" t="n">
        <v>0.8</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12925-2026</t>
        </is>
      </c>
      <c r="B9214" t="inlineStr">
        <is>
          <t>avverkningsanmälan</t>
        </is>
      </c>
      <c r="C9214" t="inlineStr">
        <is>
          <t>Föryngringsavverkning</t>
        </is>
      </c>
      <c r="D9214" s="1" t="n">
        <v>46092</v>
      </c>
      <c r="E9214" s="1" t="n">
        <v>46307</v>
      </c>
      <c r="F9214" t="inlineStr">
        <is>
          <t>VÄRMLANDS LÄN</t>
        </is>
      </c>
      <c r="G9214" t="inlineStr">
        <is>
          <t>EDA</t>
        </is>
      </c>
      <c r="I9214" t="n">
        <v>0.7</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12926-2026</t>
        </is>
      </c>
      <c r="B9215" t="inlineStr">
        <is>
          <t>avverkningsanmälan</t>
        </is>
      </c>
      <c r="C9215" t="inlineStr">
        <is>
          <t>Föryngringsavverkning</t>
        </is>
      </c>
      <c r="D9215" s="1" t="n">
        <v>46092</v>
      </c>
      <c r="E9215" s="1" t="n">
        <v>46307</v>
      </c>
      <c r="F9215" t="inlineStr">
        <is>
          <t>VÄRMLANDS LÄN</t>
        </is>
      </c>
      <c r="G9215" t="inlineStr">
        <is>
          <t>EDA</t>
        </is>
      </c>
      <c r="I9215" t="n">
        <v>4.2</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12943-2026</t>
        </is>
      </c>
      <c r="B9216" t="inlineStr">
        <is>
          <t>avverkningsanmälan</t>
        </is>
      </c>
      <c r="C9216" t="inlineStr">
        <is>
          <t>Föryngringsavverkning</t>
        </is>
      </c>
      <c r="D9216" s="1" t="n">
        <v>46092</v>
      </c>
      <c r="E9216" s="1" t="n">
        <v>46307</v>
      </c>
      <c r="F9216" t="inlineStr">
        <is>
          <t>VÄRMLANDS LÄN</t>
        </is>
      </c>
      <c r="G9216" t="inlineStr">
        <is>
          <t>FILIPSTAD</t>
        </is>
      </c>
      <c r="H9216" t="inlineStr">
        <is>
          <t>Bergvik skog väst AB</t>
        </is>
      </c>
      <c r="I9216" t="n">
        <v>3.4</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13185-2026</t>
        </is>
      </c>
      <c r="B9217" t="inlineStr">
        <is>
          <t>avverkningsanmälan</t>
        </is>
      </c>
      <c r="C9217" t="inlineStr">
        <is>
          <t>Föryngringsavverkning</t>
        </is>
      </c>
      <c r="D9217" s="1" t="n">
        <v>46093</v>
      </c>
      <c r="E9217" s="1" t="n">
        <v>46307</v>
      </c>
      <c r="F9217" t="inlineStr">
        <is>
          <t>VÄRMLANDS LÄN</t>
        </is>
      </c>
      <c r="G9217" t="inlineStr">
        <is>
          <t>STORFORS</t>
        </is>
      </c>
      <c r="I9217" t="n">
        <v>1.7</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12927-2026</t>
        </is>
      </c>
      <c r="B9218" t="inlineStr">
        <is>
          <t>avverkningsanmälan</t>
        </is>
      </c>
      <c r="C9218" t="inlineStr">
        <is>
          <t>Föryngringsavverkning</t>
        </is>
      </c>
      <c r="D9218" s="1" t="n">
        <v>46092</v>
      </c>
      <c r="E9218" s="1" t="n">
        <v>46307</v>
      </c>
      <c r="F9218" t="inlineStr">
        <is>
          <t>VÄRMLANDS LÄN</t>
        </is>
      </c>
      <c r="G9218" t="inlineStr">
        <is>
          <t>EDA</t>
        </is>
      </c>
      <c r="I9218" t="n">
        <v>5</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12934-2026</t>
        </is>
      </c>
      <c r="B9219" t="inlineStr">
        <is>
          <t>avverkningsanmälan</t>
        </is>
      </c>
      <c r="C9219" t="inlineStr">
        <is>
          <t>Föryngringsavverkning</t>
        </is>
      </c>
      <c r="D9219" s="1" t="n">
        <v>46092</v>
      </c>
      <c r="E9219" s="1" t="n">
        <v>46307</v>
      </c>
      <c r="F9219" t="inlineStr">
        <is>
          <t>VÄRMLANDS LÄN</t>
        </is>
      </c>
      <c r="G9219" t="inlineStr">
        <is>
          <t>KRISTINEHAMN</t>
        </is>
      </c>
      <c r="H9219" t="inlineStr">
        <is>
          <t>Sveaskog</t>
        </is>
      </c>
      <c r="I9219" t="n">
        <v>1.2</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23352-2026</t>
        </is>
      </c>
      <c r="B9220" t="inlineStr">
        <is>
          <t>avverkningsanmälan</t>
        </is>
      </c>
      <c r="C9220" t="inlineStr">
        <is>
          <t>Föryngringsavverkning</t>
        </is>
      </c>
      <c r="D9220" s="1" t="n">
        <v>46162</v>
      </c>
      <c r="E9220" s="1" t="n">
        <v>46307</v>
      </c>
      <c r="F9220" t="inlineStr">
        <is>
          <t>VÄRMLANDS LÄN</t>
        </is>
      </c>
      <c r="G9220" t="inlineStr">
        <is>
          <t>TORSBY</t>
        </is>
      </c>
      <c r="I9220" t="n">
        <v>0.8</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23320-2026</t>
        </is>
      </c>
      <c r="B9221" t="inlineStr">
        <is>
          <t>avverkningsanmälan</t>
        </is>
      </c>
      <c r="C9221" t="inlineStr">
        <is>
          <t>Föryngringsavverkning</t>
        </is>
      </c>
      <c r="D9221" s="1" t="n">
        <v>46162</v>
      </c>
      <c r="E9221" s="1" t="n">
        <v>46307</v>
      </c>
      <c r="F9221" t="inlineStr">
        <is>
          <t>VÄRMLANDS LÄN</t>
        </is>
      </c>
      <c r="G9221" t="inlineStr">
        <is>
          <t>TORSBY</t>
        </is>
      </c>
      <c r="I9221" t="n">
        <v>2.3</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12909-2026</t>
        </is>
      </c>
      <c r="B9222" t="inlineStr">
        <is>
          <t>avverkningsanmälan</t>
        </is>
      </c>
      <c r="C9222" t="inlineStr">
        <is>
          <t>Föryngringsavverkning</t>
        </is>
      </c>
      <c r="D9222" s="1" t="n">
        <v>46092</v>
      </c>
      <c r="E9222" s="1" t="n">
        <v>46307</v>
      </c>
      <c r="F9222" t="inlineStr">
        <is>
          <t>VÄRMLANDS LÄN</t>
        </is>
      </c>
      <c r="G9222" t="inlineStr">
        <is>
          <t>EDA</t>
        </is>
      </c>
      <c r="I9222" t="n">
        <v>1.9</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12930-2026</t>
        </is>
      </c>
      <c r="B9223" t="inlineStr">
        <is>
          <t>avverkningsanmälan</t>
        </is>
      </c>
      <c r="C9223" t="inlineStr">
        <is>
          <t>Föryngringsavverkning</t>
        </is>
      </c>
      <c r="D9223" s="1" t="n">
        <v>46092</v>
      </c>
      <c r="E9223" s="1" t="n">
        <v>46307</v>
      </c>
      <c r="F9223" t="inlineStr">
        <is>
          <t>VÄRMLANDS LÄN</t>
        </is>
      </c>
      <c r="G9223" t="inlineStr">
        <is>
          <t>KRISTINEHAMN</t>
        </is>
      </c>
      <c r="H9223" t="inlineStr">
        <is>
          <t>Sveaskog</t>
        </is>
      </c>
      <c r="I9223" t="n">
        <v>1.5</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12955-2026</t>
        </is>
      </c>
      <c r="B9224" t="inlineStr">
        <is>
          <t>avverkningsanmälan</t>
        </is>
      </c>
      <c r="C9224" t="inlineStr">
        <is>
          <t>Föryngringsavverkning</t>
        </is>
      </c>
      <c r="D9224" s="1" t="n">
        <v>46092</v>
      </c>
      <c r="E9224" s="1" t="n">
        <v>46307</v>
      </c>
      <c r="F9224" t="inlineStr">
        <is>
          <t>VÄRMLANDS LÄN</t>
        </is>
      </c>
      <c r="G9224" t="inlineStr">
        <is>
          <t>FILIPSTAD</t>
        </is>
      </c>
      <c r="H9224" t="inlineStr">
        <is>
          <t>Bergvik skog väst AB</t>
        </is>
      </c>
      <c r="I9224" t="n">
        <v>1.6</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23401-2026</t>
        </is>
      </c>
      <c r="B9225" t="inlineStr">
        <is>
          <t>avverkningsanmälan</t>
        </is>
      </c>
      <c r="C9225" t="inlineStr">
        <is>
          <t>Föryngringsavverkning</t>
        </is>
      </c>
      <c r="D9225" s="1" t="n">
        <v>46162</v>
      </c>
      <c r="E9225" s="1" t="n">
        <v>46307</v>
      </c>
      <c r="F9225" t="inlineStr">
        <is>
          <t>VÄRMLANDS LÄN</t>
        </is>
      </c>
      <c r="G9225" t="inlineStr">
        <is>
          <t>ARVIKA</t>
        </is>
      </c>
      <c r="I9225" t="n">
        <v>2.4</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23447-2026</t>
        </is>
      </c>
      <c r="B9226" t="inlineStr">
        <is>
          <t>avverkningsanmälan</t>
        </is>
      </c>
      <c r="C9226" t="inlineStr">
        <is>
          <t>Föryngringsavverkning</t>
        </is>
      </c>
      <c r="D9226" s="1" t="n">
        <v>46162</v>
      </c>
      <c r="E9226" s="1" t="n">
        <v>46307</v>
      </c>
      <c r="F9226" t="inlineStr">
        <is>
          <t>VÄRMLANDS LÄN</t>
        </is>
      </c>
      <c r="G9226" t="inlineStr">
        <is>
          <t>ÅRJÄNG</t>
        </is>
      </c>
      <c r="I9226" t="n">
        <v>1.8</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13479-2026</t>
        </is>
      </c>
      <c r="B9227" t="inlineStr">
        <is>
          <t>avverkningsanmälan</t>
        </is>
      </c>
      <c r="C9227" t="inlineStr">
        <is>
          <t>Föryngringsavverkning</t>
        </is>
      </c>
      <c r="D9227" s="1" t="n">
        <v>46094</v>
      </c>
      <c r="E9227" s="1" t="n">
        <v>46307</v>
      </c>
      <c r="F9227" t="inlineStr">
        <is>
          <t>VÄRMLANDS LÄN</t>
        </is>
      </c>
      <c r="G9227" t="inlineStr">
        <is>
          <t>TORSBY</t>
        </is>
      </c>
      <c r="H9227" t="inlineStr">
        <is>
          <t>Bergvik skog väst AB</t>
        </is>
      </c>
      <c r="I9227" t="n">
        <v>2.1</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23351-2026</t>
        </is>
      </c>
      <c r="B9228" t="inlineStr">
        <is>
          <t>avverkningsanmälan</t>
        </is>
      </c>
      <c r="C9228" t="inlineStr">
        <is>
          <t>Föryngringsavverkning</t>
        </is>
      </c>
      <c r="D9228" s="1" t="n">
        <v>46162</v>
      </c>
      <c r="E9228" s="1" t="n">
        <v>46307</v>
      </c>
      <c r="F9228" t="inlineStr">
        <is>
          <t>VÄRMLANDS LÄN</t>
        </is>
      </c>
      <c r="G9228" t="inlineStr">
        <is>
          <t>TORSBY</t>
        </is>
      </c>
      <c r="I9228" t="n">
        <v>2</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13555-2026</t>
        </is>
      </c>
      <c r="B9229" t="inlineStr">
        <is>
          <t>avverkningsanmälan</t>
        </is>
      </c>
      <c r="C9229" t="inlineStr">
        <is>
          <t>Föryngringsavverkning</t>
        </is>
      </c>
      <c r="D9229" s="1" t="n">
        <v>46094</v>
      </c>
      <c r="E9229" s="1" t="n">
        <v>46307</v>
      </c>
      <c r="F9229" t="inlineStr">
        <is>
          <t>VÄRMLANDS LÄN</t>
        </is>
      </c>
      <c r="G9229" t="inlineStr">
        <is>
          <t>FILIPSTAD</t>
        </is>
      </c>
      <c r="H9229" t="inlineStr">
        <is>
          <t>Bergvik skog väst AB</t>
        </is>
      </c>
      <c r="I9229" t="n">
        <v>4.8</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13520-2026</t>
        </is>
      </c>
      <c r="B9230" t="inlineStr">
        <is>
          <t>avverkningsanmälan</t>
        </is>
      </c>
      <c r="C9230" t="inlineStr">
        <is>
          <t>Föryngringsavverkning</t>
        </is>
      </c>
      <c r="D9230" s="1" t="n">
        <v>46094</v>
      </c>
      <c r="E9230" s="1" t="n">
        <v>46307</v>
      </c>
      <c r="F9230" t="inlineStr">
        <is>
          <t>VÄRMLANDS LÄN</t>
        </is>
      </c>
      <c r="G9230" t="inlineStr">
        <is>
          <t>FILIPSTAD</t>
        </is>
      </c>
      <c r="H9230" t="inlineStr">
        <is>
          <t>Bergvik skog väst AB</t>
        </is>
      </c>
      <c r="I9230" t="n">
        <v>5.5</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13419-2026</t>
        </is>
      </c>
      <c r="B9231" t="inlineStr">
        <is>
          <t>avverkningsanmälan</t>
        </is>
      </c>
      <c r="C9231" t="inlineStr">
        <is>
          <t>Föryngringsavverkning</t>
        </is>
      </c>
      <c r="D9231" s="1" t="n">
        <v>46094</v>
      </c>
      <c r="E9231" s="1" t="n">
        <v>46307</v>
      </c>
      <c r="F9231" t="inlineStr">
        <is>
          <t>VÄRMLANDS LÄN</t>
        </is>
      </c>
      <c r="G9231" t="inlineStr">
        <is>
          <t>HAGFORS</t>
        </is>
      </c>
      <c r="I9231" t="n">
        <v>2.6</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23129-2026</t>
        </is>
      </c>
      <c r="B9232" t="inlineStr">
        <is>
          <t>avverkningsanmälan</t>
        </is>
      </c>
      <c r="C9232" t="inlineStr">
        <is>
          <t>Föryngringsavverkning</t>
        </is>
      </c>
      <c r="D9232" s="1" t="n">
        <v>46161</v>
      </c>
      <c r="E9232" s="1" t="n">
        <v>46307</v>
      </c>
      <c r="F9232" t="inlineStr">
        <is>
          <t>VÄRMLANDS LÄN</t>
        </is>
      </c>
      <c r="G9232" t="inlineStr">
        <is>
          <t>HAGFORS</t>
        </is>
      </c>
      <c r="H9232" t="inlineStr">
        <is>
          <t>Bergvik skog väst AB</t>
        </is>
      </c>
      <c r="I9232" t="n">
        <v>8.699999999999999</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23294-2026</t>
        </is>
      </c>
      <c r="B9233" t="inlineStr">
        <is>
          <t>avverkningsanmälan</t>
        </is>
      </c>
      <c r="C9233" t="inlineStr">
        <is>
          <t>Föryngringsavverkning</t>
        </is>
      </c>
      <c r="D9233" s="1" t="n">
        <v>46162</v>
      </c>
      <c r="E9233" s="1" t="n">
        <v>46307</v>
      </c>
      <c r="F9233" t="inlineStr">
        <is>
          <t>VÄRMLANDS LÄN</t>
        </is>
      </c>
      <c r="G9233" t="inlineStr">
        <is>
          <t>KRISTINEHAMN</t>
        </is>
      </c>
      <c r="H9233" t="inlineStr">
        <is>
          <t>Sveaskog</t>
        </is>
      </c>
      <c r="I9233" t="n">
        <v>1.8</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23310-2026</t>
        </is>
      </c>
      <c r="B9234" t="inlineStr">
        <is>
          <t>avverkningsanmälan</t>
        </is>
      </c>
      <c r="C9234" t="inlineStr">
        <is>
          <t>Föryngringsavverkning</t>
        </is>
      </c>
      <c r="D9234" s="1" t="n">
        <v>46162</v>
      </c>
      <c r="E9234" s="1" t="n">
        <v>46307</v>
      </c>
      <c r="F9234" t="inlineStr">
        <is>
          <t>VÄRMLANDS LÄN</t>
        </is>
      </c>
      <c r="G9234" t="inlineStr">
        <is>
          <t>TORSBY</t>
        </is>
      </c>
      <c r="I9234" t="n">
        <v>3.4</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13335-2026</t>
        </is>
      </c>
      <c r="B9235" t="inlineStr">
        <is>
          <t>avverkningsanmälan</t>
        </is>
      </c>
      <c r="C9235" t="inlineStr">
        <is>
          <t>Avverkning för att bevara och utveckla /försöksver</t>
        </is>
      </c>
      <c r="D9235" s="1" t="n">
        <v>46094</v>
      </c>
      <c r="E9235" s="1" t="n">
        <v>46307</v>
      </c>
      <c r="F9235" t="inlineStr">
        <is>
          <t>VÄRMLANDS LÄN</t>
        </is>
      </c>
      <c r="G9235" t="inlineStr">
        <is>
          <t>SUNNE</t>
        </is>
      </c>
      <c r="H9235" t="inlineStr">
        <is>
          <t>Övriga Aktiebolag</t>
        </is>
      </c>
      <c r="I9235" t="n">
        <v>1</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13343-2026</t>
        </is>
      </c>
      <c r="B9236" t="inlineStr">
        <is>
          <t>avverkningsanmälan</t>
        </is>
      </c>
      <c r="C9236" t="inlineStr">
        <is>
          <t>Föryngringsavverkning</t>
        </is>
      </c>
      <c r="D9236" s="1" t="n">
        <v>46094</v>
      </c>
      <c r="E9236" s="1" t="n">
        <v>46307</v>
      </c>
      <c r="F9236" t="inlineStr">
        <is>
          <t>VÄRMLANDS LÄN</t>
        </is>
      </c>
      <c r="G9236" t="inlineStr">
        <is>
          <t>KARLSTAD</t>
        </is>
      </c>
      <c r="H9236" t="inlineStr">
        <is>
          <t>Bergvik skog väst AB</t>
        </is>
      </c>
      <c r="I9236" t="n">
        <v>3.4</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23212-2026</t>
        </is>
      </c>
      <c r="B9237" t="inlineStr">
        <is>
          <t>avverkningsanmälan</t>
        </is>
      </c>
      <c r="C9237" t="inlineStr">
        <is>
          <t>Föryngringsavverkning</t>
        </is>
      </c>
      <c r="D9237" s="1" t="n">
        <v>46162</v>
      </c>
      <c r="E9237" s="1" t="n">
        <v>46307</v>
      </c>
      <c r="F9237" t="inlineStr">
        <is>
          <t>VÄRMLANDS LÄN</t>
        </is>
      </c>
      <c r="G9237" t="inlineStr">
        <is>
          <t>MUNKFORS</t>
        </is>
      </c>
      <c r="H9237" t="inlineStr">
        <is>
          <t>Kyrkan</t>
        </is>
      </c>
      <c r="I9237" t="n">
        <v>2.5</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13359-2026</t>
        </is>
      </c>
      <c r="B9238" t="inlineStr">
        <is>
          <t>avverkningsanmälan</t>
        </is>
      </c>
      <c r="C9238" t="inlineStr">
        <is>
          <t>Föryngringsavverkning</t>
        </is>
      </c>
      <c r="D9238" s="1" t="n">
        <v>46094</v>
      </c>
      <c r="E9238" s="1" t="n">
        <v>46307</v>
      </c>
      <c r="F9238" t="inlineStr">
        <is>
          <t>VÄRMLANDS LÄN</t>
        </is>
      </c>
      <c r="G9238" t="inlineStr">
        <is>
          <t>SÄFFLE</t>
        </is>
      </c>
      <c r="I9238" t="n">
        <v>1.4</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23016-2026</t>
        </is>
      </c>
      <c r="B9239" t="inlineStr">
        <is>
          <t>avverkningsanmälan</t>
        </is>
      </c>
      <c r="C9239" t="inlineStr">
        <is>
          <t>Föryngringsavverkning</t>
        </is>
      </c>
      <c r="D9239" s="1" t="n">
        <v>46161</v>
      </c>
      <c r="E9239" s="1" t="n">
        <v>46307</v>
      </c>
      <c r="F9239" t="inlineStr">
        <is>
          <t>VÄRMLANDS LÄN</t>
        </is>
      </c>
      <c r="G9239" t="inlineStr">
        <is>
          <t>HAGFORS</t>
        </is>
      </c>
      <c r="I9239" t="n">
        <v>2.1</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13322-2026</t>
        </is>
      </c>
      <c r="B9240" t="inlineStr">
        <is>
          <t>avverkningsanmälan</t>
        </is>
      </c>
      <c r="C9240" t="inlineStr">
        <is>
          <t>Föryngringsavverkning</t>
        </is>
      </c>
      <c r="D9240" s="1" t="n">
        <v>46094</v>
      </c>
      <c r="E9240" s="1" t="n">
        <v>46307</v>
      </c>
      <c r="F9240" t="inlineStr">
        <is>
          <t>VÄRMLANDS LÄN</t>
        </is>
      </c>
      <c r="G9240" t="inlineStr">
        <is>
          <t>KARLSTAD</t>
        </is>
      </c>
      <c r="I9240" t="n">
        <v>2.7</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23169-2026</t>
        </is>
      </c>
      <c r="B9241" t="inlineStr">
        <is>
          <t>avverkningsanmälan</t>
        </is>
      </c>
      <c r="C9241" t="inlineStr">
        <is>
          <t>Föryngringsavverkning</t>
        </is>
      </c>
      <c r="D9241" s="1" t="n">
        <v>46161</v>
      </c>
      <c r="E9241" s="1" t="n">
        <v>46307</v>
      </c>
      <c r="F9241" t="inlineStr">
        <is>
          <t>VÄRMLANDS LÄN</t>
        </is>
      </c>
      <c r="G9241" t="inlineStr">
        <is>
          <t>ARVIKA</t>
        </is>
      </c>
      <c r="I9241" t="n">
        <v>0.8</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13338-2026</t>
        </is>
      </c>
      <c r="B9242" t="inlineStr">
        <is>
          <t>avverkningsanmälan</t>
        </is>
      </c>
      <c r="C9242" t="inlineStr">
        <is>
          <t>Föryngringsavverkning</t>
        </is>
      </c>
      <c r="D9242" s="1" t="n">
        <v>46094</v>
      </c>
      <c r="E9242" s="1" t="n">
        <v>46307</v>
      </c>
      <c r="F9242" t="inlineStr">
        <is>
          <t>VÄRMLANDS LÄN</t>
        </is>
      </c>
      <c r="G9242" t="inlineStr">
        <is>
          <t>HAGFORS</t>
        </is>
      </c>
      <c r="H9242" t="inlineStr">
        <is>
          <t>Bergvik skog väst AB</t>
        </is>
      </c>
      <c r="I9242" t="n">
        <v>4.2</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13387-2026</t>
        </is>
      </c>
      <c r="B9243" t="inlineStr">
        <is>
          <t>avverkningsanmälan</t>
        </is>
      </c>
      <c r="C9243" t="inlineStr">
        <is>
          <t>Föryngringsavverkning</t>
        </is>
      </c>
      <c r="D9243" s="1" t="n">
        <v>46094</v>
      </c>
      <c r="E9243" s="1" t="n">
        <v>46307</v>
      </c>
      <c r="F9243" t="inlineStr">
        <is>
          <t>VÄRMLANDS LÄN</t>
        </is>
      </c>
      <c r="G9243" t="inlineStr">
        <is>
          <t>FILIPSTAD</t>
        </is>
      </c>
      <c r="H9243" t="inlineStr">
        <is>
          <t>Bergvik skog väst AB</t>
        </is>
      </c>
      <c r="I9243" t="n">
        <v>7</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23327-2026</t>
        </is>
      </c>
      <c r="B9244" t="inlineStr">
        <is>
          <t>avverkningsanmälan</t>
        </is>
      </c>
      <c r="C9244" t="inlineStr">
        <is>
          <t>Föryngringsavverkning</t>
        </is>
      </c>
      <c r="D9244" s="1" t="n">
        <v>46162</v>
      </c>
      <c r="E9244" s="1" t="n">
        <v>46307</v>
      </c>
      <c r="F9244" t="inlineStr">
        <is>
          <t>VÄRMLANDS LÄN</t>
        </is>
      </c>
      <c r="G9244" t="inlineStr">
        <is>
          <t>KIL</t>
        </is>
      </c>
      <c r="I9244" t="n">
        <v>3.9</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23620-2023</t>
        </is>
      </c>
      <c r="B9245" t="inlineStr">
        <is>
          <t>avverkningsanmälan</t>
        </is>
      </c>
      <c r="C9245" t="inlineStr">
        <is>
          <t>Föryngringsavverkning</t>
        </is>
      </c>
      <c r="D9245" s="1" t="n">
        <v>45077</v>
      </c>
      <c r="E9245" s="1" t="n">
        <v>46307</v>
      </c>
      <c r="F9245" t="inlineStr">
        <is>
          <t>VÄRMLANDS LÄN</t>
        </is>
      </c>
      <c r="G9245" t="inlineStr">
        <is>
          <t>FILIPSTAD</t>
        </is>
      </c>
      <c r="I9245" t="n">
        <v>7.5</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23009-2026</t>
        </is>
      </c>
      <c r="B9246" t="inlineStr">
        <is>
          <t>avverkningsanmälan</t>
        </is>
      </c>
      <c r="C9246" t="inlineStr">
        <is>
          <t>Föryngringsavverkning</t>
        </is>
      </c>
      <c r="D9246" s="1" t="n">
        <v>46161</v>
      </c>
      <c r="E9246" s="1" t="n">
        <v>46307</v>
      </c>
      <c r="F9246" t="inlineStr">
        <is>
          <t>VÄRMLANDS LÄN</t>
        </is>
      </c>
      <c r="G9246" t="inlineStr">
        <is>
          <t>TORSBY</t>
        </is>
      </c>
      <c r="H9246" t="inlineStr">
        <is>
          <t>Bergvik skog väst AB</t>
        </is>
      </c>
      <c r="I9246" t="n">
        <v>16.6</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23066-2026</t>
        </is>
      </c>
      <c r="B9247" t="inlineStr">
        <is>
          <t>avverkningsanmälan</t>
        </is>
      </c>
      <c r="C9247" t="inlineStr">
        <is>
          <t>Föryngringsavverkning</t>
        </is>
      </c>
      <c r="D9247" s="1" t="n">
        <v>46161</v>
      </c>
      <c r="E9247" s="1" t="n">
        <v>46307</v>
      </c>
      <c r="F9247" t="inlineStr">
        <is>
          <t>VÄRMLANDS LÄN</t>
        </is>
      </c>
      <c r="G9247" t="inlineStr">
        <is>
          <t>SUNNE</t>
        </is>
      </c>
      <c r="I9247" t="n">
        <v>0.6</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23102-2026</t>
        </is>
      </c>
      <c r="B9248" t="inlineStr">
        <is>
          <t>avverkningsanmälan</t>
        </is>
      </c>
      <c r="C9248" t="inlineStr">
        <is>
          <t>Föryngringsavverkning</t>
        </is>
      </c>
      <c r="D9248" s="1" t="n">
        <v>46161</v>
      </c>
      <c r="E9248" s="1" t="n">
        <v>46307</v>
      </c>
      <c r="F9248" t="inlineStr">
        <is>
          <t>VÄRMLANDS LÄN</t>
        </is>
      </c>
      <c r="G9248" t="inlineStr">
        <is>
          <t>TORSBY</t>
        </is>
      </c>
      <c r="H9248" t="inlineStr">
        <is>
          <t>Bergvik skog väst AB</t>
        </is>
      </c>
      <c r="I9248" t="n">
        <v>6.1</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745-2026</t>
        </is>
      </c>
      <c r="B9249" t="inlineStr">
        <is>
          <t>avverkningsanmälan</t>
        </is>
      </c>
      <c r="C9249" t="inlineStr">
        <is>
          <t>Föryngringsavverkning</t>
        </is>
      </c>
      <c r="D9249" s="1" t="n">
        <v>46029</v>
      </c>
      <c r="E9249" s="1" t="n">
        <v>46307</v>
      </c>
      <c r="F9249" t="inlineStr">
        <is>
          <t>VÄRMLANDS LÄN</t>
        </is>
      </c>
      <c r="G9249" t="inlineStr">
        <is>
          <t>HAGFORS</t>
        </is>
      </c>
      <c r="H9249" t="inlineStr">
        <is>
          <t>Bergvik skog väst AB</t>
        </is>
      </c>
      <c r="I9249" t="n">
        <v>8.800000000000001</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25902-2025</t>
        </is>
      </c>
      <c r="B9250" t="inlineStr">
        <is>
          <t>avverkningsanmälan</t>
        </is>
      </c>
      <c r="C9250" t="inlineStr">
        <is>
          <t>Föryngringsavverkning</t>
        </is>
      </c>
      <c r="D9250" s="1" t="n">
        <v>45804</v>
      </c>
      <c r="E9250" s="1" t="n">
        <v>46307</v>
      </c>
      <c r="F9250" t="inlineStr">
        <is>
          <t>VÄRMLANDS LÄN</t>
        </is>
      </c>
      <c r="G9250" t="inlineStr">
        <is>
          <t>SUNNE</t>
        </is>
      </c>
      <c r="I9250" t="n">
        <v>1.8</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23269-2026</t>
        </is>
      </c>
      <c r="B9251" t="inlineStr">
        <is>
          <t>avverkningsanmälan</t>
        </is>
      </c>
      <c r="C9251" t="inlineStr">
        <is>
          <t>Föryngringsavverkning</t>
        </is>
      </c>
      <c r="D9251" s="1" t="n">
        <v>46162</v>
      </c>
      <c r="E9251" s="1" t="n">
        <v>46307</v>
      </c>
      <c r="F9251" t="inlineStr">
        <is>
          <t>VÄRMLANDS LÄN</t>
        </is>
      </c>
      <c r="G9251" t="inlineStr">
        <is>
          <t>HAGFORS</t>
        </is>
      </c>
      <c r="H9251" t="inlineStr">
        <is>
          <t>Bergvik skog väst AB</t>
        </is>
      </c>
      <c r="I9251" t="n">
        <v>13.7</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23064-2026</t>
        </is>
      </c>
      <c r="B9252" t="inlineStr">
        <is>
          <t>avverkningsanmälan</t>
        </is>
      </c>
      <c r="C9252" t="inlineStr">
        <is>
          <t>Föryngringsavverkning</t>
        </is>
      </c>
      <c r="D9252" s="1" t="n">
        <v>46161</v>
      </c>
      <c r="E9252" s="1" t="n">
        <v>46307</v>
      </c>
      <c r="F9252" t="inlineStr">
        <is>
          <t>VÄRMLANDS LÄN</t>
        </is>
      </c>
      <c r="G9252" t="inlineStr">
        <is>
          <t>SUNNE</t>
        </is>
      </c>
      <c r="I9252" t="n">
        <v>2</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26511-2025</t>
        </is>
      </c>
      <c r="B9253" t="inlineStr">
        <is>
          <t>avverkningsanmälan</t>
        </is>
      </c>
      <c r="C9253" t="inlineStr">
        <is>
          <t>Föryngringsavverkning</t>
        </is>
      </c>
      <c r="D9253" s="1" t="n">
        <v>45807</v>
      </c>
      <c r="E9253" s="1" t="n">
        <v>46307</v>
      </c>
      <c r="F9253" t="inlineStr">
        <is>
          <t>VÄRMLANDS LÄN</t>
        </is>
      </c>
      <c r="G9253" t="inlineStr">
        <is>
          <t>TORSBY</t>
        </is>
      </c>
      <c r="I9253" t="n">
        <v>1.5</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23702-2026</t>
        </is>
      </c>
      <c r="B9254" t="inlineStr">
        <is>
          <t>avverkningsanmälan</t>
        </is>
      </c>
      <c r="C9254" t="inlineStr">
        <is>
          <t>Föryngringsavverkning</t>
        </is>
      </c>
      <c r="D9254" s="1" t="n">
        <v>46164</v>
      </c>
      <c r="E9254" s="1" t="n">
        <v>46307</v>
      </c>
      <c r="F9254" t="inlineStr">
        <is>
          <t>VÄRMLANDS LÄN</t>
        </is>
      </c>
      <c r="G9254" t="inlineStr">
        <is>
          <t>GRUMS</t>
        </is>
      </c>
      <c r="H9254" t="inlineStr">
        <is>
          <t>Kommuner</t>
        </is>
      </c>
      <c r="I9254" t="n">
        <v>2</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23602-2026</t>
        </is>
      </c>
      <c r="B9255" t="inlineStr">
        <is>
          <t>avverkningsanmälan</t>
        </is>
      </c>
      <c r="C9255" t="inlineStr">
        <is>
          <t>Föryngringsavverkning</t>
        </is>
      </c>
      <c r="D9255" s="1" t="n">
        <v>46163</v>
      </c>
      <c r="E9255" s="1" t="n">
        <v>46307</v>
      </c>
      <c r="F9255" t="inlineStr">
        <is>
          <t>VÄRMLANDS LÄN</t>
        </is>
      </c>
      <c r="G9255" t="inlineStr">
        <is>
          <t>FILIPSTAD</t>
        </is>
      </c>
      <c r="H9255" t="inlineStr">
        <is>
          <t>Bergvik skog väst AB</t>
        </is>
      </c>
      <c r="I9255" t="n">
        <v>8.699999999999999</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47808-2025</t>
        </is>
      </c>
      <c r="B9256" t="inlineStr">
        <is>
          <t>avverkningsanmälan</t>
        </is>
      </c>
      <c r="C9256" t="inlineStr">
        <is>
          <t>Föryngringsavverkning</t>
        </is>
      </c>
      <c r="D9256" s="1" t="n">
        <v>45931</v>
      </c>
      <c r="E9256" s="1" t="n">
        <v>46307</v>
      </c>
      <c r="F9256" t="inlineStr">
        <is>
          <t>VÄRMLANDS LÄN</t>
        </is>
      </c>
      <c r="G9256" t="inlineStr">
        <is>
          <t>SÄFFLE</t>
        </is>
      </c>
      <c r="H9256" t="inlineStr">
        <is>
          <t>Kyrkan</t>
        </is>
      </c>
      <c r="I9256" t="n">
        <v>1.1</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23436-2026</t>
        </is>
      </c>
      <c r="B9257" t="inlineStr">
        <is>
          <t>avverkningsanmälan</t>
        </is>
      </c>
      <c r="C9257" t="inlineStr">
        <is>
          <t>Föryngringsavverkning</t>
        </is>
      </c>
      <c r="D9257" s="1" t="n">
        <v>46163</v>
      </c>
      <c r="E9257" s="1" t="n">
        <v>46307</v>
      </c>
      <c r="F9257" t="inlineStr">
        <is>
          <t>VÄRMLANDS LÄN</t>
        </is>
      </c>
      <c r="G9257" t="inlineStr">
        <is>
          <t>EDA</t>
        </is>
      </c>
      <c r="I9257" t="n">
        <v>7.4</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5472-2026</t>
        </is>
      </c>
      <c r="B9258" t="inlineStr">
        <is>
          <t>avverkningsanmälan</t>
        </is>
      </c>
      <c r="C9258" t="inlineStr">
        <is>
          <t>Föryngringsavverkning</t>
        </is>
      </c>
      <c r="D9258" s="1" t="n">
        <v>46050</v>
      </c>
      <c r="E9258" s="1" t="n">
        <v>46307</v>
      </c>
      <c r="F9258" t="inlineStr">
        <is>
          <t>VÄRMLANDS LÄN</t>
        </is>
      </c>
      <c r="G9258" t="inlineStr">
        <is>
          <t>ÅRJÄNG</t>
        </is>
      </c>
      <c r="I9258" t="n">
        <v>0.7</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23571-2026</t>
        </is>
      </c>
      <c r="B9259" t="inlineStr">
        <is>
          <t>avverkningsanmälan</t>
        </is>
      </c>
      <c r="C9259" t="inlineStr">
        <is>
          <t>Föryngringsavverkning</t>
        </is>
      </c>
      <c r="D9259" s="1" t="n">
        <v>46163</v>
      </c>
      <c r="E9259" s="1" t="n">
        <v>46307</v>
      </c>
      <c r="F9259" t="inlineStr">
        <is>
          <t>VÄRMLANDS LÄN</t>
        </is>
      </c>
      <c r="G9259" t="inlineStr">
        <is>
          <t>TORSBY</t>
        </is>
      </c>
      <c r="H9259" t="inlineStr">
        <is>
          <t>Bergvik skog väst AB</t>
        </is>
      </c>
      <c r="I9259" t="n">
        <v>6.3</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23576-2026</t>
        </is>
      </c>
      <c r="B9260" t="inlineStr">
        <is>
          <t>avverkningsanmälan</t>
        </is>
      </c>
      <c r="C9260" t="inlineStr">
        <is>
          <t>Föryngringsavverkning</t>
        </is>
      </c>
      <c r="D9260" s="1" t="n">
        <v>46163</v>
      </c>
      <c r="E9260" s="1" t="n">
        <v>46307</v>
      </c>
      <c r="F9260" t="inlineStr">
        <is>
          <t>VÄRMLANDS LÄN</t>
        </is>
      </c>
      <c r="G9260" t="inlineStr">
        <is>
          <t>FILIPSTAD</t>
        </is>
      </c>
      <c r="H9260" t="inlineStr">
        <is>
          <t>Bergvik skog väst AB</t>
        </is>
      </c>
      <c r="I9260" t="n">
        <v>17.9</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23477-2026</t>
        </is>
      </c>
      <c r="B9261" t="inlineStr">
        <is>
          <t>avverkningsanmälan</t>
        </is>
      </c>
      <c r="C9261" t="inlineStr">
        <is>
          <t>Föryngringsavverkning</t>
        </is>
      </c>
      <c r="D9261" s="1" t="n">
        <v>46163</v>
      </c>
      <c r="E9261" s="1" t="n">
        <v>46307</v>
      </c>
      <c r="F9261" t="inlineStr">
        <is>
          <t>VÄRMLANDS LÄN</t>
        </is>
      </c>
      <c r="G9261" t="inlineStr">
        <is>
          <t>TORSBY</t>
        </is>
      </c>
      <c r="I9261" t="n">
        <v>2.3</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18489-2026</t>
        </is>
      </c>
      <c r="B9262" t="inlineStr">
        <is>
          <t>avverkningsanmälan</t>
        </is>
      </c>
      <c r="C9262" t="inlineStr">
        <is>
          <t>Föryngringsavverkning</t>
        </is>
      </c>
      <c r="D9262" s="1" t="n">
        <v>46127</v>
      </c>
      <c r="E9262" s="1" t="n">
        <v>46307</v>
      </c>
      <c r="F9262" t="inlineStr">
        <is>
          <t>VÄRMLANDS LÄN</t>
        </is>
      </c>
      <c r="G9262" t="inlineStr">
        <is>
          <t>SUNNE</t>
        </is>
      </c>
      <c r="I9262" t="n">
        <v>1.4</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23409-2026</t>
        </is>
      </c>
      <c r="B9263" t="inlineStr">
        <is>
          <t>avverkningsanmälan</t>
        </is>
      </c>
      <c r="C9263" t="inlineStr">
        <is>
          <t>Föryngringsavverkning</t>
        </is>
      </c>
      <c r="D9263" s="1" t="n">
        <v>46162</v>
      </c>
      <c r="E9263" s="1" t="n">
        <v>46307</v>
      </c>
      <c r="F9263" t="inlineStr">
        <is>
          <t>VÄRMLANDS LÄN</t>
        </is>
      </c>
      <c r="G9263" t="inlineStr">
        <is>
          <t>TORSBY</t>
        </is>
      </c>
      <c r="H9263" t="inlineStr">
        <is>
          <t>Bergvik skog väst AB</t>
        </is>
      </c>
      <c r="I9263" t="n">
        <v>16.3</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23529-2026</t>
        </is>
      </c>
      <c r="B9264" t="inlineStr">
        <is>
          <t>avverkningsanmälan</t>
        </is>
      </c>
      <c r="C9264" t="inlineStr">
        <is>
          <t>Föryngringsavverkning</t>
        </is>
      </c>
      <c r="D9264" s="1" t="n">
        <v>46163</v>
      </c>
      <c r="E9264" s="1" t="n">
        <v>46307</v>
      </c>
      <c r="F9264" t="inlineStr">
        <is>
          <t>VÄRMLANDS LÄN</t>
        </is>
      </c>
      <c r="G9264" t="inlineStr">
        <is>
          <t>FILIPSTAD</t>
        </is>
      </c>
      <c r="H9264" t="inlineStr">
        <is>
          <t>Bergvik skog väst AB</t>
        </is>
      </c>
      <c r="I9264" t="n">
        <v>20.3</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42473-2023</t>
        </is>
      </c>
      <c r="B9265" t="inlineStr">
        <is>
          <t>avverkningsanmälan</t>
        </is>
      </c>
      <c r="C9265" t="inlineStr">
        <is>
          <t>Föryngringsavverkning</t>
        </is>
      </c>
      <c r="D9265" s="1" t="n">
        <v>45180</v>
      </c>
      <c r="E9265" s="1" t="n">
        <v>46307</v>
      </c>
      <c r="F9265" t="inlineStr">
        <is>
          <t>VÄRMLANDS LÄN</t>
        </is>
      </c>
      <c r="G9265" t="inlineStr">
        <is>
          <t>TORSBY</t>
        </is>
      </c>
      <c r="H9265" t="inlineStr">
        <is>
          <t>Bergvik skog väst AB</t>
        </is>
      </c>
      <c r="I9265" t="n">
        <v>3.1</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23444-2026</t>
        </is>
      </c>
      <c r="B9266" t="inlineStr">
        <is>
          <t>avverkningsanmälan</t>
        </is>
      </c>
      <c r="C9266" t="inlineStr">
        <is>
          <t>Föryngringsavverkning</t>
        </is>
      </c>
      <c r="D9266" s="1" t="n">
        <v>46163</v>
      </c>
      <c r="E9266" s="1" t="n">
        <v>46307</v>
      </c>
      <c r="F9266" t="inlineStr">
        <is>
          <t>VÄRMLANDS LÄN</t>
        </is>
      </c>
      <c r="G9266" t="inlineStr">
        <is>
          <t>EDA</t>
        </is>
      </c>
      <c r="I9266" t="n">
        <v>8.1</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23512-2026</t>
        </is>
      </c>
      <c r="B9267" t="inlineStr">
        <is>
          <t>avverkningsanmälan</t>
        </is>
      </c>
      <c r="C9267" t="inlineStr">
        <is>
          <t>Föryngringsavverkning</t>
        </is>
      </c>
      <c r="D9267" s="1" t="n">
        <v>46163</v>
      </c>
      <c r="E9267" s="1" t="n">
        <v>46307</v>
      </c>
      <c r="F9267" t="inlineStr">
        <is>
          <t>VÄRMLANDS LÄN</t>
        </is>
      </c>
      <c r="G9267" t="inlineStr">
        <is>
          <t>TORSBY</t>
        </is>
      </c>
      <c r="I9267" t="n">
        <v>1.8</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23525-2026</t>
        </is>
      </c>
      <c r="B9268" t="inlineStr">
        <is>
          <t>avverkningsanmälan</t>
        </is>
      </c>
      <c r="C9268" t="inlineStr">
        <is>
          <t>Föryngringsavverkning</t>
        </is>
      </c>
      <c r="D9268" s="1" t="n">
        <v>46163</v>
      </c>
      <c r="E9268" s="1" t="n">
        <v>46307</v>
      </c>
      <c r="F9268" t="inlineStr">
        <is>
          <t>VÄRMLANDS LÄN</t>
        </is>
      </c>
      <c r="G9268" t="inlineStr">
        <is>
          <t>HAGFORS</t>
        </is>
      </c>
      <c r="H9268" t="inlineStr">
        <is>
          <t>Bergvik skog väst AB</t>
        </is>
      </c>
      <c r="I9268" t="n">
        <v>3.1</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23669-2026</t>
        </is>
      </c>
      <c r="B9269" t="inlineStr">
        <is>
          <t>avverkningsanmälan</t>
        </is>
      </c>
      <c r="C9269" t="inlineStr">
        <is>
          <t>Föryngringsavverkning</t>
        </is>
      </c>
      <c r="D9269" s="1" t="n">
        <v>46164</v>
      </c>
      <c r="E9269" s="1" t="n">
        <v>46307</v>
      </c>
      <c r="F9269" t="inlineStr">
        <is>
          <t>VÄRMLANDS LÄN</t>
        </is>
      </c>
      <c r="G9269" t="inlineStr">
        <is>
          <t>SÄFFLE</t>
        </is>
      </c>
      <c r="I9269" t="n">
        <v>1.8</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23516-2026</t>
        </is>
      </c>
      <c r="B9270" t="inlineStr">
        <is>
          <t>avverkningsanmälan</t>
        </is>
      </c>
      <c r="C9270" t="inlineStr">
        <is>
          <t>Föryngringsavverkning</t>
        </is>
      </c>
      <c r="D9270" s="1" t="n">
        <v>46163</v>
      </c>
      <c r="E9270" s="1" t="n">
        <v>46307</v>
      </c>
      <c r="F9270" t="inlineStr">
        <is>
          <t>VÄRMLANDS LÄN</t>
        </is>
      </c>
      <c r="G9270" t="inlineStr">
        <is>
          <t>FORSHAGA</t>
        </is>
      </c>
      <c r="H9270" t="inlineStr">
        <is>
          <t>Kyrkan</t>
        </is>
      </c>
      <c r="I9270" t="n">
        <v>3.7</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23481-2026</t>
        </is>
      </c>
      <c r="B9271" t="inlineStr">
        <is>
          <t>avverkningsanmälan</t>
        </is>
      </c>
      <c r="C9271" t="inlineStr">
        <is>
          <t>Föryngringsavverkning</t>
        </is>
      </c>
      <c r="D9271" s="1" t="n">
        <v>46163</v>
      </c>
      <c r="E9271" s="1" t="n">
        <v>46307</v>
      </c>
      <c r="F9271" t="inlineStr">
        <is>
          <t>VÄRMLANDS LÄN</t>
        </is>
      </c>
      <c r="G9271" t="inlineStr">
        <is>
          <t>TORSBY</t>
        </is>
      </c>
      <c r="I9271" t="n">
        <v>2.1</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26110-2025</t>
        </is>
      </c>
      <c r="B9272" t="inlineStr">
        <is>
          <t>avverkningsanmälan</t>
        </is>
      </c>
      <c r="C9272" t="inlineStr">
        <is>
          <t>Föryngringsavverkning</t>
        </is>
      </c>
      <c r="D9272" s="1" t="n">
        <v>45805</v>
      </c>
      <c r="E9272" s="1" t="n">
        <v>46307</v>
      </c>
      <c r="F9272" t="inlineStr">
        <is>
          <t>VÄRMLANDS LÄN</t>
        </is>
      </c>
      <c r="G9272" t="inlineStr">
        <is>
          <t>SÄFFLE</t>
        </is>
      </c>
      <c r="I9272" t="n">
        <v>1.8</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19954-2024</t>
        </is>
      </c>
      <c r="B9273" t="inlineStr">
        <is>
          <t>avverkningsanmälan</t>
        </is>
      </c>
      <c r="C9273" t="inlineStr">
        <is>
          <t>Föryngringsavverkning</t>
        </is>
      </c>
      <c r="D9273" s="1" t="n">
        <v>45433</v>
      </c>
      <c r="E9273" s="1" t="n">
        <v>46307</v>
      </c>
      <c r="F9273" t="inlineStr">
        <is>
          <t>VÄRMLANDS LÄN</t>
        </is>
      </c>
      <c r="G9273" t="inlineStr">
        <is>
          <t>SUNNE</t>
        </is>
      </c>
      <c r="I9273" t="n">
        <v>1.8</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46777-2022</t>
        </is>
      </c>
      <c r="B9274" t="inlineStr">
        <is>
          <t>avverkningsanmälan</t>
        </is>
      </c>
      <c r="C9274" t="inlineStr">
        <is>
          <t>Föryngringsavverkning</t>
        </is>
      </c>
      <c r="D9274" s="1" t="n">
        <v>44851</v>
      </c>
      <c r="E9274" s="1" t="n">
        <v>46307</v>
      </c>
      <c r="F9274" t="inlineStr">
        <is>
          <t>VÄRMLANDS LÄN</t>
        </is>
      </c>
      <c r="G9274" t="inlineStr">
        <is>
          <t>SUNNE</t>
        </is>
      </c>
      <c r="I9274" t="n">
        <v>0.6</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53906-2022</t>
        </is>
      </c>
      <c r="B9275" t="inlineStr">
        <is>
          <t>avverkningsanmälan</t>
        </is>
      </c>
      <c r="C9275" t="inlineStr">
        <is>
          <t>Föryngringsavverkning</t>
        </is>
      </c>
      <c r="D9275" s="1" t="n">
        <v>44880</v>
      </c>
      <c r="E9275" s="1" t="n">
        <v>46307</v>
      </c>
      <c r="F9275" t="inlineStr">
        <is>
          <t>VÄRMLANDS LÄN</t>
        </is>
      </c>
      <c r="G9275" t="inlineStr">
        <is>
          <t>TORSBY</t>
        </is>
      </c>
      <c r="H9275" t="inlineStr">
        <is>
          <t>Bergvik skog väst AB</t>
        </is>
      </c>
      <c r="I9275" t="n">
        <v>5</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23440-2026</t>
        </is>
      </c>
      <c r="B9276" t="inlineStr">
        <is>
          <t>avverkningsanmälan</t>
        </is>
      </c>
      <c r="C9276" t="inlineStr">
        <is>
          <t>Föryngringsavverkning</t>
        </is>
      </c>
      <c r="D9276" s="1" t="n">
        <v>46163</v>
      </c>
      <c r="E9276" s="1" t="n">
        <v>46307</v>
      </c>
      <c r="F9276" t="inlineStr">
        <is>
          <t>VÄRMLANDS LÄN</t>
        </is>
      </c>
      <c r="G9276" t="inlineStr">
        <is>
          <t>FILIPSTAD</t>
        </is>
      </c>
      <c r="H9276" t="inlineStr">
        <is>
          <t>Bergvik skog väst AB</t>
        </is>
      </c>
      <c r="I9276" t="n">
        <v>3.9</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23549-2026</t>
        </is>
      </c>
      <c r="B9277" t="inlineStr">
        <is>
          <t>avverkningsanmälan</t>
        </is>
      </c>
      <c r="C9277" t="inlineStr">
        <is>
          <t>Föryngringsavverkning</t>
        </is>
      </c>
      <c r="D9277" s="1" t="n">
        <v>46163</v>
      </c>
      <c r="E9277" s="1" t="n">
        <v>46307</v>
      </c>
      <c r="F9277" t="inlineStr">
        <is>
          <t>VÄRMLANDS LÄN</t>
        </is>
      </c>
      <c r="G9277" t="inlineStr">
        <is>
          <t>HAGFORS</t>
        </is>
      </c>
      <c r="H9277" t="inlineStr">
        <is>
          <t>Bergvik skog väst AB</t>
        </is>
      </c>
      <c r="I9277" t="n">
        <v>3.4</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23728-2026</t>
        </is>
      </c>
      <c r="B9278" t="inlineStr">
        <is>
          <t>avverkningsanmälan</t>
        </is>
      </c>
      <c r="C9278" t="inlineStr">
        <is>
          <t>Avverkning för annat ändamål</t>
        </is>
      </c>
      <c r="D9278" s="1" t="n">
        <v>46164</v>
      </c>
      <c r="E9278" s="1" t="n">
        <v>46307</v>
      </c>
      <c r="F9278" t="inlineStr">
        <is>
          <t>VÄRMLANDS LÄN</t>
        </is>
      </c>
      <c r="G9278" t="inlineStr">
        <is>
          <t>HAGFORS</t>
        </is>
      </c>
      <c r="H9278" t="inlineStr">
        <is>
          <t>Bergvik skog väst AB</t>
        </is>
      </c>
      <c r="I9278" t="n">
        <v>0.7</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23729-2026</t>
        </is>
      </c>
      <c r="B9279" t="inlineStr">
        <is>
          <t>avverkningsanmälan</t>
        </is>
      </c>
      <c r="C9279" t="inlineStr">
        <is>
          <t>Föryngringsavverkning</t>
        </is>
      </c>
      <c r="D9279" s="1" t="n">
        <v>46163</v>
      </c>
      <c r="E9279" s="1" t="n">
        <v>46307</v>
      </c>
      <c r="F9279" t="inlineStr">
        <is>
          <t>VÄRMLANDS LÄN</t>
        </is>
      </c>
      <c r="G9279" t="inlineStr">
        <is>
          <t>EDA</t>
        </is>
      </c>
      <c r="I9279" t="n">
        <v>1</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23555-2026</t>
        </is>
      </c>
      <c r="B9280" t="inlineStr">
        <is>
          <t>avverkningsanmälan</t>
        </is>
      </c>
      <c r="C9280" t="inlineStr">
        <is>
          <t>Föryngringsavverkning</t>
        </is>
      </c>
      <c r="D9280" s="1" t="n">
        <v>46163</v>
      </c>
      <c r="E9280" s="1" t="n">
        <v>46307</v>
      </c>
      <c r="F9280" t="inlineStr">
        <is>
          <t>VÄRMLANDS LÄN</t>
        </is>
      </c>
      <c r="G9280" t="inlineStr">
        <is>
          <t>FILIPSTAD</t>
        </is>
      </c>
      <c r="H9280" t="inlineStr">
        <is>
          <t>Bergvik skog väst AB</t>
        </is>
      </c>
      <c r="I9280" t="n">
        <v>11.7</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23733-2026</t>
        </is>
      </c>
      <c r="B9281" t="inlineStr">
        <is>
          <t>avverkningsanmälan</t>
        </is>
      </c>
      <c r="C9281" t="inlineStr">
        <is>
          <t>Föryngringsavverkning</t>
        </is>
      </c>
      <c r="D9281" s="1" t="n">
        <v>46164</v>
      </c>
      <c r="E9281" s="1" t="n">
        <v>46307</v>
      </c>
      <c r="F9281" t="inlineStr">
        <is>
          <t>VÄRMLANDS LÄN</t>
        </is>
      </c>
      <c r="G9281" t="inlineStr">
        <is>
          <t>GRUMS</t>
        </is>
      </c>
      <c r="H9281" t="inlineStr">
        <is>
          <t>Kommuner</t>
        </is>
      </c>
      <c r="I9281" t="n">
        <v>0.9</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23500-2026</t>
        </is>
      </c>
      <c r="B9282" t="inlineStr">
        <is>
          <t>avverkningsanmälan</t>
        </is>
      </c>
      <c r="C9282" t="inlineStr">
        <is>
          <t>Föryngringsavverkning</t>
        </is>
      </c>
      <c r="D9282" s="1" t="n">
        <v>46163</v>
      </c>
      <c r="E9282" s="1" t="n">
        <v>46307</v>
      </c>
      <c r="F9282" t="inlineStr">
        <is>
          <t>VÄRMLANDS LÄN</t>
        </is>
      </c>
      <c r="G9282" t="inlineStr">
        <is>
          <t>FILIPSTAD</t>
        </is>
      </c>
      <c r="H9282" t="inlineStr">
        <is>
          <t>Bergvik skog väst AB</t>
        </is>
      </c>
      <c r="I9282" t="n">
        <v>5.4</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39186-2022</t>
        </is>
      </c>
      <c r="B9283" t="inlineStr">
        <is>
          <t>avverkningsanmälan</t>
        </is>
      </c>
      <c r="C9283" t="inlineStr">
        <is>
          <t>Föryngringsavverkning</t>
        </is>
      </c>
      <c r="D9283" s="1" t="n">
        <v>44817</v>
      </c>
      <c r="E9283" s="1" t="n">
        <v>46307</v>
      </c>
      <c r="F9283" t="inlineStr">
        <is>
          <t>VÄRMLANDS LÄN</t>
        </is>
      </c>
      <c r="G9283" t="inlineStr">
        <is>
          <t>TORSBY</t>
        </is>
      </c>
      <c r="H9283" t="inlineStr">
        <is>
          <t>Bergvik skog väst AB</t>
        </is>
      </c>
      <c r="I9283" t="n">
        <v>20.3</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45086-2023</t>
        </is>
      </c>
      <c r="B9284" t="inlineStr">
        <is>
          <t>avverkningsanmälan</t>
        </is>
      </c>
      <c r="C9284" t="inlineStr">
        <is>
          <t>Föryngringsavverkning</t>
        </is>
      </c>
      <c r="D9284" s="1" t="n">
        <v>45191</v>
      </c>
      <c r="E9284" s="1" t="n">
        <v>46307</v>
      </c>
      <c r="F9284" t="inlineStr">
        <is>
          <t>VÄRMLANDS LÄN</t>
        </is>
      </c>
      <c r="G9284" t="inlineStr">
        <is>
          <t>EDA</t>
        </is>
      </c>
      <c r="I9284" t="n">
        <v>4</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23800-2026</t>
        </is>
      </c>
      <c r="B9285" t="inlineStr">
        <is>
          <t>avverkningsanmälan</t>
        </is>
      </c>
      <c r="C9285" t="inlineStr">
        <is>
          <t>Föryngringsavverkning</t>
        </is>
      </c>
      <c r="D9285" s="1" t="n">
        <v>46164</v>
      </c>
      <c r="E9285" s="1" t="n">
        <v>46307</v>
      </c>
      <c r="F9285" t="inlineStr">
        <is>
          <t>VÄRMLANDS LÄN</t>
        </is>
      </c>
      <c r="G9285" t="inlineStr">
        <is>
          <t>TORSBY</t>
        </is>
      </c>
      <c r="H9285" t="inlineStr">
        <is>
          <t>Bergvik skog väst AB</t>
        </is>
      </c>
      <c r="I9285" t="n">
        <v>0.9</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35867-2025</t>
        </is>
      </c>
      <c r="B9286" t="inlineStr">
        <is>
          <t>avverkningsanmälan</t>
        </is>
      </c>
      <c r="C9286" t="inlineStr">
        <is>
          <t>Föryngringsavverkning</t>
        </is>
      </c>
      <c r="D9286" s="1" t="n">
        <v>45861</v>
      </c>
      <c r="E9286" s="1" t="n">
        <v>46307</v>
      </c>
      <c r="F9286" t="inlineStr">
        <is>
          <t>VÄRMLANDS LÄN</t>
        </is>
      </c>
      <c r="G9286" t="inlineStr">
        <is>
          <t>KARLSTAD</t>
        </is>
      </c>
      <c r="I9286" t="n">
        <v>1.7</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23630-2026</t>
        </is>
      </c>
      <c r="B9287" t="inlineStr">
        <is>
          <t>avverkningsanmälan</t>
        </is>
      </c>
      <c r="C9287" t="inlineStr">
        <is>
          <t>Föryngringsavverkning</t>
        </is>
      </c>
      <c r="D9287" s="1" t="n">
        <v>46163</v>
      </c>
      <c r="E9287" s="1" t="n">
        <v>46307</v>
      </c>
      <c r="F9287" t="inlineStr">
        <is>
          <t>VÄRMLANDS LÄN</t>
        </is>
      </c>
      <c r="G9287" t="inlineStr">
        <is>
          <t>ARVIKA</t>
        </is>
      </c>
      <c r="I9287" t="n">
        <v>1.5</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23757-2026</t>
        </is>
      </c>
      <c r="B9288" t="inlineStr">
        <is>
          <t>avverkningsanmälan</t>
        </is>
      </c>
      <c r="C9288" t="inlineStr">
        <is>
          <t>Föryngringsavverkning</t>
        </is>
      </c>
      <c r="D9288" s="1" t="n">
        <v>46164</v>
      </c>
      <c r="E9288" s="1" t="n">
        <v>46307</v>
      </c>
      <c r="F9288" t="inlineStr">
        <is>
          <t>VÄRMLANDS LÄN</t>
        </is>
      </c>
      <c r="G9288" t="inlineStr">
        <is>
          <t>GRUMS</t>
        </is>
      </c>
      <c r="I9288" t="n">
        <v>1.5</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23505-2026</t>
        </is>
      </c>
      <c r="B9289" t="inlineStr">
        <is>
          <t>avverkningsanmälan</t>
        </is>
      </c>
      <c r="C9289" t="inlineStr">
        <is>
          <t>Föryngringsavverkning</t>
        </is>
      </c>
      <c r="D9289" s="1" t="n">
        <v>46163</v>
      </c>
      <c r="E9289" s="1" t="n">
        <v>46307</v>
      </c>
      <c r="F9289" t="inlineStr">
        <is>
          <t>VÄRMLANDS LÄN</t>
        </is>
      </c>
      <c r="G9289" t="inlineStr">
        <is>
          <t>FORSHAGA</t>
        </is>
      </c>
      <c r="H9289" t="inlineStr">
        <is>
          <t>Kyrkan</t>
        </is>
      </c>
      <c r="I9289" t="n">
        <v>5</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7178-2025</t>
        </is>
      </c>
      <c r="B9290" t="inlineStr">
        <is>
          <t>avverkningsanmälan</t>
        </is>
      </c>
      <c r="C9290" t="inlineStr">
        <is>
          <t>Föryngringsavverkning</t>
        </is>
      </c>
      <c r="D9290" s="1" t="n">
        <v>45702</v>
      </c>
      <c r="E9290" s="1" t="n">
        <v>46307</v>
      </c>
      <c r="F9290" t="inlineStr">
        <is>
          <t>VÄRMLANDS LÄN</t>
        </is>
      </c>
      <c r="G9290" t="inlineStr">
        <is>
          <t>TORSBY</t>
        </is>
      </c>
      <c r="I9290" t="n">
        <v>2.4</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4238-2025</t>
        </is>
      </c>
      <c r="B9291" t="inlineStr">
        <is>
          <t>avverkningsanmälan</t>
        </is>
      </c>
      <c r="C9291" t="inlineStr">
        <is>
          <t>Föryngringsavverkning</t>
        </is>
      </c>
      <c r="D9291" s="1" t="n">
        <v>45685</v>
      </c>
      <c r="E9291" s="1" t="n">
        <v>46307</v>
      </c>
      <c r="F9291" t="inlineStr">
        <is>
          <t>VÄRMLANDS LÄN</t>
        </is>
      </c>
      <c r="G9291" t="inlineStr">
        <is>
          <t>ARVIKA</t>
        </is>
      </c>
      <c r="I9291" t="n">
        <v>4.6</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24702-2025</t>
        </is>
      </c>
      <c r="B9292" t="inlineStr">
        <is>
          <t>avverkningsanmälan</t>
        </is>
      </c>
      <c r="C9292" t="inlineStr">
        <is>
          <t>Föryngringsavverkning</t>
        </is>
      </c>
      <c r="D9292" s="1" t="n">
        <v>45798</v>
      </c>
      <c r="E9292" s="1" t="n">
        <v>46307</v>
      </c>
      <c r="F9292" t="inlineStr">
        <is>
          <t>VÄRMLANDS LÄN</t>
        </is>
      </c>
      <c r="G9292" t="inlineStr">
        <is>
          <t>ARVIKA</t>
        </is>
      </c>
      <c r="I9292" t="n">
        <v>1.2</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13690-2026</t>
        </is>
      </c>
      <c r="B9293" t="inlineStr">
        <is>
          <t>avverkningsanmälan</t>
        </is>
      </c>
      <c r="C9293" t="inlineStr">
        <is>
          <t>Föryngringsavverkning</t>
        </is>
      </c>
      <c r="D9293" s="1" t="n">
        <v>46097</v>
      </c>
      <c r="E9293" s="1" t="n">
        <v>46307</v>
      </c>
      <c r="F9293" t="inlineStr">
        <is>
          <t>VÄRMLANDS LÄN</t>
        </is>
      </c>
      <c r="G9293" t="inlineStr">
        <is>
          <t>ARVIKA</t>
        </is>
      </c>
      <c r="I9293" t="n">
        <v>2.3</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23205-2026</t>
        </is>
      </c>
      <c r="B9294" t="inlineStr">
        <is>
          <t>avverkningsanmälan</t>
        </is>
      </c>
      <c r="C9294" t="inlineStr">
        <is>
          <t>Föryngringsavverkning</t>
        </is>
      </c>
      <c r="D9294" s="1" t="n">
        <v>46162</v>
      </c>
      <c r="E9294" s="1" t="n">
        <v>46307</v>
      </c>
      <c r="F9294" t="inlineStr">
        <is>
          <t>VÄRMLANDS LÄN</t>
        </is>
      </c>
      <c r="G9294" t="inlineStr">
        <is>
          <t>TORSBY</t>
        </is>
      </c>
      <c r="I9294" t="n">
        <v>2.9</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23207-2026</t>
        </is>
      </c>
      <c r="B9295" t="inlineStr">
        <is>
          <t>avverkningsanmälan</t>
        </is>
      </c>
      <c r="C9295" t="inlineStr">
        <is>
          <t>Föryngringsavverkning</t>
        </is>
      </c>
      <c r="D9295" s="1" t="n">
        <v>46162</v>
      </c>
      <c r="E9295" s="1" t="n">
        <v>46307</v>
      </c>
      <c r="F9295" t="inlineStr">
        <is>
          <t>VÄRMLANDS LÄN</t>
        </is>
      </c>
      <c r="G9295" t="inlineStr">
        <is>
          <t>ÅRJÄNG</t>
        </is>
      </c>
      <c r="I9295" t="n">
        <v>2.1</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51490-2022</t>
        </is>
      </c>
      <c r="B9296" t="inlineStr">
        <is>
          <t>avverkningsanmälan</t>
        </is>
      </c>
      <c r="C9296" t="inlineStr">
        <is>
          <t>Föryngringsavverkning</t>
        </is>
      </c>
      <c r="D9296" s="1" t="n">
        <v>44869</v>
      </c>
      <c r="E9296" s="1" t="n">
        <v>46307</v>
      </c>
      <c r="F9296" t="inlineStr">
        <is>
          <t>VÄRMLANDS LÄN</t>
        </is>
      </c>
      <c r="G9296" t="inlineStr">
        <is>
          <t>TORSBY</t>
        </is>
      </c>
      <c r="H9296" t="inlineStr">
        <is>
          <t>Bergvik skog väst AB</t>
        </is>
      </c>
      <c r="I9296" t="n">
        <v>1.7</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31087-2024</t>
        </is>
      </c>
      <c r="B9297" t="inlineStr">
        <is>
          <t>avverkningsanmälan</t>
        </is>
      </c>
      <c r="C9297" t="inlineStr">
        <is>
          <t>Föryngringsavverkning</t>
        </is>
      </c>
      <c r="D9297" s="1" t="n">
        <v>45502</v>
      </c>
      <c r="E9297" s="1" t="n">
        <v>46307</v>
      </c>
      <c r="F9297" t="inlineStr">
        <is>
          <t>VÄRMLANDS LÄN</t>
        </is>
      </c>
      <c r="G9297" t="inlineStr">
        <is>
          <t>HAGFORS</t>
        </is>
      </c>
      <c r="I9297" t="n">
        <v>1.5</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14434-2025</t>
        </is>
      </c>
      <c r="B9298" t="inlineStr">
        <is>
          <t>avverkningsanmälan</t>
        </is>
      </c>
      <c r="C9298" t="inlineStr">
        <is>
          <t>Föryngringsavverkning</t>
        </is>
      </c>
      <c r="D9298" s="1" t="n">
        <v>45741</v>
      </c>
      <c r="E9298" s="1" t="n">
        <v>46307</v>
      </c>
      <c r="F9298" t="inlineStr">
        <is>
          <t>VÄRMLANDS LÄN</t>
        </is>
      </c>
      <c r="G9298" t="inlineStr">
        <is>
          <t>ÅRJÄNG</t>
        </is>
      </c>
      <c r="H9298" t="inlineStr">
        <is>
          <t>Övriga Aktiebolag</t>
        </is>
      </c>
      <c r="I9298" t="n">
        <v>2.3</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23801-2026</t>
        </is>
      </c>
      <c r="B9299" t="inlineStr">
        <is>
          <t>avverkningsanmälan</t>
        </is>
      </c>
      <c r="C9299" t="inlineStr">
        <is>
          <t>Föryngringsavverkning</t>
        </is>
      </c>
      <c r="D9299" s="1" t="n">
        <v>46164</v>
      </c>
      <c r="E9299" s="1" t="n">
        <v>46307</v>
      </c>
      <c r="F9299" t="inlineStr">
        <is>
          <t>VÄRMLANDS LÄN</t>
        </is>
      </c>
      <c r="G9299" t="inlineStr">
        <is>
          <t>TORSBY</t>
        </is>
      </c>
      <c r="H9299" t="inlineStr">
        <is>
          <t>Bergvik skog väst AB</t>
        </is>
      </c>
      <c r="I9299" t="n">
        <v>18.2</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23815-2026</t>
        </is>
      </c>
      <c r="B9300" t="inlineStr">
        <is>
          <t>avverkningsanmälan</t>
        </is>
      </c>
      <c r="C9300" t="inlineStr">
        <is>
          <t>Föryngringsavverkning</t>
        </is>
      </c>
      <c r="D9300" s="1" t="n">
        <v>46164</v>
      </c>
      <c r="E9300" s="1" t="n">
        <v>46307</v>
      </c>
      <c r="F9300" t="inlineStr">
        <is>
          <t>VÄRMLANDS LÄN</t>
        </is>
      </c>
      <c r="G9300" t="inlineStr">
        <is>
          <t>SUNNE</t>
        </is>
      </c>
      <c r="I9300" t="n">
        <v>5.7</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23204-2026</t>
        </is>
      </c>
      <c r="B9301" t="inlineStr">
        <is>
          <t>avverkningsanmälan</t>
        </is>
      </c>
      <c r="C9301" t="inlineStr">
        <is>
          <t>Föryngringsavverkning</t>
        </is>
      </c>
      <c r="D9301" s="1" t="n">
        <v>46162</v>
      </c>
      <c r="E9301" s="1" t="n">
        <v>46307</v>
      </c>
      <c r="F9301" t="inlineStr">
        <is>
          <t>VÄRMLANDS LÄN</t>
        </is>
      </c>
      <c r="G9301" t="inlineStr">
        <is>
          <t>MUNKFORS</t>
        </is>
      </c>
      <c r="H9301" t="inlineStr">
        <is>
          <t>Kyrkan</t>
        </is>
      </c>
      <c r="I9301" t="n">
        <v>1.2</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61157-2023</t>
        </is>
      </c>
      <c r="B9302" t="inlineStr">
        <is>
          <t>avverkningsanmälan</t>
        </is>
      </c>
      <c r="C9302" t="inlineStr">
        <is>
          <t>Föryngringsavverkning</t>
        </is>
      </c>
      <c r="D9302" s="1" t="n">
        <v>45261</v>
      </c>
      <c r="E9302" s="1" t="n">
        <v>46307</v>
      </c>
      <c r="F9302" t="inlineStr">
        <is>
          <t>VÄRMLANDS LÄN</t>
        </is>
      </c>
      <c r="G9302" t="inlineStr">
        <is>
          <t>TORSBY</t>
        </is>
      </c>
      <c r="I9302" t="n">
        <v>1.9</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23678-2026</t>
        </is>
      </c>
      <c r="B9303" t="inlineStr">
        <is>
          <t>avverkningsanmälan</t>
        </is>
      </c>
      <c r="C9303" t="inlineStr">
        <is>
          <t>Föryngringsavverkning</t>
        </is>
      </c>
      <c r="D9303" s="1" t="n">
        <v>46164</v>
      </c>
      <c r="E9303" s="1" t="n">
        <v>46307</v>
      </c>
      <c r="F9303" t="inlineStr">
        <is>
          <t>VÄRMLANDS LÄN</t>
        </is>
      </c>
      <c r="G9303" t="inlineStr">
        <is>
          <t>HAGFORS</t>
        </is>
      </c>
      <c r="H9303" t="inlineStr">
        <is>
          <t>Bergvik skog väst AB</t>
        </is>
      </c>
      <c r="I9303" t="n">
        <v>8.300000000000001</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23445-2026</t>
        </is>
      </c>
      <c r="B9304" t="inlineStr">
        <is>
          <t>avverkningsanmälan</t>
        </is>
      </c>
      <c r="C9304" t="inlineStr">
        <is>
          <t>Föryngringsavverkning</t>
        </is>
      </c>
      <c r="D9304" s="1" t="n">
        <v>46163</v>
      </c>
      <c r="E9304" s="1" t="n">
        <v>46307</v>
      </c>
      <c r="F9304" t="inlineStr">
        <is>
          <t>VÄRMLANDS LÄN</t>
        </is>
      </c>
      <c r="G9304" t="inlineStr">
        <is>
          <t>EDA</t>
        </is>
      </c>
      <c r="I9304" t="n">
        <v>10.7</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23446-2026</t>
        </is>
      </c>
      <c r="B9305" t="inlineStr">
        <is>
          <t>avverkningsanmälan</t>
        </is>
      </c>
      <c r="C9305" t="inlineStr">
        <is>
          <t>Föryngringsavverkning</t>
        </is>
      </c>
      <c r="D9305" s="1" t="n">
        <v>46163</v>
      </c>
      <c r="E9305" s="1" t="n">
        <v>46307</v>
      </c>
      <c r="F9305" t="inlineStr">
        <is>
          <t>VÄRMLANDS LÄN</t>
        </is>
      </c>
      <c r="G9305" t="inlineStr">
        <is>
          <t>TORSBY</t>
        </is>
      </c>
      <c r="H9305" t="inlineStr">
        <is>
          <t>Bergvik skog väst AB</t>
        </is>
      </c>
      <c r="I9305" t="n">
        <v>0.9</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36119-2025</t>
        </is>
      </c>
      <c r="B9306" t="inlineStr">
        <is>
          <t>avverkningsanmälan</t>
        </is>
      </c>
      <c r="C9306" t="inlineStr">
        <is>
          <t>Avverkning för annat ändamål</t>
        </is>
      </c>
      <c r="D9306" s="1" t="n">
        <v>45866</v>
      </c>
      <c r="E9306" s="1" t="n">
        <v>46307</v>
      </c>
      <c r="F9306" t="inlineStr">
        <is>
          <t>VÄRMLANDS LÄN</t>
        </is>
      </c>
      <c r="G9306" t="inlineStr">
        <is>
          <t>SUNNE</t>
        </is>
      </c>
      <c r="I9306" t="n">
        <v>3.3</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23667-2026</t>
        </is>
      </c>
      <c r="B9307" t="inlineStr">
        <is>
          <t>avverkningsanmälan</t>
        </is>
      </c>
      <c r="C9307" t="inlineStr">
        <is>
          <t>Föryngringsavverkning</t>
        </is>
      </c>
      <c r="D9307" s="1" t="n">
        <v>46164</v>
      </c>
      <c r="E9307" s="1" t="n">
        <v>46307</v>
      </c>
      <c r="F9307" t="inlineStr">
        <is>
          <t>VÄRMLANDS LÄN</t>
        </is>
      </c>
      <c r="G9307" t="inlineStr">
        <is>
          <t>SÄFFLE</t>
        </is>
      </c>
      <c r="I9307" t="n">
        <v>1</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63205-2021</t>
        </is>
      </c>
      <c r="B9308" t="inlineStr">
        <is>
          <t>avverkningsanmälan</t>
        </is>
      </c>
      <c r="C9308" t="inlineStr">
        <is>
          <t>Föryngringsavverkning</t>
        </is>
      </c>
      <c r="D9308" s="1" t="n">
        <v>44507</v>
      </c>
      <c r="E9308" s="1" t="n">
        <v>46307</v>
      </c>
      <c r="F9308" t="inlineStr">
        <is>
          <t>VÄRMLANDS LÄN</t>
        </is>
      </c>
      <c r="G9308" t="inlineStr">
        <is>
          <t>ÅRJÄNG</t>
        </is>
      </c>
      <c r="I9308" t="n">
        <v>1.8</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16380-2025</t>
        </is>
      </c>
      <c r="B9309" t="inlineStr">
        <is>
          <t>avverkningsanmälan</t>
        </is>
      </c>
      <c r="C9309" t="inlineStr">
        <is>
          <t>Föryngringsavverkning</t>
        </is>
      </c>
      <c r="D9309" s="1" t="n">
        <v>45751</v>
      </c>
      <c r="E9309" s="1" t="n">
        <v>46307</v>
      </c>
      <c r="F9309" t="inlineStr">
        <is>
          <t>VÄRMLANDS LÄN</t>
        </is>
      </c>
      <c r="G9309" t="inlineStr">
        <is>
          <t>TORSBY</t>
        </is>
      </c>
      <c r="H9309" t="inlineStr">
        <is>
          <t>Bergvik skog väst AB</t>
        </is>
      </c>
      <c r="I9309" t="n">
        <v>7.9</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16362-2025</t>
        </is>
      </c>
      <c r="B9310" t="inlineStr">
        <is>
          <t>avverkningsanmälan</t>
        </is>
      </c>
      <c r="C9310" t="inlineStr">
        <is>
          <t>Föryngringsavverkning</t>
        </is>
      </c>
      <c r="D9310" s="1" t="n">
        <v>45751</v>
      </c>
      <c r="E9310" s="1" t="n">
        <v>46307</v>
      </c>
      <c r="F9310" t="inlineStr">
        <is>
          <t>VÄRMLANDS LÄN</t>
        </is>
      </c>
      <c r="G9310" t="inlineStr">
        <is>
          <t>TORSBY</t>
        </is>
      </c>
      <c r="I9310" t="n">
        <v>2.7</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51015-2025</t>
        </is>
      </c>
      <c r="B9311" t="inlineStr">
        <is>
          <t>avverkningsanmälan</t>
        </is>
      </c>
      <c r="C9311" t="inlineStr">
        <is>
          <t>Föryngringsavverkning</t>
        </is>
      </c>
      <c r="D9311" s="1" t="n">
        <v>45947</v>
      </c>
      <c r="E9311" s="1" t="n">
        <v>46307</v>
      </c>
      <c r="F9311" t="inlineStr">
        <is>
          <t>VÄRMLANDS LÄN</t>
        </is>
      </c>
      <c r="G9311" t="inlineStr">
        <is>
          <t>HAGFORS</t>
        </is>
      </c>
      <c r="H9311" t="inlineStr">
        <is>
          <t>Bergvik skog väst AB</t>
        </is>
      </c>
      <c r="I9311" t="n">
        <v>8.9</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36494-2025</t>
        </is>
      </c>
      <c r="B9312" t="inlineStr">
        <is>
          <t>avverkningsanmälan</t>
        </is>
      </c>
      <c r="C9312" t="inlineStr">
        <is>
          <t>Föryngringsavverkning</t>
        </is>
      </c>
      <c r="D9312" s="1" t="n">
        <v>45869</v>
      </c>
      <c r="E9312" s="1" t="n">
        <v>46307</v>
      </c>
      <c r="F9312" t="inlineStr">
        <is>
          <t>VÄRMLANDS LÄN</t>
        </is>
      </c>
      <c r="G9312" t="inlineStr">
        <is>
          <t>HAGFORS</t>
        </is>
      </c>
      <c r="H9312" t="inlineStr">
        <is>
          <t>Kyrkan</t>
        </is>
      </c>
      <c r="I9312" t="n">
        <v>2.3</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23564-2026</t>
        </is>
      </c>
      <c r="B9313" t="inlineStr">
        <is>
          <t>avverkningsanmälan</t>
        </is>
      </c>
      <c r="C9313" t="inlineStr">
        <is>
          <t>Föryngringsavverkning</t>
        </is>
      </c>
      <c r="D9313" s="1" t="n">
        <v>46163</v>
      </c>
      <c r="E9313" s="1" t="n">
        <v>46307</v>
      </c>
      <c r="F9313" t="inlineStr">
        <is>
          <t>VÄRMLANDS LÄN</t>
        </is>
      </c>
      <c r="G9313" t="inlineStr">
        <is>
          <t>TORSBY</t>
        </is>
      </c>
      <c r="H9313" t="inlineStr">
        <is>
          <t>Bergvik skog väst AB</t>
        </is>
      </c>
      <c r="I9313" t="n">
        <v>14.9</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30642-2025</t>
        </is>
      </c>
      <c r="B9314" t="inlineStr">
        <is>
          <t>avverkningsanmälan</t>
        </is>
      </c>
      <c r="C9314" t="inlineStr">
        <is>
          <t>Föryngringsavverkning</t>
        </is>
      </c>
      <c r="D9314" s="1" t="n">
        <v>45831</v>
      </c>
      <c r="E9314" s="1" t="n">
        <v>46307</v>
      </c>
      <c r="F9314" t="inlineStr">
        <is>
          <t>VÄRMLANDS LÄN</t>
        </is>
      </c>
      <c r="G9314" t="inlineStr">
        <is>
          <t>HAGFORS</t>
        </is>
      </c>
      <c r="I9314" t="n">
        <v>3.8</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24158-2026</t>
        </is>
      </c>
      <c r="B9315" t="inlineStr">
        <is>
          <t>avverkningsanmälan</t>
        </is>
      </c>
      <c r="C9315" t="inlineStr">
        <is>
          <t>Föryngringsavverkning</t>
        </is>
      </c>
      <c r="D9315" s="1" t="n">
        <v>46168</v>
      </c>
      <c r="E9315" s="1" t="n">
        <v>46307</v>
      </c>
      <c r="F9315" t="inlineStr">
        <is>
          <t>VÄRMLANDS LÄN</t>
        </is>
      </c>
      <c r="G9315" t="inlineStr">
        <is>
          <t>TORSBY</t>
        </is>
      </c>
      <c r="H9315" t="inlineStr">
        <is>
          <t>Bergvik skog väst AB</t>
        </is>
      </c>
      <c r="I9315" t="n">
        <v>1.6</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23903-2026</t>
        </is>
      </c>
      <c r="B9316" t="inlineStr">
        <is>
          <t>avverkningsanmälan</t>
        </is>
      </c>
      <c r="C9316" t="inlineStr">
        <is>
          <t>Föryngringsavverkning</t>
        </is>
      </c>
      <c r="D9316" s="1" t="n">
        <v>46167</v>
      </c>
      <c r="E9316" s="1" t="n">
        <v>46307</v>
      </c>
      <c r="F9316" t="inlineStr">
        <is>
          <t>VÄRMLANDS LÄN</t>
        </is>
      </c>
      <c r="G9316" t="inlineStr">
        <is>
          <t>ARVIKA</t>
        </is>
      </c>
      <c r="I9316" t="n">
        <v>2.3</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23909-2026</t>
        </is>
      </c>
      <c r="B9317" t="inlineStr">
        <is>
          <t>avverkningsanmälan</t>
        </is>
      </c>
      <c r="C9317" t="inlineStr">
        <is>
          <t>Föryngringsavverkning</t>
        </is>
      </c>
      <c r="D9317" s="1" t="n">
        <v>46167</v>
      </c>
      <c r="E9317" s="1" t="n">
        <v>46307</v>
      </c>
      <c r="F9317" t="inlineStr">
        <is>
          <t>VÄRMLANDS LÄN</t>
        </is>
      </c>
      <c r="G9317" t="inlineStr">
        <is>
          <t>ARVIKA</t>
        </is>
      </c>
      <c r="I9317" t="n">
        <v>3.1</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23945-2026</t>
        </is>
      </c>
      <c r="B9318" t="inlineStr">
        <is>
          <t>avverkningsanmälan</t>
        </is>
      </c>
      <c r="C9318" t="inlineStr">
        <is>
          <t>Föryngringsavverkning</t>
        </is>
      </c>
      <c r="D9318" s="1" t="n">
        <v>46167</v>
      </c>
      <c r="E9318" s="1" t="n">
        <v>46307</v>
      </c>
      <c r="F9318" t="inlineStr">
        <is>
          <t>VÄRMLANDS LÄN</t>
        </is>
      </c>
      <c r="G9318" t="inlineStr">
        <is>
          <t>GRUMS</t>
        </is>
      </c>
      <c r="H9318" t="inlineStr">
        <is>
          <t>Kommuner</t>
        </is>
      </c>
      <c r="I9318" t="n">
        <v>1.3</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23982-2026</t>
        </is>
      </c>
      <c r="B9319" t="inlineStr">
        <is>
          <t>avverkningsanmälan</t>
        </is>
      </c>
      <c r="C9319" t="inlineStr">
        <is>
          <t>Föryngringsavverkning</t>
        </is>
      </c>
      <c r="D9319" s="1" t="n">
        <v>46167</v>
      </c>
      <c r="E9319" s="1" t="n">
        <v>46307</v>
      </c>
      <c r="F9319" t="inlineStr">
        <is>
          <t>VÄRMLANDS LÄN</t>
        </is>
      </c>
      <c r="G9319" t="inlineStr">
        <is>
          <t>TORSBY</t>
        </is>
      </c>
      <c r="I9319" t="n">
        <v>1.3</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49441-2025</t>
        </is>
      </c>
      <c r="B9320" t="inlineStr">
        <is>
          <t>avverkningsanmälan</t>
        </is>
      </c>
      <c r="C9320" t="inlineStr">
        <is>
          <t>Föryngringsavverkning</t>
        </is>
      </c>
      <c r="D9320" s="1" t="n">
        <v>45938</v>
      </c>
      <c r="E9320" s="1" t="n">
        <v>46307</v>
      </c>
      <c r="F9320" t="inlineStr">
        <is>
          <t>VÄRMLANDS LÄN</t>
        </is>
      </c>
      <c r="G9320" t="inlineStr">
        <is>
          <t>ÅRJÄNG</t>
        </is>
      </c>
      <c r="I9320" t="n">
        <v>2.9</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23943-2026</t>
        </is>
      </c>
      <c r="B9321" t="inlineStr">
        <is>
          <t>avverkningsanmälan</t>
        </is>
      </c>
      <c r="C9321" t="inlineStr">
        <is>
          <t>Föryngringsavverkning</t>
        </is>
      </c>
      <c r="D9321" s="1" t="n">
        <v>46167</v>
      </c>
      <c r="E9321" s="1" t="n">
        <v>46307</v>
      </c>
      <c r="F9321" t="inlineStr">
        <is>
          <t>VÄRMLANDS LÄN</t>
        </is>
      </c>
      <c r="G9321" t="inlineStr">
        <is>
          <t>FILIPSTAD</t>
        </is>
      </c>
      <c r="H9321" t="inlineStr">
        <is>
          <t>Bergvik skog väst AB</t>
        </is>
      </c>
      <c r="I9321" t="n">
        <v>3.6</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49935-2025</t>
        </is>
      </c>
      <c r="B9322" t="inlineStr">
        <is>
          <t>avverkningsanmälan</t>
        </is>
      </c>
      <c r="C9322" t="inlineStr">
        <is>
          <t>Avverkning för att bevara och utveckla /försöksver</t>
        </is>
      </c>
      <c r="D9322" s="1" t="n">
        <v>45940</v>
      </c>
      <c r="E9322" s="1" t="n">
        <v>46307</v>
      </c>
      <c r="F9322" t="inlineStr">
        <is>
          <t>VÄRMLANDS LÄN</t>
        </is>
      </c>
      <c r="G9322" t="inlineStr">
        <is>
          <t>FILIPSTAD</t>
        </is>
      </c>
      <c r="H9322" t="inlineStr">
        <is>
          <t>Bergvik skog väst AB</t>
        </is>
      </c>
      <c r="I9322" t="n">
        <v>1.8</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24027-2026</t>
        </is>
      </c>
      <c r="B9323" t="inlineStr">
        <is>
          <t>avverkningsanmälan</t>
        </is>
      </c>
      <c r="C9323" t="inlineStr">
        <is>
          <t>Föryngringsavverkning</t>
        </is>
      </c>
      <c r="D9323" s="1" t="n">
        <v>46167</v>
      </c>
      <c r="E9323" s="1" t="n">
        <v>46307</v>
      </c>
      <c r="F9323" t="inlineStr">
        <is>
          <t>VÄRMLANDS LÄN</t>
        </is>
      </c>
      <c r="G9323" t="inlineStr">
        <is>
          <t>FILIPSTAD</t>
        </is>
      </c>
      <c r="H9323" t="inlineStr">
        <is>
          <t>Bergvik skog väst AB</t>
        </is>
      </c>
      <c r="I9323" t="n">
        <v>2.7</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23851-2026</t>
        </is>
      </c>
      <c r="B9324" t="inlineStr">
        <is>
          <t>avverkningsanmälan</t>
        </is>
      </c>
      <c r="C9324" t="inlineStr">
        <is>
          <t>Föryngringsavverkning</t>
        </is>
      </c>
      <c r="D9324" s="1" t="n">
        <v>46167</v>
      </c>
      <c r="E9324" s="1" t="n">
        <v>46307</v>
      </c>
      <c r="F9324" t="inlineStr">
        <is>
          <t>VÄRMLANDS LÄN</t>
        </is>
      </c>
      <c r="G9324" t="inlineStr">
        <is>
          <t>TORSBY</t>
        </is>
      </c>
      <c r="H9324" t="inlineStr">
        <is>
          <t>Bergvik skog väst AB</t>
        </is>
      </c>
      <c r="I9324" t="n">
        <v>2.8</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23863-2026</t>
        </is>
      </c>
      <c r="B9325" t="inlineStr">
        <is>
          <t>avverkningsanmälan</t>
        </is>
      </c>
      <c r="C9325" t="inlineStr">
        <is>
          <t>Föryngringsavverkning</t>
        </is>
      </c>
      <c r="D9325" s="1" t="n">
        <v>46167</v>
      </c>
      <c r="E9325" s="1" t="n">
        <v>46307</v>
      </c>
      <c r="F9325" t="inlineStr">
        <is>
          <t>VÄRMLANDS LÄN</t>
        </is>
      </c>
      <c r="G9325" t="inlineStr">
        <is>
          <t>ARVIKA</t>
        </is>
      </c>
      <c r="I9325" t="n">
        <v>2.5</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23934-2026</t>
        </is>
      </c>
      <c r="B9326" t="inlineStr">
        <is>
          <t>avverkningsanmälan</t>
        </is>
      </c>
      <c r="C9326" t="inlineStr">
        <is>
          <t>Föryngringsavverkning</t>
        </is>
      </c>
      <c r="D9326" s="1" t="n">
        <v>46167</v>
      </c>
      <c r="E9326" s="1" t="n">
        <v>46307</v>
      </c>
      <c r="F9326" t="inlineStr">
        <is>
          <t>VÄRMLANDS LÄN</t>
        </is>
      </c>
      <c r="G9326" t="inlineStr">
        <is>
          <t>FILIPSTAD</t>
        </is>
      </c>
      <c r="H9326" t="inlineStr">
        <is>
          <t>Bergvik skog väst AB</t>
        </is>
      </c>
      <c r="I9326" t="n">
        <v>1.2</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24167-2026</t>
        </is>
      </c>
      <c r="B9327" t="inlineStr">
        <is>
          <t>avverkningsanmälan</t>
        </is>
      </c>
      <c r="C9327" t="inlineStr">
        <is>
          <t>Föryngringsavverkning</t>
        </is>
      </c>
      <c r="D9327" s="1" t="n">
        <v>46168</v>
      </c>
      <c r="E9327" s="1" t="n">
        <v>46307</v>
      </c>
      <c r="F9327" t="inlineStr">
        <is>
          <t>VÄRMLANDS LÄN</t>
        </is>
      </c>
      <c r="G9327" t="inlineStr">
        <is>
          <t>ARVIKA</t>
        </is>
      </c>
      <c r="H9327" t="inlineStr">
        <is>
          <t>Bergvik skog väst AB</t>
        </is>
      </c>
      <c r="I9327" t="n">
        <v>2.9</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29824-2025</t>
        </is>
      </c>
      <c r="B9328" t="inlineStr">
        <is>
          <t>avverkningsanmälan</t>
        </is>
      </c>
      <c r="C9328" t="inlineStr">
        <is>
          <t>Föryngringsavverkning</t>
        </is>
      </c>
      <c r="D9328" s="1" t="n">
        <v>45825</v>
      </c>
      <c r="E9328" s="1" t="n">
        <v>46307</v>
      </c>
      <c r="F9328" t="inlineStr">
        <is>
          <t>VÄRMLANDS LÄN</t>
        </is>
      </c>
      <c r="G9328" t="inlineStr">
        <is>
          <t>SUNNE</t>
        </is>
      </c>
      <c r="I9328" t="n">
        <v>4.5</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30635-2025</t>
        </is>
      </c>
      <c r="B9329" t="inlineStr">
        <is>
          <t>avverkningsanmälan</t>
        </is>
      </c>
      <c r="C9329" t="inlineStr">
        <is>
          <t>Föryngringsavverkning</t>
        </is>
      </c>
      <c r="D9329" s="1" t="n">
        <v>45831</v>
      </c>
      <c r="E9329" s="1" t="n">
        <v>46307</v>
      </c>
      <c r="F9329" t="inlineStr">
        <is>
          <t>VÄRMLANDS LÄN</t>
        </is>
      </c>
      <c r="G9329" t="inlineStr">
        <is>
          <t>HAGFORS</t>
        </is>
      </c>
      <c r="I9329" t="n">
        <v>3.8</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23959-2026</t>
        </is>
      </c>
      <c r="B9330" t="inlineStr">
        <is>
          <t>avverkningsanmälan</t>
        </is>
      </c>
      <c r="C9330" t="inlineStr">
        <is>
          <t>Föryngringsavverkning</t>
        </is>
      </c>
      <c r="D9330" s="1" t="n">
        <v>46167</v>
      </c>
      <c r="E9330" s="1" t="n">
        <v>46307</v>
      </c>
      <c r="F9330" t="inlineStr">
        <is>
          <t>VÄRMLANDS LÄN</t>
        </is>
      </c>
      <c r="G9330" t="inlineStr">
        <is>
          <t>FILIPSTAD</t>
        </is>
      </c>
      <c r="H9330" t="inlineStr">
        <is>
          <t>Bergvik skog väst AB</t>
        </is>
      </c>
      <c r="I9330" t="n">
        <v>3.1</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23834-2026</t>
        </is>
      </c>
      <c r="B9331" t="inlineStr">
        <is>
          <t>avverkningsanmälan</t>
        </is>
      </c>
      <c r="C9331" t="inlineStr">
        <is>
          <t>Föryngringsavverkning</t>
        </is>
      </c>
      <c r="D9331" s="1" t="n">
        <v>46167</v>
      </c>
      <c r="E9331" s="1" t="n">
        <v>46307</v>
      </c>
      <c r="F9331" t="inlineStr">
        <is>
          <t>VÄRMLANDS LÄN</t>
        </is>
      </c>
      <c r="G9331" t="inlineStr">
        <is>
          <t>EDA</t>
        </is>
      </c>
      <c r="I9331" t="n">
        <v>1.4</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23850-2026</t>
        </is>
      </c>
      <c r="B9332" t="inlineStr">
        <is>
          <t>avverkningsanmälan</t>
        </is>
      </c>
      <c r="C9332" t="inlineStr">
        <is>
          <t>Föryngringsavverkning</t>
        </is>
      </c>
      <c r="D9332" s="1" t="n">
        <v>46167</v>
      </c>
      <c r="E9332" s="1" t="n">
        <v>46307</v>
      </c>
      <c r="F9332" t="inlineStr">
        <is>
          <t>VÄRMLANDS LÄN</t>
        </is>
      </c>
      <c r="G9332" t="inlineStr">
        <is>
          <t>EDA</t>
        </is>
      </c>
      <c r="I9332" t="n">
        <v>1</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23952-2026</t>
        </is>
      </c>
      <c r="B9333" t="inlineStr">
        <is>
          <t>avverkningsanmälan</t>
        </is>
      </c>
      <c r="C9333" t="inlineStr">
        <is>
          <t>Föryngringsavverkning</t>
        </is>
      </c>
      <c r="D9333" s="1" t="n">
        <v>46167</v>
      </c>
      <c r="E9333" s="1" t="n">
        <v>46307</v>
      </c>
      <c r="F9333" t="inlineStr">
        <is>
          <t>VÄRMLANDS LÄN</t>
        </is>
      </c>
      <c r="G9333" t="inlineStr">
        <is>
          <t>FILIPSTAD</t>
        </is>
      </c>
      <c r="H9333" t="inlineStr">
        <is>
          <t>Bergvik skog väst AB</t>
        </is>
      </c>
      <c r="I9333" t="n">
        <v>2.3</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2005-2026</t>
        </is>
      </c>
      <c r="B9334" t="inlineStr">
        <is>
          <t>avverkningsanmälan</t>
        </is>
      </c>
      <c r="C9334" t="inlineStr">
        <is>
          <t>Föryngringsavverkning</t>
        </is>
      </c>
      <c r="D9334" s="1" t="n">
        <v>46035</v>
      </c>
      <c r="E9334" s="1" t="n">
        <v>46307</v>
      </c>
      <c r="F9334" t="inlineStr">
        <is>
          <t>VÄRMLANDS LÄN</t>
        </is>
      </c>
      <c r="G9334" t="inlineStr">
        <is>
          <t>TORSBY</t>
        </is>
      </c>
      <c r="I9334" t="n">
        <v>3.7</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58540-2025</t>
        </is>
      </c>
      <c r="B9335" t="inlineStr">
        <is>
          <t>avverkningsanmälan</t>
        </is>
      </c>
      <c r="C9335" t="inlineStr">
        <is>
          <t>Föryngringsavverkning</t>
        </is>
      </c>
      <c r="D9335" s="1" t="n">
        <v>45985</v>
      </c>
      <c r="E9335" s="1" t="n">
        <v>46307</v>
      </c>
      <c r="F9335" t="inlineStr">
        <is>
          <t>VÄRMLANDS LÄN</t>
        </is>
      </c>
      <c r="G9335" t="inlineStr">
        <is>
          <t>TORSBY</t>
        </is>
      </c>
      <c r="I9335" t="n">
        <v>0.9</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23922-2026</t>
        </is>
      </c>
      <c r="B9336" t="inlineStr">
        <is>
          <t>avverkningsanmälan</t>
        </is>
      </c>
      <c r="C9336" t="inlineStr">
        <is>
          <t>Föryngringsavverkning</t>
        </is>
      </c>
      <c r="D9336" s="1" t="n">
        <v>46167</v>
      </c>
      <c r="E9336" s="1" t="n">
        <v>46307</v>
      </c>
      <c r="F9336" t="inlineStr">
        <is>
          <t>VÄRMLANDS LÄN</t>
        </is>
      </c>
      <c r="G9336" t="inlineStr">
        <is>
          <t>FILIPSTAD</t>
        </is>
      </c>
      <c r="H9336" t="inlineStr">
        <is>
          <t>Bergvik skog väst AB</t>
        </is>
      </c>
      <c r="I9336" t="n">
        <v>1.9</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23931-2026</t>
        </is>
      </c>
      <c r="B9337" t="inlineStr">
        <is>
          <t>avverkningsanmälan</t>
        </is>
      </c>
      <c r="C9337" t="inlineStr">
        <is>
          <t>Föryngringsavverkning</t>
        </is>
      </c>
      <c r="D9337" s="1" t="n">
        <v>46167</v>
      </c>
      <c r="E9337" s="1" t="n">
        <v>46307</v>
      </c>
      <c r="F9337" t="inlineStr">
        <is>
          <t>VÄRMLANDS LÄN</t>
        </is>
      </c>
      <c r="G9337" t="inlineStr">
        <is>
          <t>FILIPSTAD</t>
        </is>
      </c>
      <c r="H9337" t="inlineStr">
        <is>
          <t>Bergvik skog väst AB</t>
        </is>
      </c>
      <c r="I9337" t="n">
        <v>9.1</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23860-2026</t>
        </is>
      </c>
      <c r="B9338" t="inlineStr">
        <is>
          <t>avverkningsanmälan</t>
        </is>
      </c>
      <c r="C9338" t="inlineStr">
        <is>
          <t>Föryngringsavverkning</t>
        </is>
      </c>
      <c r="D9338" s="1" t="n">
        <v>46167</v>
      </c>
      <c r="E9338" s="1" t="n">
        <v>46307</v>
      </c>
      <c r="F9338" t="inlineStr">
        <is>
          <t>VÄRMLANDS LÄN</t>
        </is>
      </c>
      <c r="G9338" t="inlineStr">
        <is>
          <t>TORSBY</t>
        </is>
      </c>
      <c r="I9338" t="n">
        <v>7.3</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24005-2026</t>
        </is>
      </c>
      <c r="B9339" t="inlineStr">
        <is>
          <t>avverkningsanmälan</t>
        </is>
      </c>
      <c r="C9339" t="inlineStr">
        <is>
          <t>Föryngringsavverkning</t>
        </is>
      </c>
      <c r="D9339" s="1" t="n">
        <v>46167</v>
      </c>
      <c r="E9339" s="1" t="n">
        <v>46307</v>
      </c>
      <c r="F9339" t="inlineStr">
        <is>
          <t>VÄRMLANDS LÄN</t>
        </is>
      </c>
      <c r="G9339" t="inlineStr">
        <is>
          <t>FILIPSTAD</t>
        </is>
      </c>
      <c r="H9339" t="inlineStr">
        <is>
          <t>Bergvik skog väst AB</t>
        </is>
      </c>
      <c r="I9339" t="n">
        <v>3.7</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23996-2026</t>
        </is>
      </c>
      <c r="B9340" t="inlineStr">
        <is>
          <t>avverkningsanmälan</t>
        </is>
      </c>
      <c r="C9340" t="inlineStr">
        <is>
          <t>Föryngringsavverkning</t>
        </is>
      </c>
      <c r="D9340" s="1" t="n">
        <v>46167</v>
      </c>
      <c r="E9340" s="1" t="n">
        <v>46307</v>
      </c>
      <c r="F9340" t="inlineStr">
        <is>
          <t>VÄRMLANDS LÄN</t>
        </is>
      </c>
      <c r="G9340" t="inlineStr">
        <is>
          <t>TORSBY</t>
        </is>
      </c>
      <c r="H9340" t="inlineStr">
        <is>
          <t>Bergvik skog väst AB</t>
        </is>
      </c>
      <c r="I9340" t="n">
        <v>6.4</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24026-2026</t>
        </is>
      </c>
      <c r="B9341" t="inlineStr">
        <is>
          <t>avverkningsanmälan</t>
        </is>
      </c>
      <c r="C9341" t="inlineStr">
        <is>
          <t>Föryngringsavverkning</t>
        </is>
      </c>
      <c r="D9341" s="1" t="n">
        <v>46167</v>
      </c>
      <c r="E9341" s="1" t="n">
        <v>46307</v>
      </c>
      <c r="F9341" t="inlineStr">
        <is>
          <t>VÄRMLANDS LÄN</t>
        </is>
      </c>
      <c r="G9341" t="inlineStr">
        <is>
          <t>FILIPSTAD</t>
        </is>
      </c>
      <c r="H9341" t="inlineStr">
        <is>
          <t>Bergvik skog väst AB</t>
        </is>
      </c>
      <c r="I9341" t="n">
        <v>8</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23886-2026</t>
        </is>
      </c>
      <c r="B9342" t="inlineStr">
        <is>
          <t>avverkningsanmälan</t>
        </is>
      </c>
      <c r="C9342" t="inlineStr">
        <is>
          <t>Föryngringsavverkning</t>
        </is>
      </c>
      <c r="D9342" s="1" t="n">
        <v>46167</v>
      </c>
      <c r="E9342" s="1" t="n">
        <v>46307</v>
      </c>
      <c r="F9342" t="inlineStr">
        <is>
          <t>VÄRMLANDS LÄN</t>
        </is>
      </c>
      <c r="G9342" t="inlineStr">
        <is>
          <t>FILIPSTAD</t>
        </is>
      </c>
      <c r="H9342" t="inlineStr">
        <is>
          <t>Bergvik skog väst AB</t>
        </is>
      </c>
      <c r="I9342" t="n">
        <v>4.5</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24022-2026</t>
        </is>
      </c>
      <c r="B9343" t="inlineStr">
        <is>
          <t>avverkningsanmälan</t>
        </is>
      </c>
      <c r="C9343" t="inlineStr">
        <is>
          <t>Föryngringsavverkning</t>
        </is>
      </c>
      <c r="D9343" s="1" t="n">
        <v>46167</v>
      </c>
      <c r="E9343" s="1" t="n">
        <v>46307</v>
      </c>
      <c r="F9343" t="inlineStr">
        <is>
          <t>VÄRMLANDS LÄN</t>
        </is>
      </c>
      <c r="G9343" t="inlineStr">
        <is>
          <t>FILIPSTAD</t>
        </is>
      </c>
      <c r="H9343" t="inlineStr">
        <is>
          <t>Bergvik skog väst AB</t>
        </is>
      </c>
      <c r="I9343" t="n">
        <v>3.3</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24240-2026</t>
        </is>
      </c>
      <c r="B9344" t="inlineStr">
        <is>
          <t>avverkningsanmälan</t>
        </is>
      </c>
      <c r="C9344" t="inlineStr">
        <is>
          <t>Föryngringsavverkning</t>
        </is>
      </c>
      <c r="D9344" s="1" t="n">
        <v>46168</v>
      </c>
      <c r="E9344" s="1" t="n">
        <v>46307</v>
      </c>
      <c r="F9344" t="inlineStr">
        <is>
          <t>VÄRMLANDS LÄN</t>
        </is>
      </c>
      <c r="G9344" t="inlineStr">
        <is>
          <t>HAGFORS</t>
        </is>
      </c>
      <c r="I9344" t="n">
        <v>1.2</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24238-2026</t>
        </is>
      </c>
      <c r="B9345" t="inlineStr">
        <is>
          <t>avverkningsanmälan</t>
        </is>
      </c>
      <c r="C9345" t="inlineStr">
        <is>
          <t>Föryngringsavverkning</t>
        </is>
      </c>
      <c r="D9345" s="1" t="n">
        <v>46168</v>
      </c>
      <c r="E9345" s="1" t="n">
        <v>46307</v>
      </c>
      <c r="F9345" t="inlineStr">
        <is>
          <t>VÄRMLANDS LÄN</t>
        </is>
      </c>
      <c r="G9345" t="inlineStr">
        <is>
          <t>HAGFORS</t>
        </is>
      </c>
      <c r="H9345" t="inlineStr">
        <is>
          <t>Bergvik skog väst AB</t>
        </is>
      </c>
      <c r="I9345" t="n">
        <v>8.1</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24008-2026</t>
        </is>
      </c>
      <c r="B9346" t="inlineStr">
        <is>
          <t>avverkningsanmälan</t>
        </is>
      </c>
      <c r="C9346" t="inlineStr">
        <is>
          <t>Föryngringsavverkning</t>
        </is>
      </c>
      <c r="D9346" s="1" t="n">
        <v>46167</v>
      </c>
      <c r="E9346" s="1" t="n">
        <v>46307</v>
      </c>
      <c r="F9346" t="inlineStr">
        <is>
          <t>VÄRMLANDS LÄN</t>
        </is>
      </c>
      <c r="G9346" t="inlineStr">
        <is>
          <t>FILIPSTAD</t>
        </is>
      </c>
      <c r="H9346" t="inlineStr">
        <is>
          <t>Bergvik skog väst AB</t>
        </is>
      </c>
      <c r="I9346" t="n">
        <v>1.6</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24009-2026</t>
        </is>
      </c>
      <c r="B9347" t="inlineStr">
        <is>
          <t>avverkningsanmälan</t>
        </is>
      </c>
      <c r="C9347" t="inlineStr">
        <is>
          <t>Föryngringsavverkning</t>
        </is>
      </c>
      <c r="D9347" s="1" t="n">
        <v>46167</v>
      </c>
      <c r="E9347" s="1" t="n">
        <v>46307</v>
      </c>
      <c r="F9347" t="inlineStr">
        <is>
          <t>VÄRMLANDS LÄN</t>
        </is>
      </c>
      <c r="G9347" t="inlineStr">
        <is>
          <t>SÄFFLE</t>
        </is>
      </c>
      <c r="I9347" t="n">
        <v>2.3</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24106-2026</t>
        </is>
      </c>
      <c r="B9348" t="inlineStr">
        <is>
          <t>avverkningsanmälan</t>
        </is>
      </c>
      <c r="C9348" t="inlineStr">
        <is>
          <t>Föryngringsavverkning</t>
        </is>
      </c>
      <c r="D9348" s="1" t="n">
        <v>46168</v>
      </c>
      <c r="E9348" s="1" t="n">
        <v>46307</v>
      </c>
      <c r="F9348" t="inlineStr">
        <is>
          <t>VÄRMLANDS LÄN</t>
        </is>
      </c>
      <c r="G9348" t="inlineStr">
        <is>
          <t>TORSBY</t>
        </is>
      </c>
      <c r="H9348" t="inlineStr">
        <is>
          <t>Bergvik skog väst AB</t>
        </is>
      </c>
      <c r="I9348" t="n">
        <v>2.1</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23970-2026</t>
        </is>
      </c>
      <c r="B9349" t="inlineStr">
        <is>
          <t>avverkningsanmälan</t>
        </is>
      </c>
      <c r="C9349" t="inlineStr">
        <is>
          <t>Föryngringsavverkning</t>
        </is>
      </c>
      <c r="D9349" s="1" t="n">
        <v>46167</v>
      </c>
      <c r="E9349" s="1" t="n">
        <v>46307</v>
      </c>
      <c r="F9349" t="inlineStr">
        <is>
          <t>VÄRMLANDS LÄN</t>
        </is>
      </c>
      <c r="G9349" t="inlineStr">
        <is>
          <t>FILIPSTAD</t>
        </is>
      </c>
      <c r="H9349" t="inlineStr">
        <is>
          <t>Bergvik skog väst AB</t>
        </is>
      </c>
      <c r="I9349" t="n">
        <v>9.300000000000001</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24415-2026</t>
        </is>
      </c>
      <c r="B9350" t="inlineStr">
        <is>
          <t>avverkningsanmälan</t>
        </is>
      </c>
      <c r="C9350" t="inlineStr">
        <is>
          <t>Föryngringsavverkning</t>
        </is>
      </c>
      <c r="D9350" s="1" t="n">
        <v>46169</v>
      </c>
      <c r="E9350" s="1" t="n">
        <v>46307</v>
      </c>
      <c r="F9350" t="inlineStr">
        <is>
          <t>VÄRMLANDS LÄN</t>
        </is>
      </c>
      <c r="G9350" t="inlineStr">
        <is>
          <t>SUNNE</t>
        </is>
      </c>
      <c r="I9350" t="n">
        <v>16.1</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24341-2026</t>
        </is>
      </c>
      <c r="B9351" t="inlineStr">
        <is>
          <t>avverkningsanmälan</t>
        </is>
      </c>
      <c r="C9351" t="inlineStr">
        <is>
          <t>Föryngringsavverkning</t>
        </is>
      </c>
      <c r="D9351" s="1" t="n">
        <v>46169</v>
      </c>
      <c r="E9351" s="1" t="n">
        <v>46307</v>
      </c>
      <c r="F9351" t="inlineStr">
        <is>
          <t>VÄRMLANDS LÄN</t>
        </is>
      </c>
      <c r="G9351" t="inlineStr">
        <is>
          <t>SUNNE</t>
        </is>
      </c>
      <c r="I9351" t="n">
        <v>2.4</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24287-2026</t>
        </is>
      </c>
      <c r="B9352" t="inlineStr">
        <is>
          <t>avverkningsanmälan</t>
        </is>
      </c>
      <c r="C9352" t="inlineStr">
        <is>
          <t>Föryngringsavverkning</t>
        </is>
      </c>
      <c r="D9352" s="1" t="n">
        <v>46169</v>
      </c>
      <c r="E9352" s="1" t="n">
        <v>46307</v>
      </c>
      <c r="F9352" t="inlineStr">
        <is>
          <t>VÄRMLANDS LÄN</t>
        </is>
      </c>
      <c r="G9352" t="inlineStr">
        <is>
          <t>TORSBY</t>
        </is>
      </c>
      <c r="H9352" t="inlineStr">
        <is>
          <t>Bergvik skog väst AB</t>
        </is>
      </c>
      <c r="I9352" t="n">
        <v>3.4</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24288-2026</t>
        </is>
      </c>
      <c r="B9353" t="inlineStr">
        <is>
          <t>avverkningsanmälan</t>
        </is>
      </c>
      <c r="C9353" t="inlineStr">
        <is>
          <t>Föryngringsavverkning</t>
        </is>
      </c>
      <c r="D9353" s="1" t="n">
        <v>46169</v>
      </c>
      <c r="E9353" s="1" t="n">
        <v>46307</v>
      </c>
      <c r="F9353" t="inlineStr">
        <is>
          <t>VÄRMLANDS LÄN</t>
        </is>
      </c>
      <c r="G9353" t="inlineStr">
        <is>
          <t>FILIPSTAD</t>
        </is>
      </c>
      <c r="H9353" t="inlineStr">
        <is>
          <t>Bergvik skog väst AB</t>
        </is>
      </c>
      <c r="I9353" t="n">
        <v>5.7</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24251-2026</t>
        </is>
      </c>
      <c r="B9354" t="inlineStr">
        <is>
          <t>avverkningsanmälan</t>
        </is>
      </c>
      <c r="C9354" t="inlineStr">
        <is>
          <t>Avverkning för annat ändamål</t>
        </is>
      </c>
      <c r="D9354" s="1" t="n">
        <v>46168</v>
      </c>
      <c r="E9354" s="1" t="n">
        <v>46307</v>
      </c>
      <c r="F9354" t="inlineStr">
        <is>
          <t>VÄRMLANDS LÄN</t>
        </is>
      </c>
      <c r="G9354" t="inlineStr">
        <is>
          <t>SUNNE</t>
        </is>
      </c>
      <c r="I9354" t="n">
        <v>0.3</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24411-2026</t>
        </is>
      </c>
      <c r="B9355" t="inlineStr">
        <is>
          <t>avverkningsanmälan</t>
        </is>
      </c>
      <c r="C9355" t="inlineStr">
        <is>
          <t>Föryngringsavverkning</t>
        </is>
      </c>
      <c r="D9355" s="1" t="n">
        <v>46169</v>
      </c>
      <c r="E9355" s="1" t="n">
        <v>46307</v>
      </c>
      <c r="F9355" t="inlineStr">
        <is>
          <t>VÄRMLANDS LÄN</t>
        </is>
      </c>
      <c r="G9355" t="inlineStr">
        <is>
          <t>SUNNE</t>
        </is>
      </c>
      <c r="H9355" t="inlineStr">
        <is>
          <t>Bergvik skog väst AB</t>
        </is>
      </c>
      <c r="I9355" t="n">
        <v>9.1</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24304-2026</t>
        </is>
      </c>
      <c r="B9356" t="inlineStr">
        <is>
          <t>avverkningsanmälan</t>
        </is>
      </c>
      <c r="C9356" t="inlineStr">
        <is>
          <t>Föryngringsavverkning</t>
        </is>
      </c>
      <c r="D9356" s="1" t="n">
        <v>46169</v>
      </c>
      <c r="E9356" s="1" t="n">
        <v>46307</v>
      </c>
      <c r="F9356" t="inlineStr">
        <is>
          <t>VÄRMLANDS LÄN</t>
        </is>
      </c>
      <c r="G9356" t="inlineStr">
        <is>
          <t>ARVIKA</t>
        </is>
      </c>
      <c r="I9356" t="n">
        <v>1.3</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24406-2026</t>
        </is>
      </c>
      <c r="B9357" t="inlineStr">
        <is>
          <t>avverkningsanmälan</t>
        </is>
      </c>
      <c r="C9357" t="inlineStr">
        <is>
          <t>Avverkning för annat ändamål</t>
        </is>
      </c>
      <c r="D9357" s="1" t="n">
        <v>46169</v>
      </c>
      <c r="E9357" s="1" t="n">
        <v>46307</v>
      </c>
      <c r="F9357" t="inlineStr">
        <is>
          <t>VÄRMLANDS LÄN</t>
        </is>
      </c>
      <c r="G9357" t="inlineStr">
        <is>
          <t>STORFORS</t>
        </is>
      </c>
      <c r="H9357" t="inlineStr">
        <is>
          <t>Kyrkan</t>
        </is>
      </c>
      <c r="I9357" t="n">
        <v>1.4</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24260-2026</t>
        </is>
      </c>
      <c r="B9358" t="inlineStr">
        <is>
          <t>avverkningsanmälan</t>
        </is>
      </c>
      <c r="C9358" t="inlineStr">
        <is>
          <t>Föryngringsavverkning</t>
        </is>
      </c>
      <c r="D9358" s="1" t="n">
        <v>46169</v>
      </c>
      <c r="E9358" s="1" t="n">
        <v>46307</v>
      </c>
      <c r="F9358" t="inlineStr">
        <is>
          <t>VÄRMLANDS LÄN</t>
        </is>
      </c>
      <c r="G9358" t="inlineStr">
        <is>
          <t>FILIPSTAD</t>
        </is>
      </c>
      <c r="H9358" t="inlineStr">
        <is>
          <t>Bergvik skog väst AB</t>
        </is>
      </c>
      <c r="I9358" t="n">
        <v>11</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24291-2026</t>
        </is>
      </c>
      <c r="B9359" t="inlineStr">
        <is>
          <t>avverkningsanmälan</t>
        </is>
      </c>
      <c r="C9359" t="inlineStr">
        <is>
          <t>Föryngringsavverkning</t>
        </is>
      </c>
      <c r="D9359" s="1" t="n">
        <v>46169</v>
      </c>
      <c r="E9359" s="1" t="n">
        <v>46307</v>
      </c>
      <c r="F9359" t="inlineStr">
        <is>
          <t>VÄRMLANDS LÄN</t>
        </is>
      </c>
      <c r="G9359" t="inlineStr">
        <is>
          <t>FILIPSTAD</t>
        </is>
      </c>
      <c r="H9359" t="inlineStr">
        <is>
          <t>Bergvik skog väst AB</t>
        </is>
      </c>
      <c r="I9359" t="n">
        <v>5.6</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24314-2026</t>
        </is>
      </c>
      <c r="B9360" t="inlineStr">
        <is>
          <t>avverkningsanmälan</t>
        </is>
      </c>
      <c r="C9360" t="inlineStr">
        <is>
          <t>Föryngringsavverkning</t>
        </is>
      </c>
      <c r="D9360" s="1" t="n">
        <v>46169</v>
      </c>
      <c r="E9360" s="1" t="n">
        <v>46307</v>
      </c>
      <c r="F9360" t="inlineStr">
        <is>
          <t>VÄRMLANDS LÄN</t>
        </is>
      </c>
      <c r="G9360" t="inlineStr">
        <is>
          <t>SUNNE</t>
        </is>
      </c>
      <c r="I9360" t="n">
        <v>1.1</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37247-2025</t>
        </is>
      </c>
      <c r="B9361" t="inlineStr">
        <is>
          <t>avverkningsanmälan</t>
        </is>
      </c>
      <c r="C9361" t="inlineStr">
        <is>
          <t>Föryngringsavverkning</t>
        </is>
      </c>
      <c r="D9361" s="1" t="n">
        <v>45876</v>
      </c>
      <c r="E9361" s="1" t="n">
        <v>46307</v>
      </c>
      <c r="F9361" t="inlineStr">
        <is>
          <t>VÄRMLANDS LÄN</t>
        </is>
      </c>
      <c r="G9361" t="inlineStr">
        <is>
          <t>ÅRJÄNG</t>
        </is>
      </c>
      <c r="I9361" t="n">
        <v>2.7</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24514-2026</t>
        </is>
      </c>
      <c r="B9362" t="inlineStr">
        <is>
          <t>avverkningsanmälan</t>
        </is>
      </c>
      <c r="C9362" t="inlineStr">
        <is>
          <t>Föryngringsavverkning</t>
        </is>
      </c>
      <c r="D9362" s="1" t="n">
        <v>46170</v>
      </c>
      <c r="E9362" s="1" t="n">
        <v>46307</v>
      </c>
      <c r="F9362" t="inlineStr">
        <is>
          <t>VÄRMLANDS LÄN</t>
        </is>
      </c>
      <c r="G9362" t="inlineStr">
        <is>
          <t>FILIPSTAD</t>
        </is>
      </c>
      <c r="H9362" t="inlineStr">
        <is>
          <t>Bergvik skog väst AB</t>
        </is>
      </c>
      <c r="I9362" t="n">
        <v>14.3</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24519-2026</t>
        </is>
      </c>
      <c r="B9363" t="inlineStr">
        <is>
          <t>avverkningsanmälan</t>
        </is>
      </c>
      <c r="C9363" t="inlineStr">
        <is>
          <t>Föryngringsavverkning</t>
        </is>
      </c>
      <c r="D9363" s="1" t="n">
        <v>46170</v>
      </c>
      <c r="E9363" s="1" t="n">
        <v>46307</v>
      </c>
      <c r="F9363" t="inlineStr">
        <is>
          <t>VÄRMLANDS LÄN</t>
        </is>
      </c>
      <c r="G9363" t="inlineStr">
        <is>
          <t>FILIPSTAD</t>
        </is>
      </c>
      <c r="H9363" t="inlineStr">
        <is>
          <t>Bergvik skog väst AB</t>
        </is>
      </c>
      <c r="I9363" t="n">
        <v>5.4</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24520-2026</t>
        </is>
      </c>
      <c r="B9364" t="inlineStr">
        <is>
          <t>avverkningsanmälan</t>
        </is>
      </c>
      <c r="C9364" t="inlineStr">
        <is>
          <t>Föryngringsavverkning</t>
        </is>
      </c>
      <c r="D9364" s="1" t="n">
        <v>46170</v>
      </c>
      <c r="E9364" s="1" t="n">
        <v>46307</v>
      </c>
      <c r="F9364" t="inlineStr">
        <is>
          <t>VÄRMLANDS LÄN</t>
        </is>
      </c>
      <c r="G9364" t="inlineStr">
        <is>
          <t>FILIPSTAD</t>
        </is>
      </c>
      <c r="H9364" t="inlineStr">
        <is>
          <t>Bergvik skog väst AB</t>
        </is>
      </c>
      <c r="I9364" t="n">
        <v>4</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23254-2026</t>
        </is>
      </c>
      <c r="B9365" t="inlineStr">
        <is>
          <t>avverkningsanmälan</t>
        </is>
      </c>
      <c r="C9365" t="inlineStr">
        <is>
          <t>Föryngringsavverkning</t>
        </is>
      </c>
      <c r="D9365" s="1" t="n">
        <v>46162</v>
      </c>
      <c r="E9365" s="1" t="n">
        <v>46307</v>
      </c>
      <c r="F9365" t="inlineStr">
        <is>
          <t>VÄRMLANDS LÄN</t>
        </is>
      </c>
      <c r="G9365" t="inlineStr">
        <is>
          <t>ÅRJÄNG</t>
        </is>
      </c>
      <c r="I9365" t="n">
        <v>1.3</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24529-2026</t>
        </is>
      </c>
      <c r="B9366" t="inlineStr">
        <is>
          <t>avverkningsanmälan</t>
        </is>
      </c>
      <c r="C9366" t="inlineStr">
        <is>
          <t>Föryngringsavverkning</t>
        </is>
      </c>
      <c r="D9366" s="1" t="n">
        <v>46170</v>
      </c>
      <c r="E9366" s="1" t="n">
        <v>46307</v>
      </c>
      <c r="F9366" t="inlineStr">
        <is>
          <t>VÄRMLANDS LÄN</t>
        </is>
      </c>
      <c r="G9366" t="inlineStr">
        <is>
          <t>FILIPSTAD</t>
        </is>
      </c>
      <c r="H9366" t="inlineStr">
        <is>
          <t>Bergvik skog väst AB</t>
        </is>
      </c>
      <c r="I9366" t="n">
        <v>4.3</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24537-2026</t>
        </is>
      </c>
      <c r="B9367" t="inlineStr">
        <is>
          <t>avverkningsanmälan</t>
        </is>
      </c>
      <c r="C9367" t="inlineStr">
        <is>
          <t>Föryngringsavverkning</t>
        </is>
      </c>
      <c r="D9367" s="1" t="n">
        <v>46170</v>
      </c>
      <c r="E9367" s="1" t="n">
        <v>46307</v>
      </c>
      <c r="F9367" t="inlineStr">
        <is>
          <t>VÄRMLANDS LÄN</t>
        </is>
      </c>
      <c r="G9367" t="inlineStr">
        <is>
          <t>FILIPSTAD</t>
        </is>
      </c>
      <c r="H9367" t="inlineStr">
        <is>
          <t>Bergvik skog väst AB</t>
        </is>
      </c>
      <c r="I9367" t="n">
        <v>2.7</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24563-2026</t>
        </is>
      </c>
      <c r="B9368" t="inlineStr">
        <is>
          <t>avverkningsanmälan</t>
        </is>
      </c>
      <c r="C9368" t="inlineStr">
        <is>
          <t>Föryngringsavverkning</t>
        </is>
      </c>
      <c r="D9368" s="1" t="n">
        <v>46170</v>
      </c>
      <c r="E9368" s="1" t="n">
        <v>46307</v>
      </c>
      <c r="F9368" t="inlineStr">
        <is>
          <t>VÄRMLANDS LÄN</t>
        </is>
      </c>
      <c r="G9368" t="inlineStr">
        <is>
          <t>SÄFFLE</t>
        </is>
      </c>
      <c r="I9368" t="n">
        <v>0.5</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24573-2026</t>
        </is>
      </c>
      <c r="B9369" t="inlineStr">
        <is>
          <t>avverkningsanmälan</t>
        </is>
      </c>
      <c r="C9369" t="inlineStr">
        <is>
          <t>Föryngringsavverkning</t>
        </is>
      </c>
      <c r="D9369" s="1" t="n">
        <v>46170</v>
      </c>
      <c r="E9369" s="1" t="n">
        <v>46307</v>
      </c>
      <c r="F9369" t="inlineStr">
        <is>
          <t>VÄRMLANDS LÄN</t>
        </is>
      </c>
      <c r="G9369" t="inlineStr">
        <is>
          <t>SÄFFLE</t>
        </is>
      </c>
      <c r="H9369" t="inlineStr">
        <is>
          <t>Kommuner</t>
        </is>
      </c>
      <c r="I9369" t="n">
        <v>0.7</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24625-2026</t>
        </is>
      </c>
      <c r="B9370" t="inlineStr">
        <is>
          <t>avverkningsanmälan</t>
        </is>
      </c>
      <c r="C9370" t="inlineStr">
        <is>
          <t>Avverkning för annat ändamål</t>
        </is>
      </c>
      <c r="D9370" s="1" t="n">
        <v>46171</v>
      </c>
      <c r="E9370" s="1" t="n">
        <v>46307</v>
      </c>
      <c r="F9370" t="inlineStr">
        <is>
          <t>VÄRMLANDS LÄN</t>
        </is>
      </c>
      <c r="G9370" t="inlineStr">
        <is>
          <t>HAGFORS</t>
        </is>
      </c>
      <c r="I9370" t="n">
        <v>0.3</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56909-2025</t>
        </is>
      </c>
      <c r="B9371" t="inlineStr">
        <is>
          <t>avverkningsanmälan</t>
        </is>
      </c>
      <c r="C9371" t="inlineStr">
        <is>
          <t>Föryngringsavverkning</t>
        </is>
      </c>
      <c r="D9371" s="1" t="n">
        <v>45978</v>
      </c>
      <c r="E9371" s="1" t="n">
        <v>46307</v>
      </c>
      <c r="F9371" t="inlineStr">
        <is>
          <t>VÄRMLANDS LÄN</t>
        </is>
      </c>
      <c r="G9371" t="inlineStr">
        <is>
          <t>ÅRJÄNG</t>
        </is>
      </c>
      <c r="I9371" t="n">
        <v>1.1</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23691-2026</t>
        </is>
      </c>
      <c r="B9372" t="inlineStr">
        <is>
          <t>avverkningsanmälan</t>
        </is>
      </c>
      <c r="C9372" t="inlineStr">
        <is>
          <t>Föryngringsavverkning</t>
        </is>
      </c>
      <c r="D9372" s="1" t="n">
        <v>46164</v>
      </c>
      <c r="E9372" s="1" t="n">
        <v>46307</v>
      </c>
      <c r="F9372" t="inlineStr">
        <is>
          <t>VÄRMLANDS LÄN</t>
        </is>
      </c>
      <c r="G9372" t="inlineStr">
        <is>
          <t>ÅRJÄNG</t>
        </is>
      </c>
      <c r="I9372" t="n">
        <v>1</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24699-2026</t>
        </is>
      </c>
      <c r="B9373" t="inlineStr">
        <is>
          <t>avverkningsanmälan</t>
        </is>
      </c>
      <c r="C9373" t="inlineStr">
        <is>
          <t>Avverkning för annat ändamål</t>
        </is>
      </c>
      <c r="D9373" s="1" t="n">
        <v>46171</v>
      </c>
      <c r="E9373" s="1" t="n">
        <v>46307</v>
      </c>
      <c r="F9373" t="inlineStr">
        <is>
          <t>VÄRMLANDS LÄN</t>
        </is>
      </c>
      <c r="G9373" t="inlineStr">
        <is>
          <t>HAGFORS</t>
        </is>
      </c>
      <c r="H9373" t="inlineStr">
        <is>
          <t>Bergvik skog väst AB</t>
        </is>
      </c>
      <c r="I9373" t="n">
        <v>2.1</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24452-2026</t>
        </is>
      </c>
      <c r="B9374" t="inlineStr">
        <is>
          <t>avverkningsanmälan</t>
        </is>
      </c>
      <c r="C9374" t="inlineStr">
        <is>
          <t>Föryngringsavverkning</t>
        </is>
      </c>
      <c r="D9374" s="1" t="n">
        <v>46170</v>
      </c>
      <c r="E9374" s="1" t="n">
        <v>46307</v>
      </c>
      <c r="F9374" t="inlineStr">
        <is>
          <t>VÄRMLANDS LÄN</t>
        </is>
      </c>
      <c r="G9374" t="inlineStr">
        <is>
          <t>FILIPSTAD</t>
        </is>
      </c>
      <c r="H9374" t="inlineStr">
        <is>
          <t>Bergvik skog väst AB</t>
        </is>
      </c>
      <c r="I9374" t="n">
        <v>1.2</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24453-2026</t>
        </is>
      </c>
      <c r="B9375" t="inlineStr">
        <is>
          <t>avverkningsanmälan</t>
        </is>
      </c>
      <c r="C9375" t="inlineStr">
        <is>
          <t>Föryngringsavverkning</t>
        </is>
      </c>
      <c r="D9375" s="1" t="n">
        <v>46170</v>
      </c>
      <c r="E9375" s="1" t="n">
        <v>46307</v>
      </c>
      <c r="F9375" t="inlineStr">
        <is>
          <t>VÄRMLANDS LÄN</t>
        </is>
      </c>
      <c r="G9375" t="inlineStr">
        <is>
          <t>FILIPSTAD</t>
        </is>
      </c>
      <c r="H9375" t="inlineStr">
        <is>
          <t>Bergvik skog väst AB</t>
        </is>
      </c>
      <c r="I9375" t="n">
        <v>1.5</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24570-2026</t>
        </is>
      </c>
      <c r="B9376" t="inlineStr">
        <is>
          <t>avverkningsanmälan</t>
        </is>
      </c>
      <c r="C9376" t="inlineStr">
        <is>
          <t>Avverkning för annat ändamål</t>
        </is>
      </c>
      <c r="D9376" s="1" t="n">
        <v>46170</v>
      </c>
      <c r="E9376" s="1" t="n">
        <v>46307</v>
      </c>
      <c r="F9376" t="inlineStr">
        <is>
          <t>VÄRMLANDS LÄN</t>
        </is>
      </c>
      <c r="G9376" t="inlineStr">
        <is>
          <t>KRISTINEHAMN</t>
        </is>
      </c>
      <c r="I9376" t="n">
        <v>0.4</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24592-2026</t>
        </is>
      </c>
      <c r="B9377" t="inlineStr">
        <is>
          <t>avverkningsanmälan</t>
        </is>
      </c>
      <c r="C9377" t="inlineStr">
        <is>
          <t>Föryngringsavverkning</t>
        </is>
      </c>
      <c r="D9377" s="1" t="n">
        <v>46170</v>
      </c>
      <c r="E9377" s="1" t="n">
        <v>46307</v>
      </c>
      <c r="F9377" t="inlineStr">
        <is>
          <t>VÄRMLANDS LÄN</t>
        </is>
      </c>
      <c r="G9377" t="inlineStr">
        <is>
          <t>KARLSTAD</t>
        </is>
      </c>
      <c r="I9377" t="n">
        <v>5.2</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24742-2026</t>
        </is>
      </c>
      <c r="B9378" t="inlineStr">
        <is>
          <t>avverkningsanmälan</t>
        </is>
      </c>
      <c r="C9378" t="inlineStr">
        <is>
          <t>Avverkning för annat ändamål</t>
        </is>
      </c>
      <c r="D9378" s="1" t="n">
        <v>46171</v>
      </c>
      <c r="E9378" s="1" t="n">
        <v>46307</v>
      </c>
      <c r="F9378" t="inlineStr">
        <is>
          <t>VÄRMLANDS LÄN</t>
        </is>
      </c>
      <c r="G9378" t="inlineStr">
        <is>
          <t>TORSBY</t>
        </is>
      </c>
      <c r="H9378" t="inlineStr">
        <is>
          <t>Bergvik skog väst AB</t>
        </is>
      </c>
      <c r="I9378" t="n">
        <v>1.4</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70214-2021</t>
        </is>
      </c>
      <c r="B9379" t="inlineStr">
        <is>
          <t>avverkningsanmälan</t>
        </is>
      </c>
      <c r="C9379" t="inlineStr">
        <is>
          <t>Föryngringsavverkning</t>
        </is>
      </c>
      <c r="D9379" s="1" t="n">
        <v>44535</v>
      </c>
      <c r="E9379" s="1" t="n">
        <v>46307</v>
      </c>
      <c r="F9379" t="inlineStr">
        <is>
          <t>VÄRMLANDS LÄN</t>
        </is>
      </c>
      <c r="G9379" t="inlineStr">
        <is>
          <t>FORSHAGA</t>
        </is>
      </c>
      <c r="I9379" t="n">
        <v>5.3</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24713-2026</t>
        </is>
      </c>
      <c r="B9380" t="inlineStr">
        <is>
          <t>avverkningsanmälan</t>
        </is>
      </c>
      <c r="C9380" t="inlineStr">
        <is>
          <t>Föryngringsavverkning</t>
        </is>
      </c>
      <c r="D9380" s="1" t="n">
        <v>46171</v>
      </c>
      <c r="E9380" s="1" t="n">
        <v>46307</v>
      </c>
      <c r="F9380" t="inlineStr">
        <is>
          <t>VÄRMLANDS LÄN</t>
        </is>
      </c>
      <c r="G9380" t="inlineStr">
        <is>
          <t>HAGFORS</t>
        </is>
      </c>
      <c r="H9380" t="inlineStr">
        <is>
          <t>Bergvik skog väst AB</t>
        </is>
      </c>
      <c r="I9380" t="n">
        <v>3.9</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24739-2026</t>
        </is>
      </c>
      <c r="B9381" t="inlineStr">
        <is>
          <t>avverkningsanmälan</t>
        </is>
      </c>
      <c r="C9381" t="inlineStr">
        <is>
          <t>Föryngringsavverkning</t>
        </is>
      </c>
      <c r="D9381" s="1" t="n">
        <v>46171</v>
      </c>
      <c r="E9381" s="1" t="n">
        <v>46307</v>
      </c>
      <c r="F9381" t="inlineStr">
        <is>
          <t>VÄRMLANDS LÄN</t>
        </is>
      </c>
      <c r="G9381" t="inlineStr">
        <is>
          <t>TORSBY</t>
        </is>
      </c>
      <c r="I9381" t="n">
        <v>2.3</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24745-2026</t>
        </is>
      </c>
      <c r="B9382" t="inlineStr">
        <is>
          <t>avverkningsanmälan</t>
        </is>
      </c>
      <c r="C9382" t="inlineStr">
        <is>
          <t>Föryngringsavverkning</t>
        </is>
      </c>
      <c r="D9382" s="1" t="n">
        <v>46171</v>
      </c>
      <c r="E9382" s="1" t="n">
        <v>46307</v>
      </c>
      <c r="F9382" t="inlineStr">
        <is>
          <t>VÄRMLANDS LÄN</t>
        </is>
      </c>
      <c r="G9382" t="inlineStr">
        <is>
          <t>FILIPSTAD</t>
        </is>
      </c>
      <c r="I9382" t="n">
        <v>6</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24522-2026</t>
        </is>
      </c>
      <c r="B9383" t="inlineStr">
        <is>
          <t>avverkningsanmälan</t>
        </is>
      </c>
      <c r="C9383" t="inlineStr">
        <is>
          <t>Föryngringsavverkning</t>
        </is>
      </c>
      <c r="D9383" s="1" t="n">
        <v>46170</v>
      </c>
      <c r="E9383" s="1" t="n">
        <v>46307</v>
      </c>
      <c r="F9383" t="inlineStr">
        <is>
          <t>VÄRMLANDS LÄN</t>
        </is>
      </c>
      <c r="G9383" t="inlineStr">
        <is>
          <t>SUNNE</t>
        </is>
      </c>
      <c r="I9383" t="n">
        <v>1.2</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24778-2026</t>
        </is>
      </c>
      <c r="B9384" t="inlineStr">
        <is>
          <t>avverkningsanmälan</t>
        </is>
      </c>
      <c r="C9384" t="inlineStr">
        <is>
          <t>Föryngringsavverkning</t>
        </is>
      </c>
      <c r="D9384" s="1" t="n">
        <v>46171</v>
      </c>
      <c r="E9384" s="1" t="n">
        <v>46307</v>
      </c>
      <c r="F9384" t="inlineStr">
        <is>
          <t>VÄRMLANDS LÄN</t>
        </is>
      </c>
      <c r="G9384" t="inlineStr">
        <is>
          <t>HAGFORS</t>
        </is>
      </c>
      <c r="I9384" t="n">
        <v>1.7</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24755-2026</t>
        </is>
      </c>
      <c r="B9385" t="inlineStr">
        <is>
          <t>avverkningsanmälan</t>
        </is>
      </c>
      <c r="C9385" t="inlineStr">
        <is>
          <t>Föryngringsavverkning</t>
        </is>
      </c>
      <c r="D9385" s="1" t="n">
        <v>46171</v>
      </c>
      <c r="E9385" s="1" t="n">
        <v>46307</v>
      </c>
      <c r="F9385" t="inlineStr">
        <is>
          <t>VÄRMLANDS LÄN</t>
        </is>
      </c>
      <c r="G9385" t="inlineStr">
        <is>
          <t>TORSBY</t>
        </is>
      </c>
      <c r="H9385" t="inlineStr">
        <is>
          <t>Bergvik skog väst AB</t>
        </is>
      </c>
      <c r="I9385" t="n">
        <v>16</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24761-2026</t>
        </is>
      </c>
      <c r="B9386" t="inlineStr">
        <is>
          <t>avverkningsanmälan</t>
        </is>
      </c>
      <c r="C9386" t="inlineStr">
        <is>
          <t>Avverkning för annat ändamål</t>
        </is>
      </c>
      <c r="D9386" s="1" t="n">
        <v>46171</v>
      </c>
      <c r="E9386" s="1" t="n">
        <v>46307</v>
      </c>
      <c r="F9386" t="inlineStr">
        <is>
          <t>VÄRMLANDS LÄN</t>
        </is>
      </c>
      <c r="G9386" t="inlineStr">
        <is>
          <t>HAGFORS</t>
        </is>
      </c>
      <c r="I9386" t="n">
        <v>0.6</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24762-2026</t>
        </is>
      </c>
      <c r="B9387" t="inlineStr">
        <is>
          <t>avverkningsanmälan</t>
        </is>
      </c>
      <c r="C9387" t="inlineStr">
        <is>
          <t>Föryngringsavverkning</t>
        </is>
      </c>
      <c r="D9387" s="1" t="n">
        <v>46171</v>
      </c>
      <c r="E9387" s="1" t="n">
        <v>46307</v>
      </c>
      <c r="F9387" t="inlineStr">
        <is>
          <t>VÄRMLANDS LÄN</t>
        </is>
      </c>
      <c r="G9387" t="inlineStr">
        <is>
          <t>SUNNE</t>
        </is>
      </c>
      <c r="I9387" t="n">
        <v>2.4</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24787-2026</t>
        </is>
      </c>
      <c r="B9388" t="inlineStr">
        <is>
          <t>avverkningsanmälan</t>
        </is>
      </c>
      <c r="C9388" t="inlineStr">
        <is>
          <t>Föryngringsavverkning</t>
        </is>
      </c>
      <c r="D9388" s="1" t="n">
        <v>46171</v>
      </c>
      <c r="E9388" s="1" t="n">
        <v>46307</v>
      </c>
      <c r="F9388" t="inlineStr">
        <is>
          <t>VÄRMLANDS LÄN</t>
        </is>
      </c>
      <c r="G9388" t="inlineStr">
        <is>
          <t>SUNNE</t>
        </is>
      </c>
      <c r="I9388" t="n">
        <v>3.5</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32183-2025</t>
        </is>
      </c>
      <c r="B9389" t="inlineStr">
        <is>
          <t>avverkningsanmälan</t>
        </is>
      </c>
      <c r="C9389" t="inlineStr">
        <is>
          <t>Föryngringsavverkning</t>
        </is>
      </c>
      <c r="D9389" s="1" t="n">
        <v>45835</v>
      </c>
      <c r="E9389" s="1" t="n">
        <v>46307</v>
      </c>
      <c r="F9389" t="inlineStr">
        <is>
          <t>VÄRMLANDS LÄN</t>
        </is>
      </c>
      <c r="G9389" t="inlineStr">
        <is>
          <t>FILIPSTAD</t>
        </is>
      </c>
      <c r="I9389" t="n">
        <v>1.6</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24442-2026</t>
        </is>
      </c>
      <c r="B9390" t="inlineStr">
        <is>
          <t>avverkningsanmälan</t>
        </is>
      </c>
      <c r="C9390" t="inlineStr">
        <is>
          <t>Föryngringsavverkning</t>
        </is>
      </c>
      <c r="D9390" s="1" t="n">
        <v>46170</v>
      </c>
      <c r="E9390" s="1" t="n">
        <v>46307</v>
      </c>
      <c r="F9390" t="inlineStr">
        <is>
          <t>VÄRMLANDS LÄN</t>
        </is>
      </c>
      <c r="G9390" t="inlineStr">
        <is>
          <t>STORFORS</t>
        </is>
      </c>
      <c r="I9390" t="n">
        <v>2.4</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56263-2025</t>
        </is>
      </c>
      <c r="B9391" t="inlineStr">
        <is>
          <t>avverkningsanmälan</t>
        </is>
      </c>
      <c r="C9391" t="inlineStr">
        <is>
          <t>Föryngringsavverkning</t>
        </is>
      </c>
      <c r="D9391" s="1" t="n">
        <v>45974</v>
      </c>
      <c r="E9391" s="1" t="n">
        <v>46307</v>
      </c>
      <c r="F9391" t="inlineStr">
        <is>
          <t>VÄRMLANDS LÄN</t>
        </is>
      </c>
      <c r="G9391" t="inlineStr">
        <is>
          <t>TORSBY</t>
        </is>
      </c>
      <c r="I9391" t="n">
        <v>0.9</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24754-2026</t>
        </is>
      </c>
      <c r="B9392" t="inlineStr">
        <is>
          <t>avverkningsanmälan</t>
        </is>
      </c>
      <c r="C9392" t="inlineStr">
        <is>
          <t>Föryngringsavverkning</t>
        </is>
      </c>
      <c r="D9392" s="1" t="n">
        <v>46171</v>
      </c>
      <c r="E9392" s="1" t="n">
        <v>46307</v>
      </c>
      <c r="F9392" t="inlineStr">
        <is>
          <t>VÄRMLANDS LÄN</t>
        </is>
      </c>
      <c r="G9392" t="inlineStr">
        <is>
          <t>GRUMS</t>
        </is>
      </c>
      <c r="I9392" t="n">
        <v>2.9</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24445-2026</t>
        </is>
      </c>
      <c r="B9393" t="inlineStr">
        <is>
          <t>avverkningsanmälan</t>
        </is>
      </c>
      <c r="C9393" t="inlineStr">
        <is>
          <t>Föryngringsavverkning</t>
        </is>
      </c>
      <c r="D9393" s="1" t="n">
        <v>46170</v>
      </c>
      <c r="E9393" s="1" t="n">
        <v>46307</v>
      </c>
      <c r="F9393" t="inlineStr">
        <is>
          <t>VÄRMLANDS LÄN</t>
        </is>
      </c>
      <c r="G9393" t="inlineStr">
        <is>
          <t>ÅRJÄNG</t>
        </is>
      </c>
      <c r="I9393" t="n">
        <v>1.9</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16063-2025</t>
        </is>
      </c>
      <c r="B9394" t="inlineStr">
        <is>
          <t>avverkningsanmälan</t>
        </is>
      </c>
      <c r="C9394" t="inlineStr">
        <is>
          <t>Föryngringsavverkning</t>
        </is>
      </c>
      <c r="D9394" s="1" t="n">
        <v>45749</v>
      </c>
      <c r="E9394" s="1" t="n">
        <v>46307</v>
      </c>
      <c r="F9394" t="inlineStr">
        <is>
          <t>VÄRMLANDS LÄN</t>
        </is>
      </c>
      <c r="G9394" t="inlineStr">
        <is>
          <t>FILIPSTAD</t>
        </is>
      </c>
      <c r="H9394" t="inlineStr">
        <is>
          <t>Bergvik skog väst AB</t>
        </is>
      </c>
      <c r="I9394" t="n">
        <v>4.1</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56897-2025</t>
        </is>
      </c>
      <c r="B9395" t="inlineStr">
        <is>
          <t>avverkningsanmälan</t>
        </is>
      </c>
      <c r="C9395" t="inlineStr">
        <is>
          <t>Föryngringsavverkning</t>
        </is>
      </c>
      <c r="D9395" s="1" t="n">
        <v>45978</v>
      </c>
      <c r="E9395" s="1" t="n">
        <v>46307</v>
      </c>
      <c r="F9395" t="inlineStr">
        <is>
          <t>VÄRMLANDS LÄN</t>
        </is>
      </c>
      <c r="G9395" t="inlineStr">
        <is>
          <t>ÅRJÄNG</t>
        </is>
      </c>
      <c r="I9395" t="n">
        <v>1.3</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24554-2026</t>
        </is>
      </c>
      <c r="B9396" t="inlineStr">
        <is>
          <t>avverkningsanmälan</t>
        </is>
      </c>
      <c r="C9396" t="inlineStr">
        <is>
          <t>Föryngringsavverkning</t>
        </is>
      </c>
      <c r="D9396" s="1" t="n">
        <v>46170</v>
      </c>
      <c r="E9396" s="1" t="n">
        <v>46307</v>
      </c>
      <c r="F9396" t="inlineStr">
        <is>
          <t>VÄRMLANDS LÄN</t>
        </is>
      </c>
      <c r="G9396" t="inlineStr">
        <is>
          <t>SÄFFLE</t>
        </is>
      </c>
      <c r="I9396" t="n">
        <v>0.8</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24556-2026</t>
        </is>
      </c>
      <c r="B9397" t="inlineStr">
        <is>
          <t>avverkningsanmälan</t>
        </is>
      </c>
      <c r="C9397" t="inlineStr">
        <is>
          <t>Föryngringsavverkning</t>
        </is>
      </c>
      <c r="D9397" s="1" t="n">
        <v>46170</v>
      </c>
      <c r="E9397" s="1" t="n">
        <v>46307</v>
      </c>
      <c r="F9397" t="inlineStr">
        <is>
          <t>VÄRMLANDS LÄN</t>
        </is>
      </c>
      <c r="G9397" t="inlineStr">
        <is>
          <t>KARLSTAD</t>
        </is>
      </c>
      <c r="I9397" t="n">
        <v>0.6</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24640-2026</t>
        </is>
      </c>
      <c r="B9398" t="inlineStr">
        <is>
          <t>avverkningsanmälan</t>
        </is>
      </c>
      <c r="C9398" t="inlineStr">
        <is>
          <t>Föryngringsavverkning</t>
        </is>
      </c>
      <c r="D9398" s="1" t="n">
        <v>46171</v>
      </c>
      <c r="E9398" s="1" t="n">
        <v>46307</v>
      </c>
      <c r="F9398" t="inlineStr">
        <is>
          <t>VÄRMLANDS LÄN</t>
        </is>
      </c>
      <c r="G9398" t="inlineStr">
        <is>
          <t>KIL</t>
        </is>
      </c>
      <c r="I9398" t="n">
        <v>1.3</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24628-2026</t>
        </is>
      </c>
      <c r="B9399" t="inlineStr">
        <is>
          <t>avverkningsanmälan</t>
        </is>
      </c>
      <c r="C9399" t="inlineStr">
        <is>
          <t>Avverkning för annat ändamål</t>
        </is>
      </c>
      <c r="D9399" s="1" t="n">
        <v>46171</v>
      </c>
      <c r="E9399" s="1" t="n">
        <v>46307</v>
      </c>
      <c r="F9399" t="inlineStr">
        <is>
          <t>VÄRMLANDS LÄN</t>
        </is>
      </c>
      <c r="G9399" t="inlineStr">
        <is>
          <t>HAGFORS</t>
        </is>
      </c>
      <c r="I9399" t="n">
        <v>0.3</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24634-2026</t>
        </is>
      </c>
      <c r="B9400" t="inlineStr">
        <is>
          <t>avverkningsanmälan</t>
        </is>
      </c>
      <c r="C9400" t="inlineStr">
        <is>
          <t>Föryngringsavverkning</t>
        </is>
      </c>
      <c r="D9400" s="1" t="n">
        <v>46171</v>
      </c>
      <c r="E9400" s="1" t="n">
        <v>46307</v>
      </c>
      <c r="F9400" t="inlineStr">
        <is>
          <t>VÄRMLANDS LÄN</t>
        </is>
      </c>
      <c r="G9400" t="inlineStr">
        <is>
          <t>KRISTINEHAMN</t>
        </is>
      </c>
      <c r="H9400" t="inlineStr">
        <is>
          <t>Sveaskog</t>
        </is>
      </c>
      <c r="I9400" t="n">
        <v>2.7</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24626-2026</t>
        </is>
      </c>
      <c r="B9401" t="inlineStr">
        <is>
          <t>avverkningsanmälan</t>
        </is>
      </c>
      <c r="C9401" t="inlineStr">
        <is>
          <t>Avverkning för annat ändamål</t>
        </is>
      </c>
      <c r="D9401" s="1" t="n">
        <v>46171</v>
      </c>
      <c r="E9401" s="1" t="n">
        <v>46307</v>
      </c>
      <c r="F9401" t="inlineStr">
        <is>
          <t>VÄRMLANDS LÄN</t>
        </is>
      </c>
      <c r="G9401" t="inlineStr">
        <is>
          <t>HAGFORS</t>
        </is>
      </c>
      <c r="H9401" t="inlineStr">
        <is>
          <t>Bergvik skog väst AB</t>
        </is>
      </c>
      <c r="I9401" t="n">
        <v>0.4</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24732-2026</t>
        </is>
      </c>
      <c r="B9402" t="inlineStr">
        <is>
          <t>avverkningsanmälan</t>
        </is>
      </c>
      <c r="C9402" t="inlineStr">
        <is>
          <t>Föryngringsavverkning</t>
        </is>
      </c>
      <c r="D9402" s="1" t="n">
        <v>46171</v>
      </c>
      <c r="E9402" s="1" t="n">
        <v>46307</v>
      </c>
      <c r="F9402" t="inlineStr">
        <is>
          <t>VÄRMLANDS LÄN</t>
        </is>
      </c>
      <c r="G9402" t="inlineStr">
        <is>
          <t>TORSBY</t>
        </is>
      </c>
      <c r="I9402" t="n">
        <v>0.9</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24476-2026</t>
        </is>
      </c>
      <c r="B9403" t="inlineStr">
        <is>
          <t>avverkningsanmälan</t>
        </is>
      </c>
      <c r="C9403" t="inlineStr">
        <is>
          <t>Föryngringsavverkning</t>
        </is>
      </c>
      <c r="D9403" s="1" t="n">
        <v>46170</v>
      </c>
      <c r="E9403" s="1" t="n">
        <v>46307</v>
      </c>
      <c r="F9403" t="inlineStr">
        <is>
          <t>VÄRMLANDS LÄN</t>
        </is>
      </c>
      <c r="G9403" t="inlineStr">
        <is>
          <t>ARVIKA</t>
        </is>
      </c>
      <c r="H9403" t="inlineStr">
        <is>
          <t>Bergvik skog väst AB</t>
        </is>
      </c>
      <c r="I9403" t="n">
        <v>0.7</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24546-2026</t>
        </is>
      </c>
      <c r="B9404" t="inlineStr">
        <is>
          <t>avverkningsanmälan</t>
        </is>
      </c>
      <c r="C9404" t="inlineStr">
        <is>
          <t>Föryngringsavverkning</t>
        </is>
      </c>
      <c r="D9404" s="1" t="n">
        <v>46170</v>
      </c>
      <c r="E9404" s="1" t="n">
        <v>46307</v>
      </c>
      <c r="F9404" t="inlineStr">
        <is>
          <t>VÄRMLANDS LÄN</t>
        </is>
      </c>
      <c r="G9404" t="inlineStr">
        <is>
          <t>SÄFFLE</t>
        </is>
      </c>
      <c r="H9404" t="inlineStr">
        <is>
          <t>Kommuner</t>
        </is>
      </c>
      <c r="I9404" t="n">
        <v>1.9</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24559-2026</t>
        </is>
      </c>
      <c r="B9405" t="inlineStr">
        <is>
          <t>avverkningsanmälan</t>
        </is>
      </c>
      <c r="C9405" t="inlineStr">
        <is>
          <t>Föryngringsavverkning</t>
        </is>
      </c>
      <c r="D9405" s="1" t="n">
        <v>46170</v>
      </c>
      <c r="E9405" s="1" t="n">
        <v>46307</v>
      </c>
      <c r="F9405" t="inlineStr">
        <is>
          <t>VÄRMLANDS LÄN</t>
        </is>
      </c>
      <c r="G9405" t="inlineStr">
        <is>
          <t>SÄFFLE</t>
        </is>
      </c>
      <c r="I9405" t="n">
        <v>2.3</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24677-2026</t>
        </is>
      </c>
      <c r="B9406" t="inlineStr">
        <is>
          <t>avverkningsanmälan</t>
        </is>
      </c>
      <c r="C9406" t="inlineStr">
        <is>
          <t>Avverkning för annat ändamål</t>
        </is>
      </c>
      <c r="D9406" s="1" t="n">
        <v>46171</v>
      </c>
      <c r="E9406" s="1" t="n">
        <v>46307</v>
      </c>
      <c r="F9406" t="inlineStr">
        <is>
          <t>VÄRMLANDS LÄN</t>
        </is>
      </c>
      <c r="G9406" t="inlineStr">
        <is>
          <t>HAGFORS</t>
        </is>
      </c>
      <c r="H9406" t="inlineStr">
        <is>
          <t>Bergvik skog väst AB</t>
        </is>
      </c>
      <c r="I9406" t="n">
        <v>0.5</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23684-2026</t>
        </is>
      </c>
      <c r="B9407" t="inlineStr">
        <is>
          <t>avverkningsanmälan</t>
        </is>
      </c>
      <c r="C9407" t="inlineStr">
        <is>
          <t>Föryngringsavverkning</t>
        </is>
      </c>
      <c r="D9407" s="1" t="n">
        <v>46164</v>
      </c>
      <c r="E9407" s="1" t="n">
        <v>46307</v>
      </c>
      <c r="F9407" t="inlineStr">
        <is>
          <t>VÄRMLANDS LÄN</t>
        </is>
      </c>
      <c r="G9407" t="inlineStr">
        <is>
          <t>ÅRJÄNG</t>
        </is>
      </c>
      <c r="I9407" t="n">
        <v>0.5</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24549-2026</t>
        </is>
      </c>
      <c r="B9408" t="inlineStr">
        <is>
          <t>avverkningsanmälan</t>
        </is>
      </c>
      <c r="C9408" t="inlineStr">
        <is>
          <t>Föryngringsavverkning</t>
        </is>
      </c>
      <c r="D9408" s="1" t="n">
        <v>46170</v>
      </c>
      <c r="E9408" s="1" t="n">
        <v>46307</v>
      </c>
      <c r="F9408" t="inlineStr">
        <is>
          <t>VÄRMLANDS LÄN</t>
        </is>
      </c>
      <c r="G9408" t="inlineStr">
        <is>
          <t>SÄFFLE</t>
        </is>
      </c>
      <c r="I9408" t="n">
        <v>2.9</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21362-2026</t>
        </is>
      </c>
      <c r="B9409" t="inlineStr">
        <is>
          <t>avverkningsanmälan</t>
        </is>
      </c>
      <c r="C9409" t="inlineStr">
        <is>
          <t>Föryngringsavverkning</t>
        </is>
      </c>
      <c r="D9409" s="1" t="n">
        <v>46147</v>
      </c>
      <c r="E9409" s="1" t="n">
        <v>46307</v>
      </c>
      <c r="F9409" t="inlineStr">
        <is>
          <t>VÄRMLANDS LÄN</t>
        </is>
      </c>
      <c r="G9409" t="inlineStr">
        <is>
          <t>TORSBY</t>
        </is>
      </c>
      <c r="I9409" t="n">
        <v>4.4</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24993-2026</t>
        </is>
      </c>
      <c r="B9410" t="inlineStr">
        <is>
          <t>avverkningsanmälan</t>
        </is>
      </c>
      <c r="C9410" t="inlineStr">
        <is>
          <t>Föryngringsavverkning</t>
        </is>
      </c>
      <c r="D9410" s="1" t="n">
        <v>46174</v>
      </c>
      <c r="E9410" s="1" t="n">
        <v>46307</v>
      </c>
      <c r="F9410" t="inlineStr">
        <is>
          <t>VÄRMLANDS LÄN</t>
        </is>
      </c>
      <c r="G9410" t="inlineStr">
        <is>
          <t>ARVIKA</t>
        </is>
      </c>
      <c r="H9410" t="inlineStr">
        <is>
          <t>Bergvik skog väst AB</t>
        </is>
      </c>
      <c r="I9410" t="n">
        <v>4.4</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25170-2026</t>
        </is>
      </c>
      <c r="B9411" t="inlineStr">
        <is>
          <t>avverkningsanmälan</t>
        </is>
      </c>
      <c r="C9411" t="inlineStr">
        <is>
          <t>Föryngringsavverkning</t>
        </is>
      </c>
      <c r="D9411" s="1" t="n">
        <v>46175</v>
      </c>
      <c r="E9411" s="1" t="n">
        <v>46307</v>
      </c>
      <c r="F9411" t="inlineStr">
        <is>
          <t>VÄRMLANDS LÄN</t>
        </is>
      </c>
      <c r="G9411" t="inlineStr">
        <is>
          <t>SÄFFLE</t>
        </is>
      </c>
      <c r="I9411" t="n">
        <v>5.1</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24997-2026</t>
        </is>
      </c>
      <c r="B9412" t="inlineStr">
        <is>
          <t>avverkningsanmälan</t>
        </is>
      </c>
      <c r="C9412" t="inlineStr">
        <is>
          <t>Föryngringsavverkning</t>
        </is>
      </c>
      <c r="D9412" s="1" t="n">
        <v>46174</v>
      </c>
      <c r="E9412" s="1" t="n">
        <v>46307</v>
      </c>
      <c r="F9412" t="inlineStr">
        <is>
          <t>VÄRMLANDS LÄN</t>
        </is>
      </c>
      <c r="G9412" t="inlineStr">
        <is>
          <t>ARVIKA</t>
        </is>
      </c>
      <c r="H9412" t="inlineStr">
        <is>
          <t>Bergvik skog väst AB</t>
        </is>
      </c>
      <c r="I9412" t="n">
        <v>2.4</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53113-2025</t>
        </is>
      </c>
      <c r="B9413" t="inlineStr">
        <is>
          <t>avverkningsanmälan</t>
        </is>
      </c>
      <c r="C9413" t="inlineStr">
        <is>
          <t>Föryngringsavverkning</t>
        </is>
      </c>
      <c r="D9413" s="1" t="n">
        <v>45958</v>
      </c>
      <c r="E9413" s="1" t="n">
        <v>46307</v>
      </c>
      <c r="F9413" t="inlineStr">
        <is>
          <t>VÄRMLANDS LÄN</t>
        </is>
      </c>
      <c r="G9413" t="inlineStr">
        <is>
          <t>TORSBY</t>
        </is>
      </c>
      <c r="I9413" t="n">
        <v>2.5</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25257-2026</t>
        </is>
      </c>
      <c r="B9414" t="inlineStr">
        <is>
          <t>avverkningsanmälan</t>
        </is>
      </c>
      <c r="C9414" t="inlineStr">
        <is>
          <t>Föryngringsavverkning</t>
        </is>
      </c>
      <c r="D9414" s="1" t="n">
        <v>46175</v>
      </c>
      <c r="E9414" s="1" t="n">
        <v>46307</v>
      </c>
      <c r="F9414" t="inlineStr">
        <is>
          <t>VÄRMLANDS LÄN</t>
        </is>
      </c>
      <c r="G9414" t="inlineStr">
        <is>
          <t>TORSBY</t>
        </is>
      </c>
      <c r="H9414" t="inlineStr">
        <is>
          <t>Bergvik skog väst AB</t>
        </is>
      </c>
      <c r="I9414" t="n">
        <v>0.6</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8038-2026</t>
        </is>
      </c>
      <c r="B9415" t="inlineStr">
        <is>
          <t>avverkningsanmälan</t>
        </is>
      </c>
      <c r="C9415" t="inlineStr">
        <is>
          <t>Föryngringsavverkning</t>
        </is>
      </c>
      <c r="D9415" s="1" t="n">
        <v>46063</v>
      </c>
      <c r="E9415" s="1" t="n">
        <v>46307</v>
      </c>
      <c r="F9415" t="inlineStr">
        <is>
          <t>VÄRMLANDS LÄN</t>
        </is>
      </c>
      <c r="G9415" t="inlineStr">
        <is>
          <t>TORSBY</t>
        </is>
      </c>
      <c r="I9415" t="n">
        <v>1.8</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25109-2026</t>
        </is>
      </c>
      <c r="B9416" t="inlineStr">
        <is>
          <t>avverkningsanmälan</t>
        </is>
      </c>
      <c r="C9416" t="inlineStr">
        <is>
          <t>Föryngringsavverkning</t>
        </is>
      </c>
      <c r="D9416" s="1" t="n">
        <v>46175</v>
      </c>
      <c r="E9416" s="1" t="n">
        <v>46307</v>
      </c>
      <c r="F9416" t="inlineStr">
        <is>
          <t>VÄRMLANDS LÄN</t>
        </is>
      </c>
      <c r="G9416" t="inlineStr">
        <is>
          <t>KARLSTAD</t>
        </is>
      </c>
      <c r="I9416" t="n">
        <v>1.5</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24913-2026</t>
        </is>
      </c>
      <c r="B9417" t="inlineStr">
        <is>
          <t>avverkningsanmälan</t>
        </is>
      </c>
      <c r="C9417" t="inlineStr">
        <is>
          <t>Avverkning för annat ändamål</t>
        </is>
      </c>
      <c r="D9417" s="1" t="n">
        <v>46174</v>
      </c>
      <c r="E9417" s="1" t="n">
        <v>46307</v>
      </c>
      <c r="F9417" t="inlineStr">
        <is>
          <t>VÄRMLANDS LÄN</t>
        </is>
      </c>
      <c r="G9417" t="inlineStr">
        <is>
          <t>ARVIKA</t>
        </is>
      </c>
      <c r="H9417" t="inlineStr">
        <is>
          <t>Bergvik skog väst AB</t>
        </is>
      </c>
      <c r="I9417" t="n">
        <v>2.4</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25639-2026</t>
        </is>
      </c>
      <c r="B9418" t="inlineStr">
        <is>
          <t>avverkningsanmälan</t>
        </is>
      </c>
      <c r="C9418" t="inlineStr">
        <is>
          <t>Föryngringsavverkning</t>
        </is>
      </c>
      <c r="D9418" s="1" t="n">
        <v>46175</v>
      </c>
      <c r="E9418" s="1" t="n">
        <v>46307</v>
      </c>
      <c r="F9418" t="inlineStr">
        <is>
          <t>VÄRMLANDS LÄN</t>
        </is>
      </c>
      <c r="G9418" t="inlineStr">
        <is>
          <t>ÅRJÄNG</t>
        </is>
      </c>
      <c r="I9418" t="n">
        <v>2.1</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25205-2026</t>
        </is>
      </c>
      <c r="B9419" t="inlineStr">
        <is>
          <t>avverkningsanmälan</t>
        </is>
      </c>
      <c r="C9419" t="inlineStr">
        <is>
          <t>Föryngringsavverkning</t>
        </is>
      </c>
      <c r="D9419" s="1" t="n">
        <v>46175</v>
      </c>
      <c r="E9419" s="1" t="n">
        <v>46307</v>
      </c>
      <c r="F9419" t="inlineStr">
        <is>
          <t>VÄRMLANDS LÄN</t>
        </is>
      </c>
      <c r="G9419" t="inlineStr">
        <is>
          <t>FILIPSTAD</t>
        </is>
      </c>
      <c r="H9419" t="inlineStr">
        <is>
          <t>Bergvik skog väst AB</t>
        </is>
      </c>
      <c r="I9419" t="n">
        <v>16.5</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25237-2026</t>
        </is>
      </c>
      <c r="B9420" t="inlineStr">
        <is>
          <t>avverkningsanmälan</t>
        </is>
      </c>
      <c r="C9420" t="inlineStr">
        <is>
          <t>Föryngringsavverkning</t>
        </is>
      </c>
      <c r="D9420" s="1" t="n">
        <v>46175</v>
      </c>
      <c r="E9420" s="1" t="n">
        <v>46307</v>
      </c>
      <c r="F9420" t="inlineStr">
        <is>
          <t>VÄRMLANDS LÄN</t>
        </is>
      </c>
      <c r="G9420" t="inlineStr">
        <is>
          <t>SUNNE</t>
        </is>
      </c>
      <c r="I9420" t="n">
        <v>1</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25258-2026</t>
        </is>
      </c>
      <c r="B9421" t="inlineStr">
        <is>
          <t>avverkningsanmälan</t>
        </is>
      </c>
      <c r="C9421" t="inlineStr">
        <is>
          <t>Avverkning för annat ändamål</t>
        </is>
      </c>
      <c r="D9421" s="1" t="n">
        <v>46175</v>
      </c>
      <c r="E9421" s="1" t="n">
        <v>46307</v>
      </c>
      <c r="F9421" t="inlineStr">
        <is>
          <t>VÄRMLANDS LÄN</t>
        </is>
      </c>
      <c r="G9421" t="inlineStr">
        <is>
          <t>KRISTINEHAMN</t>
        </is>
      </c>
      <c r="I9421" t="n">
        <v>1.9</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25068-2026</t>
        </is>
      </c>
      <c r="B9422" t="inlineStr">
        <is>
          <t>avverkningsanmälan</t>
        </is>
      </c>
      <c r="C9422" t="inlineStr">
        <is>
          <t>Föryngringsavverkning</t>
        </is>
      </c>
      <c r="D9422" s="1" t="n">
        <v>46174</v>
      </c>
      <c r="E9422" s="1" t="n">
        <v>46307</v>
      </c>
      <c r="F9422" t="inlineStr">
        <is>
          <t>VÄRMLANDS LÄN</t>
        </is>
      </c>
      <c r="G9422" t="inlineStr">
        <is>
          <t>KARLSTAD</t>
        </is>
      </c>
      <c r="I9422" t="n">
        <v>5.4</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25173-2026</t>
        </is>
      </c>
      <c r="B9423" t="inlineStr">
        <is>
          <t>avverkningsanmälan</t>
        </is>
      </c>
      <c r="C9423" t="inlineStr">
        <is>
          <t>Föryngringsavverkning</t>
        </is>
      </c>
      <c r="D9423" s="1" t="n">
        <v>46175</v>
      </c>
      <c r="E9423" s="1" t="n">
        <v>46307</v>
      </c>
      <c r="F9423" t="inlineStr">
        <is>
          <t>VÄRMLANDS LÄN</t>
        </is>
      </c>
      <c r="G9423" t="inlineStr">
        <is>
          <t>SUNNE</t>
        </is>
      </c>
      <c r="I9423" t="n">
        <v>0.5</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24861-2026</t>
        </is>
      </c>
      <c r="B9424" t="inlineStr">
        <is>
          <t>avverkningsanmälan</t>
        </is>
      </c>
      <c r="C9424" t="inlineStr">
        <is>
          <t>Föryngringsavverkning</t>
        </is>
      </c>
      <c r="D9424" s="1" t="n">
        <v>46174</v>
      </c>
      <c r="E9424" s="1" t="n">
        <v>46307</v>
      </c>
      <c r="F9424" t="inlineStr">
        <is>
          <t>VÄRMLANDS LÄN</t>
        </is>
      </c>
      <c r="G9424" t="inlineStr">
        <is>
          <t>ÅRJÄNG</t>
        </is>
      </c>
      <c r="I9424" t="n">
        <v>5.1</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24862-2026</t>
        </is>
      </c>
      <c r="B9425" t="inlineStr">
        <is>
          <t>avverkningsanmälan</t>
        </is>
      </c>
      <c r="C9425" t="inlineStr">
        <is>
          <t>Föryngringsavverkning</t>
        </is>
      </c>
      <c r="D9425" s="1" t="n">
        <v>46174</v>
      </c>
      <c r="E9425" s="1" t="n">
        <v>46307</v>
      </c>
      <c r="F9425" t="inlineStr">
        <is>
          <t>VÄRMLANDS LÄN</t>
        </is>
      </c>
      <c r="G9425" t="inlineStr">
        <is>
          <t>HAGFORS</t>
        </is>
      </c>
      <c r="H9425" t="inlineStr">
        <is>
          <t>Bergvik skog väst AB</t>
        </is>
      </c>
      <c r="I9425" t="n">
        <v>9.699999999999999</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24937-2026</t>
        </is>
      </c>
      <c r="B9426" t="inlineStr">
        <is>
          <t>avverkningsanmälan</t>
        </is>
      </c>
      <c r="C9426" t="inlineStr">
        <is>
          <t>Föryngringsavverkning</t>
        </is>
      </c>
      <c r="D9426" s="1" t="n">
        <v>46174</v>
      </c>
      <c r="E9426" s="1" t="n">
        <v>46307</v>
      </c>
      <c r="F9426" t="inlineStr">
        <is>
          <t>VÄRMLANDS LÄN</t>
        </is>
      </c>
      <c r="G9426" t="inlineStr">
        <is>
          <t>SÄFFLE</t>
        </is>
      </c>
      <c r="H9426" t="inlineStr">
        <is>
          <t>Kommuner</t>
        </is>
      </c>
      <c r="I9426" t="n">
        <v>5.6</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24940-2026</t>
        </is>
      </c>
      <c r="B9427" t="inlineStr">
        <is>
          <t>avverkningsanmälan</t>
        </is>
      </c>
      <c r="C9427" t="inlineStr">
        <is>
          <t>Föryngringsavverkning</t>
        </is>
      </c>
      <c r="D9427" s="1" t="n">
        <v>46174</v>
      </c>
      <c r="E9427" s="1" t="n">
        <v>46307</v>
      </c>
      <c r="F9427" t="inlineStr">
        <is>
          <t>VÄRMLANDS LÄN</t>
        </is>
      </c>
      <c r="G9427" t="inlineStr">
        <is>
          <t>TORSBY</t>
        </is>
      </c>
      <c r="H9427" t="inlineStr">
        <is>
          <t>Bergvik skog väst AB</t>
        </is>
      </c>
      <c r="I9427" t="n">
        <v>22.7</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24886-2026</t>
        </is>
      </c>
      <c r="B9428" t="inlineStr">
        <is>
          <t>avverkningsanmälan</t>
        </is>
      </c>
      <c r="C9428" t="inlineStr">
        <is>
          <t>Föryngringsavverkning</t>
        </is>
      </c>
      <c r="D9428" s="1" t="n">
        <v>46174</v>
      </c>
      <c r="E9428" s="1" t="n">
        <v>46307</v>
      </c>
      <c r="F9428" t="inlineStr">
        <is>
          <t>VÄRMLANDS LÄN</t>
        </is>
      </c>
      <c r="G9428" t="inlineStr">
        <is>
          <t>FILIPSTAD</t>
        </is>
      </c>
      <c r="H9428" t="inlineStr">
        <is>
          <t>Bergvik skog väst AB</t>
        </is>
      </c>
      <c r="I9428" t="n">
        <v>1.9</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24890-2026</t>
        </is>
      </c>
      <c r="B9429" t="inlineStr">
        <is>
          <t>avverkningsanmälan</t>
        </is>
      </c>
      <c r="C9429" t="inlineStr">
        <is>
          <t>Föryngringsavverkning</t>
        </is>
      </c>
      <c r="D9429" s="1" t="n">
        <v>46174</v>
      </c>
      <c r="E9429" s="1" t="n">
        <v>46307</v>
      </c>
      <c r="F9429" t="inlineStr">
        <is>
          <t>VÄRMLANDS LÄN</t>
        </is>
      </c>
      <c r="G9429" t="inlineStr">
        <is>
          <t>ARVIKA</t>
        </is>
      </c>
      <c r="H9429" t="inlineStr">
        <is>
          <t>Bergvik skog väst AB</t>
        </is>
      </c>
      <c r="I9429" t="n">
        <v>5.7</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25203-2026</t>
        </is>
      </c>
      <c r="B9430" t="inlineStr">
        <is>
          <t>avverkningsanmälan</t>
        </is>
      </c>
      <c r="C9430" t="inlineStr">
        <is>
          <t>Föryngringsavverkning</t>
        </is>
      </c>
      <c r="D9430" s="1" t="n">
        <v>46175</v>
      </c>
      <c r="E9430" s="1" t="n">
        <v>46307</v>
      </c>
      <c r="F9430" t="inlineStr">
        <is>
          <t>VÄRMLANDS LÄN</t>
        </is>
      </c>
      <c r="G9430" t="inlineStr">
        <is>
          <t>FILIPSTAD</t>
        </is>
      </c>
      <c r="H9430" t="inlineStr">
        <is>
          <t>Bergvik skog väst AB</t>
        </is>
      </c>
      <c r="I9430" t="n">
        <v>8.9</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24884-2026</t>
        </is>
      </c>
      <c r="B9431" t="inlineStr">
        <is>
          <t>avverkningsanmälan</t>
        </is>
      </c>
      <c r="C9431" t="inlineStr">
        <is>
          <t>Avverkning för annat ändamål</t>
        </is>
      </c>
      <c r="D9431" s="1" t="n">
        <v>46174</v>
      </c>
      <c r="E9431" s="1" t="n">
        <v>46307</v>
      </c>
      <c r="F9431" t="inlineStr">
        <is>
          <t>VÄRMLANDS LÄN</t>
        </is>
      </c>
      <c r="G9431" t="inlineStr">
        <is>
          <t>TORSBY</t>
        </is>
      </c>
      <c r="H9431" t="inlineStr">
        <is>
          <t>Bergvik skog väst AB</t>
        </is>
      </c>
      <c r="I9431" t="n">
        <v>0.9</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25113-2026</t>
        </is>
      </c>
      <c r="B9432" t="inlineStr">
        <is>
          <t>avverkningsanmälan</t>
        </is>
      </c>
      <c r="C9432" t="inlineStr">
        <is>
          <t>Föryngringsavverkning</t>
        </is>
      </c>
      <c r="D9432" s="1" t="n">
        <v>46175</v>
      </c>
      <c r="E9432" s="1" t="n">
        <v>46307</v>
      </c>
      <c r="F9432" t="inlineStr">
        <is>
          <t>VÄRMLANDS LÄN</t>
        </is>
      </c>
      <c r="G9432" t="inlineStr">
        <is>
          <t>ÅRJÄNG</t>
        </is>
      </c>
      <c r="I9432" t="n">
        <v>2.2</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24941-2026</t>
        </is>
      </c>
      <c r="B9433" t="inlineStr">
        <is>
          <t>avverkningsanmälan</t>
        </is>
      </c>
      <c r="C9433" t="inlineStr">
        <is>
          <t>Föryngringsavverkning</t>
        </is>
      </c>
      <c r="D9433" s="1" t="n">
        <v>46174</v>
      </c>
      <c r="E9433" s="1" t="n">
        <v>46307</v>
      </c>
      <c r="F9433" t="inlineStr">
        <is>
          <t>VÄRMLANDS LÄN</t>
        </is>
      </c>
      <c r="G9433" t="inlineStr">
        <is>
          <t>FILIPSTAD</t>
        </is>
      </c>
      <c r="H9433" t="inlineStr">
        <is>
          <t>Bergvik skog väst AB</t>
        </is>
      </c>
      <c r="I9433" t="n">
        <v>8.5</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25502-2026</t>
        </is>
      </c>
      <c r="B9434" t="inlineStr">
        <is>
          <t>avverkningsanmälan</t>
        </is>
      </c>
      <c r="C9434" t="inlineStr">
        <is>
          <t>Föryngringsavverkning</t>
        </is>
      </c>
      <c r="D9434" s="1" t="n">
        <v>46177</v>
      </c>
      <c r="E9434" s="1" t="n">
        <v>46307</v>
      </c>
      <c r="F9434" t="inlineStr">
        <is>
          <t>VÄRMLANDS LÄN</t>
        </is>
      </c>
      <c r="G9434" t="inlineStr">
        <is>
          <t>TORSBY</t>
        </is>
      </c>
      <c r="I9434" t="n">
        <v>3.3</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25547-2026</t>
        </is>
      </c>
      <c r="B9435" t="inlineStr">
        <is>
          <t>avverkningsanmälan</t>
        </is>
      </c>
      <c r="C9435" t="inlineStr">
        <is>
          <t>Föryngringsavverkning</t>
        </is>
      </c>
      <c r="D9435" s="1" t="n">
        <v>46177</v>
      </c>
      <c r="E9435" s="1" t="n">
        <v>46307</v>
      </c>
      <c r="F9435" t="inlineStr">
        <is>
          <t>VÄRMLANDS LÄN</t>
        </is>
      </c>
      <c r="G9435" t="inlineStr">
        <is>
          <t>TORSBY</t>
        </is>
      </c>
      <c r="I9435" t="n">
        <v>0.8</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25589-2026</t>
        </is>
      </c>
      <c r="B9436" t="inlineStr">
        <is>
          <t>avverkningsanmälan</t>
        </is>
      </c>
      <c r="C9436" t="inlineStr">
        <is>
          <t>Föryngringsavverkning</t>
        </is>
      </c>
      <c r="D9436" s="1" t="n">
        <v>46177</v>
      </c>
      <c r="E9436" s="1" t="n">
        <v>46307</v>
      </c>
      <c r="F9436" t="inlineStr">
        <is>
          <t>VÄRMLANDS LÄN</t>
        </is>
      </c>
      <c r="G9436" t="inlineStr">
        <is>
          <t>HAGFORS</t>
        </is>
      </c>
      <c r="H9436" t="inlineStr">
        <is>
          <t>Bergvik skog väst AB</t>
        </is>
      </c>
      <c r="I9436" t="n">
        <v>10.7</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25560-2026</t>
        </is>
      </c>
      <c r="B9437" t="inlineStr">
        <is>
          <t>avverkningsanmälan</t>
        </is>
      </c>
      <c r="C9437" t="inlineStr">
        <is>
          <t>Föryngringsavverkning</t>
        </is>
      </c>
      <c r="D9437" s="1" t="n">
        <v>46177</v>
      </c>
      <c r="E9437" s="1" t="n">
        <v>46307</v>
      </c>
      <c r="F9437" t="inlineStr">
        <is>
          <t>VÄRMLANDS LÄN</t>
        </is>
      </c>
      <c r="G9437" t="inlineStr">
        <is>
          <t>HAGFORS</t>
        </is>
      </c>
      <c r="H9437" t="inlineStr">
        <is>
          <t>Bergvik skog väst AB</t>
        </is>
      </c>
      <c r="I9437" t="n">
        <v>3.7</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25292-2026</t>
        </is>
      </c>
      <c r="B9438" t="inlineStr">
        <is>
          <t>avverkningsanmälan</t>
        </is>
      </c>
      <c r="C9438" t="inlineStr">
        <is>
          <t>Föryngringsavverkning</t>
        </is>
      </c>
      <c r="D9438" s="1" t="n">
        <v>46176</v>
      </c>
      <c r="E9438" s="1" t="n">
        <v>46307</v>
      </c>
      <c r="F9438" t="inlineStr">
        <is>
          <t>VÄRMLANDS LÄN</t>
        </is>
      </c>
      <c r="G9438" t="inlineStr">
        <is>
          <t>EDA</t>
        </is>
      </c>
      <c r="I9438" t="n">
        <v>1.5</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25584-2026</t>
        </is>
      </c>
      <c r="B9439" t="inlineStr">
        <is>
          <t>avverkningsanmälan</t>
        </is>
      </c>
      <c r="C9439" t="inlineStr">
        <is>
          <t>Föryngringsavverkning</t>
        </is>
      </c>
      <c r="D9439" s="1" t="n">
        <v>46177</v>
      </c>
      <c r="E9439" s="1" t="n">
        <v>46307</v>
      </c>
      <c r="F9439" t="inlineStr">
        <is>
          <t>VÄRMLANDS LÄN</t>
        </is>
      </c>
      <c r="G9439" t="inlineStr">
        <is>
          <t>SUNNE</t>
        </is>
      </c>
      <c r="I9439" t="n">
        <v>4.1</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25496-2026</t>
        </is>
      </c>
      <c r="B9440" t="inlineStr">
        <is>
          <t>avverkningsanmälan</t>
        </is>
      </c>
      <c r="C9440" t="inlineStr">
        <is>
          <t>Föryngringsavverkning</t>
        </is>
      </c>
      <c r="D9440" s="1" t="n">
        <v>46177</v>
      </c>
      <c r="E9440" s="1" t="n">
        <v>46307</v>
      </c>
      <c r="F9440" t="inlineStr">
        <is>
          <t>VÄRMLANDS LÄN</t>
        </is>
      </c>
      <c r="G9440" t="inlineStr">
        <is>
          <t>TORSBY</t>
        </is>
      </c>
      <c r="I9440" t="n">
        <v>4.3</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25326-2026</t>
        </is>
      </c>
      <c r="B9441" t="inlineStr">
        <is>
          <t>avverkningsanmälan</t>
        </is>
      </c>
      <c r="C9441" t="inlineStr">
        <is>
          <t>Föryngringsavverkning</t>
        </is>
      </c>
      <c r="D9441" s="1" t="n">
        <v>46176</v>
      </c>
      <c r="E9441" s="1" t="n">
        <v>46307</v>
      </c>
      <c r="F9441" t="inlineStr">
        <is>
          <t>VÄRMLANDS LÄN</t>
        </is>
      </c>
      <c r="G9441" t="inlineStr">
        <is>
          <t>SÄFFLE</t>
        </is>
      </c>
      <c r="I9441" t="n">
        <v>5</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25574-2026</t>
        </is>
      </c>
      <c r="B9442" t="inlineStr">
        <is>
          <t>avverkningsanmälan</t>
        </is>
      </c>
      <c r="C9442" t="inlineStr">
        <is>
          <t>Föryngringsavverkning</t>
        </is>
      </c>
      <c r="D9442" s="1" t="n">
        <v>46177</v>
      </c>
      <c r="E9442" s="1" t="n">
        <v>46307</v>
      </c>
      <c r="F9442" t="inlineStr">
        <is>
          <t>VÄRMLANDS LÄN</t>
        </is>
      </c>
      <c r="G9442" t="inlineStr">
        <is>
          <t>SUNNE</t>
        </is>
      </c>
      <c r="H9442" t="inlineStr">
        <is>
          <t>Bergvik skog väst AB</t>
        </is>
      </c>
      <c r="I9442" t="n">
        <v>5.1</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25577-2026</t>
        </is>
      </c>
      <c r="B9443" t="inlineStr">
        <is>
          <t>avverkningsanmälan</t>
        </is>
      </c>
      <c r="C9443" t="inlineStr">
        <is>
          <t>Föryngringsavverkning</t>
        </is>
      </c>
      <c r="D9443" s="1" t="n">
        <v>46177</v>
      </c>
      <c r="E9443" s="1" t="n">
        <v>46307</v>
      </c>
      <c r="F9443" t="inlineStr">
        <is>
          <t>VÄRMLANDS LÄN</t>
        </is>
      </c>
      <c r="G9443" t="inlineStr">
        <is>
          <t>SUNNE</t>
        </is>
      </c>
      <c r="I9443" t="n">
        <v>7.1</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25651-2026</t>
        </is>
      </c>
      <c r="B9444" t="inlineStr">
        <is>
          <t>avverkningsanmälan</t>
        </is>
      </c>
      <c r="C9444" t="inlineStr">
        <is>
          <t>Föryngringsavverkning</t>
        </is>
      </c>
      <c r="D9444" s="1" t="n">
        <v>46177</v>
      </c>
      <c r="E9444" s="1" t="n">
        <v>46307</v>
      </c>
      <c r="F9444" t="inlineStr">
        <is>
          <t>VÄRMLANDS LÄN</t>
        </is>
      </c>
      <c r="G9444" t="inlineStr">
        <is>
          <t>TORSBY</t>
        </is>
      </c>
      <c r="H9444" t="inlineStr">
        <is>
          <t>Kyrkan</t>
        </is>
      </c>
      <c r="I9444" t="n">
        <v>5.8</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25276-2026</t>
        </is>
      </c>
      <c r="B9445" t="inlineStr">
        <is>
          <t>avverkningsanmälan</t>
        </is>
      </c>
      <c r="C9445" t="inlineStr">
        <is>
          <t>Föryngringsavverkning</t>
        </is>
      </c>
      <c r="D9445" s="1" t="n">
        <v>46176</v>
      </c>
      <c r="E9445" s="1" t="n">
        <v>46307</v>
      </c>
      <c r="F9445" t="inlineStr">
        <is>
          <t>VÄRMLANDS LÄN</t>
        </is>
      </c>
      <c r="G9445" t="inlineStr">
        <is>
          <t>HAGFORS</t>
        </is>
      </c>
      <c r="H9445" t="inlineStr">
        <is>
          <t>Bergvik skog väst AB</t>
        </is>
      </c>
      <c r="I9445" t="n">
        <v>13.1</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25583-2026</t>
        </is>
      </c>
      <c r="B9446" t="inlineStr">
        <is>
          <t>avverkningsanmälan</t>
        </is>
      </c>
      <c r="C9446" t="inlineStr">
        <is>
          <t>Föryngringsavverkning</t>
        </is>
      </c>
      <c r="D9446" s="1" t="n">
        <v>46177</v>
      </c>
      <c r="E9446" s="1" t="n">
        <v>46307</v>
      </c>
      <c r="F9446" t="inlineStr">
        <is>
          <t>VÄRMLANDS LÄN</t>
        </is>
      </c>
      <c r="G9446" t="inlineStr">
        <is>
          <t>HAGFORS</t>
        </is>
      </c>
      <c r="H9446" t="inlineStr">
        <is>
          <t>Bergvik skog väst AB</t>
        </is>
      </c>
      <c r="I9446" t="n">
        <v>11.9</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25270-2026</t>
        </is>
      </c>
      <c r="B9447" t="inlineStr">
        <is>
          <t>avverkningsanmälan</t>
        </is>
      </c>
      <c r="C9447" t="inlineStr">
        <is>
          <t>Föryngringsavverkning</t>
        </is>
      </c>
      <c r="D9447" s="1" t="n">
        <v>46176</v>
      </c>
      <c r="E9447" s="1" t="n">
        <v>46307</v>
      </c>
      <c r="F9447" t="inlineStr">
        <is>
          <t>VÄRMLANDS LÄN</t>
        </is>
      </c>
      <c r="G9447" t="inlineStr">
        <is>
          <t>TORSBY</t>
        </is>
      </c>
      <c r="H9447" t="inlineStr">
        <is>
          <t>Bergvik skog väst AB</t>
        </is>
      </c>
      <c r="I9447" t="n">
        <v>59.1</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25603-2026</t>
        </is>
      </c>
      <c r="B9448" t="inlineStr">
        <is>
          <t>avverkningsanmälan</t>
        </is>
      </c>
      <c r="C9448" t="inlineStr">
        <is>
          <t>Föryngringsavverkning</t>
        </is>
      </c>
      <c r="D9448" s="1" t="n">
        <v>46177</v>
      </c>
      <c r="E9448" s="1" t="n">
        <v>46307</v>
      </c>
      <c r="F9448" t="inlineStr">
        <is>
          <t>VÄRMLANDS LÄN</t>
        </is>
      </c>
      <c r="G9448" t="inlineStr">
        <is>
          <t>TORSBY</t>
        </is>
      </c>
      <c r="I9448" t="n">
        <v>4.6</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25310-2026</t>
        </is>
      </c>
      <c r="B9449" t="inlineStr">
        <is>
          <t>avverkningsanmälan</t>
        </is>
      </c>
      <c r="C9449" t="inlineStr">
        <is>
          <t>Föryngringsavverkning</t>
        </is>
      </c>
      <c r="D9449" s="1" t="n">
        <v>46176</v>
      </c>
      <c r="E9449" s="1" t="n">
        <v>46307</v>
      </c>
      <c r="F9449" t="inlineStr">
        <is>
          <t>VÄRMLANDS LÄN</t>
        </is>
      </c>
      <c r="G9449" t="inlineStr">
        <is>
          <t>ÅRJÄNG</t>
        </is>
      </c>
      <c r="I9449" t="n">
        <v>3.8</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25459-2026</t>
        </is>
      </c>
      <c r="B9450" t="inlineStr">
        <is>
          <t>avverkningsanmälan</t>
        </is>
      </c>
      <c r="C9450" t="inlineStr">
        <is>
          <t>Föryngringsavverkning</t>
        </is>
      </c>
      <c r="D9450" s="1" t="n">
        <v>46177</v>
      </c>
      <c r="E9450" s="1" t="n">
        <v>46307</v>
      </c>
      <c r="F9450" t="inlineStr">
        <is>
          <t>VÄRMLANDS LÄN</t>
        </is>
      </c>
      <c r="G9450" t="inlineStr">
        <is>
          <t>SÄFFLE</t>
        </is>
      </c>
      <c r="I9450" t="n">
        <v>1.3</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25448-2026</t>
        </is>
      </c>
      <c r="B9451" t="inlineStr">
        <is>
          <t>avverkningsanmälan</t>
        </is>
      </c>
      <c r="C9451" t="inlineStr">
        <is>
          <t>Föryngringsavverkning</t>
        </is>
      </c>
      <c r="D9451" s="1" t="n">
        <v>46177</v>
      </c>
      <c r="E9451" s="1" t="n">
        <v>46307</v>
      </c>
      <c r="F9451" t="inlineStr">
        <is>
          <t>VÄRMLANDS LÄN</t>
        </is>
      </c>
      <c r="G9451" t="inlineStr">
        <is>
          <t>EDA</t>
        </is>
      </c>
      <c r="I9451" t="n">
        <v>3.5</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25454-2026</t>
        </is>
      </c>
      <c r="B9452" t="inlineStr">
        <is>
          <t>avverkningsanmälan</t>
        </is>
      </c>
      <c r="C9452" t="inlineStr">
        <is>
          <t>Avverkning för annat ändamål</t>
        </is>
      </c>
      <c r="D9452" s="1" t="n">
        <v>46177</v>
      </c>
      <c r="E9452" s="1" t="n">
        <v>46307</v>
      </c>
      <c r="F9452" t="inlineStr">
        <is>
          <t>VÄRMLANDS LÄN</t>
        </is>
      </c>
      <c r="G9452" t="inlineStr">
        <is>
          <t>TORSBY</t>
        </is>
      </c>
      <c r="I9452" t="n">
        <v>1</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25325-2026</t>
        </is>
      </c>
      <c r="B9453" t="inlineStr">
        <is>
          <t>avverkningsanmälan</t>
        </is>
      </c>
      <c r="C9453" t="inlineStr">
        <is>
          <t>Föryngringsavverkning</t>
        </is>
      </c>
      <c r="D9453" s="1" t="n">
        <v>46176</v>
      </c>
      <c r="E9453" s="1" t="n">
        <v>46307</v>
      </c>
      <c r="F9453" t="inlineStr">
        <is>
          <t>VÄRMLANDS LÄN</t>
        </is>
      </c>
      <c r="G9453" t="inlineStr">
        <is>
          <t>ÅRJÄNG</t>
        </is>
      </c>
      <c r="I9453" t="n">
        <v>0.8</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25493-2026</t>
        </is>
      </c>
      <c r="B9454" t="inlineStr">
        <is>
          <t>avverkningsanmälan</t>
        </is>
      </c>
      <c r="C9454" t="inlineStr">
        <is>
          <t>Föryngringsavverkning</t>
        </is>
      </c>
      <c r="D9454" s="1" t="n">
        <v>46177</v>
      </c>
      <c r="E9454" s="1" t="n">
        <v>46307</v>
      </c>
      <c r="F9454" t="inlineStr">
        <is>
          <t>VÄRMLANDS LÄN</t>
        </is>
      </c>
      <c r="G9454" t="inlineStr">
        <is>
          <t>TORSBY</t>
        </is>
      </c>
      <c r="I9454" t="n">
        <v>0.7</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25869-2026</t>
        </is>
      </c>
      <c r="B9455" t="inlineStr">
        <is>
          <t>avverkningsanmälan</t>
        </is>
      </c>
      <c r="C9455" t="inlineStr">
        <is>
          <t>Föryngringsavverkning</t>
        </is>
      </c>
      <c r="D9455" s="1" t="n">
        <v>46178</v>
      </c>
      <c r="E9455" s="1" t="n">
        <v>46307</v>
      </c>
      <c r="F9455" t="inlineStr">
        <is>
          <t>VÄRMLANDS LÄN</t>
        </is>
      </c>
      <c r="G9455" t="inlineStr">
        <is>
          <t>FILIPSTAD</t>
        </is>
      </c>
      <c r="H9455" t="inlineStr">
        <is>
          <t>Bergvik skog väst AB</t>
        </is>
      </c>
      <c r="I9455" t="n">
        <v>0.6</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26079-2026</t>
        </is>
      </c>
      <c r="B9456" t="inlineStr">
        <is>
          <t>avverkningsanmälan</t>
        </is>
      </c>
      <c r="C9456" t="inlineStr">
        <is>
          <t>Föryngringsavverkning</t>
        </is>
      </c>
      <c r="D9456" s="1" t="n">
        <v>46181</v>
      </c>
      <c r="E9456" s="1" t="n">
        <v>46307</v>
      </c>
      <c r="F9456" t="inlineStr">
        <is>
          <t>VÄRMLANDS LÄN</t>
        </is>
      </c>
      <c r="G9456" t="inlineStr">
        <is>
          <t>KARLSTAD</t>
        </is>
      </c>
      <c r="I9456" t="n">
        <v>1.7</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26104-2026</t>
        </is>
      </c>
      <c r="B9457" t="inlineStr">
        <is>
          <t>avverkningsanmälan</t>
        </is>
      </c>
      <c r="C9457" t="inlineStr">
        <is>
          <t>Föryngringsavverkning</t>
        </is>
      </c>
      <c r="D9457" s="1" t="n">
        <v>46181</v>
      </c>
      <c r="E9457" s="1" t="n">
        <v>46307</v>
      </c>
      <c r="F9457" t="inlineStr">
        <is>
          <t>VÄRMLANDS LÄN</t>
        </is>
      </c>
      <c r="G9457" t="inlineStr">
        <is>
          <t>FORSHAGA</t>
        </is>
      </c>
      <c r="I9457" t="n">
        <v>4.6</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25813-2026</t>
        </is>
      </c>
      <c r="B9458" t="inlineStr">
        <is>
          <t>avverkningsanmälan</t>
        </is>
      </c>
      <c r="C9458" t="inlineStr">
        <is>
          <t>Avverkning för annat ändamål</t>
        </is>
      </c>
      <c r="D9458" s="1" t="n">
        <v>46178</v>
      </c>
      <c r="E9458" s="1" t="n">
        <v>46307</v>
      </c>
      <c r="F9458" t="inlineStr">
        <is>
          <t>VÄRMLANDS LÄN</t>
        </is>
      </c>
      <c r="G9458" t="inlineStr">
        <is>
          <t>ARVIKA</t>
        </is>
      </c>
      <c r="H9458" t="inlineStr">
        <is>
          <t>Bergvik skog väst AB</t>
        </is>
      </c>
      <c r="I9458" t="n">
        <v>1.3</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26019-2026</t>
        </is>
      </c>
      <c r="B9459" t="inlineStr">
        <is>
          <t>avverkningsanmälan</t>
        </is>
      </c>
      <c r="C9459" t="inlineStr">
        <is>
          <t>Föryngringsavverkning</t>
        </is>
      </c>
      <c r="D9459" s="1" t="n">
        <v>46181</v>
      </c>
      <c r="E9459" s="1" t="n">
        <v>46307</v>
      </c>
      <c r="F9459" t="inlineStr">
        <is>
          <t>VÄRMLANDS LÄN</t>
        </is>
      </c>
      <c r="G9459" t="inlineStr">
        <is>
          <t>HAGFORS</t>
        </is>
      </c>
      <c r="H9459" t="inlineStr">
        <is>
          <t>Bergvik skog väst AB</t>
        </is>
      </c>
      <c r="I9459" t="n">
        <v>1.7</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26088-2026</t>
        </is>
      </c>
      <c r="B9460" t="inlineStr">
        <is>
          <t>avverkningsanmälan</t>
        </is>
      </c>
      <c r="C9460" t="inlineStr">
        <is>
          <t>Föryngringsavverkning</t>
        </is>
      </c>
      <c r="D9460" s="1" t="n">
        <v>46181</v>
      </c>
      <c r="E9460" s="1" t="n">
        <v>46307</v>
      </c>
      <c r="F9460" t="inlineStr">
        <is>
          <t>VÄRMLANDS LÄN</t>
        </is>
      </c>
      <c r="G9460" t="inlineStr">
        <is>
          <t>SUNNE</t>
        </is>
      </c>
      <c r="I9460" t="n">
        <v>1.1</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26067-2026</t>
        </is>
      </c>
      <c r="B9461" t="inlineStr">
        <is>
          <t>avverkningsanmälan</t>
        </is>
      </c>
      <c r="C9461" t="inlineStr">
        <is>
          <t>Föryngringsavverkning</t>
        </is>
      </c>
      <c r="D9461" s="1" t="n">
        <v>46181</v>
      </c>
      <c r="E9461" s="1" t="n">
        <v>46307</v>
      </c>
      <c r="F9461" t="inlineStr">
        <is>
          <t>VÄRMLANDS LÄN</t>
        </is>
      </c>
      <c r="G9461" t="inlineStr">
        <is>
          <t>STORFORS</t>
        </is>
      </c>
      <c r="I9461" t="n">
        <v>4.4</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25802-2026</t>
        </is>
      </c>
      <c r="B9462" t="inlineStr">
        <is>
          <t>avverkningsanmälan</t>
        </is>
      </c>
      <c r="C9462" t="inlineStr">
        <is>
          <t>Avverkning för annat ändamål</t>
        </is>
      </c>
      <c r="D9462" s="1" t="n">
        <v>46178</v>
      </c>
      <c r="E9462" s="1" t="n">
        <v>46307</v>
      </c>
      <c r="F9462" t="inlineStr">
        <is>
          <t>VÄRMLANDS LÄN</t>
        </is>
      </c>
      <c r="G9462" t="inlineStr">
        <is>
          <t>ARVIKA</t>
        </is>
      </c>
      <c r="H9462" t="inlineStr">
        <is>
          <t>Bergvik skog väst AB</t>
        </is>
      </c>
      <c r="I9462" t="n">
        <v>1.7</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1040-2024</t>
        </is>
      </c>
      <c r="B9463" t="inlineStr">
        <is>
          <t>avverkningsanmälan</t>
        </is>
      </c>
      <c r="C9463" t="inlineStr">
        <is>
          <t>Föryngringsavverkning</t>
        </is>
      </c>
      <c r="D9463" s="1" t="n">
        <v>45301</v>
      </c>
      <c r="E9463" s="1" t="n">
        <v>46307</v>
      </c>
      <c r="F9463" t="inlineStr">
        <is>
          <t>VÄRMLANDS LÄN</t>
        </is>
      </c>
      <c r="G9463" t="inlineStr">
        <is>
          <t>TORSBY</t>
        </is>
      </c>
      <c r="I9463" t="n">
        <v>1</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26015-2026</t>
        </is>
      </c>
      <c r="B9464" t="inlineStr">
        <is>
          <t>avverkningsanmälan</t>
        </is>
      </c>
      <c r="C9464" t="inlineStr">
        <is>
          <t>Avverkning för annat ändamål</t>
        </is>
      </c>
      <c r="D9464" s="1" t="n">
        <v>46181</v>
      </c>
      <c r="E9464" s="1" t="n">
        <v>46307</v>
      </c>
      <c r="F9464" t="inlineStr">
        <is>
          <t>VÄRMLANDS LÄN</t>
        </is>
      </c>
      <c r="G9464" t="inlineStr">
        <is>
          <t>GRUMS</t>
        </is>
      </c>
      <c r="H9464" t="inlineStr">
        <is>
          <t>Kommuner</t>
        </is>
      </c>
      <c r="I9464" t="n">
        <v>0.7</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25653-2026</t>
        </is>
      </c>
      <c r="B9465" t="inlineStr">
        <is>
          <t>avverkningsanmälan</t>
        </is>
      </c>
      <c r="C9465" t="inlineStr">
        <is>
          <t>Föryngringsavverkning</t>
        </is>
      </c>
      <c r="D9465" s="1" t="n">
        <v>46178</v>
      </c>
      <c r="E9465" s="1" t="n">
        <v>46307</v>
      </c>
      <c r="F9465" t="inlineStr">
        <is>
          <t>VÄRMLANDS LÄN</t>
        </is>
      </c>
      <c r="G9465" t="inlineStr">
        <is>
          <t>TORSBY</t>
        </is>
      </c>
      <c r="I9465" t="n">
        <v>1.9</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25960-2026</t>
        </is>
      </c>
      <c r="B9466" t="inlineStr">
        <is>
          <t>avverkningsanmälan</t>
        </is>
      </c>
      <c r="C9466" t="inlineStr">
        <is>
          <t>Föryngringsavverkning</t>
        </is>
      </c>
      <c r="D9466" s="1" t="n">
        <v>46181</v>
      </c>
      <c r="E9466" s="1" t="n">
        <v>46307</v>
      </c>
      <c r="F9466" t="inlineStr">
        <is>
          <t>VÄRMLANDS LÄN</t>
        </is>
      </c>
      <c r="G9466" t="inlineStr">
        <is>
          <t>ARVIKA</t>
        </is>
      </c>
      <c r="I9466" t="n">
        <v>1.1</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26129-2026</t>
        </is>
      </c>
      <c r="B9467" t="inlineStr">
        <is>
          <t>avverkningsanmälan</t>
        </is>
      </c>
      <c r="C9467" t="inlineStr">
        <is>
          <t>Föryngringsavverkning</t>
        </is>
      </c>
      <c r="D9467" s="1" t="n">
        <v>46181</v>
      </c>
      <c r="E9467" s="1" t="n">
        <v>46307</v>
      </c>
      <c r="F9467" t="inlineStr">
        <is>
          <t>VÄRMLANDS LÄN</t>
        </is>
      </c>
      <c r="G9467" t="inlineStr">
        <is>
          <t>FORSHAGA</t>
        </is>
      </c>
      <c r="I9467" t="n">
        <v>2.3</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26025-2026</t>
        </is>
      </c>
      <c r="B9468" t="inlineStr">
        <is>
          <t>avverkningsanmälan</t>
        </is>
      </c>
      <c r="C9468" t="inlineStr">
        <is>
          <t>Föryngringsavverkning</t>
        </is>
      </c>
      <c r="D9468" s="1" t="n">
        <v>46181</v>
      </c>
      <c r="E9468" s="1" t="n">
        <v>46307</v>
      </c>
      <c r="F9468" t="inlineStr">
        <is>
          <t>VÄRMLANDS LÄN</t>
        </is>
      </c>
      <c r="G9468" t="inlineStr">
        <is>
          <t>TORSBY</t>
        </is>
      </c>
      <c r="H9468" t="inlineStr">
        <is>
          <t>Bergvik skog väst AB</t>
        </is>
      </c>
      <c r="I9468" t="n">
        <v>0.5</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26107-2026</t>
        </is>
      </c>
      <c r="B9469" t="inlineStr">
        <is>
          <t>avverkningsanmälan</t>
        </is>
      </c>
      <c r="C9469" t="inlineStr">
        <is>
          <t>Föryngringsavverkning</t>
        </is>
      </c>
      <c r="D9469" s="1" t="n">
        <v>46181</v>
      </c>
      <c r="E9469" s="1" t="n">
        <v>46307</v>
      </c>
      <c r="F9469" t="inlineStr">
        <is>
          <t>VÄRMLANDS LÄN</t>
        </is>
      </c>
      <c r="G9469" t="inlineStr">
        <is>
          <t>FILIPSTAD</t>
        </is>
      </c>
      <c r="H9469" t="inlineStr">
        <is>
          <t>Bergvik skog väst AB</t>
        </is>
      </c>
      <c r="I9469" t="n">
        <v>20.9</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25898-2026</t>
        </is>
      </c>
      <c r="B9470" t="inlineStr">
        <is>
          <t>avverkningsanmälan</t>
        </is>
      </c>
      <c r="C9470" t="inlineStr">
        <is>
          <t>Föryngringsavverkning</t>
        </is>
      </c>
      <c r="D9470" s="1" t="n">
        <v>46178</v>
      </c>
      <c r="E9470" s="1" t="n">
        <v>46307</v>
      </c>
      <c r="F9470" t="inlineStr">
        <is>
          <t>VÄRMLANDS LÄN</t>
        </is>
      </c>
      <c r="G9470" t="inlineStr">
        <is>
          <t>TORSBY</t>
        </is>
      </c>
      <c r="H9470" t="inlineStr">
        <is>
          <t>Bergvik skog väst AB</t>
        </is>
      </c>
      <c r="I9470" t="n">
        <v>5.3</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25785-2026</t>
        </is>
      </c>
      <c r="B9471" t="inlineStr">
        <is>
          <t>avverkningsanmälan</t>
        </is>
      </c>
      <c r="C9471" t="inlineStr">
        <is>
          <t>Föryngringsavverkning</t>
        </is>
      </c>
      <c r="D9471" s="1" t="n">
        <v>46178</v>
      </c>
      <c r="E9471" s="1" t="n">
        <v>46307</v>
      </c>
      <c r="F9471" t="inlineStr">
        <is>
          <t>VÄRMLANDS LÄN</t>
        </is>
      </c>
      <c r="G9471" t="inlineStr">
        <is>
          <t>KARLSTAD</t>
        </is>
      </c>
      <c r="H9471" t="inlineStr">
        <is>
          <t>Bergvik skog väst AB</t>
        </is>
      </c>
      <c r="I9471" t="n">
        <v>6.7</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25747-2026</t>
        </is>
      </c>
      <c r="B9472" t="inlineStr">
        <is>
          <t>avverkningsanmälan</t>
        </is>
      </c>
      <c r="C9472" t="inlineStr">
        <is>
          <t>Föryngringsavverkning</t>
        </is>
      </c>
      <c r="D9472" s="1" t="n">
        <v>46178</v>
      </c>
      <c r="E9472" s="1" t="n">
        <v>46307</v>
      </c>
      <c r="F9472" t="inlineStr">
        <is>
          <t>VÄRMLANDS LÄN</t>
        </is>
      </c>
      <c r="G9472" t="inlineStr">
        <is>
          <t>TORSBY</t>
        </is>
      </c>
      <c r="H9472" t="inlineStr">
        <is>
          <t>Bergvik skog väst AB</t>
        </is>
      </c>
      <c r="I9472" t="n">
        <v>6.3</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25769-2026</t>
        </is>
      </c>
      <c r="B9473" t="inlineStr">
        <is>
          <t>avverkningsanmälan</t>
        </is>
      </c>
      <c r="C9473" t="inlineStr">
        <is>
          <t>Föryngringsavverkning</t>
        </is>
      </c>
      <c r="D9473" s="1" t="n">
        <v>46178</v>
      </c>
      <c r="E9473" s="1" t="n">
        <v>46307</v>
      </c>
      <c r="F9473" t="inlineStr">
        <is>
          <t>VÄRMLANDS LÄN</t>
        </is>
      </c>
      <c r="G9473" t="inlineStr">
        <is>
          <t>FILIPSTAD</t>
        </is>
      </c>
      <c r="H9473" t="inlineStr">
        <is>
          <t>Bergvik skog väst AB</t>
        </is>
      </c>
      <c r="I9473" t="n">
        <v>3.8</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25890-2026</t>
        </is>
      </c>
      <c r="B9474" t="inlineStr">
        <is>
          <t>avverkningsanmälan</t>
        </is>
      </c>
      <c r="C9474" t="inlineStr">
        <is>
          <t>Föryngringsavverkning</t>
        </is>
      </c>
      <c r="D9474" s="1" t="n">
        <v>46178</v>
      </c>
      <c r="E9474" s="1" t="n">
        <v>46307</v>
      </c>
      <c r="F9474" t="inlineStr">
        <is>
          <t>VÄRMLANDS LÄN</t>
        </is>
      </c>
      <c r="G9474" t="inlineStr">
        <is>
          <t>HAGFORS</t>
        </is>
      </c>
      <c r="I9474" t="n">
        <v>2.6</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25904-2026</t>
        </is>
      </c>
      <c r="B9475" t="inlineStr">
        <is>
          <t>avverkningsanmälan</t>
        </is>
      </c>
      <c r="C9475" t="inlineStr">
        <is>
          <t>Föryngringsavverkning</t>
        </is>
      </c>
      <c r="D9475" s="1" t="n">
        <v>46178</v>
      </c>
      <c r="E9475" s="1" t="n">
        <v>46307</v>
      </c>
      <c r="F9475" t="inlineStr">
        <is>
          <t>VÄRMLANDS LÄN</t>
        </is>
      </c>
      <c r="G9475" t="inlineStr">
        <is>
          <t>TORSBY</t>
        </is>
      </c>
      <c r="H9475" t="inlineStr">
        <is>
          <t>Bergvik skog väst AB</t>
        </is>
      </c>
      <c r="I9475" t="n">
        <v>2.7</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25945-2026</t>
        </is>
      </c>
      <c r="B9476" t="inlineStr">
        <is>
          <t>avverkningsanmälan</t>
        </is>
      </c>
      <c r="C9476" t="inlineStr">
        <is>
          <t>Föryngringsavverkning</t>
        </is>
      </c>
      <c r="D9476" s="1" t="n">
        <v>46181</v>
      </c>
      <c r="E9476" s="1" t="n">
        <v>46307</v>
      </c>
      <c r="F9476" t="inlineStr">
        <is>
          <t>VÄRMLANDS LÄN</t>
        </is>
      </c>
      <c r="G9476" t="inlineStr">
        <is>
          <t>KARLSTAD</t>
        </is>
      </c>
      <c r="I9476" t="n">
        <v>4.4</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25973-2026</t>
        </is>
      </c>
      <c r="B9477" t="inlineStr">
        <is>
          <t>avverkningsanmälan</t>
        </is>
      </c>
      <c r="C9477" t="inlineStr">
        <is>
          <t>Föryngringsavverkning</t>
        </is>
      </c>
      <c r="D9477" s="1" t="n">
        <v>46181</v>
      </c>
      <c r="E9477" s="1" t="n">
        <v>46307</v>
      </c>
      <c r="F9477" t="inlineStr">
        <is>
          <t>VÄRMLANDS LÄN</t>
        </is>
      </c>
      <c r="G9477" t="inlineStr">
        <is>
          <t>TORSBY</t>
        </is>
      </c>
      <c r="I9477" t="n">
        <v>20.8</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26076-2026</t>
        </is>
      </c>
      <c r="B9478" t="inlineStr">
        <is>
          <t>avverkningsanmälan</t>
        </is>
      </c>
      <c r="C9478" t="inlineStr">
        <is>
          <t>Föryngringsavverkning</t>
        </is>
      </c>
      <c r="D9478" s="1" t="n">
        <v>46181</v>
      </c>
      <c r="E9478" s="1" t="n">
        <v>46307</v>
      </c>
      <c r="F9478" t="inlineStr">
        <is>
          <t>VÄRMLANDS LÄN</t>
        </is>
      </c>
      <c r="G9478" t="inlineStr">
        <is>
          <t>KARLSTAD</t>
        </is>
      </c>
      <c r="I9478" t="n">
        <v>5.7</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26020-2026</t>
        </is>
      </c>
      <c r="B9479" t="inlineStr">
        <is>
          <t>avverkningsanmälan</t>
        </is>
      </c>
      <c r="C9479" t="inlineStr">
        <is>
          <t>Föryngringsavverkning</t>
        </is>
      </c>
      <c r="D9479" s="1" t="n">
        <v>46181</v>
      </c>
      <c r="E9479" s="1" t="n">
        <v>46307</v>
      </c>
      <c r="F9479" t="inlineStr">
        <is>
          <t>VÄRMLANDS LÄN</t>
        </is>
      </c>
      <c r="G9479" t="inlineStr">
        <is>
          <t>TORSBY</t>
        </is>
      </c>
      <c r="H9479" t="inlineStr">
        <is>
          <t>Bergvik skog väst AB</t>
        </is>
      </c>
      <c r="I9479" t="n">
        <v>2.8</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25796-2026</t>
        </is>
      </c>
      <c r="B9480" t="inlineStr">
        <is>
          <t>avverkningsanmälan</t>
        </is>
      </c>
      <c r="C9480" t="inlineStr">
        <is>
          <t>Föryngringsavverkning</t>
        </is>
      </c>
      <c r="D9480" s="1" t="n">
        <v>46178</v>
      </c>
      <c r="E9480" s="1" t="n">
        <v>46307</v>
      </c>
      <c r="F9480" t="inlineStr">
        <is>
          <t>VÄRMLANDS LÄN</t>
        </is>
      </c>
      <c r="G9480" t="inlineStr">
        <is>
          <t>KARLSTAD</t>
        </is>
      </c>
      <c r="I9480" t="n">
        <v>0.8</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25800-2026</t>
        </is>
      </c>
      <c r="B9481" t="inlineStr">
        <is>
          <t>avverkningsanmälan</t>
        </is>
      </c>
      <c r="C9481" t="inlineStr">
        <is>
          <t>Föryngringsavverkning</t>
        </is>
      </c>
      <c r="D9481" s="1" t="n">
        <v>46178</v>
      </c>
      <c r="E9481" s="1" t="n">
        <v>46307</v>
      </c>
      <c r="F9481" t="inlineStr">
        <is>
          <t>VÄRMLANDS LÄN</t>
        </is>
      </c>
      <c r="G9481" t="inlineStr">
        <is>
          <t>EDA</t>
        </is>
      </c>
      <c r="I9481" t="n">
        <v>2.1</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26075-2026</t>
        </is>
      </c>
      <c r="B9482" t="inlineStr">
        <is>
          <t>avverkningsanmälan</t>
        </is>
      </c>
      <c r="C9482" t="inlineStr">
        <is>
          <t>Föryngringsavverkning</t>
        </is>
      </c>
      <c r="D9482" s="1" t="n">
        <v>46181</v>
      </c>
      <c r="E9482" s="1" t="n">
        <v>46307</v>
      </c>
      <c r="F9482" t="inlineStr">
        <is>
          <t>VÄRMLANDS LÄN</t>
        </is>
      </c>
      <c r="G9482" t="inlineStr">
        <is>
          <t>STORFORS</t>
        </is>
      </c>
      <c r="I9482" t="n">
        <v>2.2</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26078-2026</t>
        </is>
      </c>
      <c r="B9483" t="inlineStr">
        <is>
          <t>avverkningsanmälan</t>
        </is>
      </c>
      <c r="C9483" t="inlineStr">
        <is>
          <t>Föryngringsavverkning</t>
        </is>
      </c>
      <c r="D9483" s="1" t="n">
        <v>46181</v>
      </c>
      <c r="E9483" s="1" t="n">
        <v>46307</v>
      </c>
      <c r="F9483" t="inlineStr">
        <is>
          <t>VÄRMLANDS LÄN</t>
        </is>
      </c>
      <c r="G9483" t="inlineStr">
        <is>
          <t>KARLSTAD</t>
        </is>
      </c>
      <c r="I9483" t="n">
        <v>2</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26012-2026</t>
        </is>
      </c>
      <c r="B9484" t="inlineStr">
        <is>
          <t>avverkningsanmälan</t>
        </is>
      </c>
      <c r="C9484" t="inlineStr">
        <is>
          <t>Föryngringsavverkning</t>
        </is>
      </c>
      <c r="D9484" s="1" t="n">
        <v>46181</v>
      </c>
      <c r="E9484" s="1" t="n">
        <v>46307</v>
      </c>
      <c r="F9484" t="inlineStr">
        <is>
          <t>VÄRMLANDS LÄN</t>
        </is>
      </c>
      <c r="G9484" t="inlineStr">
        <is>
          <t>HAGFORS</t>
        </is>
      </c>
      <c r="H9484" t="inlineStr">
        <is>
          <t>Bergvik skog väst AB</t>
        </is>
      </c>
      <c r="I9484" t="n">
        <v>1.6</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26784-2026</t>
        </is>
      </c>
      <c r="B9485" t="inlineStr">
        <is>
          <t>avverkningsanmälan</t>
        </is>
      </c>
      <c r="C9485" t="inlineStr">
        <is>
          <t>Föryngringsavverkning</t>
        </is>
      </c>
      <c r="D9485" s="1" t="n">
        <v>46183</v>
      </c>
      <c r="E9485" s="1" t="n">
        <v>46307</v>
      </c>
      <c r="F9485" t="inlineStr">
        <is>
          <t>VÄRMLANDS LÄN</t>
        </is>
      </c>
      <c r="G9485" t="inlineStr">
        <is>
          <t>TORSBY</t>
        </is>
      </c>
      <c r="I9485" t="n">
        <v>12.1</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26829-2026</t>
        </is>
      </c>
      <c r="B9486" t="inlineStr">
        <is>
          <t>avverkningsanmälan</t>
        </is>
      </c>
      <c r="C9486" t="inlineStr">
        <is>
          <t>Föryngringsavverkning</t>
        </is>
      </c>
      <c r="D9486" s="1" t="n">
        <v>46183</v>
      </c>
      <c r="E9486" s="1" t="n">
        <v>46307</v>
      </c>
      <c r="F9486" t="inlineStr">
        <is>
          <t>VÄRMLANDS LÄN</t>
        </is>
      </c>
      <c r="G9486" t="inlineStr">
        <is>
          <t>SUNNE</t>
        </is>
      </c>
      <c r="I9486" t="n">
        <v>3.5</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25758-2026</t>
        </is>
      </c>
      <c r="B9487" t="inlineStr">
        <is>
          <t>avverkningsanmälan</t>
        </is>
      </c>
      <c r="C9487" t="inlineStr">
        <is>
          <t>Föryngringsavverkning</t>
        </is>
      </c>
      <c r="D9487" s="1" t="n">
        <v>46178</v>
      </c>
      <c r="E9487" s="1" t="n">
        <v>46307</v>
      </c>
      <c r="F9487" t="inlineStr">
        <is>
          <t>VÄRMLANDS LÄN</t>
        </is>
      </c>
      <c r="G9487" t="inlineStr">
        <is>
          <t>TORSBY</t>
        </is>
      </c>
      <c r="H9487" t="inlineStr">
        <is>
          <t>Bergvik skog väst AB</t>
        </is>
      </c>
      <c r="I9487" t="n">
        <v>6.2</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25786-2026</t>
        </is>
      </c>
      <c r="B9488" t="inlineStr">
        <is>
          <t>avverkningsanmälan</t>
        </is>
      </c>
      <c r="C9488" t="inlineStr">
        <is>
          <t>Föryngringsavverkning</t>
        </is>
      </c>
      <c r="D9488" s="1" t="n">
        <v>46178</v>
      </c>
      <c r="E9488" s="1" t="n">
        <v>46307</v>
      </c>
      <c r="F9488" t="inlineStr">
        <is>
          <t>VÄRMLANDS LÄN</t>
        </is>
      </c>
      <c r="G9488" t="inlineStr">
        <is>
          <t>FILIPSTAD</t>
        </is>
      </c>
      <c r="H9488" t="inlineStr">
        <is>
          <t>Bergvik skog väst AB</t>
        </is>
      </c>
      <c r="I9488" t="n">
        <v>7</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26293-2026</t>
        </is>
      </c>
      <c r="B9489" t="inlineStr">
        <is>
          <t>avverkningsanmälan</t>
        </is>
      </c>
      <c r="C9489" t="inlineStr">
        <is>
          <t>Föryngringsavverkning</t>
        </is>
      </c>
      <c r="D9489" s="1" t="n">
        <v>46182</v>
      </c>
      <c r="E9489" s="1" t="n">
        <v>46307</v>
      </c>
      <c r="F9489" t="inlineStr">
        <is>
          <t>VÄRMLANDS LÄN</t>
        </is>
      </c>
      <c r="G9489" t="inlineStr">
        <is>
          <t>TORSBY</t>
        </is>
      </c>
      <c r="I9489" t="n">
        <v>16.5</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26269-2026</t>
        </is>
      </c>
      <c r="B9490" t="inlineStr">
        <is>
          <t>avverkningsanmälan</t>
        </is>
      </c>
      <c r="C9490" t="inlineStr">
        <is>
          <t>Föryngringsavverkning</t>
        </is>
      </c>
      <c r="D9490" s="1" t="n">
        <v>46182</v>
      </c>
      <c r="E9490" s="1" t="n">
        <v>46307</v>
      </c>
      <c r="F9490" t="inlineStr">
        <is>
          <t>VÄRMLANDS LÄN</t>
        </is>
      </c>
      <c r="G9490" t="inlineStr">
        <is>
          <t>TORSBY</t>
        </is>
      </c>
      <c r="I9490" t="n">
        <v>1.9</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26200-2026</t>
        </is>
      </c>
      <c r="B9491" t="inlineStr">
        <is>
          <t>avverkningsanmälan</t>
        </is>
      </c>
      <c r="C9491" t="inlineStr">
        <is>
          <t>Föryngringsavverkning</t>
        </is>
      </c>
      <c r="D9491" s="1" t="n">
        <v>46182</v>
      </c>
      <c r="E9491" s="1" t="n">
        <v>46307</v>
      </c>
      <c r="F9491" t="inlineStr">
        <is>
          <t>VÄRMLANDS LÄN</t>
        </is>
      </c>
      <c r="G9491" t="inlineStr">
        <is>
          <t>SÄFFLE</t>
        </is>
      </c>
      <c r="I9491" t="n">
        <v>1.8</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26211-2026</t>
        </is>
      </c>
      <c r="B9492" t="inlineStr">
        <is>
          <t>avverkningsanmälan</t>
        </is>
      </c>
      <c r="C9492" t="inlineStr">
        <is>
          <t>Föryngringsavverkning</t>
        </is>
      </c>
      <c r="D9492" s="1" t="n">
        <v>46182</v>
      </c>
      <c r="E9492" s="1" t="n">
        <v>46307</v>
      </c>
      <c r="F9492" t="inlineStr">
        <is>
          <t>VÄRMLANDS LÄN</t>
        </is>
      </c>
      <c r="G9492" t="inlineStr">
        <is>
          <t>FILIPSTAD</t>
        </is>
      </c>
      <c r="H9492" t="inlineStr">
        <is>
          <t>Bergvik skog väst AB</t>
        </is>
      </c>
      <c r="I9492" t="n">
        <v>4.4</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2522-2026</t>
        </is>
      </c>
      <c r="B9493" t="inlineStr">
        <is>
          <t>avverkningsanmälan</t>
        </is>
      </c>
      <c r="C9493" t="inlineStr">
        <is>
          <t>Avverkning för annat ändamål</t>
        </is>
      </c>
      <c r="D9493" s="1" t="n">
        <v>46037</v>
      </c>
      <c r="E9493" s="1" t="n">
        <v>46307</v>
      </c>
      <c r="F9493" t="inlineStr">
        <is>
          <t>VÄRMLANDS LÄN</t>
        </is>
      </c>
      <c r="G9493" t="inlineStr">
        <is>
          <t>KRISTINEHAMN</t>
        </is>
      </c>
      <c r="I9493" t="n">
        <v>11</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26509-2026</t>
        </is>
      </c>
      <c r="B9494" t="inlineStr">
        <is>
          <t>avverkningsanmälan</t>
        </is>
      </c>
      <c r="C9494" t="inlineStr">
        <is>
          <t>Föryngringsavverkning</t>
        </is>
      </c>
      <c r="D9494" s="1" t="n">
        <v>46183</v>
      </c>
      <c r="E9494" s="1" t="n">
        <v>46307</v>
      </c>
      <c r="F9494" t="inlineStr">
        <is>
          <t>VÄRMLANDS LÄN</t>
        </is>
      </c>
      <c r="G9494" t="inlineStr">
        <is>
          <t>TORSBY</t>
        </is>
      </c>
      <c r="I9494" t="n">
        <v>1.4</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47625-2024</t>
        </is>
      </c>
      <c r="B9495" t="inlineStr">
        <is>
          <t>avverkningsanmälan</t>
        </is>
      </c>
      <c r="C9495" t="inlineStr">
        <is>
          <t>Föryngringsavverkning</t>
        </is>
      </c>
      <c r="D9495" s="1" t="n">
        <v>45588</v>
      </c>
      <c r="E9495" s="1" t="n">
        <v>46307</v>
      </c>
      <c r="F9495" t="inlineStr">
        <is>
          <t>VÄRMLANDS LÄN</t>
        </is>
      </c>
      <c r="G9495" t="inlineStr">
        <is>
          <t>MUNKFORS</t>
        </is>
      </c>
      <c r="I9495" t="n">
        <v>1.8</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26225-2026</t>
        </is>
      </c>
      <c r="B9496" t="inlineStr">
        <is>
          <t>avverkningsanmälan</t>
        </is>
      </c>
      <c r="C9496" t="inlineStr">
        <is>
          <t>Föryngringsavverkning</t>
        </is>
      </c>
      <c r="D9496" s="1" t="n">
        <v>46182</v>
      </c>
      <c r="E9496" s="1" t="n">
        <v>46307</v>
      </c>
      <c r="F9496" t="inlineStr">
        <is>
          <t>VÄRMLANDS LÄN</t>
        </is>
      </c>
      <c r="G9496" t="inlineStr">
        <is>
          <t>TORSBY</t>
        </is>
      </c>
      <c r="I9496" t="n">
        <v>2.3</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26304-2026</t>
        </is>
      </c>
      <c r="B9497" t="inlineStr">
        <is>
          <t>avverkningsanmälan</t>
        </is>
      </c>
      <c r="C9497" t="inlineStr">
        <is>
          <t>Föryngringsavverkning</t>
        </is>
      </c>
      <c r="D9497" s="1" t="n">
        <v>46182</v>
      </c>
      <c r="E9497" s="1" t="n">
        <v>46307</v>
      </c>
      <c r="F9497" t="inlineStr">
        <is>
          <t>VÄRMLANDS LÄN</t>
        </is>
      </c>
      <c r="G9497" t="inlineStr">
        <is>
          <t>TORSBY</t>
        </is>
      </c>
      <c r="I9497" t="n">
        <v>5.4</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26311-2026</t>
        </is>
      </c>
      <c r="B9498" t="inlineStr">
        <is>
          <t>avverkningsanmälan</t>
        </is>
      </c>
      <c r="C9498" t="inlineStr">
        <is>
          <t>Föryngringsavverkning</t>
        </is>
      </c>
      <c r="D9498" s="1" t="n">
        <v>46182</v>
      </c>
      <c r="E9498" s="1" t="n">
        <v>46307</v>
      </c>
      <c r="F9498" t="inlineStr">
        <is>
          <t>VÄRMLANDS LÄN</t>
        </is>
      </c>
      <c r="G9498" t="inlineStr">
        <is>
          <t>TORSBY</t>
        </is>
      </c>
      <c r="I9498" t="n">
        <v>7.4</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26320-2026</t>
        </is>
      </c>
      <c r="B9499" t="inlineStr">
        <is>
          <t>avverkningsanmälan</t>
        </is>
      </c>
      <c r="C9499" t="inlineStr">
        <is>
          <t>Föryngringsavverkning</t>
        </is>
      </c>
      <c r="D9499" s="1" t="n">
        <v>46182</v>
      </c>
      <c r="E9499" s="1" t="n">
        <v>46307</v>
      </c>
      <c r="F9499" t="inlineStr">
        <is>
          <t>VÄRMLANDS LÄN</t>
        </is>
      </c>
      <c r="G9499" t="inlineStr">
        <is>
          <t>TORSBY</t>
        </is>
      </c>
      <c r="I9499" t="n">
        <v>11.8</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26323-2026</t>
        </is>
      </c>
      <c r="B9500" t="inlineStr">
        <is>
          <t>avverkningsanmälan</t>
        </is>
      </c>
      <c r="C9500" t="inlineStr">
        <is>
          <t>Föryngringsavverkning</t>
        </is>
      </c>
      <c r="D9500" s="1" t="n">
        <v>46182</v>
      </c>
      <c r="E9500" s="1" t="n">
        <v>46307</v>
      </c>
      <c r="F9500" t="inlineStr">
        <is>
          <t>VÄRMLANDS LÄN</t>
        </is>
      </c>
      <c r="G9500" t="inlineStr">
        <is>
          <t>FILIPSTAD</t>
        </is>
      </c>
      <c r="H9500" t="inlineStr">
        <is>
          <t>Bergvik skog väst AB</t>
        </is>
      </c>
      <c r="I9500" t="n">
        <v>11.9</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26273-2026</t>
        </is>
      </c>
      <c r="B9501" t="inlineStr">
        <is>
          <t>avverkningsanmälan</t>
        </is>
      </c>
      <c r="C9501" t="inlineStr">
        <is>
          <t>Föryngringsavverkning</t>
        </is>
      </c>
      <c r="D9501" s="1" t="n">
        <v>46182</v>
      </c>
      <c r="E9501" s="1" t="n">
        <v>46307</v>
      </c>
      <c r="F9501" t="inlineStr">
        <is>
          <t>VÄRMLANDS LÄN</t>
        </is>
      </c>
      <c r="G9501" t="inlineStr">
        <is>
          <t>TORSBY</t>
        </is>
      </c>
      <c r="I9501" t="n">
        <v>4.3</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26325-2026</t>
        </is>
      </c>
      <c r="B9502" t="inlineStr">
        <is>
          <t>avverkningsanmälan</t>
        </is>
      </c>
      <c r="C9502" t="inlineStr">
        <is>
          <t>Föryngringsavverkning</t>
        </is>
      </c>
      <c r="D9502" s="1" t="n">
        <v>46182</v>
      </c>
      <c r="E9502" s="1" t="n">
        <v>46307</v>
      </c>
      <c r="F9502" t="inlineStr">
        <is>
          <t>VÄRMLANDS LÄN</t>
        </is>
      </c>
      <c r="G9502" t="inlineStr">
        <is>
          <t>FORSHAGA</t>
        </is>
      </c>
      <c r="I9502" t="n">
        <v>1.8</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25202-2026</t>
        </is>
      </c>
      <c r="B9503" t="inlineStr">
        <is>
          <t>avverkningsanmälan</t>
        </is>
      </c>
      <c r="C9503" t="inlineStr">
        <is>
          <t>Föryngringsavverkning</t>
        </is>
      </c>
      <c r="D9503" s="1" t="n">
        <v>46175</v>
      </c>
      <c r="E9503" s="1" t="n">
        <v>46307</v>
      </c>
      <c r="F9503" t="inlineStr">
        <is>
          <t>VÄRMLANDS LÄN</t>
        </is>
      </c>
      <c r="G9503" t="inlineStr">
        <is>
          <t>ARVIKA</t>
        </is>
      </c>
      <c r="I9503" t="n">
        <v>1.8</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26229-2026</t>
        </is>
      </c>
      <c r="B9504" t="inlineStr">
        <is>
          <t>avverkningsanmälan</t>
        </is>
      </c>
      <c r="C9504" t="inlineStr">
        <is>
          <t>Föryngringsavverkning</t>
        </is>
      </c>
      <c r="D9504" s="1" t="n">
        <v>46182</v>
      </c>
      <c r="E9504" s="1" t="n">
        <v>46307</v>
      </c>
      <c r="F9504" t="inlineStr">
        <is>
          <t>VÄRMLANDS LÄN</t>
        </is>
      </c>
      <c r="G9504" t="inlineStr">
        <is>
          <t>FILIPSTAD</t>
        </is>
      </c>
      <c r="H9504" t="inlineStr">
        <is>
          <t>Bergvik skog väst AB</t>
        </is>
      </c>
      <c r="I9504" t="n">
        <v>5.3</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26232-2026</t>
        </is>
      </c>
      <c r="B9505" t="inlineStr">
        <is>
          <t>avverkningsanmälan</t>
        </is>
      </c>
      <c r="C9505" t="inlineStr">
        <is>
          <t>Föryngringsavverkning</t>
        </is>
      </c>
      <c r="D9505" s="1" t="n">
        <v>46182</v>
      </c>
      <c r="E9505" s="1" t="n">
        <v>46307</v>
      </c>
      <c r="F9505" t="inlineStr">
        <is>
          <t>VÄRMLANDS LÄN</t>
        </is>
      </c>
      <c r="G9505" t="inlineStr">
        <is>
          <t>TORSBY</t>
        </is>
      </c>
      <c r="I9505" t="n">
        <v>3.1</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23032-2026</t>
        </is>
      </c>
      <c r="B9506" t="inlineStr">
        <is>
          <t>avverkningsanmälan</t>
        </is>
      </c>
      <c r="C9506" t="inlineStr">
        <is>
          <t>Föryngringsavverkning</t>
        </is>
      </c>
      <c r="D9506" s="1" t="n">
        <v>46161</v>
      </c>
      <c r="E9506" s="1" t="n">
        <v>46307</v>
      </c>
      <c r="F9506" t="inlineStr">
        <is>
          <t>VÄRMLANDS LÄN</t>
        </is>
      </c>
      <c r="G9506" t="inlineStr">
        <is>
          <t>SUNNE</t>
        </is>
      </c>
      <c r="I9506" t="n">
        <v>4.5</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26119-2026</t>
        </is>
      </c>
      <c r="B9507" t="inlineStr">
        <is>
          <t>avverkningsanmälan</t>
        </is>
      </c>
      <c r="C9507" t="inlineStr">
        <is>
          <t>Föryngringsavverkning</t>
        </is>
      </c>
      <c r="D9507" s="1" t="n">
        <v>46181</v>
      </c>
      <c r="E9507" s="1" t="n">
        <v>46307</v>
      </c>
      <c r="F9507" t="inlineStr">
        <is>
          <t>VÄRMLANDS LÄN</t>
        </is>
      </c>
      <c r="G9507" t="inlineStr">
        <is>
          <t>SUNNE</t>
        </is>
      </c>
      <c r="I9507" t="n">
        <v>4.8</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26350-2026</t>
        </is>
      </c>
      <c r="B9508" t="inlineStr">
        <is>
          <t>avverkningsanmälan</t>
        </is>
      </c>
      <c r="C9508" t="inlineStr">
        <is>
          <t>Föryngringsavverkning</t>
        </is>
      </c>
      <c r="D9508" s="1" t="n">
        <v>46182</v>
      </c>
      <c r="E9508" s="1" t="n">
        <v>46307</v>
      </c>
      <c r="F9508" t="inlineStr">
        <is>
          <t>VÄRMLANDS LÄN</t>
        </is>
      </c>
      <c r="G9508" t="inlineStr">
        <is>
          <t>HAGFORS</t>
        </is>
      </c>
      <c r="I9508" t="n">
        <v>1.6</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26357-2026</t>
        </is>
      </c>
      <c r="B9509" t="inlineStr">
        <is>
          <t>avverkningsanmälan</t>
        </is>
      </c>
      <c r="C9509" t="inlineStr">
        <is>
          <t>Föryngringsavverkning</t>
        </is>
      </c>
      <c r="D9509" s="1" t="n">
        <v>46182</v>
      </c>
      <c r="E9509" s="1" t="n">
        <v>46307</v>
      </c>
      <c r="F9509" t="inlineStr">
        <is>
          <t>VÄRMLANDS LÄN</t>
        </is>
      </c>
      <c r="G9509" t="inlineStr">
        <is>
          <t>HAGFORS</t>
        </is>
      </c>
      <c r="H9509" t="inlineStr">
        <is>
          <t>Bergvik skog väst AB</t>
        </is>
      </c>
      <c r="I9509" t="n">
        <v>33.4</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26539-2026</t>
        </is>
      </c>
      <c r="B9510" t="inlineStr">
        <is>
          <t>avverkningsanmälan</t>
        </is>
      </c>
      <c r="C9510" t="inlineStr">
        <is>
          <t>Föryngringsavverkning</t>
        </is>
      </c>
      <c r="D9510" s="1" t="n">
        <v>46183</v>
      </c>
      <c r="E9510" s="1" t="n">
        <v>46307</v>
      </c>
      <c r="F9510" t="inlineStr">
        <is>
          <t>VÄRMLANDS LÄN</t>
        </is>
      </c>
      <c r="G9510" t="inlineStr">
        <is>
          <t>TORSBY</t>
        </is>
      </c>
      <c r="I9510" t="n">
        <v>1</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26227-2026</t>
        </is>
      </c>
      <c r="B9511" t="inlineStr">
        <is>
          <t>avverkningsanmälan</t>
        </is>
      </c>
      <c r="C9511" t="inlineStr">
        <is>
          <t>Föryngringsavverkning</t>
        </is>
      </c>
      <c r="D9511" s="1" t="n">
        <v>46182</v>
      </c>
      <c r="E9511" s="1" t="n">
        <v>46307</v>
      </c>
      <c r="F9511" t="inlineStr">
        <is>
          <t>VÄRMLANDS LÄN</t>
        </is>
      </c>
      <c r="G9511" t="inlineStr">
        <is>
          <t>FILIPSTAD</t>
        </is>
      </c>
      <c r="H9511" t="inlineStr">
        <is>
          <t>Bergvik skog väst AB</t>
        </is>
      </c>
      <c r="I9511" t="n">
        <v>12.8</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26265-2026</t>
        </is>
      </c>
      <c r="B9512" t="inlineStr">
        <is>
          <t>avverkningsanmälan</t>
        </is>
      </c>
      <c r="C9512" t="inlineStr">
        <is>
          <t>Föryngringsavverkning</t>
        </is>
      </c>
      <c r="D9512" s="1" t="n">
        <v>46182</v>
      </c>
      <c r="E9512" s="1" t="n">
        <v>46307</v>
      </c>
      <c r="F9512" t="inlineStr">
        <is>
          <t>VÄRMLANDS LÄN</t>
        </is>
      </c>
      <c r="G9512" t="inlineStr">
        <is>
          <t>HAGFORS</t>
        </is>
      </c>
      <c r="H9512" t="inlineStr">
        <is>
          <t>Bergvik skog väst AB</t>
        </is>
      </c>
      <c r="I9512" t="n">
        <v>4.9</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26530-2026</t>
        </is>
      </c>
      <c r="B9513" t="inlineStr">
        <is>
          <t>avverkningsanmälan</t>
        </is>
      </c>
      <c r="C9513" t="inlineStr">
        <is>
          <t>Föryngringsavverkning</t>
        </is>
      </c>
      <c r="D9513" s="1" t="n">
        <v>46183</v>
      </c>
      <c r="E9513" s="1" t="n">
        <v>46307</v>
      </c>
      <c r="F9513" t="inlineStr">
        <is>
          <t>VÄRMLANDS LÄN</t>
        </is>
      </c>
      <c r="G9513" t="inlineStr">
        <is>
          <t>TORSBY</t>
        </is>
      </c>
      <c r="I9513" t="n">
        <v>1.7</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26472-2026</t>
        </is>
      </c>
      <c r="B9514" t="inlineStr">
        <is>
          <t>avverkningsanmälan</t>
        </is>
      </c>
      <c r="C9514" t="inlineStr">
        <is>
          <t>Föryngringsavverkning</t>
        </is>
      </c>
      <c r="D9514" s="1" t="n">
        <v>46183</v>
      </c>
      <c r="E9514" s="1" t="n">
        <v>46307</v>
      </c>
      <c r="F9514" t="inlineStr">
        <is>
          <t>VÄRMLANDS LÄN</t>
        </is>
      </c>
      <c r="G9514" t="inlineStr">
        <is>
          <t>ARVIKA</t>
        </is>
      </c>
      <c r="I9514" t="n">
        <v>2.1</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26501-2026</t>
        </is>
      </c>
      <c r="B9515" t="inlineStr">
        <is>
          <t>avverkningsanmälan</t>
        </is>
      </c>
      <c r="C9515" t="inlineStr">
        <is>
          <t>Föryngringsavverkning</t>
        </is>
      </c>
      <c r="D9515" s="1" t="n">
        <v>46183</v>
      </c>
      <c r="E9515" s="1" t="n">
        <v>46307</v>
      </c>
      <c r="F9515" t="inlineStr">
        <is>
          <t>VÄRMLANDS LÄN</t>
        </is>
      </c>
      <c r="G9515" t="inlineStr">
        <is>
          <t>FILIPSTAD</t>
        </is>
      </c>
      <c r="H9515" t="inlineStr">
        <is>
          <t>Bergvik skog väst AB</t>
        </is>
      </c>
      <c r="I9515" t="n">
        <v>14.2</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26298-2026</t>
        </is>
      </c>
      <c r="B9516" t="inlineStr">
        <is>
          <t>avverkningsanmälan</t>
        </is>
      </c>
      <c r="C9516" t="inlineStr">
        <is>
          <t>Föryngringsavverkning</t>
        </is>
      </c>
      <c r="D9516" s="1" t="n">
        <v>46182</v>
      </c>
      <c r="E9516" s="1" t="n">
        <v>46307</v>
      </c>
      <c r="F9516" t="inlineStr">
        <is>
          <t>VÄRMLANDS LÄN</t>
        </is>
      </c>
      <c r="G9516" t="inlineStr">
        <is>
          <t>FILIPSTAD</t>
        </is>
      </c>
      <c r="H9516" t="inlineStr">
        <is>
          <t>Bergvik skog väst AB</t>
        </is>
      </c>
      <c r="I9516" t="n">
        <v>4.7</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26342-2026</t>
        </is>
      </c>
      <c r="B9517" t="inlineStr">
        <is>
          <t>avverkningsanmälan</t>
        </is>
      </c>
      <c r="C9517" t="inlineStr">
        <is>
          <t>Föryngringsavverkning</t>
        </is>
      </c>
      <c r="D9517" s="1" t="n">
        <v>46182</v>
      </c>
      <c r="E9517" s="1" t="n">
        <v>46307</v>
      </c>
      <c r="F9517" t="inlineStr">
        <is>
          <t>VÄRMLANDS LÄN</t>
        </is>
      </c>
      <c r="G9517" t="inlineStr">
        <is>
          <t>HAGFORS</t>
        </is>
      </c>
      <c r="H9517" t="inlineStr">
        <is>
          <t>Bergvik skog väst AB</t>
        </is>
      </c>
      <c r="I9517" t="n">
        <v>36.8</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27363-2026</t>
        </is>
      </c>
      <c r="B9518" t="inlineStr">
        <is>
          <t>avverkningsanmälan</t>
        </is>
      </c>
      <c r="C9518" t="inlineStr">
        <is>
          <t>Föryngringsavverkning</t>
        </is>
      </c>
      <c r="D9518" s="1" t="n">
        <v>46184</v>
      </c>
      <c r="E9518" s="1" t="n">
        <v>46307</v>
      </c>
      <c r="F9518" t="inlineStr">
        <is>
          <t>VÄRMLANDS LÄN</t>
        </is>
      </c>
      <c r="G9518" t="inlineStr">
        <is>
          <t>ÅRJÄNG</t>
        </is>
      </c>
      <c r="I9518" t="n">
        <v>5.2</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25976-2026</t>
        </is>
      </c>
      <c r="B9519" t="inlineStr">
        <is>
          <t>avverkningsanmälan</t>
        </is>
      </c>
      <c r="C9519" t="inlineStr">
        <is>
          <t>Föryngringsavverkning</t>
        </is>
      </c>
      <c r="D9519" s="1" t="n">
        <v>46181</v>
      </c>
      <c r="E9519" s="1" t="n">
        <v>46307</v>
      </c>
      <c r="F9519" t="inlineStr">
        <is>
          <t>VÄRMLANDS LÄN</t>
        </is>
      </c>
      <c r="G9519" t="inlineStr">
        <is>
          <t>FILIPSTAD</t>
        </is>
      </c>
      <c r="H9519" t="inlineStr">
        <is>
          <t>Bergvik skog väst AB</t>
        </is>
      </c>
      <c r="I9519" t="n">
        <v>11.1</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26785-2026</t>
        </is>
      </c>
      <c r="B9520" t="inlineStr">
        <is>
          <t>avverkningsanmälan</t>
        </is>
      </c>
      <c r="C9520" t="inlineStr">
        <is>
          <t>Föryngringsavverkning</t>
        </is>
      </c>
      <c r="D9520" s="1" t="n">
        <v>46183</v>
      </c>
      <c r="E9520" s="1" t="n">
        <v>46307</v>
      </c>
      <c r="F9520" t="inlineStr">
        <is>
          <t>VÄRMLANDS LÄN</t>
        </is>
      </c>
      <c r="G9520" t="inlineStr">
        <is>
          <t>TORSBY</t>
        </is>
      </c>
      <c r="I9520" t="n">
        <v>2.6</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26378-2026</t>
        </is>
      </c>
      <c r="B9521" t="inlineStr">
        <is>
          <t>avverkningsanmälan</t>
        </is>
      </c>
      <c r="C9521" t="inlineStr">
        <is>
          <t>Föryngringsavverkning</t>
        </is>
      </c>
      <c r="D9521" s="1" t="n">
        <v>46183</v>
      </c>
      <c r="E9521" s="1" t="n">
        <v>46307</v>
      </c>
      <c r="F9521" t="inlineStr">
        <is>
          <t>VÄRMLANDS LÄN</t>
        </is>
      </c>
      <c r="G9521" t="inlineStr">
        <is>
          <t>ARVIKA</t>
        </is>
      </c>
      <c r="I9521" t="n">
        <v>0.9</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26343-2026</t>
        </is>
      </c>
      <c r="B9522" t="inlineStr">
        <is>
          <t>avverkningsanmälan</t>
        </is>
      </c>
      <c r="C9522" t="inlineStr">
        <is>
          <t>Föryngringsavverkning</t>
        </is>
      </c>
      <c r="D9522" s="1" t="n">
        <v>46182</v>
      </c>
      <c r="E9522" s="1" t="n">
        <v>46307</v>
      </c>
      <c r="F9522" t="inlineStr">
        <is>
          <t>VÄRMLANDS LÄN</t>
        </is>
      </c>
      <c r="G9522" t="inlineStr">
        <is>
          <t>FILIPSTAD</t>
        </is>
      </c>
      <c r="H9522" t="inlineStr">
        <is>
          <t>Bergvik skog väst AB</t>
        </is>
      </c>
      <c r="I9522" t="n">
        <v>1.5</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26754-2026</t>
        </is>
      </c>
      <c r="B9523" t="inlineStr">
        <is>
          <t>avverkningsanmälan</t>
        </is>
      </c>
      <c r="C9523" t="inlineStr">
        <is>
          <t>Föryngringsavverkning</t>
        </is>
      </c>
      <c r="D9523" s="1" t="n">
        <v>46184</v>
      </c>
      <c r="E9523" s="1" t="n">
        <v>46307</v>
      </c>
      <c r="F9523" t="inlineStr">
        <is>
          <t>VÄRMLANDS LÄN</t>
        </is>
      </c>
      <c r="G9523" t="inlineStr">
        <is>
          <t>TORSBY</t>
        </is>
      </c>
      <c r="I9523" t="n">
        <v>0.7</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26859-2026</t>
        </is>
      </c>
      <c r="B9524" t="inlineStr">
        <is>
          <t>avverkningsanmälan</t>
        </is>
      </c>
      <c r="C9524" t="inlineStr">
        <is>
          <t>Föryngringsavverkning</t>
        </is>
      </c>
      <c r="D9524" s="1" t="n">
        <v>46185</v>
      </c>
      <c r="E9524" s="1" t="n">
        <v>46307</v>
      </c>
      <c r="F9524" t="inlineStr">
        <is>
          <t>VÄRMLANDS LÄN</t>
        </is>
      </c>
      <c r="G9524" t="inlineStr">
        <is>
          <t>HAGFORS</t>
        </is>
      </c>
      <c r="H9524" t="inlineStr">
        <is>
          <t>Bergvik skog väst AB</t>
        </is>
      </c>
      <c r="I9524" t="n">
        <v>1.5</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26864-2026</t>
        </is>
      </c>
      <c r="B9525" t="inlineStr">
        <is>
          <t>avverkningsanmälan</t>
        </is>
      </c>
      <c r="C9525" t="inlineStr">
        <is>
          <t>Föryngringsavverkning</t>
        </is>
      </c>
      <c r="D9525" s="1" t="n">
        <v>46185</v>
      </c>
      <c r="E9525" s="1" t="n">
        <v>46307</v>
      </c>
      <c r="F9525" t="inlineStr">
        <is>
          <t>VÄRMLANDS LÄN</t>
        </is>
      </c>
      <c r="G9525" t="inlineStr">
        <is>
          <t>HAGFORS</t>
        </is>
      </c>
      <c r="H9525" t="inlineStr">
        <is>
          <t>Bergvik skog väst AB</t>
        </is>
      </c>
      <c r="I9525" t="n">
        <v>1.9</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23496-2026</t>
        </is>
      </c>
      <c r="B9526" t="inlineStr">
        <is>
          <t>avverkningsanmälan</t>
        </is>
      </c>
      <c r="C9526" t="inlineStr">
        <is>
          <t>Föryngringsavverkning</t>
        </is>
      </c>
      <c r="D9526" s="1" t="n">
        <v>46163</v>
      </c>
      <c r="E9526" s="1" t="n">
        <v>46307</v>
      </c>
      <c r="F9526" t="inlineStr">
        <is>
          <t>VÄRMLANDS LÄN</t>
        </is>
      </c>
      <c r="G9526" t="inlineStr">
        <is>
          <t>ARVIKA</t>
        </is>
      </c>
      <c r="I9526" t="n">
        <v>9</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27007-2026</t>
        </is>
      </c>
      <c r="B9527" t="inlineStr">
        <is>
          <t>avverkningsanmälan</t>
        </is>
      </c>
      <c r="C9527" t="inlineStr">
        <is>
          <t>Föryngringsavverkning</t>
        </is>
      </c>
      <c r="D9527" s="1" t="n">
        <v>46185</v>
      </c>
      <c r="E9527" s="1" t="n">
        <v>46307</v>
      </c>
      <c r="F9527" t="inlineStr">
        <is>
          <t>VÄRMLANDS LÄN</t>
        </is>
      </c>
      <c r="G9527" t="inlineStr">
        <is>
          <t>FILIPSTAD</t>
        </is>
      </c>
      <c r="H9527" t="inlineStr">
        <is>
          <t>Bergvik skog väst AB</t>
        </is>
      </c>
      <c r="I9527" t="n">
        <v>1.6</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26957-2026</t>
        </is>
      </c>
      <c r="B9528" t="inlineStr">
        <is>
          <t>avverkningsanmälan</t>
        </is>
      </c>
      <c r="C9528" t="inlineStr">
        <is>
          <t>Föryngringsavverkning</t>
        </is>
      </c>
      <c r="D9528" s="1" t="n">
        <v>46185</v>
      </c>
      <c r="E9528" s="1" t="n">
        <v>46307</v>
      </c>
      <c r="F9528" t="inlineStr">
        <is>
          <t>VÄRMLANDS LÄN</t>
        </is>
      </c>
      <c r="G9528" t="inlineStr">
        <is>
          <t>ÅRJÄNG</t>
        </is>
      </c>
      <c r="I9528" t="n">
        <v>1.9</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26663-2026</t>
        </is>
      </c>
      <c r="B9529" t="inlineStr">
        <is>
          <t>avverkningsanmälan</t>
        </is>
      </c>
      <c r="C9529" t="inlineStr">
        <is>
          <t>Föryngringsavverkning</t>
        </is>
      </c>
      <c r="D9529" s="1" t="n">
        <v>46184</v>
      </c>
      <c r="E9529" s="1" t="n">
        <v>46307</v>
      </c>
      <c r="F9529" t="inlineStr">
        <is>
          <t>VÄRMLANDS LÄN</t>
        </is>
      </c>
      <c r="G9529" t="inlineStr">
        <is>
          <t>TORSBY</t>
        </is>
      </c>
      <c r="I9529" t="n">
        <v>4.9</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27540-2026</t>
        </is>
      </c>
      <c r="B9530" t="inlineStr">
        <is>
          <t>avverkningsanmälan</t>
        </is>
      </c>
      <c r="C9530" t="inlineStr">
        <is>
          <t>Föryngringsavverkning</t>
        </is>
      </c>
      <c r="D9530" s="1" t="n">
        <v>46185</v>
      </c>
      <c r="E9530" s="1" t="n">
        <v>46307</v>
      </c>
      <c r="F9530" t="inlineStr">
        <is>
          <t>VÄRMLANDS LÄN</t>
        </is>
      </c>
      <c r="G9530" t="inlineStr">
        <is>
          <t>TORSBY</t>
        </is>
      </c>
      <c r="I9530" t="n">
        <v>14.6</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23038-2026</t>
        </is>
      </c>
      <c r="B9531" t="inlineStr">
        <is>
          <t>avverkningsanmälan</t>
        </is>
      </c>
      <c r="C9531" t="inlineStr">
        <is>
          <t>Föryngringsavverkning</t>
        </is>
      </c>
      <c r="D9531" s="1" t="n">
        <v>46161</v>
      </c>
      <c r="E9531" s="1" t="n">
        <v>46307</v>
      </c>
      <c r="F9531" t="inlineStr">
        <is>
          <t>VÄRMLANDS LÄN</t>
        </is>
      </c>
      <c r="G9531" t="inlineStr">
        <is>
          <t>SUNNE</t>
        </is>
      </c>
      <c r="I9531" t="n">
        <v>5.9</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27080-2026</t>
        </is>
      </c>
      <c r="B9532" t="inlineStr">
        <is>
          <t>avverkningsanmälan</t>
        </is>
      </c>
      <c r="C9532" t="inlineStr">
        <is>
          <t>Föryngringsavverkning</t>
        </is>
      </c>
      <c r="D9532" s="1" t="n">
        <v>46186</v>
      </c>
      <c r="E9532" s="1" t="n">
        <v>46307</v>
      </c>
      <c r="F9532" t="inlineStr">
        <is>
          <t>VÄRMLANDS LÄN</t>
        </is>
      </c>
      <c r="G9532" t="inlineStr">
        <is>
          <t>FORSHAGA</t>
        </is>
      </c>
      <c r="I9532" t="n">
        <v>5.4</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26997-2026</t>
        </is>
      </c>
      <c r="B9533" t="inlineStr">
        <is>
          <t>avverkningsanmälan</t>
        </is>
      </c>
      <c r="C9533" t="inlineStr">
        <is>
          <t>Föryngringsavverkning</t>
        </is>
      </c>
      <c r="D9533" s="1" t="n">
        <v>46185</v>
      </c>
      <c r="E9533" s="1" t="n">
        <v>46307</v>
      </c>
      <c r="F9533" t="inlineStr">
        <is>
          <t>VÄRMLANDS LÄN</t>
        </is>
      </c>
      <c r="G9533" t="inlineStr">
        <is>
          <t>TORSBY</t>
        </is>
      </c>
      <c r="H9533" t="inlineStr">
        <is>
          <t>Bergvik skog väst AB</t>
        </is>
      </c>
      <c r="I9533" t="n">
        <v>10.8</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27035-2026</t>
        </is>
      </c>
      <c r="B9534" t="inlineStr">
        <is>
          <t>avverkningsanmälan</t>
        </is>
      </c>
      <c r="C9534" t="inlineStr">
        <is>
          <t>Föryngringsavverkning</t>
        </is>
      </c>
      <c r="D9534" s="1" t="n">
        <v>46185</v>
      </c>
      <c r="E9534" s="1" t="n">
        <v>46307</v>
      </c>
      <c r="F9534" t="inlineStr">
        <is>
          <t>VÄRMLANDS LÄN</t>
        </is>
      </c>
      <c r="G9534" t="inlineStr">
        <is>
          <t>ARVIKA</t>
        </is>
      </c>
      <c r="I9534" t="n">
        <v>2</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26694-2026</t>
        </is>
      </c>
      <c r="B9535" t="inlineStr">
        <is>
          <t>avverkningsanmälan</t>
        </is>
      </c>
      <c r="C9535" t="inlineStr">
        <is>
          <t>Föryngringsavverkning</t>
        </is>
      </c>
      <c r="D9535" s="1" t="n">
        <v>46184</v>
      </c>
      <c r="E9535" s="1" t="n">
        <v>46307</v>
      </c>
      <c r="F9535" t="inlineStr">
        <is>
          <t>VÄRMLANDS LÄN</t>
        </is>
      </c>
      <c r="G9535" t="inlineStr">
        <is>
          <t>ÅRJÄNG</t>
        </is>
      </c>
      <c r="I9535" t="n">
        <v>3</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26740-2026</t>
        </is>
      </c>
      <c r="B9536" t="inlineStr">
        <is>
          <t>avverkningsanmälan</t>
        </is>
      </c>
      <c r="C9536" t="inlineStr">
        <is>
          <t>Föryngringsavverkning</t>
        </is>
      </c>
      <c r="D9536" s="1" t="n">
        <v>46184</v>
      </c>
      <c r="E9536" s="1" t="n">
        <v>46307</v>
      </c>
      <c r="F9536" t="inlineStr">
        <is>
          <t>VÄRMLANDS LÄN</t>
        </is>
      </c>
      <c r="G9536" t="inlineStr">
        <is>
          <t>HAGFORS</t>
        </is>
      </c>
      <c r="H9536" t="inlineStr">
        <is>
          <t>Bergvik skog väst AB</t>
        </is>
      </c>
      <c r="I9536" t="n">
        <v>9.5</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26846-2026</t>
        </is>
      </c>
      <c r="B9537" t="inlineStr">
        <is>
          <t>avverkningsanmälan</t>
        </is>
      </c>
      <c r="C9537" t="inlineStr">
        <is>
          <t>Föryngringsavverkning</t>
        </is>
      </c>
      <c r="D9537" s="1" t="n">
        <v>46185</v>
      </c>
      <c r="E9537" s="1" t="n">
        <v>46307</v>
      </c>
      <c r="F9537" t="inlineStr">
        <is>
          <t>VÄRMLANDS LÄN</t>
        </is>
      </c>
      <c r="G9537" t="inlineStr">
        <is>
          <t>HAGFORS</t>
        </is>
      </c>
      <c r="H9537" t="inlineStr">
        <is>
          <t>Bergvik skog väst AB</t>
        </is>
      </c>
      <c r="I9537" t="n">
        <v>18.2</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26858-2026</t>
        </is>
      </c>
      <c r="B9538" t="inlineStr">
        <is>
          <t>avverkningsanmälan</t>
        </is>
      </c>
      <c r="C9538" t="inlineStr">
        <is>
          <t>Föryngringsavverkning</t>
        </is>
      </c>
      <c r="D9538" s="1" t="n">
        <v>46185</v>
      </c>
      <c r="E9538" s="1" t="n">
        <v>46307</v>
      </c>
      <c r="F9538" t="inlineStr">
        <is>
          <t>VÄRMLANDS LÄN</t>
        </is>
      </c>
      <c r="G9538" t="inlineStr">
        <is>
          <t>HAGFORS</t>
        </is>
      </c>
      <c r="H9538" t="inlineStr">
        <is>
          <t>Bergvik skog väst AB</t>
        </is>
      </c>
      <c r="I9538" t="n">
        <v>20.5</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26660-2026</t>
        </is>
      </c>
      <c r="B9539" t="inlineStr">
        <is>
          <t>avverkningsanmälan</t>
        </is>
      </c>
      <c r="C9539" t="inlineStr">
        <is>
          <t>Föryngringsavverkning</t>
        </is>
      </c>
      <c r="D9539" s="1" t="n">
        <v>46184</v>
      </c>
      <c r="E9539" s="1" t="n">
        <v>46307</v>
      </c>
      <c r="F9539" t="inlineStr">
        <is>
          <t>VÄRMLANDS LÄN</t>
        </is>
      </c>
      <c r="G9539" t="inlineStr">
        <is>
          <t>HAGFORS</t>
        </is>
      </c>
      <c r="H9539" t="inlineStr">
        <is>
          <t>Bergvik skog väst AB</t>
        </is>
      </c>
      <c r="I9539" t="n">
        <v>2.4</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27075-2026</t>
        </is>
      </c>
      <c r="B9540" t="inlineStr">
        <is>
          <t>avverkningsanmälan</t>
        </is>
      </c>
      <c r="C9540" t="inlineStr">
        <is>
          <t>Föryngringsavverkning</t>
        </is>
      </c>
      <c r="D9540" s="1" t="n">
        <v>46186</v>
      </c>
      <c r="E9540" s="1" t="n">
        <v>46307</v>
      </c>
      <c r="F9540" t="inlineStr">
        <is>
          <t>VÄRMLANDS LÄN</t>
        </is>
      </c>
      <c r="G9540" t="inlineStr">
        <is>
          <t>FORSHAGA</t>
        </is>
      </c>
      <c r="I9540" t="n">
        <v>0.7</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26982-2026</t>
        </is>
      </c>
      <c r="B9541" t="inlineStr">
        <is>
          <t>avverkningsanmälan</t>
        </is>
      </c>
      <c r="C9541" t="inlineStr">
        <is>
          <t>Föryngringsavverkning</t>
        </is>
      </c>
      <c r="D9541" s="1" t="n">
        <v>46185</v>
      </c>
      <c r="E9541" s="1" t="n">
        <v>46307</v>
      </c>
      <c r="F9541" t="inlineStr">
        <is>
          <t>VÄRMLANDS LÄN</t>
        </is>
      </c>
      <c r="G9541" t="inlineStr">
        <is>
          <t>ARVIKA</t>
        </is>
      </c>
      <c r="I9541" t="n">
        <v>0.7</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26612-2026</t>
        </is>
      </c>
      <c r="B9542" t="inlineStr">
        <is>
          <t>avverkningsanmälan</t>
        </is>
      </c>
      <c r="C9542" t="inlineStr">
        <is>
          <t>Föryngringsavverkning</t>
        </is>
      </c>
      <c r="D9542" s="1" t="n">
        <v>46184</v>
      </c>
      <c r="E9542" s="1" t="n">
        <v>46307</v>
      </c>
      <c r="F9542" t="inlineStr">
        <is>
          <t>VÄRMLANDS LÄN</t>
        </is>
      </c>
      <c r="G9542" t="inlineStr">
        <is>
          <t>HAGFORS</t>
        </is>
      </c>
      <c r="I9542" t="n">
        <v>1.4</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27085-2026</t>
        </is>
      </c>
      <c r="B9543" t="inlineStr">
        <is>
          <t>avverkningsanmälan</t>
        </is>
      </c>
      <c r="C9543" t="inlineStr">
        <is>
          <t>Föryngringsavverkning</t>
        </is>
      </c>
      <c r="D9543" s="1" t="n">
        <v>46187</v>
      </c>
      <c r="E9543" s="1" t="n">
        <v>46307</v>
      </c>
      <c r="F9543" t="inlineStr">
        <is>
          <t>VÄRMLANDS LÄN</t>
        </is>
      </c>
      <c r="G9543" t="inlineStr">
        <is>
          <t>FILIPSTAD</t>
        </is>
      </c>
      <c r="H9543" t="inlineStr">
        <is>
          <t>Bergvik skog väst AB</t>
        </is>
      </c>
      <c r="I9543" t="n">
        <v>1.6</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27076-2026</t>
        </is>
      </c>
      <c r="B9544" t="inlineStr">
        <is>
          <t>avverkningsanmälan</t>
        </is>
      </c>
      <c r="C9544" t="inlineStr">
        <is>
          <t>Föryngringsavverkning</t>
        </is>
      </c>
      <c r="D9544" s="1" t="n">
        <v>46186</v>
      </c>
      <c r="E9544" s="1" t="n">
        <v>46307</v>
      </c>
      <c r="F9544" t="inlineStr">
        <is>
          <t>VÄRMLANDS LÄN</t>
        </is>
      </c>
      <c r="G9544" t="inlineStr">
        <is>
          <t>FORSHAGA</t>
        </is>
      </c>
      <c r="I9544" t="n">
        <v>1.3</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26549-2026</t>
        </is>
      </c>
      <c r="B9545" t="inlineStr">
        <is>
          <t>avverkningsanmälan</t>
        </is>
      </c>
      <c r="C9545" t="inlineStr">
        <is>
          <t>Föryngringsavverkning</t>
        </is>
      </c>
      <c r="D9545" s="1" t="n">
        <v>46183</v>
      </c>
      <c r="E9545" s="1" t="n">
        <v>46307</v>
      </c>
      <c r="F9545" t="inlineStr">
        <is>
          <t>VÄRMLANDS LÄN</t>
        </is>
      </c>
      <c r="G9545" t="inlineStr">
        <is>
          <t>FILIPSTAD</t>
        </is>
      </c>
      <c r="H9545" t="inlineStr">
        <is>
          <t>Bergvik skog väst AB</t>
        </is>
      </c>
      <c r="I9545" t="n">
        <v>1.6</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27079-2026</t>
        </is>
      </c>
      <c r="B9546" t="inlineStr">
        <is>
          <t>avverkningsanmälan</t>
        </is>
      </c>
      <c r="C9546" t="inlineStr">
        <is>
          <t>Föryngringsavverkning</t>
        </is>
      </c>
      <c r="D9546" s="1" t="n">
        <v>46186</v>
      </c>
      <c r="E9546" s="1" t="n">
        <v>46307</v>
      </c>
      <c r="F9546" t="inlineStr">
        <is>
          <t>VÄRMLANDS LÄN</t>
        </is>
      </c>
      <c r="G9546" t="inlineStr">
        <is>
          <t>FILIPSTAD</t>
        </is>
      </c>
      <c r="H9546" t="inlineStr">
        <is>
          <t>Bergvik skog väst AB</t>
        </is>
      </c>
      <c r="I9546" t="n">
        <v>11.7</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26937-2026</t>
        </is>
      </c>
      <c r="B9547" t="inlineStr">
        <is>
          <t>avverkningsanmälan</t>
        </is>
      </c>
      <c r="C9547" t="inlineStr">
        <is>
          <t>Föryngringsavverkning</t>
        </is>
      </c>
      <c r="D9547" s="1" t="n">
        <v>46185</v>
      </c>
      <c r="E9547" s="1" t="n">
        <v>46307</v>
      </c>
      <c r="F9547" t="inlineStr">
        <is>
          <t>VÄRMLANDS LÄN</t>
        </is>
      </c>
      <c r="G9547" t="inlineStr">
        <is>
          <t>ÅRJÄNG</t>
        </is>
      </c>
      <c r="I9547" t="n">
        <v>2.9</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27287-2026</t>
        </is>
      </c>
      <c r="B9548" t="inlineStr">
        <is>
          <t>avverkningsanmälan</t>
        </is>
      </c>
      <c r="C9548" t="inlineStr">
        <is>
          <t>Föryngringsavverkning</t>
        </is>
      </c>
      <c r="D9548" s="1" t="n">
        <v>46188</v>
      </c>
      <c r="E9548" s="1" t="n">
        <v>46307</v>
      </c>
      <c r="F9548" t="inlineStr">
        <is>
          <t>VÄRMLANDS LÄN</t>
        </is>
      </c>
      <c r="G9548" t="inlineStr">
        <is>
          <t>ARVIKA</t>
        </is>
      </c>
      <c r="I9548" t="n">
        <v>1</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27291-2026</t>
        </is>
      </c>
      <c r="B9549" t="inlineStr">
        <is>
          <t>avverkningsanmälan</t>
        </is>
      </c>
      <c r="C9549" t="inlineStr">
        <is>
          <t>Föryngringsavverkning</t>
        </is>
      </c>
      <c r="D9549" s="1" t="n">
        <v>46188</v>
      </c>
      <c r="E9549" s="1" t="n">
        <v>46307</v>
      </c>
      <c r="F9549" t="inlineStr">
        <is>
          <t>VÄRMLANDS LÄN</t>
        </is>
      </c>
      <c r="G9549" t="inlineStr">
        <is>
          <t>TORSBY</t>
        </is>
      </c>
      <c r="H9549" t="inlineStr">
        <is>
          <t>Bergvik skog väst AB</t>
        </is>
      </c>
      <c r="I9549" t="n">
        <v>12.6</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27300-2026</t>
        </is>
      </c>
      <c r="B9550" t="inlineStr">
        <is>
          <t>avverkningsanmälan</t>
        </is>
      </c>
      <c r="C9550" t="inlineStr">
        <is>
          <t>Föryngringsavverkning</t>
        </is>
      </c>
      <c r="D9550" s="1" t="n">
        <v>46188</v>
      </c>
      <c r="E9550" s="1" t="n">
        <v>46307</v>
      </c>
      <c r="F9550" t="inlineStr">
        <is>
          <t>VÄRMLANDS LÄN</t>
        </is>
      </c>
      <c r="G9550" t="inlineStr">
        <is>
          <t>FILIPSTAD</t>
        </is>
      </c>
      <c r="H9550" t="inlineStr">
        <is>
          <t>Bergvik skog väst AB</t>
        </is>
      </c>
      <c r="I9550" t="n">
        <v>2.5</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27306-2026</t>
        </is>
      </c>
      <c r="B9551" t="inlineStr">
        <is>
          <t>avverkningsanmälan</t>
        </is>
      </c>
      <c r="C9551" t="inlineStr">
        <is>
          <t>Föryngringsavverkning</t>
        </is>
      </c>
      <c r="D9551" s="1" t="n">
        <v>46188</v>
      </c>
      <c r="E9551" s="1" t="n">
        <v>46307</v>
      </c>
      <c r="F9551" t="inlineStr">
        <is>
          <t>VÄRMLANDS LÄN</t>
        </is>
      </c>
      <c r="G9551" t="inlineStr">
        <is>
          <t>HAGFORS</t>
        </is>
      </c>
      <c r="H9551" t="inlineStr">
        <is>
          <t>Bergvik skog väst AB</t>
        </is>
      </c>
      <c r="I9551" t="n">
        <v>1.4</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27308-2026</t>
        </is>
      </c>
      <c r="B9552" t="inlineStr">
        <is>
          <t>avverkningsanmälan</t>
        </is>
      </c>
      <c r="C9552" t="inlineStr">
        <is>
          <t>Föryngringsavverkning</t>
        </is>
      </c>
      <c r="D9552" s="1" t="n">
        <v>46188</v>
      </c>
      <c r="E9552" s="1" t="n">
        <v>46307</v>
      </c>
      <c r="F9552" t="inlineStr">
        <is>
          <t>VÄRMLANDS LÄN</t>
        </is>
      </c>
      <c r="G9552" t="inlineStr">
        <is>
          <t>SUNNE</t>
        </is>
      </c>
      <c r="I9552" t="n">
        <v>1.1</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27347-2026</t>
        </is>
      </c>
      <c r="B9553" t="inlineStr">
        <is>
          <t>avverkningsanmälan</t>
        </is>
      </c>
      <c r="C9553" t="inlineStr">
        <is>
          <t>Föryngringsavverkning</t>
        </is>
      </c>
      <c r="D9553" s="1" t="n">
        <v>46188</v>
      </c>
      <c r="E9553" s="1" t="n">
        <v>46307</v>
      </c>
      <c r="F9553" t="inlineStr">
        <is>
          <t>VÄRMLANDS LÄN</t>
        </is>
      </c>
      <c r="G9553" t="inlineStr">
        <is>
          <t>TORSBY</t>
        </is>
      </c>
      <c r="H9553" t="inlineStr">
        <is>
          <t>Bergvik skog väst AB</t>
        </is>
      </c>
      <c r="I9553" t="n">
        <v>4.6</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27352-2026</t>
        </is>
      </c>
      <c r="B9554" t="inlineStr">
        <is>
          <t>avverkningsanmälan</t>
        </is>
      </c>
      <c r="C9554" t="inlineStr">
        <is>
          <t>Föryngringsavverkning</t>
        </is>
      </c>
      <c r="D9554" s="1" t="n">
        <v>46188</v>
      </c>
      <c r="E9554" s="1" t="n">
        <v>46307</v>
      </c>
      <c r="F9554" t="inlineStr">
        <is>
          <t>VÄRMLANDS LÄN</t>
        </is>
      </c>
      <c r="G9554" t="inlineStr">
        <is>
          <t>ARVIKA</t>
        </is>
      </c>
      <c r="H9554" t="inlineStr">
        <is>
          <t>Bergvik skog väst AB</t>
        </is>
      </c>
      <c r="I9554" t="n">
        <v>2</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27260-2026</t>
        </is>
      </c>
      <c r="B9555" t="inlineStr">
        <is>
          <t>avverkningsanmälan</t>
        </is>
      </c>
      <c r="C9555" t="inlineStr">
        <is>
          <t>Föryngringsavverkning</t>
        </is>
      </c>
      <c r="D9555" s="1" t="n">
        <v>46188</v>
      </c>
      <c r="E9555" s="1" t="n">
        <v>46307</v>
      </c>
      <c r="F9555" t="inlineStr">
        <is>
          <t>VÄRMLANDS LÄN</t>
        </is>
      </c>
      <c r="G9555" t="inlineStr">
        <is>
          <t>SUNNE</t>
        </is>
      </c>
      <c r="I9555" t="n">
        <v>11.1</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27106-2026</t>
        </is>
      </c>
      <c r="B9556" t="inlineStr">
        <is>
          <t>avverkningsanmälan</t>
        </is>
      </c>
      <c r="C9556" t="inlineStr">
        <is>
          <t>Föryngringsavverkning</t>
        </is>
      </c>
      <c r="D9556" s="1" t="n">
        <v>46188</v>
      </c>
      <c r="E9556" s="1" t="n">
        <v>46307</v>
      </c>
      <c r="F9556" t="inlineStr">
        <is>
          <t>VÄRMLANDS LÄN</t>
        </is>
      </c>
      <c r="G9556" t="inlineStr">
        <is>
          <t>TORSBY</t>
        </is>
      </c>
      <c r="I9556" t="n">
        <v>10.1</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27110-2026</t>
        </is>
      </c>
      <c r="B9557" t="inlineStr">
        <is>
          <t>avverkningsanmälan</t>
        </is>
      </c>
      <c r="C9557" t="inlineStr">
        <is>
          <t>Föryngringsavverkning</t>
        </is>
      </c>
      <c r="D9557" s="1" t="n">
        <v>46188</v>
      </c>
      <c r="E9557" s="1" t="n">
        <v>46307</v>
      </c>
      <c r="F9557" t="inlineStr">
        <is>
          <t>VÄRMLANDS LÄN</t>
        </is>
      </c>
      <c r="G9557" t="inlineStr">
        <is>
          <t>SUNNE</t>
        </is>
      </c>
      <c r="I9557" t="n">
        <v>15</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27244-2026</t>
        </is>
      </c>
      <c r="B9558" t="inlineStr">
        <is>
          <t>avverkningsanmälan</t>
        </is>
      </c>
      <c r="C9558" t="inlineStr">
        <is>
          <t>Föryngringsavverkning</t>
        </is>
      </c>
      <c r="D9558" s="1" t="n">
        <v>46188</v>
      </c>
      <c r="E9558" s="1" t="n">
        <v>46307</v>
      </c>
      <c r="F9558" t="inlineStr">
        <is>
          <t>VÄRMLANDS LÄN</t>
        </is>
      </c>
      <c r="G9558" t="inlineStr">
        <is>
          <t>SUNNE</t>
        </is>
      </c>
      <c r="I9558" t="n">
        <v>0.5</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27252-2026</t>
        </is>
      </c>
      <c r="B9559" t="inlineStr">
        <is>
          <t>avverkningsanmälan</t>
        </is>
      </c>
      <c r="C9559" t="inlineStr">
        <is>
          <t>Föryngringsavverkning</t>
        </is>
      </c>
      <c r="D9559" s="1" t="n">
        <v>46188</v>
      </c>
      <c r="E9559" s="1" t="n">
        <v>46307</v>
      </c>
      <c r="F9559" t="inlineStr">
        <is>
          <t>VÄRMLANDS LÄN</t>
        </is>
      </c>
      <c r="G9559" t="inlineStr">
        <is>
          <t>FORSHAGA</t>
        </is>
      </c>
      <c r="I9559" t="n">
        <v>1.1</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27190-2026</t>
        </is>
      </c>
      <c r="B9560" t="inlineStr">
        <is>
          <t>avverkningsanmälan</t>
        </is>
      </c>
      <c r="C9560" t="inlineStr">
        <is>
          <t>Föryngringsavverkning</t>
        </is>
      </c>
      <c r="D9560" s="1" t="n">
        <v>46188</v>
      </c>
      <c r="E9560" s="1" t="n">
        <v>46307</v>
      </c>
      <c r="F9560" t="inlineStr">
        <is>
          <t>VÄRMLANDS LÄN</t>
        </is>
      </c>
      <c r="G9560" t="inlineStr">
        <is>
          <t>TORSBY</t>
        </is>
      </c>
      <c r="I9560" t="n">
        <v>1.2</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27210-2026</t>
        </is>
      </c>
      <c r="B9561" t="inlineStr">
        <is>
          <t>avverkningsanmälan</t>
        </is>
      </c>
      <c r="C9561" t="inlineStr">
        <is>
          <t>Föryngringsavverkning</t>
        </is>
      </c>
      <c r="D9561" s="1" t="n">
        <v>46188</v>
      </c>
      <c r="E9561" s="1" t="n">
        <v>46307</v>
      </c>
      <c r="F9561" t="inlineStr">
        <is>
          <t>VÄRMLANDS LÄN</t>
        </is>
      </c>
      <c r="G9561" t="inlineStr">
        <is>
          <t>HAGFORS</t>
        </is>
      </c>
      <c r="H9561" t="inlineStr">
        <is>
          <t>Bergvik skog väst AB</t>
        </is>
      </c>
      <c r="I9561" t="n">
        <v>17.2</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27221-2026</t>
        </is>
      </c>
      <c r="B9562" t="inlineStr">
        <is>
          <t>avverkningsanmälan</t>
        </is>
      </c>
      <c r="C9562" t="inlineStr">
        <is>
          <t>Föryngringsavverkning</t>
        </is>
      </c>
      <c r="D9562" s="1" t="n">
        <v>46188</v>
      </c>
      <c r="E9562" s="1" t="n">
        <v>46307</v>
      </c>
      <c r="F9562" t="inlineStr">
        <is>
          <t>VÄRMLANDS LÄN</t>
        </is>
      </c>
      <c r="G9562" t="inlineStr">
        <is>
          <t>ARVIKA</t>
        </is>
      </c>
      <c r="H9562" t="inlineStr">
        <is>
          <t>Bergvik skog väst AB</t>
        </is>
      </c>
      <c r="I9562" t="n">
        <v>5.8</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27225-2026</t>
        </is>
      </c>
      <c r="B9563" t="inlineStr">
        <is>
          <t>avverkningsanmälan</t>
        </is>
      </c>
      <c r="C9563" t="inlineStr">
        <is>
          <t>Föryngringsavverkning</t>
        </is>
      </c>
      <c r="D9563" s="1" t="n">
        <v>46188</v>
      </c>
      <c r="E9563" s="1" t="n">
        <v>46307</v>
      </c>
      <c r="F9563" t="inlineStr">
        <is>
          <t>VÄRMLANDS LÄN</t>
        </is>
      </c>
      <c r="G9563" t="inlineStr">
        <is>
          <t>ARVIKA</t>
        </is>
      </c>
      <c r="H9563" t="inlineStr">
        <is>
          <t>Bergvik skog väst AB</t>
        </is>
      </c>
      <c r="I9563" t="n">
        <v>1.8</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27249-2026</t>
        </is>
      </c>
      <c r="B9564" t="inlineStr">
        <is>
          <t>avverkningsanmälan</t>
        </is>
      </c>
      <c r="C9564" t="inlineStr">
        <is>
          <t>Föryngringsavverkning</t>
        </is>
      </c>
      <c r="D9564" s="1" t="n">
        <v>46188</v>
      </c>
      <c r="E9564" s="1" t="n">
        <v>46307</v>
      </c>
      <c r="F9564" t="inlineStr">
        <is>
          <t>VÄRMLANDS LÄN</t>
        </is>
      </c>
      <c r="G9564" t="inlineStr">
        <is>
          <t>TORSBY</t>
        </is>
      </c>
      <c r="H9564" t="inlineStr">
        <is>
          <t>Bergvik skog väst AB</t>
        </is>
      </c>
      <c r="I9564" t="n">
        <v>1</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27268-2026</t>
        </is>
      </c>
      <c r="B9565" t="inlineStr">
        <is>
          <t>avverkningsanmälan</t>
        </is>
      </c>
      <c r="C9565" t="inlineStr">
        <is>
          <t>Föryngringsavverkning</t>
        </is>
      </c>
      <c r="D9565" s="1" t="n">
        <v>46188</v>
      </c>
      <c r="E9565" s="1" t="n">
        <v>46307</v>
      </c>
      <c r="F9565" t="inlineStr">
        <is>
          <t>VÄRMLANDS LÄN</t>
        </is>
      </c>
      <c r="G9565" t="inlineStr">
        <is>
          <t>HAGFORS</t>
        </is>
      </c>
      <c r="H9565" t="inlineStr">
        <is>
          <t>Bergvik skog väst AB</t>
        </is>
      </c>
      <c r="I9565" t="n">
        <v>1.5</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27358-2026</t>
        </is>
      </c>
      <c r="B9566" t="inlineStr">
        <is>
          <t>avverkningsanmälan</t>
        </is>
      </c>
      <c r="C9566" t="inlineStr">
        <is>
          <t>Föryngringsavverkning</t>
        </is>
      </c>
      <c r="D9566" s="1" t="n">
        <v>46188</v>
      </c>
      <c r="E9566" s="1" t="n">
        <v>46307</v>
      </c>
      <c r="F9566" t="inlineStr">
        <is>
          <t>VÄRMLANDS LÄN</t>
        </is>
      </c>
      <c r="G9566" t="inlineStr">
        <is>
          <t>ARVIKA</t>
        </is>
      </c>
      <c r="H9566" t="inlineStr">
        <is>
          <t>Bergvik skog väst AB</t>
        </is>
      </c>
      <c r="I9566" t="n">
        <v>4.8</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27158-2026</t>
        </is>
      </c>
      <c r="B9567" t="inlineStr">
        <is>
          <t>avverkningsanmälan</t>
        </is>
      </c>
      <c r="C9567" t="inlineStr">
        <is>
          <t>Avverkning för annat ändamål</t>
        </is>
      </c>
      <c r="D9567" s="1" t="n">
        <v>46188</v>
      </c>
      <c r="E9567" s="1" t="n">
        <v>46307</v>
      </c>
      <c r="F9567" t="inlineStr">
        <is>
          <t>VÄRMLANDS LÄN</t>
        </is>
      </c>
      <c r="G9567" t="inlineStr">
        <is>
          <t>TORSBY</t>
        </is>
      </c>
      <c r="H9567" t="inlineStr">
        <is>
          <t>Bergvik skog väst AB</t>
        </is>
      </c>
      <c r="I9567" t="n">
        <v>1.2</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27372-2026</t>
        </is>
      </c>
      <c r="B9568" t="inlineStr">
        <is>
          <t>avverkningsanmälan</t>
        </is>
      </c>
      <c r="C9568" t="inlineStr">
        <is>
          <t>Föryngringsavverkning</t>
        </is>
      </c>
      <c r="D9568" s="1" t="n">
        <v>46188</v>
      </c>
      <c r="E9568" s="1" t="n">
        <v>46307</v>
      </c>
      <c r="F9568" t="inlineStr">
        <is>
          <t>VÄRMLANDS LÄN</t>
        </is>
      </c>
      <c r="G9568" t="inlineStr">
        <is>
          <t>FILIPSTAD</t>
        </is>
      </c>
      <c r="H9568" t="inlineStr">
        <is>
          <t>Bergvik skog väst AB</t>
        </is>
      </c>
      <c r="I9568" t="n">
        <v>7.4</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27394-2026</t>
        </is>
      </c>
      <c r="B9569" t="inlineStr">
        <is>
          <t>avverkningsanmälan</t>
        </is>
      </c>
      <c r="C9569" t="inlineStr">
        <is>
          <t>Föryngringsavverkning</t>
        </is>
      </c>
      <c r="D9569" s="1" t="n">
        <v>46189</v>
      </c>
      <c r="E9569" s="1" t="n">
        <v>46307</v>
      </c>
      <c r="F9569" t="inlineStr">
        <is>
          <t>VÄRMLANDS LÄN</t>
        </is>
      </c>
      <c r="G9569" t="inlineStr">
        <is>
          <t>HAGFORS</t>
        </is>
      </c>
      <c r="I9569" t="n">
        <v>3.8</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27423-2026</t>
        </is>
      </c>
      <c r="B9570" t="inlineStr">
        <is>
          <t>avverkningsanmälan</t>
        </is>
      </c>
      <c r="C9570" t="inlineStr">
        <is>
          <t>Föryngringsavverkning</t>
        </is>
      </c>
      <c r="D9570" s="1" t="n">
        <v>46189</v>
      </c>
      <c r="E9570" s="1" t="n">
        <v>46307</v>
      </c>
      <c r="F9570" t="inlineStr">
        <is>
          <t>VÄRMLANDS LÄN</t>
        </is>
      </c>
      <c r="G9570" t="inlineStr">
        <is>
          <t>TORSBY</t>
        </is>
      </c>
      <c r="H9570" t="inlineStr">
        <is>
          <t>Bergvik skog väst AB</t>
        </is>
      </c>
      <c r="I9570" t="n">
        <v>1.5</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27520-2026</t>
        </is>
      </c>
      <c r="B9571" t="inlineStr">
        <is>
          <t>avverkningsanmälan</t>
        </is>
      </c>
      <c r="C9571" t="inlineStr">
        <is>
          <t>Föryngringsavverkning</t>
        </is>
      </c>
      <c r="D9571" s="1" t="n">
        <v>46189</v>
      </c>
      <c r="E9571" s="1" t="n">
        <v>46307</v>
      </c>
      <c r="F9571" t="inlineStr">
        <is>
          <t>VÄRMLANDS LÄN</t>
        </is>
      </c>
      <c r="G9571" t="inlineStr">
        <is>
          <t>ÅRJÄNG</t>
        </is>
      </c>
      <c r="I9571" t="n">
        <v>0.6</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27409-2026</t>
        </is>
      </c>
      <c r="B9572" t="inlineStr">
        <is>
          <t>avverkningsanmälan</t>
        </is>
      </c>
      <c r="C9572" t="inlineStr">
        <is>
          <t>Föryngringsavverkning</t>
        </is>
      </c>
      <c r="D9572" s="1" t="n">
        <v>46189</v>
      </c>
      <c r="E9572" s="1" t="n">
        <v>46307</v>
      </c>
      <c r="F9572" t="inlineStr">
        <is>
          <t>VÄRMLANDS LÄN</t>
        </is>
      </c>
      <c r="G9572" t="inlineStr">
        <is>
          <t>ARVIKA</t>
        </is>
      </c>
      <c r="I9572" t="n">
        <v>1.8</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27355-2026</t>
        </is>
      </c>
      <c r="B9573" t="inlineStr">
        <is>
          <t>avverkningsanmälan</t>
        </is>
      </c>
      <c r="C9573" t="inlineStr">
        <is>
          <t>Föryngringsavverkning</t>
        </is>
      </c>
      <c r="D9573" s="1" t="n">
        <v>46188</v>
      </c>
      <c r="E9573" s="1" t="n">
        <v>46307</v>
      </c>
      <c r="F9573" t="inlineStr">
        <is>
          <t>VÄRMLANDS LÄN</t>
        </is>
      </c>
      <c r="G9573" t="inlineStr">
        <is>
          <t>ARVIKA</t>
        </is>
      </c>
      <c r="H9573" t="inlineStr">
        <is>
          <t>Bergvik skog väst AB</t>
        </is>
      </c>
      <c r="I9573" t="n">
        <v>4.3</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8114-2026</t>
        </is>
      </c>
      <c r="B9574" t="inlineStr">
        <is>
          <t>avverkningsanmälan</t>
        </is>
      </c>
      <c r="C9574" t="inlineStr">
        <is>
          <t>Föryngringsavverkning</t>
        </is>
      </c>
      <c r="D9574" s="1" t="n">
        <v>46062</v>
      </c>
      <c r="E9574" s="1" t="n">
        <v>46307</v>
      </c>
      <c r="F9574" t="inlineStr">
        <is>
          <t>VÄRMLANDS LÄN</t>
        </is>
      </c>
      <c r="G9574" t="inlineStr">
        <is>
          <t>SÄFFLE</t>
        </is>
      </c>
      <c r="I9574" t="n">
        <v>1.9</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27303-2026</t>
        </is>
      </c>
      <c r="B9575" t="inlineStr">
        <is>
          <t>avverkningsanmälan</t>
        </is>
      </c>
      <c r="C9575" t="inlineStr">
        <is>
          <t>Föryngringsavverkning</t>
        </is>
      </c>
      <c r="D9575" s="1" t="n">
        <v>46188</v>
      </c>
      <c r="E9575" s="1" t="n">
        <v>46307</v>
      </c>
      <c r="F9575" t="inlineStr">
        <is>
          <t>VÄRMLANDS LÄN</t>
        </is>
      </c>
      <c r="G9575" t="inlineStr">
        <is>
          <t>TORSBY</t>
        </is>
      </c>
      <c r="H9575" t="inlineStr">
        <is>
          <t>Bergvik skog väst AB</t>
        </is>
      </c>
      <c r="I9575" t="n">
        <v>3.5</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27276-2026</t>
        </is>
      </c>
      <c r="B9576" t="inlineStr">
        <is>
          <t>avverkningsanmälan</t>
        </is>
      </c>
      <c r="C9576" t="inlineStr">
        <is>
          <t>Föryngringsavverkning</t>
        </is>
      </c>
      <c r="D9576" s="1" t="n">
        <v>46188</v>
      </c>
      <c r="E9576" s="1" t="n">
        <v>46307</v>
      </c>
      <c r="F9576" t="inlineStr">
        <is>
          <t>VÄRMLANDS LÄN</t>
        </is>
      </c>
      <c r="G9576" t="inlineStr">
        <is>
          <t>SUNNE</t>
        </is>
      </c>
      <c r="H9576" t="inlineStr">
        <is>
          <t>Bergvik skog väst AB</t>
        </is>
      </c>
      <c r="I9576" t="n">
        <v>14.9</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27280-2026</t>
        </is>
      </c>
      <c r="B9577" t="inlineStr">
        <is>
          <t>avverkningsanmälan</t>
        </is>
      </c>
      <c r="C9577" t="inlineStr">
        <is>
          <t>Föryngringsavverkning</t>
        </is>
      </c>
      <c r="D9577" s="1" t="n">
        <v>46188</v>
      </c>
      <c r="E9577" s="1" t="n">
        <v>46307</v>
      </c>
      <c r="F9577" t="inlineStr">
        <is>
          <t>VÄRMLANDS LÄN</t>
        </is>
      </c>
      <c r="G9577" t="inlineStr">
        <is>
          <t>HAGFORS</t>
        </is>
      </c>
      <c r="H9577" t="inlineStr">
        <is>
          <t>Bergvik skog väst AB</t>
        </is>
      </c>
      <c r="I9577" t="n">
        <v>2.8</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60343-2025</t>
        </is>
      </c>
      <c r="B9578" t="inlineStr">
        <is>
          <t>avverkningsanmälan</t>
        </is>
      </c>
      <c r="C9578" t="inlineStr">
        <is>
          <t>Föryngringsavverkning</t>
        </is>
      </c>
      <c r="D9578" s="1" t="n">
        <v>45994</v>
      </c>
      <c r="E9578" s="1" t="n">
        <v>46307</v>
      </c>
      <c r="F9578" t="inlineStr">
        <is>
          <t>VÄRMLANDS LÄN</t>
        </is>
      </c>
      <c r="G9578" t="inlineStr">
        <is>
          <t>ARVIKA</t>
        </is>
      </c>
      <c r="I9578" t="n">
        <v>2.9</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27472-2026</t>
        </is>
      </c>
      <c r="B9579" t="inlineStr">
        <is>
          <t>avverkningsanmälan</t>
        </is>
      </c>
      <c r="C9579" t="inlineStr">
        <is>
          <t>Föryngringsavverkning</t>
        </is>
      </c>
      <c r="D9579" s="1" t="n">
        <v>46189</v>
      </c>
      <c r="E9579" s="1" t="n">
        <v>46307</v>
      </c>
      <c r="F9579" t="inlineStr">
        <is>
          <t>VÄRMLANDS LÄN</t>
        </is>
      </c>
      <c r="G9579" t="inlineStr">
        <is>
          <t>HAGFORS</t>
        </is>
      </c>
      <c r="I9579" t="n">
        <v>1.8</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27929-2026</t>
        </is>
      </c>
      <c r="B9580" t="inlineStr">
        <is>
          <t>avverkningsanmälan</t>
        </is>
      </c>
      <c r="C9580" t="inlineStr">
        <is>
          <t>Föryngringsavverkning</t>
        </is>
      </c>
      <c r="D9580" s="1" t="n">
        <v>46191</v>
      </c>
      <c r="E9580" s="1" t="n">
        <v>46307</v>
      </c>
      <c r="F9580" t="inlineStr">
        <is>
          <t>VÄRMLANDS LÄN</t>
        </is>
      </c>
      <c r="G9580" t="inlineStr">
        <is>
          <t>HAGFORS</t>
        </is>
      </c>
      <c r="I9580" t="n">
        <v>1.5</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27829-2026</t>
        </is>
      </c>
      <c r="B9581" t="inlineStr">
        <is>
          <t>avverkningsanmälan</t>
        </is>
      </c>
      <c r="C9581" t="inlineStr">
        <is>
          <t>Föryngringsavverkning</t>
        </is>
      </c>
      <c r="D9581" s="1" t="n">
        <v>46191</v>
      </c>
      <c r="E9581" s="1" t="n">
        <v>46307</v>
      </c>
      <c r="F9581" t="inlineStr">
        <is>
          <t>VÄRMLANDS LÄN</t>
        </is>
      </c>
      <c r="G9581" t="inlineStr">
        <is>
          <t>TORSBY</t>
        </is>
      </c>
      <c r="H9581" t="inlineStr">
        <is>
          <t>Bergvik skog väst AB</t>
        </is>
      </c>
      <c r="I9581" t="n">
        <v>11.8</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27560-2026</t>
        </is>
      </c>
      <c r="B9582" t="inlineStr">
        <is>
          <t>avverkningsanmälan</t>
        </is>
      </c>
      <c r="C9582" t="inlineStr">
        <is>
          <t>Föryngringsavverkning</t>
        </is>
      </c>
      <c r="D9582" s="1" t="n">
        <v>46190</v>
      </c>
      <c r="E9582" s="1" t="n">
        <v>46307</v>
      </c>
      <c r="F9582" t="inlineStr">
        <is>
          <t>VÄRMLANDS LÄN</t>
        </is>
      </c>
      <c r="G9582" t="inlineStr">
        <is>
          <t>ÅRJÄNG</t>
        </is>
      </c>
      <c r="H9582" t="inlineStr">
        <is>
          <t>Kyrkan</t>
        </is>
      </c>
      <c r="I9582" t="n">
        <v>3.3</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27568-2026</t>
        </is>
      </c>
      <c r="B9583" t="inlineStr">
        <is>
          <t>avverkningsanmälan</t>
        </is>
      </c>
      <c r="C9583" t="inlineStr">
        <is>
          <t>Föryngringsavverkning</t>
        </is>
      </c>
      <c r="D9583" s="1" t="n">
        <v>46190</v>
      </c>
      <c r="E9583" s="1" t="n">
        <v>46307</v>
      </c>
      <c r="F9583" t="inlineStr">
        <is>
          <t>VÄRMLANDS LÄN</t>
        </is>
      </c>
      <c r="G9583" t="inlineStr">
        <is>
          <t>KRISTINEHAMN</t>
        </is>
      </c>
      <c r="I9583" t="n">
        <v>0.8</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27642-2026</t>
        </is>
      </c>
      <c r="B9584" t="inlineStr">
        <is>
          <t>avverkningsanmälan</t>
        </is>
      </c>
      <c r="C9584" t="inlineStr">
        <is>
          <t>Föryngringsavverkning</t>
        </is>
      </c>
      <c r="D9584" s="1" t="n">
        <v>46190</v>
      </c>
      <c r="E9584" s="1" t="n">
        <v>46307</v>
      </c>
      <c r="F9584" t="inlineStr">
        <is>
          <t>VÄRMLANDS LÄN</t>
        </is>
      </c>
      <c r="G9584" t="inlineStr">
        <is>
          <t>TORSBY</t>
        </is>
      </c>
      <c r="H9584" t="inlineStr">
        <is>
          <t>Bergvik skog väst AB</t>
        </is>
      </c>
      <c r="I9584" t="n">
        <v>4.2</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27718-2026</t>
        </is>
      </c>
      <c r="B9585" t="inlineStr">
        <is>
          <t>avverkningsanmälan</t>
        </is>
      </c>
      <c r="C9585" t="inlineStr">
        <is>
          <t>Föryngringsavverkning</t>
        </is>
      </c>
      <c r="D9585" s="1" t="n">
        <v>46190</v>
      </c>
      <c r="E9585" s="1" t="n">
        <v>46307</v>
      </c>
      <c r="F9585" t="inlineStr">
        <is>
          <t>VÄRMLANDS LÄN</t>
        </is>
      </c>
      <c r="G9585" t="inlineStr">
        <is>
          <t>SUNNE</t>
        </is>
      </c>
      <c r="I9585" t="n">
        <v>0.8</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27559-2026</t>
        </is>
      </c>
      <c r="B9586" t="inlineStr">
        <is>
          <t>avverkningsanmälan</t>
        </is>
      </c>
      <c r="C9586" t="inlineStr">
        <is>
          <t>Föryngringsavverkning</t>
        </is>
      </c>
      <c r="D9586" s="1" t="n">
        <v>46190</v>
      </c>
      <c r="E9586" s="1" t="n">
        <v>46307</v>
      </c>
      <c r="F9586" t="inlineStr">
        <is>
          <t>VÄRMLANDS LÄN</t>
        </is>
      </c>
      <c r="G9586" t="inlineStr">
        <is>
          <t>KARLSTAD</t>
        </is>
      </c>
      <c r="I9586" t="n">
        <v>2.5</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27576-2026</t>
        </is>
      </c>
      <c r="B9587" t="inlineStr">
        <is>
          <t>avverkningsanmälan</t>
        </is>
      </c>
      <c r="C9587" t="inlineStr">
        <is>
          <t>Föryngringsavverkning</t>
        </is>
      </c>
      <c r="D9587" s="1" t="n">
        <v>46190</v>
      </c>
      <c r="E9587" s="1" t="n">
        <v>46307</v>
      </c>
      <c r="F9587" t="inlineStr">
        <is>
          <t>VÄRMLANDS LÄN</t>
        </is>
      </c>
      <c r="G9587" t="inlineStr">
        <is>
          <t>KARLSTAD</t>
        </is>
      </c>
      <c r="I9587" t="n">
        <v>2</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27774-2026</t>
        </is>
      </c>
      <c r="B9588" t="inlineStr">
        <is>
          <t>avverkningsanmälan</t>
        </is>
      </c>
      <c r="C9588" t="inlineStr">
        <is>
          <t>Föryngringsavverkning</t>
        </is>
      </c>
      <c r="D9588" s="1" t="n">
        <v>46191</v>
      </c>
      <c r="E9588" s="1" t="n">
        <v>46307</v>
      </c>
      <c r="F9588" t="inlineStr">
        <is>
          <t>VÄRMLANDS LÄN</t>
        </is>
      </c>
      <c r="G9588" t="inlineStr">
        <is>
          <t>FILIPSTAD</t>
        </is>
      </c>
      <c r="H9588" t="inlineStr">
        <is>
          <t>Bergvik skog väst AB</t>
        </is>
      </c>
      <c r="I9588" t="n">
        <v>5.5</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27799-2026</t>
        </is>
      </c>
      <c r="B9589" t="inlineStr">
        <is>
          <t>avverkningsanmälan</t>
        </is>
      </c>
      <c r="C9589" t="inlineStr">
        <is>
          <t>Föryngringsavverkning</t>
        </is>
      </c>
      <c r="D9589" s="1" t="n">
        <v>46191</v>
      </c>
      <c r="E9589" s="1" t="n">
        <v>46307</v>
      </c>
      <c r="F9589" t="inlineStr">
        <is>
          <t>VÄRMLANDS LÄN</t>
        </is>
      </c>
      <c r="G9589" t="inlineStr">
        <is>
          <t>HAGFORS</t>
        </is>
      </c>
      <c r="H9589" t="inlineStr">
        <is>
          <t>Bergvik skog väst AB</t>
        </is>
      </c>
      <c r="I9589" t="n">
        <v>4.2</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27814-2026</t>
        </is>
      </c>
      <c r="B9590" t="inlineStr">
        <is>
          <t>avverkningsanmälan</t>
        </is>
      </c>
      <c r="C9590" t="inlineStr">
        <is>
          <t>Föryngringsavverkning</t>
        </is>
      </c>
      <c r="D9590" s="1" t="n">
        <v>46191</v>
      </c>
      <c r="E9590" s="1" t="n">
        <v>46307</v>
      </c>
      <c r="F9590" t="inlineStr">
        <is>
          <t>VÄRMLANDS LÄN</t>
        </is>
      </c>
      <c r="G9590" t="inlineStr">
        <is>
          <t>SUNNE</t>
        </is>
      </c>
      <c r="H9590" t="inlineStr">
        <is>
          <t>Bergvik skog väst AB</t>
        </is>
      </c>
      <c r="I9590" t="n">
        <v>6.2</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27801-2026</t>
        </is>
      </c>
      <c r="B9591" t="inlineStr">
        <is>
          <t>avverkningsanmälan</t>
        </is>
      </c>
      <c r="C9591" t="inlineStr">
        <is>
          <t>Föryngringsavverkning</t>
        </is>
      </c>
      <c r="D9591" s="1" t="n">
        <v>46191</v>
      </c>
      <c r="E9591" s="1" t="n">
        <v>46307</v>
      </c>
      <c r="F9591" t="inlineStr">
        <is>
          <t>VÄRMLANDS LÄN</t>
        </is>
      </c>
      <c r="G9591" t="inlineStr">
        <is>
          <t>TORSBY</t>
        </is>
      </c>
      <c r="H9591" t="inlineStr">
        <is>
          <t>Bergvik skog väst AB</t>
        </is>
      </c>
      <c r="I9591" t="n">
        <v>2.3</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27888-2026</t>
        </is>
      </c>
      <c r="B9592" t="inlineStr">
        <is>
          <t>avverkningsanmälan</t>
        </is>
      </c>
      <c r="C9592" t="inlineStr">
        <is>
          <t>Föryngringsavverkning</t>
        </is>
      </c>
      <c r="D9592" s="1" t="n">
        <v>46191</v>
      </c>
      <c r="E9592" s="1" t="n">
        <v>46307</v>
      </c>
      <c r="F9592" t="inlineStr">
        <is>
          <t>VÄRMLANDS LÄN</t>
        </is>
      </c>
      <c r="G9592" t="inlineStr">
        <is>
          <t>ARVIKA</t>
        </is>
      </c>
      <c r="H9592" t="inlineStr">
        <is>
          <t>Bergvik skog väst AB</t>
        </is>
      </c>
      <c r="I9592" t="n">
        <v>4.5</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27595-2026</t>
        </is>
      </c>
      <c r="B9593" t="inlineStr">
        <is>
          <t>avverkningsanmälan</t>
        </is>
      </c>
      <c r="C9593" t="inlineStr">
        <is>
          <t>Föryngringsavverkning</t>
        </is>
      </c>
      <c r="D9593" s="1" t="n">
        <v>46190</v>
      </c>
      <c r="E9593" s="1" t="n">
        <v>46307</v>
      </c>
      <c r="F9593" t="inlineStr">
        <is>
          <t>VÄRMLANDS LÄN</t>
        </is>
      </c>
      <c r="G9593" t="inlineStr">
        <is>
          <t>FILIPSTAD</t>
        </is>
      </c>
      <c r="H9593" t="inlineStr">
        <is>
          <t>Bergvik skog väst AB</t>
        </is>
      </c>
      <c r="I9593" t="n">
        <v>2.4</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27638-2026</t>
        </is>
      </c>
      <c r="B9594" t="inlineStr">
        <is>
          <t>avverkningsanmälan</t>
        </is>
      </c>
      <c r="C9594" t="inlineStr">
        <is>
          <t>Avverkning för annat ändamål</t>
        </is>
      </c>
      <c r="D9594" s="1" t="n">
        <v>46190</v>
      </c>
      <c r="E9594" s="1" t="n">
        <v>46307</v>
      </c>
      <c r="F9594" t="inlineStr">
        <is>
          <t>VÄRMLANDS LÄN</t>
        </is>
      </c>
      <c r="G9594" t="inlineStr">
        <is>
          <t>KIL</t>
        </is>
      </c>
      <c r="H9594" t="inlineStr">
        <is>
          <t>Kyrkan</t>
        </is>
      </c>
      <c r="I9594" t="n">
        <v>2.7</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27583-2026</t>
        </is>
      </c>
      <c r="B9595" t="inlineStr">
        <is>
          <t>avverkningsanmälan</t>
        </is>
      </c>
      <c r="C9595" t="inlineStr">
        <is>
          <t>Föryngringsavverkning</t>
        </is>
      </c>
      <c r="D9595" s="1" t="n">
        <v>46190</v>
      </c>
      <c r="E9595" s="1" t="n">
        <v>46307</v>
      </c>
      <c r="F9595" t="inlineStr">
        <is>
          <t>VÄRMLANDS LÄN</t>
        </is>
      </c>
      <c r="G9595" t="inlineStr">
        <is>
          <t>KARLSTAD</t>
        </is>
      </c>
      <c r="I9595" t="n">
        <v>1.6</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27571-2026</t>
        </is>
      </c>
      <c r="B9596" t="inlineStr">
        <is>
          <t>avverkningsanmälan</t>
        </is>
      </c>
      <c r="C9596" t="inlineStr">
        <is>
          <t>Föryngringsavverkning</t>
        </is>
      </c>
      <c r="D9596" s="1" t="n">
        <v>46190</v>
      </c>
      <c r="E9596" s="1" t="n">
        <v>46307</v>
      </c>
      <c r="F9596" t="inlineStr">
        <is>
          <t>VÄRMLANDS LÄN</t>
        </is>
      </c>
      <c r="G9596" t="inlineStr">
        <is>
          <t>KARLSTAD</t>
        </is>
      </c>
      <c r="I9596" t="n">
        <v>6.7</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27535-2026</t>
        </is>
      </c>
      <c r="B9597" t="inlineStr">
        <is>
          <t>avverkningsanmälan</t>
        </is>
      </c>
      <c r="C9597" t="inlineStr">
        <is>
          <t>Föryngringsavverkning</t>
        </is>
      </c>
      <c r="D9597" s="1" t="n">
        <v>46190</v>
      </c>
      <c r="E9597" s="1" t="n">
        <v>46307</v>
      </c>
      <c r="F9597" t="inlineStr">
        <is>
          <t>VÄRMLANDS LÄN</t>
        </is>
      </c>
      <c r="G9597" t="inlineStr">
        <is>
          <t>ARVIKA</t>
        </is>
      </c>
      <c r="I9597" t="n">
        <v>1.1</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27563-2026</t>
        </is>
      </c>
      <c r="B9598" t="inlineStr">
        <is>
          <t>avverkningsanmälan</t>
        </is>
      </c>
      <c r="C9598" t="inlineStr">
        <is>
          <t>Föryngringsavverkning</t>
        </is>
      </c>
      <c r="D9598" s="1" t="n">
        <v>46190</v>
      </c>
      <c r="E9598" s="1" t="n">
        <v>46307</v>
      </c>
      <c r="F9598" t="inlineStr">
        <is>
          <t>VÄRMLANDS LÄN</t>
        </is>
      </c>
      <c r="G9598" t="inlineStr">
        <is>
          <t>KRISTINEHAMN</t>
        </is>
      </c>
      <c r="I9598" t="n">
        <v>1.5</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27805-2026</t>
        </is>
      </c>
      <c r="B9599" t="inlineStr">
        <is>
          <t>avverkningsanmälan</t>
        </is>
      </c>
      <c r="C9599" t="inlineStr">
        <is>
          <t>Föryngringsavverkning</t>
        </is>
      </c>
      <c r="D9599" s="1" t="n">
        <v>46191</v>
      </c>
      <c r="E9599" s="1" t="n">
        <v>46307</v>
      </c>
      <c r="F9599" t="inlineStr">
        <is>
          <t>VÄRMLANDS LÄN</t>
        </is>
      </c>
      <c r="G9599" t="inlineStr">
        <is>
          <t>SUNNE</t>
        </is>
      </c>
      <c r="I9599" t="n">
        <v>2.6</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27815-2026</t>
        </is>
      </c>
      <c r="B9600" t="inlineStr">
        <is>
          <t>avverkningsanmälan</t>
        </is>
      </c>
      <c r="C9600" t="inlineStr">
        <is>
          <t>Föryngringsavverkning</t>
        </is>
      </c>
      <c r="D9600" s="1" t="n">
        <v>46191</v>
      </c>
      <c r="E9600" s="1" t="n">
        <v>46307</v>
      </c>
      <c r="F9600" t="inlineStr">
        <is>
          <t>VÄRMLANDS LÄN</t>
        </is>
      </c>
      <c r="G9600" t="inlineStr">
        <is>
          <t>SUNNE</t>
        </is>
      </c>
      <c r="H9600" t="inlineStr">
        <is>
          <t>Bergvik skog väst AB</t>
        </is>
      </c>
      <c r="I9600" t="n">
        <v>2</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27828-2026</t>
        </is>
      </c>
      <c r="B9601" t="inlineStr">
        <is>
          <t>avverkningsanmälan</t>
        </is>
      </c>
      <c r="C9601" t="inlineStr">
        <is>
          <t>Föryngringsavverkning</t>
        </is>
      </c>
      <c r="D9601" s="1" t="n">
        <v>46191</v>
      </c>
      <c r="E9601" s="1" t="n">
        <v>46307</v>
      </c>
      <c r="F9601" t="inlineStr">
        <is>
          <t>VÄRMLANDS LÄN</t>
        </is>
      </c>
      <c r="G9601" t="inlineStr">
        <is>
          <t>ARVIKA</t>
        </is>
      </c>
      <c r="I9601" t="n">
        <v>4</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27867-2026</t>
        </is>
      </c>
      <c r="B9602" t="inlineStr">
        <is>
          <t>avverkningsanmälan</t>
        </is>
      </c>
      <c r="C9602" t="inlineStr">
        <is>
          <t>Föryngringsavverkning</t>
        </is>
      </c>
      <c r="D9602" s="1" t="n">
        <v>46191</v>
      </c>
      <c r="E9602" s="1" t="n">
        <v>46307</v>
      </c>
      <c r="F9602" t="inlineStr">
        <is>
          <t>VÄRMLANDS LÄN</t>
        </is>
      </c>
      <c r="G9602" t="inlineStr">
        <is>
          <t>FILIPSTAD</t>
        </is>
      </c>
      <c r="I9602" t="n">
        <v>2</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27872-2026</t>
        </is>
      </c>
      <c r="B9603" t="inlineStr">
        <is>
          <t>avverkningsanmälan</t>
        </is>
      </c>
      <c r="C9603" t="inlineStr">
        <is>
          <t>Föryngringsavverkning</t>
        </is>
      </c>
      <c r="D9603" s="1" t="n">
        <v>46191</v>
      </c>
      <c r="E9603" s="1" t="n">
        <v>46307</v>
      </c>
      <c r="F9603" t="inlineStr">
        <is>
          <t>VÄRMLANDS LÄN</t>
        </is>
      </c>
      <c r="G9603" t="inlineStr">
        <is>
          <t>SUNNE</t>
        </is>
      </c>
      <c r="I9603" t="n">
        <v>8.1</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23020-2022</t>
        </is>
      </c>
      <c r="B9604" t="inlineStr">
        <is>
          <t>avverkningsanmälan</t>
        </is>
      </c>
      <c r="C9604" t="inlineStr">
        <is>
          <t>Föryngringsavverkning</t>
        </is>
      </c>
      <c r="D9604" s="1" t="n">
        <v>44719</v>
      </c>
      <c r="E9604" s="1" t="n">
        <v>46307</v>
      </c>
      <c r="F9604" t="inlineStr">
        <is>
          <t>VÄRMLANDS LÄN</t>
        </is>
      </c>
      <c r="G9604" t="inlineStr">
        <is>
          <t>FORSHAGA</t>
        </is>
      </c>
      <c r="I9604" t="n">
        <v>4.3</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27968-2026</t>
        </is>
      </c>
      <c r="B9605" t="inlineStr">
        <is>
          <t>avverkningsanmälan</t>
        </is>
      </c>
      <c r="C9605" t="inlineStr">
        <is>
          <t>Föryngringsavverkning</t>
        </is>
      </c>
      <c r="D9605" s="1" t="n">
        <v>46195</v>
      </c>
      <c r="E9605" s="1" t="n">
        <v>46307</v>
      </c>
      <c r="F9605" t="inlineStr">
        <is>
          <t>VÄRMLANDS LÄN</t>
        </is>
      </c>
      <c r="G9605" t="inlineStr">
        <is>
          <t>FILIPSTAD</t>
        </is>
      </c>
      <c r="H9605" t="inlineStr">
        <is>
          <t>Bergvik skog väst AB</t>
        </is>
      </c>
      <c r="I9605" t="n">
        <v>6.3</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28156-2026</t>
        </is>
      </c>
      <c r="B9606" t="inlineStr">
        <is>
          <t>avverkningsanmälan</t>
        </is>
      </c>
      <c r="C9606" t="inlineStr">
        <is>
          <t>Föryngringsavverkning</t>
        </is>
      </c>
      <c r="D9606" s="1" t="n">
        <v>46195</v>
      </c>
      <c r="E9606" s="1" t="n">
        <v>46307</v>
      </c>
      <c r="F9606" t="inlineStr">
        <is>
          <t>VÄRMLANDS LÄN</t>
        </is>
      </c>
      <c r="G9606" t="inlineStr">
        <is>
          <t>TORSBY</t>
        </is>
      </c>
      <c r="I9606" t="n">
        <v>0.8</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28077-2026</t>
        </is>
      </c>
      <c r="B9607" t="inlineStr">
        <is>
          <t>avverkningsanmälan</t>
        </is>
      </c>
      <c r="C9607" t="inlineStr">
        <is>
          <t>Föryngringsavverkning</t>
        </is>
      </c>
      <c r="D9607" s="1" t="n">
        <v>46195</v>
      </c>
      <c r="E9607" s="1" t="n">
        <v>46307</v>
      </c>
      <c r="F9607" t="inlineStr">
        <is>
          <t>VÄRMLANDS LÄN</t>
        </is>
      </c>
      <c r="G9607" t="inlineStr">
        <is>
          <t>EDA</t>
        </is>
      </c>
      <c r="H9607" t="inlineStr">
        <is>
          <t>Bergvik skog väst AB</t>
        </is>
      </c>
      <c r="I9607" t="n">
        <v>1.2</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28094-2026</t>
        </is>
      </c>
      <c r="B9608" t="inlineStr">
        <is>
          <t>avverkningsanmälan</t>
        </is>
      </c>
      <c r="C9608" t="inlineStr">
        <is>
          <t>Föryngringsavverkning</t>
        </is>
      </c>
      <c r="D9608" s="1" t="n">
        <v>46195</v>
      </c>
      <c r="E9608" s="1" t="n">
        <v>46307</v>
      </c>
      <c r="F9608" t="inlineStr">
        <is>
          <t>VÄRMLANDS LÄN</t>
        </is>
      </c>
      <c r="G9608" t="inlineStr">
        <is>
          <t>FILIPSTAD</t>
        </is>
      </c>
      <c r="H9608" t="inlineStr">
        <is>
          <t>Bergvik skog väst AB</t>
        </is>
      </c>
      <c r="I9608" t="n">
        <v>23.8</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28185-2026</t>
        </is>
      </c>
      <c r="B9609" t="inlineStr">
        <is>
          <t>avverkningsanmälan</t>
        </is>
      </c>
      <c r="C9609" t="inlineStr">
        <is>
          <t>Föryngringsavverkning</t>
        </is>
      </c>
      <c r="D9609" s="1" t="n">
        <v>46195</v>
      </c>
      <c r="E9609" s="1" t="n">
        <v>46307</v>
      </c>
      <c r="F9609" t="inlineStr">
        <is>
          <t>VÄRMLANDS LÄN</t>
        </is>
      </c>
      <c r="G9609" t="inlineStr">
        <is>
          <t>HAGFORS</t>
        </is>
      </c>
      <c r="H9609" t="inlineStr">
        <is>
          <t>Bergvik skog väst AB</t>
        </is>
      </c>
      <c r="I9609" t="n">
        <v>9.6</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28070-2026</t>
        </is>
      </c>
      <c r="B9610" t="inlineStr">
        <is>
          <t>avverkningsanmälan</t>
        </is>
      </c>
      <c r="C9610" t="inlineStr">
        <is>
          <t>Föryngringsavverkning</t>
        </is>
      </c>
      <c r="D9610" s="1" t="n">
        <v>46195</v>
      </c>
      <c r="E9610" s="1" t="n">
        <v>46307</v>
      </c>
      <c r="F9610" t="inlineStr">
        <is>
          <t>VÄRMLANDS LÄN</t>
        </is>
      </c>
      <c r="G9610" t="inlineStr">
        <is>
          <t>EDA</t>
        </is>
      </c>
      <c r="H9610" t="inlineStr">
        <is>
          <t>Bergvik skog väst AB</t>
        </is>
      </c>
      <c r="I9610" t="n">
        <v>3.9</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28083-2026</t>
        </is>
      </c>
      <c r="B9611" t="inlineStr">
        <is>
          <t>avverkningsanmälan</t>
        </is>
      </c>
      <c r="C9611" t="inlineStr">
        <is>
          <t>Föryngringsavverkning</t>
        </is>
      </c>
      <c r="D9611" s="1" t="n">
        <v>46195</v>
      </c>
      <c r="E9611" s="1" t="n">
        <v>46307</v>
      </c>
      <c r="F9611" t="inlineStr">
        <is>
          <t>VÄRMLANDS LÄN</t>
        </is>
      </c>
      <c r="G9611" t="inlineStr">
        <is>
          <t>ARVIKA</t>
        </is>
      </c>
      <c r="I9611" t="n">
        <v>4.6</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28084-2026</t>
        </is>
      </c>
      <c r="B9612" t="inlineStr">
        <is>
          <t>avverkningsanmälan</t>
        </is>
      </c>
      <c r="C9612" t="inlineStr">
        <is>
          <t>Föryngringsavverkning</t>
        </is>
      </c>
      <c r="D9612" s="1" t="n">
        <v>46195</v>
      </c>
      <c r="E9612" s="1" t="n">
        <v>46307</v>
      </c>
      <c r="F9612" t="inlineStr">
        <is>
          <t>VÄRMLANDS LÄN</t>
        </is>
      </c>
      <c r="G9612" t="inlineStr">
        <is>
          <t>ARVIKA</t>
        </is>
      </c>
      <c r="I9612" t="n">
        <v>1</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28112-2026</t>
        </is>
      </c>
      <c r="B9613" t="inlineStr">
        <is>
          <t>avverkningsanmälan</t>
        </is>
      </c>
      <c r="C9613" t="inlineStr">
        <is>
          <t>Föryngringsavverkning</t>
        </is>
      </c>
      <c r="D9613" s="1" t="n">
        <v>46195</v>
      </c>
      <c r="E9613" s="1" t="n">
        <v>46307</v>
      </c>
      <c r="F9613" t="inlineStr">
        <is>
          <t>VÄRMLANDS LÄN</t>
        </is>
      </c>
      <c r="G9613" t="inlineStr">
        <is>
          <t>TORSBY</t>
        </is>
      </c>
      <c r="H9613" t="inlineStr">
        <is>
          <t>Bergvik skog väst AB</t>
        </is>
      </c>
      <c r="I9613" t="n">
        <v>10.7</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28148-2026</t>
        </is>
      </c>
      <c r="B9614" t="inlineStr">
        <is>
          <t>avverkningsanmälan</t>
        </is>
      </c>
      <c r="C9614" t="inlineStr">
        <is>
          <t>Föryngringsavverkning</t>
        </is>
      </c>
      <c r="D9614" s="1" t="n">
        <v>46195</v>
      </c>
      <c r="E9614" s="1" t="n">
        <v>46307</v>
      </c>
      <c r="F9614" t="inlineStr">
        <is>
          <t>VÄRMLANDS LÄN</t>
        </is>
      </c>
      <c r="G9614" t="inlineStr">
        <is>
          <t>STORFORS</t>
        </is>
      </c>
      <c r="H9614" t="inlineStr">
        <is>
          <t>Bergvik skog väst AB</t>
        </is>
      </c>
      <c r="I9614" t="n">
        <v>23.6</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28111-2026</t>
        </is>
      </c>
      <c r="B9615" t="inlineStr">
        <is>
          <t>avverkningsanmälan</t>
        </is>
      </c>
      <c r="C9615" t="inlineStr">
        <is>
          <t>Föryngringsavverkning</t>
        </is>
      </c>
      <c r="D9615" s="1" t="n">
        <v>46195</v>
      </c>
      <c r="E9615" s="1" t="n">
        <v>46307</v>
      </c>
      <c r="F9615" t="inlineStr">
        <is>
          <t>VÄRMLANDS LÄN</t>
        </is>
      </c>
      <c r="G9615" t="inlineStr">
        <is>
          <t>ARVIKA</t>
        </is>
      </c>
      <c r="H9615" t="inlineStr">
        <is>
          <t>Bergvik skog väst AB</t>
        </is>
      </c>
      <c r="I9615" t="n">
        <v>14.5</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51031-2025</t>
        </is>
      </c>
      <c r="B9616" t="inlineStr">
        <is>
          <t>avverkningsanmälan</t>
        </is>
      </c>
      <c r="C9616" t="inlineStr">
        <is>
          <t>Föryngringsavverkning</t>
        </is>
      </c>
      <c r="D9616" s="1" t="n">
        <v>45947</v>
      </c>
      <c r="E9616" s="1" t="n">
        <v>46307</v>
      </c>
      <c r="F9616" t="inlineStr">
        <is>
          <t>VÄRMLANDS LÄN</t>
        </is>
      </c>
      <c r="G9616" t="inlineStr">
        <is>
          <t>FILIPSTAD</t>
        </is>
      </c>
      <c r="H9616" t="inlineStr">
        <is>
          <t>Bergvik skog väst AB</t>
        </is>
      </c>
      <c r="I9616" t="n">
        <v>2.6</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27959-2026</t>
        </is>
      </c>
      <c r="B9617" t="inlineStr">
        <is>
          <t>avverkningsanmälan</t>
        </is>
      </c>
      <c r="C9617" t="inlineStr">
        <is>
          <t>Föryngringsavverkning</t>
        </is>
      </c>
      <c r="D9617" s="1" t="n">
        <v>46194</v>
      </c>
      <c r="E9617" s="1" t="n">
        <v>46307</v>
      </c>
      <c r="F9617" t="inlineStr">
        <is>
          <t>VÄRMLANDS LÄN</t>
        </is>
      </c>
      <c r="G9617" t="inlineStr">
        <is>
          <t>SUNNE</t>
        </is>
      </c>
      <c r="I9617" t="n">
        <v>1.4</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28606-2026</t>
        </is>
      </c>
      <c r="B9618" t="inlineStr">
        <is>
          <t>avverkningsanmälan</t>
        </is>
      </c>
      <c r="C9618" t="inlineStr">
        <is>
          <t>Föryngringsavverkning</t>
        </is>
      </c>
      <c r="D9618" s="1" t="n">
        <v>46197</v>
      </c>
      <c r="E9618" s="1" t="n">
        <v>46307</v>
      </c>
      <c r="F9618" t="inlineStr">
        <is>
          <t>VÄRMLANDS LÄN</t>
        </is>
      </c>
      <c r="G9618" t="inlineStr">
        <is>
          <t>ARVIKA</t>
        </is>
      </c>
      <c r="H9618" t="inlineStr">
        <is>
          <t>Bergvik skog väst AB</t>
        </is>
      </c>
      <c r="I9618" t="n">
        <v>1.6</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28473-2026</t>
        </is>
      </c>
      <c r="B9619" t="inlineStr">
        <is>
          <t>avverkningsanmälan</t>
        </is>
      </c>
      <c r="C9619" t="inlineStr">
        <is>
          <t>Föryngringsavverkning</t>
        </is>
      </c>
      <c r="D9619" s="1" t="n">
        <v>46197</v>
      </c>
      <c r="E9619" s="1" t="n">
        <v>46307</v>
      </c>
      <c r="F9619" t="inlineStr">
        <is>
          <t>VÄRMLANDS LÄN</t>
        </is>
      </c>
      <c r="G9619" t="inlineStr">
        <is>
          <t>TORSBY</t>
        </is>
      </c>
      <c r="H9619" t="inlineStr">
        <is>
          <t>Bergvik skog väst AB</t>
        </is>
      </c>
      <c r="I9619" t="n">
        <v>5.4</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18200-2026</t>
        </is>
      </c>
      <c r="B9620" t="inlineStr">
        <is>
          <t>avverkningsanmälan</t>
        </is>
      </c>
      <c r="C9620" t="inlineStr">
        <is>
          <t>Föryngringsavverkning</t>
        </is>
      </c>
      <c r="D9620" s="1" t="n">
        <v>46125</v>
      </c>
      <c r="E9620" s="1" t="n">
        <v>46307</v>
      </c>
      <c r="F9620" t="inlineStr">
        <is>
          <t>VÄRMLANDS LÄN</t>
        </is>
      </c>
      <c r="G9620" t="inlineStr">
        <is>
          <t>ÅRJÄNG</t>
        </is>
      </c>
      <c r="I9620" t="n">
        <v>1</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11103-2022</t>
        </is>
      </c>
      <c r="B9621" t="inlineStr">
        <is>
          <t>avverkningsanmälan</t>
        </is>
      </c>
      <c r="C9621" t="inlineStr">
        <is>
          <t>Föryngringsavverkning</t>
        </is>
      </c>
      <c r="D9621" s="1" t="n">
        <v>44628</v>
      </c>
      <c r="E9621" s="1" t="n">
        <v>46307</v>
      </c>
      <c r="F9621" t="inlineStr">
        <is>
          <t>VÄRMLANDS LÄN</t>
        </is>
      </c>
      <c r="G9621" t="inlineStr">
        <is>
          <t>GRUMS</t>
        </is>
      </c>
      <c r="I9621" t="n">
        <v>5.7</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28516-2026</t>
        </is>
      </c>
      <c r="B9622" t="inlineStr">
        <is>
          <t>avverkningsanmälan</t>
        </is>
      </c>
      <c r="C9622" t="inlineStr">
        <is>
          <t>Föryngringsavverkning</t>
        </is>
      </c>
      <c r="D9622" s="1" t="n">
        <v>46197</v>
      </c>
      <c r="E9622" s="1" t="n">
        <v>46307</v>
      </c>
      <c r="F9622" t="inlineStr">
        <is>
          <t>VÄRMLANDS LÄN</t>
        </is>
      </c>
      <c r="G9622" t="inlineStr">
        <is>
          <t>FILIPSTAD</t>
        </is>
      </c>
      <c r="I9622" t="n">
        <v>3.8</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39583-2024</t>
        </is>
      </c>
      <c r="B9623" t="inlineStr">
        <is>
          <t>avverkningsanmälan</t>
        </is>
      </c>
      <c r="C9623" t="inlineStr">
        <is>
          <t>Föryngringsavverkning</t>
        </is>
      </c>
      <c r="D9623" s="1" t="n">
        <v>45552</v>
      </c>
      <c r="E9623" s="1" t="n">
        <v>46307</v>
      </c>
      <c r="F9623" t="inlineStr">
        <is>
          <t>VÄRMLANDS LÄN</t>
        </is>
      </c>
      <c r="G9623" t="inlineStr">
        <is>
          <t>EDA</t>
        </is>
      </c>
      <c r="H9623" t="inlineStr">
        <is>
          <t>Kommuner</t>
        </is>
      </c>
      <c r="I9623" t="n">
        <v>2</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28435-2026</t>
        </is>
      </c>
      <c r="B9624" t="inlineStr">
        <is>
          <t>avverkningsanmälan</t>
        </is>
      </c>
      <c r="C9624" t="inlineStr">
        <is>
          <t>Föryngringsavverkning</t>
        </is>
      </c>
      <c r="D9624" s="1" t="n">
        <v>46197</v>
      </c>
      <c r="E9624" s="1" t="n">
        <v>46307</v>
      </c>
      <c r="F9624" t="inlineStr">
        <is>
          <t>VÄRMLANDS LÄN</t>
        </is>
      </c>
      <c r="G9624" t="inlineStr">
        <is>
          <t>EDA</t>
        </is>
      </c>
      <c r="H9624" t="inlineStr">
        <is>
          <t>Bergvik skog väst AB</t>
        </is>
      </c>
      <c r="I9624" t="n">
        <v>2.9</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28209-2026</t>
        </is>
      </c>
      <c r="B9625" t="inlineStr">
        <is>
          <t>avverkningsanmälan</t>
        </is>
      </c>
      <c r="C9625" t="inlineStr">
        <is>
          <t>Avverkning för annat ändamål</t>
        </is>
      </c>
      <c r="D9625" s="1" t="n">
        <v>46196</v>
      </c>
      <c r="E9625" s="1" t="n">
        <v>46307</v>
      </c>
      <c r="F9625" t="inlineStr">
        <is>
          <t>VÄRMLANDS LÄN</t>
        </is>
      </c>
      <c r="G9625" t="inlineStr">
        <is>
          <t>ARVIKA</t>
        </is>
      </c>
      <c r="H9625" t="inlineStr">
        <is>
          <t>Bergvik skog väst AB</t>
        </is>
      </c>
      <c r="I9625" t="n">
        <v>2.6</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63858-2021</t>
        </is>
      </c>
      <c r="B9626" t="inlineStr">
        <is>
          <t>avverkningsanmälan</t>
        </is>
      </c>
      <c r="C9626" t="inlineStr">
        <is>
          <t>Föryngringsavverkning</t>
        </is>
      </c>
      <c r="D9626" s="1" t="n">
        <v>44509</v>
      </c>
      <c r="E9626" s="1" t="n">
        <v>46307</v>
      </c>
      <c r="F9626" t="inlineStr">
        <is>
          <t>VÄRMLANDS LÄN</t>
        </is>
      </c>
      <c r="G9626" t="inlineStr">
        <is>
          <t>SÄFFLE</t>
        </is>
      </c>
      <c r="I9626" t="n">
        <v>1</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28275-2026</t>
        </is>
      </c>
      <c r="B9627" t="inlineStr">
        <is>
          <t>avverkningsanmälan</t>
        </is>
      </c>
      <c r="C9627" t="inlineStr">
        <is>
          <t>Föryngringsavverkning</t>
        </is>
      </c>
      <c r="D9627" s="1" t="n">
        <v>46196</v>
      </c>
      <c r="E9627" s="1" t="n">
        <v>46307</v>
      </c>
      <c r="F9627" t="inlineStr">
        <is>
          <t>VÄRMLANDS LÄN</t>
        </is>
      </c>
      <c r="G9627" t="inlineStr">
        <is>
          <t>ARVIKA</t>
        </is>
      </c>
      <c r="I9627" t="n">
        <v>1.2</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28419-2026</t>
        </is>
      </c>
      <c r="B9628" t="inlineStr">
        <is>
          <t>avverkningsanmälan</t>
        </is>
      </c>
      <c r="C9628" t="inlineStr">
        <is>
          <t>Föryngringsavverkning</t>
        </is>
      </c>
      <c r="D9628" s="1" t="n">
        <v>46197</v>
      </c>
      <c r="E9628" s="1" t="n">
        <v>46307</v>
      </c>
      <c r="F9628" t="inlineStr">
        <is>
          <t>VÄRMLANDS LÄN</t>
        </is>
      </c>
      <c r="G9628" t="inlineStr">
        <is>
          <t>FILIPSTAD</t>
        </is>
      </c>
      <c r="H9628" t="inlineStr">
        <is>
          <t>Bergvik skog väst AB</t>
        </is>
      </c>
      <c r="I9628" t="n">
        <v>2.3</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28545-2026</t>
        </is>
      </c>
      <c r="B9629" t="inlineStr">
        <is>
          <t>avverkningsanmälan</t>
        </is>
      </c>
      <c r="C9629" t="inlineStr">
        <is>
          <t>Föryngringsavverkning</t>
        </is>
      </c>
      <c r="D9629" s="1" t="n">
        <v>46197</v>
      </c>
      <c r="E9629" s="1" t="n">
        <v>46307</v>
      </c>
      <c r="F9629" t="inlineStr">
        <is>
          <t>VÄRMLANDS LÄN</t>
        </is>
      </c>
      <c r="G9629" t="inlineStr">
        <is>
          <t>TORSBY</t>
        </is>
      </c>
      <c r="H9629" t="inlineStr">
        <is>
          <t>Bergvik skog väst AB</t>
        </is>
      </c>
      <c r="I9629" t="n">
        <v>10.1</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28554-2026</t>
        </is>
      </c>
      <c r="B9630" t="inlineStr">
        <is>
          <t>avverkningsanmälan</t>
        </is>
      </c>
      <c r="C9630" t="inlineStr">
        <is>
          <t>Föryngringsavverkning</t>
        </is>
      </c>
      <c r="D9630" s="1" t="n">
        <v>46197</v>
      </c>
      <c r="E9630" s="1" t="n">
        <v>46307</v>
      </c>
      <c r="F9630" t="inlineStr">
        <is>
          <t>VÄRMLANDS LÄN</t>
        </is>
      </c>
      <c r="G9630" t="inlineStr">
        <is>
          <t>ARVIKA</t>
        </is>
      </c>
      <c r="H9630" t="inlineStr">
        <is>
          <t>Bergvik skog väst AB</t>
        </is>
      </c>
      <c r="I9630" t="n">
        <v>0.4</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28527-2026</t>
        </is>
      </c>
      <c r="B9631" t="inlineStr">
        <is>
          <t>avverkningsanmälan</t>
        </is>
      </c>
      <c r="C9631" t="inlineStr">
        <is>
          <t>Föryngringsavverkning</t>
        </is>
      </c>
      <c r="D9631" s="1" t="n">
        <v>46197</v>
      </c>
      <c r="E9631" s="1" t="n">
        <v>46307</v>
      </c>
      <c r="F9631" t="inlineStr">
        <is>
          <t>VÄRMLANDS LÄN</t>
        </is>
      </c>
      <c r="G9631" t="inlineStr">
        <is>
          <t>TORSBY</t>
        </is>
      </c>
      <c r="H9631" t="inlineStr">
        <is>
          <t>Bergvik skog väst AB</t>
        </is>
      </c>
      <c r="I9631" t="n">
        <v>7.9</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28393-2026</t>
        </is>
      </c>
      <c r="B9632" t="inlineStr">
        <is>
          <t>avverkningsanmälan</t>
        </is>
      </c>
      <c r="C9632" t="inlineStr">
        <is>
          <t>Föryngringsavverkning</t>
        </is>
      </c>
      <c r="D9632" s="1" t="n">
        <v>46196</v>
      </c>
      <c r="E9632" s="1" t="n">
        <v>46307</v>
      </c>
      <c r="F9632" t="inlineStr">
        <is>
          <t>VÄRMLANDS LÄN</t>
        </is>
      </c>
      <c r="G9632" t="inlineStr">
        <is>
          <t>EDA</t>
        </is>
      </c>
      <c r="I9632" t="n">
        <v>16.9</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28491-2026</t>
        </is>
      </c>
      <c r="B9633" t="inlineStr">
        <is>
          <t>avverkningsanmälan</t>
        </is>
      </c>
      <c r="C9633" t="inlineStr">
        <is>
          <t>Föryngringsavverkning</t>
        </is>
      </c>
      <c r="D9633" s="1" t="n">
        <v>46197</v>
      </c>
      <c r="E9633" s="1" t="n">
        <v>46307</v>
      </c>
      <c r="F9633" t="inlineStr">
        <is>
          <t>VÄRMLANDS LÄN</t>
        </is>
      </c>
      <c r="G9633" t="inlineStr">
        <is>
          <t>ARVIKA</t>
        </is>
      </c>
      <c r="H9633" t="inlineStr">
        <is>
          <t>Bergvik skog väst AB</t>
        </is>
      </c>
      <c r="I9633" t="n">
        <v>4.8</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28549-2026</t>
        </is>
      </c>
      <c r="B9634" t="inlineStr">
        <is>
          <t>avverkningsanmälan</t>
        </is>
      </c>
      <c r="C9634" t="inlineStr">
        <is>
          <t>Föryngringsavverkning</t>
        </is>
      </c>
      <c r="D9634" s="1" t="n">
        <v>46197</v>
      </c>
      <c r="E9634" s="1" t="n">
        <v>46307</v>
      </c>
      <c r="F9634" t="inlineStr">
        <is>
          <t>VÄRMLANDS LÄN</t>
        </is>
      </c>
      <c r="G9634" t="inlineStr">
        <is>
          <t>ARVIKA</t>
        </is>
      </c>
      <c r="H9634" t="inlineStr">
        <is>
          <t>Bergvik skog väst AB</t>
        </is>
      </c>
      <c r="I9634" t="n">
        <v>3.9</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28557-2026</t>
        </is>
      </c>
      <c r="B9635" t="inlineStr">
        <is>
          <t>avverkningsanmälan</t>
        </is>
      </c>
      <c r="C9635" t="inlineStr">
        <is>
          <t>Föryngringsavverkning</t>
        </is>
      </c>
      <c r="D9635" s="1" t="n">
        <v>46197</v>
      </c>
      <c r="E9635" s="1" t="n">
        <v>46307</v>
      </c>
      <c r="F9635" t="inlineStr">
        <is>
          <t>VÄRMLANDS LÄN</t>
        </is>
      </c>
      <c r="G9635" t="inlineStr">
        <is>
          <t>ARVIKA</t>
        </is>
      </c>
      <c r="H9635" t="inlineStr">
        <is>
          <t>Bergvik skog väst AB</t>
        </is>
      </c>
      <c r="I9635" t="n">
        <v>1.2</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28218-2026</t>
        </is>
      </c>
      <c r="B9636" t="inlineStr">
        <is>
          <t>avverkningsanmälan</t>
        </is>
      </c>
      <c r="C9636" t="inlineStr">
        <is>
          <t>Föryngringsavverkning</t>
        </is>
      </c>
      <c r="D9636" s="1" t="n">
        <v>46196</v>
      </c>
      <c r="E9636" s="1" t="n">
        <v>46307</v>
      </c>
      <c r="F9636" t="inlineStr">
        <is>
          <t>VÄRMLANDS LÄN</t>
        </is>
      </c>
      <c r="G9636" t="inlineStr">
        <is>
          <t>STORFORS</t>
        </is>
      </c>
      <c r="I9636" t="n">
        <v>4.9</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28373-2026</t>
        </is>
      </c>
      <c r="B9637" t="inlineStr">
        <is>
          <t>avverkningsanmälan</t>
        </is>
      </c>
      <c r="C9637" t="inlineStr">
        <is>
          <t>Föryngringsavverkning</t>
        </is>
      </c>
      <c r="D9637" s="1" t="n">
        <v>46196</v>
      </c>
      <c r="E9637" s="1" t="n">
        <v>46307</v>
      </c>
      <c r="F9637" t="inlineStr">
        <is>
          <t>VÄRMLANDS LÄN</t>
        </is>
      </c>
      <c r="G9637" t="inlineStr">
        <is>
          <t>ARVIKA</t>
        </is>
      </c>
      <c r="H9637" t="inlineStr">
        <is>
          <t>Bergvik skog väst AB</t>
        </is>
      </c>
      <c r="I9637" t="n">
        <v>2.5</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28378-2026</t>
        </is>
      </c>
      <c r="B9638" t="inlineStr">
        <is>
          <t>avverkningsanmälan</t>
        </is>
      </c>
      <c r="C9638" t="inlineStr">
        <is>
          <t>Föryngringsavverkning</t>
        </is>
      </c>
      <c r="D9638" s="1" t="n">
        <v>46196</v>
      </c>
      <c r="E9638" s="1" t="n">
        <v>46307</v>
      </c>
      <c r="F9638" t="inlineStr">
        <is>
          <t>VÄRMLANDS LÄN</t>
        </is>
      </c>
      <c r="G9638" t="inlineStr">
        <is>
          <t>TORSBY</t>
        </is>
      </c>
      <c r="H9638" t="inlineStr">
        <is>
          <t>Bergvik skog väst AB</t>
        </is>
      </c>
      <c r="I9638" t="n">
        <v>5.2</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28513-2026</t>
        </is>
      </c>
      <c r="B9639" t="inlineStr">
        <is>
          <t>avverkningsanmälan</t>
        </is>
      </c>
      <c r="C9639" t="inlineStr">
        <is>
          <t>Föryngringsavverkning</t>
        </is>
      </c>
      <c r="D9639" s="1" t="n">
        <v>46197</v>
      </c>
      <c r="E9639" s="1" t="n">
        <v>46307</v>
      </c>
      <c r="F9639" t="inlineStr">
        <is>
          <t>VÄRMLANDS LÄN</t>
        </is>
      </c>
      <c r="G9639" t="inlineStr">
        <is>
          <t>GRUMS</t>
        </is>
      </c>
      <c r="I9639" t="n">
        <v>2.9</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28228-2026</t>
        </is>
      </c>
      <c r="B9640" t="inlineStr">
        <is>
          <t>avverkningsanmälan</t>
        </is>
      </c>
      <c r="C9640" t="inlineStr">
        <is>
          <t>Föryngringsavverkning</t>
        </is>
      </c>
      <c r="D9640" s="1" t="n">
        <v>46196</v>
      </c>
      <c r="E9640" s="1" t="n">
        <v>46307</v>
      </c>
      <c r="F9640" t="inlineStr">
        <is>
          <t>VÄRMLANDS LÄN</t>
        </is>
      </c>
      <c r="G9640" t="inlineStr">
        <is>
          <t>ÅRJÄNG</t>
        </is>
      </c>
      <c r="I9640" t="n">
        <v>0.8</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28327-2026</t>
        </is>
      </c>
      <c r="B9641" t="inlineStr">
        <is>
          <t>avverkningsanmälan</t>
        </is>
      </c>
      <c r="C9641" t="inlineStr">
        <is>
          <t>Föryngringsavverkning</t>
        </is>
      </c>
      <c r="D9641" s="1" t="n">
        <v>46196</v>
      </c>
      <c r="E9641" s="1" t="n">
        <v>46307</v>
      </c>
      <c r="F9641" t="inlineStr">
        <is>
          <t>VÄRMLANDS LÄN</t>
        </is>
      </c>
      <c r="G9641" t="inlineStr">
        <is>
          <t>SUNNE</t>
        </is>
      </c>
      <c r="I9641" t="n">
        <v>1.6</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50498-2025</t>
        </is>
      </c>
      <c r="B9642" t="inlineStr">
        <is>
          <t>avverkningsanmälan</t>
        </is>
      </c>
      <c r="C9642" t="inlineStr">
        <is>
          <t>Föryngringsavverkning</t>
        </is>
      </c>
      <c r="D9642" s="1" t="n">
        <v>45945</v>
      </c>
      <c r="E9642" s="1" t="n">
        <v>46307</v>
      </c>
      <c r="F9642" t="inlineStr">
        <is>
          <t>VÄRMLANDS LÄN</t>
        </is>
      </c>
      <c r="G9642" t="inlineStr">
        <is>
          <t>ÅRJÄNG</t>
        </is>
      </c>
      <c r="I9642" t="n">
        <v>4.5</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29300-2026</t>
        </is>
      </c>
      <c r="B9643" t="inlineStr">
        <is>
          <t>avverkningsanmälan</t>
        </is>
      </c>
      <c r="C9643" t="inlineStr">
        <is>
          <t>Föryngringsavverkning</t>
        </is>
      </c>
      <c r="D9643" s="1" t="n">
        <v>46197</v>
      </c>
      <c r="E9643" s="1" t="n">
        <v>46307</v>
      </c>
      <c r="F9643" t="inlineStr">
        <is>
          <t>VÄRMLANDS LÄN</t>
        </is>
      </c>
      <c r="G9643" t="inlineStr">
        <is>
          <t>ÅRJÄNG</t>
        </is>
      </c>
      <c r="I9643" t="n">
        <v>3.3</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28481-2026</t>
        </is>
      </c>
      <c r="B9644" t="inlineStr">
        <is>
          <t>avverkningsanmälan</t>
        </is>
      </c>
      <c r="C9644" t="inlineStr">
        <is>
          <t>Föryngringsavverkning</t>
        </is>
      </c>
      <c r="D9644" s="1" t="n">
        <v>46197</v>
      </c>
      <c r="E9644" s="1" t="n">
        <v>46307</v>
      </c>
      <c r="F9644" t="inlineStr">
        <is>
          <t>VÄRMLANDS LÄN</t>
        </is>
      </c>
      <c r="G9644" t="inlineStr">
        <is>
          <t>ARVIKA</t>
        </is>
      </c>
      <c r="I9644" t="n">
        <v>3.2</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28461-2026</t>
        </is>
      </c>
      <c r="B9645" t="inlineStr">
        <is>
          <t>avverkningsanmälan</t>
        </is>
      </c>
      <c r="C9645" t="inlineStr">
        <is>
          <t>Föryngringsavverkning</t>
        </is>
      </c>
      <c r="D9645" s="1" t="n">
        <v>46197</v>
      </c>
      <c r="E9645" s="1" t="n">
        <v>46307</v>
      </c>
      <c r="F9645" t="inlineStr">
        <is>
          <t>VÄRMLANDS LÄN</t>
        </is>
      </c>
      <c r="G9645" t="inlineStr">
        <is>
          <t>SUNNE</t>
        </is>
      </c>
      <c r="I9645" t="n">
        <v>1.8</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28234-2026</t>
        </is>
      </c>
      <c r="B9646" t="inlineStr">
        <is>
          <t>avverkningsanmälan</t>
        </is>
      </c>
      <c r="C9646" t="inlineStr">
        <is>
          <t>Föryngringsavverkning</t>
        </is>
      </c>
      <c r="D9646" s="1" t="n">
        <v>46196</v>
      </c>
      <c r="E9646" s="1" t="n">
        <v>46307</v>
      </c>
      <c r="F9646" t="inlineStr">
        <is>
          <t>VÄRMLANDS LÄN</t>
        </is>
      </c>
      <c r="G9646" t="inlineStr">
        <is>
          <t>ÅRJÄNG</t>
        </is>
      </c>
      <c r="I9646" t="n">
        <v>1</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28394-2026</t>
        </is>
      </c>
      <c r="B9647" t="inlineStr">
        <is>
          <t>avverkningsanmälan</t>
        </is>
      </c>
      <c r="C9647" t="inlineStr">
        <is>
          <t>Avverkning för annat ändamål</t>
        </is>
      </c>
      <c r="D9647" s="1" t="n">
        <v>46196</v>
      </c>
      <c r="E9647" s="1" t="n">
        <v>46307</v>
      </c>
      <c r="F9647" t="inlineStr">
        <is>
          <t>VÄRMLANDS LÄN</t>
        </is>
      </c>
      <c r="G9647" t="inlineStr">
        <is>
          <t>EDA</t>
        </is>
      </c>
      <c r="I9647" t="n">
        <v>0.2</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46645-2025</t>
        </is>
      </c>
      <c r="B9648" t="inlineStr">
        <is>
          <t>avverkningsanmälan</t>
        </is>
      </c>
      <c r="C9648" t="inlineStr">
        <is>
          <t>Föryngringsavverkning</t>
        </is>
      </c>
      <c r="D9648" s="1" t="n">
        <v>45926</v>
      </c>
      <c r="E9648" s="1" t="n">
        <v>46307</v>
      </c>
      <c r="F9648" t="inlineStr">
        <is>
          <t>VÄRMLANDS LÄN</t>
        </is>
      </c>
      <c r="G9648" t="inlineStr">
        <is>
          <t>ÅRJÄNG</t>
        </is>
      </c>
      <c r="I9648" t="n">
        <v>2.8</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28788-2026</t>
        </is>
      </c>
      <c r="B9649" t="inlineStr">
        <is>
          <t>avverkningsanmälan</t>
        </is>
      </c>
      <c r="C9649" t="inlineStr">
        <is>
          <t>Föryngringsavverkning</t>
        </is>
      </c>
      <c r="D9649" s="1" t="n">
        <v>46198</v>
      </c>
      <c r="E9649" s="1" t="n">
        <v>46307</v>
      </c>
      <c r="F9649" t="inlineStr">
        <is>
          <t>VÄRMLANDS LÄN</t>
        </is>
      </c>
      <c r="G9649" t="inlineStr">
        <is>
          <t>HAGFORS</t>
        </is>
      </c>
      <c r="H9649" t="inlineStr">
        <is>
          <t>Bergvik skog väst AB</t>
        </is>
      </c>
      <c r="I9649" t="n">
        <v>9.699999999999999</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29077-2026</t>
        </is>
      </c>
      <c r="B9650" t="inlineStr">
        <is>
          <t>avverkningsanmälan</t>
        </is>
      </c>
      <c r="C9650" t="inlineStr">
        <is>
          <t>Föryngringsavverkning</t>
        </is>
      </c>
      <c r="D9650" s="1" t="n">
        <v>46199</v>
      </c>
      <c r="E9650" s="1" t="n">
        <v>46307</v>
      </c>
      <c r="F9650" t="inlineStr">
        <is>
          <t>VÄRMLANDS LÄN</t>
        </is>
      </c>
      <c r="G9650" t="inlineStr">
        <is>
          <t>SUNNE</t>
        </is>
      </c>
      <c r="I9650" t="n">
        <v>12.3</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29116-2026</t>
        </is>
      </c>
      <c r="B9651" t="inlineStr">
        <is>
          <t>avverkningsanmälan</t>
        </is>
      </c>
      <c r="C9651" t="inlineStr">
        <is>
          <t>Föryngringsavverkning</t>
        </is>
      </c>
      <c r="D9651" s="1" t="n">
        <v>46201</v>
      </c>
      <c r="E9651" s="1" t="n">
        <v>46307</v>
      </c>
      <c r="F9651" t="inlineStr">
        <is>
          <t>VÄRMLANDS LÄN</t>
        </is>
      </c>
      <c r="G9651" t="inlineStr">
        <is>
          <t>FORSHAGA</t>
        </is>
      </c>
      <c r="I9651" t="n">
        <v>1.1</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29050-2026</t>
        </is>
      </c>
      <c r="B9652" t="inlineStr">
        <is>
          <t>avverkningsanmälan</t>
        </is>
      </c>
      <c r="C9652" t="inlineStr">
        <is>
          <t>Föryngringsavverkning</t>
        </is>
      </c>
      <c r="D9652" s="1" t="n">
        <v>46199</v>
      </c>
      <c r="E9652" s="1" t="n">
        <v>46307</v>
      </c>
      <c r="F9652" t="inlineStr">
        <is>
          <t>VÄRMLANDS LÄN</t>
        </is>
      </c>
      <c r="G9652" t="inlineStr">
        <is>
          <t>ÅRJÄNG</t>
        </is>
      </c>
      <c r="I9652" t="n">
        <v>1.6</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28951-2026</t>
        </is>
      </c>
      <c r="B9653" t="inlineStr">
        <is>
          <t>avverkningsanmälan</t>
        </is>
      </c>
      <c r="C9653" t="inlineStr">
        <is>
          <t>Föryngringsavverkning</t>
        </is>
      </c>
      <c r="D9653" s="1" t="n">
        <v>46191</v>
      </c>
      <c r="E9653" s="1" t="n">
        <v>46307</v>
      </c>
      <c r="F9653" t="inlineStr">
        <is>
          <t>VÄRMLANDS LÄN</t>
        </is>
      </c>
      <c r="G9653" t="inlineStr">
        <is>
          <t>SÄFFLE</t>
        </is>
      </c>
      <c r="I9653" t="n">
        <v>10.6</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28960-2026</t>
        </is>
      </c>
      <c r="B9654" t="inlineStr">
        <is>
          <t>avverkningsanmälan</t>
        </is>
      </c>
      <c r="C9654" t="inlineStr">
        <is>
          <t>Föryngringsavverkning</t>
        </is>
      </c>
      <c r="D9654" s="1" t="n">
        <v>46199</v>
      </c>
      <c r="E9654" s="1" t="n">
        <v>46307</v>
      </c>
      <c r="F9654" t="inlineStr">
        <is>
          <t>VÄRMLANDS LÄN</t>
        </is>
      </c>
      <c r="G9654" t="inlineStr">
        <is>
          <t>EDA</t>
        </is>
      </c>
      <c r="I9654" t="n">
        <v>5.2</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28965-2026</t>
        </is>
      </c>
      <c r="B9655" t="inlineStr">
        <is>
          <t>avverkningsanmälan</t>
        </is>
      </c>
      <c r="C9655" t="inlineStr">
        <is>
          <t>Föryngringsavverkning</t>
        </is>
      </c>
      <c r="D9655" s="1" t="n">
        <v>46199</v>
      </c>
      <c r="E9655" s="1" t="n">
        <v>46307</v>
      </c>
      <c r="F9655" t="inlineStr">
        <is>
          <t>VÄRMLANDS LÄN</t>
        </is>
      </c>
      <c r="G9655" t="inlineStr">
        <is>
          <t>EDA</t>
        </is>
      </c>
      <c r="I9655" t="n">
        <v>5.7</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29020-2026</t>
        </is>
      </c>
      <c r="B9656" t="inlineStr">
        <is>
          <t>avverkningsanmälan</t>
        </is>
      </c>
      <c r="C9656" t="inlineStr">
        <is>
          <t>Föryngringsavverkning</t>
        </is>
      </c>
      <c r="D9656" s="1" t="n">
        <v>46199</v>
      </c>
      <c r="E9656" s="1" t="n">
        <v>46307</v>
      </c>
      <c r="F9656" t="inlineStr">
        <is>
          <t>VÄRMLANDS LÄN</t>
        </is>
      </c>
      <c r="G9656" t="inlineStr">
        <is>
          <t>EDA</t>
        </is>
      </c>
      <c r="I9656" t="n">
        <v>1.2</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28833-2026</t>
        </is>
      </c>
      <c r="B9657" t="inlineStr">
        <is>
          <t>avverkningsanmälan</t>
        </is>
      </c>
      <c r="C9657" t="inlineStr">
        <is>
          <t>Föryngringsavverkning</t>
        </is>
      </c>
      <c r="D9657" s="1" t="n">
        <v>46198</v>
      </c>
      <c r="E9657" s="1" t="n">
        <v>46307</v>
      </c>
      <c r="F9657" t="inlineStr">
        <is>
          <t>VÄRMLANDS LÄN</t>
        </is>
      </c>
      <c r="G9657" t="inlineStr">
        <is>
          <t>ARVIKA</t>
        </is>
      </c>
      <c r="H9657" t="inlineStr">
        <is>
          <t>Bergvik skog väst AB</t>
        </is>
      </c>
      <c r="I9657" t="n">
        <v>3.5</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28694-2026</t>
        </is>
      </c>
      <c r="B9658" t="inlineStr">
        <is>
          <t>avverkningsanmälan</t>
        </is>
      </c>
      <c r="C9658" t="inlineStr">
        <is>
          <t>Föryngringsavverkning</t>
        </is>
      </c>
      <c r="D9658" s="1" t="n">
        <v>46198</v>
      </c>
      <c r="E9658" s="1" t="n">
        <v>46307</v>
      </c>
      <c r="F9658" t="inlineStr">
        <is>
          <t>VÄRMLANDS LÄN</t>
        </is>
      </c>
      <c r="G9658" t="inlineStr">
        <is>
          <t>SUNNE</t>
        </is>
      </c>
      <c r="H9658" t="inlineStr">
        <is>
          <t>Bergvik skog väst AB</t>
        </is>
      </c>
      <c r="I9658" t="n">
        <v>9.6</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71728-2021</t>
        </is>
      </c>
      <c r="B9659" t="inlineStr">
        <is>
          <t>avverkningsanmälan</t>
        </is>
      </c>
      <c r="C9659" t="inlineStr">
        <is>
          <t>Föryngringsavverkning</t>
        </is>
      </c>
      <c r="D9659" s="1" t="n">
        <v>44543</v>
      </c>
      <c r="E9659" s="1" t="n">
        <v>46307</v>
      </c>
      <c r="F9659" t="inlineStr">
        <is>
          <t>VÄRMLANDS LÄN</t>
        </is>
      </c>
      <c r="G9659" t="inlineStr">
        <is>
          <t>KIL</t>
        </is>
      </c>
      <c r="I9659" t="n">
        <v>1.1</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28720-2026</t>
        </is>
      </c>
      <c r="B9660" t="inlineStr">
        <is>
          <t>avverkningsanmälan</t>
        </is>
      </c>
      <c r="C9660" t="inlineStr">
        <is>
          <t>Föryngringsavverkning</t>
        </is>
      </c>
      <c r="D9660" s="1" t="n">
        <v>46198</v>
      </c>
      <c r="E9660" s="1" t="n">
        <v>46307</v>
      </c>
      <c r="F9660" t="inlineStr">
        <is>
          <t>VÄRMLANDS LÄN</t>
        </is>
      </c>
      <c r="G9660" t="inlineStr">
        <is>
          <t>HAGFORS</t>
        </is>
      </c>
      <c r="H9660" t="inlineStr">
        <is>
          <t>Bergvik skog väst AB</t>
        </is>
      </c>
      <c r="I9660" t="n">
        <v>5</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A 28779-2026</t>
        </is>
      </c>
      <c r="B9661" t="inlineStr">
        <is>
          <t>avverkningsanmälan</t>
        </is>
      </c>
      <c r="C9661" t="inlineStr">
        <is>
          <t>Föryngringsavverkning</t>
        </is>
      </c>
      <c r="D9661" s="1" t="n">
        <v>46198</v>
      </c>
      <c r="E9661" s="1" t="n">
        <v>46307</v>
      </c>
      <c r="F9661" t="inlineStr">
        <is>
          <t>VÄRMLANDS LÄN</t>
        </is>
      </c>
      <c r="G9661" t="inlineStr">
        <is>
          <t>ARVIKA</t>
        </is>
      </c>
      <c r="H9661" t="inlineStr">
        <is>
          <t>Bergvik skog väst AB</t>
        </is>
      </c>
      <c r="I9661" t="n">
        <v>3.2</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A 29013-2026</t>
        </is>
      </c>
      <c r="B9662" t="inlineStr">
        <is>
          <t>avverkningsanmälan</t>
        </is>
      </c>
      <c r="C9662" t="inlineStr">
        <is>
          <t>Föryngringsavverkning</t>
        </is>
      </c>
      <c r="D9662" s="1" t="n">
        <v>46199</v>
      </c>
      <c r="E9662" s="1" t="n">
        <v>46307</v>
      </c>
      <c r="F9662" t="inlineStr">
        <is>
          <t>VÄRMLANDS LÄN</t>
        </is>
      </c>
      <c r="G9662" t="inlineStr">
        <is>
          <t>EDA</t>
        </is>
      </c>
      <c r="I9662" t="n">
        <v>1.7</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A 29029-2026</t>
        </is>
      </c>
      <c r="B9663" t="inlineStr">
        <is>
          <t>avverkningsanmälan</t>
        </is>
      </c>
      <c r="C9663" t="inlineStr">
        <is>
          <t>Föryngringsavverkning</t>
        </is>
      </c>
      <c r="D9663" s="1" t="n">
        <v>46199</v>
      </c>
      <c r="E9663" s="1" t="n">
        <v>46307</v>
      </c>
      <c r="F9663" t="inlineStr">
        <is>
          <t>VÄRMLANDS LÄN</t>
        </is>
      </c>
      <c r="G9663" t="inlineStr">
        <is>
          <t>EDA</t>
        </is>
      </c>
      <c r="I9663" t="n">
        <v>1.4</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A 29041-2026</t>
        </is>
      </c>
      <c r="B9664" t="inlineStr">
        <is>
          <t>avverkningsanmälan</t>
        </is>
      </c>
      <c r="C9664" t="inlineStr">
        <is>
          <t>Föryngringsavverkning</t>
        </is>
      </c>
      <c r="D9664" s="1" t="n">
        <v>46199</v>
      </c>
      <c r="E9664" s="1" t="n">
        <v>46307</v>
      </c>
      <c r="F9664" t="inlineStr">
        <is>
          <t>VÄRMLANDS LÄN</t>
        </is>
      </c>
      <c r="G9664" t="inlineStr">
        <is>
          <t>ÅRJÄNG</t>
        </is>
      </c>
      <c r="I9664" t="n">
        <v>6.2</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A 28625-2026</t>
        </is>
      </c>
      <c r="B9665" t="inlineStr">
        <is>
          <t>avverkningsanmälan</t>
        </is>
      </c>
      <c r="C9665" t="inlineStr">
        <is>
          <t>Föryngringsavverkning</t>
        </is>
      </c>
      <c r="D9665" s="1" t="n">
        <v>46198</v>
      </c>
      <c r="E9665" s="1" t="n">
        <v>46307</v>
      </c>
      <c r="F9665" t="inlineStr">
        <is>
          <t>VÄRMLANDS LÄN</t>
        </is>
      </c>
      <c r="G9665" t="inlineStr">
        <is>
          <t>HAGFORS</t>
        </is>
      </c>
      <c r="H9665" t="inlineStr">
        <is>
          <t>Bergvik skog väst AB</t>
        </is>
      </c>
      <c r="I9665" t="n">
        <v>2.1</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A 28971-2026</t>
        </is>
      </c>
      <c r="B9666" t="inlineStr">
        <is>
          <t>avverkningsanmälan</t>
        </is>
      </c>
      <c r="C9666" t="inlineStr">
        <is>
          <t>Föryngringsavverkning</t>
        </is>
      </c>
      <c r="D9666" s="1" t="n">
        <v>46199</v>
      </c>
      <c r="E9666" s="1" t="n">
        <v>46307</v>
      </c>
      <c r="F9666" t="inlineStr">
        <is>
          <t>VÄRMLANDS LÄN</t>
        </is>
      </c>
      <c r="G9666" t="inlineStr">
        <is>
          <t>EDA</t>
        </is>
      </c>
      <c r="I9666" t="n">
        <v>9</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A 28948-2026</t>
        </is>
      </c>
      <c r="B9667" t="inlineStr">
        <is>
          <t>avverkningsanmälan</t>
        </is>
      </c>
      <c r="C9667" t="inlineStr">
        <is>
          <t>Föryngringsavverkning</t>
        </is>
      </c>
      <c r="D9667" s="1" t="n">
        <v>46199</v>
      </c>
      <c r="E9667" s="1" t="n">
        <v>46307</v>
      </c>
      <c r="F9667" t="inlineStr">
        <is>
          <t>VÄRMLANDS LÄN</t>
        </is>
      </c>
      <c r="G9667" t="inlineStr">
        <is>
          <t>SUNNE</t>
        </is>
      </c>
      <c r="H9667" t="inlineStr">
        <is>
          <t>Bergvik skog väst AB</t>
        </is>
      </c>
      <c r="I9667" t="n">
        <v>2.3</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A 29040-2026</t>
        </is>
      </c>
      <c r="B9668" t="inlineStr">
        <is>
          <t>avverkningsanmälan</t>
        </is>
      </c>
      <c r="C9668" t="inlineStr">
        <is>
          <t>Föryngringsavverkning</t>
        </is>
      </c>
      <c r="D9668" s="1" t="n">
        <v>46199</v>
      </c>
      <c r="E9668" s="1" t="n">
        <v>46307</v>
      </c>
      <c r="F9668" t="inlineStr">
        <is>
          <t>VÄRMLANDS LÄN</t>
        </is>
      </c>
      <c r="G9668" t="inlineStr">
        <is>
          <t>TORSBY</t>
        </is>
      </c>
      <c r="I9668" t="n">
        <v>6.7</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A 28977-2026</t>
        </is>
      </c>
      <c r="B9669" t="inlineStr">
        <is>
          <t>avverkningsanmälan</t>
        </is>
      </c>
      <c r="C9669" t="inlineStr">
        <is>
          <t>Föryngringsavverkning</t>
        </is>
      </c>
      <c r="D9669" s="1" t="n">
        <v>46199</v>
      </c>
      <c r="E9669" s="1" t="n">
        <v>46307</v>
      </c>
      <c r="F9669" t="inlineStr">
        <is>
          <t>VÄRMLANDS LÄN</t>
        </is>
      </c>
      <c r="G9669" t="inlineStr">
        <is>
          <t>FILIPSTAD</t>
        </is>
      </c>
      <c r="H9669" t="inlineStr">
        <is>
          <t>Bergvik skog väst AB</t>
        </is>
      </c>
      <c r="I9669" t="n">
        <v>5.6</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A 28748-2026</t>
        </is>
      </c>
      <c r="B9670" t="inlineStr">
        <is>
          <t>avverkningsanmälan</t>
        </is>
      </c>
      <c r="C9670" t="inlineStr">
        <is>
          <t>Föryngringsavverkning</t>
        </is>
      </c>
      <c r="D9670" s="1" t="n">
        <v>46198</v>
      </c>
      <c r="E9670" s="1" t="n">
        <v>46307</v>
      </c>
      <c r="F9670" t="inlineStr">
        <is>
          <t>VÄRMLANDS LÄN</t>
        </is>
      </c>
      <c r="G9670" t="inlineStr">
        <is>
          <t>HAGFORS</t>
        </is>
      </c>
      <c r="H9670" t="inlineStr">
        <is>
          <t>Bergvik skog väst AB</t>
        </is>
      </c>
      <c r="I9670" t="n">
        <v>3</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A 28831-2026</t>
        </is>
      </c>
      <c r="B9671" t="inlineStr">
        <is>
          <t>avverkningsanmälan</t>
        </is>
      </c>
      <c r="C9671" t="inlineStr">
        <is>
          <t>Föryngringsavverkning</t>
        </is>
      </c>
      <c r="D9671" s="1" t="n">
        <v>46198</v>
      </c>
      <c r="E9671" s="1" t="n">
        <v>46307</v>
      </c>
      <c r="F9671" t="inlineStr">
        <is>
          <t>VÄRMLANDS LÄN</t>
        </is>
      </c>
      <c r="G9671" t="inlineStr">
        <is>
          <t>ARVIKA</t>
        </is>
      </c>
      <c r="I9671" t="n">
        <v>1</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A 28690-2026</t>
        </is>
      </c>
      <c r="B9672" t="inlineStr">
        <is>
          <t>avverkningsanmälan</t>
        </is>
      </c>
      <c r="C9672" t="inlineStr">
        <is>
          <t>Avverkning för annat ändamål</t>
        </is>
      </c>
      <c r="D9672" s="1" t="n">
        <v>46198</v>
      </c>
      <c r="E9672" s="1" t="n">
        <v>46307</v>
      </c>
      <c r="F9672" t="inlineStr">
        <is>
          <t>VÄRMLANDS LÄN</t>
        </is>
      </c>
      <c r="G9672" t="inlineStr">
        <is>
          <t>TORSBY</t>
        </is>
      </c>
      <c r="H9672" t="inlineStr">
        <is>
          <t>Bergvik skog väst AB</t>
        </is>
      </c>
      <c r="I9672" t="n">
        <v>1.2</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A 28675-2026</t>
        </is>
      </c>
      <c r="B9673" t="inlineStr">
        <is>
          <t>avverkningsanmälan</t>
        </is>
      </c>
      <c r="C9673" t="inlineStr">
        <is>
          <t>Föryngringsavverkning</t>
        </is>
      </c>
      <c r="D9673" s="1" t="n">
        <v>46198</v>
      </c>
      <c r="E9673" s="1" t="n">
        <v>46307</v>
      </c>
      <c r="F9673" t="inlineStr">
        <is>
          <t>VÄRMLANDS LÄN</t>
        </is>
      </c>
      <c r="G9673" t="inlineStr">
        <is>
          <t>SUNNE</t>
        </is>
      </c>
      <c r="I9673" t="n">
        <v>1.8</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A 29444-2026</t>
        </is>
      </c>
      <c r="B9674" t="inlineStr">
        <is>
          <t>avverkningsanmälan</t>
        </is>
      </c>
      <c r="C9674" t="inlineStr">
        <is>
          <t>Föryngringsavverkning</t>
        </is>
      </c>
      <c r="D9674" s="1" t="n">
        <v>46203</v>
      </c>
      <c r="E9674" s="1" t="n">
        <v>46307</v>
      </c>
      <c r="F9674" t="inlineStr">
        <is>
          <t>VÄRMLANDS LÄN</t>
        </is>
      </c>
      <c r="G9674" t="inlineStr">
        <is>
          <t>STORFORS</t>
        </is>
      </c>
      <c r="H9674" t="inlineStr">
        <is>
          <t>Naturvårdsverket</t>
        </is>
      </c>
      <c r="I9674" t="n">
        <v>5.2</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A 29265-2026</t>
        </is>
      </c>
      <c r="B9675" t="inlineStr">
        <is>
          <t>avverkningsanmälan</t>
        </is>
      </c>
      <c r="C9675" t="inlineStr">
        <is>
          <t>Föryngringsavverkning</t>
        </is>
      </c>
      <c r="D9675" s="1" t="n">
        <v>46202</v>
      </c>
      <c r="E9675" s="1" t="n">
        <v>46307</v>
      </c>
      <c r="F9675" t="inlineStr">
        <is>
          <t>VÄRMLANDS LÄN</t>
        </is>
      </c>
      <c r="G9675" t="inlineStr">
        <is>
          <t>FORSHAGA</t>
        </is>
      </c>
      <c r="I9675" t="n">
        <v>2.3</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A 29102-2026</t>
        </is>
      </c>
      <c r="B9676" t="inlineStr">
        <is>
          <t>avverkningsanmälan</t>
        </is>
      </c>
      <c r="C9676" t="inlineStr">
        <is>
          <t>Föryngringsavverkning</t>
        </is>
      </c>
      <c r="D9676" s="1" t="n">
        <v>46200</v>
      </c>
      <c r="E9676" s="1" t="n">
        <v>46307</v>
      </c>
      <c r="F9676" t="inlineStr">
        <is>
          <t>VÄRMLANDS LÄN</t>
        </is>
      </c>
      <c r="G9676" t="inlineStr">
        <is>
          <t>HAGFORS</t>
        </is>
      </c>
      <c r="H9676" t="inlineStr">
        <is>
          <t>Bergvik skog väst AB</t>
        </is>
      </c>
      <c r="I9676" t="n">
        <v>6.3</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A 29385-2026</t>
        </is>
      </c>
      <c r="B9677" t="inlineStr">
        <is>
          <t>avverkningsanmälan</t>
        </is>
      </c>
      <c r="C9677" t="inlineStr">
        <is>
          <t>Föryngringsavverkning</t>
        </is>
      </c>
      <c r="D9677" s="1" t="n">
        <v>46203</v>
      </c>
      <c r="E9677" s="1" t="n">
        <v>46307</v>
      </c>
      <c r="F9677" t="inlineStr">
        <is>
          <t>VÄRMLANDS LÄN</t>
        </is>
      </c>
      <c r="G9677" t="inlineStr">
        <is>
          <t>FILIPSTAD</t>
        </is>
      </c>
      <c r="H9677" t="inlineStr">
        <is>
          <t>Bergvik skog väst AB</t>
        </is>
      </c>
      <c r="I9677" t="n">
        <v>5.5</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A 32302-2024</t>
        </is>
      </c>
      <c r="B9678" t="inlineStr">
        <is>
          <t>avverkningsanmälan</t>
        </is>
      </c>
      <c r="C9678" t="inlineStr">
        <is>
          <t>Föryngringsavverkning</t>
        </is>
      </c>
      <c r="D9678" s="1" t="n">
        <v>45512</v>
      </c>
      <c r="E9678" s="1" t="n">
        <v>46307</v>
      </c>
      <c r="F9678" t="inlineStr">
        <is>
          <t>VÄRMLANDS LÄN</t>
        </is>
      </c>
      <c r="G9678" t="inlineStr">
        <is>
          <t>GRUMS</t>
        </is>
      </c>
      <c r="H9678" t="inlineStr">
        <is>
          <t>Bergvik skog väst AB</t>
        </is>
      </c>
      <c r="I9678" t="n">
        <v>3.3</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A 29103-2026</t>
        </is>
      </c>
      <c r="B9679" t="inlineStr">
        <is>
          <t>avverkningsanmälan</t>
        </is>
      </c>
      <c r="C9679" t="inlineStr">
        <is>
          <t>Föryngringsavverkning</t>
        </is>
      </c>
      <c r="D9679" s="1" t="n">
        <v>46200</v>
      </c>
      <c r="E9679" s="1" t="n">
        <v>46307</v>
      </c>
      <c r="F9679" t="inlineStr">
        <is>
          <t>VÄRMLANDS LÄN</t>
        </is>
      </c>
      <c r="G9679" t="inlineStr">
        <is>
          <t>HAGFORS</t>
        </is>
      </c>
      <c r="H9679" t="inlineStr">
        <is>
          <t>Bergvik skog väst AB</t>
        </is>
      </c>
      <c r="I9679" t="n">
        <v>1.2</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A 29144-2026</t>
        </is>
      </c>
      <c r="B9680" t="inlineStr">
        <is>
          <t>avverkningsanmälan</t>
        </is>
      </c>
      <c r="C9680" t="inlineStr">
        <is>
          <t>Föryngringsavverkning</t>
        </is>
      </c>
      <c r="D9680" s="1" t="n">
        <v>46202</v>
      </c>
      <c r="E9680" s="1" t="n">
        <v>46307</v>
      </c>
      <c r="F9680" t="inlineStr">
        <is>
          <t>VÄRMLANDS LÄN</t>
        </is>
      </c>
      <c r="G9680" t="inlineStr">
        <is>
          <t>TORSBY</t>
        </is>
      </c>
      <c r="H9680" t="inlineStr">
        <is>
          <t>Bergvik skog väst AB</t>
        </is>
      </c>
      <c r="I9680" t="n">
        <v>15.4</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A 29520-2026</t>
        </is>
      </c>
      <c r="B9681" t="inlineStr">
        <is>
          <t>avverkningsanmälan</t>
        </is>
      </c>
      <c r="C9681" t="inlineStr">
        <is>
          <t>Föryngringsavverkning</t>
        </is>
      </c>
      <c r="D9681" s="1" t="n">
        <v>46203</v>
      </c>
      <c r="E9681" s="1" t="n">
        <v>46307</v>
      </c>
      <c r="F9681" t="inlineStr">
        <is>
          <t>VÄRMLANDS LÄN</t>
        </is>
      </c>
      <c r="G9681" t="inlineStr">
        <is>
          <t>SÄFFLE</t>
        </is>
      </c>
      <c r="I9681" t="n">
        <v>1.1</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A 30209-2026</t>
        </is>
      </c>
      <c r="B9682" t="inlineStr">
        <is>
          <t>avverkningsanmälan</t>
        </is>
      </c>
      <c r="C9682" t="inlineStr">
        <is>
          <t>Föryngringsavverkning</t>
        </is>
      </c>
      <c r="D9682" s="1" t="n">
        <v>46203</v>
      </c>
      <c r="E9682" s="1" t="n">
        <v>46307</v>
      </c>
      <c r="F9682" t="inlineStr">
        <is>
          <t>VÄRMLANDS LÄN</t>
        </is>
      </c>
      <c r="G9682" t="inlineStr">
        <is>
          <t>ÅRJÄNG</t>
        </is>
      </c>
      <c r="I9682" t="n">
        <v>1.7</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A 26802-2026</t>
        </is>
      </c>
      <c r="B9683" t="inlineStr">
        <is>
          <t>avverkningsanmälan</t>
        </is>
      </c>
      <c r="C9683" t="inlineStr">
        <is>
          <t>Föryngringsavverkning</t>
        </is>
      </c>
      <c r="D9683" s="1" t="n">
        <v>46183</v>
      </c>
      <c r="E9683" s="1" t="n">
        <v>46307</v>
      </c>
      <c r="F9683" t="inlineStr">
        <is>
          <t>VÄRMLANDS LÄN</t>
        </is>
      </c>
      <c r="G9683" t="inlineStr">
        <is>
          <t>SÄFFLE</t>
        </is>
      </c>
      <c r="I9683" t="n">
        <v>2.5</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A 59055-2024</t>
        </is>
      </c>
      <c r="B9684" t="inlineStr">
        <is>
          <t>avverkningsanmälan</t>
        </is>
      </c>
      <c r="C9684" t="inlineStr">
        <is>
          <t>Föryngringsavverkning</t>
        </is>
      </c>
      <c r="D9684" s="1" t="n">
        <v>45636</v>
      </c>
      <c r="E9684" s="1" t="n">
        <v>46307</v>
      </c>
      <c r="F9684" t="inlineStr">
        <is>
          <t>VÄRMLANDS LÄN</t>
        </is>
      </c>
      <c r="G9684" t="inlineStr">
        <is>
          <t>KARLSTAD</t>
        </is>
      </c>
      <c r="I9684" t="n">
        <v>7</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A 29367-2026</t>
        </is>
      </c>
      <c r="B9685" t="inlineStr">
        <is>
          <t>avverkningsanmälan</t>
        </is>
      </c>
      <c r="C9685" t="inlineStr">
        <is>
          <t>Föryngringsavverkning</t>
        </is>
      </c>
      <c r="D9685" s="1" t="n">
        <v>46203</v>
      </c>
      <c r="E9685" s="1" t="n">
        <v>46307</v>
      </c>
      <c r="F9685" t="inlineStr">
        <is>
          <t>VÄRMLANDS LÄN</t>
        </is>
      </c>
      <c r="G9685" t="inlineStr">
        <is>
          <t>TORSBY</t>
        </is>
      </c>
      <c r="I9685" t="n">
        <v>2.1</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A 29376-2026</t>
        </is>
      </c>
      <c r="B9686" t="inlineStr">
        <is>
          <t>avverkningsanmälan</t>
        </is>
      </c>
      <c r="C9686" t="inlineStr">
        <is>
          <t>Föryngringsavverkning</t>
        </is>
      </c>
      <c r="D9686" s="1" t="n">
        <v>46203</v>
      </c>
      <c r="E9686" s="1" t="n">
        <v>46307</v>
      </c>
      <c r="F9686" t="inlineStr">
        <is>
          <t>VÄRMLANDS LÄN</t>
        </is>
      </c>
      <c r="G9686" t="inlineStr">
        <is>
          <t>FILIPSTAD</t>
        </is>
      </c>
      <c r="H9686" t="inlineStr">
        <is>
          <t>Bergvik skog väst AB</t>
        </is>
      </c>
      <c r="I9686" t="n">
        <v>14.6</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A 29388-2026</t>
        </is>
      </c>
      <c r="B9687" t="inlineStr">
        <is>
          <t>avverkningsanmälan</t>
        </is>
      </c>
      <c r="C9687" t="inlineStr">
        <is>
          <t>Föryngringsavverkning</t>
        </is>
      </c>
      <c r="D9687" s="1" t="n">
        <v>46203</v>
      </c>
      <c r="E9687" s="1" t="n">
        <v>46307</v>
      </c>
      <c r="F9687" t="inlineStr">
        <is>
          <t>VÄRMLANDS LÄN</t>
        </is>
      </c>
      <c r="G9687" t="inlineStr">
        <is>
          <t>KARLSTAD</t>
        </is>
      </c>
      <c r="I9687" t="n">
        <v>2.3</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A 29422-2026</t>
        </is>
      </c>
      <c r="B9688" t="inlineStr">
        <is>
          <t>avverkningsanmälan</t>
        </is>
      </c>
      <c r="C9688" t="inlineStr">
        <is>
          <t>Föryngringsavverkning</t>
        </is>
      </c>
      <c r="D9688" s="1" t="n">
        <v>46203</v>
      </c>
      <c r="E9688" s="1" t="n">
        <v>46307</v>
      </c>
      <c r="F9688" t="inlineStr">
        <is>
          <t>VÄRMLANDS LÄN</t>
        </is>
      </c>
      <c r="G9688" t="inlineStr">
        <is>
          <t>HAGFORS</t>
        </is>
      </c>
      <c r="H9688" t="inlineStr">
        <is>
          <t>Bergvik skog väst AB</t>
        </is>
      </c>
      <c r="I9688" t="n">
        <v>1.2</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A 29430-2026</t>
        </is>
      </c>
      <c r="B9689" t="inlineStr">
        <is>
          <t>avverkningsanmälan</t>
        </is>
      </c>
      <c r="C9689" t="inlineStr">
        <is>
          <t>Föryngringsavverkning</t>
        </is>
      </c>
      <c r="D9689" s="1" t="n">
        <v>46203</v>
      </c>
      <c r="E9689" s="1" t="n">
        <v>46307</v>
      </c>
      <c r="F9689" t="inlineStr">
        <is>
          <t>VÄRMLANDS LÄN</t>
        </is>
      </c>
      <c r="G9689" t="inlineStr">
        <is>
          <t>HAGFORS</t>
        </is>
      </c>
      <c r="H9689" t="inlineStr">
        <is>
          <t>Bergvik skog väst AB</t>
        </is>
      </c>
      <c r="I9689" t="n">
        <v>1.6</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A 29438-2026</t>
        </is>
      </c>
      <c r="B9690" t="inlineStr">
        <is>
          <t>avverkningsanmälan</t>
        </is>
      </c>
      <c r="C9690" t="inlineStr">
        <is>
          <t>Föryngringsavverkning</t>
        </is>
      </c>
      <c r="D9690" s="1" t="n">
        <v>46203</v>
      </c>
      <c r="E9690" s="1" t="n">
        <v>46307</v>
      </c>
      <c r="F9690" t="inlineStr">
        <is>
          <t>VÄRMLANDS LÄN</t>
        </is>
      </c>
      <c r="G9690" t="inlineStr">
        <is>
          <t>HAGFORS</t>
        </is>
      </c>
      <c r="H9690" t="inlineStr">
        <is>
          <t>Bergvik skog väst AB</t>
        </is>
      </c>
      <c r="I9690" t="n">
        <v>2</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A 29127-2026</t>
        </is>
      </c>
      <c r="B9691" t="inlineStr">
        <is>
          <t>avverkningsanmälan</t>
        </is>
      </c>
      <c r="C9691" t="inlineStr">
        <is>
          <t>Föryngringsavverkning</t>
        </is>
      </c>
      <c r="D9691" s="1" t="n">
        <v>46202</v>
      </c>
      <c r="E9691" s="1" t="n">
        <v>46307</v>
      </c>
      <c r="F9691" t="inlineStr">
        <is>
          <t>VÄRMLANDS LÄN</t>
        </is>
      </c>
      <c r="G9691" t="inlineStr">
        <is>
          <t>FILIPSTAD</t>
        </is>
      </c>
      <c r="H9691" t="inlineStr">
        <is>
          <t>Bergvik skog väst AB</t>
        </is>
      </c>
      <c r="I9691" t="n">
        <v>2.8</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A 29205-2026</t>
        </is>
      </c>
      <c r="B9692" t="inlineStr">
        <is>
          <t>avverkningsanmälan</t>
        </is>
      </c>
      <c r="C9692" t="inlineStr">
        <is>
          <t>Föryngringsavverkning</t>
        </is>
      </c>
      <c r="D9692" s="1" t="n">
        <v>46202</v>
      </c>
      <c r="E9692" s="1" t="n">
        <v>46307</v>
      </c>
      <c r="F9692" t="inlineStr">
        <is>
          <t>VÄRMLANDS LÄN</t>
        </is>
      </c>
      <c r="G9692" t="inlineStr">
        <is>
          <t>GRUMS</t>
        </is>
      </c>
      <c r="I9692" t="n">
        <v>1.4</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A 29212-2026</t>
        </is>
      </c>
      <c r="B9693" t="inlineStr">
        <is>
          <t>avverkningsanmälan</t>
        </is>
      </c>
      <c r="C9693" t="inlineStr">
        <is>
          <t>Föryngringsavverkning</t>
        </is>
      </c>
      <c r="D9693" s="1" t="n">
        <v>46202</v>
      </c>
      <c r="E9693" s="1" t="n">
        <v>46307</v>
      </c>
      <c r="F9693" t="inlineStr">
        <is>
          <t>VÄRMLANDS LÄN</t>
        </is>
      </c>
      <c r="G9693" t="inlineStr">
        <is>
          <t>SUNNE</t>
        </is>
      </c>
      <c r="I9693" t="n">
        <v>1.6</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A 29222-2026</t>
        </is>
      </c>
      <c r="B9694" t="inlineStr">
        <is>
          <t>avverkningsanmälan</t>
        </is>
      </c>
      <c r="C9694" t="inlineStr">
        <is>
          <t>Föryngringsavverkning</t>
        </is>
      </c>
      <c r="D9694" s="1" t="n">
        <v>46202</v>
      </c>
      <c r="E9694" s="1" t="n">
        <v>46307</v>
      </c>
      <c r="F9694" t="inlineStr">
        <is>
          <t>VÄRMLANDS LÄN</t>
        </is>
      </c>
      <c r="G9694" t="inlineStr">
        <is>
          <t>GRUMS</t>
        </is>
      </c>
      <c r="I9694" t="n">
        <v>3.3</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A 29243-2026</t>
        </is>
      </c>
      <c r="B9695" t="inlineStr">
        <is>
          <t>avverkningsanmälan</t>
        </is>
      </c>
      <c r="C9695" t="inlineStr">
        <is>
          <t>Föryngringsavverkning</t>
        </is>
      </c>
      <c r="D9695" s="1" t="n">
        <v>46202</v>
      </c>
      <c r="E9695" s="1" t="n">
        <v>46307</v>
      </c>
      <c r="F9695" t="inlineStr">
        <is>
          <t>VÄRMLANDS LÄN</t>
        </is>
      </c>
      <c r="G9695" t="inlineStr">
        <is>
          <t>TORSBY</t>
        </is>
      </c>
      <c r="H9695" t="inlineStr">
        <is>
          <t>Bergvik skog väst AB</t>
        </is>
      </c>
      <c r="I9695" t="n">
        <v>0.5</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A 29328-2026</t>
        </is>
      </c>
      <c r="B9696" t="inlineStr">
        <is>
          <t>avverkningsanmälan</t>
        </is>
      </c>
      <c r="C9696" t="inlineStr">
        <is>
          <t>Föryngringsavverkning</t>
        </is>
      </c>
      <c r="D9696" s="1" t="n">
        <v>46202</v>
      </c>
      <c r="E9696" s="1" t="n">
        <v>46307</v>
      </c>
      <c r="F9696" t="inlineStr">
        <is>
          <t>VÄRMLANDS LÄN</t>
        </is>
      </c>
      <c r="G9696" t="inlineStr">
        <is>
          <t>FILIPSTAD</t>
        </is>
      </c>
      <c r="H9696" t="inlineStr">
        <is>
          <t>Bergvik skog väst AB</t>
        </is>
      </c>
      <c r="I9696" t="n">
        <v>3.5</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A 29493-2026</t>
        </is>
      </c>
      <c r="B9697" t="inlineStr">
        <is>
          <t>avverkningsanmälan</t>
        </is>
      </c>
      <c r="C9697" t="inlineStr">
        <is>
          <t>Föryngringsavverkning</t>
        </is>
      </c>
      <c r="D9697" s="1" t="n">
        <v>46203</v>
      </c>
      <c r="E9697" s="1" t="n">
        <v>46307</v>
      </c>
      <c r="F9697" t="inlineStr">
        <is>
          <t>VÄRMLANDS LÄN</t>
        </is>
      </c>
      <c r="G9697" t="inlineStr">
        <is>
          <t>TORSBY</t>
        </is>
      </c>
      <c r="H9697" t="inlineStr">
        <is>
          <t>Bergvik skog väst AB</t>
        </is>
      </c>
      <c r="I9697" t="n">
        <v>2.9</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A 29428-2026</t>
        </is>
      </c>
      <c r="B9698" t="inlineStr">
        <is>
          <t>avverkningsanmälan</t>
        </is>
      </c>
      <c r="C9698" t="inlineStr">
        <is>
          <t>Föryngringsavverkning</t>
        </is>
      </c>
      <c r="D9698" s="1" t="n">
        <v>46203</v>
      </c>
      <c r="E9698" s="1" t="n">
        <v>46307</v>
      </c>
      <c r="F9698" t="inlineStr">
        <is>
          <t>VÄRMLANDS LÄN</t>
        </is>
      </c>
      <c r="G9698" t="inlineStr">
        <is>
          <t>HAGFORS</t>
        </is>
      </c>
      <c r="H9698" t="inlineStr">
        <is>
          <t>Bergvik skog väst AB</t>
        </is>
      </c>
      <c r="I9698" t="n">
        <v>12.4</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A 29441-2026</t>
        </is>
      </c>
      <c r="B9699" t="inlineStr">
        <is>
          <t>avverkningsanmälan</t>
        </is>
      </c>
      <c r="C9699" t="inlineStr">
        <is>
          <t>Föryngringsavverkning</t>
        </is>
      </c>
      <c r="D9699" s="1" t="n">
        <v>46203</v>
      </c>
      <c r="E9699" s="1" t="n">
        <v>46307</v>
      </c>
      <c r="F9699" t="inlineStr">
        <is>
          <t>VÄRMLANDS LÄN</t>
        </is>
      </c>
      <c r="G9699" t="inlineStr">
        <is>
          <t>ARVIKA</t>
        </is>
      </c>
      <c r="H9699" t="inlineStr">
        <is>
          <t>Bergvik skog väst AB</t>
        </is>
      </c>
      <c r="I9699" t="n">
        <v>10.9</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A 29400-2026</t>
        </is>
      </c>
      <c r="B9700" t="inlineStr">
        <is>
          <t>avverkningsanmälan</t>
        </is>
      </c>
      <c r="C9700" t="inlineStr">
        <is>
          <t>Föryngringsavverkning</t>
        </is>
      </c>
      <c r="D9700" s="1" t="n">
        <v>46203</v>
      </c>
      <c r="E9700" s="1" t="n">
        <v>46307</v>
      </c>
      <c r="F9700" t="inlineStr">
        <is>
          <t>VÄRMLANDS LÄN</t>
        </is>
      </c>
      <c r="G9700" t="inlineStr">
        <is>
          <t>HAGFORS</t>
        </is>
      </c>
      <c r="H9700" t="inlineStr">
        <is>
          <t>Bergvik skog väst AB</t>
        </is>
      </c>
      <c r="I9700" t="n">
        <v>11.8</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A 27855-2026</t>
        </is>
      </c>
      <c r="B9701" t="inlineStr">
        <is>
          <t>avverkningsanmälan</t>
        </is>
      </c>
      <c r="C9701" t="inlineStr">
        <is>
          <t>Avverkning för att bevara och utveckla /försöksver</t>
        </is>
      </c>
      <c r="D9701" s="1" t="n">
        <v>46191</v>
      </c>
      <c r="E9701" s="1" t="n">
        <v>46307</v>
      </c>
      <c r="F9701" t="inlineStr">
        <is>
          <t>VÄRMLANDS LÄN</t>
        </is>
      </c>
      <c r="G9701" t="inlineStr">
        <is>
          <t>HAGFORS</t>
        </is>
      </c>
      <c r="H9701" t="inlineStr">
        <is>
          <t>Bergvik skog väst AB</t>
        </is>
      </c>
      <c r="I9701" t="n">
        <v>4.5</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A 29426-2026</t>
        </is>
      </c>
      <c r="B9702" t="inlineStr">
        <is>
          <t>avverkningsanmälan</t>
        </is>
      </c>
      <c r="C9702" t="inlineStr">
        <is>
          <t>Föryngringsavverkning</t>
        </is>
      </c>
      <c r="D9702" s="1" t="n">
        <v>46203</v>
      </c>
      <c r="E9702" s="1" t="n">
        <v>46307</v>
      </c>
      <c r="F9702" t="inlineStr">
        <is>
          <t>VÄRMLANDS LÄN</t>
        </is>
      </c>
      <c r="G9702" t="inlineStr">
        <is>
          <t>STORFORS</t>
        </is>
      </c>
      <c r="H9702" t="inlineStr">
        <is>
          <t>Bergvik skog väst AB</t>
        </is>
      </c>
      <c r="I9702" t="n">
        <v>7.1</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A 29427-2026</t>
        </is>
      </c>
      <c r="B9703" t="inlineStr">
        <is>
          <t>avverkningsanmälan</t>
        </is>
      </c>
      <c r="C9703" t="inlineStr">
        <is>
          <t>Föryngringsavverkning</t>
        </is>
      </c>
      <c r="D9703" s="1" t="n">
        <v>46203</v>
      </c>
      <c r="E9703" s="1" t="n">
        <v>46307</v>
      </c>
      <c r="F9703" t="inlineStr">
        <is>
          <t>VÄRMLANDS LÄN</t>
        </is>
      </c>
      <c r="G9703" t="inlineStr">
        <is>
          <t>HAGFORS</t>
        </is>
      </c>
      <c r="H9703" t="inlineStr">
        <is>
          <t>Bergvik skog väst AB</t>
        </is>
      </c>
      <c r="I9703" t="n">
        <v>9.6</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A 29453-2026</t>
        </is>
      </c>
      <c r="B9704" t="inlineStr">
        <is>
          <t>avverkningsanmälan</t>
        </is>
      </c>
      <c r="C9704" t="inlineStr">
        <is>
          <t>Avverkning för annat ändamål</t>
        </is>
      </c>
      <c r="D9704" s="1" t="n">
        <v>46203</v>
      </c>
      <c r="E9704" s="1" t="n">
        <v>46307</v>
      </c>
      <c r="F9704" t="inlineStr">
        <is>
          <t>VÄRMLANDS LÄN</t>
        </is>
      </c>
      <c r="G9704" t="inlineStr">
        <is>
          <t>EDA</t>
        </is>
      </c>
      <c r="I9704" t="n">
        <v>0.3</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A 29454-2026</t>
        </is>
      </c>
      <c r="B9705" t="inlineStr">
        <is>
          <t>avverkningsanmälan</t>
        </is>
      </c>
      <c r="C9705" t="inlineStr">
        <is>
          <t>Föryngringsavverkning</t>
        </is>
      </c>
      <c r="D9705" s="1" t="n">
        <v>46203</v>
      </c>
      <c r="E9705" s="1" t="n">
        <v>46307</v>
      </c>
      <c r="F9705" t="inlineStr">
        <is>
          <t>VÄRMLANDS LÄN</t>
        </is>
      </c>
      <c r="G9705" t="inlineStr">
        <is>
          <t>EDA</t>
        </is>
      </c>
      <c r="I9705" t="n">
        <v>3.4</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A 29551-2026</t>
        </is>
      </c>
      <c r="B9706" t="inlineStr">
        <is>
          <t>avverkningsanmälan</t>
        </is>
      </c>
      <c r="C9706" t="inlineStr">
        <is>
          <t>Föryngringsavverkning</t>
        </is>
      </c>
      <c r="D9706" s="1" t="n">
        <v>46203</v>
      </c>
      <c r="E9706" s="1" t="n">
        <v>46307</v>
      </c>
      <c r="F9706" t="inlineStr">
        <is>
          <t>VÄRMLANDS LÄN</t>
        </is>
      </c>
      <c r="G9706" t="inlineStr">
        <is>
          <t>ÅRJÄNG</t>
        </is>
      </c>
      <c r="H9706" t="inlineStr">
        <is>
          <t>Kyrkan</t>
        </is>
      </c>
      <c r="I9706" t="n">
        <v>2.3</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A 29490-2026</t>
        </is>
      </c>
      <c r="B9707" t="inlineStr">
        <is>
          <t>avverkningsanmälan</t>
        </is>
      </c>
      <c r="C9707" t="inlineStr">
        <is>
          <t>Föryngringsavverkning</t>
        </is>
      </c>
      <c r="D9707" s="1" t="n">
        <v>46203</v>
      </c>
      <c r="E9707" s="1" t="n">
        <v>46307</v>
      </c>
      <c r="F9707" t="inlineStr">
        <is>
          <t>VÄRMLANDS LÄN</t>
        </is>
      </c>
      <c r="G9707" t="inlineStr">
        <is>
          <t>SUNNE</t>
        </is>
      </c>
      <c r="I9707" t="n">
        <v>3.8</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A 29191-2026</t>
        </is>
      </c>
      <c r="B9708" t="inlineStr">
        <is>
          <t>avverkningsanmälan</t>
        </is>
      </c>
      <c r="C9708" t="inlineStr">
        <is>
          <t>Föryngringsavverkning</t>
        </is>
      </c>
      <c r="D9708" s="1" t="n">
        <v>46202</v>
      </c>
      <c r="E9708" s="1" t="n">
        <v>46307</v>
      </c>
      <c r="F9708" t="inlineStr">
        <is>
          <t>VÄRMLANDS LÄN</t>
        </is>
      </c>
      <c r="G9708" t="inlineStr">
        <is>
          <t>GRUMS</t>
        </is>
      </c>
      <c r="I9708" t="n">
        <v>5.1</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A 29380-2026</t>
        </is>
      </c>
      <c r="B9709" t="inlineStr">
        <is>
          <t>avverkningsanmälan</t>
        </is>
      </c>
      <c r="C9709" t="inlineStr">
        <is>
          <t>Föryngringsavverkning</t>
        </is>
      </c>
      <c r="D9709" s="1" t="n">
        <v>46203</v>
      </c>
      <c r="E9709" s="1" t="n">
        <v>46307</v>
      </c>
      <c r="F9709" t="inlineStr">
        <is>
          <t>VÄRMLANDS LÄN</t>
        </is>
      </c>
      <c r="G9709" t="inlineStr">
        <is>
          <t>EDA</t>
        </is>
      </c>
      <c r="I9709" t="n">
        <v>2.1</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A 29481-2026</t>
        </is>
      </c>
      <c r="B9710" t="inlineStr">
        <is>
          <t>avverkningsanmälan</t>
        </is>
      </c>
      <c r="C9710" t="inlineStr">
        <is>
          <t>Föryngringsavverkning</t>
        </is>
      </c>
      <c r="D9710" s="1" t="n">
        <v>46203</v>
      </c>
      <c r="E9710" s="1" t="n">
        <v>46307</v>
      </c>
      <c r="F9710" t="inlineStr">
        <is>
          <t>VÄRMLANDS LÄN</t>
        </is>
      </c>
      <c r="G9710" t="inlineStr">
        <is>
          <t>TORSBY</t>
        </is>
      </c>
      <c r="I9710" t="n">
        <v>2.5</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A 29406-2026</t>
        </is>
      </c>
      <c r="B9711" t="inlineStr">
        <is>
          <t>avverkningsanmälan</t>
        </is>
      </c>
      <c r="C9711" t="inlineStr">
        <is>
          <t>Föryngringsavverkning</t>
        </is>
      </c>
      <c r="D9711" s="1" t="n">
        <v>46203</v>
      </c>
      <c r="E9711" s="1" t="n">
        <v>46307</v>
      </c>
      <c r="F9711" t="inlineStr">
        <is>
          <t>VÄRMLANDS LÄN</t>
        </is>
      </c>
      <c r="G9711" t="inlineStr">
        <is>
          <t>SUNNE</t>
        </is>
      </c>
      <c r="I9711" t="n">
        <v>2.5</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A 29010-2026</t>
        </is>
      </c>
      <c r="B9712" t="inlineStr">
        <is>
          <t>avverkningsanmälan</t>
        </is>
      </c>
      <c r="C9712" t="inlineStr">
        <is>
          <t>Föryngringsavverkning</t>
        </is>
      </c>
      <c r="D9712" s="1" t="n">
        <v>46199</v>
      </c>
      <c r="E9712" s="1" t="n">
        <v>46307</v>
      </c>
      <c r="F9712" t="inlineStr">
        <is>
          <t>VÄRMLANDS LÄN</t>
        </is>
      </c>
      <c r="G9712" t="inlineStr">
        <is>
          <t>FILIPSTAD</t>
        </is>
      </c>
      <c r="H9712" t="inlineStr">
        <is>
          <t>Bergvik skog väst AB</t>
        </is>
      </c>
      <c r="I9712" t="n">
        <v>4.8</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A 31020-2026</t>
        </is>
      </c>
      <c r="B9713" t="inlineStr">
        <is>
          <t>avverkningsanmälan</t>
        </is>
      </c>
      <c r="C9713" t="inlineStr">
        <is>
          <t>Föryngringsavverkning</t>
        </is>
      </c>
      <c r="D9713" s="1" t="n">
        <v>46206</v>
      </c>
      <c r="E9713" s="1" t="n">
        <v>46307</v>
      </c>
      <c r="F9713" t="inlineStr">
        <is>
          <t>VÄRMLANDS LÄN</t>
        </is>
      </c>
      <c r="G9713" t="inlineStr">
        <is>
          <t>SÄFFLE</t>
        </is>
      </c>
      <c r="I9713" t="n">
        <v>14.3</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A 29672-2026</t>
        </is>
      </c>
      <c r="B9714" t="inlineStr">
        <is>
          <t>avverkningsanmälan</t>
        </is>
      </c>
      <c r="C9714" t="inlineStr">
        <is>
          <t>Föryngringsavverkning</t>
        </is>
      </c>
      <c r="D9714" s="1" t="n">
        <v>46204</v>
      </c>
      <c r="E9714" s="1" t="n">
        <v>46307</v>
      </c>
      <c r="F9714" t="inlineStr">
        <is>
          <t>VÄRMLANDS LÄN</t>
        </is>
      </c>
      <c r="G9714" t="inlineStr">
        <is>
          <t>MUNKFORS</t>
        </is>
      </c>
      <c r="H9714" t="inlineStr">
        <is>
          <t>Bergvik skog väst AB</t>
        </is>
      </c>
      <c r="I9714" t="n">
        <v>4.3</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A 29766-2026</t>
        </is>
      </c>
      <c r="B9715" t="inlineStr">
        <is>
          <t>avverkningsanmälan</t>
        </is>
      </c>
      <c r="C9715" t="inlineStr">
        <is>
          <t>Föryngringsavverkning</t>
        </is>
      </c>
      <c r="D9715" s="1" t="n">
        <v>46204</v>
      </c>
      <c r="E9715" s="1" t="n">
        <v>46307</v>
      </c>
      <c r="F9715" t="inlineStr">
        <is>
          <t>VÄRMLANDS LÄN</t>
        </is>
      </c>
      <c r="G9715" t="inlineStr">
        <is>
          <t>ÅRJÄNG</t>
        </is>
      </c>
      <c r="I9715" t="n">
        <v>2.2</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A 29821-2026</t>
        </is>
      </c>
      <c r="B9716" t="inlineStr">
        <is>
          <t>avverkningsanmälan</t>
        </is>
      </c>
      <c r="C9716" t="inlineStr">
        <is>
          <t>Föryngringsavverkning</t>
        </is>
      </c>
      <c r="D9716" s="1" t="n">
        <v>46205</v>
      </c>
      <c r="E9716" s="1" t="n">
        <v>46307</v>
      </c>
      <c r="F9716" t="inlineStr">
        <is>
          <t>VÄRMLANDS LÄN</t>
        </is>
      </c>
      <c r="G9716" t="inlineStr">
        <is>
          <t>FILIPSTAD</t>
        </is>
      </c>
      <c r="H9716" t="inlineStr">
        <is>
          <t>Bergvik skog väst AB</t>
        </is>
      </c>
      <c r="I9716" t="n">
        <v>1.9</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A 29899-2026</t>
        </is>
      </c>
      <c r="B9717" t="inlineStr">
        <is>
          <t>avverkningsanmälan</t>
        </is>
      </c>
      <c r="C9717" t="inlineStr">
        <is>
          <t>Föryngringsavverkning</t>
        </is>
      </c>
      <c r="D9717" s="1" t="n">
        <v>46205</v>
      </c>
      <c r="E9717" s="1" t="n">
        <v>46307</v>
      </c>
      <c r="F9717" t="inlineStr">
        <is>
          <t>VÄRMLANDS LÄN</t>
        </is>
      </c>
      <c r="G9717" t="inlineStr">
        <is>
          <t>KARLSTAD</t>
        </is>
      </c>
      <c r="I9717" t="n">
        <v>10.7</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A 29928-2026</t>
        </is>
      </c>
      <c r="B9718" t="inlineStr">
        <is>
          <t>avverkningsanmälan</t>
        </is>
      </c>
      <c r="C9718" t="inlineStr">
        <is>
          <t>Föryngringsavverkning</t>
        </is>
      </c>
      <c r="D9718" s="1" t="n">
        <v>46205</v>
      </c>
      <c r="E9718" s="1" t="n">
        <v>46307</v>
      </c>
      <c r="F9718" t="inlineStr">
        <is>
          <t>VÄRMLANDS LÄN</t>
        </is>
      </c>
      <c r="G9718" t="inlineStr">
        <is>
          <t>SUNNE</t>
        </is>
      </c>
      <c r="I9718" t="n">
        <v>0.5</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A 29373-2026</t>
        </is>
      </c>
      <c r="B9719" t="inlineStr">
        <is>
          <t>avverkningsanmälan</t>
        </is>
      </c>
      <c r="C9719" t="inlineStr">
        <is>
          <t>Föryngringsavverkning</t>
        </is>
      </c>
      <c r="D9719" s="1" t="n">
        <v>46203</v>
      </c>
      <c r="E9719" s="1" t="n">
        <v>46307</v>
      </c>
      <c r="F9719" t="inlineStr">
        <is>
          <t>VÄRMLANDS LÄN</t>
        </is>
      </c>
      <c r="G9719" t="inlineStr">
        <is>
          <t>TORSBY</t>
        </is>
      </c>
      <c r="I9719" t="n">
        <v>0.8</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A 29417-2026</t>
        </is>
      </c>
      <c r="B9720" t="inlineStr">
        <is>
          <t>avverkningsanmälan</t>
        </is>
      </c>
      <c r="C9720" t="inlineStr">
        <is>
          <t>Föryngringsavverkning</t>
        </is>
      </c>
      <c r="D9720" s="1" t="n">
        <v>46203</v>
      </c>
      <c r="E9720" s="1" t="n">
        <v>46307</v>
      </c>
      <c r="F9720" t="inlineStr">
        <is>
          <t>VÄRMLANDS LÄN</t>
        </is>
      </c>
      <c r="G9720" t="inlineStr">
        <is>
          <t>FILIPSTAD</t>
        </is>
      </c>
      <c r="H9720" t="inlineStr">
        <is>
          <t>Bergvik skog väst AB</t>
        </is>
      </c>
      <c r="I9720" t="n">
        <v>7.4</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A 29747-2026</t>
        </is>
      </c>
      <c r="B9721" t="inlineStr">
        <is>
          <t>avverkningsanmälan</t>
        </is>
      </c>
      <c r="C9721" t="inlineStr">
        <is>
          <t>Föryngringsavverkning</t>
        </is>
      </c>
      <c r="D9721" s="1" t="n">
        <v>46204</v>
      </c>
      <c r="E9721" s="1" t="n">
        <v>46307</v>
      </c>
      <c r="F9721" t="inlineStr">
        <is>
          <t>VÄRMLANDS LÄN</t>
        </is>
      </c>
      <c r="G9721" t="inlineStr">
        <is>
          <t>TORSBY</t>
        </is>
      </c>
      <c r="I9721" t="n">
        <v>5.2</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A 30902-2026</t>
        </is>
      </c>
      <c r="B9722" t="inlineStr">
        <is>
          <t>avverkningsanmälan</t>
        </is>
      </c>
      <c r="C9722" t="inlineStr">
        <is>
          <t>Föryngringsavverkning</t>
        </is>
      </c>
      <c r="D9722" s="1" t="n">
        <v>46205</v>
      </c>
      <c r="E9722" s="1" t="n">
        <v>46307</v>
      </c>
      <c r="F9722" t="inlineStr">
        <is>
          <t>VÄRMLANDS LÄN</t>
        </is>
      </c>
      <c r="G9722" t="inlineStr">
        <is>
          <t>ÅRJÄNG</t>
        </is>
      </c>
      <c r="I9722" t="n">
        <v>3.1</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A 29631-2026</t>
        </is>
      </c>
      <c r="B9723" t="inlineStr">
        <is>
          <t>avverkningsanmälan</t>
        </is>
      </c>
      <c r="C9723" t="inlineStr">
        <is>
          <t>Föryngringsavverkning</t>
        </is>
      </c>
      <c r="D9723" s="1" t="n">
        <v>46204</v>
      </c>
      <c r="E9723" s="1" t="n">
        <v>46307</v>
      </c>
      <c r="F9723" t="inlineStr">
        <is>
          <t>VÄRMLANDS LÄN</t>
        </is>
      </c>
      <c r="G9723" t="inlineStr">
        <is>
          <t>TORSBY</t>
        </is>
      </c>
      <c r="I9723" t="n">
        <v>2.7</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A 29900-2026</t>
        </is>
      </c>
      <c r="B9724" t="inlineStr">
        <is>
          <t>avverkningsanmälan</t>
        </is>
      </c>
      <c r="C9724" t="inlineStr">
        <is>
          <t>Föryngringsavverkning</t>
        </is>
      </c>
      <c r="D9724" s="1" t="n">
        <v>46205</v>
      </c>
      <c r="E9724" s="1" t="n">
        <v>46307</v>
      </c>
      <c r="F9724" t="inlineStr">
        <is>
          <t>VÄRMLANDS LÄN</t>
        </is>
      </c>
      <c r="G9724" t="inlineStr">
        <is>
          <t>TORSBY</t>
        </is>
      </c>
      <c r="I9724" t="n">
        <v>0.8</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A 29917-2026</t>
        </is>
      </c>
      <c r="B9725" t="inlineStr">
        <is>
          <t>avverkningsanmälan</t>
        </is>
      </c>
      <c r="C9725" t="inlineStr">
        <is>
          <t>Föryngringsavverkning</t>
        </is>
      </c>
      <c r="D9725" s="1" t="n">
        <v>46205</v>
      </c>
      <c r="E9725" s="1" t="n">
        <v>46307</v>
      </c>
      <c r="F9725" t="inlineStr">
        <is>
          <t>VÄRMLANDS LÄN</t>
        </is>
      </c>
      <c r="G9725" t="inlineStr">
        <is>
          <t>SUNNE</t>
        </is>
      </c>
      <c r="I9725" t="n">
        <v>1.4</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A 29834-2026</t>
        </is>
      </c>
      <c r="B9726" t="inlineStr">
        <is>
          <t>avverkningsanmälan</t>
        </is>
      </c>
      <c r="C9726" t="inlineStr">
        <is>
          <t>Föryngringsavverkning</t>
        </is>
      </c>
      <c r="D9726" s="1" t="n">
        <v>46205</v>
      </c>
      <c r="E9726" s="1" t="n">
        <v>46307</v>
      </c>
      <c r="F9726" t="inlineStr">
        <is>
          <t>VÄRMLANDS LÄN</t>
        </is>
      </c>
      <c r="G9726" t="inlineStr">
        <is>
          <t>SUNNE</t>
        </is>
      </c>
      <c r="I9726" t="n">
        <v>3.3</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A 29795-2026</t>
        </is>
      </c>
      <c r="B9727" t="inlineStr">
        <is>
          <t>avverkningsanmälan</t>
        </is>
      </c>
      <c r="C9727" t="inlineStr">
        <is>
          <t>Föryngringsavverkning</t>
        </is>
      </c>
      <c r="D9727" s="1" t="n">
        <v>46205</v>
      </c>
      <c r="E9727" s="1" t="n">
        <v>46307</v>
      </c>
      <c r="F9727" t="inlineStr">
        <is>
          <t>VÄRMLANDS LÄN</t>
        </is>
      </c>
      <c r="G9727" t="inlineStr">
        <is>
          <t>ARVIKA</t>
        </is>
      </c>
      <c r="I9727" t="n">
        <v>2.7</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A 29573-2026</t>
        </is>
      </c>
      <c r="B9728" t="inlineStr">
        <is>
          <t>avverkningsanmälan</t>
        </is>
      </c>
      <c r="C9728" t="inlineStr">
        <is>
          <t>Föryngringsavverkning</t>
        </is>
      </c>
      <c r="D9728" s="1" t="n">
        <v>46204</v>
      </c>
      <c r="E9728" s="1" t="n">
        <v>46307</v>
      </c>
      <c r="F9728" t="inlineStr">
        <is>
          <t>VÄRMLANDS LÄN</t>
        </is>
      </c>
      <c r="G9728" t="inlineStr">
        <is>
          <t>KARLSTAD</t>
        </is>
      </c>
      <c r="I9728" t="n">
        <v>5.9</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A 29637-2026</t>
        </is>
      </c>
      <c r="B9729" t="inlineStr">
        <is>
          <t>avverkningsanmälan</t>
        </is>
      </c>
      <c r="C9729" t="inlineStr">
        <is>
          <t>Föryngringsavverkning</t>
        </is>
      </c>
      <c r="D9729" s="1" t="n">
        <v>46204</v>
      </c>
      <c r="E9729" s="1" t="n">
        <v>46307</v>
      </c>
      <c r="F9729" t="inlineStr">
        <is>
          <t>VÄRMLANDS LÄN</t>
        </is>
      </c>
      <c r="G9729" t="inlineStr">
        <is>
          <t>TORSBY</t>
        </is>
      </c>
      <c r="I9729" t="n">
        <v>2.2</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A 29591-2026</t>
        </is>
      </c>
      <c r="B9730" t="inlineStr">
        <is>
          <t>avverkningsanmälan</t>
        </is>
      </c>
      <c r="C9730" t="inlineStr">
        <is>
          <t>Föryngringsavverkning</t>
        </is>
      </c>
      <c r="D9730" s="1" t="n">
        <v>46204</v>
      </c>
      <c r="E9730" s="1" t="n">
        <v>46307</v>
      </c>
      <c r="F9730" t="inlineStr">
        <is>
          <t>VÄRMLANDS LÄN</t>
        </is>
      </c>
      <c r="G9730" t="inlineStr">
        <is>
          <t>FILIPSTAD</t>
        </is>
      </c>
      <c r="H9730" t="inlineStr">
        <is>
          <t>Bergvik skog väst AB</t>
        </is>
      </c>
      <c r="I9730" t="n">
        <v>5.6</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A 29998-2026</t>
        </is>
      </c>
      <c r="B9731" t="inlineStr">
        <is>
          <t>avverkningsanmälan</t>
        </is>
      </c>
      <c r="C9731" t="inlineStr">
        <is>
          <t>Avverkning för att bevara och utveckla /försöksver</t>
        </is>
      </c>
      <c r="D9731" s="1" t="n">
        <v>46205</v>
      </c>
      <c r="E9731" s="1" t="n">
        <v>46307</v>
      </c>
      <c r="F9731" t="inlineStr">
        <is>
          <t>VÄRMLANDS LÄN</t>
        </is>
      </c>
      <c r="G9731" t="inlineStr">
        <is>
          <t>TORSBY</t>
        </is>
      </c>
      <c r="H9731" t="inlineStr">
        <is>
          <t>Bergvik skog väst AB</t>
        </is>
      </c>
      <c r="I9731" t="n">
        <v>3.3</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A 29982-2026</t>
        </is>
      </c>
      <c r="B9732" t="inlineStr">
        <is>
          <t>avverkningsanmälan</t>
        </is>
      </c>
      <c r="C9732" t="inlineStr">
        <is>
          <t>Föryngringsavverkning</t>
        </is>
      </c>
      <c r="D9732" s="1" t="n">
        <v>46205</v>
      </c>
      <c r="E9732" s="1" t="n">
        <v>46307</v>
      </c>
      <c r="F9732" t="inlineStr">
        <is>
          <t>VÄRMLANDS LÄN</t>
        </is>
      </c>
      <c r="G9732" t="inlineStr">
        <is>
          <t>SUNNE</t>
        </is>
      </c>
      <c r="I9732" t="n">
        <v>1.7</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A 29990-2026</t>
        </is>
      </c>
      <c r="B9733" t="inlineStr">
        <is>
          <t>avverkningsanmälan</t>
        </is>
      </c>
      <c r="C9733" t="inlineStr">
        <is>
          <t>Föryngringsavverkning</t>
        </is>
      </c>
      <c r="D9733" s="1" t="n">
        <v>46205</v>
      </c>
      <c r="E9733" s="1" t="n">
        <v>46307</v>
      </c>
      <c r="F9733" t="inlineStr">
        <is>
          <t>VÄRMLANDS LÄN</t>
        </is>
      </c>
      <c r="G9733" t="inlineStr">
        <is>
          <t>SUNNE</t>
        </is>
      </c>
      <c r="I9733" t="n">
        <v>1.1</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A 29992-2026</t>
        </is>
      </c>
      <c r="B9734" t="inlineStr">
        <is>
          <t>avverkningsanmälan</t>
        </is>
      </c>
      <c r="C9734" t="inlineStr">
        <is>
          <t>Föryngringsavverkning</t>
        </is>
      </c>
      <c r="D9734" s="1" t="n">
        <v>46205</v>
      </c>
      <c r="E9734" s="1" t="n">
        <v>46307</v>
      </c>
      <c r="F9734" t="inlineStr">
        <is>
          <t>VÄRMLANDS LÄN</t>
        </is>
      </c>
      <c r="G9734" t="inlineStr">
        <is>
          <t>MUNKFORS</t>
        </is>
      </c>
      <c r="I9734" t="n">
        <v>4.3</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A 29389-2026</t>
        </is>
      </c>
      <c r="B9735" t="inlineStr">
        <is>
          <t>avverkningsanmälan</t>
        </is>
      </c>
      <c r="C9735" t="inlineStr">
        <is>
          <t>Föryngringsavverkning</t>
        </is>
      </c>
      <c r="D9735" s="1" t="n">
        <v>46203</v>
      </c>
      <c r="E9735" s="1" t="n">
        <v>46307</v>
      </c>
      <c r="F9735" t="inlineStr">
        <is>
          <t>VÄRMLANDS LÄN</t>
        </is>
      </c>
      <c r="G9735" t="inlineStr">
        <is>
          <t>FILIPSTAD</t>
        </is>
      </c>
      <c r="H9735" t="inlineStr">
        <is>
          <t>Bergvik skog väst AB</t>
        </is>
      </c>
      <c r="I9735" t="n">
        <v>8.199999999999999</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A 29955-2026</t>
        </is>
      </c>
      <c r="B9736" t="inlineStr">
        <is>
          <t>avverkningsanmälan</t>
        </is>
      </c>
      <c r="C9736" t="inlineStr">
        <is>
          <t>Avverkning för annat ändamål</t>
        </is>
      </c>
      <c r="D9736" s="1" t="n">
        <v>46205</v>
      </c>
      <c r="E9736" s="1" t="n">
        <v>46307</v>
      </c>
      <c r="F9736" t="inlineStr">
        <is>
          <t>VÄRMLANDS LÄN</t>
        </is>
      </c>
      <c r="G9736" t="inlineStr">
        <is>
          <t>TORSBY</t>
        </is>
      </c>
      <c r="H9736" t="inlineStr">
        <is>
          <t>Bergvik skog väst AB</t>
        </is>
      </c>
      <c r="I9736" t="n">
        <v>1.8</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A 29956-2026</t>
        </is>
      </c>
      <c r="B9737" t="inlineStr">
        <is>
          <t>avverkningsanmälan</t>
        </is>
      </c>
      <c r="C9737" t="inlineStr">
        <is>
          <t>Föryngringsavverkning</t>
        </is>
      </c>
      <c r="D9737" s="1" t="n">
        <v>46205</v>
      </c>
      <c r="E9737" s="1" t="n">
        <v>46307</v>
      </c>
      <c r="F9737" t="inlineStr">
        <is>
          <t>VÄRMLANDS LÄN</t>
        </is>
      </c>
      <c r="G9737" t="inlineStr">
        <is>
          <t>TORSBY</t>
        </is>
      </c>
      <c r="I9737" t="n">
        <v>0.9</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A 29985-2026</t>
        </is>
      </c>
      <c r="B9738" t="inlineStr">
        <is>
          <t>avverkningsanmälan</t>
        </is>
      </c>
      <c r="C9738" t="inlineStr">
        <is>
          <t>Föryngringsavverkning</t>
        </is>
      </c>
      <c r="D9738" s="1" t="n">
        <v>46205</v>
      </c>
      <c r="E9738" s="1" t="n">
        <v>46307</v>
      </c>
      <c r="F9738" t="inlineStr">
        <is>
          <t>VÄRMLANDS LÄN</t>
        </is>
      </c>
      <c r="G9738" t="inlineStr">
        <is>
          <t>MUNKFORS</t>
        </is>
      </c>
      <c r="I9738" t="n">
        <v>1.8</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A 57599-2023</t>
        </is>
      </c>
      <c r="B9739" t="inlineStr">
        <is>
          <t>avverkningsanmälan</t>
        </is>
      </c>
      <c r="C9739" t="inlineStr">
        <is>
          <t>Föryngringsavverkning</t>
        </is>
      </c>
      <c r="D9739" s="1" t="n">
        <v>45246</v>
      </c>
      <c r="E9739" s="1" t="n">
        <v>46307</v>
      </c>
      <c r="F9739" t="inlineStr">
        <is>
          <t>VÄRMLANDS LÄN</t>
        </is>
      </c>
      <c r="G9739" t="inlineStr">
        <is>
          <t>EDA</t>
        </is>
      </c>
      <c r="I9739" t="n">
        <v>0.7</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A 29580-2026</t>
        </is>
      </c>
      <c r="B9740" t="inlineStr">
        <is>
          <t>avverkningsanmälan</t>
        </is>
      </c>
      <c r="C9740" t="inlineStr">
        <is>
          <t>Föryngringsavverkning</t>
        </is>
      </c>
      <c r="D9740" s="1" t="n">
        <v>46204</v>
      </c>
      <c r="E9740" s="1" t="n">
        <v>46307</v>
      </c>
      <c r="F9740" t="inlineStr">
        <is>
          <t>VÄRMLANDS LÄN</t>
        </is>
      </c>
      <c r="G9740" t="inlineStr">
        <is>
          <t>HAGFORS</t>
        </is>
      </c>
      <c r="H9740" t="inlineStr">
        <is>
          <t>Bergvik skog väst AB</t>
        </is>
      </c>
      <c r="I9740" t="n">
        <v>2.8</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A 29920-2026</t>
        </is>
      </c>
      <c r="B9741" t="inlineStr">
        <is>
          <t>avverkningsanmälan</t>
        </is>
      </c>
      <c r="C9741" t="inlineStr">
        <is>
          <t>Föryngringsavverkning</t>
        </is>
      </c>
      <c r="D9741" s="1" t="n">
        <v>46205</v>
      </c>
      <c r="E9741" s="1" t="n">
        <v>46307</v>
      </c>
      <c r="F9741" t="inlineStr">
        <is>
          <t>VÄRMLANDS LÄN</t>
        </is>
      </c>
      <c r="G9741" t="inlineStr">
        <is>
          <t>SUNNE</t>
        </is>
      </c>
      <c r="I9741" t="n">
        <v>1.6</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A 30795-2026</t>
        </is>
      </c>
      <c r="B9742" t="inlineStr">
        <is>
          <t>avverkningsanmälan</t>
        </is>
      </c>
      <c r="C9742" t="inlineStr">
        <is>
          <t>Föryngringsavverkning</t>
        </is>
      </c>
      <c r="D9742" s="1" t="n">
        <v>46205</v>
      </c>
      <c r="E9742" s="1" t="n">
        <v>46307</v>
      </c>
      <c r="F9742" t="inlineStr">
        <is>
          <t>VÄRMLANDS LÄN</t>
        </is>
      </c>
      <c r="G9742" t="inlineStr">
        <is>
          <t>ÅRJÄNG</t>
        </is>
      </c>
      <c r="I9742" t="n">
        <v>7.5</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A 29978-2026</t>
        </is>
      </c>
      <c r="B9743" t="inlineStr">
        <is>
          <t>avverkningsanmälan</t>
        </is>
      </c>
      <c r="C9743" t="inlineStr">
        <is>
          <t>Föryngringsavverkning</t>
        </is>
      </c>
      <c r="D9743" s="1" t="n">
        <v>46205</v>
      </c>
      <c r="E9743" s="1" t="n">
        <v>46307</v>
      </c>
      <c r="F9743" t="inlineStr">
        <is>
          <t>VÄRMLANDS LÄN</t>
        </is>
      </c>
      <c r="G9743" t="inlineStr">
        <is>
          <t>SUNNE</t>
        </is>
      </c>
      <c r="I9743" t="n">
        <v>2.9</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A 29590-2026</t>
        </is>
      </c>
      <c r="B9744" t="inlineStr">
        <is>
          <t>avverkningsanmälan</t>
        </is>
      </c>
      <c r="C9744" t="inlineStr">
        <is>
          <t>Föryngringsavverkning</t>
        </is>
      </c>
      <c r="D9744" s="1" t="n">
        <v>46204</v>
      </c>
      <c r="E9744" s="1" t="n">
        <v>46307</v>
      </c>
      <c r="F9744" t="inlineStr">
        <is>
          <t>VÄRMLANDS LÄN</t>
        </is>
      </c>
      <c r="G9744" t="inlineStr">
        <is>
          <t>TORSBY</t>
        </is>
      </c>
      <c r="I9744" t="n">
        <v>4.1</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A 29659-2026</t>
        </is>
      </c>
      <c r="B9745" t="inlineStr">
        <is>
          <t>avverkningsanmälan</t>
        </is>
      </c>
      <c r="C9745" t="inlineStr">
        <is>
          <t>Föryngringsavverkning</t>
        </is>
      </c>
      <c r="D9745" s="1" t="n">
        <v>46204</v>
      </c>
      <c r="E9745" s="1" t="n">
        <v>46307</v>
      </c>
      <c r="F9745" t="inlineStr">
        <is>
          <t>VÄRMLANDS LÄN</t>
        </is>
      </c>
      <c r="G9745" t="inlineStr">
        <is>
          <t>ARVIKA</t>
        </is>
      </c>
      <c r="H9745" t="inlineStr">
        <is>
          <t>Bergvik skog väst AB</t>
        </is>
      </c>
      <c r="I9745" t="n">
        <v>3.4</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A 29665-2026</t>
        </is>
      </c>
      <c r="B9746" t="inlineStr">
        <is>
          <t>avverkningsanmälan</t>
        </is>
      </c>
      <c r="C9746" t="inlineStr">
        <is>
          <t>Föryngringsavverkning</t>
        </is>
      </c>
      <c r="D9746" s="1" t="n">
        <v>46204</v>
      </c>
      <c r="E9746" s="1" t="n">
        <v>46307</v>
      </c>
      <c r="F9746" t="inlineStr">
        <is>
          <t>VÄRMLANDS LÄN</t>
        </is>
      </c>
      <c r="G9746" t="inlineStr">
        <is>
          <t>ARVIKA</t>
        </is>
      </c>
      <c r="H9746" t="inlineStr">
        <is>
          <t>Bergvik skog väst AB</t>
        </is>
      </c>
      <c r="I9746" t="n">
        <v>4.3</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A 29670-2026</t>
        </is>
      </c>
      <c r="B9747" t="inlineStr">
        <is>
          <t>avverkningsanmälan</t>
        </is>
      </c>
      <c r="C9747" t="inlineStr">
        <is>
          <t>Föryngringsavverkning</t>
        </is>
      </c>
      <c r="D9747" s="1" t="n">
        <v>46204</v>
      </c>
      <c r="E9747" s="1" t="n">
        <v>46307</v>
      </c>
      <c r="F9747" t="inlineStr">
        <is>
          <t>VÄRMLANDS LÄN</t>
        </is>
      </c>
      <c r="G9747" t="inlineStr">
        <is>
          <t>ÅRJÄNG</t>
        </is>
      </c>
      <c r="H9747" t="inlineStr">
        <is>
          <t>Kyrkan</t>
        </is>
      </c>
      <c r="I9747" t="n">
        <v>2.3</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A 36655-2025</t>
        </is>
      </c>
      <c r="B9748" t="inlineStr">
        <is>
          <t>avverkningsanmälan</t>
        </is>
      </c>
      <c r="C9748" t="inlineStr">
        <is>
          <t>Föryngringsavverkning</t>
        </is>
      </c>
      <c r="D9748" s="1" t="n">
        <v>45873</v>
      </c>
      <c r="E9748" s="1" t="n">
        <v>46307</v>
      </c>
      <c r="F9748" t="inlineStr">
        <is>
          <t>VÄRMLANDS LÄN</t>
        </is>
      </c>
      <c r="G9748" t="inlineStr">
        <is>
          <t>ARVIKA</t>
        </is>
      </c>
      <c r="I9748" t="n">
        <v>2.5</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A 29609-2026</t>
        </is>
      </c>
      <c r="B9749" t="inlineStr">
        <is>
          <t>avverkningsanmälan</t>
        </is>
      </c>
      <c r="C9749" t="inlineStr">
        <is>
          <t>Föryngringsavverkning</t>
        </is>
      </c>
      <c r="D9749" s="1" t="n">
        <v>46204</v>
      </c>
      <c r="E9749" s="1" t="n">
        <v>46307</v>
      </c>
      <c r="F9749" t="inlineStr">
        <is>
          <t>VÄRMLANDS LÄN</t>
        </is>
      </c>
      <c r="G9749" t="inlineStr">
        <is>
          <t>MUNKFORS</t>
        </is>
      </c>
      <c r="H9749" t="inlineStr">
        <is>
          <t>Bergvik skog väst AB</t>
        </is>
      </c>
      <c r="I9749" t="n">
        <v>9.4</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A 29853-2026</t>
        </is>
      </c>
      <c r="B9750" t="inlineStr">
        <is>
          <t>avverkningsanmälan</t>
        </is>
      </c>
      <c r="C9750" t="inlineStr">
        <is>
          <t>Föryngringsavverkning</t>
        </is>
      </c>
      <c r="D9750" s="1" t="n">
        <v>46205</v>
      </c>
      <c r="E9750" s="1" t="n">
        <v>46307</v>
      </c>
      <c r="F9750" t="inlineStr">
        <is>
          <t>VÄRMLANDS LÄN</t>
        </is>
      </c>
      <c r="G9750" t="inlineStr">
        <is>
          <t>SUNNE</t>
        </is>
      </c>
      <c r="I9750" t="n">
        <v>0.7</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A 29863-2026</t>
        </is>
      </c>
      <c r="B9751" t="inlineStr">
        <is>
          <t>avverkningsanmälan</t>
        </is>
      </c>
      <c r="C9751" t="inlineStr">
        <is>
          <t>Föryngringsavverkning</t>
        </is>
      </c>
      <c r="D9751" s="1" t="n">
        <v>46205</v>
      </c>
      <c r="E9751" s="1" t="n">
        <v>46307</v>
      </c>
      <c r="F9751" t="inlineStr">
        <is>
          <t>VÄRMLANDS LÄN</t>
        </is>
      </c>
      <c r="G9751" t="inlineStr">
        <is>
          <t>FILIPSTAD</t>
        </is>
      </c>
      <c r="H9751" t="inlineStr">
        <is>
          <t>Bergvik skog väst AB</t>
        </is>
      </c>
      <c r="I9751" t="n">
        <v>26.6</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A 29871-2026</t>
        </is>
      </c>
      <c r="B9752" t="inlineStr">
        <is>
          <t>avverkningsanmälan</t>
        </is>
      </c>
      <c r="C9752" t="inlineStr">
        <is>
          <t>Föryngringsavverkning</t>
        </is>
      </c>
      <c r="D9752" s="1" t="n">
        <v>46205</v>
      </c>
      <c r="E9752" s="1" t="n">
        <v>46307</v>
      </c>
      <c r="F9752" t="inlineStr">
        <is>
          <t>VÄRMLANDS LÄN</t>
        </is>
      </c>
      <c r="G9752" t="inlineStr">
        <is>
          <t>KRISTINEHAMN</t>
        </is>
      </c>
      <c r="I9752" t="n">
        <v>1.7</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A 29874-2026</t>
        </is>
      </c>
      <c r="B9753" t="inlineStr">
        <is>
          <t>avverkningsanmälan</t>
        </is>
      </c>
      <c r="C9753" t="inlineStr">
        <is>
          <t>Föryngringsavverkning</t>
        </is>
      </c>
      <c r="D9753" s="1" t="n">
        <v>46205</v>
      </c>
      <c r="E9753" s="1" t="n">
        <v>46307</v>
      </c>
      <c r="F9753" t="inlineStr">
        <is>
          <t>VÄRMLANDS LÄN</t>
        </is>
      </c>
      <c r="G9753" t="inlineStr">
        <is>
          <t>KRISTINEHAMN</t>
        </is>
      </c>
      <c r="I9753" t="n">
        <v>2.4</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A 29908-2026</t>
        </is>
      </c>
      <c r="B9754" t="inlineStr">
        <is>
          <t>avverkningsanmälan</t>
        </is>
      </c>
      <c r="C9754" t="inlineStr">
        <is>
          <t>Föryngringsavverkning</t>
        </is>
      </c>
      <c r="D9754" s="1" t="n">
        <v>46205</v>
      </c>
      <c r="E9754" s="1" t="n">
        <v>46307</v>
      </c>
      <c r="F9754" t="inlineStr">
        <is>
          <t>VÄRMLANDS LÄN</t>
        </is>
      </c>
      <c r="G9754" t="inlineStr">
        <is>
          <t>MUNKFORS</t>
        </is>
      </c>
      <c r="H9754" t="inlineStr">
        <is>
          <t>Bergvik skog väst AB</t>
        </is>
      </c>
      <c r="I9754" t="n">
        <v>2.4</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A 29911-2026</t>
        </is>
      </c>
      <c r="B9755" t="inlineStr">
        <is>
          <t>avverkningsanmälan</t>
        </is>
      </c>
      <c r="C9755" t="inlineStr">
        <is>
          <t>Föryngringsavverkning</t>
        </is>
      </c>
      <c r="D9755" s="1" t="n">
        <v>46205</v>
      </c>
      <c r="E9755" s="1" t="n">
        <v>46307</v>
      </c>
      <c r="F9755" t="inlineStr">
        <is>
          <t>VÄRMLANDS LÄN</t>
        </is>
      </c>
      <c r="G9755" t="inlineStr">
        <is>
          <t>ÅRJÄNG</t>
        </is>
      </c>
      <c r="I9755" t="n">
        <v>2.1</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A 29951-2026</t>
        </is>
      </c>
      <c r="B9756" t="inlineStr">
        <is>
          <t>avverkningsanmälan</t>
        </is>
      </c>
      <c r="C9756" t="inlineStr">
        <is>
          <t>Föryngringsavverkning</t>
        </is>
      </c>
      <c r="D9756" s="1" t="n">
        <v>46205</v>
      </c>
      <c r="E9756" s="1" t="n">
        <v>46307</v>
      </c>
      <c r="F9756" t="inlineStr">
        <is>
          <t>VÄRMLANDS LÄN</t>
        </is>
      </c>
      <c r="G9756" t="inlineStr">
        <is>
          <t>MUNKFORS</t>
        </is>
      </c>
      <c r="H9756" t="inlineStr">
        <is>
          <t>Bergvik skog väst AB</t>
        </is>
      </c>
      <c r="I9756" t="n">
        <v>2.3</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A 12509-2026</t>
        </is>
      </c>
      <c r="B9757" t="inlineStr">
        <is>
          <t>avverkningsanmälan</t>
        </is>
      </c>
      <c r="C9757" t="inlineStr">
        <is>
          <t>Föryngringsavverkning</t>
        </is>
      </c>
      <c r="D9757" s="1" t="n">
        <v>46090</v>
      </c>
      <c r="E9757" s="1" t="n">
        <v>46307</v>
      </c>
      <c r="F9757" t="inlineStr">
        <is>
          <t>VÄRMLANDS LÄN</t>
        </is>
      </c>
      <c r="G9757" t="inlineStr">
        <is>
          <t>FILIPSTAD</t>
        </is>
      </c>
      <c r="I9757" t="n">
        <v>5.3</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A 29610-2026</t>
        </is>
      </c>
      <c r="B9758" t="inlineStr">
        <is>
          <t>avverkningsanmälan</t>
        </is>
      </c>
      <c r="C9758" t="inlineStr">
        <is>
          <t>Föryngringsavverkning</t>
        </is>
      </c>
      <c r="D9758" s="1" t="n">
        <v>46204</v>
      </c>
      <c r="E9758" s="1" t="n">
        <v>46307</v>
      </c>
      <c r="F9758" t="inlineStr">
        <is>
          <t>VÄRMLANDS LÄN</t>
        </is>
      </c>
      <c r="G9758" t="inlineStr">
        <is>
          <t>TORSBY</t>
        </is>
      </c>
      <c r="I9758" t="n">
        <v>2.4</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A 29814-2026</t>
        </is>
      </c>
      <c r="B9759" t="inlineStr">
        <is>
          <t>avverkningsanmälan</t>
        </is>
      </c>
      <c r="C9759" t="inlineStr">
        <is>
          <t>Föryngringsavverkning</t>
        </is>
      </c>
      <c r="D9759" s="1" t="n">
        <v>46205</v>
      </c>
      <c r="E9759" s="1" t="n">
        <v>46307</v>
      </c>
      <c r="F9759" t="inlineStr">
        <is>
          <t>VÄRMLANDS LÄN</t>
        </is>
      </c>
      <c r="G9759" t="inlineStr">
        <is>
          <t>FILIPSTAD</t>
        </is>
      </c>
      <c r="I9759" t="n">
        <v>1.2</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A 30042-2026</t>
        </is>
      </c>
      <c r="B9760" t="inlineStr">
        <is>
          <t>avverkningsanmälan</t>
        </is>
      </c>
      <c r="C9760" t="inlineStr">
        <is>
          <t>Föryngringsavverkning</t>
        </is>
      </c>
      <c r="D9760" s="1" t="n">
        <v>46206</v>
      </c>
      <c r="E9760" s="1" t="n">
        <v>46307</v>
      </c>
      <c r="F9760" t="inlineStr">
        <is>
          <t>VÄRMLANDS LÄN</t>
        </is>
      </c>
      <c r="G9760" t="inlineStr">
        <is>
          <t>TORSBY</t>
        </is>
      </c>
      <c r="H9760" t="inlineStr">
        <is>
          <t>Bergvik skog väst AB</t>
        </is>
      </c>
      <c r="I9760" t="n">
        <v>20</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A 30153-2026</t>
        </is>
      </c>
      <c r="B9761" t="inlineStr">
        <is>
          <t>avverkningsanmälan</t>
        </is>
      </c>
      <c r="C9761" t="inlineStr">
        <is>
          <t>Föryngringsavverkning</t>
        </is>
      </c>
      <c r="D9761" s="1" t="n">
        <v>46206</v>
      </c>
      <c r="E9761" s="1" t="n">
        <v>46307</v>
      </c>
      <c r="F9761" t="inlineStr">
        <is>
          <t>VÄRMLANDS LÄN</t>
        </is>
      </c>
      <c r="G9761" t="inlineStr">
        <is>
          <t>HAGFORS</t>
        </is>
      </c>
      <c r="I9761" t="n">
        <v>1.3</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A 38840-2023</t>
        </is>
      </c>
      <c r="B9762" t="inlineStr">
        <is>
          <t>avverkningsanmälan</t>
        </is>
      </c>
      <c r="C9762" t="inlineStr">
        <is>
          <t>Föryngringsavverkning</t>
        </is>
      </c>
      <c r="D9762" s="1" t="n">
        <v>45163</v>
      </c>
      <c r="E9762" s="1" t="n">
        <v>46307</v>
      </c>
      <c r="F9762" t="inlineStr">
        <is>
          <t>VÄRMLANDS LÄN</t>
        </is>
      </c>
      <c r="G9762" t="inlineStr">
        <is>
          <t>ÅRJÄNG</t>
        </is>
      </c>
      <c r="I9762" t="n">
        <v>2.4</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A 30302-2026</t>
        </is>
      </c>
      <c r="B9763" t="inlineStr">
        <is>
          <t>avverkningsanmälan</t>
        </is>
      </c>
      <c r="C9763" t="inlineStr">
        <is>
          <t>Föryngringsavverkning</t>
        </is>
      </c>
      <c r="D9763" s="1" t="n">
        <v>46206</v>
      </c>
      <c r="E9763" s="1" t="n">
        <v>46307</v>
      </c>
      <c r="F9763" t="inlineStr">
        <is>
          <t>VÄRMLANDS LÄN</t>
        </is>
      </c>
      <c r="G9763" t="inlineStr">
        <is>
          <t>TORSBY</t>
        </is>
      </c>
      <c r="H9763" t="inlineStr">
        <is>
          <t>Bergvik skog väst AB</t>
        </is>
      </c>
      <c r="I9763" t="n">
        <v>4.7</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A 30425-2026</t>
        </is>
      </c>
      <c r="B9764" t="inlineStr">
        <is>
          <t>avverkningsanmälan</t>
        </is>
      </c>
      <c r="C9764" t="inlineStr">
        <is>
          <t>Avverkning för annat ändamål</t>
        </is>
      </c>
      <c r="D9764" s="1" t="n">
        <v>46209</v>
      </c>
      <c r="E9764" s="1" t="n">
        <v>46307</v>
      </c>
      <c r="F9764" t="inlineStr">
        <is>
          <t>VÄRMLANDS LÄN</t>
        </is>
      </c>
      <c r="G9764" t="inlineStr">
        <is>
          <t>STORFORS</t>
        </is>
      </c>
      <c r="H9764" t="inlineStr">
        <is>
          <t>Kyrkan</t>
        </is>
      </c>
      <c r="I9764" t="n">
        <v>2</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A 30433-2026</t>
        </is>
      </c>
      <c r="B9765" t="inlineStr">
        <is>
          <t>avverkningsanmälan</t>
        </is>
      </c>
      <c r="C9765" t="inlineStr">
        <is>
          <t>Föryngringsavverkning</t>
        </is>
      </c>
      <c r="D9765" s="1" t="n">
        <v>46209</v>
      </c>
      <c r="E9765" s="1" t="n">
        <v>46307</v>
      </c>
      <c r="F9765" t="inlineStr">
        <is>
          <t>VÄRMLANDS LÄN</t>
        </is>
      </c>
      <c r="G9765" t="inlineStr">
        <is>
          <t>HAGFORS</t>
        </is>
      </c>
      <c r="I9765" t="n">
        <v>1.1</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A 30442-2026</t>
        </is>
      </c>
      <c r="B9766" t="inlineStr">
        <is>
          <t>avverkningsanmälan</t>
        </is>
      </c>
      <c r="C9766" t="inlineStr">
        <is>
          <t>Föryngringsavverkning</t>
        </is>
      </c>
      <c r="D9766" s="1" t="n">
        <v>46209</v>
      </c>
      <c r="E9766" s="1" t="n">
        <v>46307</v>
      </c>
      <c r="F9766" t="inlineStr">
        <is>
          <t>VÄRMLANDS LÄN</t>
        </is>
      </c>
      <c r="G9766" t="inlineStr">
        <is>
          <t>SÄFFLE</t>
        </is>
      </c>
      <c r="I9766" t="n">
        <v>2.8</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A 31158-2026</t>
        </is>
      </c>
      <c r="B9767" t="inlineStr">
        <is>
          <t>avverkningsanmälan</t>
        </is>
      </c>
      <c r="C9767" t="inlineStr">
        <is>
          <t>Föryngringsavverkning</t>
        </is>
      </c>
      <c r="D9767" s="1" t="n">
        <v>46209</v>
      </c>
      <c r="E9767" s="1" t="n">
        <v>46307</v>
      </c>
      <c r="F9767" t="inlineStr">
        <is>
          <t>VÄRMLANDS LÄN</t>
        </is>
      </c>
      <c r="G9767" t="inlineStr">
        <is>
          <t>TORSBY</t>
        </is>
      </c>
      <c r="I9767" t="n">
        <v>1.1</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A 30435-2026</t>
        </is>
      </c>
      <c r="B9768" t="inlineStr">
        <is>
          <t>avverkningsanmälan</t>
        </is>
      </c>
      <c r="C9768" t="inlineStr">
        <is>
          <t>Föryngringsavverkning</t>
        </is>
      </c>
      <c r="D9768" s="1" t="n">
        <v>46209</v>
      </c>
      <c r="E9768" s="1" t="n">
        <v>46307</v>
      </c>
      <c r="F9768" t="inlineStr">
        <is>
          <t>VÄRMLANDS LÄN</t>
        </is>
      </c>
      <c r="G9768" t="inlineStr">
        <is>
          <t>SÄFFLE</t>
        </is>
      </c>
      <c r="I9768" t="n">
        <v>3.1</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A 30456-2026</t>
        </is>
      </c>
      <c r="B9769" t="inlineStr">
        <is>
          <t>avverkningsanmälan</t>
        </is>
      </c>
      <c r="C9769" t="inlineStr">
        <is>
          <t>Föryngringsavverkning</t>
        </is>
      </c>
      <c r="D9769" s="1" t="n">
        <v>46209</v>
      </c>
      <c r="E9769" s="1" t="n">
        <v>46307</v>
      </c>
      <c r="F9769" t="inlineStr">
        <is>
          <t>VÄRMLANDS LÄN</t>
        </is>
      </c>
      <c r="G9769" t="inlineStr">
        <is>
          <t>SÄFFLE</t>
        </is>
      </c>
      <c r="I9769" t="n">
        <v>0.9</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A 30211-2026</t>
        </is>
      </c>
      <c r="B9770" t="inlineStr">
        <is>
          <t>avverkningsanmälan</t>
        </is>
      </c>
      <c r="C9770" t="inlineStr">
        <is>
          <t>Föryngringsavverkning</t>
        </is>
      </c>
      <c r="D9770" s="1" t="n">
        <v>46206</v>
      </c>
      <c r="E9770" s="1" t="n">
        <v>46307</v>
      </c>
      <c r="F9770" t="inlineStr">
        <is>
          <t>VÄRMLANDS LÄN</t>
        </is>
      </c>
      <c r="G9770" t="inlineStr">
        <is>
          <t>TORSBY</t>
        </is>
      </c>
      <c r="H9770" t="inlineStr">
        <is>
          <t>Bergvik skog väst AB</t>
        </is>
      </c>
      <c r="I9770" t="n">
        <v>3.8</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A 30167-2026</t>
        </is>
      </c>
      <c r="B9771" t="inlineStr">
        <is>
          <t>avverkningsanmälan</t>
        </is>
      </c>
      <c r="C9771" t="inlineStr">
        <is>
          <t>Föryngringsavverkning</t>
        </is>
      </c>
      <c r="D9771" s="1" t="n">
        <v>46206</v>
      </c>
      <c r="E9771" s="1" t="n">
        <v>46307</v>
      </c>
      <c r="F9771" t="inlineStr">
        <is>
          <t>VÄRMLANDS LÄN</t>
        </is>
      </c>
      <c r="G9771" t="inlineStr">
        <is>
          <t>HAGFORS</t>
        </is>
      </c>
      <c r="I9771" t="n">
        <v>1.3</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A 15210-2026</t>
        </is>
      </c>
      <c r="B9772" t="inlineStr">
        <is>
          <t>avverkningsanmälan</t>
        </is>
      </c>
      <c r="C9772" t="inlineStr">
        <is>
          <t>Föryngringsavverkning</t>
        </is>
      </c>
      <c r="D9772" s="1" t="n">
        <v>46105</v>
      </c>
      <c r="E9772" s="1" t="n">
        <v>46307</v>
      </c>
      <c r="F9772" t="inlineStr">
        <is>
          <t>VÄRMLANDS LÄN</t>
        </is>
      </c>
      <c r="G9772" t="inlineStr">
        <is>
          <t>SÄFFLE</t>
        </is>
      </c>
      <c r="I9772" t="n">
        <v>1.2</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A 30450-2026</t>
        </is>
      </c>
      <c r="B9773" t="inlineStr">
        <is>
          <t>avverkningsanmälan</t>
        </is>
      </c>
      <c r="C9773" t="inlineStr">
        <is>
          <t>Föryngringsavverkning</t>
        </is>
      </c>
      <c r="D9773" s="1" t="n">
        <v>46209</v>
      </c>
      <c r="E9773" s="1" t="n">
        <v>46307</v>
      </c>
      <c r="F9773" t="inlineStr">
        <is>
          <t>VÄRMLANDS LÄN</t>
        </is>
      </c>
      <c r="G9773" t="inlineStr">
        <is>
          <t>SÄFFLE</t>
        </is>
      </c>
      <c r="I9773" t="n">
        <v>1.9</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A 31163-2026</t>
        </is>
      </c>
      <c r="B9774" t="inlineStr">
        <is>
          <t>avverkningsanmälan</t>
        </is>
      </c>
      <c r="C9774" t="inlineStr">
        <is>
          <t>Föryngringsavverkning</t>
        </is>
      </c>
      <c r="D9774" s="1" t="n">
        <v>46209</v>
      </c>
      <c r="E9774" s="1" t="n">
        <v>46307</v>
      </c>
      <c r="F9774" t="inlineStr">
        <is>
          <t>VÄRMLANDS LÄN</t>
        </is>
      </c>
      <c r="G9774" t="inlineStr">
        <is>
          <t>TORSBY</t>
        </is>
      </c>
      <c r="I9774" t="n">
        <v>0.7</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A 30020-2026</t>
        </is>
      </c>
      <c r="B9775" t="inlineStr">
        <is>
          <t>avverkningsanmälan</t>
        </is>
      </c>
      <c r="C9775" t="inlineStr">
        <is>
          <t>Föryngringsavverkning</t>
        </is>
      </c>
      <c r="D9775" s="1" t="n">
        <v>46206</v>
      </c>
      <c r="E9775" s="1" t="n">
        <v>46307</v>
      </c>
      <c r="F9775" t="inlineStr">
        <is>
          <t>VÄRMLANDS LÄN</t>
        </is>
      </c>
      <c r="G9775" t="inlineStr">
        <is>
          <t>ARVIKA</t>
        </is>
      </c>
      <c r="I9775" t="n">
        <v>0.8</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A 31144-2026</t>
        </is>
      </c>
      <c r="B9776" t="inlineStr">
        <is>
          <t>avverkningsanmälan</t>
        </is>
      </c>
      <c r="C9776" t="inlineStr">
        <is>
          <t>Föryngringsavverkning</t>
        </is>
      </c>
      <c r="D9776" s="1" t="n">
        <v>46209</v>
      </c>
      <c r="E9776" s="1" t="n">
        <v>46307</v>
      </c>
      <c r="F9776" t="inlineStr">
        <is>
          <t>VÄRMLANDS LÄN</t>
        </is>
      </c>
      <c r="G9776" t="inlineStr">
        <is>
          <t>ÅRJÄNG</t>
        </is>
      </c>
      <c r="I9776" t="n">
        <v>1.2</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A 31145-2026</t>
        </is>
      </c>
      <c r="B9777" t="inlineStr">
        <is>
          <t>avverkningsanmälan</t>
        </is>
      </c>
      <c r="C9777" t="inlineStr">
        <is>
          <t>Föryngringsavverkning</t>
        </is>
      </c>
      <c r="D9777" s="1" t="n">
        <v>46209</v>
      </c>
      <c r="E9777" s="1" t="n">
        <v>46307</v>
      </c>
      <c r="F9777" t="inlineStr">
        <is>
          <t>VÄRMLANDS LÄN</t>
        </is>
      </c>
      <c r="G9777" t="inlineStr">
        <is>
          <t>ÅRJÄNG</t>
        </is>
      </c>
      <c r="I9777" t="n">
        <v>8.800000000000001</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A 30117-2026</t>
        </is>
      </c>
      <c r="B9778" t="inlineStr">
        <is>
          <t>avverkningsanmälan</t>
        </is>
      </c>
      <c r="C9778" t="inlineStr">
        <is>
          <t>Avverkning för annat ändamål</t>
        </is>
      </c>
      <c r="D9778" s="1" t="n">
        <v>46206</v>
      </c>
      <c r="E9778" s="1" t="n">
        <v>46307</v>
      </c>
      <c r="F9778" t="inlineStr">
        <is>
          <t>VÄRMLANDS LÄN</t>
        </is>
      </c>
      <c r="G9778" t="inlineStr">
        <is>
          <t>TORSBY</t>
        </is>
      </c>
      <c r="H9778" t="inlineStr">
        <is>
          <t>Kyrkan</t>
        </is>
      </c>
      <c r="I9778" t="n">
        <v>1.5</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A 30455-2026</t>
        </is>
      </c>
      <c r="B9779" t="inlineStr">
        <is>
          <t>avverkningsanmälan</t>
        </is>
      </c>
      <c r="C9779" t="inlineStr">
        <is>
          <t>Föryngringsavverkning</t>
        </is>
      </c>
      <c r="D9779" s="1" t="n">
        <v>46209</v>
      </c>
      <c r="E9779" s="1" t="n">
        <v>46307</v>
      </c>
      <c r="F9779" t="inlineStr">
        <is>
          <t>VÄRMLANDS LÄN</t>
        </is>
      </c>
      <c r="G9779" t="inlineStr">
        <is>
          <t>SÄFFLE</t>
        </is>
      </c>
      <c r="I9779" t="n">
        <v>1.3</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A 30286-2026</t>
        </is>
      </c>
      <c r="B9780" t="inlineStr">
        <is>
          <t>avverkningsanmälan</t>
        </is>
      </c>
      <c r="C9780" t="inlineStr">
        <is>
          <t>Föryngringsavverkning</t>
        </is>
      </c>
      <c r="D9780" s="1" t="n">
        <v>46206</v>
      </c>
      <c r="E9780" s="1" t="n">
        <v>46307</v>
      </c>
      <c r="F9780" t="inlineStr">
        <is>
          <t>VÄRMLANDS LÄN</t>
        </is>
      </c>
      <c r="G9780" t="inlineStr">
        <is>
          <t>SUNNE</t>
        </is>
      </c>
      <c r="H9780" t="inlineStr">
        <is>
          <t>Bergvik skog väst AB</t>
        </is>
      </c>
      <c r="I9780" t="n">
        <v>1.2</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A 30145-2026</t>
        </is>
      </c>
      <c r="B9781" t="inlineStr">
        <is>
          <t>avverkningsanmälan</t>
        </is>
      </c>
      <c r="C9781" t="inlineStr">
        <is>
          <t>Föryngringsavverkning</t>
        </is>
      </c>
      <c r="D9781" s="1" t="n">
        <v>46206</v>
      </c>
      <c r="E9781" s="1" t="n">
        <v>46307</v>
      </c>
      <c r="F9781" t="inlineStr">
        <is>
          <t>VÄRMLANDS LÄN</t>
        </is>
      </c>
      <c r="G9781" t="inlineStr">
        <is>
          <t>TORSBY</t>
        </is>
      </c>
      <c r="H9781" t="inlineStr">
        <is>
          <t>Bergvik skog väst AB</t>
        </is>
      </c>
      <c r="I9781" t="n">
        <v>19.4</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A 30381-2026</t>
        </is>
      </c>
      <c r="B9782" t="inlineStr">
        <is>
          <t>avverkningsanmälan</t>
        </is>
      </c>
      <c r="C9782" t="inlineStr">
        <is>
          <t>Föryngringsavverkning</t>
        </is>
      </c>
      <c r="D9782" s="1" t="n">
        <v>46209</v>
      </c>
      <c r="E9782" s="1" t="n">
        <v>46307</v>
      </c>
      <c r="F9782" t="inlineStr">
        <is>
          <t>VÄRMLANDS LÄN</t>
        </is>
      </c>
      <c r="G9782" t="inlineStr">
        <is>
          <t>ÅRJÄNG</t>
        </is>
      </c>
      <c r="I9782" t="n">
        <v>4.6</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A 30141-2026</t>
        </is>
      </c>
      <c r="B9783" t="inlineStr">
        <is>
          <t>avverkningsanmälan</t>
        </is>
      </c>
      <c r="C9783" t="inlineStr">
        <is>
          <t>Föryngringsavverkning</t>
        </is>
      </c>
      <c r="D9783" s="1" t="n">
        <v>46206</v>
      </c>
      <c r="E9783" s="1" t="n">
        <v>46307</v>
      </c>
      <c r="F9783" t="inlineStr">
        <is>
          <t>VÄRMLANDS LÄN</t>
        </is>
      </c>
      <c r="G9783" t="inlineStr">
        <is>
          <t>HAGFORS</t>
        </is>
      </c>
      <c r="I9783" t="n">
        <v>0.6</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A 30370-2026</t>
        </is>
      </c>
      <c r="B9784" t="inlineStr">
        <is>
          <t>avverkningsanmälan</t>
        </is>
      </c>
      <c r="C9784" t="inlineStr">
        <is>
          <t>Föryngringsavverkning</t>
        </is>
      </c>
      <c r="D9784" s="1" t="n">
        <v>46209</v>
      </c>
      <c r="E9784" s="1" t="n">
        <v>46307</v>
      </c>
      <c r="F9784" t="inlineStr">
        <is>
          <t>VÄRMLANDS LÄN</t>
        </is>
      </c>
      <c r="G9784" t="inlineStr">
        <is>
          <t>SUNNE</t>
        </is>
      </c>
      <c r="H9784" t="inlineStr">
        <is>
          <t>Kommuner</t>
        </is>
      </c>
      <c r="I9784" t="n">
        <v>1.1</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A 30109-2026</t>
        </is>
      </c>
      <c r="B9785" t="inlineStr">
        <is>
          <t>avverkningsanmälan</t>
        </is>
      </c>
      <c r="C9785" t="inlineStr">
        <is>
          <t>Föryngringsavverkning</t>
        </is>
      </c>
      <c r="D9785" s="1" t="n">
        <v>46206</v>
      </c>
      <c r="E9785" s="1" t="n">
        <v>46307</v>
      </c>
      <c r="F9785" t="inlineStr">
        <is>
          <t>VÄRMLANDS LÄN</t>
        </is>
      </c>
      <c r="G9785" t="inlineStr">
        <is>
          <t>TORSBY</t>
        </is>
      </c>
      <c r="H9785" t="inlineStr">
        <is>
          <t>Bergvik skog väst AB</t>
        </is>
      </c>
      <c r="I9785" t="n">
        <v>5.1</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A 30119-2026</t>
        </is>
      </c>
      <c r="B9786" t="inlineStr">
        <is>
          <t>avverkningsanmälan</t>
        </is>
      </c>
      <c r="C9786" t="inlineStr">
        <is>
          <t>Föryngringsavverkning</t>
        </is>
      </c>
      <c r="D9786" s="1" t="n">
        <v>46206</v>
      </c>
      <c r="E9786" s="1" t="n">
        <v>46307</v>
      </c>
      <c r="F9786" t="inlineStr">
        <is>
          <t>VÄRMLANDS LÄN</t>
        </is>
      </c>
      <c r="G9786" t="inlineStr">
        <is>
          <t>ARVIKA</t>
        </is>
      </c>
      <c r="H9786" t="inlineStr">
        <is>
          <t>Bergvik skog väst AB</t>
        </is>
      </c>
      <c r="I9786" t="n">
        <v>4</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A 30409-2026</t>
        </is>
      </c>
      <c r="B9787" t="inlineStr">
        <is>
          <t>avverkningsanmälan</t>
        </is>
      </c>
      <c r="C9787" t="inlineStr">
        <is>
          <t>Föryngringsavverkning</t>
        </is>
      </c>
      <c r="D9787" s="1" t="n">
        <v>46209</v>
      </c>
      <c r="E9787" s="1" t="n">
        <v>46307</v>
      </c>
      <c r="F9787" t="inlineStr">
        <is>
          <t>VÄRMLANDS LÄN</t>
        </is>
      </c>
      <c r="G9787" t="inlineStr">
        <is>
          <t>SUNNE</t>
        </is>
      </c>
      <c r="I9787" t="n">
        <v>2</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A 29950-2026</t>
        </is>
      </c>
      <c r="B9788" t="inlineStr">
        <is>
          <t>avverkningsanmälan</t>
        </is>
      </c>
      <c r="C9788" t="inlineStr">
        <is>
          <t>Föryngringsavverkning</t>
        </is>
      </c>
      <c r="D9788" s="1" t="n">
        <v>46205</v>
      </c>
      <c r="E9788" s="1" t="n">
        <v>46307</v>
      </c>
      <c r="F9788" t="inlineStr">
        <is>
          <t>VÄRMLANDS LÄN</t>
        </is>
      </c>
      <c r="G9788" t="inlineStr">
        <is>
          <t>HAGFORS</t>
        </is>
      </c>
      <c r="H9788" t="inlineStr">
        <is>
          <t>Bergvik skog väst AB</t>
        </is>
      </c>
      <c r="I9788" t="n">
        <v>7.4</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A 30374-2026</t>
        </is>
      </c>
      <c r="B9789" t="inlineStr">
        <is>
          <t>avverkningsanmälan</t>
        </is>
      </c>
      <c r="C9789" t="inlineStr">
        <is>
          <t>Föryngringsavverkning</t>
        </is>
      </c>
      <c r="D9789" s="1" t="n">
        <v>46209</v>
      </c>
      <c r="E9789" s="1" t="n">
        <v>46307</v>
      </c>
      <c r="F9789" t="inlineStr">
        <is>
          <t>VÄRMLANDS LÄN</t>
        </is>
      </c>
      <c r="G9789" t="inlineStr">
        <is>
          <t>FORSHAGA</t>
        </is>
      </c>
      <c r="I9789" t="n">
        <v>1</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A 30387-2026</t>
        </is>
      </c>
      <c r="B9790" t="inlineStr">
        <is>
          <t>avverkningsanmälan</t>
        </is>
      </c>
      <c r="C9790" t="inlineStr">
        <is>
          <t>Föryngringsavverkning</t>
        </is>
      </c>
      <c r="D9790" s="1" t="n">
        <v>46209</v>
      </c>
      <c r="E9790" s="1" t="n">
        <v>46307</v>
      </c>
      <c r="F9790" t="inlineStr">
        <is>
          <t>VÄRMLANDS LÄN</t>
        </is>
      </c>
      <c r="G9790" t="inlineStr">
        <is>
          <t>ÅRJÄNG</t>
        </is>
      </c>
      <c r="I9790" t="n">
        <v>8.699999999999999</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A 30438-2026</t>
        </is>
      </c>
      <c r="B9791" t="inlineStr">
        <is>
          <t>avverkningsanmälan</t>
        </is>
      </c>
      <c r="C9791" t="inlineStr">
        <is>
          <t>Föryngringsavverkning</t>
        </is>
      </c>
      <c r="D9791" s="1" t="n">
        <v>46209</v>
      </c>
      <c r="E9791" s="1" t="n">
        <v>46307</v>
      </c>
      <c r="F9791" t="inlineStr">
        <is>
          <t>VÄRMLANDS LÄN</t>
        </is>
      </c>
      <c r="G9791" t="inlineStr">
        <is>
          <t>SÄFFLE</t>
        </is>
      </c>
      <c r="I9791" t="n">
        <v>0.7</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A 30436-2026</t>
        </is>
      </c>
      <c r="B9792" t="inlineStr">
        <is>
          <t>avverkningsanmälan</t>
        </is>
      </c>
      <c r="C9792" t="inlineStr">
        <is>
          <t>Föryngringsavverkning</t>
        </is>
      </c>
      <c r="D9792" s="1" t="n">
        <v>46209</v>
      </c>
      <c r="E9792" s="1" t="n">
        <v>46307</v>
      </c>
      <c r="F9792" t="inlineStr">
        <is>
          <t>VÄRMLANDS LÄN</t>
        </is>
      </c>
      <c r="G9792" t="inlineStr">
        <is>
          <t>HAGFORS</t>
        </is>
      </c>
      <c r="I9792" t="n">
        <v>1.4</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A 30437-2026</t>
        </is>
      </c>
      <c r="B9793" t="inlineStr">
        <is>
          <t>avverkningsanmälan</t>
        </is>
      </c>
      <c r="C9793" t="inlineStr">
        <is>
          <t>Föryngringsavverkning</t>
        </is>
      </c>
      <c r="D9793" s="1" t="n">
        <v>46209</v>
      </c>
      <c r="E9793" s="1" t="n">
        <v>46307</v>
      </c>
      <c r="F9793" t="inlineStr">
        <is>
          <t>VÄRMLANDS LÄN</t>
        </is>
      </c>
      <c r="G9793" t="inlineStr">
        <is>
          <t>HAGFORS</t>
        </is>
      </c>
      <c r="I9793" t="n">
        <v>1</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A 30074-2026</t>
        </is>
      </c>
      <c r="B9794" t="inlineStr">
        <is>
          <t>avverkningsanmälan</t>
        </is>
      </c>
      <c r="C9794" t="inlineStr">
        <is>
          <t>Föryngringsavverkning</t>
        </is>
      </c>
      <c r="D9794" s="1" t="n">
        <v>46206</v>
      </c>
      <c r="E9794" s="1" t="n">
        <v>46307</v>
      </c>
      <c r="F9794" t="inlineStr">
        <is>
          <t>VÄRMLANDS LÄN</t>
        </is>
      </c>
      <c r="G9794" t="inlineStr">
        <is>
          <t>FILIPSTAD</t>
        </is>
      </c>
      <c r="H9794" t="inlineStr">
        <is>
          <t>Bergvik skog väst AB</t>
        </is>
      </c>
      <c r="I9794" t="n">
        <v>12.8</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A 30380-2026</t>
        </is>
      </c>
      <c r="B9795" t="inlineStr">
        <is>
          <t>avverkningsanmälan</t>
        </is>
      </c>
      <c r="C9795" t="inlineStr">
        <is>
          <t>Föryngringsavverkning</t>
        </is>
      </c>
      <c r="D9795" s="1" t="n">
        <v>46209</v>
      </c>
      <c r="E9795" s="1" t="n">
        <v>46307</v>
      </c>
      <c r="F9795" t="inlineStr">
        <is>
          <t>VÄRMLANDS LÄN</t>
        </is>
      </c>
      <c r="G9795" t="inlineStr">
        <is>
          <t>FORSHAGA</t>
        </is>
      </c>
      <c r="I9795" t="n">
        <v>2.6</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A 14998-2026</t>
        </is>
      </c>
      <c r="B9796" t="inlineStr">
        <is>
          <t>avverkningsanmälan</t>
        </is>
      </c>
      <c r="C9796" t="inlineStr">
        <is>
          <t>Föryngringsavverkning</t>
        </is>
      </c>
      <c r="D9796" s="1" t="n">
        <v>46104</v>
      </c>
      <c r="E9796" s="1" t="n">
        <v>46307</v>
      </c>
      <c r="F9796" t="inlineStr">
        <is>
          <t>VÄRMLANDS LÄN</t>
        </is>
      </c>
      <c r="G9796" t="inlineStr">
        <is>
          <t>TORSBY</t>
        </is>
      </c>
      <c r="H9796" t="inlineStr">
        <is>
          <t>Bergvik skog väst AB</t>
        </is>
      </c>
      <c r="I9796" t="n">
        <v>14</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A 7057-2023</t>
        </is>
      </c>
      <c r="B9797" t="inlineStr">
        <is>
          <t>avverkningsanmälan</t>
        </is>
      </c>
      <c r="C9797" t="inlineStr">
        <is>
          <t>Föryngringsavverkning</t>
        </is>
      </c>
      <c r="D9797" s="1" t="n">
        <v>44969</v>
      </c>
      <c r="E9797" s="1" t="n">
        <v>46307</v>
      </c>
      <c r="F9797" t="inlineStr">
        <is>
          <t>VÄRMLANDS LÄN</t>
        </is>
      </c>
      <c r="G9797" t="inlineStr">
        <is>
          <t>SUNNE</t>
        </is>
      </c>
      <c r="I9797" t="n">
        <v>9.1</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A 30629-2026</t>
        </is>
      </c>
      <c r="B9798" t="inlineStr">
        <is>
          <t>avverkningsanmälan</t>
        </is>
      </c>
      <c r="C9798" t="inlineStr">
        <is>
          <t>Föryngringsavverkning</t>
        </is>
      </c>
      <c r="D9798" s="1" t="n">
        <v>46211</v>
      </c>
      <c r="E9798" s="1" t="n">
        <v>46307</v>
      </c>
      <c r="F9798" t="inlineStr">
        <is>
          <t>VÄRMLANDS LÄN</t>
        </is>
      </c>
      <c r="G9798" t="inlineStr">
        <is>
          <t>HAGFORS</t>
        </is>
      </c>
      <c r="H9798" t="inlineStr">
        <is>
          <t>Bergvik skog väst AB</t>
        </is>
      </c>
      <c r="I9798" t="n">
        <v>3.5</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A 30511-2026</t>
        </is>
      </c>
      <c r="B9799" t="inlineStr">
        <is>
          <t>avverkningsanmälan</t>
        </is>
      </c>
      <c r="C9799" t="inlineStr">
        <is>
          <t>Föryngringsavverkning</t>
        </is>
      </c>
      <c r="D9799" s="1" t="n">
        <v>46210</v>
      </c>
      <c r="E9799" s="1" t="n">
        <v>46307</v>
      </c>
      <c r="F9799" t="inlineStr">
        <is>
          <t>VÄRMLANDS LÄN</t>
        </is>
      </c>
      <c r="G9799" t="inlineStr">
        <is>
          <t>TORSBY</t>
        </is>
      </c>
      <c r="H9799" t="inlineStr">
        <is>
          <t>Bergvik skog väst AB</t>
        </is>
      </c>
      <c r="I9799" t="n">
        <v>12.1</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A 28979-2026</t>
        </is>
      </c>
      <c r="B9800" t="inlineStr">
        <is>
          <t>avverkningsanmälan</t>
        </is>
      </c>
      <c r="C9800" t="inlineStr">
        <is>
          <t>Avverkning för annat ändamål</t>
        </is>
      </c>
      <c r="D9800" s="1" t="n">
        <v>46199</v>
      </c>
      <c r="E9800" s="1" t="n">
        <v>46307</v>
      </c>
      <c r="F9800" t="inlineStr">
        <is>
          <t>VÄRMLANDS LÄN</t>
        </is>
      </c>
      <c r="G9800" t="inlineStr">
        <is>
          <t>STORFORS</t>
        </is>
      </c>
      <c r="H9800" t="inlineStr">
        <is>
          <t>Kyrkan</t>
        </is>
      </c>
      <c r="I9800" t="n">
        <v>4.1</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A 12740-2025</t>
        </is>
      </c>
      <c r="B9801" t="inlineStr">
        <is>
          <t>avverkningsanmälan</t>
        </is>
      </c>
      <c r="C9801" t="inlineStr">
        <is>
          <t>Föryngringsavverkning</t>
        </is>
      </c>
      <c r="D9801" s="1" t="n">
        <v>45733</v>
      </c>
      <c r="E9801" s="1" t="n">
        <v>46307</v>
      </c>
      <c r="F9801" t="inlineStr">
        <is>
          <t>VÄRMLANDS LÄN</t>
        </is>
      </c>
      <c r="G9801" t="inlineStr">
        <is>
          <t>ÅRJÄNG</t>
        </is>
      </c>
      <c r="I9801" t="n">
        <v>2.9</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A 30540-2026</t>
        </is>
      </c>
      <c r="B9802" t="inlineStr">
        <is>
          <t>avverkningsanmälan</t>
        </is>
      </c>
      <c r="C9802" t="inlineStr">
        <is>
          <t>Föryngringsavverkning</t>
        </is>
      </c>
      <c r="D9802" s="1" t="n">
        <v>46210</v>
      </c>
      <c r="E9802" s="1" t="n">
        <v>46307</v>
      </c>
      <c r="F9802" t="inlineStr">
        <is>
          <t>VÄRMLANDS LÄN</t>
        </is>
      </c>
      <c r="G9802" t="inlineStr">
        <is>
          <t>FILIPSTAD</t>
        </is>
      </c>
      <c r="H9802" t="inlineStr">
        <is>
          <t>Bergvik skog väst AB</t>
        </is>
      </c>
      <c r="I9802" t="n">
        <v>4.9</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A 30961-2026</t>
        </is>
      </c>
      <c r="B9803" t="inlineStr">
        <is>
          <t>avverkningsanmälan</t>
        </is>
      </c>
      <c r="C9803" t="inlineStr">
        <is>
          <t>Föryngringsavverkning</t>
        </is>
      </c>
      <c r="D9803" s="1" t="n">
        <v>46213</v>
      </c>
      <c r="E9803" s="1" t="n">
        <v>46307</v>
      </c>
      <c r="F9803" t="inlineStr">
        <is>
          <t>VÄRMLANDS LÄN</t>
        </is>
      </c>
      <c r="G9803" t="inlineStr">
        <is>
          <t>TORSBY</t>
        </is>
      </c>
      <c r="I9803" t="n">
        <v>0.6</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A 30980-2026</t>
        </is>
      </c>
      <c r="B9804" t="inlineStr">
        <is>
          <t>avverkningsanmälan</t>
        </is>
      </c>
      <c r="C9804" t="inlineStr">
        <is>
          <t>Föryngringsavverkning</t>
        </is>
      </c>
      <c r="D9804" s="1" t="n">
        <v>46213</v>
      </c>
      <c r="E9804" s="1" t="n">
        <v>46307</v>
      </c>
      <c r="F9804" t="inlineStr">
        <is>
          <t>VÄRMLANDS LÄN</t>
        </is>
      </c>
      <c r="G9804" t="inlineStr">
        <is>
          <t>TORSBY</t>
        </is>
      </c>
      <c r="H9804" t="inlineStr">
        <is>
          <t>Bergvik skog väst AB</t>
        </is>
      </c>
      <c r="I9804" t="n">
        <v>25.2</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A 30928-2026</t>
        </is>
      </c>
      <c r="B9805" t="inlineStr">
        <is>
          <t>avverkningsanmälan</t>
        </is>
      </c>
      <c r="C9805" t="inlineStr">
        <is>
          <t>Föryngringsavverkning</t>
        </is>
      </c>
      <c r="D9805" s="1" t="n">
        <v>46213</v>
      </c>
      <c r="E9805" s="1" t="n">
        <v>46307</v>
      </c>
      <c r="F9805" t="inlineStr">
        <is>
          <t>VÄRMLANDS LÄN</t>
        </is>
      </c>
      <c r="G9805" t="inlineStr">
        <is>
          <t>ÅRJÄNG</t>
        </is>
      </c>
      <c r="I9805" t="n">
        <v>1.2</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A 31046-2026</t>
        </is>
      </c>
      <c r="B9806" t="inlineStr">
        <is>
          <t>avverkningsanmälan</t>
        </is>
      </c>
      <c r="C9806" t="inlineStr">
        <is>
          <t>Föryngringsavverkning</t>
        </is>
      </c>
      <c r="D9806" s="1" t="n">
        <v>46214</v>
      </c>
      <c r="E9806" s="1" t="n">
        <v>46307</v>
      </c>
      <c r="F9806" t="inlineStr">
        <is>
          <t>VÄRMLANDS LÄN</t>
        </is>
      </c>
      <c r="G9806" t="inlineStr">
        <is>
          <t>ÅRJÄNG</t>
        </is>
      </c>
      <c r="H9806" t="inlineStr">
        <is>
          <t>Kyrkan</t>
        </is>
      </c>
      <c r="I9806" t="n">
        <v>15.8</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A 30914-2026</t>
        </is>
      </c>
      <c r="B9807" t="inlineStr">
        <is>
          <t>avverkningsanmälan</t>
        </is>
      </c>
      <c r="C9807" t="inlineStr">
        <is>
          <t>Föryngringsavverkning</t>
        </is>
      </c>
      <c r="D9807" s="1" t="n">
        <v>46213</v>
      </c>
      <c r="E9807" s="1" t="n">
        <v>46307</v>
      </c>
      <c r="F9807" t="inlineStr">
        <is>
          <t>VÄRMLANDS LÄN</t>
        </is>
      </c>
      <c r="G9807" t="inlineStr">
        <is>
          <t>HAGFORS</t>
        </is>
      </c>
      <c r="I9807" t="n">
        <v>3.5</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A 31010-2026</t>
        </is>
      </c>
      <c r="B9808" t="inlineStr">
        <is>
          <t>avverkningsanmälan</t>
        </is>
      </c>
      <c r="C9808" t="inlineStr">
        <is>
          <t>Föryngringsavverkning</t>
        </is>
      </c>
      <c r="D9808" s="1" t="n">
        <v>46213</v>
      </c>
      <c r="E9808" s="1" t="n">
        <v>46307</v>
      </c>
      <c r="F9808" t="inlineStr">
        <is>
          <t>VÄRMLANDS LÄN</t>
        </is>
      </c>
      <c r="G9808" t="inlineStr">
        <is>
          <t>TORSBY</t>
        </is>
      </c>
      <c r="H9808" t="inlineStr">
        <is>
          <t>Bergvik skog väst AB</t>
        </is>
      </c>
      <c r="I9808" t="n">
        <v>2.6</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A 25077-2025</t>
        </is>
      </c>
      <c r="B9809" t="inlineStr">
        <is>
          <t>avverkningsanmälan</t>
        </is>
      </c>
      <c r="C9809" t="inlineStr">
        <is>
          <t>Föryngringsavverkning</t>
        </is>
      </c>
      <c r="D9809" s="1" t="n">
        <v>45799</v>
      </c>
      <c r="E9809" s="1" t="n">
        <v>46307</v>
      </c>
      <c r="F9809" t="inlineStr">
        <is>
          <t>VÄRMLANDS LÄN</t>
        </is>
      </c>
      <c r="G9809" t="inlineStr">
        <is>
          <t>ARVIKA</t>
        </is>
      </c>
      <c r="I9809" t="n">
        <v>2.8</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A 30780-2026</t>
        </is>
      </c>
      <c r="B9810" t="inlineStr">
        <is>
          <t>avverkningsanmälan</t>
        </is>
      </c>
      <c r="C9810" t="inlineStr">
        <is>
          <t>Föryngringsavverkning</t>
        </is>
      </c>
      <c r="D9810" s="1" t="n">
        <v>46212</v>
      </c>
      <c r="E9810" s="1" t="n">
        <v>46307</v>
      </c>
      <c r="F9810" t="inlineStr">
        <is>
          <t>VÄRMLANDS LÄN</t>
        </is>
      </c>
      <c r="G9810" t="inlineStr">
        <is>
          <t>ÅRJÄNG</t>
        </is>
      </c>
      <c r="I9810" t="n">
        <v>3.1</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A 31034-2026</t>
        </is>
      </c>
      <c r="B9811" t="inlineStr">
        <is>
          <t>avverkningsanmälan</t>
        </is>
      </c>
      <c r="C9811" t="inlineStr">
        <is>
          <t>Föryngringsavverkning</t>
        </is>
      </c>
      <c r="D9811" s="1" t="n">
        <v>46214</v>
      </c>
      <c r="E9811" s="1" t="n">
        <v>46307</v>
      </c>
      <c r="F9811" t="inlineStr">
        <is>
          <t>VÄRMLANDS LÄN</t>
        </is>
      </c>
      <c r="G9811" t="inlineStr">
        <is>
          <t>GRUMS</t>
        </is>
      </c>
      <c r="I9811" t="n">
        <v>2.9</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A 30799-2026</t>
        </is>
      </c>
      <c r="B9812" t="inlineStr">
        <is>
          <t>avverkningsanmälan</t>
        </is>
      </c>
      <c r="C9812" t="inlineStr">
        <is>
          <t>Föryngringsavverkning</t>
        </is>
      </c>
      <c r="D9812" s="1" t="n">
        <v>46212</v>
      </c>
      <c r="E9812" s="1" t="n">
        <v>46307</v>
      </c>
      <c r="F9812" t="inlineStr">
        <is>
          <t>VÄRMLANDS LÄN</t>
        </is>
      </c>
      <c r="G9812" t="inlineStr">
        <is>
          <t>FILIPSTAD</t>
        </is>
      </c>
      <c r="H9812" t="inlineStr">
        <is>
          <t>Bergvik skog väst AB</t>
        </is>
      </c>
      <c r="I9812" t="n">
        <v>10</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A 19320-2024</t>
        </is>
      </c>
      <c r="B9813" t="inlineStr">
        <is>
          <t>avverkningsanmälan</t>
        </is>
      </c>
      <c r="C9813" t="inlineStr">
        <is>
          <t>Föryngringsavverkning</t>
        </is>
      </c>
      <c r="D9813" s="1" t="n">
        <v>45428</v>
      </c>
      <c r="E9813" s="1" t="n">
        <v>46307</v>
      </c>
      <c r="F9813" t="inlineStr">
        <is>
          <t>VÄRMLANDS LÄN</t>
        </is>
      </c>
      <c r="G9813" t="inlineStr">
        <is>
          <t>ARVIKA</t>
        </is>
      </c>
      <c r="I9813" t="n">
        <v>1.5</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A 31124-2026</t>
        </is>
      </c>
      <c r="B9814" t="inlineStr">
        <is>
          <t>avverkningsanmälan</t>
        </is>
      </c>
      <c r="C9814" t="inlineStr">
        <is>
          <t>Föryngringsavverkning</t>
        </is>
      </c>
      <c r="D9814" s="1" t="n">
        <v>46216</v>
      </c>
      <c r="E9814" s="1" t="n">
        <v>46307</v>
      </c>
      <c r="F9814" t="inlineStr">
        <is>
          <t>VÄRMLANDS LÄN</t>
        </is>
      </c>
      <c r="G9814" t="inlineStr">
        <is>
          <t>ARVIKA</t>
        </is>
      </c>
      <c r="H9814" t="inlineStr">
        <is>
          <t>Bergvik skog väst AB</t>
        </is>
      </c>
      <c r="I9814" t="n">
        <v>11.7</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A 31244-2026</t>
        </is>
      </c>
      <c r="B9815" t="inlineStr">
        <is>
          <t>avverkningsanmälan</t>
        </is>
      </c>
      <c r="C9815" t="inlineStr">
        <is>
          <t>Föryngringsavverkning</t>
        </is>
      </c>
      <c r="D9815" s="1" t="n">
        <v>46217</v>
      </c>
      <c r="E9815" s="1" t="n">
        <v>46307</v>
      </c>
      <c r="F9815" t="inlineStr">
        <is>
          <t>VÄRMLANDS LÄN</t>
        </is>
      </c>
      <c r="G9815" t="inlineStr">
        <is>
          <t>EDA</t>
        </is>
      </c>
      <c r="I9815" t="n">
        <v>3</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A 31109-2026</t>
        </is>
      </c>
      <c r="B9816" t="inlineStr">
        <is>
          <t>avverkningsanmälan</t>
        </is>
      </c>
      <c r="C9816" t="inlineStr">
        <is>
          <t>Föryngringsavverkning</t>
        </is>
      </c>
      <c r="D9816" s="1" t="n">
        <v>46216</v>
      </c>
      <c r="E9816" s="1" t="n">
        <v>46307</v>
      </c>
      <c r="F9816" t="inlineStr">
        <is>
          <t>VÄRMLANDS LÄN</t>
        </is>
      </c>
      <c r="G9816" t="inlineStr">
        <is>
          <t>ARVIKA</t>
        </is>
      </c>
      <c r="H9816" t="inlineStr">
        <is>
          <t>Bergvik skog väst AB</t>
        </is>
      </c>
      <c r="I9816" t="n">
        <v>1.8</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A 31129-2026</t>
        </is>
      </c>
      <c r="B9817" t="inlineStr">
        <is>
          <t>avverkningsanmälan</t>
        </is>
      </c>
      <c r="C9817" t="inlineStr">
        <is>
          <t>Föryngringsavverkning</t>
        </is>
      </c>
      <c r="D9817" s="1" t="n">
        <v>46216</v>
      </c>
      <c r="E9817" s="1" t="n">
        <v>46307</v>
      </c>
      <c r="F9817" t="inlineStr">
        <is>
          <t>VÄRMLANDS LÄN</t>
        </is>
      </c>
      <c r="G9817" t="inlineStr">
        <is>
          <t>SUNNE</t>
        </is>
      </c>
      <c r="H9817" t="inlineStr">
        <is>
          <t>Bergvik skog väst AB</t>
        </is>
      </c>
      <c r="I9817" t="n">
        <v>8.6</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A 31223-2026</t>
        </is>
      </c>
      <c r="B9818" t="inlineStr">
        <is>
          <t>avverkningsanmälan</t>
        </is>
      </c>
      <c r="C9818" t="inlineStr">
        <is>
          <t>Föryngringsavverkning</t>
        </is>
      </c>
      <c r="D9818" s="1" t="n">
        <v>46217</v>
      </c>
      <c r="E9818" s="1" t="n">
        <v>46307</v>
      </c>
      <c r="F9818" t="inlineStr">
        <is>
          <t>VÄRMLANDS LÄN</t>
        </is>
      </c>
      <c r="G9818" t="inlineStr">
        <is>
          <t>TORSBY</t>
        </is>
      </c>
      <c r="H9818" t="inlineStr">
        <is>
          <t>Bergvik skog väst AB</t>
        </is>
      </c>
      <c r="I9818" t="n">
        <v>3.8</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A 31246-2026</t>
        </is>
      </c>
      <c r="B9819" t="inlineStr">
        <is>
          <t>avverkningsanmälan</t>
        </is>
      </c>
      <c r="C9819" t="inlineStr">
        <is>
          <t>Föryngringsavverkning</t>
        </is>
      </c>
      <c r="D9819" s="1" t="n">
        <v>46217</v>
      </c>
      <c r="E9819" s="1" t="n">
        <v>46307</v>
      </c>
      <c r="F9819" t="inlineStr">
        <is>
          <t>VÄRMLANDS LÄN</t>
        </is>
      </c>
      <c r="G9819" t="inlineStr">
        <is>
          <t>EDA</t>
        </is>
      </c>
      <c r="I9819" t="n">
        <v>0.5</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A 31224-2026</t>
        </is>
      </c>
      <c r="B9820" t="inlineStr">
        <is>
          <t>avverkningsanmälan</t>
        </is>
      </c>
      <c r="C9820" t="inlineStr">
        <is>
          <t>Föryngringsavverkning</t>
        </is>
      </c>
      <c r="D9820" s="1" t="n">
        <v>46217</v>
      </c>
      <c r="E9820" s="1" t="n">
        <v>46307</v>
      </c>
      <c r="F9820" t="inlineStr">
        <is>
          <t>VÄRMLANDS LÄN</t>
        </is>
      </c>
      <c r="G9820" t="inlineStr">
        <is>
          <t>TORSBY</t>
        </is>
      </c>
      <c r="H9820" t="inlineStr">
        <is>
          <t>Bergvik skog väst AB</t>
        </is>
      </c>
      <c r="I9820" t="n">
        <v>2.7</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A 31245-2026</t>
        </is>
      </c>
      <c r="B9821" t="inlineStr">
        <is>
          <t>avverkningsanmälan</t>
        </is>
      </c>
      <c r="C9821" t="inlineStr">
        <is>
          <t>Föryngringsavverkning</t>
        </is>
      </c>
      <c r="D9821" s="1" t="n">
        <v>46217</v>
      </c>
      <c r="E9821" s="1" t="n">
        <v>46307</v>
      </c>
      <c r="F9821" t="inlineStr">
        <is>
          <t>VÄRMLANDS LÄN</t>
        </is>
      </c>
      <c r="G9821" t="inlineStr">
        <is>
          <t>EDA</t>
        </is>
      </c>
      <c r="I9821" t="n">
        <v>2.1</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A 59913-2025</t>
        </is>
      </c>
      <c r="B9822" t="inlineStr">
        <is>
          <t>avverkningsanmälan</t>
        </is>
      </c>
      <c r="C9822" t="inlineStr">
        <is>
          <t>Föryngringsavverkning</t>
        </is>
      </c>
      <c r="D9822" s="1" t="n">
        <v>45993</v>
      </c>
      <c r="E9822" s="1" t="n">
        <v>46307</v>
      </c>
      <c r="F9822" t="inlineStr">
        <is>
          <t>VÄRMLANDS LÄN</t>
        </is>
      </c>
      <c r="G9822" t="inlineStr">
        <is>
          <t>TORSBY</t>
        </is>
      </c>
      <c r="I9822" t="n">
        <v>1.1</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A 31201-2026</t>
        </is>
      </c>
      <c r="B9823" t="inlineStr">
        <is>
          <t>avverkningsanmälan</t>
        </is>
      </c>
      <c r="C9823" t="inlineStr">
        <is>
          <t>Föryngringsavverkning</t>
        </is>
      </c>
      <c r="D9823" s="1" t="n">
        <v>46217</v>
      </c>
      <c r="E9823" s="1" t="n">
        <v>46307</v>
      </c>
      <c r="F9823" t="inlineStr">
        <is>
          <t>VÄRMLANDS LÄN</t>
        </is>
      </c>
      <c r="G9823" t="inlineStr">
        <is>
          <t>TORSBY</t>
        </is>
      </c>
      <c r="H9823" t="inlineStr">
        <is>
          <t>Bergvik skog väst AB</t>
        </is>
      </c>
      <c r="I9823" t="n">
        <v>1.7</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A 31282-2026</t>
        </is>
      </c>
      <c r="B9824" t="inlineStr">
        <is>
          <t>avverkningsanmälan</t>
        </is>
      </c>
      <c r="C9824" t="inlineStr">
        <is>
          <t>Föryngringsavverkning</t>
        </is>
      </c>
      <c r="D9824" s="1" t="n">
        <v>46218</v>
      </c>
      <c r="E9824" s="1" t="n">
        <v>46307</v>
      </c>
      <c r="F9824" t="inlineStr">
        <is>
          <t>VÄRMLANDS LÄN</t>
        </is>
      </c>
      <c r="G9824" t="inlineStr">
        <is>
          <t>ARVIKA</t>
        </is>
      </c>
      <c r="H9824" t="inlineStr">
        <is>
          <t>Bergvik skog väst AB</t>
        </is>
      </c>
      <c r="I9824" t="n">
        <v>1</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A 31355-2026</t>
        </is>
      </c>
      <c r="B9825" t="inlineStr">
        <is>
          <t>avverkningsanmälan</t>
        </is>
      </c>
      <c r="C9825" t="inlineStr">
        <is>
          <t>Föryngringsavverkning</t>
        </is>
      </c>
      <c r="D9825" s="1" t="n">
        <v>46219</v>
      </c>
      <c r="E9825" s="1" t="n">
        <v>46307</v>
      </c>
      <c r="F9825" t="inlineStr">
        <is>
          <t>VÄRMLANDS LÄN</t>
        </is>
      </c>
      <c r="G9825" t="inlineStr">
        <is>
          <t>SUNNE</t>
        </is>
      </c>
      <c r="H9825" t="inlineStr">
        <is>
          <t>Bergvik skog väst AB</t>
        </is>
      </c>
      <c r="I9825" t="n">
        <v>1.8</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A 31305-2026</t>
        </is>
      </c>
      <c r="B9826" t="inlineStr">
        <is>
          <t>avverkningsanmälan</t>
        </is>
      </c>
      <c r="C9826" t="inlineStr">
        <is>
          <t>Föryngringsavverkning</t>
        </is>
      </c>
      <c r="D9826" s="1" t="n">
        <v>46218</v>
      </c>
      <c r="E9826" s="1" t="n">
        <v>46307</v>
      </c>
      <c r="F9826" t="inlineStr">
        <is>
          <t>VÄRMLANDS LÄN</t>
        </is>
      </c>
      <c r="G9826" t="inlineStr">
        <is>
          <t>SUNNE</t>
        </is>
      </c>
      <c r="I9826" t="n">
        <v>2.4</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A 31253-2026</t>
        </is>
      </c>
      <c r="B9827" t="inlineStr">
        <is>
          <t>avverkningsanmälan</t>
        </is>
      </c>
      <c r="C9827" t="inlineStr">
        <is>
          <t>Föryngringsavverkning</t>
        </is>
      </c>
      <c r="D9827" s="1" t="n">
        <v>46218</v>
      </c>
      <c r="E9827" s="1" t="n">
        <v>46307</v>
      </c>
      <c r="F9827" t="inlineStr">
        <is>
          <t>VÄRMLANDS LÄN</t>
        </is>
      </c>
      <c r="G9827" t="inlineStr">
        <is>
          <t>TORSBY</t>
        </is>
      </c>
      <c r="H9827" t="inlineStr">
        <is>
          <t>Bergvik skog väst AB</t>
        </is>
      </c>
      <c r="I9827" t="n">
        <v>3.3</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A 31316-2026</t>
        </is>
      </c>
      <c r="B9828" t="inlineStr">
        <is>
          <t>avverkningsanmälan</t>
        </is>
      </c>
      <c r="C9828" t="inlineStr">
        <is>
          <t>Föryngringsavverkning</t>
        </is>
      </c>
      <c r="D9828" s="1" t="n">
        <v>46219</v>
      </c>
      <c r="E9828" s="1" t="n">
        <v>46307</v>
      </c>
      <c r="F9828" t="inlineStr">
        <is>
          <t>VÄRMLANDS LÄN</t>
        </is>
      </c>
      <c r="G9828" t="inlineStr">
        <is>
          <t>FILIPSTAD</t>
        </is>
      </c>
      <c r="H9828" t="inlineStr">
        <is>
          <t>Bergvik skog väst AB</t>
        </is>
      </c>
      <c r="I9828" t="n">
        <v>1.9</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A 29829-2026</t>
        </is>
      </c>
      <c r="B9829" t="inlineStr">
        <is>
          <t>avverkningsanmälan</t>
        </is>
      </c>
      <c r="C9829" t="inlineStr">
        <is>
          <t>Föryngringsavverkning</t>
        </is>
      </c>
      <c r="D9829" s="1" t="n">
        <v>46205</v>
      </c>
      <c r="E9829" s="1" t="n">
        <v>46307</v>
      </c>
      <c r="F9829" t="inlineStr">
        <is>
          <t>VÄRMLANDS LÄN</t>
        </is>
      </c>
      <c r="G9829" t="inlineStr">
        <is>
          <t>STORFORS</t>
        </is>
      </c>
      <c r="I9829" t="n">
        <v>1.3</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A 31374-2026</t>
        </is>
      </c>
      <c r="B9830" t="inlineStr">
        <is>
          <t>avverkningsanmälan</t>
        </is>
      </c>
      <c r="C9830" t="inlineStr">
        <is>
          <t>Föryngringsavverkning</t>
        </is>
      </c>
      <c r="D9830" s="1" t="n">
        <v>46219</v>
      </c>
      <c r="E9830" s="1" t="n">
        <v>46307</v>
      </c>
      <c r="F9830" t="inlineStr">
        <is>
          <t>VÄRMLANDS LÄN</t>
        </is>
      </c>
      <c r="G9830" t="inlineStr">
        <is>
          <t>ARVIKA</t>
        </is>
      </c>
      <c r="H9830" t="inlineStr">
        <is>
          <t>Bergvik skog väst AB</t>
        </is>
      </c>
      <c r="I9830" t="n">
        <v>6.2</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A 31283-2026</t>
        </is>
      </c>
      <c r="B9831" t="inlineStr">
        <is>
          <t>avverkningsanmälan</t>
        </is>
      </c>
      <c r="C9831" t="inlineStr">
        <is>
          <t>Föryngringsavverkning</t>
        </is>
      </c>
      <c r="D9831" s="1" t="n">
        <v>46218</v>
      </c>
      <c r="E9831" s="1" t="n">
        <v>46307</v>
      </c>
      <c r="F9831" t="inlineStr">
        <is>
          <t>VÄRMLANDS LÄN</t>
        </is>
      </c>
      <c r="G9831" t="inlineStr">
        <is>
          <t>FILIPSTAD</t>
        </is>
      </c>
      <c r="H9831" t="inlineStr">
        <is>
          <t>Bergvik skog väst AB</t>
        </is>
      </c>
      <c r="I9831" t="n">
        <v>4.6</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A 31476-2026</t>
        </is>
      </c>
      <c r="B9832" t="inlineStr">
        <is>
          <t>avverkningsanmälan</t>
        </is>
      </c>
      <c r="C9832" t="inlineStr">
        <is>
          <t>Föryngringsavverkning</t>
        </is>
      </c>
      <c r="D9832" s="1" t="n">
        <v>46222</v>
      </c>
      <c r="E9832" s="1" t="n">
        <v>46307</v>
      </c>
      <c r="F9832" t="inlineStr">
        <is>
          <t>VÄRMLANDS LÄN</t>
        </is>
      </c>
      <c r="G9832" t="inlineStr">
        <is>
          <t>KARLSTAD</t>
        </is>
      </c>
      <c r="I9832" t="n">
        <v>4.4</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A 31477-2026</t>
        </is>
      </c>
      <c r="B9833" t="inlineStr">
        <is>
          <t>avverkningsanmälan</t>
        </is>
      </c>
      <c r="C9833" t="inlineStr">
        <is>
          <t>Föryngringsavverkning</t>
        </is>
      </c>
      <c r="D9833" s="1" t="n">
        <v>46222</v>
      </c>
      <c r="E9833" s="1" t="n">
        <v>46307</v>
      </c>
      <c r="F9833" t="inlineStr">
        <is>
          <t>VÄRMLANDS LÄN</t>
        </is>
      </c>
      <c r="G9833" t="inlineStr">
        <is>
          <t>KARLSTAD</t>
        </is>
      </c>
      <c r="I9833" t="n">
        <v>2.5</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A 35986-2026</t>
        </is>
      </c>
      <c r="B9834" t="inlineStr">
        <is>
          <t>avverkningsanmälan</t>
        </is>
      </c>
      <c r="C9834" t="inlineStr">
        <is>
          <t>Föryngringsavverkning</t>
        </is>
      </c>
      <c r="D9834" s="1" t="n">
        <v>46266</v>
      </c>
      <c r="E9834" s="1" t="n">
        <v>46307</v>
      </c>
      <c r="F9834" t="inlineStr">
        <is>
          <t>VÄRMLANDS LÄN</t>
        </is>
      </c>
      <c r="G9834" t="inlineStr">
        <is>
          <t>SUNNE</t>
        </is>
      </c>
      <c r="I9834" t="n">
        <v>3.2</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A 35921-2026</t>
        </is>
      </c>
      <c r="B9835" t="inlineStr">
        <is>
          <t>avverkningsanmälan</t>
        </is>
      </c>
      <c r="C9835" t="inlineStr">
        <is>
          <t>Föryngringsavverkning</t>
        </is>
      </c>
      <c r="D9835" s="1" t="n">
        <v>46266</v>
      </c>
      <c r="E9835" s="1" t="n">
        <v>46307</v>
      </c>
      <c r="F9835" t="inlineStr">
        <is>
          <t>VÄRMLANDS LÄN</t>
        </is>
      </c>
      <c r="G9835" t="inlineStr">
        <is>
          <t>TORSBY</t>
        </is>
      </c>
      <c r="H9835" t="inlineStr">
        <is>
          <t>Bergvik skog väst AB</t>
        </is>
      </c>
      <c r="I9835" t="n">
        <v>14.3</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A 35999-2026</t>
        </is>
      </c>
      <c r="B9836" t="inlineStr">
        <is>
          <t>avverkningsanmälan</t>
        </is>
      </c>
      <c r="C9836" t="inlineStr">
        <is>
          <t>Föryngringsavverkning</t>
        </is>
      </c>
      <c r="D9836" s="1" t="n">
        <v>46266</v>
      </c>
      <c r="E9836" s="1" t="n">
        <v>46307</v>
      </c>
      <c r="F9836" t="inlineStr">
        <is>
          <t>VÄRMLANDS LÄN</t>
        </is>
      </c>
      <c r="G9836" t="inlineStr">
        <is>
          <t>TORSBY</t>
        </is>
      </c>
      <c r="I9836" t="n">
        <v>1.5</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A 35927-2026</t>
        </is>
      </c>
      <c r="B9837" t="inlineStr">
        <is>
          <t>avverkningsanmälan</t>
        </is>
      </c>
      <c r="C9837" t="inlineStr">
        <is>
          <t>Föryngringsavverkning</t>
        </is>
      </c>
      <c r="D9837" s="1" t="n">
        <v>46266</v>
      </c>
      <c r="E9837" s="1" t="n">
        <v>46307</v>
      </c>
      <c r="F9837" t="inlineStr">
        <is>
          <t>VÄRMLANDS LÄN</t>
        </is>
      </c>
      <c r="G9837" t="inlineStr">
        <is>
          <t>FILIPSTAD</t>
        </is>
      </c>
      <c r="H9837" t="inlineStr">
        <is>
          <t>Bergvik skog väst AB</t>
        </is>
      </c>
      <c r="I9837" t="n">
        <v>27.4</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A 35614-2026</t>
        </is>
      </c>
      <c r="B9838" t="inlineStr">
        <is>
          <t>avverkningsanmälan</t>
        </is>
      </c>
      <c r="C9838" t="inlineStr">
        <is>
          <t>Föryngringsavverkning</t>
        </is>
      </c>
      <c r="D9838" s="1" t="n">
        <v>46264</v>
      </c>
      <c r="E9838" s="1" t="n">
        <v>46307</v>
      </c>
      <c r="F9838" t="inlineStr">
        <is>
          <t>VÄRMLANDS LÄN</t>
        </is>
      </c>
      <c r="G9838" t="inlineStr">
        <is>
          <t>FILIPSTAD</t>
        </is>
      </c>
      <c r="H9838" t="inlineStr">
        <is>
          <t>Bergvik skog väst AB</t>
        </is>
      </c>
      <c r="I9838" t="n">
        <v>20.8</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A 35655-2026</t>
        </is>
      </c>
      <c r="B9839" t="inlineStr">
        <is>
          <t>avverkningsanmälan</t>
        </is>
      </c>
      <c r="C9839" t="inlineStr">
        <is>
          <t>Föryngringsavverkning</t>
        </is>
      </c>
      <c r="D9839" s="1" t="n">
        <v>46265</v>
      </c>
      <c r="E9839" s="1" t="n">
        <v>46307</v>
      </c>
      <c r="F9839" t="inlineStr">
        <is>
          <t>VÄRMLANDS LÄN</t>
        </is>
      </c>
      <c r="G9839" t="inlineStr">
        <is>
          <t>ARVIKA</t>
        </is>
      </c>
      <c r="H9839" t="inlineStr">
        <is>
          <t>Bergvik skog väst AB</t>
        </is>
      </c>
      <c r="I9839" t="n">
        <v>1.6</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A 31441-2026</t>
        </is>
      </c>
      <c r="B9840" t="inlineStr">
        <is>
          <t>avverkningsanmälan</t>
        </is>
      </c>
      <c r="C9840" t="inlineStr">
        <is>
          <t>Föryngringsavverkning</t>
        </is>
      </c>
      <c r="D9840" s="1" t="n">
        <v>46220</v>
      </c>
      <c r="E9840" s="1" t="n">
        <v>46307</v>
      </c>
      <c r="F9840" t="inlineStr">
        <is>
          <t>VÄRMLANDS LÄN</t>
        </is>
      </c>
      <c r="G9840" t="inlineStr">
        <is>
          <t>STORFORS</t>
        </is>
      </c>
      <c r="H9840" t="inlineStr">
        <is>
          <t>Bergvik skog väst AB</t>
        </is>
      </c>
      <c r="I9840" t="n">
        <v>4.8</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A 31436-2026</t>
        </is>
      </c>
      <c r="B9841" t="inlineStr">
        <is>
          <t>avverkningsanmälan</t>
        </is>
      </c>
      <c r="C9841" t="inlineStr">
        <is>
          <t>Föryngringsavverkning</t>
        </is>
      </c>
      <c r="D9841" s="1" t="n">
        <v>46220</v>
      </c>
      <c r="E9841" s="1" t="n">
        <v>46307</v>
      </c>
      <c r="F9841" t="inlineStr">
        <is>
          <t>VÄRMLANDS LÄN</t>
        </is>
      </c>
      <c r="G9841" t="inlineStr">
        <is>
          <t>ARVIKA</t>
        </is>
      </c>
      <c r="H9841" t="inlineStr">
        <is>
          <t>Bergvik skog väst AB</t>
        </is>
      </c>
      <c r="I9841" t="n">
        <v>2.4</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A 31474-2026</t>
        </is>
      </c>
      <c r="B9842" t="inlineStr">
        <is>
          <t>avverkningsanmälan</t>
        </is>
      </c>
      <c r="C9842" t="inlineStr">
        <is>
          <t>Föryngringsavverkning</t>
        </is>
      </c>
      <c r="D9842" s="1" t="n">
        <v>46222</v>
      </c>
      <c r="E9842" s="1" t="n">
        <v>46307</v>
      </c>
      <c r="F9842" t="inlineStr">
        <is>
          <t>VÄRMLANDS LÄN</t>
        </is>
      </c>
      <c r="G9842" t="inlineStr">
        <is>
          <t>KARLSTAD</t>
        </is>
      </c>
      <c r="I9842" t="n">
        <v>4</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A 30501-2026</t>
        </is>
      </c>
      <c r="B9843" t="inlineStr">
        <is>
          <t>avverkningsanmälan</t>
        </is>
      </c>
      <c r="C9843" t="inlineStr">
        <is>
          <t>Föryngringsavverkning</t>
        </is>
      </c>
      <c r="D9843" s="1" t="n">
        <v>46210</v>
      </c>
      <c r="E9843" s="1" t="n">
        <v>46307</v>
      </c>
      <c r="F9843" t="inlineStr">
        <is>
          <t>VÄRMLANDS LÄN</t>
        </is>
      </c>
      <c r="G9843" t="inlineStr">
        <is>
          <t>TORSBY</t>
        </is>
      </c>
      <c r="H9843" t="inlineStr">
        <is>
          <t>Bergvik skog väst AB</t>
        </is>
      </c>
      <c r="I9843" t="n">
        <v>4</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A 35786-2026</t>
        </is>
      </c>
      <c r="B9844" t="inlineStr">
        <is>
          <t>avverkningsanmälan</t>
        </is>
      </c>
      <c r="C9844" t="inlineStr">
        <is>
          <t>Föryngringsavverkning</t>
        </is>
      </c>
      <c r="D9844" s="1" t="n">
        <v>46265</v>
      </c>
      <c r="E9844" s="1" t="n">
        <v>46307</v>
      </c>
      <c r="F9844" t="inlineStr">
        <is>
          <t>VÄRMLANDS LÄN</t>
        </is>
      </c>
      <c r="G9844" t="inlineStr">
        <is>
          <t>ARVIKA</t>
        </is>
      </c>
      <c r="H9844" t="inlineStr">
        <is>
          <t>Bergvik skog väst AB</t>
        </is>
      </c>
      <c r="I9844" t="n">
        <v>1.3</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A 35777-2026</t>
        </is>
      </c>
      <c r="B9845" t="inlineStr">
        <is>
          <t>avverkningsanmälan</t>
        </is>
      </c>
      <c r="C9845" t="inlineStr">
        <is>
          <t>Föryngringsavverkning</t>
        </is>
      </c>
      <c r="D9845" s="1" t="n">
        <v>46265</v>
      </c>
      <c r="E9845" s="1" t="n">
        <v>46307</v>
      </c>
      <c r="F9845" t="inlineStr">
        <is>
          <t>VÄRMLANDS LÄN</t>
        </is>
      </c>
      <c r="G9845" t="inlineStr">
        <is>
          <t>SUNNE</t>
        </is>
      </c>
      <c r="I9845" t="n">
        <v>2.3</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A 35962-2026</t>
        </is>
      </c>
      <c r="B9846" t="inlineStr">
        <is>
          <t>avverkningsanmälan</t>
        </is>
      </c>
      <c r="C9846" t="inlineStr">
        <is>
          <t>Föryngringsavverkning</t>
        </is>
      </c>
      <c r="D9846" s="1" t="n">
        <v>46266</v>
      </c>
      <c r="E9846" s="1" t="n">
        <v>46307</v>
      </c>
      <c r="F9846" t="inlineStr">
        <is>
          <t>VÄRMLANDS LÄN</t>
        </is>
      </c>
      <c r="G9846" t="inlineStr">
        <is>
          <t>ÅRJÄNG</t>
        </is>
      </c>
      <c r="I9846" t="n">
        <v>3.2</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A 27426-2026</t>
        </is>
      </c>
      <c r="B9847" t="inlineStr">
        <is>
          <t>avverkningsanmälan</t>
        </is>
      </c>
      <c r="C9847" t="inlineStr">
        <is>
          <t>Föryngringsavverkning</t>
        </is>
      </c>
      <c r="D9847" s="1" t="n">
        <v>46189</v>
      </c>
      <c r="E9847" s="1" t="n">
        <v>46307</v>
      </c>
      <c r="F9847" t="inlineStr">
        <is>
          <t>VÄRMLANDS LÄN</t>
        </is>
      </c>
      <c r="G9847" t="inlineStr">
        <is>
          <t>FILIPSTAD</t>
        </is>
      </c>
      <c r="I9847" t="n">
        <v>5.6</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A 35651-2026</t>
        </is>
      </c>
      <c r="B9848" t="inlineStr">
        <is>
          <t>avverkningsanmälan</t>
        </is>
      </c>
      <c r="C9848" t="inlineStr">
        <is>
          <t>Föryngringsavverkning</t>
        </is>
      </c>
      <c r="D9848" s="1" t="n">
        <v>46265</v>
      </c>
      <c r="E9848" s="1" t="n">
        <v>46307</v>
      </c>
      <c r="F9848" t="inlineStr">
        <is>
          <t>VÄRMLANDS LÄN</t>
        </is>
      </c>
      <c r="G9848" t="inlineStr">
        <is>
          <t>SUNNE</t>
        </is>
      </c>
      <c r="H9848" t="inlineStr">
        <is>
          <t>Bergvik skog väst AB</t>
        </is>
      </c>
      <c r="I9848" t="n">
        <v>14.6</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A 35672-2026</t>
        </is>
      </c>
      <c r="B9849" t="inlineStr">
        <is>
          <t>avverkningsanmälan</t>
        </is>
      </c>
      <c r="C9849" t="inlineStr">
        <is>
          <t>Föryngringsavverkning</t>
        </is>
      </c>
      <c r="D9849" s="1" t="n">
        <v>46265</v>
      </c>
      <c r="E9849" s="1" t="n">
        <v>46307</v>
      </c>
      <c r="F9849" t="inlineStr">
        <is>
          <t>VÄRMLANDS LÄN</t>
        </is>
      </c>
      <c r="G9849" t="inlineStr">
        <is>
          <t>STORFORS</t>
        </is>
      </c>
      <c r="H9849" t="inlineStr">
        <is>
          <t>Bergvik skog väst AB</t>
        </is>
      </c>
      <c r="I9849" t="n">
        <v>1.9</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A 36008-2026</t>
        </is>
      </c>
      <c r="B9850" t="inlineStr">
        <is>
          <t>avverkningsanmälan</t>
        </is>
      </c>
      <c r="C9850" t="inlineStr">
        <is>
          <t>Föryngringsavverkning</t>
        </is>
      </c>
      <c r="D9850" s="1" t="n">
        <v>46266</v>
      </c>
      <c r="E9850" s="1" t="n">
        <v>46307</v>
      </c>
      <c r="F9850" t="inlineStr">
        <is>
          <t>VÄRMLANDS LÄN</t>
        </is>
      </c>
      <c r="G9850" t="inlineStr">
        <is>
          <t>ÅRJÄNG</t>
        </is>
      </c>
      <c r="I9850" t="n">
        <v>6.5</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A 36005-2026</t>
        </is>
      </c>
      <c r="B9851" t="inlineStr">
        <is>
          <t>avverkningsanmälan</t>
        </is>
      </c>
      <c r="C9851" t="inlineStr">
        <is>
          <t>Föryngringsavverkning</t>
        </is>
      </c>
      <c r="D9851" s="1" t="n">
        <v>46266</v>
      </c>
      <c r="E9851" s="1" t="n">
        <v>46307</v>
      </c>
      <c r="F9851" t="inlineStr">
        <is>
          <t>VÄRMLANDS LÄN</t>
        </is>
      </c>
      <c r="G9851" t="inlineStr">
        <is>
          <t>TORSBY</t>
        </is>
      </c>
      <c r="I9851" t="n">
        <v>1.1</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A 31391-2026</t>
        </is>
      </c>
      <c r="B9852" t="inlineStr">
        <is>
          <t>avverkningsanmälan</t>
        </is>
      </c>
      <c r="C9852" t="inlineStr">
        <is>
          <t>Avverkning för annat ändamål</t>
        </is>
      </c>
      <c r="D9852" s="1" t="n">
        <v>46220</v>
      </c>
      <c r="E9852" s="1" t="n">
        <v>46307</v>
      </c>
      <c r="F9852" t="inlineStr">
        <is>
          <t>VÄRMLANDS LÄN</t>
        </is>
      </c>
      <c r="G9852" t="inlineStr">
        <is>
          <t>KARLSTAD</t>
        </is>
      </c>
      <c r="I9852" t="n">
        <v>0.5</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A 31392-2026</t>
        </is>
      </c>
      <c r="B9853" t="inlineStr">
        <is>
          <t>avverkningsanmälan</t>
        </is>
      </c>
      <c r="C9853" t="inlineStr">
        <is>
          <t>Föryngringsavverkning</t>
        </is>
      </c>
      <c r="D9853" s="1" t="n">
        <v>46220</v>
      </c>
      <c r="E9853" s="1" t="n">
        <v>46307</v>
      </c>
      <c r="F9853" t="inlineStr">
        <is>
          <t>VÄRMLANDS LÄN</t>
        </is>
      </c>
      <c r="G9853" t="inlineStr">
        <is>
          <t>KARLSTAD</t>
        </is>
      </c>
      <c r="I9853" t="n">
        <v>1.3</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A 31416-2026</t>
        </is>
      </c>
      <c r="B9854" t="inlineStr">
        <is>
          <t>avverkningsanmälan</t>
        </is>
      </c>
      <c r="C9854" t="inlineStr">
        <is>
          <t>Föryngringsavverkning</t>
        </is>
      </c>
      <c r="D9854" s="1" t="n">
        <v>46220</v>
      </c>
      <c r="E9854" s="1" t="n">
        <v>46307</v>
      </c>
      <c r="F9854" t="inlineStr">
        <is>
          <t>VÄRMLANDS LÄN</t>
        </is>
      </c>
      <c r="G9854" t="inlineStr">
        <is>
          <t>KARLSTAD</t>
        </is>
      </c>
      <c r="I9854" t="n">
        <v>1.8</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A 31426-2026</t>
        </is>
      </c>
      <c r="B9855" t="inlineStr">
        <is>
          <t>avverkningsanmälan</t>
        </is>
      </c>
      <c r="C9855" t="inlineStr">
        <is>
          <t>Föryngringsavverkning</t>
        </is>
      </c>
      <c r="D9855" s="1" t="n">
        <v>46220</v>
      </c>
      <c r="E9855" s="1" t="n">
        <v>46307</v>
      </c>
      <c r="F9855" t="inlineStr">
        <is>
          <t>VÄRMLANDS LÄN</t>
        </is>
      </c>
      <c r="G9855" t="inlineStr">
        <is>
          <t>KARLSTAD</t>
        </is>
      </c>
      <c r="I9855" t="n">
        <v>1.8</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A 31430-2026</t>
        </is>
      </c>
      <c r="B9856" t="inlineStr">
        <is>
          <t>avverkningsanmälan</t>
        </is>
      </c>
      <c r="C9856" t="inlineStr">
        <is>
          <t>Avverkning för annat ändamål</t>
        </is>
      </c>
      <c r="D9856" s="1" t="n">
        <v>46220</v>
      </c>
      <c r="E9856" s="1" t="n">
        <v>46307</v>
      </c>
      <c r="F9856" t="inlineStr">
        <is>
          <t>VÄRMLANDS LÄN</t>
        </is>
      </c>
      <c r="G9856" t="inlineStr">
        <is>
          <t>KARLSTAD</t>
        </is>
      </c>
      <c r="I9856" t="n">
        <v>0.2</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A 35781-2026</t>
        </is>
      </c>
      <c r="B9857" t="inlineStr">
        <is>
          <t>avverkningsanmälan</t>
        </is>
      </c>
      <c r="C9857" t="inlineStr">
        <is>
          <t>Föryngringsavverkning</t>
        </is>
      </c>
      <c r="D9857" s="1" t="n">
        <v>46265</v>
      </c>
      <c r="E9857" s="1" t="n">
        <v>46307</v>
      </c>
      <c r="F9857" t="inlineStr">
        <is>
          <t>VÄRMLANDS LÄN</t>
        </is>
      </c>
      <c r="G9857" t="inlineStr">
        <is>
          <t>HAGFORS</t>
        </is>
      </c>
      <c r="H9857" t="inlineStr">
        <is>
          <t>Bergvik skog väst AB</t>
        </is>
      </c>
      <c r="I9857" t="n">
        <v>2.3</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A 35827-2026</t>
        </is>
      </c>
      <c r="B9858" t="inlineStr">
        <is>
          <t>avverkningsanmälan</t>
        </is>
      </c>
      <c r="C9858" t="inlineStr">
        <is>
          <t>Föryngringsavverkning</t>
        </is>
      </c>
      <c r="D9858" s="1" t="n">
        <v>46265</v>
      </c>
      <c r="E9858" s="1" t="n">
        <v>46307</v>
      </c>
      <c r="F9858" t="inlineStr">
        <is>
          <t>VÄRMLANDS LÄN</t>
        </is>
      </c>
      <c r="G9858" t="inlineStr">
        <is>
          <t>ARVIKA</t>
        </is>
      </c>
      <c r="H9858" t="inlineStr">
        <is>
          <t>Bergvik skog väst AB</t>
        </is>
      </c>
      <c r="I9858" t="n">
        <v>3.4</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A 31548-2026</t>
        </is>
      </c>
      <c r="B9859" t="inlineStr">
        <is>
          <t>avverkningsanmälan</t>
        </is>
      </c>
      <c r="C9859" t="inlineStr">
        <is>
          <t>Föryngringsavverkning</t>
        </is>
      </c>
      <c r="D9859" s="1" t="n">
        <v>46223</v>
      </c>
      <c r="E9859" s="1" t="n">
        <v>46307</v>
      </c>
      <c r="F9859" t="inlineStr">
        <is>
          <t>VÄRMLANDS LÄN</t>
        </is>
      </c>
      <c r="G9859" t="inlineStr">
        <is>
          <t>FILIPSTAD</t>
        </is>
      </c>
      <c r="I9859" t="n">
        <v>3</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A 35849-2026</t>
        </is>
      </c>
      <c r="B9860" t="inlineStr">
        <is>
          <t>avverkningsanmälan</t>
        </is>
      </c>
      <c r="C9860" t="inlineStr">
        <is>
          <t>Föryngringsavverkning</t>
        </is>
      </c>
      <c r="D9860" s="1" t="n">
        <v>46265</v>
      </c>
      <c r="E9860" s="1" t="n">
        <v>46307</v>
      </c>
      <c r="F9860" t="inlineStr">
        <is>
          <t>VÄRMLANDS LÄN</t>
        </is>
      </c>
      <c r="G9860" t="inlineStr">
        <is>
          <t>ÅRJÄNG</t>
        </is>
      </c>
      <c r="H9860" t="inlineStr">
        <is>
          <t>Kyrkan</t>
        </is>
      </c>
      <c r="I9860" t="n">
        <v>1.6</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A 20933-2024</t>
        </is>
      </c>
      <c r="B9861" t="inlineStr">
        <is>
          <t>avverkningsanmälan</t>
        </is>
      </c>
      <c r="C9861" t="inlineStr">
        <is>
          <t>Föryngringsavverkning</t>
        </is>
      </c>
      <c r="D9861" s="1" t="n">
        <v>45439</v>
      </c>
      <c r="E9861" s="1" t="n">
        <v>46307</v>
      </c>
      <c r="F9861" t="inlineStr">
        <is>
          <t>VÄRMLANDS LÄN</t>
        </is>
      </c>
      <c r="G9861" t="inlineStr">
        <is>
          <t>FORSHAGA</t>
        </is>
      </c>
      <c r="I9861" t="n">
        <v>11.3</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A 35821-2026</t>
        </is>
      </c>
      <c r="B9862" t="inlineStr">
        <is>
          <t>avverkningsanmälan</t>
        </is>
      </c>
      <c r="C9862" t="inlineStr">
        <is>
          <t>Föryngringsavverkning</t>
        </is>
      </c>
      <c r="D9862" s="1" t="n">
        <v>46265</v>
      </c>
      <c r="E9862" s="1" t="n">
        <v>46307</v>
      </c>
      <c r="F9862" t="inlineStr">
        <is>
          <t>VÄRMLANDS LÄN</t>
        </is>
      </c>
      <c r="G9862" t="inlineStr">
        <is>
          <t>FILIPSTAD</t>
        </is>
      </c>
      <c r="I9862" t="n">
        <v>2</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A 31451-2026</t>
        </is>
      </c>
      <c r="B9863" t="inlineStr">
        <is>
          <t>avverkningsanmälan</t>
        </is>
      </c>
      <c r="C9863" t="inlineStr">
        <is>
          <t>Föryngringsavverkning</t>
        </is>
      </c>
      <c r="D9863" s="1" t="n">
        <v>46220</v>
      </c>
      <c r="E9863" s="1" t="n">
        <v>46307</v>
      </c>
      <c r="F9863" t="inlineStr">
        <is>
          <t>VÄRMLANDS LÄN</t>
        </is>
      </c>
      <c r="G9863" t="inlineStr">
        <is>
          <t>SUNNE</t>
        </is>
      </c>
      <c r="H9863" t="inlineStr">
        <is>
          <t>Bergvik skog väst AB</t>
        </is>
      </c>
      <c r="I9863" t="n">
        <v>1.6</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A 35788-2026</t>
        </is>
      </c>
      <c r="B9864" t="inlineStr">
        <is>
          <t>avverkningsanmälan</t>
        </is>
      </c>
      <c r="C9864" t="inlineStr">
        <is>
          <t>Föryngringsavverkning</t>
        </is>
      </c>
      <c r="D9864" s="1" t="n">
        <v>46265</v>
      </c>
      <c r="E9864" s="1" t="n">
        <v>46307</v>
      </c>
      <c r="F9864" t="inlineStr">
        <is>
          <t>VÄRMLANDS LÄN</t>
        </is>
      </c>
      <c r="G9864" t="inlineStr">
        <is>
          <t>ARVIKA</t>
        </is>
      </c>
      <c r="H9864" t="inlineStr">
        <is>
          <t>Bergvik skog väst AB</t>
        </is>
      </c>
      <c r="I9864" t="n">
        <v>5.5</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A 35898-2026</t>
        </is>
      </c>
      <c r="B9865" t="inlineStr">
        <is>
          <t>avverkningsanmälan</t>
        </is>
      </c>
      <c r="C9865" t="inlineStr">
        <is>
          <t>Föryngringsavverkning</t>
        </is>
      </c>
      <c r="D9865" s="1" t="n">
        <v>46266</v>
      </c>
      <c r="E9865" s="1" t="n">
        <v>46307</v>
      </c>
      <c r="F9865" t="inlineStr">
        <is>
          <t>VÄRMLANDS LÄN</t>
        </is>
      </c>
      <c r="G9865" t="inlineStr">
        <is>
          <t>SÄFFLE</t>
        </is>
      </c>
      <c r="I9865" t="n">
        <v>1.7</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A 35900-2026</t>
        </is>
      </c>
      <c r="B9866" t="inlineStr">
        <is>
          <t>avverkningsanmälan</t>
        </is>
      </c>
      <c r="C9866" t="inlineStr">
        <is>
          <t>Föryngringsavverkning</t>
        </is>
      </c>
      <c r="D9866" s="1" t="n">
        <v>46265</v>
      </c>
      <c r="E9866" s="1" t="n">
        <v>46307</v>
      </c>
      <c r="F9866" t="inlineStr">
        <is>
          <t>VÄRMLANDS LÄN</t>
        </is>
      </c>
      <c r="G9866" t="inlineStr">
        <is>
          <t>ÅRJÄNG</t>
        </is>
      </c>
      <c r="I9866" t="n">
        <v>1.2</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A 35793-2026</t>
        </is>
      </c>
      <c r="B9867" t="inlineStr">
        <is>
          <t>avverkningsanmälan</t>
        </is>
      </c>
      <c r="C9867" t="inlineStr">
        <is>
          <t>Föryngringsavverkning</t>
        </is>
      </c>
      <c r="D9867" s="1" t="n">
        <v>46265</v>
      </c>
      <c r="E9867" s="1" t="n">
        <v>46307</v>
      </c>
      <c r="F9867" t="inlineStr">
        <is>
          <t>VÄRMLANDS LÄN</t>
        </is>
      </c>
      <c r="G9867" t="inlineStr">
        <is>
          <t>TORSBY</t>
        </is>
      </c>
      <c r="I9867" t="n">
        <v>2.3</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A 26204-2026</t>
        </is>
      </c>
      <c r="B9868" t="inlineStr">
        <is>
          <t>avverkningsanmälan</t>
        </is>
      </c>
      <c r="C9868" t="inlineStr">
        <is>
          <t>Föryngringsavverkning</t>
        </is>
      </c>
      <c r="D9868" s="1" t="n">
        <v>46182</v>
      </c>
      <c r="E9868" s="1" t="n">
        <v>46307</v>
      </c>
      <c r="F9868" t="inlineStr">
        <is>
          <t>VÄRMLANDS LÄN</t>
        </is>
      </c>
      <c r="G9868" t="inlineStr">
        <is>
          <t>TORSBY</t>
        </is>
      </c>
      <c r="I9868" t="n">
        <v>1.9</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A 31263-2026</t>
        </is>
      </c>
      <c r="B9869" t="inlineStr">
        <is>
          <t>avverkningsanmälan</t>
        </is>
      </c>
      <c r="C9869" t="inlineStr">
        <is>
          <t>Föryngringsavverkning</t>
        </is>
      </c>
      <c r="D9869" s="1" t="n">
        <v>46218</v>
      </c>
      <c r="E9869" s="1" t="n">
        <v>46307</v>
      </c>
      <c r="F9869" t="inlineStr">
        <is>
          <t>VÄRMLANDS LÄN</t>
        </is>
      </c>
      <c r="G9869" t="inlineStr">
        <is>
          <t>SUNNE</t>
        </is>
      </c>
      <c r="I9869" t="n">
        <v>2.5</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A 35893-2026</t>
        </is>
      </c>
      <c r="B9870" t="inlineStr">
        <is>
          <t>avverkningsanmälan</t>
        </is>
      </c>
      <c r="C9870" t="inlineStr">
        <is>
          <t>Föryngringsavverkning</t>
        </is>
      </c>
      <c r="D9870" s="1" t="n">
        <v>46265</v>
      </c>
      <c r="E9870" s="1" t="n">
        <v>46307</v>
      </c>
      <c r="F9870" t="inlineStr">
        <is>
          <t>VÄRMLANDS LÄN</t>
        </is>
      </c>
      <c r="G9870" t="inlineStr">
        <is>
          <t>ÅRJÄNG</t>
        </is>
      </c>
      <c r="I9870" t="n">
        <v>2.5</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A 31480-2026</t>
        </is>
      </c>
      <c r="B9871" t="inlineStr">
        <is>
          <t>avverkningsanmälan</t>
        </is>
      </c>
      <c r="C9871" t="inlineStr">
        <is>
          <t>Avverkning för annat ändamål</t>
        </is>
      </c>
      <c r="D9871" s="1" t="n">
        <v>46222</v>
      </c>
      <c r="E9871" s="1" t="n">
        <v>46307</v>
      </c>
      <c r="F9871" t="inlineStr">
        <is>
          <t>VÄRMLANDS LÄN</t>
        </is>
      </c>
      <c r="G9871" t="inlineStr">
        <is>
          <t>FORSHAGA</t>
        </is>
      </c>
      <c r="I9871" t="n">
        <v>1.4</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A 22030-2026</t>
        </is>
      </c>
      <c r="B9872" t="inlineStr">
        <is>
          <t>avverkningsanmälan</t>
        </is>
      </c>
      <c r="C9872" t="inlineStr">
        <is>
          <t>Föryngringsavverkning</t>
        </is>
      </c>
      <c r="D9872" s="1" t="n">
        <v>46153</v>
      </c>
      <c r="E9872" s="1" t="n">
        <v>46307</v>
      </c>
      <c r="F9872" t="inlineStr">
        <is>
          <t>VÄRMLANDS LÄN</t>
        </is>
      </c>
      <c r="G9872" t="inlineStr">
        <is>
          <t>TORSBY</t>
        </is>
      </c>
      <c r="I9872" t="n">
        <v>2.8</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A 31473-2026</t>
        </is>
      </c>
      <c r="B9873" t="inlineStr">
        <is>
          <t>avverkningsanmälan</t>
        </is>
      </c>
      <c r="C9873" t="inlineStr">
        <is>
          <t>Föryngringsavverkning</t>
        </is>
      </c>
      <c r="D9873" s="1" t="n">
        <v>46222</v>
      </c>
      <c r="E9873" s="1" t="n">
        <v>46307</v>
      </c>
      <c r="F9873" t="inlineStr">
        <is>
          <t>VÄRMLANDS LÄN</t>
        </is>
      </c>
      <c r="G9873" t="inlineStr">
        <is>
          <t>KARLSTAD</t>
        </is>
      </c>
      <c r="I9873" t="n">
        <v>4.8</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A 31475-2026</t>
        </is>
      </c>
      <c r="B9874" t="inlineStr">
        <is>
          <t>avverkningsanmälan</t>
        </is>
      </c>
      <c r="C9874" t="inlineStr">
        <is>
          <t>Föryngringsavverkning</t>
        </is>
      </c>
      <c r="D9874" s="1" t="n">
        <v>46222</v>
      </c>
      <c r="E9874" s="1" t="n">
        <v>46307</v>
      </c>
      <c r="F9874" t="inlineStr">
        <is>
          <t>VÄRMLANDS LÄN</t>
        </is>
      </c>
      <c r="G9874" t="inlineStr">
        <is>
          <t>KARLSTAD</t>
        </is>
      </c>
      <c r="I9874" t="n">
        <v>10.2</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A 31415-2026</t>
        </is>
      </c>
      <c r="B9875" t="inlineStr">
        <is>
          <t>avverkningsanmälan</t>
        </is>
      </c>
      <c r="C9875" t="inlineStr">
        <is>
          <t>Föryngringsavverkning</t>
        </is>
      </c>
      <c r="D9875" s="1" t="n">
        <v>46220</v>
      </c>
      <c r="E9875" s="1" t="n">
        <v>46307</v>
      </c>
      <c r="F9875" t="inlineStr">
        <is>
          <t>VÄRMLANDS LÄN</t>
        </is>
      </c>
      <c r="G9875" t="inlineStr">
        <is>
          <t>KARLSTAD</t>
        </is>
      </c>
      <c r="I9875" t="n">
        <v>0.8</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A 35948-2026</t>
        </is>
      </c>
      <c r="B9876" t="inlineStr">
        <is>
          <t>avverkningsanmälan</t>
        </is>
      </c>
      <c r="C9876" t="inlineStr">
        <is>
          <t>Föryngringsavverkning</t>
        </is>
      </c>
      <c r="D9876" s="1" t="n">
        <v>46266</v>
      </c>
      <c r="E9876" s="1" t="n">
        <v>46307</v>
      </c>
      <c r="F9876" t="inlineStr">
        <is>
          <t>VÄRMLANDS LÄN</t>
        </is>
      </c>
      <c r="G9876" t="inlineStr">
        <is>
          <t>FILIPSTAD</t>
        </is>
      </c>
      <c r="H9876" t="inlineStr">
        <is>
          <t>Bergvik skog väst AB</t>
        </is>
      </c>
      <c r="I9876" t="n">
        <v>1.2</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A 35984-2026</t>
        </is>
      </c>
      <c r="B9877" t="inlineStr">
        <is>
          <t>avverkningsanmälan</t>
        </is>
      </c>
      <c r="C9877" t="inlineStr">
        <is>
          <t>Föryngringsavverkning</t>
        </is>
      </c>
      <c r="D9877" s="1" t="n">
        <v>46266</v>
      </c>
      <c r="E9877" s="1" t="n">
        <v>46307</v>
      </c>
      <c r="F9877" t="inlineStr">
        <is>
          <t>VÄRMLANDS LÄN</t>
        </is>
      </c>
      <c r="G9877" t="inlineStr">
        <is>
          <t>SÄFFLE</t>
        </is>
      </c>
      <c r="I9877" t="n">
        <v>1.3</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A 35641-2026</t>
        </is>
      </c>
      <c r="B9878" t="inlineStr">
        <is>
          <t>avverkningsanmälan</t>
        </is>
      </c>
      <c r="C9878" t="inlineStr">
        <is>
          <t>Föryngringsavverkning</t>
        </is>
      </c>
      <c r="D9878" s="1" t="n">
        <v>46265</v>
      </c>
      <c r="E9878" s="1" t="n">
        <v>46307</v>
      </c>
      <c r="F9878" t="inlineStr">
        <is>
          <t>VÄRMLANDS LÄN</t>
        </is>
      </c>
      <c r="G9878" t="inlineStr">
        <is>
          <t>FILIPSTAD</t>
        </is>
      </c>
      <c r="H9878" t="inlineStr">
        <is>
          <t>Bergvik skog väst AB</t>
        </is>
      </c>
      <c r="I9878" t="n">
        <v>22.8</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A 35615-2026</t>
        </is>
      </c>
      <c r="B9879" t="inlineStr">
        <is>
          <t>avverkningsanmälan</t>
        </is>
      </c>
      <c r="C9879" t="inlineStr">
        <is>
          <t>Föryngringsavverkning</t>
        </is>
      </c>
      <c r="D9879" s="1" t="n">
        <v>46264</v>
      </c>
      <c r="E9879" s="1" t="n">
        <v>46307</v>
      </c>
      <c r="F9879" t="inlineStr">
        <is>
          <t>VÄRMLANDS LÄN</t>
        </is>
      </c>
      <c r="G9879" t="inlineStr">
        <is>
          <t>FILIPSTAD</t>
        </is>
      </c>
      <c r="H9879" t="inlineStr">
        <is>
          <t>Bergvik skog väst AB</t>
        </is>
      </c>
      <c r="I9879" t="n">
        <v>2.8</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A 35971-2026</t>
        </is>
      </c>
      <c r="B9880" t="inlineStr">
        <is>
          <t>avverkningsanmälan</t>
        </is>
      </c>
      <c r="C9880" t="inlineStr">
        <is>
          <t>Föryngringsavverkning</t>
        </is>
      </c>
      <c r="D9880" s="1" t="n">
        <v>46266</v>
      </c>
      <c r="E9880" s="1" t="n">
        <v>46307</v>
      </c>
      <c r="F9880" t="inlineStr">
        <is>
          <t>VÄRMLANDS LÄN</t>
        </is>
      </c>
      <c r="G9880" t="inlineStr">
        <is>
          <t>SÄFFLE</t>
        </is>
      </c>
      <c r="I9880" t="n">
        <v>6.4</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A 35995-2026</t>
        </is>
      </c>
      <c r="B9881" t="inlineStr">
        <is>
          <t>avverkningsanmälan</t>
        </is>
      </c>
      <c r="C9881" t="inlineStr">
        <is>
          <t>Föryngringsavverkning</t>
        </is>
      </c>
      <c r="D9881" s="1" t="n">
        <v>46266</v>
      </c>
      <c r="E9881" s="1" t="n">
        <v>46307</v>
      </c>
      <c r="F9881" t="inlineStr">
        <is>
          <t>VÄRMLANDS LÄN</t>
        </is>
      </c>
      <c r="G9881" t="inlineStr">
        <is>
          <t>FILIPSTAD</t>
        </is>
      </c>
      <c r="H9881" t="inlineStr">
        <is>
          <t>Bergvik skog väst AB</t>
        </is>
      </c>
      <c r="I9881" t="n">
        <v>12.7</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A 36002-2026</t>
        </is>
      </c>
      <c r="B9882" t="inlineStr">
        <is>
          <t>avverkningsanmälan</t>
        </is>
      </c>
      <c r="C9882" t="inlineStr">
        <is>
          <t>Föryngringsavverkning</t>
        </is>
      </c>
      <c r="D9882" s="1" t="n">
        <v>46266</v>
      </c>
      <c r="E9882" s="1" t="n">
        <v>46307</v>
      </c>
      <c r="F9882" t="inlineStr">
        <is>
          <t>VÄRMLANDS LÄN</t>
        </is>
      </c>
      <c r="G9882" t="inlineStr">
        <is>
          <t>TORSBY</t>
        </is>
      </c>
      <c r="I9882" t="n">
        <v>1.9</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A 31537-2026</t>
        </is>
      </c>
      <c r="B9883" t="inlineStr">
        <is>
          <t>avverkningsanmälan</t>
        </is>
      </c>
      <c r="C9883" t="inlineStr">
        <is>
          <t>Avverkning för att bevara och utveckla /försöksver</t>
        </is>
      </c>
      <c r="D9883" s="1" t="n">
        <v>46223</v>
      </c>
      <c r="E9883" s="1" t="n">
        <v>46307</v>
      </c>
      <c r="F9883" t="inlineStr">
        <is>
          <t>VÄRMLANDS LÄN</t>
        </is>
      </c>
      <c r="G9883" t="inlineStr">
        <is>
          <t>FILIPSTAD</t>
        </is>
      </c>
      <c r="I9883" t="n">
        <v>1</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A 31470-2026</t>
        </is>
      </c>
      <c r="B9884" t="inlineStr">
        <is>
          <t>avverkningsanmälan</t>
        </is>
      </c>
      <c r="C9884" t="inlineStr">
        <is>
          <t>Föryngringsavverkning</t>
        </is>
      </c>
      <c r="D9884" s="1" t="n">
        <v>46222</v>
      </c>
      <c r="E9884" s="1" t="n">
        <v>46307</v>
      </c>
      <c r="F9884" t="inlineStr">
        <is>
          <t>VÄRMLANDS LÄN</t>
        </is>
      </c>
      <c r="G9884" t="inlineStr">
        <is>
          <t>KARLSTAD</t>
        </is>
      </c>
      <c r="I9884" t="n">
        <v>9.800000000000001</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A 35749-2026</t>
        </is>
      </c>
      <c r="B9885" t="inlineStr">
        <is>
          <t>avverkningsanmälan</t>
        </is>
      </c>
      <c r="C9885" t="inlineStr">
        <is>
          <t>Föryngringsavverkning</t>
        </is>
      </c>
      <c r="D9885" s="1" t="n">
        <v>46265</v>
      </c>
      <c r="E9885" s="1" t="n">
        <v>46307</v>
      </c>
      <c r="F9885" t="inlineStr">
        <is>
          <t>VÄRMLANDS LÄN</t>
        </is>
      </c>
      <c r="G9885" t="inlineStr">
        <is>
          <t>HAGFORS</t>
        </is>
      </c>
      <c r="H9885" t="inlineStr">
        <is>
          <t>Bergvik skog väst AB</t>
        </is>
      </c>
      <c r="I9885" t="n">
        <v>15.2</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A 35874-2026</t>
        </is>
      </c>
      <c r="B9886" t="inlineStr">
        <is>
          <t>avverkningsanmälan</t>
        </is>
      </c>
      <c r="C9886" t="inlineStr">
        <is>
          <t>Föryngringsavverkning</t>
        </is>
      </c>
      <c r="D9886" s="1" t="n">
        <v>46266</v>
      </c>
      <c r="E9886" s="1" t="n">
        <v>46307</v>
      </c>
      <c r="F9886" t="inlineStr">
        <is>
          <t>VÄRMLANDS LÄN</t>
        </is>
      </c>
      <c r="G9886" t="inlineStr">
        <is>
          <t>EDA</t>
        </is>
      </c>
      <c r="I9886" t="n">
        <v>2.6</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A 35878-2026</t>
        </is>
      </c>
      <c r="B9887" t="inlineStr">
        <is>
          <t>avverkningsanmälan</t>
        </is>
      </c>
      <c r="C9887" t="inlineStr">
        <is>
          <t>Föryngringsavverkning</t>
        </is>
      </c>
      <c r="D9887" s="1" t="n">
        <v>46266</v>
      </c>
      <c r="E9887" s="1" t="n">
        <v>46307</v>
      </c>
      <c r="F9887" t="inlineStr">
        <is>
          <t>VÄRMLANDS LÄN</t>
        </is>
      </c>
      <c r="G9887" t="inlineStr">
        <is>
          <t>EDA</t>
        </is>
      </c>
      <c r="I9887" t="n">
        <v>2.7</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A 60014-2025</t>
        </is>
      </c>
      <c r="B9888" t="inlineStr">
        <is>
          <t>avverkningsanmälan</t>
        </is>
      </c>
      <c r="C9888" t="inlineStr">
        <is>
          <t>Föryngringsavverkning</t>
        </is>
      </c>
      <c r="D9888" s="1" t="n">
        <v>45993</v>
      </c>
      <c r="E9888" s="1" t="n">
        <v>46307</v>
      </c>
      <c r="F9888" t="inlineStr">
        <is>
          <t>VÄRMLANDS LÄN</t>
        </is>
      </c>
      <c r="G9888" t="inlineStr">
        <is>
          <t>SUNNE</t>
        </is>
      </c>
      <c r="I9888" t="n">
        <v>2</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A 36246-2026</t>
        </is>
      </c>
      <c r="B9889" t="inlineStr">
        <is>
          <t>avverkningsanmälan</t>
        </is>
      </c>
      <c r="C9889" t="inlineStr">
        <is>
          <t>Föryngringsavverkning</t>
        </is>
      </c>
      <c r="D9889" s="1" t="n">
        <v>46268</v>
      </c>
      <c r="E9889" s="1" t="n">
        <v>46307</v>
      </c>
      <c r="F9889" t="inlineStr">
        <is>
          <t>VÄRMLANDS LÄN</t>
        </is>
      </c>
      <c r="G9889" t="inlineStr">
        <is>
          <t>ARVIKA</t>
        </is>
      </c>
      <c r="H9889" t="inlineStr">
        <is>
          <t>Bergvik skog väst AB</t>
        </is>
      </c>
      <c r="I9889" t="n">
        <v>26.7</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A 31634-2026</t>
        </is>
      </c>
      <c r="B9890" t="inlineStr">
        <is>
          <t>avverkningsanmälan</t>
        </is>
      </c>
      <c r="C9890" t="inlineStr">
        <is>
          <t>Föryngringsavverkning</t>
        </is>
      </c>
      <c r="D9890" s="1" t="n">
        <v>46225</v>
      </c>
      <c r="E9890" s="1" t="n">
        <v>46307</v>
      </c>
      <c r="F9890" t="inlineStr">
        <is>
          <t>VÄRMLANDS LÄN</t>
        </is>
      </c>
      <c r="G9890" t="inlineStr">
        <is>
          <t>TORSBY</t>
        </is>
      </c>
      <c r="H9890" t="inlineStr">
        <is>
          <t>Bergvik skog väst AB</t>
        </is>
      </c>
      <c r="I9890" t="n">
        <v>4.8</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A 36195-2026</t>
        </is>
      </c>
      <c r="B9891" t="inlineStr">
        <is>
          <t>avverkningsanmälan</t>
        </is>
      </c>
      <c r="C9891" t="inlineStr">
        <is>
          <t>Föryngringsavverkning</t>
        </is>
      </c>
      <c r="D9891" s="1" t="n">
        <v>46267</v>
      </c>
      <c r="E9891" s="1" t="n">
        <v>46307</v>
      </c>
      <c r="F9891" t="inlineStr">
        <is>
          <t>VÄRMLANDS LÄN</t>
        </is>
      </c>
      <c r="G9891" t="inlineStr">
        <is>
          <t>FILIPSTAD</t>
        </is>
      </c>
      <c r="H9891" t="inlineStr">
        <is>
          <t>Bergvik skog väst AB</t>
        </is>
      </c>
      <c r="I9891" t="n">
        <v>1.9</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A 36307-2026</t>
        </is>
      </c>
      <c r="B9892" t="inlineStr">
        <is>
          <t>avverkningsanmälan</t>
        </is>
      </c>
      <c r="C9892" t="inlineStr">
        <is>
          <t>Föryngringsavverkning</t>
        </is>
      </c>
      <c r="D9892" s="1" t="n">
        <v>46268</v>
      </c>
      <c r="E9892" s="1" t="n">
        <v>46307</v>
      </c>
      <c r="F9892" t="inlineStr">
        <is>
          <t>VÄRMLANDS LÄN</t>
        </is>
      </c>
      <c r="G9892" t="inlineStr">
        <is>
          <t>TORSBY</t>
        </is>
      </c>
      <c r="H9892" t="inlineStr">
        <is>
          <t>Bergvik skog väst AB</t>
        </is>
      </c>
      <c r="I9892" t="n">
        <v>17.9</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A 36310-2026</t>
        </is>
      </c>
      <c r="B9893" t="inlineStr">
        <is>
          <t>avverkningsanmälan</t>
        </is>
      </c>
      <c r="C9893" t="inlineStr">
        <is>
          <t>Föryngringsavverkning</t>
        </is>
      </c>
      <c r="D9893" s="1" t="n">
        <v>46268</v>
      </c>
      <c r="E9893" s="1" t="n">
        <v>46307</v>
      </c>
      <c r="F9893" t="inlineStr">
        <is>
          <t>VÄRMLANDS LÄN</t>
        </is>
      </c>
      <c r="G9893" t="inlineStr">
        <is>
          <t>STORFORS</t>
        </is>
      </c>
      <c r="H9893" t="inlineStr">
        <is>
          <t>Kyrkan</t>
        </is>
      </c>
      <c r="I9893" t="n">
        <v>3.9</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A 1120-2026</t>
        </is>
      </c>
      <c r="B9894" t="inlineStr">
        <is>
          <t>avverkningsanmälan</t>
        </is>
      </c>
      <c r="C9894" t="inlineStr">
        <is>
          <t>Föryngringsavverkning</t>
        </is>
      </c>
      <c r="D9894" s="1" t="n">
        <v>46029</v>
      </c>
      <c r="E9894" s="1" t="n">
        <v>46307</v>
      </c>
      <c r="F9894" t="inlineStr">
        <is>
          <t>VÄRMLANDS LÄN</t>
        </is>
      </c>
      <c r="G9894" t="inlineStr">
        <is>
          <t>KARLSTAD</t>
        </is>
      </c>
      <c r="H9894" t="inlineStr">
        <is>
          <t>Övriga statliga verk och myndigheter</t>
        </is>
      </c>
      <c r="I9894" t="n">
        <v>6.8</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A 31616-2026</t>
        </is>
      </c>
      <c r="B9895" t="inlineStr">
        <is>
          <t>avverkningsanmälan</t>
        </is>
      </c>
      <c r="C9895" t="inlineStr">
        <is>
          <t>Föryngringsavverkning</t>
        </is>
      </c>
      <c r="D9895" s="1" t="n">
        <v>46225</v>
      </c>
      <c r="E9895" s="1" t="n">
        <v>46307</v>
      </c>
      <c r="F9895" t="inlineStr">
        <is>
          <t>VÄRMLANDS LÄN</t>
        </is>
      </c>
      <c r="G9895" t="inlineStr">
        <is>
          <t>ÅRJÄNG</t>
        </is>
      </c>
      <c r="I9895" t="n">
        <v>1</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A 36281-2026</t>
        </is>
      </c>
      <c r="B9896" t="inlineStr">
        <is>
          <t>avverkningsanmälan</t>
        </is>
      </c>
      <c r="C9896" t="inlineStr">
        <is>
          <t>Föryngringsavverkning</t>
        </is>
      </c>
      <c r="D9896" s="1" t="n">
        <v>46268</v>
      </c>
      <c r="E9896" s="1" t="n">
        <v>46307</v>
      </c>
      <c r="F9896" t="inlineStr">
        <is>
          <t>VÄRMLANDS LÄN</t>
        </is>
      </c>
      <c r="G9896" t="inlineStr">
        <is>
          <t>HAGFORS</t>
        </is>
      </c>
      <c r="H9896" t="inlineStr">
        <is>
          <t>Bergvik skog väst AB</t>
        </is>
      </c>
      <c r="I9896" t="n">
        <v>7.6</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A 31648-2026</t>
        </is>
      </c>
      <c r="B9897" t="inlineStr">
        <is>
          <t>avverkningsanmälan</t>
        </is>
      </c>
      <c r="C9897" t="inlineStr">
        <is>
          <t>Föryngringsavverkning</t>
        </is>
      </c>
      <c r="D9897" s="1" t="n">
        <v>46225</v>
      </c>
      <c r="E9897" s="1" t="n">
        <v>46307</v>
      </c>
      <c r="F9897" t="inlineStr">
        <is>
          <t>VÄRMLANDS LÄN</t>
        </is>
      </c>
      <c r="G9897" t="inlineStr">
        <is>
          <t>FILIPSTAD</t>
        </is>
      </c>
      <c r="H9897" t="inlineStr">
        <is>
          <t>Bergvik skog väst AB</t>
        </is>
      </c>
      <c r="I9897" t="n">
        <v>1.6</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A 31559-2026</t>
        </is>
      </c>
      <c r="B9898" t="inlineStr">
        <is>
          <t>avverkningsanmälan</t>
        </is>
      </c>
      <c r="C9898" t="inlineStr">
        <is>
          <t>Föryngringsavverkning</t>
        </is>
      </c>
      <c r="D9898" s="1" t="n">
        <v>46224</v>
      </c>
      <c r="E9898" s="1" t="n">
        <v>46307</v>
      </c>
      <c r="F9898" t="inlineStr">
        <is>
          <t>VÄRMLANDS LÄN</t>
        </is>
      </c>
      <c r="G9898" t="inlineStr">
        <is>
          <t>GRUMS</t>
        </is>
      </c>
      <c r="I9898" t="n">
        <v>1.6</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A 36055-2026</t>
        </is>
      </c>
      <c r="B9899" t="inlineStr">
        <is>
          <t>avverkningsanmälan</t>
        </is>
      </c>
      <c r="C9899" t="inlineStr">
        <is>
          <t>Föryngringsavverkning</t>
        </is>
      </c>
      <c r="D9899" s="1" t="n">
        <v>46267</v>
      </c>
      <c r="E9899" s="1" t="n">
        <v>46307</v>
      </c>
      <c r="F9899" t="inlineStr">
        <is>
          <t>VÄRMLANDS LÄN</t>
        </is>
      </c>
      <c r="G9899" t="inlineStr">
        <is>
          <t>HAGFORS</t>
        </is>
      </c>
      <c r="H9899" t="inlineStr">
        <is>
          <t>Bergvik skog väst AB</t>
        </is>
      </c>
      <c r="I9899" t="n">
        <v>9.699999999999999</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A 36153-2026</t>
        </is>
      </c>
      <c r="B9900" t="inlineStr">
        <is>
          <t>avverkningsanmälan</t>
        </is>
      </c>
      <c r="C9900" t="inlineStr">
        <is>
          <t>Föryngringsavverkning</t>
        </is>
      </c>
      <c r="D9900" s="1" t="n">
        <v>46267</v>
      </c>
      <c r="E9900" s="1" t="n">
        <v>46307</v>
      </c>
      <c r="F9900" t="inlineStr">
        <is>
          <t>VÄRMLANDS LÄN</t>
        </is>
      </c>
      <c r="G9900" t="inlineStr">
        <is>
          <t>TORSBY</t>
        </is>
      </c>
      <c r="I9900" t="n">
        <v>1.1</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A 36240-2026</t>
        </is>
      </c>
      <c r="B9901" t="inlineStr">
        <is>
          <t>avverkningsanmälan</t>
        </is>
      </c>
      <c r="C9901" t="inlineStr">
        <is>
          <t>Föryngringsavverkning</t>
        </is>
      </c>
      <c r="D9901" s="1" t="n">
        <v>46268</v>
      </c>
      <c r="E9901" s="1" t="n">
        <v>46307</v>
      </c>
      <c r="F9901" t="inlineStr">
        <is>
          <t>VÄRMLANDS LÄN</t>
        </is>
      </c>
      <c r="G9901" t="inlineStr">
        <is>
          <t>HAGFORS</t>
        </is>
      </c>
      <c r="H9901" t="inlineStr">
        <is>
          <t>Bergvik skog väst AB</t>
        </is>
      </c>
      <c r="I9901" t="n">
        <v>8.800000000000001</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A 31672-2026</t>
        </is>
      </c>
      <c r="B9902" t="inlineStr">
        <is>
          <t>avverkningsanmälan</t>
        </is>
      </c>
      <c r="C9902" t="inlineStr">
        <is>
          <t>Föryngringsavverkning</t>
        </is>
      </c>
      <c r="D9902" s="1" t="n">
        <v>46225</v>
      </c>
      <c r="E9902" s="1" t="n">
        <v>46307</v>
      </c>
      <c r="F9902" t="inlineStr">
        <is>
          <t>VÄRMLANDS LÄN</t>
        </is>
      </c>
      <c r="G9902" t="inlineStr">
        <is>
          <t>HAGFORS</t>
        </is>
      </c>
      <c r="I9902" t="n">
        <v>2.9</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A 36066-2026</t>
        </is>
      </c>
      <c r="B9903" t="inlineStr">
        <is>
          <t>avverkningsanmälan</t>
        </is>
      </c>
      <c r="C9903" t="inlineStr">
        <is>
          <t>Föryngringsavverkning</t>
        </is>
      </c>
      <c r="D9903" s="1" t="n">
        <v>46267</v>
      </c>
      <c r="E9903" s="1" t="n">
        <v>46307</v>
      </c>
      <c r="F9903" t="inlineStr">
        <is>
          <t>VÄRMLANDS LÄN</t>
        </is>
      </c>
      <c r="G9903" t="inlineStr">
        <is>
          <t>EDA</t>
        </is>
      </c>
      <c r="I9903" t="n">
        <v>1.9</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A 36060-2026</t>
        </is>
      </c>
      <c r="B9904" t="inlineStr">
        <is>
          <t>avverkningsanmälan</t>
        </is>
      </c>
      <c r="C9904" t="inlineStr">
        <is>
          <t>Föryngringsavverkning</t>
        </is>
      </c>
      <c r="D9904" s="1" t="n">
        <v>46267</v>
      </c>
      <c r="E9904" s="1" t="n">
        <v>46307</v>
      </c>
      <c r="F9904" t="inlineStr">
        <is>
          <t>VÄRMLANDS LÄN</t>
        </is>
      </c>
      <c r="G9904" t="inlineStr">
        <is>
          <t>ÅRJÄNG</t>
        </is>
      </c>
      <c r="I9904" t="n">
        <v>6.1</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A 36297-2026</t>
        </is>
      </c>
      <c r="B9905" t="inlineStr">
        <is>
          <t>avverkningsanmälan</t>
        </is>
      </c>
      <c r="C9905" t="inlineStr">
        <is>
          <t>Föryngringsavverkning</t>
        </is>
      </c>
      <c r="D9905" s="1" t="n">
        <v>46268</v>
      </c>
      <c r="E9905" s="1" t="n">
        <v>46307</v>
      </c>
      <c r="F9905" t="inlineStr">
        <is>
          <t>VÄRMLANDS LÄN</t>
        </is>
      </c>
      <c r="G9905" t="inlineStr">
        <is>
          <t>FILIPSTAD</t>
        </is>
      </c>
      <c r="H9905" t="inlineStr">
        <is>
          <t>Bergvik skog väst AB</t>
        </is>
      </c>
      <c r="I9905" t="n">
        <v>13.1</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A 31671-2026</t>
        </is>
      </c>
      <c r="B9906" t="inlineStr">
        <is>
          <t>avverkningsanmälan</t>
        </is>
      </c>
      <c r="C9906" t="inlineStr">
        <is>
          <t>Föryngringsavverkning</t>
        </is>
      </c>
      <c r="D9906" s="1" t="n">
        <v>46225</v>
      </c>
      <c r="E9906" s="1" t="n">
        <v>46307</v>
      </c>
      <c r="F9906" t="inlineStr">
        <is>
          <t>VÄRMLANDS LÄN</t>
        </is>
      </c>
      <c r="G9906" t="inlineStr">
        <is>
          <t>HAGFORS</t>
        </is>
      </c>
      <c r="I9906" t="n">
        <v>3.2</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A 36180-2026</t>
        </is>
      </c>
      <c r="B9907" t="inlineStr">
        <is>
          <t>avverkningsanmälan</t>
        </is>
      </c>
      <c r="C9907" t="inlineStr">
        <is>
          <t>Föryngringsavverkning</t>
        </is>
      </c>
      <c r="D9907" s="1" t="n">
        <v>46267</v>
      </c>
      <c r="E9907" s="1" t="n">
        <v>46307</v>
      </c>
      <c r="F9907" t="inlineStr">
        <is>
          <t>VÄRMLANDS LÄN</t>
        </is>
      </c>
      <c r="G9907" t="inlineStr">
        <is>
          <t>ÅRJÄNG</t>
        </is>
      </c>
      <c r="H9907" t="inlineStr">
        <is>
          <t>Kyrkan</t>
        </is>
      </c>
      <c r="I9907" t="n">
        <v>1.6</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A 36182-2026</t>
        </is>
      </c>
      <c r="B9908" t="inlineStr">
        <is>
          <t>avverkningsanmälan</t>
        </is>
      </c>
      <c r="C9908" t="inlineStr">
        <is>
          <t>Föryngringsavverkning</t>
        </is>
      </c>
      <c r="D9908" s="1" t="n">
        <v>46267</v>
      </c>
      <c r="E9908" s="1" t="n">
        <v>46307</v>
      </c>
      <c r="F9908" t="inlineStr">
        <is>
          <t>VÄRMLANDS LÄN</t>
        </is>
      </c>
      <c r="G9908" t="inlineStr">
        <is>
          <t>TORSBY</t>
        </is>
      </c>
      <c r="H9908" t="inlineStr">
        <is>
          <t>Bergvik skog väst AB</t>
        </is>
      </c>
      <c r="I9908" t="n">
        <v>14.2</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A 36541-2026</t>
        </is>
      </c>
      <c r="B9909" t="inlineStr">
        <is>
          <t>avverkningsanmälan</t>
        </is>
      </c>
      <c r="C9909" t="inlineStr">
        <is>
          <t>Föryngringsavverkning</t>
        </is>
      </c>
      <c r="D9909" s="1" t="n">
        <v>46269</v>
      </c>
      <c r="E9909" s="1" t="n">
        <v>46307</v>
      </c>
      <c r="F9909" t="inlineStr">
        <is>
          <t>VÄRMLANDS LÄN</t>
        </is>
      </c>
      <c r="G9909" t="inlineStr">
        <is>
          <t>ARVIKA</t>
        </is>
      </c>
      <c r="H9909" t="inlineStr">
        <is>
          <t>Bergvik skog väst AB</t>
        </is>
      </c>
      <c r="I9909" t="n">
        <v>1.2</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A 36542-2026</t>
        </is>
      </c>
      <c r="B9910" t="inlineStr">
        <is>
          <t>avverkningsanmälan</t>
        </is>
      </c>
      <c r="C9910" t="inlineStr">
        <is>
          <t>Föryngringsavverkning</t>
        </is>
      </c>
      <c r="D9910" s="1" t="n">
        <v>46269</v>
      </c>
      <c r="E9910" s="1" t="n">
        <v>46307</v>
      </c>
      <c r="F9910" t="inlineStr">
        <is>
          <t>VÄRMLANDS LÄN</t>
        </is>
      </c>
      <c r="G9910" t="inlineStr">
        <is>
          <t>HAGFORS</t>
        </is>
      </c>
      <c r="H9910" t="inlineStr">
        <is>
          <t>Bergvik skog väst AB</t>
        </is>
      </c>
      <c r="I9910" t="n">
        <v>4.4</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A 36211-2026</t>
        </is>
      </c>
      <c r="B9911" t="inlineStr">
        <is>
          <t>avverkningsanmälan</t>
        </is>
      </c>
      <c r="C9911" t="inlineStr">
        <is>
          <t>Föryngringsavverkning</t>
        </is>
      </c>
      <c r="D9911" s="1" t="n">
        <v>46267</v>
      </c>
      <c r="E9911" s="1" t="n">
        <v>46307</v>
      </c>
      <c r="F9911" t="inlineStr">
        <is>
          <t>VÄRMLANDS LÄN</t>
        </is>
      </c>
      <c r="G9911" t="inlineStr">
        <is>
          <t>SUNNE</t>
        </is>
      </c>
      <c r="H9911" t="inlineStr">
        <is>
          <t>Bergvik skog väst AB</t>
        </is>
      </c>
      <c r="I9911" t="n">
        <v>11.7</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A 36213-2026</t>
        </is>
      </c>
      <c r="B9912" t="inlineStr">
        <is>
          <t>avverkningsanmälan</t>
        </is>
      </c>
      <c r="C9912" t="inlineStr">
        <is>
          <t>Föryngringsavverkning</t>
        </is>
      </c>
      <c r="D9912" s="1" t="n">
        <v>46267</v>
      </c>
      <c r="E9912" s="1" t="n">
        <v>46307</v>
      </c>
      <c r="F9912" t="inlineStr">
        <is>
          <t>VÄRMLANDS LÄN</t>
        </is>
      </c>
      <c r="G9912" t="inlineStr">
        <is>
          <t>SUNNE</t>
        </is>
      </c>
      <c r="H9912" t="inlineStr">
        <is>
          <t>Bergvik skog väst AB</t>
        </is>
      </c>
      <c r="I9912" t="n">
        <v>7.2</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A 36841-2026</t>
        </is>
      </c>
      <c r="B9913" t="inlineStr">
        <is>
          <t>avverkningsanmälan</t>
        </is>
      </c>
      <c r="C9913" t="inlineStr">
        <is>
          <t>Föryngringsavverkning</t>
        </is>
      </c>
      <c r="D9913" s="1" t="n">
        <v>46272</v>
      </c>
      <c r="E9913" s="1" t="n">
        <v>46307</v>
      </c>
      <c r="F9913" t="inlineStr">
        <is>
          <t>VÄRMLANDS LÄN</t>
        </is>
      </c>
      <c r="G9913" t="inlineStr">
        <is>
          <t>MUNKFORS</t>
        </is>
      </c>
      <c r="I9913" t="n">
        <v>3.9</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A 36676-2026</t>
        </is>
      </c>
      <c r="B9914" t="inlineStr">
        <is>
          <t>avverkningsanmälan</t>
        </is>
      </c>
      <c r="C9914" t="inlineStr">
        <is>
          <t>Föryngringsavverkning</t>
        </is>
      </c>
      <c r="D9914" s="1" t="n">
        <v>46272</v>
      </c>
      <c r="E9914" s="1" t="n">
        <v>46307</v>
      </c>
      <c r="F9914" t="inlineStr">
        <is>
          <t>VÄRMLANDS LÄN</t>
        </is>
      </c>
      <c r="G9914" t="inlineStr">
        <is>
          <t>HAGFORS</t>
        </is>
      </c>
      <c r="H9914" t="inlineStr">
        <is>
          <t>Bergvik skog väst AB</t>
        </is>
      </c>
      <c r="I9914" t="n">
        <v>0.8</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A 31738-2026</t>
        </is>
      </c>
      <c r="B9915" t="inlineStr">
        <is>
          <t>avverkningsanmälan</t>
        </is>
      </c>
      <c r="C9915" t="inlineStr">
        <is>
          <t>Föryngringsavverkning</t>
        </is>
      </c>
      <c r="D9915" s="1" t="n">
        <v>46227</v>
      </c>
      <c r="E9915" s="1" t="n">
        <v>46307</v>
      </c>
      <c r="F9915" t="inlineStr">
        <is>
          <t>VÄRMLANDS LÄN</t>
        </is>
      </c>
      <c r="G9915" t="inlineStr">
        <is>
          <t>STORFORS</t>
        </is>
      </c>
      <c r="H9915" t="inlineStr">
        <is>
          <t>Bergvik skog väst AB</t>
        </is>
      </c>
      <c r="I9915" t="n">
        <v>2.8</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A 31688-2026</t>
        </is>
      </c>
      <c r="B9916" t="inlineStr">
        <is>
          <t>avverkningsanmälan</t>
        </is>
      </c>
      <c r="C9916" t="inlineStr">
        <is>
          <t>Föryngringsavverkning</t>
        </is>
      </c>
      <c r="D9916" s="1" t="n">
        <v>46226</v>
      </c>
      <c r="E9916" s="1" t="n">
        <v>46307</v>
      </c>
      <c r="F9916" t="inlineStr">
        <is>
          <t>VÄRMLANDS LÄN</t>
        </is>
      </c>
      <c r="G9916" t="inlineStr">
        <is>
          <t>FILIPSTAD</t>
        </is>
      </c>
      <c r="H9916" t="inlineStr">
        <is>
          <t>Bergvik skog väst AB</t>
        </is>
      </c>
      <c r="I9916" t="n">
        <v>14.9</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A 31699-2026</t>
        </is>
      </c>
      <c r="B9917" t="inlineStr">
        <is>
          <t>avverkningsanmälan</t>
        </is>
      </c>
      <c r="C9917" t="inlineStr">
        <is>
          <t>Föryngringsavverkning</t>
        </is>
      </c>
      <c r="D9917" s="1" t="n">
        <v>46226</v>
      </c>
      <c r="E9917" s="1" t="n">
        <v>46307</v>
      </c>
      <c r="F9917" t="inlineStr">
        <is>
          <t>VÄRMLANDS LÄN</t>
        </is>
      </c>
      <c r="G9917" t="inlineStr">
        <is>
          <t>FILIPSTAD</t>
        </is>
      </c>
      <c r="H9917" t="inlineStr">
        <is>
          <t>Bergvik skog väst AB</t>
        </is>
      </c>
      <c r="I9917" t="n">
        <v>20.1</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A 31706-2026</t>
        </is>
      </c>
      <c r="B9918" t="inlineStr">
        <is>
          <t>avverkningsanmälan</t>
        </is>
      </c>
      <c r="C9918" t="inlineStr">
        <is>
          <t>Föryngringsavverkning</t>
        </is>
      </c>
      <c r="D9918" s="1" t="n">
        <v>46226</v>
      </c>
      <c r="E9918" s="1" t="n">
        <v>46307</v>
      </c>
      <c r="F9918" t="inlineStr">
        <is>
          <t>VÄRMLANDS LÄN</t>
        </is>
      </c>
      <c r="G9918" t="inlineStr">
        <is>
          <t>FILIPSTAD</t>
        </is>
      </c>
      <c r="H9918" t="inlineStr">
        <is>
          <t>Bergvik skog väst AB</t>
        </is>
      </c>
      <c r="I9918" t="n">
        <v>4.2</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A 31726-2026</t>
        </is>
      </c>
      <c r="B9919" t="inlineStr">
        <is>
          <t>avverkningsanmälan</t>
        </is>
      </c>
      <c r="C9919" t="inlineStr">
        <is>
          <t>Föryngringsavverkning</t>
        </is>
      </c>
      <c r="D9919" s="1" t="n">
        <v>46227</v>
      </c>
      <c r="E9919" s="1" t="n">
        <v>46307</v>
      </c>
      <c r="F9919" t="inlineStr">
        <is>
          <t>VÄRMLANDS LÄN</t>
        </is>
      </c>
      <c r="G9919" t="inlineStr">
        <is>
          <t>FILIPSTAD</t>
        </is>
      </c>
      <c r="H9919" t="inlineStr">
        <is>
          <t>Bergvik skog väst AB</t>
        </is>
      </c>
      <c r="I9919" t="n">
        <v>4.3</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A 31680-2026</t>
        </is>
      </c>
      <c r="B9920" t="inlineStr">
        <is>
          <t>avverkningsanmälan</t>
        </is>
      </c>
      <c r="C9920" t="inlineStr">
        <is>
          <t>Föryngringsavverkning</t>
        </is>
      </c>
      <c r="D9920" s="1" t="n">
        <v>46226</v>
      </c>
      <c r="E9920" s="1" t="n">
        <v>46307</v>
      </c>
      <c r="F9920" t="inlineStr">
        <is>
          <t>VÄRMLANDS LÄN</t>
        </is>
      </c>
      <c r="G9920" t="inlineStr">
        <is>
          <t>TORSBY</t>
        </is>
      </c>
      <c r="H9920" t="inlineStr">
        <is>
          <t>Bergvik skog väst AB</t>
        </is>
      </c>
      <c r="I9920" t="n">
        <v>4.8</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A 36556-2026</t>
        </is>
      </c>
      <c r="B9921" t="inlineStr">
        <is>
          <t>avverkningsanmälan</t>
        </is>
      </c>
      <c r="C9921" t="inlineStr">
        <is>
          <t>Föryngringsavverkning</t>
        </is>
      </c>
      <c r="D9921" s="1" t="n">
        <v>46269</v>
      </c>
      <c r="E9921" s="1" t="n">
        <v>46307</v>
      </c>
      <c r="F9921" t="inlineStr">
        <is>
          <t>VÄRMLANDS LÄN</t>
        </is>
      </c>
      <c r="G9921" t="inlineStr">
        <is>
          <t>HAGFORS</t>
        </is>
      </c>
      <c r="H9921" t="inlineStr">
        <is>
          <t>Bergvik skog väst AB</t>
        </is>
      </c>
      <c r="I9921" t="n">
        <v>1.8</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A 31746-2026</t>
        </is>
      </c>
      <c r="B9922" t="inlineStr">
        <is>
          <t>avverkningsanmälan</t>
        </is>
      </c>
      <c r="C9922" t="inlineStr">
        <is>
          <t>Föryngringsavverkning</t>
        </is>
      </c>
      <c r="D9922" s="1" t="n">
        <v>46227</v>
      </c>
      <c r="E9922" s="1" t="n">
        <v>46307</v>
      </c>
      <c r="F9922" t="inlineStr">
        <is>
          <t>VÄRMLANDS LÄN</t>
        </is>
      </c>
      <c r="G9922" t="inlineStr">
        <is>
          <t>FILIPSTAD</t>
        </is>
      </c>
      <c r="H9922" t="inlineStr">
        <is>
          <t>Bergvik skog väst AB</t>
        </is>
      </c>
      <c r="I9922" t="n">
        <v>10.4</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A 36531-2026</t>
        </is>
      </c>
      <c r="B9923" t="inlineStr">
        <is>
          <t>avverkningsanmälan</t>
        </is>
      </c>
      <c r="C9923" t="inlineStr">
        <is>
          <t>Föryngringsavverkning</t>
        </is>
      </c>
      <c r="D9923" s="1" t="n">
        <v>46269</v>
      </c>
      <c r="E9923" s="1" t="n">
        <v>46307</v>
      </c>
      <c r="F9923" t="inlineStr">
        <is>
          <t>VÄRMLANDS LÄN</t>
        </is>
      </c>
      <c r="G9923" t="inlineStr">
        <is>
          <t>TORSBY</t>
        </is>
      </c>
      <c r="H9923" t="inlineStr">
        <is>
          <t>Bergvik skog väst AB</t>
        </is>
      </c>
      <c r="I9923" t="n">
        <v>2.2</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A 36443-2026</t>
        </is>
      </c>
      <c r="B9924" t="inlineStr">
        <is>
          <t>avverkningsanmälan</t>
        </is>
      </c>
      <c r="C9924" t="inlineStr">
        <is>
          <t>Föryngringsavverkning</t>
        </is>
      </c>
      <c r="D9924" s="1" t="n">
        <v>46269</v>
      </c>
      <c r="E9924" s="1" t="n">
        <v>46307</v>
      </c>
      <c r="F9924" t="inlineStr">
        <is>
          <t>VÄRMLANDS LÄN</t>
        </is>
      </c>
      <c r="G9924" t="inlineStr">
        <is>
          <t>EDA</t>
        </is>
      </c>
      <c r="I9924" t="n">
        <v>4.4</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A 36446-2026</t>
        </is>
      </c>
      <c r="B9925" t="inlineStr">
        <is>
          <t>avverkningsanmälan</t>
        </is>
      </c>
      <c r="C9925" t="inlineStr">
        <is>
          <t>Föryngringsavverkning</t>
        </is>
      </c>
      <c r="D9925" s="1" t="n">
        <v>46269</v>
      </c>
      <c r="E9925" s="1" t="n">
        <v>46307</v>
      </c>
      <c r="F9925" t="inlineStr">
        <is>
          <t>VÄRMLANDS LÄN</t>
        </is>
      </c>
      <c r="G9925" t="inlineStr">
        <is>
          <t>HAGFORS</t>
        </is>
      </c>
      <c r="H9925" t="inlineStr">
        <is>
          <t>Bergvik skog väst AB</t>
        </is>
      </c>
      <c r="I9925" t="n">
        <v>2.9</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A 36448-2026</t>
        </is>
      </c>
      <c r="B9926" t="inlineStr">
        <is>
          <t>avverkningsanmälan</t>
        </is>
      </c>
      <c r="C9926" t="inlineStr">
        <is>
          <t>Föryngringsavverkning</t>
        </is>
      </c>
      <c r="D9926" s="1" t="n">
        <v>46269</v>
      </c>
      <c r="E9926" s="1" t="n">
        <v>46307</v>
      </c>
      <c r="F9926" t="inlineStr">
        <is>
          <t>VÄRMLANDS LÄN</t>
        </is>
      </c>
      <c r="G9926" t="inlineStr">
        <is>
          <t>HAGFORS</t>
        </is>
      </c>
      <c r="H9926" t="inlineStr">
        <is>
          <t>Bergvik skog väst AB</t>
        </is>
      </c>
      <c r="I9926" t="n">
        <v>5.6</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A 36783-2026</t>
        </is>
      </c>
      <c r="B9927" t="inlineStr">
        <is>
          <t>avverkningsanmälan</t>
        </is>
      </c>
      <c r="C9927" t="inlineStr">
        <is>
          <t>Föryngringsavverkning</t>
        </is>
      </c>
      <c r="D9927" s="1" t="n">
        <v>46272</v>
      </c>
      <c r="E9927" s="1" t="n">
        <v>46307</v>
      </c>
      <c r="F9927" t="inlineStr">
        <is>
          <t>VÄRMLANDS LÄN</t>
        </is>
      </c>
      <c r="G9927" t="inlineStr">
        <is>
          <t>ARVIKA</t>
        </is>
      </c>
      <c r="H9927" t="inlineStr">
        <is>
          <t>Bergvik skog väst AB</t>
        </is>
      </c>
      <c r="I9927" t="n">
        <v>16.5</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A 36214-2026</t>
        </is>
      </c>
      <c r="B9928" t="inlineStr">
        <is>
          <t>avverkningsanmälan</t>
        </is>
      </c>
      <c r="C9928" t="inlineStr">
        <is>
          <t>Föryngringsavverkning</t>
        </is>
      </c>
      <c r="D9928" s="1" t="n">
        <v>46267</v>
      </c>
      <c r="E9928" s="1" t="n">
        <v>46307</v>
      </c>
      <c r="F9928" t="inlineStr">
        <is>
          <t>VÄRMLANDS LÄN</t>
        </is>
      </c>
      <c r="G9928" t="inlineStr">
        <is>
          <t>SUNNE</t>
        </is>
      </c>
      <c r="H9928" t="inlineStr">
        <is>
          <t>Bergvik skog väst AB</t>
        </is>
      </c>
      <c r="I9928" t="n">
        <v>7.2</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A 36215-2026</t>
        </is>
      </c>
      <c r="B9929" t="inlineStr">
        <is>
          <t>avverkningsanmälan</t>
        </is>
      </c>
      <c r="C9929" t="inlineStr">
        <is>
          <t>Föryngringsavverkning</t>
        </is>
      </c>
      <c r="D9929" s="1" t="n">
        <v>46267</v>
      </c>
      <c r="E9929" s="1" t="n">
        <v>46307</v>
      </c>
      <c r="F9929" t="inlineStr">
        <is>
          <t>VÄRMLANDS LÄN</t>
        </is>
      </c>
      <c r="G9929" t="inlineStr">
        <is>
          <t>SUNNE</t>
        </is>
      </c>
      <c r="H9929" t="inlineStr">
        <is>
          <t>Bergvik skog väst AB</t>
        </is>
      </c>
      <c r="I9929" t="n">
        <v>11.7</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A 36221-2026</t>
        </is>
      </c>
      <c r="B9930" t="inlineStr">
        <is>
          <t>avverkningsanmälan</t>
        </is>
      </c>
      <c r="C9930" t="inlineStr">
        <is>
          <t>Föryngringsavverkning</t>
        </is>
      </c>
      <c r="D9930" s="1" t="n">
        <v>46268</v>
      </c>
      <c r="E9930" s="1" t="n">
        <v>46307</v>
      </c>
      <c r="F9930" t="inlineStr">
        <is>
          <t>VÄRMLANDS LÄN</t>
        </is>
      </c>
      <c r="G9930" t="inlineStr">
        <is>
          <t>HAGFORS</t>
        </is>
      </c>
      <c r="H9930" t="inlineStr">
        <is>
          <t>Bergvik skog väst AB</t>
        </is>
      </c>
      <c r="I9930" t="n">
        <v>4.7</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A 36358-2026</t>
        </is>
      </c>
      <c r="B9931" t="inlineStr">
        <is>
          <t>avverkningsanmälan</t>
        </is>
      </c>
      <c r="C9931" t="inlineStr">
        <is>
          <t>Föryngringsavverkning</t>
        </is>
      </c>
      <c r="D9931" s="1" t="n">
        <v>46268</v>
      </c>
      <c r="E9931" s="1" t="n">
        <v>46307</v>
      </c>
      <c r="F9931" t="inlineStr">
        <is>
          <t>VÄRMLANDS LÄN</t>
        </is>
      </c>
      <c r="G9931" t="inlineStr">
        <is>
          <t>TORSBY</t>
        </is>
      </c>
      <c r="H9931" t="inlineStr">
        <is>
          <t>Bergvik skog väst AB</t>
        </is>
      </c>
      <c r="I9931" t="n">
        <v>9.300000000000001</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A 31752-2026</t>
        </is>
      </c>
      <c r="B9932" t="inlineStr">
        <is>
          <t>avverkningsanmälan</t>
        </is>
      </c>
      <c r="C9932" t="inlineStr">
        <is>
          <t>Föryngringsavverkning</t>
        </is>
      </c>
      <c r="D9932" s="1" t="n">
        <v>46227</v>
      </c>
      <c r="E9932" s="1" t="n">
        <v>46307</v>
      </c>
      <c r="F9932" t="inlineStr">
        <is>
          <t>VÄRMLANDS LÄN</t>
        </is>
      </c>
      <c r="G9932" t="inlineStr">
        <is>
          <t>ARVIKA</t>
        </is>
      </c>
      <c r="I9932" t="n">
        <v>2.2</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A 36819-2026</t>
        </is>
      </c>
      <c r="B9933" t="inlineStr">
        <is>
          <t>avverkningsanmälan</t>
        </is>
      </c>
      <c r="C9933" t="inlineStr">
        <is>
          <t>Föryngringsavverkning</t>
        </is>
      </c>
      <c r="D9933" s="1" t="n">
        <v>46272</v>
      </c>
      <c r="E9933" s="1" t="n">
        <v>46307</v>
      </c>
      <c r="F9933" t="inlineStr">
        <is>
          <t>VÄRMLANDS LÄN</t>
        </is>
      </c>
      <c r="G9933" t="inlineStr">
        <is>
          <t>FILIPSTAD</t>
        </is>
      </c>
      <c r="H9933" t="inlineStr">
        <is>
          <t>Bergvik skog väst AB</t>
        </is>
      </c>
      <c r="I9933" t="n">
        <v>7</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A 36721-2026</t>
        </is>
      </c>
      <c r="B9934" t="inlineStr">
        <is>
          <t>avverkningsanmälan</t>
        </is>
      </c>
      <c r="C9934" t="inlineStr">
        <is>
          <t>Föryngringsavverkning</t>
        </is>
      </c>
      <c r="D9934" s="1" t="n">
        <v>46272</v>
      </c>
      <c r="E9934" s="1" t="n">
        <v>46307</v>
      </c>
      <c r="F9934" t="inlineStr">
        <is>
          <t>VÄRMLANDS LÄN</t>
        </is>
      </c>
      <c r="G9934" t="inlineStr">
        <is>
          <t>HAGFORS</t>
        </is>
      </c>
      <c r="H9934" t="inlineStr">
        <is>
          <t>Bergvik skog väst AB</t>
        </is>
      </c>
      <c r="I9934" t="n">
        <v>19</v>
      </c>
      <c r="J9934" t="n">
        <v>0</v>
      </c>
      <c r="K9934" t="n">
        <v>0</v>
      </c>
      <c r="L9934" t="n">
        <v>0</v>
      </c>
      <c r="M9934" t="n">
        <v>0</v>
      </c>
      <c r="N9934" t="n">
        <v>0</v>
      </c>
      <c r="O9934" t="n">
        <v>0</v>
      </c>
      <c r="P9934" t="n">
        <v>0</v>
      </c>
      <c r="Q9934" t="n">
        <v>0</v>
      </c>
      <c r="R9934" t="n">
        <v>0</v>
      </c>
      <c r="S9934" t="n">
        <v>0</v>
      </c>
      <c r="T9934" t="n">
        <v>0</v>
      </c>
      <c r="U9934" t="n">
        <v>0</v>
      </c>
      <c r="V9934" s="2" t="inlineStr"/>
    </row>
    <row r="9935" ht="15" customHeight="1">
      <c r="A9935" t="inlineStr">
        <is>
          <t>A 36417-2026</t>
        </is>
      </c>
      <c r="B9935" t="inlineStr">
        <is>
          <t>avverkningsanmälan</t>
        </is>
      </c>
      <c r="C9935" t="inlineStr">
        <is>
          <t>Föryngringsavverkning</t>
        </is>
      </c>
      <c r="D9935" s="1" t="n">
        <v>46268</v>
      </c>
      <c r="E9935" s="1" t="n">
        <v>46307</v>
      </c>
      <c r="F9935" t="inlineStr">
        <is>
          <t>VÄRMLANDS LÄN</t>
        </is>
      </c>
      <c r="G9935" t="inlineStr">
        <is>
          <t>STORFORS</t>
        </is>
      </c>
      <c r="H9935" t="inlineStr">
        <is>
          <t>Kyrkan</t>
        </is>
      </c>
      <c r="I9935" t="n">
        <v>6.6</v>
      </c>
      <c r="J9935" t="n">
        <v>0</v>
      </c>
      <c r="K9935" t="n">
        <v>0</v>
      </c>
      <c r="L9935" t="n">
        <v>0</v>
      </c>
      <c r="M9935" t="n">
        <v>0</v>
      </c>
      <c r="N9935" t="n">
        <v>0</v>
      </c>
      <c r="O9935" t="n">
        <v>0</v>
      </c>
      <c r="P9935" t="n">
        <v>0</v>
      </c>
      <c r="Q9935" t="n">
        <v>0</v>
      </c>
      <c r="R9935" t="n">
        <v>0</v>
      </c>
      <c r="S9935" t="n">
        <v>0</v>
      </c>
      <c r="T9935" t="n">
        <v>0</v>
      </c>
      <c r="U9935" t="n">
        <v>0</v>
      </c>
      <c r="V9935" s="2" t="inlineStr"/>
    </row>
    <row r="9936" ht="15" customHeight="1">
      <c r="A9936" t="inlineStr">
        <is>
          <t>A 31755-2026</t>
        </is>
      </c>
      <c r="B9936" t="inlineStr">
        <is>
          <t>avverkningsanmälan</t>
        </is>
      </c>
      <c r="C9936" t="inlineStr">
        <is>
          <t>Föryngringsavverkning</t>
        </is>
      </c>
      <c r="D9936" s="1" t="n">
        <v>46227</v>
      </c>
      <c r="E9936" s="1" t="n">
        <v>46307</v>
      </c>
      <c r="F9936" t="inlineStr">
        <is>
          <t>VÄRMLANDS LÄN</t>
        </is>
      </c>
      <c r="G9936" t="inlineStr">
        <is>
          <t>TORSBY</t>
        </is>
      </c>
      <c r="I9936" t="n">
        <v>3</v>
      </c>
      <c r="J9936" t="n">
        <v>0</v>
      </c>
      <c r="K9936" t="n">
        <v>0</v>
      </c>
      <c r="L9936" t="n">
        <v>0</v>
      </c>
      <c r="M9936" t="n">
        <v>0</v>
      </c>
      <c r="N9936" t="n">
        <v>0</v>
      </c>
      <c r="O9936" t="n">
        <v>0</v>
      </c>
      <c r="P9936" t="n">
        <v>0</v>
      </c>
      <c r="Q9936" t="n">
        <v>0</v>
      </c>
      <c r="R9936" t="n">
        <v>0</v>
      </c>
      <c r="S9936" t="n">
        <v>0</v>
      </c>
      <c r="T9936" t="n">
        <v>0</v>
      </c>
      <c r="U9936" t="n">
        <v>0</v>
      </c>
      <c r="V9936" s="2" t="inlineStr"/>
    </row>
    <row r="9937" ht="15" customHeight="1">
      <c r="A9937" t="inlineStr">
        <is>
          <t>A 31756-2026</t>
        </is>
      </c>
      <c r="B9937" t="inlineStr">
        <is>
          <t>avverkningsanmälan</t>
        </is>
      </c>
      <c r="C9937" t="inlineStr">
        <is>
          <t>Föryngringsavverkning</t>
        </is>
      </c>
      <c r="D9937" s="1" t="n">
        <v>46227</v>
      </c>
      <c r="E9937" s="1" t="n">
        <v>46307</v>
      </c>
      <c r="F9937" t="inlineStr">
        <is>
          <t>VÄRMLANDS LÄN</t>
        </is>
      </c>
      <c r="G9937" t="inlineStr">
        <is>
          <t>TORSBY</t>
        </is>
      </c>
      <c r="I9937" t="n">
        <v>1.7</v>
      </c>
      <c r="J9937" t="n">
        <v>0</v>
      </c>
      <c r="K9937" t="n">
        <v>0</v>
      </c>
      <c r="L9937" t="n">
        <v>0</v>
      </c>
      <c r="M9937" t="n">
        <v>0</v>
      </c>
      <c r="N9937" t="n">
        <v>0</v>
      </c>
      <c r="O9937" t="n">
        <v>0</v>
      </c>
      <c r="P9937" t="n">
        <v>0</v>
      </c>
      <c r="Q9937" t="n">
        <v>0</v>
      </c>
      <c r="R9937" t="n">
        <v>0</v>
      </c>
      <c r="S9937" t="n">
        <v>0</v>
      </c>
      <c r="T9937" t="n">
        <v>0</v>
      </c>
      <c r="U9937" t="n">
        <v>0</v>
      </c>
      <c r="V9937" s="2" t="inlineStr"/>
    </row>
    <row r="9938" ht="15" customHeight="1">
      <c r="A9938" t="inlineStr">
        <is>
          <t>A 31757-2026</t>
        </is>
      </c>
      <c r="B9938" t="inlineStr">
        <is>
          <t>avverkningsanmälan</t>
        </is>
      </c>
      <c r="C9938" t="inlineStr">
        <is>
          <t>Föryngringsavverkning</t>
        </is>
      </c>
      <c r="D9938" s="1" t="n">
        <v>46227</v>
      </c>
      <c r="E9938" s="1" t="n">
        <v>46307</v>
      </c>
      <c r="F9938" t="inlineStr">
        <is>
          <t>VÄRMLANDS LÄN</t>
        </is>
      </c>
      <c r="G9938" t="inlineStr">
        <is>
          <t>TORSBY</t>
        </is>
      </c>
      <c r="I9938" t="n">
        <v>0.9</v>
      </c>
      <c r="J9938" t="n">
        <v>0</v>
      </c>
      <c r="K9938" t="n">
        <v>0</v>
      </c>
      <c r="L9938" t="n">
        <v>0</v>
      </c>
      <c r="M9938" t="n">
        <v>0</v>
      </c>
      <c r="N9938" t="n">
        <v>0</v>
      </c>
      <c r="O9938" t="n">
        <v>0</v>
      </c>
      <c r="P9938" t="n">
        <v>0</v>
      </c>
      <c r="Q9938" t="n">
        <v>0</v>
      </c>
      <c r="R9938" t="n">
        <v>0</v>
      </c>
      <c r="S9938" t="n">
        <v>0</v>
      </c>
      <c r="T9938" t="n">
        <v>0</v>
      </c>
      <c r="U9938" t="n">
        <v>0</v>
      </c>
      <c r="V9938" s="2" t="inlineStr"/>
    </row>
    <row r="9939" ht="15" customHeight="1">
      <c r="A9939" t="inlineStr">
        <is>
          <t>A 36712-2026</t>
        </is>
      </c>
      <c r="B9939" t="inlineStr">
        <is>
          <t>avverkningsanmälan</t>
        </is>
      </c>
      <c r="C9939" t="inlineStr">
        <is>
          <t>Föryngringsavverkning</t>
        </is>
      </c>
      <c r="D9939" s="1" t="n">
        <v>46272</v>
      </c>
      <c r="E9939" s="1" t="n">
        <v>46307</v>
      </c>
      <c r="F9939" t="inlineStr">
        <is>
          <t>VÄRMLANDS LÄN</t>
        </is>
      </c>
      <c r="G9939" t="inlineStr">
        <is>
          <t>SUNNE</t>
        </is>
      </c>
      <c r="I9939" t="n">
        <v>4.9</v>
      </c>
      <c r="J9939" t="n">
        <v>0</v>
      </c>
      <c r="K9939" t="n">
        <v>0</v>
      </c>
      <c r="L9939" t="n">
        <v>0</v>
      </c>
      <c r="M9939" t="n">
        <v>0</v>
      </c>
      <c r="N9939" t="n">
        <v>0</v>
      </c>
      <c r="O9939" t="n">
        <v>0</v>
      </c>
      <c r="P9939" t="n">
        <v>0</v>
      </c>
      <c r="Q9939" t="n">
        <v>0</v>
      </c>
      <c r="R9939" t="n">
        <v>0</v>
      </c>
      <c r="S9939" t="n">
        <v>0</v>
      </c>
      <c r="T9939" t="n">
        <v>0</v>
      </c>
      <c r="U9939" t="n">
        <v>0</v>
      </c>
      <c r="V9939" s="2" t="inlineStr"/>
    </row>
    <row r="9940" ht="15" customHeight="1">
      <c r="A9940" t="inlineStr">
        <is>
          <t>A 36497-2026</t>
        </is>
      </c>
      <c r="B9940" t="inlineStr">
        <is>
          <t>avverkningsanmälan</t>
        </is>
      </c>
      <c r="C9940" t="inlineStr">
        <is>
          <t>Föryngringsavverkning</t>
        </is>
      </c>
      <c r="D9940" s="1" t="n">
        <v>46269</v>
      </c>
      <c r="E9940" s="1" t="n">
        <v>46307</v>
      </c>
      <c r="F9940" t="inlineStr">
        <is>
          <t>VÄRMLANDS LÄN</t>
        </is>
      </c>
      <c r="G9940" t="inlineStr">
        <is>
          <t>ARVIKA</t>
        </is>
      </c>
      <c r="I9940" t="n">
        <v>9.6</v>
      </c>
      <c r="J9940" t="n">
        <v>0</v>
      </c>
      <c r="K9940" t="n">
        <v>0</v>
      </c>
      <c r="L9940" t="n">
        <v>0</v>
      </c>
      <c r="M9940" t="n">
        <v>0</v>
      </c>
      <c r="N9940" t="n">
        <v>0</v>
      </c>
      <c r="O9940" t="n">
        <v>0</v>
      </c>
      <c r="P9940" t="n">
        <v>0</v>
      </c>
      <c r="Q9940" t="n">
        <v>0</v>
      </c>
      <c r="R9940" t="n">
        <v>0</v>
      </c>
      <c r="S9940" t="n">
        <v>0</v>
      </c>
      <c r="T9940" t="n">
        <v>0</v>
      </c>
      <c r="U9940" t="n">
        <v>0</v>
      </c>
      <c r="V9940" s="2" t="inlineStr"/>
    </row>
    <row r="9941" ht="15" customHeight="1">
      <c r="A9941" t="inlineStr">
        <is>
          <t>A 36635-2026</t>
        </is>
      </c>
      <c r="B9941" t="inlineStr">
        <is>
          <t>avverkningsanmälan</t>
        </is>
      </c>
      <c r="C9941" t="inlineStr">
        <is>
          <t>Föryngringsavverkning</t>
        </is>
      </c>
      <c r="D9941" s="1" t="n">
        <v>46271</v>
      </c>
      <c r="E9941" s="1" t="n">
        <v>46307</v>
      </c>
      <c r="F9941" t="inlineStr">
        <is>
          <t>VÄRMLANDS LÄN</t>
        </is>
      </c>
      <c r="G9941" t="inlineStr">
        <is>
          <t>TORSBY</t>
        </is>
      </c>
      <c r="I9941" t="n">
        <v>1.5</v>
      </c>
      <c r="J9941" t="n">
        <v>0</v>
      </c>
      <c r="K9941" t="n">
        <v>0</v>
      </c>
      <c r="L9941" t="n">
        <v>0</v>
      </c>
      <c r="M9941" t="n">
        <v>0</v>
      </c>
      <c r="N9941" t="n">
        <v>0</v>
      </c>
      <c r="O9941" t="n">
        <v>0</v>
      </c>
      <c r="P9941" t="n">
        <v>0</v>
      </c>
      <c r="Q9941" t="n">
        <v>0</v>
      </c>
      <c r="R9941" t="n">
        <v>0</v>
      </c>
      <c r="S9941" t="n">
        <v>0</v>
      </c>
      <c r="T9941" t="n">
        <v>0</v>
      </c>
      <c r="U9941" t="n">
        <v>0</v>
      </c>
      <c r="V9941" s="2" t="inlineStr"/>
    </row>
    <row r="9942" ht="15" customHeight="1">
      <c r="A9942" t="inlineStr">
        <is>
          <t>A 36720-2026</t>
        </is>
      </c>
      <c r="B9942" t="inlineStr">
        <is>
          <t>avverkningsanmälan</t>
        </is>
      </c>
      <c r="C9942" t="inlineStr">
        <is>
          <t>Föryngringsavverkning</t>
        </is>
      </c>
      <c r="D9942" s="1" t="n">
        <v>46272</v>
      </c>
      <c r="E9942" s="1" t="n">
        <v>46307</v>
      </c>
      <c r="F9942" t="inlineStr">
        <is>
          <t>VÄRMLANDS LÄN</t>
        </is>
      </c>
      <c r="G9942" t="inlineStr">
        <is>
          <t>KARLSTAD</t>
        </is>
      </c>
      <c r="H9942" t="inlineStr">
        <is>
          <t>Bergvik skog väst AB</t>
        </is>
      </c>
      <c r="I9942" t="n">
        <v>3.5</v>
      </c>
      <c r="J9942" t="n">
        <v>0</v>
      </c>
      <c r="K9942" t="n">
        <v>0</v>
      </c>
      <c r="L9942" t="n">
        <v>0</v>
      </c>
      <c r="M9942" t="n">
        <v>0</v>
      </c>
      <c r="N9942" t="n">
        <v>0</v>
      </c>
      <c r="O9942" t="n">
        <v>0</v>
      </c>
      <c r="P9942" t="n">
        <v>0</v>
      </c>
      <c r="Q9942" t="n">
        <v>0</v>
      </c>
      <c r="R9942" t="n">
        <v>0</v>
      </c>
      <c r="S9942" t="n">
        <v>0</v>
      </c>
      <c r="T9942" t="n">
        <v>0</v>
      </c>
      <c r="U9942" t="n">
        <v>0</v>
      </c>
      <c r="V9942" s="2" t="inlineStr"/>
    </row>
    <row r="9943" ht="15" customHeight="1">
      <c r="A9943" t="inlineStr">
        <is>
          <t>A 36418-2026</t>
        </is>
      </c>
      <c r="B9943" t="inlineStr">
        <is>
          <t>avverkningsanmälan</t>
        </is>
      </c>
      <c r="C9943" t="inlineStr">
        <is>
          <t>Föryngringsavverkning</t>
        </is>
      </c>
      <c r="D9943" s="1" t="n">
        <v>46269</v>
      </c>
      <c r="E9943" s="1" t="n">
        <v>46307</v>
      </c>
      <c r="F9943" t="inlineStr">
        <is>
          <t>VÄRMLANDS LÄN</t>
        </is>
      </c>
      <c r="G9943" t="inlineStr">
        <is>
          <t>SUNNE</t>
        </is>
      </c>
      <c r="H9943" t="inlineStr">
        <is>
          <t>Kommuner</t>
        </is>
      </c>
      <c r="I9943" t="n">
        <v>1.7</v>
      </c>
      <c r="J9943" t="n">
        <v>0</v>
      </c>
      <c r="K9943" t="n">
        <v>0</v>
      </c>
      <c r="L9943" t="n">
        <v>0</v>
      </c>
      <c r="M9943" t="n">
        <v>0</v>
      </c>
      <c r="N9943" t="n">
        <v>0</v>
      </c>
      <c r="O9943" t="n">
        <v>0</v>
      </c>
      <c r="P9943" t="n">
        <v>0</v>
      </c>
      <c r="Q9943" t="n">
        <v>0</v>
      </c>
      <c r="R9943" t="n">
        <v>0</v>
      </c>
      <c r="S9943" t="n">
        <v>0</v>
      </c>
      <c r="T9943" t="n">
        <v>0</v>
      </c>
      <c r="U9943" t="n">
        <v>0</v>
      </c>
      <c r="V9943" s="2" t="inlineStr"/>
    </row>
    <row r="9944" ht="15" customHeight="1">
      <c r="A9944" t="inlineStr">
        <is>
          <t>A 36662-2026</t>
        </is>
      </c>
      <c r="B9944" t="inlineStr">
        <is>
          <t>avverkningsanmälan</t>
        </is>
      </c>
      <c r="C9944" t="inlineStr">
        <is>
          <t>Föryngringsavverkning</t>
        </is>
      </c>
      <c r="D9944" s="1" t="n">
        <v>46272</v>
      </c>
      <c r="E9944" s="1" t="n">
        <v>46307</v>
      </c>
      <c r="F9944" t="inlineStr">
        <is>
          <t>VÄRMLANDS LÄN</t>
        </is>
      </c>
      <c r="G9944" t="inlineStr">
        <is>
          <t>TORSBY</t>
        </is>
      </c>
      <c r="I9944" t="n">
        <v>6.8</v>
      </c>
      <c r="J9944" t="n">
        <v>0</v>
      </c>
      <c r="K9944" t="n">
        <v>0</v>
      </c>
      <c r="L9944" t="n">
        <v>0</v>
      </c>
      <c r="M9944" t="n">
        <v>0</v>
      </c>
      <c r="N9944" t="n">
        <v>0</v>
      </c>
      <c r="O9944" t="n">
        <v>0</v>
      </c>
      <c r="P9944" t="n">
        <v>0</v>
      </c>
      <c r="Q9944" t="n">
        <v>0</v>
      </c>
      <c r="R9944" t="n">
        <v>0</v>
      </c>
      <c r="S9944" t="n">
        <v>0</v>
      </c>
      <c r="T9944" t="n">
        <v>0</v>
      </c>
      <c r="U9944" t="n">
        <v>0</v>
      </c>
      <c r="V9944" s="2" t="inlineStr"/>
    </row>
    <row r="9945" ht="15" customHeight="1">
      <c r="A9945" t="inlineStr">
        <is>
          <t>A 36620-2026</t>
        </is>
      </c>
      <c r="B9945" t="inlineStr">
        <is>
          <t>avverkningsanmälan</t>
        </is>
      </c>
      <c r="C9945" t="inlineStr">
        <is>
          <t>Föryngringsavverkning</t>
        </is>
      </c>
      <c r="D9945" s="1" t="n">
        <v>46270</v>
      </c>
      <c r="E9945" s="1" t="n">
        <v>46307</v>
      </c>
      <c r="F9945" t="inlineStr">
        <is>
          <t>VÄRMLANDS LÄN</t>
        </is>
      </c>
      <c r="G9945" t="inlineStr">
        <is>
          <t>KARLSTAD</t>
        </is>
      </c>
      <c r="I9945" t="n">
        <v>0.6</v>
      </c>
      <c r="J9945" t="n">
        <v>0</v>
      </c>
      <c r="K9945" t="n">
        <v>0</v>
      </c>
      <c r="L9945" t="n">
        <v>0</v>
      </c>
      <c r="M9945" t="n">
        <v>0</v>
      </c>
      <c r="N9945" t="n">
        <v>0</v>
      </c>
      <c r="O9945" t="n">
        <v>0</v>
      </c>
      <c r="P9945" t="n">
        <v>0</v>
      </c>
      <c r="Q9945" t="n">
        <v>0</v>
      </c>
      <c r="R9945" t="n">
        <v>0</v>
      </c>
      <c r="S9945" t="n">
        <v>0</v>
      </c>
      <c r="T9945" t="n">
        <v>0</v>
      </c>
      <c r="U9945" t="n">
        <v>0</v>
      </c>
      <c r="V9945" s="2" t="inlineStr"/>
    </row>
    <row r="9946" ht="15" customHeight="1">
      <c r="A9946" t="inlineStr">
        <is>
          <t>A 36621-2026</t>
        </is>
      </c>
      <c r="B9946" t="inlineStr">
        <is>
          <t>avverkningsanmälan</t>
        </is>
      </c>
      <c r="C9946" t="inlineStr">
        <is>
          <t>Föryngringsavverkning</t>
        </is>
      </c>
      <c r="D9946" s="1" t="n">
        <v>46270</v>
      </c>
      <c r="E9946" s="1" t="n">
        <v>46307</v>
      </c>
      <c r="F9946" t="inlineStr">
        <is>
          <t>VÄRMLANDS LÄN</t>
        </is>
      </c>
      <c r="G9946" t="inlineStr">
        <is>
          <t>KARLSTAD</t>
        </is>
      </c>
      <c r="I9946" t="n">
        <v>1.9</v>
      </c>
      <c r="J9946" t="n">
        <v>0</v>
      </c>
      <c r="K9946" t="n">
        <v>0</v>
      </c>
      <c r="L9946" t="n">
        <v>0</v>
      </c>
      <c r="M9946" t="n">
        <v>0</v>
      </c>
      <c r="N9946" t="n">
        <v>0</v>
      </c>
      <c r="O9946" t="n">
        <v>0</v>
      </c>
      <c r="P9946" t="n">
        <v>0</v>
      </c>
      <c r="Q9946" t="n">
        <v>0</v>
      </c>
      <c r="R9946" t="n">
        <v>0</v>
      </c>
      <c r="S9946" t="n">
        <v>0</v>
      </c>
      <c r="T9946" t="n">
        <v>0</v>
      </c>
      <c r="U9946" t="n">
        <v>0</v>
      </c>
      <c r="V9946" s="2" t="inlineStr"/>
    </row>
    <row r="9947" ht="15" customHeight="1">
      <c r="A9947" t="inlineStr">
        <is>
          <t>A 36624-2026</t>
        </is>
      </c>
      <c r="B9947" t="inlineStr">
        <is>
          <t>avverkningsanmälan</t>
        </is>
      </c>
      <c r="C9947" t="inlineStr">
        <is>
          <t>Föryngringsavverkning</t>
        </is>
      </c>
      <c r="D9947" s="1" t="n">
        <v>46270</v>
      </c>
      <c r="E9947" s="1" t="n">
        <v>46307</v>
      </c>
      <c r="F9947" t="inlineStr">
        <is>
          <t>VÄRMLANDS LÄN</t>
        </is>
      </c>
      <c r="G9947" t="inlineStr">
        <is>
          <t>TORSBY</t>
        </is>
      </c>
      <c r="I9947" t="n">
        <v>1.6</v>
      </c>
      <c r="J9947" t="n">
        <v>0</v>
      </c>
      <c r="K9947" t="n">
        <v>0</v>
      </c>
      <c r="L9947" t="n">
        <v>0</v>
      </c>
      <c r="M9947" t="n">
        <v>0</v>
      </c>
      <c r="N9947" t="n">
        <v>0</v>
      </c>
      <c r="O9947" t="n">
        <v>0</v>
      </c>
      <c r="P9947" t="n">
        <v>0</v>
      </c>
      <c r="Q9947" t="n">
        <v>0</v>
      </c>
      <c r="R9947" t="n">
        <v>0</v>
      </c>
      <c r="S9947" t="n">
        <v>0</v>
      </c>
      <c r="T9947" t="n">
        <v>0</v>
      </c>
      <c r="U9947" t="n">
        <v>0</v>
      </c>
      <c r="V9947" s="2" t="inlineStr"/>
    </row>
    <row r="9948" ht="15" customHeight="1">
      <c r="A9948" t="inlineStr">
        <is>
          <t>A 36642-2026</t>
        </is>
      </c>
      <c r="B9948" t="inlineStr">
        <is>
          <t>avverkningsanmälan</t>
        </is>
      </c>
      <c r="C9948" t="inlineStr">
        <is>
          <t>Föryngringsavverkning</t>
        </is>
      </c>
      <c r="D9948" s="1" t="n">
        <v>46272</v>
      </c>
      <c r="E9948" s="1" t="n">
        <v>46307</v>
      </c>
      <c r="F9948" t="inlineStr">
        <is>
          <t>VÄRMLANDS LÄN</t>
        </is>
      </c>
      <c r="G9948" t="inlineStr">
        <is>
          <t>HAGFORS</t>
        </is>
      </c>
      <c r="H9948" t="inlineStr">
        <is>
          <t>Bergvik skog väst AB</t>
        </is>
      </c>
      <c r="I9948" t="n">
        <v>8.800000000000001</v>
      </c>
      <c r="J9948" t="n">
        <v>0</v>
      </c>
      <c r="K9948" t="n">
        <v>0</v>
      </c>
      <c r="L9948" t="n">
        <v>0</v>
      </c>
      <c r="M9948" t="n">
        <v>0</v>
      </c>
      <c r="N9948" t="n">
        <v>0</v>
      </c>
      <c r="O9948" t="n">
        <v>0</v>
      </c>
      <c r="P9948" t="n">
        <v>0</v>
      </c>
      <c r="Q9948" t="n">
        <v>0</v>
      </c>
      <c r="R9948" t="n">
        <v>0</v>
      </c>
      <c r="S9948" t="n">
        <v>0</v>
      </c>
      <c r="T9948" t="n">
        <v>0</v>
      </c>
      <c r="U9948" t="n">
        <v>0</v>
      </c>
      <c r="V9948" s="2" t="inlineStr"/>
    </row>
    <row r="9949" ht="15" customHeight="1">
      <c r="A9949" t="inlineStr">
        <is>
          <t>A 36717-2026</t>
        </is>
      </c>
      <c r="B9949" t="inlineStr">
        <is>
          <t>avverkningsanmälan</t>
        </is>
      </c>
      <c r="C9949" t="inlineStr">
        <is>
          <t>Föryngringsavverkning</t>
        </is>
      </c>
      <c r="D9949" s="1" t="n">
        <v>46272</v>
      </c>
      <c r="E9949" s="1" t="n">
        <v>46307</v>
      </c>
      <c r="F9949" t="inlineStr">
        <is>
          <t>VÄRMLANDS LÄN</t>
        </is>
      </c>
      <c r="G9949" t="inlineStr">
        <is>
          <t>SUNNE</t>
        </is>
      </c>
      <c r="I9949" t="n">
        <v>1.5</v>
      </c>
      <c r="J9949" t="n">
        <v>0</v>
      </c>
      <c r="K9949" t="n">
        <v>0</v>
      </c>
      <c r="L9949" t="n">
        <v>0</v>
      </c>
      <c r="M9949" t="n">
        <v>0</v>
      </c>
      <c r="N9949" t="n">
        <v>0</v>
      </c>
      <c r="O9949" t="n">
        <v>0</v>
      </c>
      <c r="P9949" t="n">
        <v>0</v>
      </c>
      <c r="Q9949" t="n">
        <v>0</v>
      </c>
      <c r="R9949" t="n">
        <v>0</v>
      </c>
      <c r="S9949" t="n">
        <v>0</v>
      </c>
      <c r="T9949" t="n">
        <v>0</v>
      </c>
      <c r="U9949" t="n">
        <v>0</v>
      </c>
      <c r="V9949" s="2" t="inlineStr"/>
    </row>
    <row r="9950" ht="15" customHeight="1">
      <c r="A9950" t="inlineStr">
        <is>
          <t>A 36644-2026</t>
        </is>
      </c>
      <c r="B9950" t="inlineStr">
        <is>
          <t>avverkningsanmälan</t>
        </is>
      </c>
      <c r="C9950" t="inlineStr">
        <is>
          <t>Föryngringsavverkning</t>
        </is>
      </c>
      <c r="D9950" s="1" t="n">
        <v>46269</v>
      </c>
      <c r="E9950" s="1" t="n">
        <v>46307</v>
      </c>
      <c r="F9950" t="inlineStr">
        <is>
          <t>VÄRMLANDS LÄN</t>
        </is>
      </c>
      <c r="G9950" t="inlineStr">
        <is>
          <t>ÅRJÄNG</t>
        </is>
      </c>
      <c r="I9950" t="n">
        <v>2.2</v>
      </c>
      <c r="J9950" t="n">
        <v>0</v>
      </c>
      <c r="K9950" t="n">
        <v>0</v>
      </c>
      <c r="L9950" t="n">
        <v>0</v>
      </c>
      <c r="M9950" t="n">
        <v>0</v>
      </c>
      <c r="N9950" t="n">
        <v>0</v>
      </c>
      <c r="O9950" t="n">
        <v>0</v>
      </c>
      <c r="P9950" t="n">
        <v>0</v>
      </c>
      <c r="Q9950" t="n">
        <v>0</v>
      </c>
      <c r="R9950" t="n">
        <v>0</v>
      </c>
      <c r="S9950" t="n">
        <v>0</v>
      </c>
      <c r="T9950" t="n">
        <v>0</v>
      </c>
      <c r="U9950" t="n">
        <v>0</v>
      </c>
      <c r="V9950" s="2" t="inlineStr"/>
    </row>
    <row r="9951" ht="15" customHeight="1">
      <c r="A9951" t="inlineStr">
        <is>
          <t>A 36652-2026</t>
        </is>
      </c>
      <c r="B9951" t="inlineStr">
        <is>
          <t>avverkningsanmälan</t>
        </is>
      </c>
      <c r="C9951" t="inlineStr">
        <is>
          <t>Föryngringsavverkning</t>
        </is>
      </c>
      <c r="D9951" s="1" t="n">
        <v>46272</v>
      </c>
      <c r="E9951" s="1" t="n">
        <v>46307</v>
      </c>
      <c r="F9951" t="inlineStr">
        <is>
          <t>VÄRMLANDS LÄN</t>
        </is>
      </c>
      <c r="G9951" t="inlineStr">
        <is>
          <t>TORSBY</t>
        </is>
      </c>
      <c r="H9951" t="inlineStr">
        <is>
          <t>Bergvik skog väst AB</t>
        </is>
      </c>
      <c r="I9951" t="n">
        <v>4.5</v>
      </c>
      <c r="J9951" t="n">
        <v>0</v>
      </c>
      <c r="K9951" t="n">
        <v>0</v>
      </c>
      <c r="L9951" t="n">
        <v>0</v>
      </c>
      <c r="M9951" t="n">
        <v>0</v>
      </c>
      <c r="N9951" t="n">
        <v>0</v>
      </c>
      <c r="O9951" t="n">
        <v>0</v>
      </c>
      <c r="P9951" t="n">
        <v>0</v>
      </c>
      <c r="Q9951" t="n">
        <v>0</v>
      </c>
      <c r="R9951" t="n">
        <v>0</v>
      </c>
      <c r="S9951" t="n">
        <v>0</v>
      </c>
      <c r="T9951" t="n">
        <v>0</v>
      </c>
      <c r="U9951" t="n">
        <v>0</v>
      </c>
      <c r="V9951" s="2" t="inlineStr"/>
    </row>
    <row r="9952" ht="15" customHeight="1">
      <c r="A9952" t="inlineStr">
        <is>
          <t>A 36698-2026</t>
        </is>
      </c>
      <c r="B9952" t="inlineStr">
        <is>
          <t>avverkningsanmälan</t>
        </is>
      </c>
      <c r="C9952" t="inlineStr">
        <is>
          <t>Föryngringsavverkning</t>
        </is>
      </c>
      <c r="D9952" s="1" t="n">
        <v>46272</v>
      </c>
      <c r="E9952" s="1" t="n">
        <v>46307</v>
      </c>
      <c r="F9952" t="inlineStr">
        <is>
          <t>VÄRMLANDS LÄN</t>
        </is>
      </c>
      <c r="G9952" t="inlineStr">
        <is>
          <t>TORSBY</t>
        </is>
      </c>
      <c r="I9952" t="n">
        <v>1.6</v>
      </c>
      <c r="J9952" t="n">
        <v>0</v>
      </c>
      <c r="K9952" t="n">
        <v>0</v>
      </c>
      <c r="L9952" t="n">
        <v>0</v>
      </c>
      <c r="M9952" t="n">
        <v>0</v>
      </c>
      <c r="N9952" t="n">
        <v>0</v>
      </c>
      <c r="O9952" t="n">
        <v>0</v>
      </c>
      <c r="P9952" t="n">
        <v>0</v>
      </c>
      <c r="Q9952" t="n">
        <v>0</v>
      </c>
      <c r="R9952" t="n">
        <v>0</v>
      </c>
      <c r="S9952" t="n">
        <v>0</v>
      </c>
      <c r="T9952" t="n">
        <v>0</v>
      </c>
      <c r="U9952" t="n">
        <v>0</v>
      </c>
      <c r="V9952" s="2" t="inlineStr"/>
    </row>
    <row r="9953" ht="15" customHeight="1">
      <c r="A9953" t="inlineStr">
        <is>
          <t>A 36818-2026</t>
        </is>
      </c>
      <c r="B9953" t="inlineStr">
        <is>
          <t>avverkningsanmälan</t>
        </is>
      </c>
      <c r="C9953" t="inlineStr">
        <is>
          <t>Föryngringsavverkning</t>
        </is>
      </c>
      <c r="D9953" s="1" t="n">
        <v>46272</v>
      </c>
      <c r="E9953" s="1" t="n">
        <v>46307</v>
      </c>
      <c r="F9953" t="inlineStr">
        <is>
          <t>VÄRMLANDS LÄN</t>
        </is>
      </c>
      <c r="G9953" t="inlineStr">
        <is>
          <t>FILIPSTAD</t>
        </is>
      </c>
      <c r="H9953" t="inlineStr">
        <is>
          <t>Bergvik skog väst AB</t>
        </is>
      </c>
      <c r="I9953" t="n">
        <v>4.2</v>
      </c>
      <c r="J9953" t="n">
        <v>0</v>
      </c>
      <c r="K9953" t="n">
        <v>0</v>
      </c>
      <c r="L9953" t="n">
        <v>0</v>
      </c>
      <c r="M9953" t="n">
        <v>0</v>
      </c>
      <c r="N9953" t="n">
        <v>0</v>
      </c>
      <c r="O9953" t="n">
        <v>0</v>
      </c>
      <c r="P9953" t="n">
        <v>0</v>
      </c>
      <c r="Q9953" t="n">
        <v>0</v>
      </c>
      <c r="R9953" t="n">
        <v>0</v>
      </c>
      <c r="S9953" t="n">
        <v>0</v>
      </c>
      <c r="T9953" t="n">
        <v>0</v>
      </c>
      <c r="U9953" t="n">
        <v>0</v>
      </c>
      <c r="V9953" s="2" t="inlineStr"/>
    </row>
    <row r="9954" ht="15" customHeight="1">
      <c r="A9954" t="inlineStr">
        <is>
          <t>A 36469-2026</t>
        </is>
      </c>
      <c r="B9954" t="inlineStr">
        <is>
          <t>avverkningsanmälan</t>
        </is>
      </c>
      <c r="C9954" t="inlineStr">
        <is>
          <t>Föryngringsavverkning</t>
        </is>
      </c>
      <c r="D9954" s="1" t="n">
        <v>46269</v>
      </c>
      <c r="E9954" s="1" t="n">
        <v>46307</v>
      </c>
      <c r="F9954" t="inlineStr">
        <is>
          <t>VÄRMLANDS LÄN</t>
        </is>
      </c>
      <c r="G9954" t="inlineStr">
        <is>
          <t>ARVIKA</t>
        </is>
      </c>
      <c r="I9954" t="n">
        <v>1.6</v>
      </c>
      <c r="J9954" t="n">
        <v>0</v>
      </c>
      <c r="K9954" t="n">
        <v>0</v>
      </c>
      <c r="L9954" t="n">
        <v>0</v>
      </c>
      <c r="M9954" t="n">
        <v>0</v>
      </c>
      <c r="N9954" t="n">
        <v>0</v>
      </c>
      <c r="O9954" t="n">
        <v>0</v>
      </c>
      <c r="P9954" t="n">
        <v>0</v>
      </c>
      <c r="Q9954" t="n">
        <v>0</v>
      </c>
      <c r="R9954" t="n">
        <v>0</v>
      </c>
      <c r="S9954" t="n">
        <v>0</v>
      </c>
      <c r="T9954" t="n">
        <v>0</v>
      </c>
      <c r="U9954" t="n">
        <v>0</v>
      </c>
      <c r="V9954" s="2" t="inlineStr"/>
    </row>
    <row r="9955" ht="15" customHeight="1">
      <c r="A9955" t="inlineStr">
        <is>
          <t>A 36608-2026</t>
        </is>
      </c>
      <c r="B9955" t="inlineStr">
        <is>
          <t>avverkningsanmälan</t>
        </is>
      </c>
      <c r="C9955" t="inlineStr">
        <is>
          <t>Föryngringsavverkning</t>
        </is>
      </c>
      <c r="D9955" s="1" t="n">
        <v>46269</v>
      </c>
      <c r="E9955" s="1" t="n">
        <v>46307</v>
      </c>
      <c r="F9955" t="inlineStr">
        <is>
          <t>VÄRMLANDS LÄN</t>
        </is>
      </c>
      <c r="G9955" t="inlineStr">
        <is>
          <t>SUNNE</t>
        </is>
      </c>
      <c r="H9955" t="inlineStr">
        <is>
          <t>Bergvik skog väst AB</t>
        </is>
      </c>
      <c r="I9955" t="n">
        <v>1.9</v>
      </c>
      <c r="J9955" t="n">
        <v>0</v>
      </c>
      <c r="K9955" t="n">
        <v>0</v>
      </c>
      <c r="L9955" t="n">
        <v>0</v>
      </c>
      <c r="M9955" t="n">
        <v>0</v>
      </c>
      <c r="N9955" t="n">
        <v>0</v>
      </c>
      <c r="O9955" t="n">
        <v>0</v>
      </c>
      <c r="P9955" t="n">
        <v>0</v>
      </c>
      <c r="Q9955" t="n">
        <v>0</v>
      </c>
      <c r="R9955" t="n">
        <v>0</v>
      </c>
      <c r="S9955" t="n">
        <v>0</v>
      </c>
      <c r="T9955" t="n">
        <v>0</v>
      </c>
      <c r="U9955" t="n">
        <v>0</v>
      </c>
      <c r="V9955" s="2" t="inlineStr"/>
    </row>
    <row r="9956" ht="15" customHeight="1">
      <c r="A9956" t="inlineStr">
        <is>
          <t>A 36464-2026</t>
        </is>
      </c>
      <c r="B9956" t="inlineStr">
        <is>
          <t>avverkningsanmälan</t>
        </is>
      </c>
      <c r="C9956" t="inlineStr">
        <is>
          <t>Föryngringsavverkning</t>
        </is>
      </c>
      <c r="D9956" s="1" t="n">
        <v>46269</v>
      </c>
      <c r="E9956" s="1" t="n">
        <v>46307</v>
      </c>
      <c r="F9956" t="inlineStr">
        <is>
          <t>VÄRMLANDS LÄN</t>
        </is>
      </c>
      <c r="G9956" t="inlineStr">
        <is>
          <t>SÄFFLE</t>
        </is>
      </c>
      <c r="I9956" t="n">
        <v>0.7</v>
      </c>
      <c r="J9956" t="n">
        <v>0</v>
      </c>
      <c r="K9956" t="n">
        <v>0</v>
      </c>
      <c r="L9956" t="n">
        <v>0</v>
      </c>
      <c r="M9956" t="n">
        <v>0</v>
      </c>
      <c r="N9956" t="n">
        <v>0</v>
      </c>
      <c r="O9956" t="n">
        <v>0</v>
      </c>
      <c r="P9956" t="n">
        <v>0</v>
      </c>
      <c r="Q9956" t="n">
        <v>0</v>
      </c>
      <c r="R9956" t="n">
        <v>0</v>
      </c>
      <c r="S9956" t="n">
        <v>0</v>
      </c>
      <c r="T9956" t="n">
        <v>0</v>
      </c>
      <c r="U9956" t="n">
        <v>0</v>
      </c>
      <c r="V9956" s="2" t="inlineStr"/>
    </row>
    <row r="9957" ht="15" customHeight="1">
      <c r="A9957" t="inlineStr">
        <is>
          <t>A 36511-2026</t>
        </is>
      </c>
      <c r="B9957" t="inlineStr">
        <is>
          <t>avverkningsanmälan</t>
        </is>
      </c>
      <c r="C9957" t="inlineStr">
        <is>
          <t>Föryngringsavverkning</t>
        </is>
      </c>
      <c r="D9957" s="1" t="n">
        <v>46269</v>
      </c>
      <c r="E9957" s="1" t="n">
        <v>46307</v>
      </c>
      <c r="F9957" t="inlineStr">
        <is>
          <t>VÄRMLANDS LÄN</t>
        </is>
      </c>
      <c r="G9957" t="inlineStr">
        <is>
          <t>ÅRJÄNG</t>
        </is>
      </c>
      <c r="I9957" t="n">
        <v>4.3</v>
      </c>
      <c r="J9957" t="n">
        <v>0</v>
      </c>
      <c r="K9957" t="n">
        <v>0</v>
      </c>
      <c r="L9957" t="n">
        <v>0</v>
      </c>
      <c r="M9957" t="n">
        <v>0</v>
      </c>
      <c r="N9957" t="n">
        <v>0</v>
      </c>
      <c r="O9957" t="n">
        <v>0</v>
      </c>
      <c r="P9957" t="n">
        <v>0</v>
      </c>
      <c r="Q9957" t="n">
        <v>0</v>
      </c>
      <c r="R9957" t="n">
        <v>0</v>
      </c>
      <c r="S9957" t="n">
        <v>0</v>
      </c>
      <c r="T9957" t="n">
        <v>0</v>
      </c>
      <c r="U9957" t="n">
        <v>0</v>
      </c>
      <c r="V9957" s="2" t="inlineStr"/>
    </row>
    <row r="9958" ht="15" customHeight="1">
      <c r="A9958" t="inlineStr">
        <is>
          <t>A 31691-2026</t>
        </is>
      </c>
      <c r="B9958" t="inlineStr">
        <is>
          <t>avverkningsanmälan</t>
        </is>
      </c>
      <c r="C9958" t="inlineStr">
        <is>
          <t>Föryngringsavverkning</t>
        </is>
      </c>
      <c r="D9958" s="1" t="n">
        <v>46226</v>
      </c>
      <c r="E9958" s="1" t="n">
        <v>46307</v>
      </c>
      <c r="F9958" t="inlineStr">
        <is>
          <t>VÄRMLANDS LÄN</t>
        </is>
      </c>
      <c r="G9958" t="inlineStr">
        <is>
          <t>HAGFORS</t>
        </is>
      </c>
      <c r="I9958" t="n">
        <v>1.1</v>
      </c>
      <c r="J9958" t="n">
        <v>0</v>
      </c>
      <c r="K9958" t="n">
        <v>0</v>
      </c>
      <c r="L9958" t="n">
        <v>0</v>
      </c>
      <c r="M9958" t="n">
        <v>0</v>
      </c>
      <c r="N9958" t="n">
        <v>0</v>
      </c>
      <c r="O9958" t="n">
        <v>0</v>
      </c>
      <c r="P9958" t="n">
        <v>0</v>
      </c>
      <c r="Q9958" t="n">
        <v>0</v>
      </c>
      <c r="R9958" t="n">
        <v>0</v>
      </c>
      <c r="S9958" t="n">
        <v>0</v>
      </c>
      <c r="T9958" t="n">
        <v>0</v>
      </c>
      <c r="U9958" t="n">
        <v>0</v>
      </c>
      <c r="V9958" s="2" t="inlineStr"/>
    </row>
    <row r="9959" ht="15" customHeight="1">
      <c r="A9959" t="inlineStr">
        <is>
          <t>A 36456-2026</t>
        </is>
      </c>
      <c r="B9959" t="inlineStr">
        <is>
          <t>avverkningsanmälan</t>
        </is>
      </c>
      <c r="C9959" t="inlineStr">
        <is>
          <t>Föryngringsavverkning</t>
        </is>
      </c>
      <c r="D9959" s="1" t="n">
        <v>46269</v>
      </c>
      <c r="E9959" s="1" t="n">
        <v>46307</v>
      </c>
      <c r="F9959" t="inlineStr">
        <is>
          <t>VÄRMLANDS LÄN</t>
        </is>
      </c>
      <c r="G9959" t="inlineStr">
        <is>
          <t>FILIPSTAD</t>
        </is>
      </c>
      <c r="H9959" t="inlineStr">
        <is>
          <t>Bergvik skog väst AB</t>
        </is>
      </c>
      <c r="I9959" t="n">
        <v>3.8</v>
      </c>
      <c r="J9959" t="n">
        <v>0</v>
      </c>
      <c r="K9959" t="n">
        <v>0</v>
      </c>
      <c r="L9959" t="n">
        <v>0</v>
      </c>
      <c r="M9959" t="n">
        <v>0</v>
      </c>
      <c r="N9959" t="n">
        <v>0</v>
      </c>
      <c r="O9959" t="n">
        <v>0</v>
      </c>
      <c r="P9959" t="n">
        <v>0</v>
      </c>
      <c r="Q9959" t="n">
        <v>0</v>
      </c>
      <c r="R9959" t="n">
        <v>0</v>
      </c>
      <c r="S9959" t="n">
        <v>0</v>
      </c>
      <c r="T9959" t="n">
        <v>0</v>
      </c>
      <c r="U9959" t="n">
        <v>0</v>
      </c>
      <c r="V9959" s="2" t="inlineStr"/>
    </row>
    <row r="9960" ht="15" customHeight="1">
      <c r="A9960" t="inlineStr">
        <is>
          <t>A 36728-2026</t>
        </is>
      </c>
      <c r="B9960" t="inlineStr">
        <is>
          <t>avverkningsanmälan</t>
        </is>
      </c>
      <c r="C9960" t="inlineStr">
        <is>
          <t>Föryngringsavverkning</t>
        </is>
      </c>
      <c r="D9960" s="1" t="n">
        <v>46272</v>
      </c>
      <c r="E9960" s="1" t="n">
        <v>46307</v>
      </c>
      <c r="F9960" t="inlineStr">
        <is>
          <t>VÄRMLANDS LÄN</t>
        </is>
      </c>
      <c r="G9960" t="inlineStr">
        <is>
          <t>HAGFORS</t>
        </is>
      </c>
      <c r="H9960" t="inlineStr">
        <is>
          <t>Kyrkan</t>
        </is>
      </c>
      <c r="I9960" t="n">
        <v>2.4</v>
      </c>
      <c r="J9960" t="n">
        <v>0</v>
      </c>
      <c r="K9960" t="n">
        <v>0</v>
      </c>
      <c r="L9960" t="n">
        <v>0</v>
      </c>
      <c r="M9960" t="n">
        <v>0</v>
      </c>
      <c r="N9960" t="n">
        <v>0</v>
      </c>
      <c r="O9960" t="n">
        <v>0</v>
      </c>
      <c r="P9960" t="n">
        <v>0</v>
      </c>
      <c r="Q9960" t="n">
        <v>0</v>
      </c>
      <c r="R9960" t="n">
        <v>0</v>
      </c>
      <c r="S9960" t="n">
        <v>0</v>
      </c>
      <c r="T9960" t="n">
        <v>0</v>
      </c>
      <c r="U9960" t="n">
        <v>0</v>
      </c>
      <c r="V9960" s="2" t="inlineStr"/>
    </row>
    <row r="9961" ht="15" customHeight="1">
      <c r="A9961" t="inlineStr">
        <is>
          <t>A 36744-2026</t>
        </is>
      </c>
      <c r="B9961" t="inlineStr">
        <is>
          <t>avverkningsanmälan</t>
        </is>
      </c>
      <c r="C9961" t="inlineStr">
        <is>
          <t>Föryngringsavverkning</t>
        </is>
      </c>
      <c r="D9961" s="1" t="n">
        <v>46272</v>
      </c>
      <c r="E9961" s="1" t="n">
        <v>46307</v>
      </c>
      <c r="F9961" t="inlineStr">
        <is>
          <t>VÄRMLANDS LÄN</t>
        </is>
      </c>
      <c r="G9961" t="inlineStr">
        <is>
          <t>FILIPSTAD</t>
        </is>
      </c>
      <c r="I9961" t="n">
        <v>1.6</v>
      </c>
      <c r="J9961" t="n">
        <v>0</v>
      </c>
      <c r="K9961" t="n">
        <v>0</v>
      </c>
      <c r="L9961" t="n">
        <v>0</v>
      </c>
      <c r="M9961" t="n">
        <v>0</v>
      </c>
      <c r="N9961" t="n">
        <v>0</v>
      </c>
      <c r="O9961" t="n">
        <v>0</v>
      </c>
      <c r="P9961" t="n">
        <v>0</v>
      </c>
      <c r="Q9961" t="n">
        <v>0</v>
      </c>
      <c r="R9961" t="n">
        <v>0</v>
      </c>
      <c r="S9961" t="n">
        <v>0</v>
      </c>
      <c r="T9961" t="n">
        <v>0</v>
      </c>
      <c r="U9961" t="n">
        <v>0</v>
      </c>
      <c r="V9961" s="2" t="inlineStr"/>
    </row>
    <row r="9962" ht="15" customHeight="1">
      <c r="A9962" t="inlineStr">
        <is>
          <t>A 36508-2026</t>
        </is>
      </c>
      <c r="B9962" t="inlineStr">
        <is>
          <t>avverkningsanmälan</t>
        </is>
      </c>
      <c r="C9962" t="inlineStr">
        <is>
          <t>Föryngringsavverkning</t>
        </is>
      </c>
      <c r="D9962" s="1" t="n">
        <v>46269</v>
      </c>
      <c r="E9962" s="1" t="n">
        <v>46307</v>
      </c>
      <c r="F9962" t="inlineStr">
        <is>
          <t>VÄRMLANDS LÄN</t>
        </is>
      </c>
      <c r="G9962" t="inlineStr">
        <is>
          <t>FILIPSTAD</t>
        </is>
      </c>
      <c r="H9962" t="inlineStr">
        <is>
          <t>Bergvik skog väst AB</t>
        </is>
      </c>
      <c r="I9962" t="n">
        <v>18.6</v>
      </c>
      <c r="J9962" t="n">
        <v>0</v>
      </c>
      <c r="K9962" t="n">
        <v>0</v>
      </c>
      <c r="L9962" t="n">
        <v>0</v>
      </c>
      <c r="M9962" t="n">
        <v>0</v>
      </c>
      <c r="N9962" t="n">
        <v>0</v>
      </c>
      <c r="O9962" t="n">
        <v>0</v>
      </c>
      <c r="P9962" t="n">
        <v>0</v>
      </c>
      <c r="Q9962" t="n">
        <v>0</v>
      </c>
      <c r="R9962" t="n">
        <v>0</v>
      </c>
      <c r="S9962" t="n">
        <v>0</v>
      </c>
      <c r="T9962" t="n">
        <v>0</v>
      </c>
      <c r="U9962" t="n">
        <v>0</v>
      </c>
      <c r="V9962" s="2" t="inlineStr"/>
    </row>
    <row r="9963" ht="15" customHeight="1">
      <c r="A9963" t="inlineStr">
        <is>
          <t>A 36675-2026</t>
        </is>
      </c>
      <c r="B9963" t="inlineStr">
        <is>
          <t>avverkningsanmälan</t>
        </is>
      </c>
      <c r="C9963" t="inlineStr">
        <is>
          <t>Föryngringsavverkning</t>
        </is>
      </c>
      <c r="D9963" s="1" t="n">
        <v>46272</v>
      </c>
      <c r="E9963" s="1" t="n">
        <v>46307</v>
      </c>
      <c r="F9963" t="inlineStr">
        <is>
          <t>VÄRMLANDS LÄN</t>
        </is>
      </c>
      <c r="G9963" t="inlineStr">
        <is>
          <t>SUNNE</t>
        </is>
      </c>
      <c r="I9963" t="n">
        <v>2.8</v>
      </c>
      <c r="J9963" t="n">
        <v>0</v>
      </c>
      <c r="K9963" t="n">
        <v>0</v>
      </c>
      <c r="L9963" t="n">
        <v>0</v>
      </c>
      <c r="M9963" t="n">
        <v>0</v>
      </c>
      <c r="N9963" t="n">
        <v>0</v>
      </c>
      <c r="O9963" t="n">
        <v>0</v>
      </c>
      <c r="P9963" t="n">
        <v>0</v>
      </c>
      <c r="Q9963" t="n">
        <v>0</v>
      </c>
      <c r="R9963" t="n">
        <v>0</v>
      </c>
      <c r="S9963" t="n">
        <v>0</v>
      </c>
      <c r="T9963" t="n">
        <v>0</v>
      </c>
      <c r="U9963" t="n">
        <v>0</v>
      </c>
      <c r="V9963" s="2" t="inlineStr"/>
    </row>
    <row r="9964" ht="15" customHeight="1">
      <c r="A9964" t="inlineStr">
        <is>
          <t>A 36801-2026</t>
        </is>
      </c>
      <c r="B9964" t="inlineStr">
        <is>
          <t>avverkningsanmälan</t>
        </is>
      </c>
      <c r="C9964" t="inlineStr">
        <is>
          <t>Föryngringsavverkning</t>
        </is>
      </c>
      <c r="D9964" s="1" t="n">
        <v>46272</v>
      </c>
      <c r="E9964" s="1" t="n">
        <v>46307</v>
      </c>
      <c r="F9964" t="inlineStr">
        <is>
          <t>VÄRMLANDS LÄN</t>
        </is>
      </c>
      <c r="G9964" t="inlineStr">
        <is>
          <t>FILIPSTAD</t>
        </is>
      </c>
      <c r="I9964" t="n">
        <v>11.6</v>
      </c>
      <c r="J9964" t="n">
        <v>0</v>
      </c>
      <c r="K9964" t="n">
        <v>0</v>
      </c>
      <c r="L9964" t="n">
        <v>0</v>
      </c>
      <c r="M9964" t="n">
        <v>0</v>
      </c>
      <c r="N9964" t="n">
        <v>0</v>
      </c>
      <c r="O9964" t="n">
        <v>0</v>
      </c>
      <c r="P9964" t="n">
        <v>0</v>
      </c>
      <c r="Q9964" t="n">
        <v>0</v>
      </c>
      <c r="R9964" t="n">
        <v>0</v>
      </c>
      <c r="S9964" t="n">
        <v>0</v>
      </c>
      <c r="T9964" t="n">
        <v>0</v>
      </c>
      <c r="U9964" t="n">
        <v>0</v>
      </c>
      <c r="V9964" s="2" t="inlineStr"/>
    </row>
    <row r="9965" ht="15" customHeight="1">
      <c r="A9965" t="inlineStr">
        <is>
          <t>A 36804-2026</t>
        </is>
      </c>
      <c r="B9965" t="inlineStr">
        <is>
          <t>avverkningsanmälan</t>
        </is>
      </c>
      <c r="C9965" t="inlineStr">
        <is>
          <t>Föryngringsavverkning</t>
        </is>
      </c>
      <c r="D9965" s="1" t="n">
        <v>46272</v>
      </c>
      <c r="E9965" s="1" t="n">
        <v>46307</v>
      </c>
      <c r="F9965" t="inlineStr">
        <is>
          <t>VÄRMLANDS LÄN</t>
        </is>
      </c>
      <c r="G9965" t="inlineStr">
        <is>
          <t>ARVIKA</t>
        </is>
      </c>
      <c r="H9965" t="inlineStr">
        <is>
          <t>Bergvik skog väst AB</t>
        </is>
      </c>
      <c r="I9965" t="n">
        <v>18.5</v>
      </c>
      <c r="J9965" t="n">
        <v>0</v>
      </c>
      <c r="K9965" t="n">
        <v>0</v>
      </c>
      <c r="L9965" t="n">
        <v>0</v>
      </c>
      <c r="M9965" t="n">
        <v>0</v>
      </c>
      <c r="N9965" t="n">
        <v>0</v>
      </c>
      <c r="O9965" t="n">
        <v>0</v>
      </c>
      <c r="P9965" t="n">
        <v>0</v>
      </c>
      <c r="Q9965" t="n">
        <v>0</v>
      </c>
      <c r="R9965" t="n">
        <v>0</v>
      </c>
      <c r="S9965" t="n">
        <v>0</v>
      </c>
      <c r="T9965" t="n">
        <v>0</v>
      </c>
      <c r="U9965" t="n">
        <v>0</v>
      </c>
      <c r="V9965" s="2" t="inlineStr"/>
    </row>
    <row r="9966" ht="15" customHeight="1">
      <c r="A9966" t="inlineStr">
        <is>
          <t>A 36447-2026</t>
        </is>
      </c>
      <c r="B9966" t="inlineStr">
        <is>
          <t>avverkningsanmälan</t>
        </is>
      </c>
      <c r="C9966" t="inlineStr">
        <is>
          <t>Föryngringsavverkning</t>
        </is>
      </c>
      <c r="D9966" s="1" t="n">
        <v>46269</v>
      </c>
      <c r="E9966" s="1" t="n">
        <v>46307</v>
      </c>
      <c r="F9966" t="inlineStr">
        <is>
          <t>VÄRMLANDS LÄN</t>
        </is>
      </c>
      <c r="G9966" t="inlineStr">
        <is>
          <t>HAGFORS</t>
        </is>
      </c>
      <c r="H9966" t="inlineStr">
        <is>
          <t>Bergvik skog väst AB</t>
        </is>
      </c>
      <c r="I9966" t="n">
        <v>14.7</v>
      </c>
      <c r="J9966" t="n">
        <v>0</v>
      </c>
      <c r="K9966" t="n">
        <v>0</v>
      </c>
      <c r="L9966" t="n">
        <v>0</v>
      </c>
      <c r="M9966" t="n">
        <v>0</v>
      </c>
      <c r="N9966" t="n">
        <v>0</v>
      </c>
      <c r="O9966" t="n">
        <v>0</v>
      </c>
      <c r="P9966" t="n">
        <v>0</v>
      </c>
      <c r="Q9966" t="n">
        <v>0</v>
      </c>
      <c r="R9966" t="n">
        <v>0</v>
      </c>
      <c r="S9966" t="n">
        <v>0</v>
      </c>
      <c r="T9966" t="n">
        <v>0</v>
      </c>
      <c r="U9966" t="n">
        <v>0</v>
      </c>
      <c r="V9966" s="2" t="inlineStr"/>
    </row>
    <row r="9967" ht="15" customHeight="1">
      <c r="A9967" t="inlineStr">
        <is>
          <t>A 36482-2026</t>
        </is>
      </c>
      <c r="B9967" t="inlineStr">
        <is>
          <t>avverkningsanmälan</t>
        </is>
      </c>
      <c r="C9967" t="inlineStr">
        <is>
          <t>Föryngringsavverkning</t>
        </is>
      </c>
      <c r="D9967" s="1" t="n">
        <v>46269</v>
      </c>
      <c r="E9967" s="1" t="n">
        <v>46307</v>
      </c>
      <c r="F9967" t="inlineStr">
        <is>
          <t>VÄRMLANDS LÄN</t>
        </is>
      </c>
      <c r="G9967" t="inlineStr">
        <is>
          <t>EDA</t>
        </is>
      </c>
      <c r="I9967" t="n">
        <v>1</v>
      </c>
      <c r="J9967" t="n">
        <v>0</v>
      </c>
      <c r="K9967" t="n">
        <v>0</v>
      </c>
      <c r="L9967" t="n">
        <v>0</v>
      </c>
      <c r="M9967" t="n">
        <v>0</v>
      </c>
      <c r="N9967" t="n">
        <v>0</v>
      </c>
      <c r="O9967" t="n">
        <v>0</v>
      </c>
      <c r="P9967" t="n">
        <v>0</v>
      </c>
      <c r="Q9967" t="n">
        <v>0</v>
      </c>
      <c r="R9967" t="n">
        <v>0</v>
      </c>
      <c r="S9967" t="n">
        <v>0</v>
      </c>
      <c r="T9967" t="n">
        <v>0</v>
      </c>
      <c r="U9967" t="n">
        <v>0</v>
      </c>
      <c r="V9967" s="2" t="inlineStr"/>
    </row>
    <row r="9968" ht="15" customHeight="1">
      <c r="A9968" t="inlineStr">
        <is>
          <t>A 36513-2026</t>
        </is>
      </c>
      <c r="B9968" t="inlineStr">
        <is>
          <t>avverkningsanmälan</t>
        </is>
      </c>
      <c r="C9968" t="inlineStr">
        <is>
          <t>Föryngringsavverkning</t>
        </is>
      </c>
      <c r="D9968" s="1" t="n">
        <v>46269</v>
      </c>
      <c r="E9968" s="1" t="n">
        <v>46307</v>
      </c>
      <c r="F9968" t="inlineStr">
        <is>
          <t>VÄRMLANDS LÄN</t>
        </is>
      </c>
      <c r="G9968" t="inlineStr">
        <is>
          <t>SÄFFLE</t>
        </is>
      </c>
      <c r="I9968" t="n">
        <v>1.9</v>
      </c>
      <c r="J9968" t="n">
        <v>0</v>
      </c>
      <c r="K9968" t="n">
        <v>0</v>
      </c>
      <c r="L9968" t="n">
        <v>0</v>
      </c>
      <c r="M9968" t="n">
        <v>0</v>
      </c>
      <c r="N9968" t="n">
        <v>0</v>
      </c>
      <c r="O9968" t="n">
        <v>0</v>
      </c>
      <c r="P9968" t="n">
        <v>0</v>
      </c>
      <c r="Q9968" t="n">
        <v>0</v>
      </c>
      <c r="R9968" t="n">
        <v>0</v>
      </c>
      <c r="S9968" t="n">
        <v>0</v>
      </c>
      <c r="T9968" t="n">
        <v>0</v>
      </c>
      <c r="U9968" t="n">
        <v>0</v>
      </c>
      <c r="V9968" s="2" t="inlineStr"/>
    </row>
    <row r="9969" ht="15" customHeight="1">
      <c r="A9969" t="inlineStr">
        <is>
          <t>A 36611-2026</t>
        </is>
      </c>
      <c r="B9969" t="inlineStr">
        <is>
          <t>avverkningsanmälan</t>
        </is>
      </c>
      <c r="C9969" t="inlineStr">
        <is>
          <t>Föryngringsavverkning</t>
        </is>
      </c>
      <c r="D9969" s="1" t="n">
        <v>46269</v>
      </c>
      <c r="E9969" s="1" t="n">
        <v>46307</v>
      </c>
      <c r="F9969" t="inlineStr">
        <is>
          <t>VÄRMLANDS LÄN</t>
        </is>
      </c>
      <c r="G9969" t="inlineStr">
        <is>
          <t>SUNNE</t>
        </is>
      </c>
      <c r="H9969" t="inlineStr">
        <is>
          <t>Bergvik skog väst AB</t>
        </is>
      </c>
      <c r="I9969" t="n">
        <v>4.3</v>
      </c>
      <c r="J9969" t="n">
        <v>0</v>
      </c>
      <c r="K9969" t="n">
        <v>0</v>
      </c>
      <c r="L9969" t="n">
        <v>0</v>
      </c>
      <c r="M9969" t="n">
        <v>0</v>
      </c>
      <c r="N9969" t="n">
        <v>0</v>
      </c>
      <c r="O9969" t="n">
        <v>0</v>
      </c>
      <c r="P9969" t="n">
        <v>0</v>
      </c>
      <c r="Q9969" t="n">
        <v>0</v>
      </c>
      <c r="R9969" t="n">
        <v>0</v>
      </c>
      <c r="S9969" t="n">
        <v>0</v>
      </c>
      <c r="T9969" t="n">
        <v>0</v>
      </c>
      <c r="U9969" t="n">
        <v>0</v>
      </c>
      <c r="V9969" s="2" t="inlineStr"/>
    </row>
    <row r="9970" ht="15" customHeight="1">
      <c r="A9970" t="inlineStr">
        <is>
          <t>A 36455-2026</t>
        </is>
      </c>
      <c r="B9970" t="inlineStr">
        <is>
          <t>avverkningsanmälan</t>
        </is>
      </c>
      <c r="C9970" t="inlineStr">
        <is>
          <t>Föryngringsavverkning</t>
        </is>
      </c>
      <c r="D9970" s="1" t="n">
        <v>46269</v>
      </c>
      <c r="E9970" s="1" t="n">
        <v>46307</v>
      </c>
      <c r="F9970" t="inlineStr">
        <is>
          <t>VÄRMLANDS LÄN</t>
        </is>
      </c>
      <c r="G9970" t="inlineStr">
        <is>
          <t>FILIPSTAD</t>
        </is>
      </c>
      <c r="H9970" t="inlineStr">
        <is>
          <t>Bergvik skog väst AB</t>
        </is>
      </c>
      <c r="I9970" t="n">
        <v>16.4</v>
      </c>
      <c r="J9970" t="n">
        <v>0</v>
      </c>
      <c r="K9970" t="n">
        <v>0</v>
      </c>
      <c r="L9970" t="n">
        <v>0</v>
      </c>
      <c r="M9970" t="n">
        <v>0</v>
      </c>
      <c r="N9970" t="n">
        <v>0</v>
      </c>
      <c r="O9970" t="n">
        <v>0</v>
      </c>
      <c r="P9970" t="n">
        <v>0</v>
      </c>
      <c r="Q9970" t="n">
        <v>0</v>
      </c>
      <c r="R9970" t="n">
        <v>0</v>
      </c>
      <c r="S9970" t="n">
        <v>0</v>
      </c>
      <c r="T9970" t="n">
        <v>0</v>
      </c>
      <c r="U9970" t="n">
        <v>0</v>
      </c>
      <c r="V9970" s="2" t="inlineStr"/>
    </row>
    <row r="9971" ht="15" customHeight="1">
      <c r="A9971" t="inlineStr">
        <is>
          <t>A 36458-2026</t>
        </is>
      </c>
      <c r="B9971" t="inlineStr">
        <is>
          <t>avverkningsanmälan</t>
        </is>
      </c>
      <c r="C9971" t="inlineStr">
        <is>
          <t>Föryngringsavverkning</t>
        </is>
      </c>
      <c r="D9971" s="1" t="n">
        <v>46269</v>
      </c>
      <c r="E9971" s="1" t="n">
        <v>46307</v>
      </c>
      <c r="F9971" t="inlineStr">
        <is>
          <t>VÄRMLANDS LÄN</t>
        </is>
      </c>
      <c r="G9971" t="inlineStr">
        <is>
          <t>FILIPSTAD</t>
        </is>
      </c>
      <c r="H9971" t="inlineStr">
        <is>
          <t>Bergvik skog väst AB</t>
        </is>
      </c>
      <c r="I9971" t="n">
        <v>4.2</v>
      </c>
      <c r="J9971" t="n">
        <v>0</v>
      </c>
      <c r="K9971" t="n">
        <v>0</v>
      </c>
      <c r="L9971" t="n">
        <v>0</v>
      </c>
      <c r="M9971" t="n">
        <v>0</v>
      </c>
      <c r="N9971" t="n">
        <v>0</v>
      </c>
      <c r="O9971" t="n">
        <v>0</v>
      </c>
      <c r="P9971" t="n">
        <v>0</v>
      </c>
      <c r="Q9971" t="n">
        <v>0</v>
      </c>
      <c r="R9971" t="n">
        <v>0</v>
      </c>
      <c r="S9971" t="n">
        <v>0</v>
      </c>
      <c r="T9971" t="n">
        <v>0</v>
      </c>
      <c r="U9971" t="n">
        <v>0</v>
      </c>
      <c r="V9971" s="2" t="inlineStr"/>
    </row>
    <row r="9972" ht="15" customHeight="1">
      <c r="A9972" t="inlineStr">
        <is>
          <t>A 31878-2026</t>
        </is>
      </c>
      <c r="B9972" t="inlineStr">
        <is>
          <t>avverkningsanmälan</t>
        </is>
      </c>
      <c r="C9972" t="inlineStr">
        <is>
          <t>Föryngringsavverkning</t>
        </is>
      </c>
      <c r="D9972" s="1" t="n">
        <v>46231</v>
      </c>
      <c r="E9972" s="1" t="n">
        <v>46307</v>
      </c>
      <c r="F9972" t="inlineStr">
        <is>
          <t>VÄRMLANDS LÄN</t>
        </is>
      </c>
      <c r="G9972" t="inlineStr">
        <is>
          <t>SUNNE</t>
        </is>
      </c>
      <c r="I9972" t="n">
        <v>0.8</v>
      </c>
      <c r="J9972" t="n">
        <v>0</v>
      </c>
      <c r="K9972" t="n">
        <v>0</v>
      </c>
      <c r="L9972" t="n">
        <v>0</v>
      </c>
      <c r="M9972" t="n">
        <v>0</v>
      </c>
      <c r="N9972" t="n">
        <v>0</v>
      </c>
      <c r="O9972" t="n">
        <v>0</v>
      </c>
      <c r="P9972" t="n">
        <v>0</v>
      </c>
      <c r="Q9972" t="n">
        <v>0</v>
      </c>
      <c r="R9972" t="n">
        <v>0</v>
      </c>
      <c r="S9972" t="n">
        <v>0</v>
      </c>
      <c r="T9972" t="n">
        <v>0</v>
      </c>
      <c r="U9972" t="n">
        <v>0</v>
      </c>
      <c r="V9972" s="2" t="inlineStr"/>
    </row>
    <row r="9973" ht="15" customHeight="1">
      <c r="A9973" t="inlineStr">
        <is>
          <t>A 31898-2026</t>
        </is>
      </c>
      <c r="B9973" t="inlineStr">
        <is>
          <t>avverkningsanmälan</t>
        </is>
      </c>
      <c r="C9973" t="inlineStr">
        <is>
          <t>Föryngringsavverkning</t>
        </is>
      </c>
      <c r="D9973" s="1" t="n">
        <v>46231</v>
      </c>
      <c r="E9973" s="1" t="n">
        <v>46307</v>
      </c>
      <c r="F9973" t="inlineStr">
        <is>
          <t>VÄRMLANDS LÄN</t>
        </is>
      </c>
      <c r="G9973" t="inlineStr">
        <is>
          <t>SUNNE</t>
        </is>
      </c>
      <c r="I9973" t="n">
        <v>1.8</v>
      </c>
      <c r="J9973" t="n">
        <v>0</v>
      </c>
      <c r="K9973" t="n">
        <v>0</v>
      </c>
      <c r="L9973" t="n">
        <v>0</v>
      </c>
      <c r="M9973" t="n">
        <v>0</v>
      </c>
      <c r="N9973" t="n">
        <v>0</v>
      </c>
      <c r="O9973" t="n">
        <v>0</v>
      </c>
      <c r="P9973" t="n">
        <v>0</v>
      </c>
      <c r="Q9973" t="n">
        <v>0</v>
      </c>
      <c r="R9973" t="n">
        <v>0</v>
      </c>
      <c r="S9973" t="n">
        <v>0</v>
      </c>
      <c r="T9973" t="n">
        <v>0</v>
      </c>
      <c r="U9973" t="n">
        <v>0</v>
      </c>
      <c r="V9973" s="2" t="inlineStr"/>
    </row>
    <row r="9974" ht="15" customHeight="1">
      <c r="A9974" t="inlineStr">
        <is>
          <t>A 31904-2026</t>
        </is>
      </c>
      <c r="B9974" t="inlineStr">
        <is>
          <t>avverkningsanmälan</t>
        </is>
      </c>
      <c r="C9974" t="inlineStr">
        <is>
          <t>Föryngringsavverkning</t>
        </is>
      </c>
      <c r="D9974" s="1" t="n">
        <v>46231</v>
      </c>
      <c r="E9974" s="1" t="n">
        <v>46307</v>
      </c>
      <c r="F9974" t="inlineStr">
        <is>
          <t>VÄRMLANDS LÄN</t>
        </is>
      </c>
      <c r="G9974" t="inlineStr">
        <is>
          <t>TORSBY</t>
        </is>
      </c>
      <c r="I9974" t="n">
        <v>0.7</v>
      </c>
      <c r="J9974" t="n">
        <v>0</v>
      </c>
      <c r="K9974" t="n">
        <v>0</v>
      </c>
      <c r="L9974" t="n">
        <v>0</v>
      </c>
      <c r="M9974" t="n">
        <v>0</v>
      </c>
      <c r="N9974" t="n">
        <v>0</v>
      </c>
      <c r="O9974" t="n">
        <v>0</v>
      </c>
      <c r="P9974" t="n">
        <v>0</v>
      </c>
      <c r="Q9974" t="n">
        <v>0</v>
      </c>
      <c r="R9974" t="n">
        <v>0</v>
      </c>
      <c r="S9974" t="n">
        <v>0</v>
      </c>
      <c r="T9974" t="n">
        <v>0</v>
      </c>
      <c r="U9974" t="n">
        <v>0</v>
      </c>
      <c r="V9974" s="2" t="inlineStr"/>
    </row>
    <row r="9975" ht="15" customHeight="1">
      <c r="A9975" t="inlineStr">
        <is>
          <t>A 31926-2026</t>
        </is>
      </c>
      <c r="B9975" t="inlineStr">
        <is>
          <t>avverkningsanmälan</t>
        </is>
      </c>
      <c r="C9975" t="inlineStr">
        <is>
          <t>Föryngringsavverkning</t>
        </is>
      </c>
      <c r="D9975" s="1" t="n">
        <v>46231</v>
      </c>
      <c r="E9975" s="1" t="n">
        <v>46307</v>
      </c>
      <c r="F9975" t="inlineStr">
        <is>
          <t>VÄRMLANDS LÄN</t>
        </is>
      </c>
      <c r="G9975" t="inlineStr">
        <is>
          <t>ARVIKA</t>
        </is>
      </c>
      <c r="I9975" t="n">
        <v>2.2</v>
      </c>
      <c r="J9975" t="n">
        <v>0</v>
      </c>
      <c r="K9975" t="n">
        <v>0</v>
      </c>
      <c r="L9975" t="n">
        <v>0</v>
      </c>
      <c r="M9975" t="n">
        <v>0</v>
      </c>
      <c r="N9975" t="n">
        <v>0</v>
      </c>
      <c r="O9975" t="n">
        <v>0</v>
      </c>
      <c r="P9975" t="n">
        <v>0</v>
      </c>
      <c r="Q9975" t="n">
        <v>0</v>
      </c>
      <c r="R9975" t="n">
        <v>0</v>
      </c>
      <c r="S9975" t="n">
        <v>0</v>
      </c>
      <c r="T9975" t="n">
        <v>0</v>
      </c>
      <c r="U9975" t="n">
        <v>0</v>
      </c>
      <c r="V9975" s="2" t="inlineStr"/>
    </row>
    <row r="9976" ht="15" customHeight="1">
      <c r="A9976" t="inlineStr">
        <is>
          <t>A 31927-2026</t>
        </is>
      </c>
      <c r="B9976" t="inlineStr">
        <is>
          <t>avverkningsanmälan</t>
        </is>
      </c>
      <c r="C9976" t="inlineStr">
        <is>
          <t>Föryngringsavverkning</t>
        </is>
      </c>
      <c r="D9976" s="1" t="n">
        <v>46231</v>
      </c>
      <c r="E9976" s="1" t="n">
        <v>46307</v>
      </c>
      <c r="F9976" t="inlineStr">
        <is>
          <t>VÄRMLANDS LÄN</t>
        </is>
      </c>
      <c r="G9976" t="inlineStr">
        <is>
          <t>ARVIKA</t>
        </is>
      </c>
      <c r="I9976" t="n">
        <v>1.2</v>
      </c>
      <c r="J9976" t="n">
        <v>0</v>
      </c>
      <c r="K9976" t="n">
        <v>0</v>
      </c>
      <c r="L9976" t="n">
        <v>0</v>
      </c>
      <c r="M9976" t="n">
        <v>0</v>
      </c>
      <c r="N9976" t="n">
        <v>0</v>
      </c>
      <c r="O9976" t="n">
        <v>0</v>
      </c>
      <c r="P9976" t="n">
        <v>0</v>
      </c>
      <c r="Q9976" t="n">
        <v>0</v>
      </c>
      <c r="R9976" t="n">
        <v>0</v>
      </c>
      <c r="S9976" t="n">
        <v>0</v>
      </c>
      <c r="T9976" t="n">
        <v>0</v>
      </c>
      <c r="U9976" t="n">
        <v>0</v>
      </c>
      <c r="V9976" s="2" t="inlineStr"/>
    </row>
    <row r="9977" ht="15" customHeight="1">
      <c r="A9977" t="inlineStr">
        <is>
          <t>A 27078-2026</t>
        </is>
      </c>
      <c r="B9977" t="inlineStr">
        <is>
          <t>avverkningsanmälan</t>
        </is>
      </c>
      <c r="C9977" t="inlineStr">
        <is>
          <t>Föryngringsavverkning</t>
        </is>
      </c>
      <c r="D9977" s="1" t="n">
        <v>46186</v>
      </c>
      <c r="E9977" s="1" t="n">
        <v>46307</v>
      </c>
      <c r="F9977" t="inlineStr">
        <is>
          <t>VÄRMLANDS LÄN</t>
        </is>
      </c>
      <c r="G9977" t="inlineStr">
        <is>
          <t>FILIPSTAD</t>
        </is>
      </c>
      <c r="H9977" t="inlineStr">
        <is>
          <t>Bergvik skog väst AB</t>
        </is>
      </c>
      <c r="I9977" t="n">
        <v>5.6</v>
      </c>
      <c r="J9977" t="n">
        <v>0</v>
      </c>
      <c r="K9977" t="n">
        <v>0</v>
      </c>
      <c r="L9977" t="n">
        <v>0</v>
      </c>
      <c r="M9977" t="n">
        <v>0</v>
      </c>
      <c r="N9977" t="n">
        <v>0</v>
      </c>
      <c r="O9977" t="n">
        <v>0</v>
      </c>
      <c r="P9977" t="n">
        <v>0</v>
      </c>
      <c r="Q9977" t="n">
        <v>0</v>
      </c>
      <c r="R9977" t="n">
        <v>0</v>
      </c>
      <c r="S9977" t="n">
        <v>0</v>
      </c>
      <c r="T9977" t="n">
        <v>0</v>
      </c>
      <c r="U9977" t="n">
        <v>0</v>
      </c>
      <c r="V9977" s="2" t="inlineStr"/>
    </row>
    <row r="9978" ht="15" customHeight="1">
      <c r="A9978" t="inlineStr">
        <is>
          <t>A 31914-2026</t>
        </is>
      </c>
      <c r="B9978" t="inlineStr">
        <is>
          <t>avverkningsanmälan</t>
        </is>
      </c>
      <c r="C9978" t="inlineStr">
        <is>
          <t>Föryngringsavverkning</t>
        </is>
      </c>
      <c r="D9978" s="1" t="n">
        <v>46231</v>
      </c>
      <c r="E9978" s="1" t="n">
        <v>46307</v>
      </c>
      <c r="F9978" t="inlineStr">
        <is>
          <t>VÄRMLANDS LÄN</t>
        </is>
      </c>
      <c r="G9978" t="inlineStr">
        <is>
          <t>FILIPSTAD</t>
        </is>
      </c>
      <c r="H9978" t="inlineStr">
        <is>
          <t>Bergvik skog väst AB</t>
        </is>
      </c>
      <c r="I9978" t="n">
        <v>3.6</v>
      </c>
      <c r="J9978" t="n">
        <v>0</v>
      </c>
      <c r="K9978" t="n">
        <v>0</v>
      </c>
      <c r="L9978" t="n">
        <v>0</v>
      </c>
      <c r="M9978" t="n">
        <v>0</v>
      </c>
      <c r="N9978" t="n">
        <v>0</v>
      </c>
      <c r="O9978" t="n">
        <v>0</v>
      </c>
      <c r="P9978" t="n">
        <v>0</v>
      </c>
      <c r="Q9978" t="n">
        <v>0</v>
      </c>
      <c r="R9978" t="n">
        <v>0</v>
      </c>
      <c r="S9978" t="n">
        <v>0</v>
      </c>
      <c r="T9978" t="n">
        <v>0</v>
      </c>
      <c r="U9978" t="n">
        <v>0</v>
      </c>
      <c r="V9978" s="2" t="inlineStr"/>
    </row>
    <row r="9979" ht="15" customHeight="1">
      <c r="A9979" t="inlineStr">
        <is>
          <t>A 37218-2026</t>
        </is>
      </c>
      <c r="B9979" t="inlineStr">
        <is>
          <t>avverkningsanmälan</t>
        </is>
      </c>
      <c r="C9979" t="inlineStr">
        <is>
          <t>Föryngringsavverkning</t>
        </is>
      </c>
      <c r="D9979" s="1" t="n">
        <v>46274</v>
      </c>
      <c r="E9979" s="1" t="n">
        <v>46307</v>
      </c>
      <c r="F9979" t="inlineStr">
        <is>
          <t>VÄRMLANDS LÄN</t>
        </is>
      </c>
      <c r="G9979" t="inlineStr">
        <is>
          <t>TORSBY</t>
        </is>
      </c>
      <c r="H9979" t="inlineStr">
        <is>
          <t>Bergvik skog väst AB</t>
        </is>
      </c>
      <c r="I9979" t="n">
        <v>3.3</v>
      </c>
      <c r="J9979" t="n">
        <v>0</v>
      </c>
      <c r="K9979" t="n">
        <v>0</v>
      </c>
      <c r="L9979" t="n">
        <v>0</v>
      </c>
      <c r="M9979" t="n">
        <v>0</v>
      </c>
      <c r="N9979" t="n">
        <v>0</v>
      </c>
      <c r="O9979" t="n">
        <v>0</v>
      </c>
      <c r="P9979" t="n">
        <v>0</v>
      </c>
      <c r="Q9979" t="n">
        <v>0</v>
      </c>
      <c r="R9979" t="n">
        <v>0</v>
      </c>
      <c r="S9979" t="n">
        <v>0</v>
      </c>
      <c r="T9979" t="n">
        <v>0</v>
      </c>
      <c r="U9979" t="n">
        <v>0</v>
      </c>
      <c r="V9979" s="2" t="inlineStr"/>
    </row>
    <row r="9980" ht="15" customHeight="1">
      <c r="A9980" t="inlineStr">
        <is>
          <t>A 37221-2026</t>
        </is>
      </c>
      <c r="B9980" t="inlineStr">
        <is>
          <t>avverkningsanmälan</t>
        </is>
      </c>
      <c r="C9980" t="inlineStr">
        <is>
          <t>Föryngringsavverkning</t>
        </is>
      </c>
      <c r="D9980" s="1" t="n">
        <v>46274</v>
      </c>
      <c r="E9980" s="1" t="n">
        <v>46307</v>
      </c>
      <c r="F9980" t="inlineStr">
        <is>
          <t>VÄRMLANDS LÄN</t>
        </is>
      </c>
      <c r="G9980" t="inlineStr">
        <is>
          <t>GRUMS</t>
        </is>
      </c>
      <c r="I9980" t="n">
        <v>2.3</v>
      </c>
      <c r="J9980" t="n">
        <v>0</v>
      </c>
      <c r="K9980" t="n">
        <v>0</v>
      </c>
      <c r="L9980" t="n">
        <v>0</v>
      </c>
      <c r="M9980" t="n">
        <v>0</v>
      </c>
      <c r="N9980" t="n">
        <v>0</v>
      </c>
      <c r="O9980" t="n">
        <v>0</v>
      </c>
      <c r="P9980" t="n">
        <v>0</v>
      </c>
      <c r="Q9980" t="n">
        <v>0</v>
      </c>
      <c r="R9980" t="n">
        <v>0</v>
      </c>
      <c r="S9980" t="n">
        <v>0</v>
      </c>
      <c r="T9980" t="n">
        <v>0</v>
      </c>
      <c r="U9980" t="n">
        <v>0</v>
      </c>
      <c r="V9980" s="2" t="inlineStr"/>
    </row>
    <row r="9981" ht="15" customHeight="1">
      <c r="A9981" t="inlineStr">
        <is>
          <t>A 37222-2026</t>
        </is>
      </c>
      <c r="B9981" t="inlineStr">
        <is>
          <t>avverkningsanmälan</t>
        </is>
      </c>
      <c r="C9981" t="inlineStr">
        <is>
          <t>Föryngringsavverkning</t>
        </is>
      </c>
      <c r="D9981" s="1" t="n">
        <v>46274</v>
      </c>
      <c r="E9981" s="1" t="n">
        <v>46307</v>
      </c>
      <c r="F9981" t="inlineStr">
        <is>
          <t>VÄRMLANDS LÄN</t>
        </is>
      </c>
      <c r="G9981" t="inlineStr">
        <is>
          <t>ÅRJÄNG</t>
        </is>
      </c>
      <c r="I9981" t="n">
        <v>2.6</v>
      </c>
      <c r="J9981" t="n">
        <v>0</v>
      </c>
      <c r="K9981" t="n">
        <v>0</v>
      </c>
      <c r="L9981" t="n">
        <v>0</v>
      </c>
      <c r="M9981" t="n">
        <v>0</v>
      </c>
      <c r="N9981" t="n">
        <v>0</v>
      </c>
      <c r="O9981" t="n">
        <v>0</v>
      </c>
      <c r="P9981" t="n">
        <v>0</v>
      </c>
      <c r="Q9981" t="n">
        <v>0</v>
      </c>
      <c r="R9981" t="n">
        <v>0</v>
      </c>
      <c r="S9981" t="n">
        <v>0</v>
      </c>
      <c r="T9981" t="n">
        <v>0</v>
      </c>
      <c r="U9981" t="n">
        <v>0</v>
      </c>
      <c r="V9981" s="2" t="inlineStr"/>
    </row>
    <row r="9982" ht="15" customHeight="1">
      <c r="A9982" t="inlineStr">
        <is>
          <t>A 31866-2026</t>
        </is>
      </c>
      <c r="B9982" t="inlineStr">
        <is>
          <t>avverkningsanmälan</t>
        </is>
      </c>
      <c r="C9982" t="inlineStr">
        <is>
          <t>Föryngringsavverkning</t>
        </is>
      </c>
      <c r="D9982" s="1" t="n">
        <v>46231</v>
      </c>
      <c r="E9982" s="1" t="n">
        <v>46307</v>
      </c>
      <c r="F9982" t="inlineStr">
        <is>
          <t>VÄRMLANDS LÄN</t>
        </is>
      </c>
      <c r="G9982" t="inlineStr">
        <is>
          <t>TORSBY</t>
        </is>
      </c>
      <c r="H9982" t="inlineStr">
        <is>
          <t>Kyrkan</t>
        </is>
      </c>
      <c r="I9982" t="n">
        <v>7</v>
      </c>
      <c r="J9982" t="n">
        <v>0</v>
      </c>
      <c r="K9982" t="n">
        <v>0</v>
      </c>
      <c r="L9982" t="n">
        <v>0</v>
      </c>
      <c r="M9982" t="n">
        <v>0</v>
      </c>
      <c r="N9982" t="n">
        <v>0</v>
      </c>
      <c r="O9982" t="n">
        <v>0</v>
      </c>
      <c r="P9982" t="n">
        <v>0</v>
      </c>
      <c r="Q9982" t="n">
        <v>0</v>
      </c>
      <c r="R9982" t="n">
        <v>0</v>
      </c>
      <c r="S9982" t="n">
        <v>0</v>
      </c>
      <c r="T9982" t="n">
        <v>0</v>
      </c>
      <c r="U9982" t="n">
        <v>0</v>
      </c>
      <c r="V9982" s="2" t="inlineStr"/>
    </row>
    <row r="9983" ht="15" customHeight="1">
      <c r="A9983" t="inlineStr">
        <is>
          <t>A 31891-2026</t>
        </is>
      </c>
      <c r="B9983" t="inlineStr">
        <is>
          <t>avverkningsanmälan</t>
        </is>
      </c>
      <c r="C9983" t="inlineStr">
        <is>
          <t>Föryngringsavverkning</t>
        </is>
      </c>
      <c r="D9983" s="1" t="n">
        <v>46231</v>
      </c>
      <c r="E9983" s="1" t="n">
        <v>46307</v>
      </c>
      <c r="F9983" t="inlineStr">
        <is>
          <t>VÄRMLANDS LÄN</t>
        </is>
      </c>
      <c r="G9983" t="inlineStr">
        <is>
          <t>SUNNE</t>
        </is>
      </c>
      <c r="I9983" t="n">
        <v>1.5</v>
      </c>
      <c r="J9983" t="n">
        <v>0</v>
      </c>
      <c r="K9983" t="n">
        <v>0</v>
      </c>
      <c r="L9983" t="n">
        <v>0</v>
      </c>
      <c r="M9983" t="n">
        <v>0</v>
      </c>
      <c r="N9983" t="n">
        <v>0</v>
      </c>
      <c r="O9983" t="n">
        <v>0</v>
      </c>
      <c r="P9983" t="n">
        <v>0</v>
      </c>
      <c r="Q9983" t="n">
        <v>0</v>
      </c>
      <c r="R9983" t="n">
        <v>0</v>
      </c>
      <c r="S9983" t="n">
        <v>0</v>
      </c>
      <c r="T9983" t="n">
        <v>0</v>
      </c>
      <c r="U9983" t="n">
        <v>0</v>
      </c>
      <c r="V9983" s="2" t="inlineStr"/>
    </row>
    <row r="9984" ht="15" customHeight="1">
      <c r="A9984" t="inlineStr">
        <is>
          <t>A 36901-2026</t>
        </is>
      </c>
      <c r="B9984" t="inlineStr">
        <is>
          <t>avverkningsanmälan</t>
        </is>
      </c>
      <c r="C9984" t="inlineStr">
        <is>
          <t>Föryngringsavverkning</t>
        </is>
      </c>
      <c r="D9984" s="1" t="n">
        <v>46273</v>
      </c>
      <c r="E9984" s="1" t="n">
        <v>46307</v>
      </c>
      <c r="F9984" t="inlineStr">
        <is>
          <t>VÄRMLANDS LÄN</t>
        </is>
      </c>
      <c r="G9984" t="inlineStr">
        <is>
          <t>ÅRJÄNG</t>
        </is>
      </c>
      <c r="I9984" t="n">
        <v>0.9</v>
      </c>
      <c r="J9984" t="n">
        <v>0</v>
      </c>
      <c r="K9984" t="n">
        <v>0</v>
      </c>
      <c r="L9984" t="n">
        <v>0</v>
      </c>
      <c r="M9984" t="n">
        <v>0</v>
      </c>
      <c r="N9984" t="n">
        <v>0</v>
      </c>
      <c r="O9984" t="n">
        <v>0</v>
      </c>
      <c r="P9984" t="n">
        <v>0</v>
      </c>
      <c r="Q9984" t="n">
        <v>0</v>
      </c>
      <c r="R9984" t="n">
        <v>0</v>
      </c>
      <c r="S9984" t="n">
        <v>0</v>
      </c>
      <c r="T9984" t="n">
        <v>0</v>
      </c>
      <c r="U9984" t="n">
        <v>0</v>
      </c>
      <c r="V9984" s="2" t="inlineStr"/>
    </row>
    <row r="9985" ht="15" customHeight="1">
      <c r="A9985" t="inlineStr">
        <is>
          <t>A 36972-2026</t>
        </is>
      </c>
      <c r="B9985" t="inlineStr">
        <is>
          <t>avverkningsanmälan</t>
        </is>
      </c>
      <c r="C9985" t="inlineStr">
        <is>
          <t>Avverkning för annat ändamål</t>
        </is>
      </c>
      <c r="D9985" s="1" t="n">
        <v>46273</v>
      </c>
      <c r="E9985" s="1" t="n">
        <v>46307</v>
      </c>
      <c r="F9985" t="inlineStr">
        <is>
          <t>VÄRMLANDS LÄN</t>
        </is>
      </c>
      <c r="G9985" t="inlineStr">
        <is>
          <t>SÄFFLE</t>
        </is>
      </c>
      <c r="I9985" t="n">
        <v>1</v>
      </c>
      <c r="J9985" t="n">
        <v>0</v>
      </c>
      <c r="K9985" t="n">
        <v>0</v>
      </c>
      <c r="L9985" t="n">
        <v>0</v>
      </c>
      <c r="M9985" t="n">
        <v>0</v>
      </c>
      <c r="N9985" t="n">
        <v>0</v>
      </c>
      <c r="O9985" t="n">
        <v>0</v>
      </c>
      <c r="P9985" t="n">
        <v>0</v>
      </c>
      <c r="Q9985" t="n">
        <v>0</v>
      </c>
      <c r="R9985" t="n">
        <v>0</v>
      </c>
      <c r="S9985" t="n">
        <v>0</v>
      </c>
      <c r="T9985" t="n">
        <v>0</v>
      </c>
      <c r="U9985" t="n">
        <v>0</v>
      </c>
      <c r="V9985" s="2" t="inlineStr"/>
    </row>
    <row r="9986" ht="15" customHeight="1">
      <c r="A9986" t="inlineStr">
        <is>
          <t>A 37026-2026</t>
        </is>
      </c>
      <c r="B9986" t="inlineStr">
        <is>
          <t>avverkningsanmälan</t>
        </is>
      </c>
      <c r="C9986" t="inlineStr">
        <is>
          <t>Föryngringsavverkning</t>
        </is>
      </c>
      <c r="D9986" s="1" t="n">
        <v>46273</v>
      </c>
      <c r="E9986" s="1" t="n">
        <v>46307</v>
      </c>
      <c r="F9986" t="inlineStr">
        <is>
          <t>VÄRMLANDS LÄN</t>
        </is>
      </c>
      <c r="G9986" t="inlineStr">
        <is>
          <t>SUNNE</t>
        </is>
      </c>
      <c r="I9986" t="n">
        <v>2.3</v>
      </c>
      <c r="J9986" t="n">
        <v>0</v>
      </c>
      <c r="K9986" t="n">
        <v>0</v>
      </c>
      <c r="L9986" t="n">
        <v>0</v>
      </c>
      <c r="M9986" t="n">
        <v>0</v>
      </c>
      <c r="N9986" t="n">
        <v>0</v>
      </c>
      <c r="O9986" t="n">
        <v>0</v>
      </c>
      <c r="P9986" t="n">
        <v>0</v>
      </c>
      <c r="Q9986" t="n">
        <v>0</v>
      </c>
      <c r="R9986" t="n">
        <v>0</v>
      </c>
      <c r="S9986" t="n">
        <v>0</v>
      </c>
      <c r="T9986" t="n">
        <v>0</v>
      </c>
      <c r="U9986" t="n">
        <v>0</v>
      </c>
      <c r="V9986" s="2" t="inlineStr"/>
    </row>
    <row r="9987" ht="15" customHeight="1">
      <c r="A9987" t="inlineStr">
        <is>
          <t>A 37031-2026</t>
        </is>
      </c>
      <c r="B9987" t="inlineStr">
        <is>
          <t>avverkningsanmälan</t>
        </is>
      </c>
      <c r="C9987" t="inlineStr">
        <is>
          <t>Föryngringsavverkning</t>
        </is>
      </c>
      <c r="D9987" s="1" t="n">
        <v>46273</v>
      </c>
      <c r="E9987" s="1" t="n">
        <v>46307</v>
      </c>
      <c r="F9987" t="inlineStr">
        <is>
          <t>VÄRMLANDS LÄN</t>
        </is>
      </c>
      <c r="G9987" t="inlineStr">
        <is>
          <t>SUNNE</t>
        </is>
      </c>
      <c r="I9987" t="n">
        <v>0.8</v>
      </c>
      <c r="J9987" t="n">
        <v>0</v>
      </c>
      <c r="K9987" t="n">
        <v>0</v>
      </c>
      <c r="L9987" t="n">
        <v>0</v>
      </c>
      <c r="M9987" t="n">
        <v>0</v>
      </c>
      <c r="N9987" t="n">
        <v>0</v>
      </c>
      <c r="O9987" t="n">
        <v>0</v>
      </c>
      <c r="P9987" t="n">
        <v>0</v>
      </c>
      <c r="Q9987" t="n">
        <v>0</v>
      </c>
      <c r="R9987" t="n">
        <v>0</v>
      </c>
      <c r="S9987" t="n">
        <v>0</v>
      </c>
      <c r="T9987" t="n">
        <v>0</v>
      </c>
      <c r="U9987" t="n">
        <v>0</v>
      </c>
      <c r="V9987" s="2" t="inlineStr"/>
    </row>
    <row r="9988" ht="15" customHeight="1">
      <c r="A9988" t="inlineStr">
        <is>
          <t>A 37249-2026</t>
        </is>
      </c>
      <c r="B9988" t="inlineStr">
        <is>
          <t>avverkningsanmälan</t>
        </is>
      </c>
      <c r="C9988" t="inlineStr">
        <is>
          <t>Föryngringsavverkning</t>
        </is>
      </c>
      <c r="D9988" s="1" t="n">
        <v>46274</v>
      </c>
      <c r="E9988" s="1" t="n">
        <v>46307</v>
      </c>
      <c r="F9988" t="inlineStr">
        <is>
          <t>VÄRMLANDS LÄN</t>
        </is>
      </c>
      <c r="G9988" t="inlineStr">
        <is>
          <t>FILIPSTAD</t>
        </is>
      </c>
      <c r="H9988" t="inlineStr">
        <is>
          <t>Bergvik skog väst AB</t>
        </is>
      </c>
      <c r="I9988" t="n">
        <v>7.4</v>
      </c>
      <c r="J9988" t="n">
        <v>0</v>
      </c>
      <c r="K9988" t="n">
        <v>0</v>
      </c>
      <c r="L9988" t="n">
        <v>0</v>
      </c>
      <c r="M9988" t="n">
        <v>0</v>
      </c>
      <c r="N9988" t="n">
        <v>0</v>
      </c>
      <c r="O9988" t="n">
        <v>0</v>
      </c>
      <c r="P9988" t="n">
        <v>0</v>
      </c>
      <c r="Q9988" t="n">
        <v>0</v>
      </c>
      <c r="R9988" t="n">
        <v>0</v>
      </c>
      <c r="S9988" t="n">
        <v>0</v>
      </c>
      <c r="T9988" t="n">
        <v>0</v>
      </c>
      <c r="U9988" t="n">
        <v>0</v>
      </c>
      <c r="V9988" s="2" t="inlineStr"/>
    </row>
    <row r="9989" ht="15" customHeight="1">
      <c r="A9989" t="inlineStr">
        <is>
          <t>A 37157-2026</t>
        </is>
      </c>
      <c r="B9989" t="inlineStr">
        <is>
          <t>avverkningsanmälan</t>
        </is>
      </c>
      <c r="C9989" t="inlineStr">
        <is>
          <t>Föryngringsavverkning</t>
        </is>
      </c>
      <c r="D9989" s="1" t="n">
        <v>46274</v>
      </c>
      <c r="E9989" s="1" t="n">
        <v>46307</v>
      </c>
      <c r="F9989" t="inlineStr">
        <is>
          <t>VÄRMLANDS LÄN</t>
        </is>
      </c>
      <c r="G9989" t="inlineStr">
        <is>
          <t>HAGFORS</t>
        </is>
      </c>
      <c r="H9989" t="inlineStr">
        <is>
          <t>Bergvik skog väst AB</t>
        </is>
      </c>
      <c r="I9989" t="n">
        <v>7.1</v>
      </c>
      <c r="J9989" t="n">
        <v>0</v>
      </c>
      <c r="K9989" t="n">
        <v>0</v>
      </c>
      <c r="L9989" t="n">
        <v>0</v>
      </c>
      <c r="M9989" t="n">
        <v>0</v>
      </c>
      <c r="N9989" t="n">
        <v>0</v>
      </c>
      <c r="O9989" t="n">
        <v>0</v>
      </c>
      <c r="P9989" t="n">
        <v>0</v>
      </c>
      <c r="Q9989" t="n">
        <v>0</v>
      </c>
      <c r="R9989" t="n">
        <v>0</v>
      </c>
      <c r="S9989" t="n">
        <v>0</v>
      </c>
      <c r="T9989" t="n">
        <v>0</v>
      </c>
      <c r="U9989" t="n">
        <v>0</v>
      </c>
      <c r="V9989" s="2" t="inlineStr"/>
    </row>
    <row r="9990" ht="15" customHeight="1">
      <c r="A9990" t="inlineStr">
        <is>
          <t>A 37172-2026</t>
        </is>
      </c>
      <c r="B9990" t="inlineStr">
        <is>
          <t>avverkningsanmälan</t>
        </is>
      </c>
      <c r="C9990" t="inlineStr">
        <is>
          <t>Föryngringsavverkning</t>
        </is>
      </c>
      <c r="D9990" s="1" t="n">
        <v>46274</v>
      </c>
      <c r="E9990" s="1" t="n">
        <v>46307</v>
      </c>
      <c r="F9990" t="inlineStr">
        <is>
          <t>VÄRMLANDS LÄN</t>
        </is>
      </c>
      <c r="G9990" t="inlineStr">
        <is>
          <t>HAGFORS</t>
        </is>
      </c>
      <c r="H9990" t="inlineStr">
        <is>
          <t>Bergvik skog väst AB</t>
        </is>
      </c>
      <c r="I9990" t="n">
        <v>8.699999999999999</v>
      </c>
      <c r="J9990" t="n">
        <v>0</v>
      </c>
      <c r="K9990" t="n">
        <v>0</v>
      </c>
      <c r="L9990" t="n">
        <v>0</v>
      </c>
      <c r="M9990" t="n">
        <v>0</v>
      </c>
      <c r="N9990" t="n">
        <v>0</v>
      </c>
      <c r="O9990" t="n">
        <v>0</v>
      </c>
      <c r="P9990" t="n">
        <v>0</v>
      </c>
      <c r="Q9990" t="n">
        <v>0</v>
      </c>
      <c r="R9990" t="n">
        <v>0</v>
      </c>
      <c r="S9990" t="n">
        <v>0</v>
      </c>
      <c r="T9990" t="n">
        <v>0</v>
      </c>
      <c r="U9990" t="n">
        <v>0</v>
      </c>
      <c r="V9990" s="2" t="inlineStr"/>
    </row>
    <row r="9991" ht="15" customHeight="1">
      <c r="A9991" t="inlineStr">
        <is>
          <t>A 37269-2026</t>
        </is>
      </c>
      <c r="B9991" t="inlineStr">
        <is>
          <t>avverkningsanmälan</t>
        </is>
      </c>
      <c r="C9991" t="inlineStr">
        <is>
          <t>Föryngringsavverkning</t>
        </is>
      </c>
      <c r="D9991" s="1" t="n">
        <v>46274</v>
      </c>
      <c r="E9991" s="1" t="n">
        <v>46307</v>
      </c>
      <c r="F9991" t="inlineStr">
        <is>
          <t>VÄRMLANDS LÄN</t>
        </is>
      </c>
      <c r="G9991" t="inlineStr">
        <is>
          <t>HAGFORS</t>
        </is>
      </c>
      <c r="H9991" t="inlineStr">
        <is>
          <t>Bergvik skog väst AB</t>
        </is>
      </c>
      <c r="I9991" t="n">
        <v>3.3</v>
      </c>
      <c r="J9991" t="n">
        <v>0</v>
      </c>
      <c r="K9991" t="n">
        <v>0</v>
      </c>
      <c r="L9991" t="n">
        <v>0</v>
      </c>
      <c r="M9991" t="n">
        <v>0</v>
      </c>
      <c r="N9991" t="n">
        <v>0</v>
      </c>
      <c r="O9991" t="n">
        <v>0</v>
      </c>
      <c r="P9991" t="n">
        <v>0</v>
      </c>
      <c r="Q9991" t="n">
        <v>0</v>
      </c>
      <c r="R9991" t="n">
        <v>0</v>
      </c>
      <c r="S9991" t="n">
        <v>0</v>
      </c>
      <c r="T9991" t="n">
        <v>0</v>
      </c>
      <c r="U9991" t="n">
        <v>0</v>
      </c>
      <c r="V9991" s="2" t="inlineStr"/>
    </row>
    <row r="9992" ht="15" customHeight="1">
      <c r="A9992" t="inlineStr">
        <is>
          <t>A 37140-2026</t>
        </is>
      </c>
      <c r="B9992" t="inlineStr">
        <is>
          <t>avverkningsanmälan</t>
        </is>
      </c>
      <c r="C9992" t="inlineStr">
        <is>
          <t>Föryngringsavverkning</t>
        </is>
      </c>
      <c r="D9992" s="1" t="n">
        <v>46274</v>
      </c>
      <c r="E9992" s="1" t="n">
        <v>46307</v>
      </c>
      <c r="F9992" t="inlineStr">
        <is>
          <t>VÄRMLANDS LÄN</t>
        </is>
      </c>
      <c r="G9992" t="inlineStr">
        <is>
          <t>SUNNE</t>
        </is>
      </c>
      <c r="I9992" t="n">
        <v>1.9</v>
      </c>
      <c r="J9992" t="n">
        <v>0</v>
      </c>
      <c r="K9992" t="n">
        <v>0</v>
      </c>
      <c r="L9992" t="n">
        <v>0</v>
      </c>
      <c r="M9992" t="n">
        <v>0</v>
      </c>
      <c r="N9992" t="n">
        <v>0</v>
      </c>
      <c r="O9992" t="n">
        <v>0</v>
      </c>
      <c r="P9992" t="n">
        <v>0</v>
      </c>
      <c r="Q9992" t="n">
        <v>0</v>
      </c>
      <c r="R9992" t="n">
        <v>0</v>
      </c>
      <c r="S9992" t="n">
        <v>0</v>
      </c>
      <c r="T9992" t="n">
        <v>0</v>
      </c>
      <c r="U9992" t="n">
        <v>0</v>
      </c>
      <c r="V9992" s="2" t="inlineStr"/>
    </row>
    <row r="9993" ht="15" customHeight="1">
      <c r="A9993" t="inlineStr">
        <is>
          <t>A 36796-2026</t>
        </is>
      </c>
      <c r="B9993" t="inlineStr">
        <is>
          <t>avverkningsanmälan</t>
        </is>
      </c>
      <c r="C9993" t="inlineStr">
        <is>
          <t>Föryngringsavverkning</t>
        </is>
      </c>
      <c r="D9993" s="1" t="n">
        <v>46272</v>
      </c>
      <c r="E9993" s="1" t="n">
        <v>46307</v>
      </c>
      <c r="F9993" t="inlineStr">
        <is>
          <t>VÄRMLANDS LÄN</t>
        </is>
      </c>
      <c r="G9993" t="inlineStr">
        <is>
          <t>TORSBY</t>
        </is>
      </c>
      <c r="H9993" t="inlineStr">
        <is>
          <t>Bergvik skog väst AB</t>
        </is>
      </c>
      <c r="I9993" t="n">
        <v>2.5</v>
      </c>
      <c r="J9993" t="n">
        <v>0</v>
      </c>
      <c r="K9993" t="n">
        <v>0</v>
      </c>
      <c r="L9993" t="n">
        <v>0</v>
      </c>
      <c r="M9993" t="n">
        <v>0</v>
      </c>
      <c r="N9993" t="n">
        <v>0</v>
      </c>
      <c r="O9993" t="n">
        <v>0</v>
      </c>
      <c r="P9993" t="n">
        <v>0</v>
      </c>
      <c r="Q9993" t="n">
        <v>0</v>
      </c>
      <c r="R9993" t="n">
        <v>0</v>
      </c>
      <c r="S9993" t="n">
        <v>0</v>
      </c>
      <c r="T9993" t="n">
        <v>0</v>
      </c>
      <c r="U9993" t="n">
        <v>0</v>
      </c>
      <c r="V9993" s="2" t="inlineStr"/>
    </row>
    <row r="9994" ht="15" customHeight="1">
      <c r="A9994" t="inlineStr">
        <is>
          <t>A 37185-2026</t>
        </is>
      </c>
      <c r="B9994" t="inlineStr">
        <is>
          <t>avverkningsanmälan</t>
        </is>
      </c>
      <c r="C9994" t="inlineStr">
        <is>
          <t>Föryngringsavverkning</t>
        </is>
      </c>
      <c r="D9994" s="1" t="n">
        <v>46274</v>
      </c>
      <c r="E9994" s="1" t="n">
        <v>46307</v>
      </c>
      <c r="F9994" t="inlineStr">
        <is>
          <t>VÄRMLANDS LÄN</t>
        </is>
      </c>
      <c r="G9994" t="inlineStr">
        <is>
          <t>KRISTINEHAMN</t>
        </is>
      </c>
      <c r="I9994" t="n">
        <v>1.2</v>
      </c>
      <c r="J9994" t="n">
        <v>0</v>
      </c>
      <c r="K9994" t="n">
        <v>0</v>
      </c>
      <c r="L9994" t="n">
        <v>0</v>
      </c>
      <c r="M9994" t="n">
        <v>0</v>
      </c>
      <c r="N9994" t="n">
        <v>0</v>
      </c>
      <c r="O9994" t="n">
        <v>0</v>
      </c>
      <c r="P9994" t="n">
        <v>0</v>
      </c>
      <c r="Q9994" t="n">
        <v>0</v>
      </c>
      <c r="R9994" t="n">
        <v>0</v>
      </c>
      <c r="S9994" t="n">
        <v>0</v>
      </c>
      <c r="T9994" t="n">
        <v>0</v>
      </c>
      <c r="U9994" t="n">
        <v>0</v>
      </c>
      <c r="V9994" s="2" t="inlineStr"/>
    </row>
    <row r="9995" ht="15" customHeight="1">
      <c r="A9995" t="inlineStr">
        <is>
          <t>A 37105-2026</t>
        </is>
      </c>
      <c r="B9995" t="inlineStr">
        <is>
          <t>avverkningsanmälan</t>
        </is>
      </c>
      <c r="C9995" t="inlineStr">
        <is>
          <t>Föryngringsavverkning</t>
        </is>
      </c>
      <c r="D9995" s="1" t="n">
        <v>46274</v>
      </c>
      <c r="E9995" s="1" t="n">
        <v>46307</v>
      </c>
      <c r="F9995" t="inlineStr">
        <is>
          <t>VÄRMLANDS LÄN</t>
        </is>
      </c>
      <c r="G9995" t="inlineStr">
        <is>
          <t>EDA</t>
        </is>
      </c>
      <c r="I9995" t="n">
        <v>3.8</v>
      </c>
      <c r="J9995" t="n">
        <v>0</v>
      </c>
      <c r="K9995" t="n">
        <v>0</v>
      </c>
      <c r="L9995" t="n">
        <v>0</v>
      </c>
      <c r="M9995" t="n">
        <v>0</v>
      </c>
      <c r="N9995" t="n">
        <v>0</v>
      </c>
      <c r="O9995" t="n">
        <v>0</v>
      </c>
      <c r="P9995" t="n">
        <v>0</v>
      </c>
      <c r="Q9995" t="n">
        <v>0</v>
      </c>
      <c r="R9995" t="n">
        <v>0</v>
      </c>
      <c r="S9995" t="n">
        <v>0</v>
      </c>
      <c r="T9995" t="n">
        <v>0</v>
      </c>
      <c r="U9995" t="n">
        <v>0</v>
      </c>
      <c r="V9995" s="2" t="inlineStr"/>
    </row>
    <row r="9996" ht="15" customHeight="1">
      <c r="A9996" t="inlineStr">
        <is>
          <t>A 36809-2026</t>
        </is>
      </c>
      <c r="B9996" t="inlineStr">
        <is>
          <t>avverkningsanmälan</t>
        </is>
      </c>
      <c r="C9996" t="inlineStr">
        <is>
          <t>Föryngringsavverkning</t>
        </is>
      </c>
      <c r="D9996" s="1" t="n">
        <v>46272</v>
      </c>
      <c r="E9996" s="1" t="n">
        <v>46307</v>
      </c>
      <c r="F9996" t="inlineStr">
        <is>
          <t>VÄRMLANDS LÄN</t>
        </is>
      </c>
      <c r="G9996" t="inlineStr">
        <is>
          <t>TORSBY</t>
        </is>
      </c>
      <c r="H9996" t="inlineStr">
        <is>
          <t>Bergvik skog väst AB</t>
        </is>
      </c>
      <c r="I9996" t="n">
        <v>6.3</v>
      </c>
      <c r="J9996" t="n">
        <v>0</v>
      </c>
      <c r="K9996" t="n">
        <v>0</v>
      </c>
      <c r="L9996" t="n">
        <v>0</v>
      </c>
      <c r="M9996" t="n">
        <v>0</v>
      </c>
      <c r="N9996" t="n">
        <v>0</v>
      </c>
      <c r="O9996" t="n">
        <v>0</v>
      </c>
      <c r="P9996" t="n">
        <v>0</v>
      </c>
      <c r="Q9996" t="n">
        <v>0</v>
      </c>
      <c r="R9996" t="n">
        <v>0</v>
      </c>
      <c r="S9996" t="n">
        <v>0</v>
      </c>
      <c r="T9996" t="n">
        <v>0</v>
      </c>
      <c r="U9996" t="n">
        <v>0</v>
      </c>
      <c r="V9996" s="2" t="inlineStr"/>
    </row>
    <row r="9997" ht="15" customHeight="1">
      <c r="A9997" t="inlineStr">
        <is>
          <t>A 37243-2026</t>
        </is>
      </c>
      <c r="B9997" t="inlineStr">
        <is>
          <t>avverkningsanmälan</t>
        </is>
      </c>
      <c r="C9997" t="inlineStr">
        <is>
          <t>Föryngringsavverkning</t>
        </is>
      </c>
      <c r="D9997" s="1" t="n">
        <v>46274</v>
      </c>
      <c r="E9997" s="1" t="n">
        <v>46307</v>
      </c>
      <c r="F9997" t="inlineStr">
        <is>
          <t>VÄRMLANDS LÄN</t>
        </is>
      </c>
      <c r="G9997" t="inlineStr">
        <is>
          <t>GRUMS</t>
        </is>
      </c>
      <c r="I9997" t="n">
        <v>13.9</v>
      </c>
      <c r="J9997" t="n">
        <v>0</v>
      </c>
      <c r="K9997" t="n">
        <v>0</v>
      </c>
      <c r="L9997" t="n">
        <v>0</v>
      </c>
      <c r="M9997" t="n">
        <v>0</v>
      </c>
      <c r="N9997" t="n">
        <v>0</v>
      </c>
      <c r="O9997" t="n">
        <v>0</v>
      </c>
      <c r="P9997" t="n">
        <v>0</v>
      </c>
      <c r="Q9997" t="n">
        <v>0</v>
      </c>
      <c r="R9997" t="n">
        <v>0</v>
      </c>
      <c r="S9997" t="n">
        <v>0</v>
      </c>
      <c r="T9997" t="n">
        <v>0</v>
      </c>
      <c r="U9997" t="n">
        <v>0</v>
      </c>
      <c r="V9997" s="2" t="inlineStr"/>
    </row>
    <row r="9998" ht="15" customHeight="1">
      <c r="A9998" t="inlineStr">
        <is>
          <t>A 36110-2026</t>
        </is>
      </c>
      <c r="B9998" t="inlineStr">
        <is>
          <t>avverkningsanmälan</t>
        </is>
      </c>
      <c r="C9998" t="inlineStr">
        <is>
          <t>Avverkning för annat ändamål</t>
        </is>
      </c>
      <c r="D9998" s="1" t="n">
        <v>46267</v>
      </c>
      <c r="E9998" s="1" t="n">
        <v>46307</v>
      </c>
      <c r="F9998" t="inlineStr">
        <is>
          <t>VÄRMLANDS LÄN</t>
        </is>
      </c>
      <c r="G9998" t="inlineStr">
        <is>
          <t>HAGFORS</t>
        </is>
      </c>
      <c r="I9998" t="n">
        <v>1.6</v>
      </c>
      <c r="J9998" t="n">
        <v>0</v>
      </c>
      <c r="K9998" t="n">
        <v>0</v>
      </c>
      <c r="L9998" t="n">
        <v>0</v>
      </c>
      <c r="M9998" t="n">
        <v>0</v>
      </c>
      <c r="N9998" t="n">
        <v>0</v>
      </c>
      <c r="O9998" t="n">
        <v>0</v>
      </c>
      <c r="P9998" t="n">
        <v>0</v>
      </c>
      <c r="Q9998" t="n">
        <v>0</v>
      </c>
      <c r="R9998" t="n">
        <v>0</v>
      </c>
      <c r="S9998" t="n">
        <v>0</v>
      </c>
      <c r="T9998" t="n">
        <v>0</v>
      </c>
      <c r="U9998" t="n">
        <v>0</v>
      </c>
      <c r="V9998" s="2" t="inlineStr"/>
    </row>
    <row r="9999" ht="15" customHeight="1">
      <c r="A9999" t="inlineStr">
        <is>
          <t>A 37310-2026</t>
        </is>
      </c>
      <c r="B9999" t="inlineStr">
        <is>
          <t>avverkningsanmälan</t>
        </is>
      </c>
      <c r="C9999" t="inlineStr">
        <is>
          <t>Föryngringsavverkning</t>
        </is>
      </c>
      <c r="D9999" s="1" t="n">
        <v>46274</v>
      </c>
      <c r="E9999" s="1" t="n">
        <v>46307</v>
      </c>
      <c r="F9999" t="inlineStr">
        <is>
          <t>VÄRMLANDS LÄN</t>
        </is>
      </c>
      <c r="G9999" t="inlineStr">
        <is>
          <t>SUNNE</t>
        </is>
      </c>
      <c r="I9999" t="n">
        <v>0.9</v>
      </c>
      <c r="J9999" t="n">
        <v>0</v>
      </c>
      <c r="K9999" t="n">
        <v>0</v>
      </c>
      <c r="L9999" t="n">
        <v>0</v>
      </c>
      <c r="M9999" t="n">
        <v>0</v>
      </c>
      <c r="N9999" t="n">
        <v>0</v>
      </c>
      <c r="O9999" t="n">
        <v>0</v>
      </c>
      <c r="P9999" t="n">
        <v>0</v>
      </c>
      <c r="Q9999" t="n">
        <v>0</v>
      </c>
      <c r="R9999" t="n">
        <v>0</v>
      </c>
      <c r="S9999" t="n">
        <v>0</v>
      </c>
      <c r="T9999" t="n">
        <v>0</v>
      </c>
      <c r="U9999" t="n">
        <v>0</v>
      </c>
      <c r="V9999" s="2" t="inlineStr"/>
    </row>
    <row r="10000" ht="15" customHeight="1">
      <c r="A10000" t="inlineStr">
        <is>
          <t>A 36891-2026</t>
        </is>
      </c>
      <c r="B10000" t="inlineStr">
        <is>
          <t>avverkningsanmälan</t>
        </is>
      </c>
      <c r="C10000" t="inlineStr">
        <is>
          <t>Föryngringsavverkning</t>
        </is>
      </c>
      <c r="D10000" s="1" t="n">
        <v>46273</v>
      </c>
      <c r="E10000" s="1" t="n">
        <v>46307</v>
      </c>
      <c r="F10000" t="inlineStr">
        <is>
          <t>VÄRMLANDS LÄN</t>
        </is>
      </c>
      <c r="G10000" t="inlineStr">
        <is>
          <t>TORSBY</t>
        </is>
      </c>
      <c r="H10000" t="inlineStr">
        <is>
          <t>Bergvik skog väst AB</t>
        </is>
      </c>
      <c r="I10000" t="n">
        <v>7.1</v>
      </c>
      <c r="J10000" t="n">
        <v>0</v>
      </c>
      <c r="K10000" t="n">
        <v>0</v>
      </c>
      <c r="L10000" t="n">
        <v>0</v>
      </c>
      <c r="M10000" t="n">
        <v>0</v>
      </c>
      <c r="N10000" t="n">
        <v>0</v>
      </c>
      <c r="O10000" t="n">
        <v>0</v>
      </c>
      <c r="P10000" t="n">
        <v>0</v>
      </c>
      <c r="Q10000" t="n">
        <v>0</v>
      </c>
      <c r="R10000" t="n">
        <v>0</v>
      </c>
      <c r="S10000" t="n">
        <v>0</v>
      </c>
      <c r="T10000" t="n">
        <v>0</v>
      </c>
      <c r="U10000" t="n">
        <v>0</v>
      </c>
      <c r="V10000" s="2" t="inlineStr"/>
    </row>
    <row r="10001" ht="15" customHeight="1">
      <c r="A10001" t="inlineStr">
        <is>
          <t>A 37311-2026</t>
        </is>
      </c>
      <c r="B10001" t="inlineStr">
        <is>
          <t>avverkningsanmälan</t>
        </is>
      </c>
      <c r="C10001" t="inlineStr">
        <is>
          <t>Föryngringsavverkning</t>
        </is>
      </c>
      <c r="D10001" s="1" t="n">
        <v>46274</v>
      </c>
      <c r="E10001" s="1" t="n">
        <v>46307</v>
      </c>
      <c r="F10001" t="inlineStr">
        <is>
          <t>VÄRMLANDS LÄN</t>
        </is>
      </c>
      <c r="G10001" t="inlineStr">
        <is>
          <t>SUNNE</t>
        </is>
      </c>
      <c r="I10001" t="n">
        <v>2.2</v>
      </c>
      <c r="J10001" t="n">
        <v>0</v>
      </c>
      <c r="K10001" t="n">
        <v>0</v>
      </c>
      <c r="L10001" t="n">
        <v>0</v>
      </c>
      <c r="M10001" t="n">
        <v>0</v>
      </c>
      <c r="N10001" t="n">
        <v>0</v>
      </c>
      <c r="O10001" t="n">
        <v>0</v>
      </c>
      <c r="P10001" t="n">
        <v>0</v>
      </c>
      <c r="Q10001" t="n">
        <v>0</v>
      </c>
      <c r="R10001" t="n">
        <v>0</v>
      </c>
      <c r="S10001" t="n">
        <v>0</v>
      </c>
      <c r="T10001" t="n">
        <v>0</v>
      </c>
      <c r="U10001" t="n">
        <v>0</v>
      </c>
      <c r="V10001" s="2" t="inlineStr"/>
    </row>
    <row r="10002" ht="15" customHeight="1">
      <c r="A10002" t="inlineStr">
        <is>
          <t>A 37127-2026</t>
        </is>
      </c>
      <c r="B10002" t="inlineStr">
        <is>
          <t>avverkningsanmälan</t>
        </is>
      </c>
      <c r="C10002" t="inlineStr">
        <is>
          <t>Föryngringsavverkning</t>
        </is>
      </c>
      <c r="D10002" s="1" t="n">
        <v>46274</v>
      </c>
      <c r="E10002" s="1" t="n">
        <v>46307</v>
      </c>
      <c r="F10002" t="inlineStr">
        <is>
          <t>VÄRMLANDS LÄN</t>
        </is>
      </c>
      <c r="G10002" t="inlineStr">
        <is>
          <t>EDA</t>
        </is>
      </c>
      <c r="I10002" t="n">
        <v>5</v>
      </c>
      <c r="J10002" t="n">
        <v>0</v>
      </c>
      <c r="K10002" t="n">
        <v>0</v>
      </c>
      <c r="L10002" t="n">
        <v>0</v>
      </c>
      <c r="M10002" t="n">
        <v>0</v>
      </c>
      <c r="N10002" t="n">
        <v>0</v>
      </c>
      <c r="O10002" t="n">
        <v>0</v>
      </c>
      <c r="P10002" t="n">
        <v>0</v>
      </c>
      <c r="Q10002" t="n">
        <v>0</v>
      </c>
      <c r="R10002" t="n">
        <v>0</v>
      </c>
      <c r="S10002" t="n">
        <v>0</v>
      </c>
      <c r="T10002" t="n">
        <v>0</v>
      </c>
      <c r="U10002" t="n">
        <v>0</v>
      </c>
      <c r="V10002" s="2" t="inlineStr"/>
    </row>
    <row r="10003" ht="15" customHeight="1">
      <c r="A10003" t="inlineStr">
        <is>
          <t>A 37180-2026</t>
        </is>
      </c>
      <c r="B10003" t="inlineStr">
        <is>
          <t>avverkningsanmälan</t>
        </is>
      </c>
      <c r="C10003" t="inlineStr">
        <is>
          <t>Föryngringsavverkning</t>
        </is>
      </c>
      <c r="D10003" s="1" t="n">
        <v>46274</v>
      </c>
      <c r="E10003" s="1" t="n">
        <v>46307</v>
      </c>
      <c r="F10003" t="inlineStr">
        <is>
          <t>VÄRMLANDS LÄN</t>
        </is>
      </c>
      <c r="G10003" t="inlineStr">
        <is>
          <t>KRISTINEHAMN</t>
        </is>
      </c>
      <c r="I10003" t="n">
        <v>1.7</v>
      </c>
      <c r="J10003" t="n">
        <v>0</v>
      </c>
      <c r="K10003" t="n">
        <v>0</v>
      </c>
      <c r="L10003" t="n">
        <v>0</v>
      </c>
      <c r="M10003" t="n">
        <v>0</v>
      </c>
      <c r="N10003" t="n">
        <v>0</v>
      </c>
      <c r="O10003" t="n">
        <v>0</v>
      </c>
      <c r="P10003" t="n">
        <v>0</v>
      </c>
      <c r="Q10003" t="n">
        <v>0</v>
      </c>
      <c r="R10003" t="n">
        <v>0</v>
      </c>
      <c r="S10003" t="n">
        <v>0</v>
      </c>
      <c r="T10003" t="n">
        <v>0</v>
      </c>
      <c r="U10003" t="n">
        <v>0</v>
      </c>
      <c r="V10003" s="2" t="inlineStr"/>
    </row>
    <row r="10004" ht="15" customHeight="1">
      <c r="A10004" t="inlineStr">
        <is>
          <t>A 36802-2026</t>
        </is>
      </c>
      <c r="B10004" t="inlineStr">
        <is>
          <t>avverkningsanmälan</t>
        </is>
      </c>
      <c r="C10004" t="inlineStr">
        <is>
          <t>Föryngringsavverkning</t>
        </is>
      </c>
      <c r="D10004" s="1" t="n">
        <v>46272</v>
      </c>
      <c r="E10004" s="1" t="n">
        <v>46307</v>
      </c>
      <c r="F10004" t="inlineStr">
        <is>
          <t>VÄRMLANDS LÄN</t>
        </is>
      </c>
      <c r="G10004" t="inlineStr">
        <is>
          <t>TORSBY</t>
        </is>
      </c>
      <c r="H10004" t="inlineStr">
        <is>
          <t>Bergvik skog väst AB</t>
        </is>
      </c>
      <c r="I10004" t="n">
        <v>3.6</v>
      </c>
      <c r="J10004" t="n">
        <v>0</v>
      </c>
      <c r="K10004" t="n">
        <v>0</v>
      </c>
      <c r="L10004" t="n">
        <v>0</v>
      </c>
      <c r="M10004" t="n">
        <v>0</v>
      </c>
      <c r="N10004" t="n">
        <v>0</v>
      </c>
      <c r="O10004" t="n">
        <v>0</v>
      </c>
      <c r="P10004" t="n">
        <v>0</v>
      </c>
      <c r="Q10004" t="n">
        <v>0</v>
      </c>
      <c r="R10004" t="n">
        <v>0</v>
      </c>
      <c r="S10004" t="n">
        <v>0</v>
      </c>
      <c r="T10004" t="n">
        <v>0</v>
      </c>
      <c r="U10004" t="n">
        <v>0</v>
      </c>
      <c r="V10004" s="2" t="inlineStr"/>
    </row>
    <row r="10005" ht="15" customHeight="1">
      <c r="A10005" t="inlineStr">
        <is>
          <t>A 36821-2026</t>
        </is>
      </c>
      <c r="B10005" t="inlineStr">
        <is>
          <t>avverkningsanmälan</t>
        </is>
      </c>
      <c r="C10005" t="inlineStr">
        <is>
          <t>Föryngringsavverkning</t>
        </is>
      </c>
      <c r="D10005" s="1" t="n">
        <v>46272</v>
      </c>
      <c r="E10005" s="1" t="n">
        <v>46307</v>
      </c>
      <c r="F10005" t="inlineStr">
        <is>
          <t>VÄRMLANDS LÄN</t>
        </is>
      </c>
      <c r="G10005" t="inlineStr">
        <is>
          <t>TORSBY</t>
        </is>
      </c>
      <c r="H10005" t="inlineStr">
        <is>
          <t>Bergvik skog väst AB</t>
        </is>
      </c>
      <c r="I10005" t="n">
        <v>3.8</v>
      </c>
      <c r="J10005" t="n">
        <v>0</v>
      </c>
      <c r="K10005" t="n">
        <v>0</v>
      </c>
      <c r="L10005" t="n">
        <v>0</v>
      </c>
      <c r="M10005" t="n">
        <v>0</v>
      </c>
      <c r="N10005" t="n">
        <v>0</v>
      </c>
      <c r="O10005" t="n">
        <v>0</v>
      </c>
      <c r="P10005" t="n">
        <v>0</v>
      </c>
      <c r="Q10005" t="n">
        <v>0</v>
      </c>
      <c r="R10005" t="n">
        <v>0</v>
      </c>
      <c r="S10005" t="n">
        <v>0</v>
      </c>
      <c r="T10005" t="n">
        <v>0</v>
      </c>
      <c r="U10005" t="n">
        <v>0</v>
      </c>
      <c r="V10005" s="2" t="inlineStr"/>
    </row>
    <row r="10006" ht="15" customHeight="1">
      <c r="A10006" t="inlineStr">
        <is>
          <t>A 36955-2026</t>
        </is>
      </c>
      <c r="B10006" t="inlineStr">
        <is>
          <t>avverkningsanmälan</t>
        </is>
      </c>
      <c r="C10006" t="inlineStr">
        <is>
          <t>Föryngringsavverkning</t>
        </is>
      </c>
      <c r="D10006" s="1" t="n">
        <v>46273</v>
      </c>
      <c r="E10006" s="1" t="n">
        <v>46307</v>
      </c>
      <c r="F10006" t="inlineStr">
        <is>
          <t>VÄRMLANDS LÄN</t>
        </is>
      </c>
      <c r="G10006" t="inlineStr">
        <is>
          <t>FILIPSTAD</t>
        </is>
      </c>
      <c r="H10006" t="inlineStr">
        <is>
          <t>Bergvik skog väst AB</t>
        </is>
      </c>
      <c r="I10006" t="n">
        <v>14.7</v>
      </c>
      <c r="J10006" t="n">
        <v>0</v>
      </c>
      <c r="K10006" t="n">
        <v>0</v>
      </c>
      <c r="L10006" t="n">
        <v>0</v>
      </c>
      <c r="M10006" t="n">
        <v>0</v>
      </c>
      <c r="N10006" t="n">
        <v>0</v>
      </c>
      <c r="O10006" t="n">
        <v>0</v>
      </c>
      <c r="P10006" t="n">
        <v>0</v>
      </c>
      <c r="Q10006" t="n">
        <v>0</v>
      </c>
      <c r="R10006" t="n">
        <v>0</v>
      </c>
      <c r="S10006" t="n">
        <v>0</v>
      </c>
      <c r="T10006" t="n">
        <v>0</v>
      </c>
      <c r="U10006" t="n">
        <v>0</v>
      </c>
      <c r="V10006" s="2" t="inlineStr"/>
    </row>
    <row r="10007" ht="15" customHeight="1">
      <c r="A10007" t="inlineStr">
        <is>
          <t>A 37145-2026</t>
        </is>
      </c>
      <c r="B10007" t="inlineStr">
        <is>
          <t>avverkningsanmälan</t>
        </is>
      </c>
      <c r="C10007" t="inlineStr">
        <is>
          <t>Föryngringsavverkning</t>
        </is>
      </c>
      <c r="D10007" s="1" t="n">
        <v>46274</v>
      </c>
      <c r="E10007" s="1" t="n">
        <v>46307</v>
      </c>
      <c r="F10007" t="inlineStr">
        <is>
          <t>VÄRMLANDS LÄN</t>
        </is>
      </c>
      <c r="G10007" t="inlineStr">
        <is>
          <t>SUNNE</t>
        </is>
      </c>
      <c r="I10007" t="n">
        <v>4.1</v>
      </c>
      <c r="J10007" t="n">
        <v>0</v>
      </c>
      <c r="K10007" t="n">
        <v>0</v>
      </c>
      <c r="L10007" t="n">
        <v>0</v>
      </c>
      <c r="M10007" t="n">
        <v>0</v>
      </c>
      <c r="N10007" t="n">
        <v>0</v>
      </c>
      <c r="O10007" t="n">
        <v>0</v>
      </c>
      <c r="P10007" t="n">
        <v>0</v>
      </c>
      <c r="Q10007" t="n">
        <v>0</v>
      </c>
      <c r="R10007" t="n">
        <v>0</v>
      </c>
      <c r="S10007" t="n">
        <v>0</v>
      </c>
      <c r="T10007" t="n">
        <v>0</v>
      </c>
      <c r="U10007" t="n">
        <v>0</v>
      </c>
      <c r="V10007" s="2" t="inlineStr"/>
    </row>
    <row r="10008" ht="15" customHeight="1">
      <c r="A10008" t="inlineStr">
        <is>
          <t>A 37184-2026</t>
        </is>
      </c>
      <c r="B10008" t="inlineStr">
        <is>
          <t>avverkningsanmälan</t>
        </is>
      </c>
      <c r="C10008" t="inlineStr">
        <is>
          <t>Föryngringsavverkning</t>
        </is>
      </c>
      <c r="D10008" s="1" t="n">
        <v>46274</v>
      </c>
      <c r="E10008" s="1" t="n">
        <v>46307</v>
      </c>
      <c r="F10008" t="inlineStr">
        <is>
          <t>VÄRMLANDS LÄN</t>
        </is>
      </c>
      <c r="G10008" t="inlineStr">
        <is>
          <t>SUNNE</t>
        </is>
      </c>
      <c r="I10008" t="n">
        <v>2.4</v>
      </c>
      <c r="J10008" t="n">
        <v>0</v>
      </c>
      <c r="K10008" t="n">
        <v>0</v>
      </c>
      <c r="L10008" t="n">
        <v>0</v>
      </c>
      <c r="M10008" t="n">
        <v>0</v>
      </c>
      <c r="N10008" t="n">
        <v>0</v>
      </c>
      <c r="O10008" t="n">
        <v>0</v>
      </c>
      <c r="P10008" t="n">
        <v>0</v>
      </c>
      <c r="Q10008" t="n">
        <v>0</v>
      </c>
      <c r="R10008" t="n">
        <v>0</v>
      </c>
      <c r="S10008" t="n">
        <v>0</v>
      </c>
      <c r="T10008" t="n">
        <v>0</v>
      </c>
      <c r="U10008" t="n">
        <v>0</v>
      </c>
      <c r="V10008" s="2" t="inlineStr"/>
    </row>
    <row r="10009" ht="15" customHeight="1">
      <c r="A10009" t="inlineStr">
        <is>
          <t>A 31829-2026</t>
        </is>
      </c>
      <c r="B10009" t="inlineStr">
        <is>
          <t>avverkningsanmälan</t>
        </is>
      </c>
      <c r="C10009" t="inlineStr">
        <is>
          <t>Föryngringsavverkning</t>
        </is>
      </c>
      <c r="D10009" s="1" t="n">
        <v>46230</v>
      </c>
      <c r="E10009" s="1" t="n">
        <v>46307</v>
      </c>
      <c r="F10009" t="inlineStr">
        <is>
          <t>VÄRMLANDS LÄN</t>
        </is>
      </c>
      <c r="G10009" t="inlineStr">
        <is>
          <t>KRISTINEHAMN</t>
        </is>
      </c>
      <c r="I10009" t="n">
        <v>2.5</v>
      </c>
      <c r="J10009" t="n">
        <v>0</v>
      </c>
      <c r="K10009" t="n">
        <v>0</v>
      </c>
      <c r="L10009" t="n">
        <v>0</v>
      </c>
      <c r="M10009" t="n">
        <v>0</v>
      </c>
      <c r="N10009" t="n">
        <v>0</v>
      </c>
      <c r="O10009" t="n">
        <v>0</v>
      </c>
      <c r="P10009" t="n">
        <v>0</v>
      </c>
      <c r="Q10009" t="n">
        <v>0</v>
      </c>
      <c r="R10009" t="n">
        <v>0</v>
      </c>
      <c r="S10009" t="n">
        <v>0</v>
      </c>
      <c r="T10009" t="n">
        <v>0</v>
      </c>
      <c r="U10009" t="n">
        <v>0</v>
      </c>
      <c r="V10009" s="2" t="inlineStr"/>
    </row>
    <row r="10010" ht="15" customHeight="1">
      <c r="A10010" t="inlineStr">
        <is>
          <t>A 31839-2026</t>
        </is>
      </c>
      <c r="B10010" t="inlineStr">
        <is>
          <t>avverkningsanmälan</t>
        </is>
      </c>
      <c r="C10010" t="inlineStr">
        <is>
          <t>Föryngringsavverkning</t>
        </is>
      </c>
      <c r="D10010" s="1" t="n">
        <v>46230</v>
      </c>
      <c r="E10010" s="1" t="n">
        <v>46307</v>
      </c>
      <c r="F10010" t="inlineStr">
        <is>
          <t>VÄRMLANDS LÄN</t>
        </is>
      </c>
      <c r="G10010" t="inlineStr">
        <is>
          <t>TORSBY</t>
        </is>
      </c>
      <c r="H10010" t="inlineStr">
        <is>
          <t>Bergvik skog väst AB</t>
        </is>
      </c>
      <c r="I10010" t="n">
        <v>5.3</v>
      </c>
      <c r="J10010" t="n">
        <v>0</v>
      </c>
      <c r="K10010" t="n">
        <v>0</v>
      </c>
      <c r="L10010" t="n">
        <v>0</v>
      </c>
      <c r="M10010" t="n">
        <v>0</v>
      </c>
      <c r="N10010" t="n">
        <v>0</v>
      </c>
      <c r="O10010" t="n">
        <v>0</v>
      </c>
      <c r="P10010" t="n">
        <v>0</v>
      </c>
      <c r="Q10010" t="n">
        <v>0</v>
      </c>
      <c r="R10010" t="n">
        <v>0</v>
      </c>
      <c r="S10010" t="n">
        <v>0</v>
      </c>
      <c r="T10010" t="n">
        <v>0</v>
      </c>
      <c r="U10010" t="n">
        <v>0</v>
      </c>
      <c r="V10010" s="2" t="inlineStr"/>
    </row>
    <row r="10011" ht="15" customHeight="1">
      <c r="A10011" t="inlineStr">
        <is>
          <t>A 31895-2026</t>
        </is>
      </c>
      <c r="B10011" t="inlineStr">
        <is>
          <t>avverkningsanmälan</t>
        </is>
      </c>
      <c r="C10011" t="inlineStr">
        <is>
          <t>Föryngringsavverkning</t>
        </is>
      </c>
      <c r="D10011" s="1" t="n">
        <v>46231</v>
      </c>
      <c r="E10011" s="1" t="n">
        <v>46307</v>
      </c>
      <c r="F10011" t="inlineStr">
        <is>
          <t>VÄRMLANDS LÄN</t>
        </is>
      </c>
      <c r="G10011" t="inlineStr">
        <is>
          <t>SUNNE</t>
        </is>
      </c>
      <c r="I10011" t="n">
        <v>0.8</v>
      </c>
      <c r="J10011" t="n">
        <v>0</v>
      </c>
      <c r="K10011" t="n">
        <v>0</v>
      </c>
      <c r="L10011" t="n">
        <v>0</v>
      </c>
      <c r="M10011" t="n">
        <v>0</v>
      </c>
      <c r="N10011" t="n">
        <v>0</v>
      </c>
      <c r="O10011" t="n">
        <v>0</v>
      </c>
      <c r="P10011" t="n">
        <v>0</v>
      </c>
      <c r="Q10011" t="n">
        <v>0</v>
      </c>
      <c r="R10011" t="n">
        <v>0</v>
      </c>
      <c r="S10011" t="n">
        <v>0</v>
      </c>
      <c r="T10011" t="n">
        <v>0</v>
      </c>
      <c r="U10011" t="n">
        <v>0</v>
      </c>
      <c r="V10011" s="2" t="inlineStr"/>
    </row>
    <row r="10012" ht="15" customHeight="1">
      <c r="A10012" t="inlineStr">
        <is>
          <t>A 36966-2026</t>
        </is>
      </c>
      <c r="B10012" t="inlineStr">
        <is>
          <t>avverkningsanmälan</t>
        </is>
      </c>
      <c r="C10012" t="inlineStr">
        <is>
          <t>Avverkning för annat ändamål</t>
        </is>
      </c>
      <c r="D10012" s="1" t="n">
        <v>46273</v>
      </c>
      <c r="E10012" s="1" t="n">
        <v>46307</v>
      </c>
      <c r="F10012" t="inlineStr">
        <is>
          <t>VÄRMLANDS LÄN</t>
        </is>
      </c>
      <c r="G10012" t="inlineStr">
        <is>
          <t>SÄFFLE</t>
        </is>
      </c>
      <c r="I10012" t="n">
        <v>8.1</v>
      </c>
      <c r="J10012" t="n">
        <v>0</v>
      </c>
      <c r="K10012" t="n">
        <v>0</v>
      </c>
      <c r="L10012" t="n">
        <v>0</v>
      </c>
      <c r="M10012" t="n">
        <v>0</v>
      </c>
      <c r="N10012" t="n">
        <v>0</v>
      </c>
      <c r="O10012" t="n">
        <v>0</v>
      </c>
      <c r="P10012" t="n">
        <v>0</v>
      </c>
      <c r="Q10012" t="n">
        <v>0</v>
      </c>
      <c r="R10012" t="n">
        <v>0</v>
      </c>
      <c r="S10012" t="n">
        <v>0</v>
      </c>
      <c r="T10012" t="n">
        <v>0</v>
      </c>
      <c r="U10012" t="n">
        <v>0</v>
      </c>
      <c r="V10012" s="2" t="inlineStr"/>
    </row>
    <row r="10013" ht="15" customHeight="1">
      <c r="A10013" t="inlineStr">
        <is>
          <t>A 37032-2026</t>
        </is>
      </c>
      <c r="B10013" t="inlineStr">
        <is>
          <t>avverkningsanmälan</t>
        </is>
      </c>
      <c r="C10013" t="inlineStr">
        <is>
          <t>Föryngringsavverkning</t>
        </is>
      </c>
      <c r="D10013" s="1" t="n">
        <v>46273</v>
      </c>
      <c r="E10013" s="1" t="n">
        <v>46307</v>
      </c>
      <c r="F10013" t="inlineStr">
        <is>
          <t>VÄRMLANDS LÄN</t>
        </is>
      </c>
      <c r="G10013" t="inlineStr">
        <is>
          <t>TORSBY</t>
        </is>
      </c>
      <c r="H10013" t="inlineStr">
        <is>
          <t>Bergvik skog väst AB</t>
        </is>
      </c>
      <c r="I10013" t="n">
        <v>3.2</v>
      </c>
      <c r="J10013" t="n">
        <v>0</v>
      </c>
      <c r="K10013" t="n">
        <v>0</v>
      </c>
      <c r="L10013" t="n">
        <v>0</v>
      </c>
      <c r="M10013" t="n">
        <v>0</v>
      </c>
      <c r="N10013" t="n">
        <v>0</v>
      </c>
      <c r="O10013" t="n">
        <v>0</v>
      </c>
      <c r="P10013" t="n">
        <v>0</v>
      </c>
      <c r="Q10013" t="n">
        <v>0</v>
      </c>
      <c r="R10013" t="n">
        <v>0</v>
      </c>
      <c r="S10013" t="n">
        <v>0</v>
      </c>
      <c r="T10013" t="n">
        <v>0</v>
      </c>
      <c r="U10013" t="n">
        <v>0</v>
      </c>
      <c r="V10013" s="2" t="inlineStr"/>
    </row>
    <row r="10014" ht="15" customHeight="1">
      <c r="A10014" t="inlineStr">
        <is>
          <t>A 37451-2026</t>
        </is>
      </c>
      <c r="B10014" t="inlineStr">
        <is>
          <t>avverkningsanmälan</t>
        </is>
      </c>
      <c r="C10014" t="inlineStr">
        <is>
          <t>Föryngringsavverkning</t>
        </is>
      </c>
      <c r="D10014" s="1" t="n">
        <v>46275</v>
      </c>
      <c r="E10014" s="1" t="n">
        <v>46307</v>
      </c>
      <c r="F10014" t="inlineStr">
        <is>
          <t>VÄRMLANDS LÄN</t>
        </is>
      </c>
      <c r="G10014" t="inlineStr">
        <is>
          <t>TORSBY</t>
        </is>
      </c>
      <c r="H10014" t="inlineStr">
        <is>
          <t>Bergvik skog väst AB</t>
        </is>
      </c>
      <c r="I10014" t="n">
        <v>5.9</v>
      </c>
      <c r="J10014" t="n">
        <v>0</v>
      </c>
      <c r="K10014" t="n">
        <v>0</v>
      </c>
      <c r="L10014" t="n">
        <v>0</v>
      </c>
      <c r="M10014" t="n">
        <v>0</v>
      </c>
      <c r="N10014" t="n">
        <v>0</v>
      </c>
      <c r="O10014" t="n">
        <v>0</v>
      </c>
      <c r="P10014" t="n">
        <v>0</v>
      </c>
      <c r="Q10014" t="n">
        <v>0</v>
      </c>
      <c r="R10014" t="n">
        <v>0</v>
      </c>
      <c r="S10014" t="n">
        <v>0</v>
      </c>
      <c r="T10014" t="n">
        <v>0</v>
      </c>
      <c r="U10014" t="n">
        <v>0</v>
      </c>
      <c r="V10014" s="2" t="inlineStr"/>
    </row>
    <row r="10015" ht="15" customHeight="1">
      <c r="A10015" t="inlineStr">
        <is>
          <t>A 32050-2026</t>
        </is>
      </c>
      <c r="B10015" t="inlineStr">
        <is>
          <t>avverkningsanmälan</t>
        </is>
      </c>
      <c r="C10015" t="inlineStr">
        <is>
          <t>Föryngringsavverkning</t>
        </is>
      </c>
      <c r="D10015" s="1" t="n">
        <v>46233</v>
      </c>
      <c r="E10015" s="1" t="n">
        <v>46307</v>
      </c>
      <c r="F10015" t="inlineStr">
        <is>
          <t>VÄRMLANDS LÄN</t>
        </is>
      </c>
      <c r="G10015" t="inlineStr">
        <is>
          <t>TORSBY</t>
        </is>
      </c>
      <c r="I10015" t="n">
        <v>0.7</v>
      </c>
      <c r="J10015" t="n">
        <v>0</v>
      </c>
      <c r="K10015" t="n">
        <v>0</v>
      </c>
      <c r="L10015" t="n">
        <v>0</v>
      </c>
      <c r="M10015" t="n">
        <v>0</v>
      </c>
      <c r="N10015" t="n">
        <v>0</v>
      </c>
      <c r="O10015" t="n">
        <v>0</v>
      </c>
      <c r="P10015" t="n">
        <v>0</v>
      </c>
      <c r="Q10015" t="n">
        <v>0</v>
      </c>
      <c r="R10015" t="n">
        <v>0</v>
      </c>
      <c r="S10015" t="n">
        <v>0</v>
      </c>
      <c r="T10015" t="n">
        <v>0</v>
      </c>
      <c r="U10015" t="n">
        <v>0</v>
      </c>
      <c r="V10015" s="2" t="inlineStr"/>
    </row>
    <row r="10016" ht="15" customHeight="1">
      <c r="A10016" t="inlineStr">
        <is>
          <t>A 36490-2026</t>
        </is>
      </c>
      <c r="B10016" t="inlineStr">
        <is>
          <t>avverkningsanmälan</t>
        </is>
      </c>
      <c r="C10016" t="inlineStr">
        <is>
          <t>Föryngringsavverkning</t>
        </is>
      </c>
      <c r="D10016" s="1" t="n">
        <v>46269</v>
      </c>
      <c r="E10016" s="1" t="n">
        <v>46307</v>
      </c>
      <c r="F10016" t="inlineStr">
        <is>
          <t>VÄRMLANDS LÄN</t>
        </is>
      </c>
      <c r="G10016" t="inlineStr">
        <is>
          <t>FILIPSTAD</t>
        </is>
      </c>
      <c r="H10016" t="inlineStr">
        <is>
          <t>Bergvik skog väst AB</t>
        </is>
      </c>
      <c r="I10016" t="n">
        <v>4.3</v>
      </c>
      <c r="J10016" t="n">
        <v>0</v>
      </c>
      <c r="K10016" t="n">
        <v>0</v>
      </c>
      <c r="L10016" t="n">
        <v>0</v>
      </c>
      <c r="M10016" t="n">
        <v>0</v>
      </c>
      <c r="N10016" t="n">
        <v>0</v>
      </c>
      <c r="O10016" t="n">
        <v>0</v>
      </c>
      <c r="P10016" t="n">
        <v>0</v>
      </c>
      <c r="Q10016" t="n">
        <v>0</v>
      </c>
      <c r="R10016" t="n">
        <v>0</v>
      </c>
      <c r="S10016" t="n">
        <v>0</v>
      </c>
      <c r="T10016" t="n">
        <v>0</v>
      </c>
      <c r="U10016" t="n">
        <v>0</v>
      </c>
      <c r="V10016" s="2" t="inlineStr"/>
    </row>
    <row r="10017" ht="15" customHeight="1">
      <c r="A10017" t="inlineStr">
        <is>
          <t>A 37414-2026</t>
        </is>
      </c>
      <c r="B10017" t="inlineStr">
        <is>
          <t>avverkningsanmälan</t>
        </is>
      </c>
      <c r="C10017" t="inlineStr">
        <is>
          <t>Föryngringsavverkning</t>
        </is>
      </c>
      <c r="D10017" s="1" t="n">
        <v>46275</v>
      </c>
      <c r="E10017" s="1" t="n">
        <v>46307</v>
      </c>
      <c r="F10017" t="inlineStr">
        <is>
          <t>VÄRMLANDS LÄN</t>
        </is>
      </c>
      <c r="G10017" t="inlineStr">
        <is>
          <t>SUNNE</t>
        </is>
      </c>
      <c r="I10017" t="n">
        <v>1.2</v>
      </c>
      <c r="J10017" t="n">
        <v>0</v>
      </c>
      <c r="K10017" t="n">
        <v>0</v>
      </c>
      <c r="L10017" t="n">
        <v>0</v>
      </c>
      <c r="M10017" t="n">
        <v>0</v>
      </c>
      <c r="N10017" t="n">
        <v>0</v>
      </c>
      <c r="O10017" t="n">
        <v>0</v>
      </c>
      <c r="P10017" t="n">
        <v>0</v>
      </c>
      <c r="Q10017" t="n">
        <v>0</v>
      </c>
      <c r="R10017" t="n">
        <v>0</v>
      </c>
      <c r="S10017" t="n">
        <v>0</v>
      </c>
      <c r="T10017" t="n">
        <v>0</v>
      </c>
      <c r="U10017" t="n">
        <v>0</v>
      </c>
      <c r="V10017" s="2" t="inlineStr"/>
    </row>
    <row r="10018" ht="15" customHeight="1">
      <c r="A10018" t="inlineStr">
        <is>
          <t>A 32066-2026</t>
        </is>
      </c>
      <c r="B10018" t="inlineStr">
        <is>
          <t>avverkningsanmälan</t>
        </is>
      </c>
      <c r="C10018" t="inlineStr">
        <is>
          <t>Föryngringsavverkning</t>
        </is>
      </c>
      <c r="D10018" s="1" t="n">
        <v>46233</v>
      </c>
      <c r="E10018" s="1" t="n">
        <v>46307</v>
      </c>
      <c r="F10018" t="inlineStr">
        <is>
          <t>VÄRMLANDS LÄN</t>
        </is>
      </c>
      <c r="G10018" t="inlineStr">
        <is>
          <t>SUNNE</t>
        </is>
      </c>
      <c r="I10018" t="n">
        <v>1.1</v>
      </c>
      <c r="J10018" t="n">
        <v>0</v>
      </c>
      <c r="K10018" t="n">
        <v>0</v>
      </c>
      <c r="L10018" t="n">
        <v>0</v>
      </c>
      <c r="M10018" t="n">
        <v>0</v>
      </c>
      <c r="N10018" t="n">
        <v>0</v>
      </c>
      <c r="O10018" t="n">
        <v>0</v>
      </c>
      <c r="P10018" t="n">
        <v>0</v>
      </c>
      <c r="Q10018" t="n">
        <v>0</v>
      </c>
      <c r="R10018" t="n">
        <v>0</v>
      </c>
      <c r="S10018" t="n">
        <v>0</v>
      </c>
      <c r="T10018" t="n">
        <v>0</v>
      </c>
      <c r="U10018" t="n">
        <v>0</v>
      </c>
      <c r="V10018" s="2" t="inlineStr"/>
    </row>
    <row r="10019" ht="15" customHeight="1">
      <c r="A10019" t="inlineStr">
        <is>
          <t>A 37430-2026</t>
        </is>
      </c>
      <c r="B10019" t="inlineStr">
        <is>
          <t>avverkningsanmälan</t>
        </is>
      </c>
      <c r="C10019" t="inlineStr">
        <is>
          <t>Föryngringsavverkning</t>
        </is>
      </c>
      <c r="D10019" s="1" t="n">
        <v>46275</v>
      </c>
      <c r="E10019" s="1" t="n">
        <v>46307</v>
      </c>
      <c r="F10019" t="inlineStr">
        <is>
          <t>VÄRMLANDS LÄN</t>
        </is>
      </c>
      <c r="G10019" t="inlineStr">
        <is>
          <t>TORSBY</t>
        </is>
      </c>
      <c r="H10019" t="inlineStr">
        <is>
          <t>Bergvik skog väst AB</t>
        </is>
      </c>
      <c r="I10019" t="n">
        <v>1.2</v>
      </c>
      <c r="J10019" t="n">
        <v>0</v>
      </c>
      <c r="K10019" t="n">
        <v>0</v>
      </c>
      <c r="L10019" t="n">
        <v>0</v>
      </c>
      <c r="M10019" t="n">
        <v>0</v>
      </c>
      <c r="N10019" t="n">
        <v>0</v>
      </c>
      <c r="O10019" t="n">
        <v>0</v>
      </c>
      <c r="P10019" t="n">
        <v>0</v>
      </c>
      <c r="Q10019" t="n">
        <v>0</v>
      </c>
      <c r="R10019" t="n">
        <v>0</v>
      </c>
      <c r="S10019" t="n">
        <v>0</v>
      </c>
      <c r="T10019" t="n">
        <v>0</v>
      </c>
      <c r="U10019" t="n">
        <v>0</v>
      </c>
      <c r="V10019" s="2" t="inlineStr"/>
    </row>
    <row r="10020" ht="15" customHeight="1">
      <c r="A10020" t="inlineStr">
        <is>
          <t>A 37319-2026</t>
        </is>
      </c>
      <c r="B10020" t="inlineStr">
        <is>
          <t>avverkningsanmälan</t>
        </is>
      </c>
      <c r="C10020" t="inlineStr">
        <is>
          <t>Föryngringsavverkning</t>
        </is>
      </c>
      <c r="D10020" s="1" t="n">
        <v>46275</v>
      </c>
      <c r="E10020" s="1" t="n">
        <v>46307</v>
      </c>
      <c r="F10020" t="inlineStr">
        <is>
          <t>VÄRMLANDS LÄN</t>
        </is>
      </c>
      <c r="G10020" t="inlineStr">
        <is>
          <t>ARVIKA</t>
        </is>
      </c>
      <c r="I10020" t="n">
        <v>9.5</v>
      </c>
      <c r="J10020" t="n">
        <v>0</v>
      </c>
      <c r="K10020" t="n">
        <v>0</v>
      </c>
      <c r="L10020" t="n">
        <v>0</v>
      </c>
      <c r="M10020" t="n">
        <v>0</v>
      </c>
      <c r="N10020" t="n">
        <v>0</v>
      </c>
      <c r="O10020" t="n">
        <v>0</v>
      </c>
      <c r="P10020" t="n">
        <v>0</v>
      </c>
      <c r="Q10020" t="n">
        <v>0</v>
      </c>
      <c r="R10020" t="n">
        <v>0</v>
      </c>
      <c r="S10020" t="n">
        <v>0</v>
      </c>
      <c r="T10020" t="n">
        <v>0</v>
      </c>
      <c r="U10020" t="n">
        <v>0</v>
      </c>
      <c r="V10020" s="2" t="inlineStr"/>
    </row>
    <row r="10021" ht="15" customHeight="1">
      <c r="A10021" t="inlineStr">
        <is>
          <t>A 32036-2026</t>
        </is>
      </c>
      <c r="B10021" t="inlineStr">
        <is>
          <t>avverkningsanmälan</t>
        </is>
      </c>
      <c r="C10021" t="inlineStr">
        <is>
          <t>Föryngringsavverkning</t>
        </is>
      </c>
      <c r="D10021" s="1" t="n">
        <v>46233</v>
      </c>
      <c r="E10021" s="1" t="n">
        <v>46307</v>
      </c>
      <c r="F10021" t="inlineStr">
        <is>
          <t>VÄRMLANDS LÄN</t>
        </is>
      </c>
      <c r="G10021" t="inlineStr">
        <is>
          <t>HAGFORS</t>
        </is>
      </c>
      <c r="H10021" t="inlineStr">
        <is>
          <t>Bergvik skog väst AB</t>
        </is>
      </c>
      <c r="I10021" t="n">
        <v>8.300000000000001</v>
      </c>
      <c r="J10021" t="n">
        <v>0</v>
      </c>
      <c r="K10021" t="n">
        <v>0</v>
      </c>
      <c r="L10021" t="n">
        <v>0</v>
      </c>
      <c r="M10021" t="n">
        <v>0</v>
      </c>
      <c r="N10021" t="n">
        <v>0</v>
      </c>
      <c r="O10021" t="n">
        <v>0</v>
      </c>
      <c r="P10021" t="n">
        <v>0</v>
      </c>
      <c r="Q10021" t="n">
        <v>0</v>
      </c>
      <c r="R10021" t="n">
        <v>0</v>
      </c>
      <c r="S10021" t="n">
        <v>0</v>
      </c>
      <c r="T10021" t="n">
        <v>0</v>
      </c>
      <c r="U10021" t="n">
        <v>0</v>
      </c>
      <c r="V10021" s="2" t="inlineStr"/>
    </row>
    <row r="10022" ht="15" customHeight="1">
      <c r="A10022" t="inlineStr">
        <is>
          <t>A 37466-2026</t>
        </is>
      </c>
      <c r="B10022" t="inlineStr">
        <is>
          <t>avverkningsanmälan</t>
        </is>
      </c>
      <c r="C10022" t="inlineStr">
        <is>
          <t>Föryngringsavverkning</t>
        </is>
      </c>
      <c r="D10022" s="1" t="n">
        <v>46275</v>
      </c>
      <c r="E10022" s="1" t="n">
        <v>46307</v>
      </c>
      <c r="F10022" t="inlineStr">
        <is>
          <t>VÄRMLANDS LÄN</t>
        </is>
      </c>
      <c r="G10022" t="inlineStr">
        <is>
          <t>TORSBY</t>
        </is>
      </c>
      <c r="I10022" t="n">
        <v>11.6</v>
      </c>
      <c r="J10022" t="n">
        <v>0</v>
      </c>
      <c r="K10022" t="n">
        <v>0</v>
      </c>
      <c r="L10022" t="n">
        <v>0</v>
      </c>
      <c r="M10022" t="n">
        <v>0</v>
      </c>
      <c r="N10022" t="n">
        <v>0</v>
      </c>
      <c r="O10022" t="n">
        <v>0</v>
      </c>
      <c r="P10022" t="n">
        <v>0</v>
      </c>
      <c r="Q10022" t="n">
        <v>0</v>
      </c>
      <c r="R10022" t="n">
        <v>0</v>
      </c>
      <c r="S10022" t="n">
        <v>0</v>
      </c>
      <c r="T10022" t="n">
        <v>0</v>
      </c>
      <c r="U10022" t="n">
        <v>0</v>
      </c>
      <c r="V10022" s="2" t="inlineStr"/>
    </row>
    <row r="10023" ht="15" customHeight="1">
      <c r="A10023" t="inlineStr">
        <is>
          <t>A 32005-2026</t>
        </is>
      </c>
      <c r="B10023" t="inlineStr">
        <is>
          <t>avverkningsanmälan</t>
        </is>
      </c>
      <c r="C10023" t="inlineStr">
        <is>
          <t>Föryngringsavverkning</t>
        </is>
      </c>
      <c r="D10023" s="1" t="n">
        <v>46233</v>
      </c>
      <c r="E10023" s="1" t="n">
        <v>46307</v>
      </c>
      <c r="F10023" t="inlineStr">
        <is>
          <t>VÄRMLANDS LÄN</t>
        </is>
      </c>
      <c r="G10023" t="inlineStr">
        <is>
          <t>EDA</t>
        </is>
      </c>
      <c r="I10023" t="n">
        <v>0.7</v>
      </c>
      <c r="J10023" t="n">
        <v>0</v>
      </c>
      <c r="K10023" t="n">
        <v>0</v>
      </c>
      <c r="L10023" t="n">
        <v>0</v>
      </c>
      <c r="M10023" t="n">
        <v>0</v>
      </c>
      <c r="N10023" t="n">
        <v>0</v>
      </c>
      <c r="O10023" t="n">
        <v>0</v>
      </c>
      <c r="P10023" t="n">
        <v>0</v>
      </c>
      <c r="Q10023" t="n">
        <v>0</v>
      </c>
      <c r="R10023" t="n">
        <v>0</v>
      </c>
      <c r="S10023" t="n">
        <v>0</v>
      </c>
      <c r="T10023" t="n">
        <v>0</v>
      </c>
      <c r="U10023" t="n">
        <v>0</v>
      </c>
      <c r="V10023" s="2" t="inlineStr"/>
    </row>
    <row r="10024" ht="15" customHeight="1">
      <c r="A10024" t="inlineStr">
        <is>
          <t>A 32008-2026</t>
        </is>
      </c>
      <c r="B10024" t="inlineStr">
        <is>
          <t>avverkningsanmälan</t>
        </is>
      </c>
      <c r="C10024" t="inlineStr">
        <is>
          <t>Föryngringsavverkning</t>
        </is>
      </c>
      <c r="D10024" s="1" t="n">
        <v>46233</v>
      </c>
      <c r="E10024" s="1" t="n">
        <v>46307</v>
      </c>
      <c r="F10024" t="inlineStr">
        <is>
          <t>VÄRMLANDS LÄN</t>
        </is>
      </c>
      <c r="G10024" t="inlineStr">
        <is>
          <t>FILIPSTAD</t>
        </is>
      </c>
      <c r="H10024" t="inlineStr">
        <is>
          <t>Bergvik skog väst AB</t>
        </is>
      </c>
      <c r="I10024" t="n">
        <v>5.1</v>
      </c>
      <c r="J10024" t="n">
        <v>0</v>
      </c>
      <c r="K10024" t="n">
        <v>0</v>
      </c>
      <c r="L10024" t="n">
        <v>0</v>
      </c>
      <c r="M10024" t="n">
        <v>0</v>
      </c>
      <c r="N10024" t="n">
        <v>0</v>
      </c>
      <c r="O10024" t="n">
        <v>0</v>
      </c>
      <c r="P10024" t="n">
        <v>0</v>
      </c>
      <c r="Q10024" t="n">
        <v>0</v>
      </c>
      <c r="R10024" t="n">
        <v>0</v>
      </c>
      <c r="S10024" t="n">
        <v>0</v>
      </c>
      <c r="T10024" t="n">
        <v>0</v>
      </c>
      <c r="U10024" t="n">
        <v>0</v>
      </c>
      <c r="V10024" s="2" t="inlineStr"/>
    </row>
    <row r="10025" ht="15" customHeight="1">
      <c r="A10025" t="inlineStr">
        <is>
          <t>A 32064-2026</t>
        </is>
      </c>
      <c r="B10025" t="inlineStr">
        <is>
          <t>avverkningsanmälan</t>
        </is>
      </c>
      <c r="C10025" t="inlineStr">
        <is>
          <t>Föryngringsavverkning</t>
        </is>
      </c>
      <c r="D10025" s="1" t="n">
        <v>46233</v>
      </c>
      <c r="E10025" s="1" t="n">
        <v>46307</v>
      </c>
      <c r="F10025" t="inlineStr">
        <is>
          <t>VÄRMLANDS LÄN</t>
        </is>
      </c>
      <c r="G10025" t="inlineStr">
        <is>
          <t>SÄFFLE</t>
        </is>
      </c>
      <c r="I10025" t="n">
        <v>3.4</v>
      </c>
      <c r="J10025" t="n">
        <v>0</v>
      </c>
      <c r="K10025" t="n">
        <v>0</v>
      </c>
      <c r="L10025" t="n">
        <v>0</v>
      </c>
      <c r="M10025" t="n">
        <v>0</v>
      </c>
      <c r="N10025" t="n">
        <v>0</v>
      </c>
      <c r="O10025" t="n">
        <v>0</v>
      </c>
      <c r="P10025" t="n">
        <v>0</v>
      </c>
      <c r="Q10025" t="n">
        <v>0</v>
      </c>
      <c r="R10025" t="n">
        <v>0</v>
      </c>
      <c r="S10025" t="n">
        <v>0</v>
      </c>
      <c r="T10025" t="n">
        <v>0</v>
      </c>
      <c r="U10025" t="n">
        <v>0</v>
      </c>
      <c r="V10025" s="2" t="inlineStr"/>
    </row>
    <row r="10026" ht="15" customHeight="1">
      <c r="A10026" t="inlineStr">
        <is>
          <t>A 31939-2026</t>
        </is>
      </c>
      <c r="B10026" t="inlineStr">
        <is>
          <t>avverkningsanmälan</t>
        </is>
      </c>
      <c r="C10026" t="inlineStr">
        <is>
          <t>Föryngringsavverkning</t>
        </is>
      </c>
      <c r="D10026" s="1" t="n">
        <v>46232</v>
      </c>
      <c r="E10026" s="1" t="n">
        <v>46307</v>
      </c>
      <c r="F10026" t="inlineStr">
        <is>
          <t>VÄRMLANDS LÄN</t>
        </is>
      </c>
      <c r="G10026" t="inlineStr">
        <is>
          <t>SÄFFLE</t>
        </is>
      </c>
      <c r="I10026" t="n">
        <v>0.6</v>
      </c>
      <c r="J10026" t="n">
        <v>0</v>
      </c>
      <c r="K10026" t="n">
        <v>0</v>
      </c>
      <c r="L10026" t="n">
        <v>0</v>
      </c>
      <c r="M10026" t="n">
        <v>0</v>
      </c>
      <c r="N10026" t="n">
        <v>0</v>
      </c>
      <c r="O10026" t="n">
        <v>0</v>
      </c>
      <c r="P10026" t="n">
        <v>0</v>
      </c>
      <c r="Q10026" t="n">
        <v>0</v>
      </c>
      <c r="R10026" t="n">
        <v>0</v>
      </c>
      <c r="S10026" t="n">
        <v>0</v>
      </c>
      <c r="T10026" t="n">
        <v>0</v>
      </c>
      <c r="U10026" t="n">
        <v>0</v>
      </c>
      <c r="V10026" s="2" t="inlineStr"/>
    </row>
    <row r="10027" ht="15" customHeight="1">
      <c r="A10027" t="inlineStr">
        <is>
          <t>A 31940-2026</t>
        </is>
      </c>
      <c r="B10027" t="inlineStr">
        <is>
          <t>avverkningsanmälan</t>
        </is>
      </c>
      <c r="C10027" t="inlineStr">
        <is>
          <t>Föryngringsavverkning</t>
        </is>
      </c>
      <c r="D10027" s="1" t="n">
        <v>46232</v>
      </c>
      <c r="E10027" s="1" t="n">
        <v>46307</v>
      </c>
      <c r="F10027" t="inlineStr">
        <is>
          <t>VÄRMLANDS LÄN</t>
        </is>
      </c>
      <c r="G10027" t="inlineStr">
        <is>
          <t>ÅRJÄNG</t>
        </is>
      </c>
      <c r="I10027" t="n">
        <v>0.6</v>
      </c>
      <c r="J10027" t="n">
        <v>0</v>
      </c>
      <c r="K10027" t="n">
        <v>0</v>
      </c>
      <c r="L10027" t="n">
        <v>0</v>
      </c>
      <c r="M10027" t="n">
        <v>0</v>
      </c>
      <c r="N10027" t="n">
        <v>0</v>
      </c>
      <c r="O10027" t="n">
        <v>0</v>
      </c>
      <c r="P10027" t="n">
        <v>0</v>
      </c>
      <c r="Q10027" t="n">
        <v>0</v>
      </c>
      <c r="R10027" t="n">
        <v>0</v>
      </c>
      <c r="S10027" t="n">
        <v>0</v>
      </c>
      <c r="T10027" t="n">
        <v>0</v>
      </c>
      <c r="U10027" t="n">
        <v>0</v>
      </c>
      <c r="V10027" s="2" t="inlineStr"/>
    </row>
    <row r="10028" ht="15" customHeight="1">
      <c r="A10028" t="inlineStr">
        <is>
          <t>A 31986-2026</t>
        </is>
      </c>
      <c r="B10028" t="inlineStr">
        <is>
          <t>avverkningsanmälan</t>
        </is>
      </c>
      <c r="C10028" t="inlineStr">
        <is>
          <t>Föryngringsavverkning</t>
        </is>
      </c>
      <c r="D10028" s="1" t="n">
        <v>46232</v>
      </c>
      <c r="E10028" s="1" t="n">
        <v>46307</v>
      </c>
      <c r="F10028" t="inlineStr">
        <is>
          <t>VÄRMLANDS LÄN</t>
        </is>
      </c>
      <c r="G10028" t="inlineStr">
        <is>
          <t>SUNNE</t>
        </is>
      </c>
      <c r="H10028" t="inlineStr">
        <is>
          <t>Bergvik skog väst AB</t>
        </is>
      </c>
      <c r="I10028" t="n">
        <v>10.9</v>
      </c>
      <c r="J10028" t="n">
        <v>0</v>
      </c>
      <c r="K10028" t="n">
        <v>0</v>
      </c>
      <c r="L10028" t="n">
        <v>0</v>
      </c>
      <c r="M10028" t="n">
        <v>0</v>
      </c>
      <c r="N10028" t="n">
        <v>0</v>
      </c>
      <c r="O10028" t="n">
        <v>0</v>
      </c>
      <c r="P10028" t="n">
        <v>0</v>
      </c>
      <c r="Q10028" t="n">
        <v>0</v>
      </c>
      <c r="R10028" t="n">
        <v>0</v>
      </c>
      <c r="S10028" t="n">
        <v>0</v>
      </c>
      <c r="T10028" t="n">
        <v>0</v>
      </c>
      <c r="U10028" t="n">
        <v>0</v>
      </c>
      <c r="V10028" s="2" t="inlineStr"/>
    </row>
    <row r="10029" ht="15" customHeight="1">
      <c r="A10029" t="inlineStr">
        <is>
          <t>A 37399-2026</t>
        </is>
      </c>
      <c r="B10029" t="inlineStr">
        <is>
          <t>avverkningsanmälan</t>
        </is>
      </c>
      <c r="C10029" t="inlineStr">
        <is>
          <t>Föryngringsavverkning</t>
        </is>
      </c>
      <c r="D10029" s="1" t="n">
        <v>46275</v>
      </c>
      <c r="E10029" s="1" t="n">
        <v>46307</v>
      </c>
      <c r="F10029" t="inlineStr">
        <is>
          <t>VÄRMLANDS LÄN</t>
        </is>
      </c>
      <c r="G10029" t="inlineStr">
        <is>
          <t>HAGFORS</t>
        </is>
      </c>
      <c r="H10029" t="inlineStr">
        <is>
          <t>Bergvik skog väst AB</t>
        </is>
      </c>
      <c r="I10029" t="n">
        <v>13.7</v>
      </c>
      <c r="J10029" t="n">
        <v>0</v>
      </c>
      <c r="K10029" t="n">
        <v>0</v>
      </c>
      <c r="L10029" t="n">
        <v>0</v>
      </c>
      <c r="M10029" t="n">
        <v>0</v>
      </c>
      <c r="N10029" t="n">
        <v>0</v>
      </c>
      <c r="O10029" t="n">
        <v>0</v>
      </c>
      <c r="P10029" t="n">
        <v>0</v>
      </c>
      <c r="Q10029" t="n">
        <v>0</v>
      </c>
      <c r="R10029" t="n">
        <v>0</v>
      </c>
      <c r="S10029" t="n">
        <v>0</v>
      </c>
      <c r="T10029" t="n">
        <v>0</v>
      </c>
      <c r="U10029" t="n">
        <v>0</v>
      </c>
      <c r="V10029" s="2" t="inlineStr"/>
    </row>
    <row r="10030" ht="15" customHeight="1">
      <c r="A10030" t="inlineStr">
        <is>
          <t>A 37336-2026</t>
        </is>
      </c>
      <c r="B10030" t="inlineStr">
        <is>
          <t>avverkningsanmälan</t>
        </is>
      </c>
      <c r="C10030" t="inlineStr">
        <is>
          <t>Föryngringsavverkning</t>
        </is>
      </c>
      <c r="D10030" s="1" t="n">
        <v>46275</v>
      </c>
      <c r="E10030" s="1" t="n">
        <v>46307</v>
      </c>
      <c r="F10030" t="inlineStr">
        <is>
          <t>VÄRMLANDS LÄN</t>
        </is>
      </c>
      <c r="G10030" t="inlineStr">
        <is>
          <t>TORSBY</t>
        </is>
      </c>
      <c r="H10030" t="inlineStr">
        <is>
          <t>Bergvik skog väst AB</t>
        </is>
      </c>
      <c r="I10030" t="n">
        <v>1.6</v>
      </c>
      <c r="J10030" t="n">
        <v>0</v>
      </c>
      <c r="K10030" t="n">
        <v>0</v>
      </c>
      <c r="L10030" t="n">
        <v>0</v>
      </c>
      <c r="M10030" t="n">
        <v>0</v>
      </c>
      <c r="N10030" t="n">
        <v>0</v>
      </c>
      <c r="O10030" t="n">
        <v>0</v>
      </c>
      <c r="P10030" t="n">
        <v>0</v>
      </c>
      <c r="Q10030" t="n">
        <v>0</v>
      </c>
      <c r="R10030" t="n">
        <v>0</v>
      </c>
      <c r="S10030" t="n">
        <v>0</v>
      </c>
      <c r="T10030" t="n">
        <v>0</v>
      </c>
      <c r="U10030" t="n">
        <v>0</v>
      </c>
      <c r="V10030" s="2" t="inlineStr"/>
    </row>
    <row r="10031" ht="15" customHeight="1">
      <c r="A10031" t="inlineStr">
        <is>
          <t>A 31950-2026</t>
        </is>
      </c>
      <c r="B10031" t="inlineStr">
        <is>
          <t>avverkningsanmälan</t>
        </is>
      </c>
      <c r="C10031" t="inlineStr">
        <is>
          <t>Föryngringsavverkning</t>
        </is>
      </c>
      <c r="D10031" s="1" t="n">
        <v>46232</v>
      </c>
      <c r="E10031" s="1" t="n">
        <v>46307</v>
      </c>
      <c r="F10031" t="inlineStr">
        <is>
          <t>VÄRMLANDS LÄN</t>
        </is>
      </c>
      <c r="G10031" t="inlineStr">
        <is>
          <t>FILIPSTAD</t>
        </is>
      </c>
      <c r="H10031" t="inlineStr">
        <is>
          <t>Bergvik skog väst AB</t>
        </is>
      </c>
      <c r="I10031" t="n">
        <v>1</v>
      </c>
      <c r="J10031" t="n">
        <v>0</v>
      </c>
      <c r="K10031" t="n">
        <v>0</v>
      </c>
      <c r="L10031" t="n">
        <v>0</v>
      </c>
      <c r="M10031" t="n">
        <v>0</v>
      </c>
      <c r="N10031" t="n">
        <v>0</v>
      </c>
      <c r="O10031" t="n">
        <v>0</v>
      </c>
      <c r="P10031" t="n">
        <v>0</v>
      </c>
      <c r="Q10031" t="n">
        <v>0</v>
      </c>
      <c r="R10031" t="n">
        <v>0</v>
      </c>
      <c r="S10031" t="n">
        <v>0</v>
      </c>
      <c r="T10031" t="n">
        <v>0</v>
      </c>
      <c r="U10031" t="n">
        <v>0</v>
      </c>
      <c r="V10031" s="2" t="inlineStr"/>
    </row>
    <row r="10032" ht="15" customHeight="1">
      <c r="A10032" t="inlineStr">
        <is>
          <t>A 31957-2026</t>
        </is>
      </c>
      <c r="B10032" t="inlineStr">
        <is>
          <t>avverkningsanmälan</t>
        </is>
      </c>
      <c r="C10032" t="inlineStr">
        <is>
          <t>Föryngringsavverkning</t>
        </is>
      </c>
      <c r="D10032" s="1" t="n">
        <v>46232</v>
      </c>
      <c r="E10032" s="1" t="n">
        <v>46307</v>
      </c>
      <c r="F10032" t="inlineStr">
        <is>
          <t>VÄRMLANDS LÄN</t>
        </is>
      </c>
      <c r="G10032" t="inlineStr">
        <is>
          <t>FILIPSTAD</t>
        </is>
      </c>
      <c r="H10032" t="inlineStr">
        <is>
          <t>Bergvik skog väst AB</t>
        </is>
      </c>
      <c r="I10032" t="n">
        <v>1.4</v>
      </c>
      <c r="J10032" t="n">
        <v>0</v>
      </c>
      <c r="K10032" t="n">
        <v>0</v>
      </c>
      <c r="L10032" t="n">
        <v>0</v>
      </c>
      <c r="M10032" t="n">
        <v>0</v>
      </c>
      <c r="N10032" t="n">
        <v>0</v>
      </c>
      <c r="O10032" t="n">
        <v>0</v>
      </c>
      <c r="P10032" t="n">
        <v>0</v>
      </c>
      <c r="Q10032" t="n">
        <v>0</v>
      </c>
      <c r="R10032" t="n">
        <v>0</v>
      </c>
      <c r="S10032" t="n">
        <v>0</v>
      </c>
      <c r="T10032" t="n">
        <v>0</v>
      </c>
      <c r="U10032" t="n">
        <v>0</v>
      </c>
      <c r="V10032" s="2" t="inlineStr"/>
    </row>
    <row r="10033" ht="15" customHeight="1">
      <c r="A10033" t="inlineStr">
        <is>
          <t>A 37528-2026</t>
        </is>
      </c>
      <c r="B10033" t="inlineStr">
        <is>
          <t>avverkningsanmälan</t>
        </is>
      </c>
      <c r="C10033" t="inlineStr">
        <is>
          <t>Föryngringsavverkning</t>
        </is>
      </c>
      <c r="D10033" s="1" t="n">
        <v>46276</v>
      </c>
      <c r="E10033" s="1" t="n">
        <v>46307</v>
      </c>
      <c r="F10033" t="inlineStr">
        <is>
          <t>VÄRMLANDS LÄN</t>
        </is>
      </c>
      <c r="G10033" t="inlineStr">
        <is>
          <t>TORSBY</t>
        </is>
      </c>
      <c r="H10033" t="inlineStr">
        <is>
          <t>Bergvik skog väst AB</t>
        </is>
      </c>
      <c r="I10033" t="n">
        <v>10.3</v>
      </c>
      <c r="J10033" t="n">
        <v>0</v>
      </c>
      <c r="K10033" t="n">
        <v>0</v>
      </c>
      <c r="L10033" t="n">
        <v>0</v>
      </c>
      <c r="M10033" t="n">
        <v>0</v>
      </c>
      <c r="N10033" t="n">
        <v>0</v>
      </c>
      <c r="O10033" t="n">
        <v>0</v>
      </c>
      <c r="P10033" t="n">
        <v>0</v>
      </c>
      <c r="Q10033" t="n">
        <v>0</v>
      </c>
      <c r="R10033" t="n">
        <v>0</v>
      </c>
      <c r="S10033" t="n">
        <v>0</v>
      </c>
      <c r="T10033" t="n">
        <v>0</v>
      </c>
      <c r="U10033" t="n">
        <v>0</v>
      </c>
      <c r="V10033" s="2" t="inlineStr"/>
    </row>
    <row r="10034" ht="15" customHeight="1">
      <c r="A10034" t="inlineStr">
        <is>
          <t>A 37323-2026</t>
        </is>
      </c>
      <c r="B10034" t="inlineStr">
        <is>
          <t>avverkningsanmälan</t>
        </is>
      </c>
      <c r="C10034" t="inlineStr">
        <is>
          <t>Föryngringsavverkning</t>
        </is>
      </c>
      <c r="D10034" s="1" t="n">
        <v>46275</v>
      </c>
      <c r="E10034" s="1" t="n">
        <v>46307</v>
      </c>
      <c r="F10034" t="inlineStr">
        <is>
          <t>VÄRMLANDS LÄN</t>
        </is>
      </c>
      <c r="G10034" t="inlineStr">
        <is>
          <t>ARVIKA</t>
        </is>
      </c>
      <c r="I10034" t="n">
        <v>2.7</v>
      </c>
      <c r="J10034" t="n">
        <v>0</v>
      </c>
      <c r="K10034" t="n">
        <v>0</v>
      </c>
      <c r="L10034" t="n">
        <v>0</v>
      </c>
      <c r="M10034" t="n">
        <v>0</v>
      </c>
      <c r="N10034" t="n">
        <v>0</v>
      </c>
      <c r="O10034" t="n">
        <v>0</v>
      </c>
      <c r="P10034" t="n">
        <v>0</v>
      </c>
      <c r="Q10034" t="n">
        <v>0</v>
      </c>
      <c r="R10034" t="n">
        <v>0</v>
      </c>
      <c r="S10034" t="n">
        <v>0</v>
      </c>
      <c r="T10034" t="n">
        <v>0</v>
      </c>
      <c r="U10034" t="n">
        <v>0</v>
      </c>
      <c r="V10034" s="2" t="inlineStr"/>
    </row>
    <row r="10035" ht="15" customHeight="1">
      <c r="A10035" t="inlineStr">
        <is>
          <t>A 36704-2026</t>
        </is>
      </c>
      <c r="B10035" t="inlineStr">
        <is>
          <t>avverkningsanmälan</t>
        </is>
      </c>
      <c r="C10035" t="inlineStr">
        <is>
          <t>Föryngringsavverkning</t>
        </is>
      </c>
      <c r="D10035" s="1" t="n">
        <v>46272</v>
      </c>
      <c r="E10035" s="1" t="n">
        <v>46307</v>
      </c>
      <c r="F10035" t="inlineStr">
        <is>
          <t>VÄRMLANDS LÄN</t>
        </is>
      </c>
      <c r="G10035" t="inlineStr">
        <is>
          <t>TORSBY</t>
        </is>
      </c>
      <c r="H10035" t="inlineStr">
        <is>
          <t>Bergvik skog väst AB</t>
        </is>
      </c>
      <c r="I10035" t="n">
        <v>11</v>
      </c>
      <c r="J10035" t="n">
        <v>0</v>
      </c>
      <c r="K10035" t="n">
        <v>0</v>
      </c>
      <c r="L10035" t="n">
        <v>0</v>
      </c>
      <c r="M10035" t="n">
        <v>0</v>
      </c>
      <c r="N10035" t="n">
        <v>0</v>
      </c>
      <c r="O10035" t="n">
        <v>0</v>
      </c>
      <c r="P10035" t="n">
        <v>0</v>
      </c>
      <c r="Q10035" t="n">
        <v>0</v>
      </c>
      <c r="R10035" t="n">
        <v>0</v>
      </c>
      <c r="S10035" t="n">
        <v>0</v>
      </c>
      <c r="T10035" t="n">
        <v>0</v>
      </c>
      <c r="U10035" t="n">
        <v>0</v>
      </c>
      <c r="V10035" s="2" t="inlineStr"/>
    </row>
    <row r="10036" ht="15" customHeight="1">
      <c r="A10036" t="inlineStr">
        <is>
          <t>A 37326-2026</t>
        </is>
      </c>
      <c r="B10036" t="inlineStr">
        <is>
          <t>avverkningsanmälan</t>
        </is>
      </c>
      <c r="C10036" t="inlineStr">
        <is>
          <t>Föryngringsavverkning</t>
        </is>
      </c>
      <c r="D10036" s="1" t="n">
        <v>46275</v>
      </c>
      <c r="E10036" s="1" t="n">
        <v>46307</v>
      </c>
      <c r="F10036" t="inlineStr">
        <is>
          <t>VÄRMLANDS LÄN</t>
        </is>
      </c>
      <c r="G10036" t="inlineStr">
        <is>
          <t>EDA</t>
        </is>
      </c>
      <c r="I10036" t="n">
        <v>5.7</v>
      </c>
      <c r="J10036" t="n">
        <v>0</v>
      </c>
      <c r="K10036" t="n">
        <v>0</v>
      </c>
      <c r="L10036" t="n">
        <v>0</v>
      </c>
      <c r="M10036" t="n">
        <v>0</v>
      </c>
      <c r="N10036" t="n">
        <v>0</v>
      </c>
      <c r="O10036" t="n">
        <v>0</v>
      </c>
      <c r="P10036" t="n">
        <v>0</v>
      </c>
      <c r="Q10036" t="n">
        <v>0</v>
      </c>
      <c r="R10036" t="n">
        <v>0</v>
      </c>
      <c r="S10036" t="n">
        <v>0</v>
      </c>
      <c r="T10036" t="n">
        <v>0</v>
      </c>
      <c r="U10036" t="n">
        <v>0</v>
      </c>
      <c r="V10036" s="2" t="inlineStr"/>
    </row>
    <row r="10037" ht="15" customHeight="1">
      <c r="A10037" t="inlineStr">
        <is>
          <t>A 43601-2025</t>
        </is>
      </c>
      <c r="B10037" t="inlineStr">
        <is>
          <t>avverkningsanmälan</t>
        </is>
      </c>
      <c r="C10037" t="inlineStr">
        <is>
          <t>Föryngringsavverkning</t>
        </is>
      </c>
      <c r="D10037" s="1" t="n">
        <v>45911</v>
      </c>
      <c r="E10037" s="1" t="n">
        <v>46307</v>
      </c>
      <c r="F10037" t="inlineStr">
        <is>
          <t>VÄRMLANDS LÄN</t>
        </is>
      </c>
      <c r="G10037" t="inlineStr">
        <is>
          <t>KARLSTAD</t>
        </is>
      </c>
      <c r="I10037" t="n">
        <v>1.5</v>
      </c>
      <c r="J10037" t="n">
        <v>0</v>
      </c>
      <c r="K10037" t="n">
        <v>0</v>
      </c>
      <c r="L10037" t="n">
        <v>0</v>
      </c>
      <c r="M10037" t="n">
        <v>0</v>
      </c>
      <c r="N10037" t="n">
        <v>0</v>
      </c>
      <c r="O10037" t="n">
        <v>0</v>
      </c>
      <c r="P10037" t="n">
        <v>0</v>
      </c>
      <c r="Q10037" t="n">
        <v>0</v>
      </c>
      <c r="R10037" t="n">
        <v>0</v>
      </c>
      <c r="S10037" t="n">
        <v>0</v>
      </c>
      <c r="T10037" t="n">
        <v>0</v>
      </c>
      <c r="U10037" t="n">
        <v>0</v>
      </c>
      <c r="V10037" s="2" t="inlineStr"/>
    </row>
    <row r="10038" ht="15" customHeight="1">
      <c r="A10038" t="inlineStr">
        <is>
          <t>A 37389-2026</t>
        </is>
      </c>
      <c r="B10038" t="inlineStr">
        <is>
          <t>avverkningsanmälan</t>
        </is>
      </c>
      <c r="C10038" t="inlineStr">
        <is>
          <t>Föryngringsavverkning</t>
        </is>
      </c>
      <c r="D10038" s="1" t="n">
        <v>46275</v>
      </c>
      <c r="E10038" s="1" t="n">
        <v>46307</v>
      </c>
      <c r="F10038" t="inlineStr">
        <is>
          <t>VÄRMLANDS LÄN</t>
        </is>
      </c>
      <c r="G10038" t="inlineStr">
        <is>
          <t>HAGFORS</t>
        </is>
      </c>
      <c r="H10038" t="inlineStr">
        <is>
          <t>Bergvik skog väst AB</t>
        </is>
      </c>
      <c r="I10038" t="n">
        <v>7</v>
      </c>
      <c r="J10038" t="n">
        <v>0</v>
      </c>
      <c r="K10038" t="n">
        <v>0</v>
      </c>
      <c r="L10038" t="n">
        <v>0</v>
      </c>
      <c r="M10038" t="n">
        <v>0</v>
      </c>
      <c r="N10038" t="n">
        <v>0</v>
      </c>
      <c r="O10038" t="n">
        <v>0</v>
      </c>
      <c r="P10038" t="n">
        <v>0</v>
      </c>
      <c r="Q10038" t="n">
        <v>0</v>
      </c>
      <c r="R10038" t="n">
        <v>0</v>
      </c>
      <c r="S10038" t="n">
        <v>0</v>
      </c>
      <c r="T10038" t="n">
        <v>0</v>
      </c>
      <c r="U10038" t="n">
        <v>0</v>
      </c>
      <c r="V10038" s="2" t="inlineStr"/>
    </row>
    <row r="10039" ht="15" customHeight="1">
      <c r="A10039" t="inlineStr">
        <is>
          <t>A 32041-2026</t>
        </is>
      </c>
      <c r="B10039" t="inlineStr">
        <is>
          <t>avverkningsanmälan</t>
        </is>
      </c>
      <c r="C10039" t="inlineStr">
        <is>
          <t>Föryngringsavverkning</t>
        </is>
      </c>
      <c r="D10039" s="1" t="n">
        <v>46233</v>
      </c>
      <c r="E10039" s="1" t="n">
        <v>46307</v>
      </c>
      <c r="F10039" t="inlineStr">
        <is>
          <t>VÄRMLANDS LÄN</t>
        </is>
      </c>
      <c r="G10039" t="inlineStr">
        <is>
          <t>ARVIKA</t>
        </is>
      </c>
      <c r="H10039" t="inlineStr">
        <is>
          <t>Bergvik skog väst AB</t>
        </is>
      </c>
      <c r="I10039" t="n">
        <v>4.5</v>
      </c>
      <c r="J10039" t="n">
        <v>0</v>
      </c>
      <c r="K10039" t="n">
        <v>0</v>
      </c>
      <c r="L10039" t="n">
        <v>0</v>
      </c>
      <c r="M10039" t="n">
        <v>0</v>
      </c>
      <c r="N10039" t="n">
        <v>0</v>
      </c>
      <c r="O10039" t="n">
        <v>0</v>
      </c>
      <c r="P10039" t="n">
        <v>0</v>
      </c>
      <c r="Q10039" t="n">
        <v>0</v>
      </c>
      <c r="R10039" t="n">
        <v>0</v>
      </c>
      <c r="S10039" t="n">
        <v>0</v>
      </c>
      <c r="T10039" t="n">
        <v>0</v>
      </c>
      <c r="U10039" t="n">
        <v>0</v>
      </c>
      <c r="V10039" s="2" t="inlineStr"/>
    </row>
    <row r="10040" ht="15" customHeight="1">
      <c r="A10040" t="inlineStr">
        <is>
          <t>A 31935-2026</t>
        </is>
      </c>
      <c r="B10040" t="inlineStr">
        <is>
          <t>avverkningsanmälan</t>
        </is>
      </c>
      <c r="C10040" t="inlineStr">
        <is>
          <t>Föryngringsavverkning</t>
        </is>
      </c>
      <c r="D10040" s="1" t="n">
        <v>46232</v>
      </c>
      <c r="E10040" s="1" t="n">
        <v>46307</v>
      </c>
      <c r="F10040" t="inlineStr">
        <is>
          <t>VÄRMLANDS LÄN</t>
        </is>
      </c>
      <c r="G10040" t="inlineStr">
        <is>
          <t>SÄFFLE</t>
        </is>
      </c>
      <c r="I10040" t="n">
        <v>5.3</v>
      </c>
      <c r="J10040" t="n">
        <v>0</v>
      </c>
      <c r="K10040" t="n">
        <v>0</v>
      </c>
      <c r="L10040" t="n">
        <v>0</v>
      </c>
      <c r="M10040" t="n">
        <v>0</v>
      </c>
      <c r="N10040" t="n">
        <v>0</v>
      </c>
      <c r="O10040" t="n">
        <v>0</v>
      </c>
      <c r="P10040" t="n">
        <v>0</v>
      </c>
      <c r="Q10040" t="n">
        <v>0</v>
      </c>
      <c r="R10040" t="n">
        <v>0</v>
      </c>
      <c r="S10040" t="n">
        <v>0</v>
      </c>
      <c r="T10040" t="n">
        <v>0</v>
      </c>
      <c r="U10040" t="n">
        <v>0</v>
      </c>
      <c r="V10040" s="2" t="inlineStr"/>
    </row>
    <row r="10041" ht="15" customHeight="1">
      <c r="A10041" t="inlineStr">
        <is>
          <t>A 31963-2026</t>
        </is>
      </c>
      <c r="B10041" t="inlineStr">
        <is>
          <t>avverkningsanmälan</t>
        </is>
      </c>
      <c r="C10041" t="inlineStr">
        <is>
          <t>Föryngringsavverkning</t>
        </is>
      </c>
      <c r="D10041" s="1" t="n">
        <v>46232</v>
      </c>
      <c r="E10041" s="1" t="n">
        <v>46307</v>
      </c>
      <c r="F10041" t="inlineStr">
        <is>
          <t>VÄRMLANDS LÄN</t>
        </is>
      </c>
      <c r="G10041" t="inlineStr">
        <is>
          <t>FILIPSTAD</t>
        </is>
      </c>
      <c r="H10041" t="inlineStr">
        <is>
          <t>Bergvik skog väst AB</t>
        </is>
      </c>
      <c r="I10041" t="n">
        <v>8.699999999999999</v>
      </c>
      <c r="J10041" t="n">
        <v>0</v>
      </c>
      <c r="K10041" t="n">
        <v>0</v>
      </c>
      <c r="L10041" t="n">
        <v>0</v>
      </c>
      <c r="M10041" t="n">
        <v>0</v>
      </c>
      <c r="N10041" t="n">
        <v>0</v>
      </c>
      <c r="O10041" t="n">
        <v>0</v>
      </c>
      <c r="P10041" t="n">
        <v>0</v>
      </c>
      <c r="Q10041" t="n">
        <v>0</v>
      </c>
      <c r="R10041" t="n">
        <v>0</v>
      </c>
      <c r="S10041" t="n">
        <v>0</v>
      </c>
      <c r="T10041" t="n">
        <v>0</v>
      </c>
      <c r="U10041" t="n">
        <v>0</v>
      </c>
      <c r="V10041" s="2" t="inlineStr"/>
    </row>
    <row r="10042" ht="15" customHeight="1">
      <c r="A10042" t="inlineStr">
        <is>
          <t>A 37458-2026</t>
        </is>
      </c>
      <c r="B10042" t="inlineStr">
        <is>
          <t>avverkningsanmälan</t>
        </is>
      </c>
      <c r="C10042" t="inlineStr">
        <is>
          <t>Föryngringsavverkning</t>
        </is>
      </c>
      <c r="D10042" s="1" t="n">
        <v>46275</v>
      </c>
      <c r="E10042" s="1" t="n">
        <v>46307</v>
      </c>
      <c r="F10042" t="inlineStr">
        <is>
          <t>VÄRMLANDS LÄN</t>
        </is>
      </c>
      <c r="G10042" t="inlineStr">
        <is>
          <t>SUNNE</t>
        </is>
      </c>
      <c r="I10042" t="n">
        <v>0.8</v>
      </c>
      <c r="J10042" t="n">
        <v>0</v>
      </c>
      <c r="K10042" t="n">
        <v>0</v>
      </c>
      <c r="L10042" t="n">
        <v>0</v>
      </c>
      <c r="M10042" t="n">
        <v>0</v>
      </c>
      <c r="N10042" t="n">
        <v>0</v>
      </c>
      <c r="O10042" t="n">
        <v>0</v>
      </c>
      <c r="P10042" t="n">
        <v>0</v>
      </c>
      <c r="Q10042" t="n">
        <v>0</v>
      </c>
      <c r="R10042" t="n">
        <v>0</v>
      </c>
      <c r="S10042" t="n">
        <v>0</v>
      </c>
      <c r="T10042" t="n">
        <v>0</v>
      </c>
      <c r="U10042" t="n">
        <v>0</v>
      </c>
      <c r="V10042" s="2" t="inlineStr"/>
    </row>
    <row r="10043" ht="15" customHeight="1">
      <c r="A10043" t="inlineStr">
        <is>
          <t>A 37465-2026</t>
        </is>
      </c>
      <c r="B10043" t="inlineStr">
        <is>
          <t>avverkningsanmälan</t>
        </is>
      </c>
      <c r="C10043" t="inlineStr">
        <is>
          <t>Föryngringsavverkning</t>
        </is>
      </c>
      <c r="D10043" s="1" t="n">
        <v>46275</v>
      </c>
      <c r="E10043" s="1" t="n">
        <v>46307</v>
      </c>
      <c r="F10043" t="inlineStr">
        <is>
          <t>VÄRMLANDS LÄN</t>
        </is>
      </c>
      <c r="G10043" t="inlineStr">
        <is>
          <t>ARVIKA</t>
        </is>
      </c>
      <c r="I10043" t="n">
        <v>3.9</v>
      </c>
      <c r="J10043" t="n">
        <v>0</v>
      </c>
      <c r="K10043" t="n">
        <v>0</v>
      </c>
      <c r="L10043" t="n">
        <v>0</v>
      </c>
      <c r="M10043" t="n">
        <v>0</v>
      </c>
      <c r="N10043" t="n">
        <v>0</v>
      </c>
      <c r="O10043" t="n">
        <v>0</v>
      </c>
      <c r="P10043" t="n">
        <v>0</v>
      </c>
      <c r="Q10043" t="n">
        <v>0</v>
      </c>
      <c r="R10043" t="n">
        <v>0</v>
      </c>
      <c r="S10043" t="n">
        <v>0</v>
      </c>
      <c r="T10043" t="n">
        <v>0</v>
      </c>
      <c r="U10043" t="n">
        <v>0</v>
      </c>
      <c r="V10043" s="2" t="inlineStr"/>
    </row>
    <row r="10044" ht="15" customHeight="1">
      <c r="A10044" t="inlineStr">
        <is>
          <t>A 37497-2026</t>
        </is>
      </c>
      <c r="B10044" t="inlineStr">
        <is>
          <t>avverkningsanmälan</t>
        </is>
      </c>
      <c r="C10044" t="inlineStr">
        <is>
          <t>Föryngringsavverkning</t>
        </is>
      </c>
      <c r="D10044" s="1" t="n">
        <v>46275</v>
      </c>
      <c r="E10044" s="1" t="n">
        <v>46307</v>
      </c>
      <c r="F10044" t="inlineStr">
        <is>
          <t>VÄRMLANDS LÄN</t>
        </is>
      </c>
      <c r="G10044" t="inlineStr">
        <is>
          <t>HAGFORS</t>
        </is>
      </c>
      <c r="I10044" t="n">
        <v>2.1</v>
      </c>
      <c r="J10044" t="n">
        <v>0</v>
      </c>
      <c r="K10044" t="n">
        <v>0</v>
      </c>
      <c r="L10044" t="n">
        <v>0</v>
      </c>
      <c r="M10044" t="n">
        <v>0</v>
      </c>
      <c r="N10044" t="n">
        <v>0</v>
      </c>
      <c r="O10044" t="n">
        <v>0</v>
      </c>
      <c r="P10044" t="n">
        <v>0</v>
      </c>
      <c r="Q10044" t="n">
        <v>0</v>
      </c>
      <c r="R10044" t="n">
        <v>0</v>
      </c>
      <c r="S10044" t="n">
        <v>0</v>
      </c>
      <c r="T10044" t="n">
        <v>0</v>
      </c>
      <c r="U10044" t="n">
        <v>0</v>
      </c>
      <c r="V10044" s="2" t="inlineStr"/>
    </row>
    <row r="10045" ht="15" customHeight="1">
      <c r="A10045" t="inlineStr">
        <is>
          <t>A 32035-2026</t>
        </is>
      </c>
      <c r="B10045" t="inlineStr">
        <is>
          <t>avverkningsanmälan</t>
        </is>
      </c>
      <c r="C10045" t="inlineStr">
        <is>
          <t>Föryngringsavverkning</t>
        </is>
      </c>
      <c r="D10045" s="1" t="n">
        <v>46233</v>
      </c>
      <c r="E10045" s="1" t="n">
        <v>46307</v>
      </c>
      <c r="F10045" t="inlineStr">
        <is>
          <t>VÄRMLANDS LÄN</t>
        </is>
      </c>
      <c r="G10045" t="inlineStr">
        <is>
          <t>FILIPSTAD</t>
        </is>
      </c>
      <c r="H10045" t="inlineStr">
        <is>
          <t>Bergvik skog väst AB</t>
        </is>
      </c>
      <c r="I10045" t="n">
        <v>3.8</v>
      </c>
      <c r="J10045" t="n">
        <v>0</v>
      </c>
      <c r="K10045" t="n">
        <v>0</v>
      </c>
      <c r="L10045" t="n">
        <v>0</v>
      </c>
      <c r="M10045" t="n">
        <v>0</v>
      </c>
      <c r="N10045" t="n">
        <v>0</v>
      </c>
      <c r="O10045" t="n">
        <v>0</v>
      </c>
      <c r="P10045" t="n">
        <v>0</v>
      </c>
      <c r="Q10045" t="n">
        <v>0</v>
      </c>
      <c r="R10045" t="n">
        <v>0</v>
      </c>
      <c r="S10045" t="n">
        <v>0</v>
      </c>
      <c r="T10045" t="n">
        <v>0</v>
      </c>
      <c r="U10045" t="n">
        <v>0</v>
      </c>
      <c r="V10045" s="2" t="inlineStr"/>
    </row>
    <row r="10046" ht="15" customHeight="1">
      <c r="A10046" t="inlineStr">
        <is>
          <t>A 37416-2026</t>
        </is>
      </c>
      <c r="B10046" t="inlineStr">
        <is>
          <t>avverkningsanmälan</t>
        </is>
      </c>
      <c r="C10046" t="inlineStr">
        <is>
          <t>Föryngringsavverkning</t>
        </is>
      </c>
      <c r="D10046" s="1" t="n">
        <v>46275</v>
      </c>
      <c r="E10046" s="1" t="n">
        <v>46307</v>
      </c>
      <c r="F10046" t="inlineStr">
        <is>
          <t>VÄRMLANDS LÄN</t>
        </is>
      </c>
      <c r="G10046" t="inlineStr">
        <is>
          <t>SUNNE</t>
        </is>
      </c>
      <c r="I10046" t="n">
        <v>1.1</v>
      </c>
      <c r="J10046" t="n">
        <v>0</v>
      </c>
      <c r="K10046" t="n">
        <v>0</v>
      </c>
      <c r="L10046" t="n">
        <v>0</v>
      </c>
      <c r="M10046" t="n">
        <v>0</v>
      </c>
      <c r="N10046" t="n">
        <v>0</v>
      </c>
      <c r="O10046" t="n">
        <v>0</v>
      </c>
      <c r="P10046" t="n">
        <v>0</v>
      </c>
      <c r="Q10046" t="n">
        <v>0</v>
      </c>
      <c r="R10046" t="n">
        <v>0</v>
      </c>
      <c r="S10046" t="n">
        <v>0</v>
      </c>
      <c r="T10046" t="n">
        <v>0</v>
      </c>
      <c r="U10046" t="n">
        <v>0</v>
      </c>
      <c r="V10046" s="2" t="inlineStr"/>
    </row>
    <row r="10047" ht="15" customHeight="1">
      <c r="A10047" t="inlineStr">
        <is>
          <t>A 31937-2026</t>
        </is>
      </c>
      <c r="B10047" t="inlineStr">
        <is>
          <t>avverkningsanmälan</t>
        </is>
      </c>
      <c r="C10047" t="inlineStr">
        <is>
          <t>Föryngringsavverkning</t>
        </is>
      </c>
      <c r="D10047" s="1" t="n">
        <v>46232</v>
      </c>
      <c r="E10047" s="1" t="n">
        <v>46307</v>
      </c>
      <c r="F10047" t="inlineStr">
        <is>
          <t>VÄRMLANDS LÄN</t>
        </is>
      </c>
      <c r="G10047" t="inlineStr">
        <is>
          <t>SÄFFLE</t>
        </is>
      </c>
      <c r="I10047" t="n">
        <v>1.3</v>
      </c>
      <c r="J10047" t="n">
        <v>0</v>
      </c>
      <c r="K10047" t="n">
        <v>0</v>
      </c>
      <c r="L10047" t="n">
        <v>0</v>
      </c>
      <c r="M10047" t="n">
        <v>0</v>
      </c>
      <c r="N10047" t="n">
        <v>0</v>
      </c>
      <c r="O10047" t="n">
        <v>0</v>
      </c>
      <c r="P10047" t="n">
        <v>0</v>
      </c>
      <c r="Q10047" t="n">
        <v>0</v>
      </c>
      <c r="R10047" t="n">
        <v>0</v>
      </c>
      <c r="S10047" t="n">
        <v>0</v>
      </c>
      <c r="T10047" t="n">
        <v>0</v>
      </c>
      <c r="U10047" t="n">
        <v>0</v>
      </c>
      <c r="V10047" s="2" t="inlineStr"/>
    </row>
    <row r="10048" ht="15" customHeight="1">
      <c r="A10048" t="inlineStr">
        <is>
          <t>A 31942-2026</t>
        </is>
      </c>
      <c r="B10048" t="inlineStr">
        <is>
          <t>avverkningsanmälan</t>
        </is>
      </c>
      <c r="C10048" t="inlineStr">
        <is>
          <t>Föryngringsavverkning</t>
        </is>
      </c>
      <c r="D10048" s="1" t="n">
        <v>46232</v>
      </c>
      <c r="E10048" s="1" t="n">
        <v>46307</v>
      </c>
      <c r="F10048" t="inlineStr">
        <is>
          <t>VÄRMLANDS LÄN</t>
        </is>
      </c>
      <c r="G10048" t="inlineStr">
        <is>
          <t>ÅRJÄNG</t>
        </is>
      </c>
      <c r="I10048" t="n">
        <v>6.4</v>
      </c>
      <c r="J10048" t="n">
        <v>0</v>
      </c>
      <c r="K10048" t="n">
        <v>0</v>
      </c>
      <c r="L10048" t="n">
        <v>0</v>
      </c>
      <c r="M10048" t="n">
        <v>0</v>
      </c>
      <c r="N10048" t="n">
        <v>0</v>
      </c>
      <c r="O10048" t="n">
        <v>0</v>
      </c>
      <c r="P10048" t="n">
        <v>0</v>
      </c>
      <c r="Q10048" t="n">
        <v>0</v>
      </c>
      <c r="R10048" t="n">
        <v>0</v>
      </c>
      <c r="S10048" t="n">
        <v>0</v>
      </c>
      <c r="T10048" t="n">
        <v>0</v>
      </c>
      <c r="U10048" t="n">
        <v>0</v>
      </c>
      <c r="V10048" s="2" t="inlineStr"/>
    </row>
    <row r="10049" ht="15" customHeight="1">
      <c r="A10049" t="inlineStr">
        <is>
          <t>A 37519-2026</t>
        </is>
      </c>
      <c r="B10049" t="inlineStr">
        <is>
          <t>avverkningsanmälan</t>
        </is>
      </c>
      <c r="C10049" t="inlineStr">
        <is>
          <t>Föryngringsavverkning</t>
        </is>
      </c>
      <c r="D10049" s="1" t="n">
        <v>46276</v>
      </c>
      <c r="E10049" s="1" t="n">
        <v>46307</v>
      </c>
      <c r="F10049" t="inlineStr">
        <is>
          <t>VÄRMLANDS LÄN</t>
        </is>
      </c>
      <c r="G10049" t="inlineStr">
        <is>
          <t>FILIPSTAD</t>
        </is>
      </c>
      <c r="H10049" t="inlineStr">
        <is>
          <t>Bergvik skog väst AB</t>
        </is>
      </c>
      <c r="I10049" t="n">
        <v>0.8</v>
      </c>
      <c r="J10049" t="n">
        <v>0</v>
      </c>
      <c r="K10049" t="n">
        <v>0</v>
      </c>
      <c r="L10049" t="n">
        <v>0</v>
      </c>
      <c r="M10049" t="n">
        <v>0</v>
      </c>
      <c r="N10049" t="n">
        <v>0</v>
      </c>
      <c r="O10049" t="n">
        <v>0</v>
      </c>
      <c r="P10049" t="n">
        <v>0</v>
      </c>
      <c r="Q10049" t="n">
        <v>0</v>
      </c>
      <c r="R10049" t="n">
        <v>0</v>
      </c>
      <c r="S10049" t="n">
        <v>0</v>
      </c>
      <c r="T10049" t="n">
        <v>0</v>
      </c>
      <c r="U10049" t="n">
        <v>0</v>
      </c>
      <c r="V10049" s="2" t="inlineStr"/>
    </row>
    <row r="10050" ht="15" customHeight="1">
      <c r="A10050" t="inlineStr">
        <is>
          <t>A 31981-2026</t>
        </is>
      </c>
      <c r="B10050" t="inlineStr">
        <is>
          <t>avverkningsanmälan</t>
        </is>
      </c>
      <c r="C10050" t="inlineStr">
        <is>
          <t>Föryngringsavverkning</t>
        </is>
      </c>
      <c r="D10050" s="1" t="n">
        <v>46232</v>
      </c>
      <c r="E10050" s="1" t="n">
        <v>46307</v>
      </c>
      <c r="F10050" t="inlineStr">
        <is>
          <t>VÄRMLANDS LÄN</t>
        </is>
      </c>
      <c r="G10050" t="inlineStr">
        <is>
          <t>ARVIKA</t>
        </is>
      </c>
      <c r="I10050" t="n">
        <v>0.7</v>
      </c>
      <c r="J10050" t="n">
        <v>0</v>
      </c>
      <c r="K10050" t="n">
        <v>0</v>
      </c>
      <c r="L10050" t="n">
        <v>0</v>
      </c>
      <c r="M10050" t="n">
        <v>0</v>
      </c>
      <c r="N10050" t="n">
        <v>0</v>
      </c>
      <c r="O10050" t="n">
        <v>0</v>
      </c>
      <c r="P10050" t="n">
        <v>0</v>
      </c>
      <c r="Q10050" t="n">
        <v>0</v>
      </c>
      <c r="R10050" t="n">
        <v>0</v>
      </c>
      <c r="S10050" t="n">
        <v>0</v>
      </c>
      <c r="T10050" t="n">
        <v>0</v>
      </c>
      <c r="U10050" t="n">
        <v>0</v>
      </c>
      <c r="V10050" s="2" t="inlineStr"/>
    </row>
    <row r="10051" ht="15" customHeight="1">
      <c r="A10051" t="inlineStr">
        <is>
          <t>A 31982-2026</t>
        </is>
      </c>
      <c r="B10051" t="inlineStr">
        <is>
          <t>avverkningsanmälan</t>
        </is>
      </c>
      <c r="C10051" t="inlineStr">
        <is>
          <t>Föryngringsavverkning</t>
        </is>
      </c>
      <c r="D10051" s="1" t="n">
        <v>46232</v>
      </c>
      <c r="E10051" s="1" t="n">
        <v>46307</v>
      </c>
      <c r="F10051" t="inlineStr">
        <is>
          <t>VÄRMLANDS LÄN</t>
        </is>
      </c>
      <c r="G10051" t="inlineStr">
        <is>
          <t>SUNNE</t>
        </is>
      </c>
      <c r="H10051" t="inlineStr">
        <is>
          <t>Bergvik skog väst AB</t>
        </is>
      </c>
      <c r="I10051" t="n">
        <v>1.4</v>
      </c>
      <c r="J10051" t="n">
        <v>0</v>
      </c>
      <c r="K10051" t="n">
        <v>0</v>
      </c>
      <c r="L10051" t="n">
        <v>0</v>
      </c>
      <c r="M10051" t="n">
        <v>0</v>
      </c>
      <c r="N10051" t="n">
        <v>0</v>
      </c>
      <c r="O10051" t="n">
        <v>0</v>
      </c>
      <c r="P10051" t="n">
        <v>0</v>
      </c>
      <c r="Q10051" t="n">
        <v>0</v>
      </c>
      <c r="R10051" t="n">
        <v>0</v>
      </c>
      <c r="S10051" t="n">
        <v>0</v>
      </c>
      <c r="T10051" t="n">
        <v>0</v>
      </c>
      <c r="U10051" t="n">
        <v>0</v>
      </c>
      <c r="V10051" s="2" t="inlineStr"/>
    </row>
    <row r="10052" ht="15" customHeight="1">
      <c r="A10052" t="inlineStr">
        <is>
          <t>A 37373-2026</t>
        </is>
      </c>
      <c r="B10052" t="inlineStr">
        <is>
          <t>avverkningsanmälan</t>
        </is>
      </c>
      <c r="C10052" t="inlineStr">
        <is>
          <t>Föryngringsavverkning</t>
        </is>
      </c>
      <c r="D10052" s="1" t="n">
        <v>46275</v>
      </c>
      <c r="E10052" s="1" t="n">
        <v>46307</v>
      </c>
      <c r="F10052" t="inlineStr">
        <is>
          <t>VÄRMLANDS LÄN</t>
        </is>
      </c>
      <c r="G10052" t="inlineStr">
        <is>
          <t>TORSBY</t>
        </is>
      </c>
      <c r="H10052" t="inlineStr">
        <is>
          <t>Bergvik skog väst AB</t>
        </is>
      </c>
      <c r="I10052" t="n">
        <v>3.6</v>
      </c>
      <c r="J10052" t="n">
        <v>0</v>
      </c>
      <c r="K10052" t="n">
        <v>0</v>
      </c>
      <c r="L10052" t="n">
        <v>0</v>
      </c>
      <c r="M10052" t="n">
        <v>0</v>
      </c>
      <c r="N10052" t="n">
        <v>0</v>
      </c>
      <c r="O10052" t="n">
        <v>0</v>
      </c>
      <c r="P10052" t="n">
        <v>0</v>
      </c>
      <c r="Q10052" t="n">
        <v>0</v>
      </c>
      <c r="R10052" t="n">
        <v>0</v>
      </c>
      <c r="S10052" t="n">
        <v>0</v>
      </c>
      <c r="T10052" t="n">
        <v>0</v>
      </c>
      <c r="U10052" t="n">
        <v>0</v>
      </c>
      <c r="V10052" s="2" t="inlineStr"/>
    </row>
    <row r="10053" ht="15" customHeight="1">
      <c r="A10053" t="inlineStr">
        <is>
          <t>A 37655-2026</t>
        </is>
      </c>
      <c r="B10053" t="inlineStr">
        <is>
          <t>avverkningsanmälan</t>
        </is>
      </c>
      <c r="C10053" t="inlineStr">
        <is>
          <t>Föryngringsavverkning</t>
        </is>
      </c>
      <c r="D10053" s="1" t="n">
        <v>46276</v>
      </c>
      <c r="E10053" s="1" t="n">
        <v>46307</v>
      </c>
      <c r="F10053" t="inlineStr">
        <is>
          <t>VÄRMLANDS LÄN</t>
        </is>
      </c>
      <c r="G10053" t="inlineStr">
        <is>
          <t>TORSBY</t>
        </is>
      </c>
      <c r="I10053" t="n">
        <v>0.4</v>
      </c>
      <c r="J10053" t="n">
        <v>0</v>
      </c>
      <c r="K10053" t="n">
        <v>0</v>
      </c>
      <c r="L10053" t="n">
        <v>0</v>
      </c>
      <c r="M10053" t="n">
        <v>0</v>
      </c>
      <c r="N10053" t="n">
        <v>0</v>
      </c>
      <c r="O10053" t="n">
        <v>0</v>
      </c>
      <c r="P10053" t="n">
        <v>0</v>
      </c>
      <c r="Q10053" t="n">
        <v>0</v>
      </c>
      <c r="R10053" t="n">
        <v>0</v>
      </c>
      <c r="S10053" t="n">
        <v>0</v>
      </c>
      <c r="T10053" t="n">
        <v>0</v>
      </c>
      <c r="U10053" t="n">
        <v>0</v>
      </c>
      <c r="V10053" s="2" t="inlineStr"/>
    </row>
    <row r="10054" ht="15" customHeight="1">
      <c r="A10054" t="inlineStr">
        <is>
          <t>A 31931-2026</t>
        </is>
      </c>
      <c r="B10054" t="inlineStr">
        <is>
          <t>avverkningsanmälan</t>
        </is>
      </c>
      <c r="C10054" t="inlineStr">
        <is>
          <t>Föryngringsavverkning</t>
        </is>
      </c>
      <c r="D10054" s="1" t="n">
        <v>46232</v>
      </c>
      <c r="E10054" s="1" t="n">
        <v>46307</v>
      </c>
      <c r="F10054" t="inlineStr">
        <is>
          <t>VÄRMLANDS LÄN</t>
        </is>
      </c>
      <c r="G10054" t="inlineStr">
        <is>
          <t>ARVIKA</t>
        </is>
      </c>
      <c r="H10054" t="inlineStr">
        <is>
          <t>Bergvik skog väst AB</t>
        </is>
      </c>
      <c r="I10054" t="n">
        <v>7.9</v>
      </c>
      <c r="J10054" t="n">
        <v>0</v>
      </c>
      <c r="K10054" t="n">
        <v>0</v>
      </c>
      <c r="L10054" t="n">
        <v>0</v>
      </c>
      <c r="M10054" t="n">
        <v>0</v>
      </c>
      <c r="N10054" t="n">
        <v>0</v>
      </c>
      <c r="O10054" t="n">
        <v>0</v>
      </c>
      <c r="P10054" t="n">
        <v>0</v>
      </c>
      <c r="Q10054" t="n">
        <v>0</v>
      </c>
      <c r="R10054" t="n">
        <v>0</v>
      </c>
      <c r="S10054" t="n">
        <v>0</v>
      </c>
      <c r="T10054" t="n">
        <v>0</v>
      </c>
      <c r="U10054" t="n">
        <v>0</v>
      </c>
      <c r="V10054" s="2" t="inlineStr"/>
    </row>
    <row r="10055" ht="15" customHeight="1">
      <c r="A10055" t="inlineStr">
        <is>
          <t>A 31992-2026</t>
        </is>
      </c>
      <c r="B10055" t="inlineStr">
        <is>
          <t>avverkningsanmälan</t>
        </is>
      </c>
      <c r="C10055" t="inlineStr">
        <is>
          <t>Föryngringsavverkning</t>
        </is>
      </c>
      <c r="D10055" s="1" t="n">
        <v>46232</v>
      </c>
      <c r="E10055" s="1" t="n">
        <v>46307</v>
      </c>
      <c r="F10055" t="inlineStr">
        <is>
          <t>VÄRMLANDS LÄN</t>
        </is>
      </c>
      <c r="G10055" t="inlineStr">
        <is>
          <t>STORFORS</t>
        </is>
      </c>
      <c r="I10055" t="n">
        <v>1.5</v>
      </c>
      <c r="J10055" t="n">
        <v>0</v>
      </c>
      <c r="K10055" t="n">
        <v>0</v>
      </c>
      <c r="L10055" t="n">
        <v>0</v>
      </c>
      <c r="M10055" t="n">
        <v>0</v>
      </c>
      <c r="N10055" t="n">
        <v>0</v>
      </c>
      <c r="O10055" t="n">
        <v>0</v>
      </c>
      <c r="P10055" t="n">
        <v>0</v>
      </c>
      <c r="Q10055" t="n">
        <v>0</v>
      </c>
      <c r="R10055" t="n">
        <v>0</v>
      </c>
      <c r="S10055" t="n">
        <v>0</v>
      </c>
      <c r="T10055" t="n">
        <v>0</v>
      </c>
      <c r="U10055" t="n">
        <v>0</v>
      </c>
      <c r="V10055" s="2" t="inlineStr"/>
    </row>
    <row r="10056" ht="15" customHeight="1">
      <c r="A10056" t="inlineStr">
        <is>
          <t>A 37701-2026</t>
        </is>
      </c>
      <c r="B10056" t="inlineStr">
        <is>
          <t>avverkningsanmälan</t>
        </is>
      </c>
      <c r="C10056" t="inlineStr">
        <is>
          <t>Föryngringsavverkning</t>
        </is>
      </c>
      <c r="D10056" s="1" t="n">
        <v>46276</v>
      </c>
      <c r="E10056" s="1" t="n">
        <v>46307</v>
      </c>
      <c r="F10056" t="inlineStr">
        <is>
          <t>VÄRMLANDS LÄN</t>
        </is>
      </c>
      <c r="G10056" t="inlineStr">
        <is>
          <t>SUNNE</t>
        </is>
      </c>
      <c r="I10056" t="n">
        <v>1.7</v>
      </c>
      <c r="J10056" t="n">
        <v>0</v>
      </c>
      <c r="K10056" t="n">
        <v>0</v>
      </c>
      <c r="L10056" t="n">
        <v>0</v>
      </c>
      <c r="M10056" t="n">
        <v>0</v>
      </c>
      <c r="N10056" t="n">
        <v>0</v>
      </c>
      <c r="O10056" t="n">
        <v>0</v>
      </c>
      <c r="P10056" t="n">
        <v>0</v>
      </c>
      <c r="Q10056" t="n">
        <v>0</v>
      </c>
      <c r="R10056" t="n">
        <v>0</v>
      </c>
      <c r="S10056" t="n">
        <v>0</v>
      </c>
      <c r="T10056" t="n">
        <v>0</v>
      </c>
      <c r="U10056" t="n">
        <v>0</v>
      </c>
      <c r="V10056" s="2" t="inlineStr"/>
    </row>
    <row r="10057" ht="15" customHeight="1">
      <c r="A10057" t="inlineStr">
        <is>
          <t>A 37730-2026</t>
        </is>
      </c>
      <c r="B10057" t="inlineStr">
        <is>
          <t>avverkningsanmälan</t>
        </is>
      </c>
      <c r="C10057" t="inlineStr">
        <is>
          <t>Föryngringsavverkning</t>
        </is>
      </c>
      <c r="D10057" s="1" t="n">
        <v>46279</v>
      </c>
      <c r="E10057" s="1" t="n">
        <v>46307</v>
      </c>
      <c r="F10057" t="inlineStr">
        <is>
          <t>VÄRMLANDS LÄN</t>
        </is>
      </c>
      <c r="G10057" t="inlineStr">
        <is>
          <t>SÄFFLE</t>
        </is>
      </c>
      <c r="I10057" t="n">
        <v>1</v>
      </c>
      <c r="J10057" t="n">
        <v>0</v>
      </c>
      <c r="K10057" t="n">
        <v>0</v>
      </c>
      <c r="L10057" t="n">
        <v>0</v>
      </c>
      <c r="M10057" t="n">
        <v>0</v>
      </c>
      <c r="N10057" t="n">
        <v>0</v>
      </c>
      <c r="O10057" t="n">
        <v>0</v>
      </c>
      <c r="P10057" t="n">
        <v>0</v>
      </c>
      <c r="Q10057" t="n">
        <v>0</v>
      </c>
      <c r="R10057" t="n">
        <v>0</v>
      </c>
      <c r="S10057" t="n">
        <v>0</v>
      </c>
      <c r="T10057" t="n">
        <v>0</v>
      </c>
      <c r="U10057" t="n">
        <v>0</v>
      </c>
      <c r="V10057" s="2" t="inlineStr"/>
    </row>
    <row r="10058" ht="15" customHeight="1">
      <c r="A10058" t="inlineStr">
        <is>
          <t>A 37963-2026</t>
        </is>
      </c>
      <c r="B10058" t="inlineStr">
        <is>
          <t>avverkningsanmälan</t>
        </is>
      </c>
      <c r="C10058" t="inlineStr">
        <is>
          <t>Föryngringsavverkning</t>
        </is>
      </c>
      <c r="D10058" s="1" t="n">
        <v>46280</v>
      </c>
      <c r="E10058" s="1" t="n">
        <v>46307</v>
      </c>
      <c r="F10058" t="inlineStr">
        <is>
          <t>VÄRMLANDS LÄN</t>
        </is>
      </c>
      <c r="G10058" t="inlineStr">
        <is>
          <t>HAGFORS</t>
        </is>
      </c>
      <c r="H10058" t="inlineStr">
        <is>
          <t>Bergvik skog väst AB</t>
        </is>
      </c>
      <c r="I10058" t="n">
        <v>13.7</v>
      </c>
      <c r="J10058" t="n">
        <v>0</v>
      </c>
      <c r="K10058" t="n">
        <v>0</v>
      </c>
      <c r="L10058" t="n">
        <v>0</v>
      </c>
      <c r="M10058" t="n">
        <v>0</v>
      </c>
      <c r="N10058" t="n">
        <v>0</v>
      </c>
      <c r="O10058" t="n">
        <v>0</v>
      </c>
      <c r="P10058" t="n">
        <v>0</v>
      </c>
      <c r="Q10058" t="n">
        <v>0</v>
      </c>
      <c r="R10058" t="n">
        <v>0</v>
      </c>
      <c r="S10058" t="n">
        <v>0</v>
      </c>
      <c r="T10058" t="n">
        <v>0</v>
      </c>
      <c r="U10058" t="n">
        <v>0</v>
      </c>
      <c r="V10058" s="2" t="inlineStr"/>
    </row>
    <row r="10059" ht="15" customHeight="1">
      <c r="A10059" t="inlineStr">
        <is>
          <t>A 37870-2026</t>
        </is>
      </c>
      <c r="B10059" t="inlineStr">
        <is>
          <t>avverkningsanmälan</t>
        </is>
      </c>
      <c r="C10059" t="inlineStr">
        <is>
          <t>Föryngringsavverkning</t>
        </is>
      </c>
      <c r="D10059" s="1" t="n">
        <v>46279</v>
      </c>
      <c r="E10059" s="1" t="n">
        <v>46307</v>
      </c>
      <c r="F10059" t="inlineStr">
        <is>
          <t>VÄRMLANDS LÄN</t>
        </is>
      </c>
      <c r="G10059" t="inlineStr">
        <is>
          <t>SUNNE</t>
        </is>
      </c>
      <c r="I10059" t="n">
        <v>1.8</v>
      </c>
      <c r="J10059" t="n">
        <v>0</v>
      </c>
      <c r="K10059" t="n">
        <v>0</v>
      </c>
      <c r="L10059" t="n">
        <v>0</v>
      </c>
      <c r="M10059" t="n">
        <v>0</v>
      </c>
      <c r="N10059" t="n">
        <v>0</v>
      </c>
      <c r="O10059" t="n">
        <v>0</v>
      </c>
      <c r="P10059" t="n">
        <v>0</v>
      </c>
      <c r="Q10059" t="n">
        <v>0</v>
      </c>
      <c r="R10059" t="n">
        <v>0</v>
      </c>
      <c r="S10059" t="n">
        <v>0</v>
      </c>
      <c r="T10059" t="n">
        <v>0</v>
      </c>
      <c r="U10059" t="n">
        <v>0</v>
      </c>
      <c r="V10059" s="2" t="inlineStr"/>
    </row>
    <row r="10060" ht="15" customHeight="1">
      <c r="A10060" t="inlineStr">
        <is>
          <t>A 32090-2026</t>
        </is>
      </c>
      <c r="B10060" t="inlineStr">
        <is>
          <t>avverkningsanmälan</t>
        </is>
      </c>
      <c r="C10060" t="inlineStr">
        <is>
          <t>Föryngringsavverkning</t>
        </is>
      </c>
      <c r="D10060" s="1" t="n">
        <v>46234</v>
      </c>
      <c r="E10060" s="1" t="n">
        <v>46307</v>
      </c>
      <c r="F10060" t="inlineStr">
        <is>
          <t>VÄRMLANDS LÄN</t>
        </is>
      </c>
      <c r="G10060" t="inlineStr">
        <is>
          <t>SUNNE</t>
        </is>
      </c>
      <c r="I10060" t="n">
        <v>1</v>
      </c>
      <c r="J10060" t="n">
        <v>0</v>
      </c>
      <c r="K10060" t="n">
        <v>0</v>
      </c>
      <c r="L10060" t="n">
        <v>0</v>
      </c>
      <c r="M10060" t="n">
        <v>0</v>
      </c>
      <c r="N10060" t="n">
        <v>0</v>
      </c>
      <c r="O10060" t="n">
        <v>0</v>
      </c>
      <c r="P10060" t="n">
        <v>0</v>
      </c>
      <c r="Q10060" t="n">
        <v>0</v>
      </c>
      <c r="R10060" t="n">
        <v>0</v>
      </c>
      <c r="S10060" t="n">
        <v>0</v>
      </c>
      <c r="T10060" t="n">
        <v>0</v>
      </c>
      <c r="U10060" t="n">
        <v>0</v>
      </c>
      <c r="V10060" s="2" t="inlineStr"/>
    </row>
    <row r="10061" ht="15" customHeight="1">
      <c r="A10061" t="inlineStr">
        <is>
          <t>A 32237-2026</t>
        </is>
      </c>
      <c r="B10061" t="inlineStr">
        <is>
          <t>avverkningsanmälan</t>
        </is>
      </c>
      <c r="C10061" t="inlineStr">
        <is>
          <t>Föryngringsavverkning</t>
        </is>
      </c>
      <c r="D10061" s="1" t="n">
        <v>46237</v>
      </c>
      <c r="E10061" s="1" t="n">
        <v>46307</v>
      </c>
      <c r="F10061" t="inlineStr">
        <is>
          <t>VÄRMLANDS LÄN</t>
        </is>
      </c>
      <c r="G10061" t="inlineStr">
        <is>
          <t>TORSBY</t>
        </is>
      </c>
      <c r="I10061" t="n">
        <v>2.6</v>
      </c>
      <c r="J10061" t="n">
        <v>0</v>
      </c>
      <c r="K10061" t="n">
        <v>0</v>
      </c>
      <c r="L10061" t="n">
        <v>0</v>
      </c>
      <c r="M10061" t="n">
        <v>0</v>
      </c>
      <c r="N10061" t="n">
        <v>0</v>
      </c>
      <c r="O10061" t="n">
        <v>0</v>
      </c>
      <c r="P10061" t="n">
        <v>0</v>
      </c>
      <c r="Q10061" t="n">
        <v>0</v>
      </c>
      <c r="R10061" t="n">
        <v>0</v>
      </c>
      <c r="S10061" t="n">
        <v>0</v>
      </c>
      <c r="T10061" t="n">
        <v>0</v>
      </c>
      <c r="U10061" t="n">
        <v>0</v>
      </c>
      <c r="V10061" s="2" t="inlineStr"/>
    </row>
    <row r="10062" ht="15" customHeight="1">
      <c r="A10062" t="inlineStr">
        <is>
          <t>A 32034-2026</t>
        </is>
      </c>
      <c r="B10062" t="inlineStr">
        <is>
          <t>avverkningsanmälan</t>
        </is>
      </c>
      <c r="C10062" t="inlineStr">
        <is>
          <t>Föryngringsavverkning</t>
        </is>
      </c>
      <c r="D10062" s="1" t="n">
        <v>46233</v>
      </c>
      <c r="E10062" s="1" t="n">
        <v>46307</v>
      </c>
      <c r="F10062" t="inlineStr">
        <is>
          <t>VÄRMLANDS LÄN</t>
        </is>
      </c>
      <c r="G10062" t="inlineStr">
        <is>
          <t>TORSBY</t>
        </is>
      </c>
      <c r="I10062" t="n">
        <v>0.5</v>
      </c>
      <c r="J10062" t="n">
        <v>0</v>
      </c>
      <c r="K10062" t="n">
        <v>0</v>
      </c>
      <c r="L10062" t="n">
        <v>0</v>
      </c>
      <c r="M10062" t="n">
        <v>0</v>
      </c>
      <c r="N10062" t="n">
        <v>0</v>
      </c>
      <c r="O10062" t="n">
        <v>0</v>
      </c>
      <c r="P10062" t="n">
        <v>0</v>
      </c>
      <c r="Q10062" t="n">
        <v>0</v>
      </c>
      <c r="R10062" t="n">
        <v>0</v>
      </c>
      <c r="S10062" t="n">
        <v>0</v>
      </c>
      <c r="T10062" t="n">
        <v>0</v>
      </c>
      <c r="U10062" t="n">
        <v>0</v>
      </c>
      <c r="V10062" s="2" t="inlineStr"/>
    </row>
    <row r="10063" ht="15" customHeight="1">
      <c r="A10063" t="inlineStr">
        <is>
          <t>A 32160-2026</t>
        </is>
      </c>
      <c r="B10063" t="inlineStr">
        <is>
          <t>avverkningsanmälan</t>
        </is>
      </c>
      <c r="C10063" t="inlineStr">
        <is>
          <t>Föryngringsavverkning</t>
        </is>
      </c>
      <c r="D10063" s="1" t="n">
        <v>46237</v>
      </c>
      <c r="E10063" s="1" t="n">
        <v>46307</v>
      </c>
      <c r="F10063" t="inlineStr">
        <is>
          <t>VÄRMLANDS LÄN</t>
        </is>
      </c>
      <c r="G10063" t="inlineStr">
        <is>
          <t>ARVIKA</t>
        </is>
      </c>
      <c r="H10063" t="inlineStr">
        <is>
          <t>Bergvik skog väst AB</t>
        </is>
      </c>
      <c r="I10063" t="n">
        <v>1.2</v>
      </c>
      <c r="J10063" t="n">
        <v>0</v>
      </c>
      <c r="K10063" t="n">
        <v>0</v>
      </c>
      <c r="L10063" t="n">
        <v>0</v>
      </c>
      <c r="M10063" t="n">
        <v>0</v>
      </c>
      <c r="N10063" t="n">
        <v>0</v>
      </c>
      <c r="O10063" t="n">
        <v>0</v>
      </c>
      <c r="P10063" t="n">
        <v>0</v>
      </c>
      <c r="Q10063" t="n">
        <v>0</v>
      </c>
      <c r="R10063" t="n">
        <v>0</v>
      </c>
      <c r="S10063" t="n">
        <v>0</v>
      </c>
      <c r="T10063" t="n">
        <v>0</v>
      </c>
      <c r="U10063" t="n">
        <v>0</v>
      </c>
      <c r="V10063" s="2" t="inlineStr"/>
    </row>
    <row r="10064" ht="15" customHeight="1">
      <c r="A10064" t="inlineStr">
        <is>
          <t>A 37833-2026</t>
        </is>
      </c>
      <c r="B10064" t="inlineStr">
        <is>
          <t>avverkningsanmälan</t>
        </is>
      </c>
      <c r="C10064" t="inlineStr">
        <is>
          <t>Föryngringsavverkning</t>
        </is>
      </c>
      <c r="D10064" s="1" t="n">
        <v>46279</v>
      </c>
      <c r="E10064" s="1" t="n">
        <v>46307</v>
      </c>
      <c r="F10064" t="inlineStr">
        <is>
          <t>VÄRMLANDS LÄN</t>
        </is>
      </c>
      <c r="G10064" t="inlineStr">
        <is>
          <t>SUNNE</t>
        </is>
      </c>
      <c r="I10064" t="n">
        <v>0.9</v>
      </c>
      <c r="J10064" t="n">
        <v>0</v>
      </c>
      <c r="K10064" t="n">
        <v>0</v>
      </c>
      <c r="L10064" t="n">
        <v>0</v>
      </c>
      <c r="M10064" t="n">
        <v>0</v>
      </c>
      <c r="N10064" t="n">
        <v>0</v>
      </c>
      <c r="O10064" t="n">
        <v>0</v>
      </c>
      <c r="P10064" t="n">
        <v>0</v>
      </c>
      <c r="Q10064" t="n">
        <v>0</v>
      </c>
      <c r="R10064" t="n">
        <v>0</v>
      </c>
      <c r="S10064" t="n">
        <v>0</v>
      </c>
      <c r="T10064" t="n">
        <v>0</v>
      </c>
      <c r="U10064" t="n">
        <v>0</v>
      </c>
      <c r="V10064" s="2" t="inlineStr"/>
    </row>
    <row r="10065" ht="15" customHeight="1">
      <c r="A10065" t="inlineStr">
        <is>
          <t>A 37733-2026</t>
        </is>
      </c>
      <c r="B10065" t="inlineStr">
        <is>
          <t>avverkningsanmälan</t>
        </is>
      </c>
      <c r="C10065" t="inlineStr">
        <is>
          <t>Föryngringsavverkning</t>
        </is>
      </c>
      <c r="D10065" s="1" t="n">
        <v>46279</v>
      </c>
      <c r="E10065" s="1" t="n">
        <v>46307</v>
      </c>
      <c r="F10065" t="inlineStr">
        <is>
          <t>VÄRMLANDS LÄN</t>
        </is>
      </c>
      <c r="G10065" t="inlineStr">
        <is>
          <t>SÄFFLE</t>
        </is>
      </c>
      <c r="I10065" t="n">
        <v>0.8</v>
      </c>
      <c r="J10065" t="n">
        <v>0</v>
      </c>
      <c r="K10065" t="n">
        <v>0</v>
      </c>
      <c r="L10065" t="n">
        <v>0</v>
      </c>
      <c r="M10065" t="n">
        <v>0</v>
      </c>
      <c r="N10065" t="n">
        <v>0</v>
      </c>
      <c r="O10065" t="n">
        <v>0</v>
      </c>
      <c r="P10065" t="n">
        <v>0</v>
      </c>
      <c r="Q10065" t="n">
        <v>0</v>
      </c>
      <c r="R10065" t="n">
        <v>0</v>
      </c>
      <c r="S10065" t="n">
        <v>0</v>
      </c>
      <c r="T10065" t="n">
        <v>0</v>
      </c>
      <c r="U10065" t="n">
        <v>0</v>
      </c>
      <c r="V10065" s="2" t="inlineStr"/>
    </row>
    <row r="10066" ht="15" customHeight="1">
      <c r="A10066" t="inlineStr">
        <is>
          <t>A 37763-2026</t>
        </is>
      </c>
      <c r="B10066" t="inlineStr">
        <is>
          <t>avverkningsanmälan</t>
        </is>
      </c>
      <c r="C10066" t="inlineStr">
        <is>
          <t>Föryngringsavverkning</t>
        </is>
      </c>
      <c r="D10066" s="1" t="n">
        <v>46279</v>
      </c>
      <c r="E10066" s="1" t="n">
        <v>46307</v>
      </c>
      <c r="F10066" t="inlineStr">
        <is>
          <t>VÄRMLANDS LÄN</t>
        </is>
      </c>
      <c r="G10066" t="inlineStr">
        <is>
          <t>ARVIKA</t>
        </is>
      </c>
      <c r="H10066" t="inlineStr">
        <is>
          <t>Bergvik skog väst AB</t>
        </is>
      </c>
      <c r="I10066" t="n">
        <v>5</v>
      </c>
      <c r="J10066" t="n">
        <v>0</v>
      </c>
      <c r="K10066" t="n">
        <v>0</v>
      </c>
      <c r="L10066" t="n">
        <v>0</v>
      </c>
      <c r="M10066" t="n">
        <v>0</v>
      </c>
      <c r="N10066" t="n">
        <v>0</v>
      </c>
      <c r="O10066" t="n">
        <v>0</v>
      </c>
      <c r="P10066" t="n">
        <v>0</v>
      </c>
      <c r="Q10066" t="n">
        <v>0</v>
      </c>
      <c r="R10066" t="n">
        <v>0</v>
      </c>
      <c r="S10066" t="n">
        <v>0</v>
      </c>
      <c r="T10066" t="n">
        <v>0</v>
      </c>
      <c r="U10066" t="n">
        <v>0</v>
      </c>
      <c r="V10066" s="2" t="inlineStr"/>
    </row>
    <row r="10067" ht="15" customHeight="1">
      <c r="A10067" t="inlineStr">
        <is>
          <t>A 37791-2026</t>
        </is>
      </c>
      <c r="B10067" t="inlineStr">
        <is>
          <t>avverkningsanmälan</t>
        </is>
      </c>
      <c r="C10067" t="inlineStr">
        <is>
          <t>Föryngringsavverkning</t>
        </is>
      </c>
      <c r="D10067" s="1" t="n">
        <v>46279</v>
      </c>
      <c r="E10067" s="1" t="n">
        <v>46307</v>
      </c>
      <c r="F10067" t="inlineStr">
        <is>
          <t>VÄRMLANDS LÄN</t>
        </is>
      </c>
      <c r="G10067" t="inlineStr">
        <is>
          <t>SUNNE</t>
        </is>
      </c>
      <c r="I10067" t="n">
        <v>1.1</v>
      </c>
      <c r="J10067" t="n">
        <v>0</v>
      </c>
      <c r="K10067" t="n">
        <v>0</v>
      </c>
      <c r="L10067" t="n">
        <v>0</v>
      </c>
      <c r="M10067" t="n">
        <v>0</v>
      </c>
      <c r="N10067" t="n">
        <v>0</v>
      </c>
      <c r="O10067" t="n">
        <v>0</v>
      </c>
      <c r="P10067" t="n">
        <v>0</v>
      </c>
      <c r="Q10067" t="n">
        <v>0</v>
      </c>
      <c r="R10067" t="n">
        <v>0</v>
      </c>
      <c r="S10067" t="n">
        <v>0</v>
      </c>
      <c r="T10067" t="n">
        <v>0</v>
      </c>
      <c r="U10067" t="n">
        <v>0</v>
      </c>
      <c r="V10067" s="2" t="inlineStr"/>
    </row>
    <row r="10068" ht="15" customHeight="1">
      <c r="A10068" t="inlineStr">
        <is>
          <t>A 37792-2026</t>
        </is>
      </c>
      <c r="B10068" t="inlineStr">
        <is>
          <t>avverkningsanmälan</t>
        </is>
      </c>
      <c r="C10068" t="inlineStr">
        <is>
          <t>Föryngringsavverkning</t>
        </is>
      </c>
      <c r="D10068" s="1" t="n">
        <v>46279</v>
      </c>
      <c r="E10068" s="1" t="n">
        <v>46307</v>
      </c>
      <c r="F10068" t="inlineStr">
        <is>
          <t>VÄRMLANDS LÄN</t>
        </is>
      </c>
      <c r="G10068" t="inlineStr">
        <is>
          <t>EDA</t>
        </is>
      </c>
      <c r="I10068" t="n">
        <v>3.3</v>
      </c>
      <c r="J10068" t="n">
        <v>0</v>
      </c>
      <c r="K10068" t="n">
        <v>0</v>
      </c>
      <c r="L10068" t="n">
        <v>0</v>
      </c>
      <c r="M10068" t="n">
        <v>0</v>
      </c>
      <c r="N10068" t="n">
        <v>0</v>
      </c>
      <c r="O10068" t="n">
        <v>0</v>
      </c>
      <c r="P10068" t="n">
        <v>0</v>
      </c>
      <c r="Q10068" t="n">
        <v>0</v>
      </c>
      <c r="R10068" t="n">
        <v>0</v>
      </c>
      <c r="S10068" t="n">
        <v>0</v>
      </c>
      <c r="T10068" t="n">
        <v>0</v>
      </c>
      <c r="U10068" t="n">
        <v>0</v>
      </c>
      <c r="V10068" s="2" t="inlineStr"/>
    </row>
    <row r="10069" ht="15" customHeight="1">
      <c r="A10069" t="inlineStr">
        <is>
          <t>A 37829-2026</t>
        </is>
      </c>
      <c r="B10069" t="inlineStr">
        <is>
          <t>avverkningsanmälan</t>
        </is>
      </c>
      <c r="C10069" t="inlineStr">
        <is>
          <t>Föryngringsavverkning</t>
        </is>
      </c>
      <c r="D10069" s="1" t="n">
        <v>46279</v>
      </c>
      <c r="E10069" s="1" t="n">
        <v>46307</v>
      </c>
      <c r="F10069" t="inlineStr">
        <is>
          <t>VÄRMLANDS LÄN</t>
        </is>
      </c>
      <c r="G10069" t="inlineStr">
        <is>
          <t>ARVIKA</t>
        </is>
      </c>
      <c r="H10069" t="inlineStr">
        <is>
          <t>Bergvik skog väst AB</t>
        </is>
      </c>
      <c r="I10069" t="n">
        <v>10.7</v>
      </c>
      <c r="J10069" t="n">
        <v>0</v>
      </c>
      <c r="K10069" t="n">
        <v>0</v>
      </c>
      <c r="L10069" t="n">
        <v>0</v>
      </c>
      <c r="M10069" t="n">
        <v>0</v>
      </c>
      <c r="N10069" t="n">
        <v>0</v>
      </c>
      <c r="O10069" t="n">
        <v>0</v>
      </c>
      <c r="P10069" t="n">
        <v>0</v>
      </c>
      <c r="Q10069" t="n">
        <v>0</v>
      </c>
      <c r="R10069" t="n">
        <v>0</v>
      </c>
      <c r="S10069" t="n">
        <v>0</v>
      </c>
      <c r="T10069" t="n">
        <v>0</v>
      </c>
      <c r="U10069" t="n">
        <v>0</v>
      </c>
      <c r="V10069" s="2" t="inlineStr"/>
    </row>
    <row r="10070" ht="15" customHeight="1">
      <c r="A10070" t="inlineStr">
        <is>
          <t>A 32231-2026</t>
        </is>
      </c>
      <c r="B10070" t="inlineStr">
        <is>
          <t>avverkningsanmälan</t>
        </is>
      </c>
      <c r="C10070" t="inlineStr">
        <is>
          <t>Föryngringsavverkning</t>
        </is>
      </c>
      <c r="D10070" s="1" t="n">
        <v>46237</v>
      </c>
      <c r="E10070" s="1" t="n">
        <v>46307</v>
      </c>
      <c r="F10070" t="inlineStr">
        <is>
          <t>VÄRMLANDS LÄN</t>
        </is>
      </c>
      <c r="G10070" t="inlineStr">
        <is>
          <t>ARVIKA</t>
        </is>
      </c>
      <c r="H10070" t="inlineStr">
        <is>
          <t>Bergvik skog väst AB</t>
        </is>
      </c>
      <c r="I10070" t="n">
        <v>12.4</v>
      </c>
      <c r="J10070" t="n">
        <v>0</v>
      </c>
      <c r="K10070" t="n">
        <v>0</v>
      </c>
      <c r="L10070" t="n">
        <v>0</v>
      </c>
      <c r="M10070" t="n">
        <v>0</v>
      </c>
      <c r="N10070" t="n">
        <v>0</v>
      </c>
      <c r="O10070" t="n">
        <v>0</v>
      </c>
      <c r="P10070" t="n">
        <v>0</v>
      </c>
      <c r="Q10070" t="n">
        <v>0</v>
      </c>
      <c r="R10070" t="n">
        <v>0</v>
      </c>
      <c r="S10070" t="n">
        <v>0</v>
      </c>
      <c r="T10070" t="n">
        <v>0</v>
      </c>
      <c r="U10070" t="n">
        <v>0</v>
      </c>
      <c r="V10070" s="2" t="inlineStr"/>
    </row>
    <row r="10071" ht="15" customHeight="1">
      <c r="A10071" t="inlineStr">
        <is>
          <t>A 32316-2026</t>
        </is>
      </c>
      <c r="B10071" t="inlineStr">
        <is>
          <t>avverkningsanmälan</t>
        </is>
      </c>
      <c r="C10071" t="inlineStr">
        <is>
          <t>Föryngringsavverkning</t>
        </is>
      </c>
      <c r="D10071" s="1" t="n">
        <v>46237</v>
      </c>
      <c r="E10071" s="1" t="n">
        <v>46307</v>
      </c>
      <c r="F10071" t="inlineStr">
        <is>
          <t>VÄRMLANDS LÄN</t>
        </is>
      </c>
      <c r="G10071" t="inlineStr">
        <is>
          <t>SUNNE</t>
        </is>
      </c>
      <c r="I10071" t="n">
        <v>6.7</v>
      </c>
      <c r="J10071" t="n">
        <v>0</v>
      </c>
      <c r="K10071" t="n">
        <v>0</v>
      </c>
      <c r="L10071" t="n">
        <v>0</v>
      </c>
      <c r="M10071" t="n">
        <v>0</v>
      </c>
      <c r="N10071" t="n">
        <v>0</v>
      </c>
      <c r="O10071" t="n">
        <v>0</v>
      </c>
      <c r="P10071" t="n">
        <v>0</v>
      </c>
      <c r="Q10071" t="n">
        <v>0</v>
      </c>
      <c r="R10071" t="n">
        <v>0</v>
      </c>
      <c r="S10071" t="n">
        <v>0</v>
      </c>
      <c r="T10071" t="n">
        <v>0</v>
      </c>
      <c r="U10071" t="n">
        <v>0</v>
      </c>
      <c r="V10071" s="2" t="inlineStr"/>
    </row>
    <row r="10072" ht="15" customHeight="1">
      <c r="A10072" t="inlineStr">
        <is>
          <t>A 32211-2026</t>
        </is>
      </c>
      <c r="B10072" t="inlineStr">
        <is>
          <t>avverkningsanmälan</t>
        </is>
      </c>
      <c r="C10072" t="inlineStr">
        <is>
          <t>Föryngringsavverkning</t>
        </is>
      </c>
      <c r="D10072" s="1" t="n">
        <v>46236</v>
      </c>
      <c r="E10072" s="1" t="n">
        <v>46307</v>
      </c>
      <c r="F10072" t="inlineStr">
        <is>
          <t>VÄRMLANDS LÄN</t>
        </is>
      </c>
      <c r="G10072" t="inlineStr">
        <is>
          <t>SUNNE</t>
        </is>
      </c>
      <c r="I10072" t="n">
        <v>3</v>
      </c>
      <c r="J10072" t="n">
        <v>0</v>
      </c>
      <c r="K10072" t="n">
        <v>0</v>
      </c>
      <c r="L10072" t="n">
        <v>0</v>
      </c>
      <c r="M10072" t="n">
        <v>0</v>
      </c>
      <c r="N10072" t="n">
        <v>0</v>
      </c>
      <c r="O10072" t="n">
        <v>0</v>
      </c>
      <c r="P10072" t="n">
        <v>0</v>
      </c>
      <c r="Q10072" t="n">
        <v>0</v>
      </c>
      <c r="R10072" t="n">
        <v>0</v>
      </c>
      <c r="S10072" t="n">
        <v>0</v>
      </c>
      <c r="T10072" t="n">
        <v>0</v>
      </c>
      <c r="U10072" t="n">
        <v>0</v>
      </c>
      <c r="V10072" s="2" t="inlineStr"/>
    </row>
    <row r="10073" ht="15" customHeight="1">
      <c r="A10073" t="inlineStr">
        <is>
          <t>A 32225-2026</t>
        </is>
      </c>
      <c r="B10073" t="inlineStr">
        <is>
          <t>avverkningsanmälan</t>
        </is>
      </c>
      <c r="C10073" t="inlineStr">
        <is>
          <t>Avverkning för annat ändamål</t>
        </is>
      </c>
      <c r="D10073" s="1" t="n">
        <v>46237</v>
      </c>
      <c r="E10073" s="1" t="n">
        <v>46307</v>
      </c>
      <c r="F10073" t="inlineStr">
        <is>
          <t>VÄRMLANDS LÄN</t>
        </is>
      </c>
      <c r="G10073" t="inlineStr">
        <is>
          <t>EDA</t>
        </is>
      </c>
      <c r="I10073" t="n">
        <v>0.3</v>
      </c>
      <c r="J10073" t="n">
        <v>0</v>
      </c>
      <c r="K10073" t="n">
        <v>0</v>
      </c>
      <c r="L10073" t="n">
        <v>0</v>
      </c>
      <c r="M10073" t="n">
        <v>0</v>
      </c>
      <c r="N10073" t="n">
        <v>0</v>
      </c>
      <c r="O10073" t="n">
        <v>0</v>
      </c>
      <c r="P10073" t="n">
        <v>0</v>
      </c>
      <c r="Q10073" t="n">
        <v>0</v>
      </c>
      <c r="R10073" t="n">
        <v>0</v>
      </c>
      <c r="S10073" t="n">
        <v>0</v>
      </c>
      <c r="T10073" t="n">
        <v>0</v>
      </c>
      <c r="U10073" t="n">
        <v>0</v>
      </c>
      <c r="V10073" s="2" t="inlineStr"/>
    </row>
    <row r="10074" ht="15" customHeight="1">
      <c r="A10074" t="inlineStr">
        <is>
          <t>A 32249-2026</t>
        </is>
      </c>
      <c r="B10074" t="inlineStr">
        <is>
          <t>avverkningsanmälan</t>
        </is>
      </c>
      <c r="C10074" t="inlineStr">
        <is>
          <t>Föryngringsavverkning</t>
        </is>
      </c>
      <c r="D10074" s="1" t="n">
        <v>46237</v>
      </c>
      <c r="E10074" s="1" t="n">
        <v>46307</v>
      </c>
      <c r="F10074" t="inlineStr">
        <is>
          <t>VÄRMLANDS LÄN</t>
        </is>
      </c>
      <c r="G10074" t="inlineStr">
        <is>
          <t>FILIPSTAD</t>
        </is>
      </c>
      <c r="H10074" t="inlineStr">
        <is>
          <t>Kommuner</t>
        </is>
      </c>
      <c r="I10074" t="n">
        <v>5</v>
      </c>
      <c r="J10074" t="n">
        <v>0</v>
      </c>
      <c r="K10074" t="n">
        <v>0</v>
      </c>
      <c r="L10074" t="n">
        <v>0</v>
      </c>
      <c r="M10074" t="n">
        <v>0</v>
      </c>
      <c r="N10074" t="n">
        <v>0</v>
      </c>
      <c r="O10074" t="n">
        <v>0</v>
      </c>
      <c r="P10074" t="n">
        <v>0</v>
      </c>
      <c r="Q10074" t="n">
        <v>0</v>
      </c>
      <c r="R10074" t="n">
        <v>0</v>
      </c>
      <c r="S10074" t="n">
        <v>0</v>
      </c>
      <c r="T10074" t="n">
        <v>0</v>
      </c>
      <c r="U10074" t="n">
        <v>0</v>
      </c>
      <c r="V10074" s="2" t="inlineStr"/>
    </row>
    <row r="10075" ht="15" customHeight="1">
      <c r="A10075" t="inlineStr">
        <is>
          <t>A 37920-2026</t>
        </is>
      </c>
      <c r="B10075" t="inlineStr">
        <is>
          <t>avverkningsanmälan</t>
        </is>
      </c>
      <c r="C10075" t="inlineStr">
        <is>
          <t>Föryngringsavverkning</t>
        </is>
      </c>
      <c r="D10075" s="1" t="n">
        <v>46280</v>
      </c>
      <c r="E10075" s="1" t="n">
        <v>46307</v>
      </c>
      <c r="F10075" t="inlineStr">
        <is>
          <t>VÄRMLANDS LÄN</t>
        </is>
      </c>
      <c r="G10075" t="inlineStr">
        <is>
          <t>TORSBY</t>
        </is>
      </c>
      <c r="H10075" t="inlineStr">
        <is>
          <t>Bergvik skog väst AB</t>
        </is>
      </c>
      <c r="I10075" t="n">
        <v>3.5</v>
      </c>
      <c r="J10075" t="n">
        <v>0</v>
      </c>
      <c r="K10075" t="n">
        <v>0</v>
      </c>
      <c r="L10075" t="n">
        <v>0</v>
      </c>
      <c r="M10075" t="n">
        <v>0</v>
      </c>
      <c r="N10075" t="n">
        <v>0</v>
      </c>
      <c r="O10075" t="n">
        <v>0</v>
      </c>
      <c r="P10075" t="n">
        <v>0</v>
      </c>
      <c r="Q10075" t="n">
        <v>0</v>
      </c>
      <c r="R10075" t="n">
        <v>0</v>
      </c>
      <c r="S10075" t="n">
        <v>0</v>
      </c>
      <c r="T10075" t="n">
        <v>0</v>
      </c>
      <c r="U10075" t="n">
        <v>0</v>
      </c>
      <c r="V10075" s="2" t="inlineStr"/>
    </row>
    <row r="10076" ht="15" customHeight="1">
      <c r="A10076" t="inlineStr">
        <is>
          <t>A 37061-2026</t>
        </is>
      </c>
      <c r="B10076" t="inlineStr">
        <is>
          <t>avverkningsanmälan</t>
        </is>
      </c>
      <c r="C10076" t="inlineStr">
        <is>
          <t>Föryngringsavverkning</t>
        </is>
      </c>
      <c r="D10076" s="1" t="n">
        <v>46273</v>
      </c>
      <c r="E10076" s="1" t="n">
        <v>46307</v>
      </c>
      <c r="F10076" t="inlineStr">
        <is>
          <t>VÄRMLANDS LÄN</t>
        </is>
      </c>
      <c r="G10076" t="inlineStr">
        <is>
          <t>EDA</t>
        </is>
      </c>
      <c r="I10076" t="n">
        <v>2.7</v>
      </c>
      <c r="J10076" t="n">
        <v>0</v>
      </c>
      <c r="K10076" t="n">
        <v>0</v>
      </c>
      <c r="L10076" t="n">
        <v>0</v>
      </c>
      <c r="M10076" t="n">
        <v>0</v>
      </c>
      <c r="N10076" t="n">
        <v>0</v>
      </c>
      <c r="O10076" t="n">
        <v>0</v>
      </c>
      <c r="P10076" t="n">
        <v>0</v>
      </c>
      <c r="Q10076" t="n">
        <v>0</v>
      </c>
      <c r="R10076" t="n">
        <v>0</v>
      </c>
      <c r="S10076" t="n">
        <v>0</v>
      </c>
      <c r="T10076" t="n">
        <v>0</v>
      </c>
      <c r="U10076" t="n">
        <v>0</v>
      </c>
      <c r="V10076" s="2" t="inlineStr"/>
    </row>
    <row r="10077" ht="15" customHeight="1">
      <c r="A10077" t="inlineStr">
        <is>
          <t>A 36372-2026</t>
        </is>
      </c>
      <c r="B10077" t="inlineStr">
        <is>
          <t>avverkningsanmälan</t>
        </is>
      </c>
      <c r="C10077" t="inlineStr">
        <is>
          <t>Föryngringsavverkning</t>
        </is>
      </c>
      <c r="D10077" s="1" t="n">
        <v>46268</v>
      </c>
      <c r="E10077" s="1" t="n">
        <v>46307</v>
      </c>
      <c r="F10077" t="inlineStr">
        <is>
          <t>VÄRMLANDS LÄN</t>
        </is>
      </c>
      <c r="G10077" t="inlineStr">
        <is>
          <t>TORSBY</t>
        </is>
      </c>
      <c r="H10077" t="inlineStr">
        <is>
          <t>Bergvik skog väst AB</t>
        </is>
      </c>
      <c r="I10077" t="n">
        <v>1.6</v>
      </c>
      <c r="J10077" t="n">
        <v>0</v>
      </c>
      <c r="K10077" t="n">
        <v>0</v>
      </c>
      <c r="L10077" t="n">
        <v>0</v>
      </c>
      <c r="M10077" t="n">
        <v>0</v>
      </c>
      <c r="N10077" t="n">
        <v>0</v>
      </c>
      <c r="O10077" t="n">
        <v>0</v>
      </c>
      <c r="P10077" t="n">
        <v>0</v>
      </c>
      <c r="Q10077" t="n">
        <v>0</v>
      </c>
      <c r="R10077" t="n">
        <v>0</v>
      </c>
      <c r="S10077" t="n">
        <v>0</v>
      </c>
      <c r="T10077" t="n">
        <v>0</v>
      </c>
      <c r="U10077" t="n">
        <v>0</v>
      </c>
      <c r="V10077" s="2" t="inlineStr"/>
    </row>
    <row r="10078" ht="15" customHeight="1">
      <c r="A10078" t="inlineStr">
        <is>
          <t>A 37914-2026</t>
        </is>
      </c>
      <c r="B10078" t="inlineStr">
        <is>
          <t>avverkningsanmälan</t>
        </is>
      </c>
      <c r="C10078" t="inlineStr">
        <is>
          <t>Föryngringsavverkning</t>
        </is>
      </c>
      <c r="D10078" s="1" t="n">
        <v>46280</v>
      </c>
      <c r="E10078" s="1" t="n">
        <v>46307</v>
      </c>
      <c r="F10078" t="inlineStr">
        <is>
          <t>VÄRMLANDS LÄN</t>
        </is>
      </c>
      <c r="G10078" t="inlineStr">
        <is>
          <t>HAGFORS</t>
        </is>
      </c>
      <c r="H10078" t="inlineStr">
        <is>
          <t>Bergvik skog väst AB</t>
        </is>
      </c>
      <c r="I10078" t="n">
        <v>1.6</v>
      </c>
      <c r="J10078" t="n">
        <v>0</v>
      </c>
      <c r="K10078" t="n">
        <v>0</v>
      </c>
      <c r="L10078" t="n">
        <v>0</v>
      </c>
      <c r="M10078" t="n">
        <v>0</v>
      </c>
      <c r="N10078" t="n">
        <v>0</v>
      </c>
      <c r="O10078" t="n">
        <v>0</v>
      </c>
      <c r="P10078" t="n">
        <v>0</v>
      </c>
      <c r="Q10078" t="n">
        <v>0</v>
      </c>
      <c r="R10078" t="n">
        <v>0</v>
      </c>
      <c r="S10078" t="n">
        <v>0</v>
      </c>
      <c r="T10078" t="n">
        <v>0</v>
      </c>
      <c r="U10078" t="n">
        <v>0</v>
      </c>
      <c r="V10078" s="2" t="inlineStr"/>
    </row>
    <row r="10079" ht="15" customHeight="1">
      <c r="A10079" t="inlineStr">
        <is>
          <t>A 38050-2026</t>
        </is>
      </c>
      <c r="B10079" t="inlineStr">
        <is>
          <t>avverkningsanmälan</t>
        </is>
      </c>
      <c r="C10079" t="inlineStr">
        <is>
          <t>Föryngringsavverkning</t>
        </is>
      </c>
      <c r="D10079" s="1" t="n">
        <v>46280</v>
      </c>
      <c r="E10079" s="1" t="n">
        <v>46307</v>
      </c>
      <c r="F10079" t="inlineStr">
        <is>
          <t>VÄRMLANDS LÄN</t>
        </is>
      </c>
      <c r="G10079" t="inlineStr">
        <is>
          <t>HAGFORS</t>
        </is>
      </c>
      <c r="H10079" t="inlineStr">
        <is>
          <t>Bergvik skog väst AB</t>
        </is>
      </c>
      <c r="I10079" t="n">
        <v>4.1</v>
      </c>
      <c r="J10079" t="n">
        <v>0</v>
      </c>
      <c r="K10079" t="n">
        <v>0</v>
      </c>
      <c r="L10079" t="n">
        <v>0</v>
      </c>
      <c r="M10079" t="n">
        <v>0</v>
      </c>
      <c r="N10079" t="n">
        <v>0</v>
      </c>
      <c r="O10079" t="n">
        <v>0</v>
      </c>
      <c r="P10079" t="n">
        <v>0</v>
      </c>
      <c r="Q10079" t="n">
        <v>0</v>
      </c>
      <c r="R10079" t="n">
        <v>0</v>
      </c>
      <c r="S10079" t="n">
        <v>0</v>
      </c>
      <c r="T10079" t="n">
        <v>0</v>
      </c>
      <c r="U10079" t="n">
        <v>0</v>
      </c>
      <c r="V10079" s="2" t="inlineStr"/>
    </row>
    <row r="10080" ht="15" customHeight="1">
      <c r="A10080" t="inlineStr">
        <is>
          <t>A 38057-2026</t>
        </is>
      </c>
      <c r="B10080" t="inlineStr">
        <is>
          <t>avverkningsanmälan</t>
        </is>
      </c>
      <c r="C10080" t="inlineStr">
        <is>
          <t>Föryngringsavverkning</t>
        </is>
      </c>
      <c r="D10080" s="1" t="n">
        <v>46280</v>
      </c>
      <c r="E10080" s="1" t="n">
        <v>46307</v>
      </c>
      <c r="F10080" t="inlineStr">
        <is>
          <t>VÄRMLANDS LÄN</t>
        </is>
      </c>
      <c r="G10080" t="inlineStr">
        <is>
          <t>TORSBY</t>
        </is>
      </c>
      <c r="I10080" t="n">
        <v>0.8</v>
      </c>
      <c r="J10080" t="n">
        <v>0</v>
      </c>
      <c r="K10080" t="n">
        <v>0</v>
      </c>
      <c r="L10080" t="n">
        <v>0</v>
      </c>
      <c r="M10080" t="n">
        <v>0</v>
      </c>
      <c r="N10080" t="n">
        <v>0</v>
      </c>
      <c r="O10080" t="n">
        <v>0</v>
      </c>
      <c r="P10080" t="n">
        <v>0</v>
      </c>
      <c r="Q10080" t="n">
        <v>0</v>
      </c>
      <c r="R10080" t="n">
        <v>0</v>
      </c>
      <c r="S10080" t="n">
        <v>0</v>
      </c>
      <c r="T10080" t="n">
        <v>0</v>
      </c>
      <c r="U10080" t="n">
        <v>0</v>
      </c>
      <c r="V10080" s="2" t="inlineStr"/>
    </row>
    <row r="10081" ht="15" customHeight="1">
      <c r="A10081" t="inlineStr">
        <is>
          <t>A 32206-2026</t>
        </is>
      </c>
      <c r="B10081" t="inlineStr">
        <is>
          <t>avverkningsanmälan</t>
        </is>
      </c>
      <c r="C10081" t="inlineStr">
        <is>
          <t>Föryngringsavverkning</t>
        </is>
      </c>
      <c r="D10081" s="1" t="n">
        <v>46237</v>
      </c>
      <c r="E10081" s="1" t="n">
        <v>46307</v>
      </c>
      <c r="F10081" t="inlineStr">
        <is>
          <t>VÄRMLANDS LÄN</t>
        </is>
      </c>
      <c r="G10081" t="inlineStr">
        <is>
          <t>SÄFFLE</t>
        </is>
      </c>
      <c r="I10081" t="n">
        <v>2</v>
      </c>
      <c r="J10081" t="n">
        <v>0</v>
      </c>
      <c r="K10081" t="n">
        <v>0</v>
      </c>
      <c r="L10081" t="n">
        <v>0</v>
      </c>
      <c r="M10081" t="n">
        <v>0</v>
      </c>
      <c r="N10081" t="n">
        <v>0</v>
      </c>
      <c r="O10081" t="n">
        <v>0</v>
      </c>
      <c r="P10081" t="n">
        <v>0</v>
      </c>
      <c r="Q10081" t="n">
        <v>0</v>
      </c>
      <c r="R10081" t="n">
        <v>0</v>
      </c>
      <c r="S10081" t="n">
        <v>0</v>
      </c>
      <c r="T10081" t="n">
        <v>0</v>
      </c>
      <c r="U10081" t="n">
        <v>0</v>
      </c>
      <c r="V10081" s="2" t="inlineStr"/>
    </row>
    <row r="10082" ht="15" customHeight="1">
      <c r="A10082" t="inlineStr">
        <is>
          <t>A 37812-2026</t>
        </is>
      </c>
      <c r="B10082" t="inlineStr">
        <is>
          <t>avverkningsanmälan</t>
        </is>
      </c>
      <c r="C10082" t="inlineStr">
        <is>
          <t>Föryngringsavverkning</t>
        </is>
      </c>
      <c r="D10082" s="1" t="n">
        <v>46279</v>
      </c>
      <c r="E10082" s="1" t="n">
        <v>46307</v>
      </c>
      <c r="F10082" t="inlineStr">
        <is>
          <t>VÄRMLANDS LÄN</t>
        </is>
      </c>
      <c r="G10082" t="inlineStr">
        <is>
          <t>TORSBY</t>
        </is>
      </c>
      <c r="I10082" t="n">
        <v>4.3</v>
      </c>
      <c r="J10082" t="n">
        <v>0</v>
      </c>
      <c r="K10082" t="n">
        <v>0</v>
      </c>
      <c r="L10082" t="n">
        <v>0</v>
      </c>
      <c r="M10082" t="n">
        <v>0</v>
      </c>
      <c r="N10082" t="n">
        <v>0</v>
      </c>
      <c r="O10082" t="n">
        <v>0</v>
      </c>
      <c r="P10082" t="n">
        <v>0</v>
      </c>
      <c r="Q10082" t="n">
        <v>0</v>
      </c>
      <c r="R10082" t="n">
        <v>0</v>
      </c>
      <c r="S10082" t="n">
        <v>0</v>
      </c>
      <c r="T10082" t="n">
        <v>0</v>
      </c>
      <c r="U10082" t="n">
        <v>0</v>
      </c>
      <c r="V10082" s="2" t="inlineStr"/>
    </row>
    <row r="10083" ht="15" customHeight="1">
      <c r="A10083" t="inlineStr">
        <is>
          <t>A 38053-2026</t>
        </is>
      </c>
      <c r="B10083" t="inlineStr">
        <is>
          <t>avverkningsanmälan</t>
        </is>
      </c>
      <c r="C10083" t="inlineStr">
        <is>
          <t>Föryngringsavverkning</t>
        </is>
      </c>
      <c r="D10083" s="1" t="n">
        <v>46280</v>
      </c>
      <c r="E10083" s="1" t="n">
        <v>46307</v>
      </c>
      <c r="F10083" t="inlineStr">
        <is>
          <t>VÄRMLANDS LÄN</t>
        </is>
      </c>
      <c r="G10083" t="inlineStr">
        <is>
          <t>HAGFORS</t>
        </is>
      </c>
      <c r="H10083" t="inlineStr">
        <is>
          <t>Bergvik skog väst AB</t>
        </is>
      </c>
      <c r="I10083" t="n">
        <v>0.9</v>
      </c>
      <c r="J10083" t="n">
        <v>0</v>
      </c>
      <c r="K10083" t="n">
        <v>0</v>
      </c>
      <c r="L10083" t="n">
        <v>0</v>
      </c>
      <c r="M10083" t="n">
        <v>0</v>
      </c>
      <c r="N10083" t="n">
        <v>0</v>
      </c>
      <c r="O10083" t="n">
        <v>0</v>
      </c>
      <c r="P10083" t="n">
        <v>0</v>
      </c>
      <c r="Q10083" t="n">
        <v>0</v>
      </c>
      <c r="R10083" t="n">
        <v>0</v>
      </c>
      <c r="S10083" t="n">
        <v>0</v>
      </c>
      <c r="T10083" t="n">
        <v>0</v>
      </c>
      <c r="U10083" t="n">
        <v>0</v>
      </c>
      <c r="V10083" s="2" t="inlineStr"/>
    </row>
    <row r="10084" ht="15" customHeight="1">
      <c r="A10084" t="inlineStr">
        <is>
          <t>A 32141-2026</t>
        </is>
      </c>
      <c r="B10084" t="inlineStr">
        <is>
          <t>avverkningsanmälan</t>
        </is>
      </c>
      <c r="C10084" t="inlineStr">
        <is>
          <t>Föryngringsavverkning</t>
        </is>
      </c>
      <c r="D10084" s="1" t="n">
        <v>46234</v>
      </c>
      <c r="E10084" s="1" t="n">
        <v>46307</v>
      </c>
      <c r="F10084" t="inlineStr">
        <is>
          <t>VÄRMLANDS LÄN</t>
        </is>
      </c>
      <c r="G10084" t="inlineStr">
        <is>
          <t>FILIPSTAD</t>
        </is>
      </c>
      <c r="H10084" t="inlineStr">
        <is>
          <t>Bergvik skog väst AB</t>
        </is>
      </c>
      <c r="I10084" t="n">
        <v>16.5</v>
      </c>
      <c r="J10084" t="n">
        <v>0</v>
      </c>
      <c r="K10084" t="n">
        <v>0</v>
      </c>
      <c r="L10084" t="n">
        <v>0</v>
      </c>
      <c r="M10084" t="n">
        <v>0</v>
      </c>
      <c r="N10084" t="n">
        <v>0</v>
      </c>
      <c r="O10084" t="n">
        <v>0</v>
      </c>
      <c r="P10084" t="n">
        <v>0</v>
      </c>
      <c r="Q10084" t="n">
        <v>0</v>
      </c>
      <c r="R10084" t="n">
        <v>0</v>
      </c>
      <c r="S10084" t="n">
        <v>0</v>
      </c>
      <c r="T10084" t="n">
        <v>0</v>
      </c>
      <c r="U10084" t="n">
        <v>0</v>
      </c>
      <c r="V10084" s="2" t="inlineStr"/>
    </row>
    <row r="10085" ht="15" customHeight="1">
      <c r="A10085" t="inlineStr">
        <is>
          <t>A 38024-2026</t>
        </is>
      </c>
      <c r="B10085" t="inlineStr">
        <is>
          <t>avverkningsanmälan</t>
        </is>
      </c>
      <c r="C10085" t="inlineStr">
        <is>
          <t>Föryngringsavverkning</t>
        </is>
      </c>
      <c r="D10085" s="1" t="n">
        <v>46280</v>
      </c>
      <c r="E10085" s="1" t="n">
        <v>46307</v>
      </c>
      <c r="F10085" t="inlineStr">
        <is>
          <t>VÄRMLANDS LÄN</t>
        </is>
      </c>
      <c r="G10085" t="inlineStr">
        <is>
          <t>EDA</t>
        </is>
      </c>
      <c r="I10085" t="n">
        <v>1.2</v>
      </c>
      <c r="J10085" t="n">
        <v>0</v>
      </c>
      <c r="K10085" t="n">
        <v>0</v>
      </c>
      <c r="L10085" t="n">
        <v>0</v>
      </c>
      <c r="M10085" t="n">
        <v>0</v>
      </c>
      <c r="N10085" t="n">
        <v>0</v>
      </c>
      <c r="O10085" t="n">
        <v>0</v>
      </c>
      <c r="P10085" t="n">
        <v>0</v>
      </c>
      <c r="Q10085" t="n">
        <v>0</v>
      </c>
      <c r="R10085" t="n">
        <v>0</v>
      </c>
      <c r="S10085" t="n">
        <v>0</v>
      </c>
      <c r="T10085" t="n">
        <v>0</v>
      </c>
      <c r="U10085" t="n">
        <v>0</v>
      </c>
      <c r="V10085" s="2" t="inlineStr"/>
    </row>
    <row r="10086" ht="15" customHeight="1">
      <c r="A10086" t="inlineStr">
        <is>
          <t>A 38031-2026</t>
        </is>
      </c>
      <c r="B10086" t="inlineStr">
        <is>
          <t>avverkningsanmälan</t>
        </is>
      </c>
      <c r="C10086" t="inlineStr">
        <is>
          <t>Föryngringsavverkning</t>
        </is>
      </c>
      <c r="D10086" s="1" t="n">
        <v>46280</v>
      </c>
      <c r="E10086" s="1" t="n">
        <v>46307</v>
      </c>
      <c r="F10086" t="inlineStr">
        <is>
          <t>VÄRMLANDS LÄN</t>
        </is>
      </c>
      <c r="G10086" t="inlineStr">
        <is>
          <t>HAGFORS</t>
        </is>
      </c>
      <c r="H10086" t="inlineStr">
        <is>
          <t>Bergvik skog väst AB</t>
        </is>
      </c>
      <c r="I10086" t="n">
        <v>6.7</v>
      </c>
      <c r="J10086" t="n">
        <v>0</v>
      </c>
      <c r="K10086" t="n">
        <v>0</v>
      </c>
      <c r="L10086" t="n">
        <v>0</v>
      </c>
      <c r="M10086" t="n">
        <v>0</v>
      </c>
      <c r="N10086" t="n">
        <v>0</v>
      </c>
      <c r="O10086" t="n">
        <v>0</v>
      </c>
      <c r="P10086" t="n">
        <v>0</v>
      </c>
      <c r="Q10086" t="n">
        <v>0</v>
      </c>
      <c r="R10086" t="n">
        <v>0</v>
      </c>
      <c r="S10086" t="n">
        <v>0</v>
      </c>
      <c r="T10086" t="n">
        <v>0</v>
      </c>
      <c r="U10086" t="n">
        <v>0</v>
      </c>
      <c r="V10086" s="2" t="inlineStr"/>
    </row>
    <row r="10087" ht="15" customHeight="1">
      <c r="A10087" t="inlineStr">
        <is>
          <t>A 37897-2026</t>
        </is>
      </c>
      <c r="B10087" t="inlineStr">
        <is>
          <t>avverkningsanmälan</t>
        </is>
      </c>
      <c r="C10087" t="inlineStr">
        <is>
          <t>Föryngringsavverkning</t>
        </is>
      </c>
      <c r="D10087" s="1" t="n">
        <v>46279</v>
      </c>
      <c r="E10087" s="1" t="n">
        <v>46307</v>
      </c>
      <c r="F10087" t="inlineStr">
        <is>
          <t>VÄRMLANDS LÄN</t>
        </is>
      </c>
      <c r="G10087" t="inlineStr">
        <is>
          <t>TORSBY</t>
        </is>
      </c>
      <c r="H10087" t="inlineStr">
        <is>
          <t>Övriga Aktiebolag</t>
        </is>
      </c>
      <c r="I10087" t="n">
        <v>1.6</v>
      </c>
      <c r="J10087" t="n">
        <v>0</v>
      </c>
      <c r="K10087" t="n">
        <v>0</v>
      </c>
      <c r="L10087" t="n">
        <v>0</v>
      </c>
      <c r="M10087" t="n">
        <v>0</v>
      </c>
      <c r="N10087" t="n">
        <v>0</v>
      </c>
      <c r="O10087" t="n">
        <v>0</v>
      </c>
      <c r="P10087" t="n">
        <v>0</v>
      </c>
      <c r="Q10087" t="n">
        <v>0</v>
      </c>
      <c r="R10087" t="n">
        <v>0</v>
      </c>
      <c r="S10087" t="n">
        <v>0</v>
      </c>
      <c r="T10087" t="n">
        <v>0</v>
      </c>
      <c r="U10087" t="n">
        <v>0</v>
      </c>
      <c r="V10087" s="2" t="inlineStr"/>
    </row>
    <row r="10088" ht="15" customHeight="1">
      <c r="A10088" t="inlineStr">
        <is>
          <t>A 37913-2026</t>
        </is>
      </c>
      <c r="B10088" t="inlineStr">
        <is>
          <t>avverkningsanmälan</t>
        </is>
      </c>
      <c r="C10088" t="inlineStr">
        <is>
          <t>Föryngringsavverkning</t>
        </is>
      </c>
      <c r="D10088" s="1" t="n">
        <v>46280</v>
      </c>
      <c r="E10088" s="1" t="n">
        <v>46307</v>
      </c>
      <c r="F10088" t="inlineStr">
        <is>
          <t>VÄRMLANDS LÄN</t>
        </is>
      </c>
      <c r="G10088" t="inlineStr">
        <is>
          <t>TORSBY</t>
        </is>
      </c>
      <c r="H10088" t="inlineStr">
        <is>
          <t>Bergvik skog väst AB</t>
        </is>
      </c>
      <c r="I10088" t="n">
        <v>18.7</v>
      </c>
      <c r="J10088" t="n">
        <v>0</v>
      </c>
      <c r="K10088" t="n">
        <v>0</v>
      </c>
      <c r="L10088" t="n">
        <v>0</v>
      </c>
      <c r="M10088" t="n">
        <v>0</v>
      </c>
      <c r="N10088" t="n">
        <v>0</v>
      </c>
      <c r="O10088" t="n">
        <v>0</v>
      </c>
      <c r="P10088" t="n">
        <v>0</v>
      </c>
      <c r="Q10088" t="n">
        <v>0</v>
      </c>
      <c r="R10088" t="n">
        <v>0</v>
      </c>
      <c r="S10088" t="n">
        <v>0</v>
      </c>
      <c r="T10088" t="n">
        <v>0</v>
      </c>
      <c r="U10088" t="n">
        <v>0</v>
      </c>
      <c r="V10088" s="2" t="inlineStr"/>
    </row>
    <row r="10089" ht="15" customHeight="1">
      <c r="A10089" t="inlineStr">
        <is>
          <t>A 37848-2026</t>
        </is>
      </c>
      <c r="B10089" t="inlineStr">
        <is>
          <t>avverkningsanmälan</t>
        </is>
      </c>
      <c r="C10089" t="inlineStr">
        <is>
          <t>Föryngringsavverkning</t>
        </is>
      </c>
      <c r="D10089" s="1" t="n">
        <v>46279</v>
      </c>
      <c r="E10089" s="1" t="n">
        <v>46307</v>
      </c>
      <c r="F10089" t="inlineStr">
        <is>
          <t>VÄRMLANDS LÄN</t>
        </is>
      </c>
      <c r="G10089" t="inlineStr">
        <is>
          <t>SUNNE</t>
        </is>
      </c>
      <c r="I10089" t="n">
        <v>4.3</v>
      </c>
      <c r="J10089" t="n">
        <v>0</v>
      </c>
      <c r="K10089" t="n">
        <v>0</v>
      </c>
      <c r="L10089" t="n">
        <v>0</v>
      </c>
      <c r="M10089" t="n">
        <v>0</v>
      </c>
      <c r="N10089" t="n">
        <v>0</v>
      </c>
      <c r="O10089" t="n">
        <v>0</v>
      </c>
      <c r="P10089" t="n">
        <v>0</v>
      </c>
      <c r="Q10089" t="n">
        <v>0</v>
      </c>
      <c r="R10089" t="n">
        <v>0</v>
      </c>
      <c r="S10089" t="n">
        <v>0</v>
      </c>
      <c r="T10089" t="n">
        <v>0</v>
      </c>
      <c r="U10089" t="n">
        <v>0</v>
      </c>
      <c r="V10089" s="2" t="inlineStr"/>
    </row>
    <row r="10090" ht="15" customHeight="1">
      <c r="A10090" t="inlineStr">
        <is>
          <t>A 37863-2026</t>
        </is>
      </c>
      <c r="B10090" t="inlineStr">
        <is>
          <t>avverkningsanmälan</t>
        </is>
      </c>
      <c r="C10090" t="inlineStr">
        <is>
          <t>Föryngringsavverkning</t>
        </is>
      </c>
      <c r="D10090" s="1" t="n">
        <v>46279</v>
      </c>
      <c r="E10090" s="1" t="n">
        <v>46307</v>
      </c>
      <c r="F10090" t="inlineStr">
        <is>
          <t>VÄRMLANDS LÄN</t>
        </is>
      </c>
      <c r="G10090" t="inlineStr">
        <is>
          <t>SUNNE</t>
        </is>
      </c>
      <c r="I10090" t="n">
        <v>6</v>
      </c>
      <c r="J10090" t="n">
        <v>0</v>
      </c>
      <c r="K10090" t="n">
        <v>0</v>
      </c>
      <c r="L10090" t="n">
        <v>0</v>
      </c>
      <c r="M10090" t="n">
        <v>0</v>
      </c>
      <c r="N10090" t="n">
        <v>0</v>
      </c>
      <c r="O10090" t="n">
        <v>0</v>
      </c>
      <c r="P10090" t="n">
        <v>0</v>
      </c>
      <c r="Q10090" t="n">
        <v>0</v>
      </c>
      <c r="R10090" t="n">
        <v>0</v>
      </c>
      <c r="S10090" t="n">
        <v>0</v>
      </c>
      <c r="T10090" t="n">
        <v>0</v>
      </c>
      <c r="U10090" t="n">
        <v>0</v>
      </c>
      <c r="V10090" s="2" t="inlineStr"/>
    </row>
    <row r="10091" ht="15" customHeight="1">
      <c r="A10091" t="inlineStr">
        <is>
          <t>A 32197-2026</t>
        </is>
      </c>
      <c r="B10091" t="inlineStr">
        <is>
          <t>avverkningsanmälan</t>
        </is>
      </c>
      <c r="C10091" t="inlineStr">
        <is>
          <t>Föryngringsavverkning</t>
        </is>
      </c>
      <c r="D10091" s="1" t="n">
        <v>46237</v>
      </c>
      <c r="E10091" s="1" t="n">
        <v>46307</v>
      </c>
      <c r="F10091" t="inlineStr">
        <is>
          <t>VÄRMLANDS LÄN</t>
        </is>
      </c>
      <c r="G10091" t="inlineStr">
        <is>
          <t>SÄFFLE</t>
        </is>
      </c>
      <c r="I10091" t="n">
        <v>1.8</v>
      </c>
      <c r="J10091" t="n">
        <v>0</v>
      </c>
      <c r="K10091" t="n">
        <v>0</v>
      </c>
      <c r="L10091" t="n">
        <v>0</v>
      </c>
      <c r="M10091" t="n">
        <v>0</v>
      </c>
      <c r="N10091" t="n">
        <v>0</v>
      </c>
      <c r="O10091" t="n">
        <v>0</v>
      </c>
      <c r="P10091" t="n">
        <v>0</v>
      </c>
      <c r="Q10091" t="n">
        <v>0</v>
      </c>
      <c r="R10091" t="n">
        <v>0</v>
      </c>
      <c r="S10091" t="n">
        <v>0</v>
      </c>
      <c r="T10091" t="n">
        <v>0</v>
      </c>
      <c r="U10091" t="n">
        <v>0</v>
      </c>
      <c r="V10091" s="2" t="inlineStr"/>
    </row>
    <row r="10092" ht="15" customHeight="1">
      <c r="A10092" t="inlineStr">
        <is>
          <t>A 32210-2026</t>
        </is>
      </c>
      <c r="B10092" t="inlineStr">
        <is>
          <t>avverkningsanmälan</t>
        </is>
      </c>
      <c r="C10092" t="inlineStr">
        <is>
          <t>Föryngringsavverkning</t>
        </is>
      </c>
      <c r="D10092" s="1" t="n">
        <v>46237</v>
      </c>
      <c r="E10092" s="1" t="n">
        <v>46307</v>
      </c>
      <c r="F10092" t="inlineStr">
        <is>
          <t>VÄRMLANDS LÄN</t>
        </is>
      </c>
      <c r="G10092" t="inlineStr">
        <is>
          <t>SÄFFLE</t>
        </is>
      </c>
      <c r="I10092" t="n">
        <v>1.2</v>
      </c>
      <c r="J10092" t="n">
        <v>0</v>
      </c>
      <c r="K10092" t="n">
        <v>0</v>
      </c>
      <c r="L10092" t="n">
        <v>0</v>
      </c>
      <c r="M10092" t="n">
        <v>0</v>
      </c>
      <c r="N10092" t="n">
        <v>0</v>
      </c>
      <c r="O10092" t="n">
        <v>0</v>
      </c>
      <c r="P10092" t="n">
        <v>0</v>
      </c>
      <c r="Q10092" t="n">
        <v>0</v>
      </c>
      <c r="R10092" t="n">
        <v>0</v>
      </c>
      <c r="S10092" t="n">
        <v>0</v>
      </c>
      <c r="T10092" t="n">
        <v>0</v>
      </c>
      <c r="U10092" t="n">
        <v>0</v>
      </c>
      <c r="V10092" s="2" t="inlineStr"/>
    </row>
    <row r="10093" ht="15" customHeight="1">
      <c r="A10093" t="inlineStr">
        <is>
          <t>A 37757-2026</t>
        </is>
      </c>
      <c r="B10093" t="inlineStr">
        <is>
          <t>avverkningsanmälan</t>
        </is>
      </c>
      <c r="C10093" t="inlineStr">
        <is>
          <t>Föryngringsavverkning</t>
        </is>
      </c>
      <c r="D10093" s="1" t="n">
        <v>46279</v>
      </c>
      <c r="E10093" s="1" t="n">
        <v>46307</v>
      </c>
      <c r="F10093" t="inlineStr">
        <is>
          <t>VÄRMLANDS LÄN</t>
        </is>
      </c>
      <c r="G10093" t="inlineStr">
        <is>
          <t>FILIPSTAD</t>
        </is>
      </c>
      <c r="H10093" t="inlineStr">
        <is>
          <t>Bergvik skog väst AB</t>
        </is>
      </c>
      <c r="I10093" t="n">
        <v>2.1</v>
      </c>
      <c r="J10093" t="n">
        <v>0</v>
      </c>
      <c r="K10093" t="n">
        <v>0</v>
      </c>
      <c r="L10093" t="n">
        <v>0</v>
      </c>
      <c r="M10093" t="n">
        <v>0</v>
      </c>
      <c r="N10093" t="n">
        <v>0</v>
      </c>
      <c r="O10093" t="n">
        <v>0</v>
      </c>
      <c r="P10093" t="n">
        <v>0</v>
      </c>
      <c r="Q10093" t="n">
        <v>0</v>
      </c>
      <c r="R10093" t="n">
        <v>0</v>
      </c>
      <c r="S10093" t="n">
        <v>0</v>
      </c>
      <c r="T10093" t="n">
        <v>0</v>
      </c>
      <c r="U10093" t="n">
        <v>0</v>
      </c>
      <c r="V10093" s="2" t="inlineStr"/>
    </row>
    <row r="10094" ht="15" customHeight="1">
      <c r="A10094" t="inlineStr">
        <is>
          <t>A 37760-2026</t>
        </is>
      </c>
      <c r="B10094" t="inlineStr">
        <is>
          <t>avverkningsanmälan</t>
        </is>
      </c>
      <c r="C10094" t="inlineStr">
        <is>
          <t>Föryngringsavverkning</t>
        </is>
      </c>
      <c r="D10094" s="1" t="n">
        <v>46279</v>
      </c>
      <c r="E10094" s="1" t="n">
        <v>46307</v>
      </c>
      <c r="F10094" t="inlineStr">
        <is>
          <t>VÄRMLANDS LÄN</t>
        </is>
      </c>
      <c r="G10094" t="inlineStr">
        <is>
          <t>EDA</t>
        </is>
      </c>
      <c r="I10094" t="n">
        <v>1.1</v>
      </c>
      <c r="J10094" t="n">
        <v>0</v>
      </c>
      <c r="K10094" t="n">
        <v>0</v>
      </c>
      <c r="L10094" t="n">
        <v>0</v>
      </c>
      <c r="M10094" t="n">
        <v>0</v>
      </c>
      <c r="N10094" t="n">
        <v>0</v>
      </c>
      <c r="O10094" t="n">
        <v>0</v>
      </c>
      <c r="P10094" t="n">
        <v>0</v>
      </c>
      <c r="Q10094" t="n">
        <v>0</v>
      </c>
      <c r="R10094" t="n">
        <v>0</v>
      </c>
      <c r="S10094" t="n">
        <v>0</v>
      </c>
      <c r="T10094" t="n">
        <v>0</v>
      </c>
      <c r="U10094" t="n">
        <v>0</v>
      </c>
      <c r="V10094" s="2" t="inlineStr"/>
    </row>
    <row r="10095" ht="15" customHeight="1">
      <c r="A10095" t="inlineStr">
        <is>
          <t>A 32248-2026</t>
        </is>
      </c>
      <c r="B10095" t="inlineStr">
        <is>
          <t>avverkningsanmälan</t>
        </is>
      </c>
      <c r="C10095" t="inlineStr">
        <is>
          <t>Föryngringsavverkning</t>
        </is>
      </c>
      <c r="D10095" s="1" t="n">
        <v>46237</v>
      </c>
      <c r="E10095" s="1" t="n">
        <v>46307</v>
      </c>
      <c r="F10095" t="inlineStr">
        <is>
          <t>VÄRMLANDS LÄN</t>
        </is>
      </c>
      <c r="G10095" t="inlineStr">
        <is>
          <t>FILIPSTAD</t>
        </is>
      </c>
      <c r="I10095" t="n">
        <v>13.4</v>
      </c>
      <c r="J10095" t="n">
        <v>0</v>
      </c>
      <c r="K10095" t="n">
        <v>0</v>
      </c>
      <c r="L10095" t="n">
        <v>0</v>
      </c>
      <c r="M10095" t="n">
        <v>0</v>
      </c>
      <c r="N10095" t="n">
        <v>0</v>
      </c>
      <c r="O10095" t="n">
        <v>0</v>
      </c>
      <c r="P10095" t="n">
        <v>0</v>
      </c>
      <c r="Q10095" t="n">
        <v>0</v>
      </c>
      <c r="R10095" t="n">
        <v>0</v>
      </c>
      <c r="S10095" t="n">
        <v>0</v>
      </c>
      <c r="T10095" t="n">
        <v>0</v>
      </c>
      <c r="U10095" t="n">
        <v>0</v>
      </c>
      <c r="V10095" s="2" t="inlineStr"/>
    </row>
    <row r="10096" ht="15" customHeight="1">
      <c r="A10096" t="inlineStr">
        <is>
          <t>A 37755-2026</t>
        </is>
      </c>
      <c r="B10096" t="inlineStr">
        <is>
          <t>avverkningsanmälan</t>
        </is>
      </c>
      <c r="C10096" t="inlineStr">
        <is>
          <t>Föryngringsavverkning</t>
        </is>
      </c>
      <c r="D10096" s="1" t="n">
        <v>46279</v>
      </c>
      <c r="E10096" s="1" t="n">
        <v>46307</v>
      </c>
      <c r="F10096" t="inlineStr">
        <is>
          <t>VÄRMLANDS LÄN</t>
        </is>
      </c>
      <c r="G10096" t="inlineStr">
        <is>
          <t>SÄFFLE</t>
        </is>
      </c>
      <c r="I10096" t="n">
        <v>0.7</v>
      </c>
      <c r="J10096" t="n">
        <v>0</v>
      </c>
      <c r="K10096" t="n">
        <v>0</v>
      </c>
      <c r="L10096" t="n">
        <v>0</v>
      </c>
      <c r="M10096" t="n">
        <v>0</v>
      </c>
      <c r="N10096" t="n">
        <v>0</v>
      </c>
      <c r="O10096" t="n">
        <v>0</v>
      </c>
      <c r="P10096" t="n">
        <v>0</v>
      </c>
      <c r="Q10096" t="n">
        <v>0</v>
      </c>
      <c r="R10096" t="n">
        <v>0</v>
      </c>
      <c r="S10096" t="n">
        <v>0</v>
      </c>
      <c r="T10096" t="n">
        <v>0</v>
      </c>
      <c r="U10096" t="n">
        <v>0</v>
      </c>
      <c r="V10096" s="2" t="inlineStr"/>
    </row>
    <row r="10097" ht="15" customHeight="1">
      <c r="A10097" t="inlineStr">
        <is>
          <t>A 37768-2026</t>
        </is>
      </c>
      <c r="B10097" t="inlineStr">
        <is>
          <t>avverkningsanmälan</t>
        </is>
      </c>
      <c r="C10097" t="inlineStr">
        <is>
          <t>Föryngringsavverkning</t>
        </is>
      </c>
      <c r="D10097" s="1" t="n">
        <v>46279</v>
      </c>
      <c r="E10097" s="1" t="n">
        <v>46307</v>
      </c>
      <c r="F10097" t="inlineStr">
        <is>
          <t>VÄRMLANDS LÄN</t>
        </is>
      </c>
      <c r="G10097" t="inlineStr">
        <is>
          <t>ARVIKA</t>
        </is>
      </c>
      <c r="H10097" t="inlineStr">
        <is>
          <t>Bergvik skog väst AB</t>
        </is>
      </c>
      <c r="I10097" t="n">
        <v>5.5</v>
      </c>
      <c r="J10097" t="n">
        <v>0</v>
      </c>
      <c r="K10097" t="n">
        <v>0</v>
      </c>
      <c r="L10097" t="n">
        <v>0</v>
      </c>
      <c r="M10097" t="n">
        <v>0</v>
      </c>
      <c r="N10097" t="n">
        <v>0</v>
      </c>
      <c r="O10097" t="n">
        <v>0</v>
      </c>
      <c r="P10097" t="n">
        <v>0</v>
      </c>
      <c r="Q10097" t="n">
        <v>0</v>
      </c>
      <c r="R10097" t="n">
        <v>0</v>
      </c>
      <c r="S10097" t="n">
        <v>0</v>
      </c>
      <c r="T10097" t="n">
        <v>0</v>
      </c>
      <c r="U10097" t="n">
        <v>0</v>
      </c>
      <c r="V10097" s="2" t="inlineStr"/>
    </row>
    <row r="10098" ht="15" customHeight="1">
      <c r="A10098" t="inlineStr">
        <is>
          <t>A 37824-2026</t>
        </is>
      </c>
      <c r="B10098" t="inlineStr">
        <is>
          <t>avverkningsanmälan</t>
        </is>
      </c>
      <c r="C10098" t="inlineStr">
        <is>
          <t>Föryngringsavverkning</t>
        </is>
      </c>
      <c r="D10098" s="1" t="n">
        <v>46279</v>
      </c>
      <c r="E10098" s="1" t="n">
        <v>46307</v>
      </c>
      <c r="F10098" t="inlineStr">
        <is>
          <t>VÄRMLANDS LÄN</t>
        </is>
      </c>
      <c r="G10098" t="inlineStr">
        <is>
          <t>TORSBY</t>
        </is>
      </c>
      <c r="I10098" t="n">
        <v>3.3</v>
      </c>
      <c r="J10098" t="n">
        <v>0</v>
      </c>
      <c r="K10098" t="n">
        <v>0</v>
      </c>
      <c r="L10098" t="n">
        <v>0</v>
      </c>
      <c r="M10098" t="n">
        <v>0</v>
      </c>
      <c r="N10098" t="n">
        <v>0</v>
      </c>
      <c r="O10098" t="n">
        <v>0</v>
      </c>
      <c r="P10098" t="n">
        <v>0</v>
      </c>
      <c r="Q10098" t="n">
        <v>0</v>
      </c>
      <c r="R10098" t="n">
        <v>0</v>
      </c>
      <c r="S10098" t="n">
        <v>0</v>
      </c>
      <c r="T10098" t="n">
        <v>0</v>
      </c>
      <c r="U10098" t="n">
        <v>0</v>
      </c>
      <c r="V10098" s="2" t="inlineStr"/>
    </row>
    <row r="10099" ht="15" customHeight="1">
      <c r="A10099" t="inlineStr">
        <is>
          <t>A 37842-2026</t>
        </is>
      </c>
      <c r="B10099" t="inlineStr">
        <is>
          <t>avverkningsanmälan</t>
        </is>
      </c>
      <c r="C10099" t="inlineStr">
        <is>
          <t>Föryngringsavverkning</t>
        </is>
      </c>
      <c r="D10099" s="1" t="n">
        <v>46279</v>
      </c>
      <c r="E10099" s="1" t="n">
        <v>46307</v>
      </c>
      <c r="F10099" t="inlineStr">
        <is>
          <t>VÄRMLANDS LÄN</t>
        </is>
      </c>
      <c r="G10099" t="inlineStr">
        <is>
          <t>HAGFORS</t>
        </is>
      </c>
      <c r="H10099" t="inlineStr">
        <is>
          <t>Bergvik skog väst AB</t>
        </is>
      </c>
      <c r="I10099" t="n">
        <v>2.5</v>
      </c>
      <c r="J10099" t="n">
        <v>0</v>
      </c>
      <c r="K10099" t="n">
        <v>0</v>
      </c>
      <c r="L10099" t="n">
        <v>0</v>
      </c>
      <c r="M10099" t="n">
        <v>0</v>
      </c>
      <c r="N10099" t="n">
        <v>0</v>
      </c>
      <c r="O10099" t="n">
        <v>0</v>
      </c>
      <c r="P10099" t="n">
        <v>0</v>
      </c>
      <c r="Q10099" t="n">
        <v>0</v>
      </c>
      <c r="R10099" t="n">
        <v>0</v>
      </c>
      <c r="S10099" t="n">
        <v>0</v>
      </c>
      <c r="T10099" t="n">
        <v>0</v>
      </c>
      <c r="U10099" t="n">
        <v>0</v>
      </c>
      <c r="V10099" s="2" t="inlineStr"/>
    </row>
    <row r="10100" ht="15" customHeight="1">
      <c r="A10100" t="inlineStr">
        <is>
          <t>A 32031-2026</t>
        </is>
      </c>
      <c r="B10100" t="inlineStr">
        <is>
          <t>avverkningsanmälan</t>
        </is>
      </c>
      <c r="C10100" t="inlineStr">
        <is>
          <t>Föryngringsavverkning</t>
        </is>
      </c>
      <c r="D10100" s="1" t="n">
        <v>46233</v>
      </c>
      <c r="E10100" s="1" t="n">
        <v>46307</v>
      </c>
      <c r="F10100" t="inlineStr">
        <is>
          <t>VÄRMLANDS LÄN</t>
        </is>
      </c>
      <c r="G10100" t="inlineStr">
        <is>
          <t>FILIPSTAD</t>
        </is>
      </c>
      <c r="H10100" t="inlineStr">
        <is>
          <t>Bergvik skog väst AB</t>
        </is>
      </c>
      <c r="I10100" t="n">
        <v>4.7</v>
      </c>
      <c r="J10100" t="n">
        <v>0</v>
      </c>
      <c r="K10100" t="n">
        <v>0</v>
      </c>
      <c r="L10100" t="n">
        <v>0</v>
      </c>
      <c r="M10100" t="n">
        <v>0</v>
      </c>
      <c r="N10100" t="n">
        <v>0</v>
      </c>
      <c r="O10100" t="n">
        <v>0</v>
      </c>
      <c r="P10100" t="n">
        <v>0</v>
      </c>
      <c r="Q10100" t="n">
        <v>0</v>
      </c>
      <c r="R10100" t="n">
        <v>0</v>
      </c>
      <c r="S10100" t="n">
        <v>0</v>
      </c>
      <c r="T10100" t="n">
        <v>0</v>
      </c>
      <c r="U10100" t="n">
        <v>0</v>
      </c>
      <c r="V10100" s="2" t="inlineStr"/>
    </row>
    <row r="10101" ht="15" customHeight="1">
      <c r="A10101" t="inlineStr">
        <is>
          <t>A 32032-2026</t>
        </is>
      </c>
      <c r="B10101" t="inlineStr">
        <is>
          <t>avverkningsanmälan</t>
        </is>
      </c>
      <c r="C10101" t="inlineStr">
        <is>
          <t>Föryngringsavverkning</t>
        </is>
      </c>
      <c r="D10101" s="1" t="n">
        <v>46233</v>
      </c>
      <c r="E10101" s="1" t="n">
        <v>46307</v>
      </c>
      <c r="F10101" t="inlineStr">
        <is>
          <t>VÄRMLANDS LÄN</t>
        </is>
      </c>
      <c r="G10101" t="inlineStr">
        <is>
          <t>TORSBY</t>
        </is>
      </c>
      <c r="I10101" t="n">
        <v>0.6</v>
      </c>
      <c r="J10101" t="n">
        <v>0</v>
      </c>
      <c r="K10101" t="n">
        <v>0</v>
      </c>
      <c r="L10101" t="n">
        <v>0</v>
      </c>
      <c r="M10101" t="n">
        <v>0</v>
      </c>
      <c r="N10101" t="n">
        <v>0</v>
      </c>
      <c r="O10101" t="n">
        <v>0</v>
      </c>
      <c r="P10101" t="n">
        <v>0</v>
      </c>
      <c r="Q10101" t="n">
        <v>0</v>
      </c>
      <c r="R10101" t="n">
        <v>0</v>
      </c>
      <c r="S10101" t="n">
        <v>0</v>
      </c>
      <c r="T10101" t="n">
        <v>0</v>
      </c>
      <c r="U10101" t="n">
        <v>0</v>
      </c>
      <c r="V10101" s="2" t="inlineStr"/>
    </row>
    <row r="10102" ht="15" customHeight="1">
      <c r="A10102" t="inlineStr">
        <is>
          <t>A 32043-2026</t>
        </is>
      </c>
      <c r="B10102" t="inlineStr">
        <is>
          <t>avverkningsanmälan</t>
        </is>
      </c>
      <c r="C10102" t="inlineStr">
        <is>
          <t>Föryngringsavverkning</t>
        </is>
      </c>
      <c r="D10102" s="1" t="n">
        <v>46233</v>
      </c>
      <c r="E10102" s="1" t="n">
        <v>46307</v>
      </c>
      <c r="F10102" t="inlineStr">
        <is>
          <t>VÄRMLANDS LÄN</t>
        </is>
      </c>
      <c r="G10102" t="inlineStr">
        <is>
          <t>HAGFORS</t>
        </is>
      </c>
      <c r="H10102" t="inlineStr">
        <is>
          <t>Bergvik skog väst AB</t>
        </is>
      </c>
      <c r="I10102" t="n">
        <v>2.5</v>
      </c>
      <c r="J10102" t="n">
        <v>0</v>
      </c>
      <c r="K10102" t="n">
        <v>0</v>
      </c>
      <c r="L10102" t="n">
        <v>0</v>
      </c>
      <c r="M10102" t="n">
        <v>0</v>
      </c>
      <c r="N10102" t="n">
        <v>0</v>
      </c>
      <c r="O10102" t="n">
        <v>0</v>
      </c>
      <c r="P10102" t="n">
        <v>0</v>
      </c>
      <c r="Q10102" t="n">
        <v>0</v>
      </c>
      <c r="R10102" t="n">
        <v>0</v>
      </c>
      <c r="S10102" t="n">
        <v>0</v>
      </c>
      <c r="T10102" t="n">
        <v>0</v>
      </c>
      <c r="U10102" t="n">
        <v>0</v>
      </c>
      <c r="V10102" s="2" t="inlineStr"/>
    </row>
    <row r="10103" ht="15" customHeight="1">
      <c r="A10103" t="inlineStr">
        <is>
          <t>A 37924-2026</t>
        </is>
      </c>
      <c r="B10103" t="inlineStr">
        <is>
          <t>avverkningsanmälan</t>
        </is>
      </c>
      <c r="C10103" t="inlineStr">
        <is>
          <t>Föryngringsavverkning</t>
        </is>
      </c>
      <c r="D10103" s="1" t="n">
        <v>46280</v>
      </c>
      <c r="E10103" s="1" t="n">
        <v>46307</v>
      </c>
      <c r="F10103" t="inlineStr">
        <is>
          <t>VÄRMLANDS LÄN</t>
        </is>
      </c>
      <c r="G10103" t="inlineStr">
        <is>
          <t>HAGFORS</t>
        </is>
      </c>
      <c r="H10103" t="inlineStr">
        <is>
          <t>Bergvik skog väst AB</t>
        </is>
      </c>
      <c r="I10103" t="n">
        <v>8.5</v>
      </c>
      <c r="J10103" t="n">
        <v>0</v>
      </c>
      <c r="K10103" t="n">
        <v>0</v>
      </c>
      <c r="L10103" t="n">
        <v>0</v>
      </c>
      <c r="M10103" t="n">
        <v>0</v>
      </c>
      <c r="N10103" t="n">
        <v>0</v>
      </c>
      <c r="O10103" t="n">
        <v>0</v>
      </c>
      <c r="P10103" t="n">
        <v>0</v>
      </c>
      <c r="Q10103" t="n">
        <v>0</v>
      </c>
      <c r="R10103" t="n">
        <v>0</v>
      </c>
      <c r="S10103" t="n">
        <v>0</v>
      </c>
      <c r="T10103" t="n">
        <v>0</v>
      </c>
      <c r="U10103" t="n">
        <v>0</v>
      </c>
      <c r="V10103" s="2" t="inlineStr"/>
    </row>
    <row r="10104" ht="15" customHeight="1">
      <c r="A10104" t="inlineStr">
        <is>
          <t>A 32082-2026</t>
        </is>
      </c>
      <c r="B10104" t="inlineStr">
        <is>
          <t>avverkningsanmälan</t>
        </is>
      </c>
      <c r="C10104" t="inlineStr">
        <is>
          <t>Föryngringsavverkning</t>
        </is>
      </c>
      <c r="D10104" s="1" t="n">
        <v>46234</v>
      </c>
      <c r="E10104" s="1" t="n">
        <v>46307</v>
      </c>
      <c r="F10104" t="inlineStr">
        <is>
          <t>VÄRMLANDS LÄN</t>
        </is>
      </c>
      <c r="G10104" t="inlineStr">
        <is>
          <t>ARVIKA</t>
        </is>
      </c>
      <c r="H10104" t="inlineStr">
        <is>
          <t>Bergvik skog väst AB</t>
        </is>
      </c>
      <c r="I10104" t="n">
        <v>1.6</v>
      </c>
      <c r="J10104" t="n">
        <v>0</v>
      </c>
      <c r="K10104" t="n">
        <v>0</v>
      </c>
      <c r="L10104" t="n">
        <v>0</v>
      </c>
      <c r="M10104" t="n">
        <v>0</v>
      </c>
      <c r="N10104" t="n">
        <v>0</v>
      </c>
      <c r="O10104" t="n">
        <v>0</v>
      </c>
      <c r="P10104" t="n">
        <v>0</v>
      </c>
      <c r="Q10104" t="n">
        <v>0</v>
      </c>
      <c r="R10104" t="n">
        <v>0</v>
      </c>
      <c r="S10104" t="n">
        <v>0</v>
      </c>
      <c r="T10104" t="n">
        <v>0</v>
      </c>
      <c r="U10104" t="n">
        <v>0</v>
      </c>
      <c r="V10104" s="2" t="inlineStr"/>
    </row>
    <row r="10105" ht="15" customHeight="1">
      <c r="A10105" t="inlineStr">
        <is>
          <t>A 32089-2026</t>
        </is>
      </c>
      <c r="B10105" t="inlineStr">
        <is>
          <t>avverkningsanmälan</t>
        </is>
      </c>
      <c r="C10105" t="inlineStr">
        <is>
          <t>Föryngringsavverkning</t>
        </is>
      </c>
      <c r="D10105" s="1" t="n">
        <v>46234</v>
      </c>
      <c r="E10105" s="1" t="n">
        <v>46307</v>
      </c>
      <c r="F10105" t="inlineStr">
        <is>
          <t>VÄRMLANDS LÄN</t>
        </is>
      </c>
      <c r="G10105" t="inlineStr">
        <is>
          <t>SUNNE</t>
        </is>
      </c>
      <c r="I10105" t="n">
        <v>1.3</v>
      </c>
      <c r="J10105" t="n">
        <v>0</v>
      </c>
      <c r="K10105" t="n">
        <v>0</v>
      </c>
      <c r="L10105" t="n">
        <v>0</v>
      </c>
      <c r="M10105" t="n">
        <v>0</v>
      </c>
      <c r="N10105" t="n">
        <v>0</v>
      </c>
      <c r="O10105" t="n">
        <v>0</v>
      </c>
      <c r="P10105" t="n">
        <v>0</v>
      </c>
      <c r="Q10105" t="n">
        <v>0</v>
      </c>
      <c r="R10105" t="n">
        <v>0</v>
      </c>
      <c r="S10105" t="n">
        <v>0</v>
      </c>
      <c r="T10105" t="n">
        <v>0</v>
      </c>
      <c r="U10105" t="n">
        <v>0</v>
      </c>
      <c r="V10105" s="2" t="inlineStr"/>
    </row>
    <row r="10106" ht="15" customHeight="1">
      <c r="A10106" t="inlineStr">
        <is>
          <t>A 37685-2026</t>
        </is>
      </c>
      <c r="B10106" t="inlineStr">
        <is>
          <t>avverkningsanmälan</t>
        </is>
      </c>
      <c r="C10106" t="inlineStr">
        <is>
          <t>Föryngringsavverkning</t>
        </is>
      </c>
      <c r="D10106" s="1" t="n">
        <v>46279</v>
      </c>
      <c r="E10106" s="1" t="n">
        <v>46307</v>
      </c>
      <c r="F10106" t="inlineStr">
        <is>
          <t>VÄRMLANDS LÄN</t>
        </is>
      </c>
      <c r="G10106" t="inlineStr">
        <is>
          <t>HAGFORS</t>
        </is>
      </c>
      <c r="H10106" t="inlineStr">
        <is>
          <t>Bergvik skog väst AB</t>
        </is>
      </c>
      <c r="I10106" t="n">
        <v>15</v>
      </c>
      <c r="J10106" t="n">
        <v>0</v>
      </c>
      <c r="K10106" t="n">
        <v>0</v>
      </c>
      <c r="L10106" t="n">
        <v>0</v>
      </c>
      <c r="M10106" t="n">
        <v>0</v>
      </c>
      <c r="N10106" t="n">
        <v>0</v>
      </c>
      <c r="O10106" t="n">
        <v>0</v>
      </c>
      <c r="P10106" t="n">
        <v>0</v>
      </c>
      <c r="Q10106" t="n">
        <v>0</v>
      </c>
      <c r="R10106" t="n">
        <v>0</v>
      </c>
      <c r="S10106" t="n">
        <v>0</v>
      </c>
      <c r="T10106" t="n">
        <v>0</v>
      </c>
      <c r="U10106" t="n">
        <v>0</v>
      </c>
      <c r="V10106" s="2" t="inlineStr"/>
    </row>
    <row r="10107" ht="15" customHeight="1">
      <c r="A10107" t="inlineStr">
        <is>
          <t>A 37922-2026</t>
        </is>
      </c>
      <c r="B10107" t="inlineStr">
        <is>
          <t>avverkningsanmälan</t>
        </is>
      </c>
      <c r="C10107" t="inlineStr">
        <is>
          <t>Föryngringsavverkning</t>
        </is>
      </c>
      <c r="D10107" s="1" t="n">
        <v>46280</v>
      </c>
      <c r="E10107" s="1" t="n">
        <v>46307</v>
      </c>
      <c r="F10107" t="inlineStr">
        <is>
          <t>VÄRMLANDS LÄN</t>
        </is>
      </c>
      <c r="G10107" t="inlineStr">
        <is>
          <t>HAGFORS</t>
        </is>
      </c>
      <c r="H10107" t="inlineStr">
        <is>
          <t>Bergvik skog väst AB</t>
        </is>
      </c>
      <c r="I10107" t="n">
        <v>0.9</v>
      </c>
      <c r="J10107" t="n">
        <v>0</v>
      </c>
      <c r="K10107" t="n">
        <v>0</v>
      </c>
      <c r="L10107" t="n">
        <v>0</v>
      </c>
      <c r="M10107" t="n">
        <v>0</v>
      </c>
      <c r="N10107" t="n">
        <v>0</v>
      </c>
      <c r="O10107" t="n">
        <v>0</v>
      </c>
      <c r="P10107" t="n">
        <v>0</v>
      </c>
      <c r="Q10107" t="n">
        <v>0</v>
      </c>
      <c r="R10107" t="n">
        <v>0</v>
      </c>
      <c r="S10107" t="n">
        <v>0</v>
      </c>
      <c r="T10107" t="n">
        <v>0</v>
      </c>
      <c r="U10107" t="n">
        <v>0</v>
      </c>
      <c r="V10107" s="2" t="inlineStr"/>
    </row>
    <row r="10108" ht="15" customHeight="1">
      <c r="A10108" t="inlineStr">
        <is>
          <t>A 32199-2026</t>
        </is>
      </c>
      <c r="B10108" t="inlineStr">
        <is>
          <t>avverkningsanmälan</t>
        </is>
      </c>
      <c r="C10108" t="inlineStr">
        <is>
          <t>Föryngringsavverkning</t>
        </is>
      </c>
      <c r="D10108" s="1" t="n">
        <v>46237</v>
      </c>
      <c r="E10108" s="1" t="n">
        <v>46307</v>
      </c>
      <c r="F10108" t="inlineStr">
        <is>
          <t>VÄRMLANDS LÄN</t>
        </is>
      </c>
      <c r="G10108" t="inlineStr">
        <is>
          <t>SÄFFLE</t>
        </is>
      </c>
      <c r="I10108" t="n">
        <v>1.3</v>
      </c>
      <c r="J10108" t="n">
        <v>0</v>
      </c>
      <c r="K10108" t="n">
        <v>0</v>
      </c>
      <c r="L10108" t="n">
        <v>0</v>
      </c>
      <c r="M10108" t="n">
        <v>0</v>
      </c>
      <c r="N10108" t="n">
        <v>0</v>
      </c>
      <c r="O10108" t="n">
        <v>0</v>
      </c>
      <c r="P10108" t="n">
        <v>0</v>
      </c>
      <c r="Q10108" t="n">
        <v>0</v>
      </c>
      <c r="R10108" t="n">
        <v>0</v>
      </c>
      <c r="S10108" t="n">
        <v>0</v>
      </c>
      <c r="T10108" t="n">
        <v>0</v>
      </c>
      <c r="U10108" t="n">
        <v>0</v>
      </c>
      <c r="V10108" s="2" t="inlineStr"/>
    </row>
    <row r="10109" ht="15" customHeight="1">
      <c r="A10109" t="inlineStr">
        <is>
          <t>A 32200-2026</t>
        </is>
      </c>
      <c r="B10109" t="inlineStr">
        <is>
          <t>avverkningsanmälan</t>
        </is>
      </c>
      <c r="C10109" t="inlineStr">
        <is>
          <t>Föryngringsavverkning</t>
        </is>
      </c>
      <c r="D10109" s="1" t="n">
        <v>46237</v>
      </c>
      <c r="E10109" s="1" t="n">
        <v>46307</v>
      </c>
      <c r="F10109" t="inlineStr">
        <is>
          <t>VÄRMLANDS LÄN</t>
        </is>
      </c>
      <c r="G10109" t="inlineStr">
        <is>
          <t>SÄFFLE</t>
        </is>
      </c>
      <c r="I10109" t="n">
        <v>1.3</v>
      </c>
      <c r="J10109" t="n">
        <v>0</v>
      </c>
      <c r="K10109" t="n">
        <v>0</v>
      </c>
      <c r="L10109" t="n">
        <v>0</v>
      </c>
      <c r="M10109" t="n">
        <v>0</v>
      </c>
      <c r="N10109" t="n">
        <v>0</v>
      </c>
      <c r="O10109" t="n">
        <v>0</v>
      </c>
      <c r="P10109" t="n">
        <v>0</v>
      </c>
      <c r="Q10109" t="n">
        <v>0</v>
      </c>
      <c r="R10109" t="n">
        <v>0</v>
      </c>
      <c r="S10109" t="n">
        <v>0</v>
      </c>
      <c r="T10109" t="n">
        <v>0</v>
      </c>
      <c r="U10109" t="n">
        <v>0</v>
      </c>
      <c r="V10109" s="2" t="inlineStr"/>
    </row>
    <row r="10110" ht="15" customHeight="1">
      <c r="A10110" t="inlineStr">
        <is>
          <t>A 37893-2026</t>
        </is>
      </c>
      <c r="B10110" t="inlineStr">
        <is>
          <t>avverkningsanmälan</t>
        </is>
      </c>
      <c r="C10110" t="inlineStr">
        <is>
          <t>Föryngringsavverkning</t>
        </is>
      </c>
      <c r="D10110" s="1" t="n">
        <v>46279</v>
      </c>
      <c r="E10110" s="1" t="n">
        <v>46307</v>
      </c>
      <c r="F10110" t="inlineStr">
        <is>
          <t>VÄRMLANDS LÄN</t>
        </is>
      </c>
      <c r="G10110" t="inlineStr">
        <is>
          <t>ÅRJÄNG</t>
        </is>
      </c>
      <c r="I10110" t="n">
        <v>5.9</v>
      </c>
      <c r="J10110" t="n">
        <v>0</v>
      </c>
      <c r="K10110" t="n">
        <v>0</v>
      </c>
      <c r="L10110" t="n">
        <v>0</v>
      </c>
      <c r="M10110" t="n">
        <v>0</v>
      </c>
      <c r="N10110" t="n">
        <v>0</v>
      </c>
      <c r="O10110" t="n">
        <v>0</v>
      </c>
      <c r="P10110" t="n">
        <v>0</v>
      </c>
      <c r="Q10110" t="n">
        <v>0</v>
      </c>
      <c r="R10110" t="n">
        <v>0</v>
      </c>
      <c r="S10110" t="n">
        <v>0</v>
      </c>
      <c r="T10110" t="n">
        <v>0</v>
      </c>
      <c r="U10110" t="n">
        <v>0</v>
      </c>
      <c r="V10110" s="2" t="inlineStr"/>
    </row>
    <row r="10111" ht="15" customHeight="1">
      <c r="A10111" t="inlineStr">
        <is>
          <t>A 32142-2026</t>
        </is>
      </c>
      <c r="B10111" t="inlineStr">
        <is>
          <t>avverkningsanmälan</t>
        </is>
      </c>
      <c r="C10111" t="inlineStr">
        <is>
          <t>Föryngringsavverkning</t>
        </is>
      </c>
      <c r="D10111" s="1" t="n">
        <v>46234</v>
      </c>
      <c r="E10111" s="1" t="n">
        <v>46307</v>
      </c>
      <c r="F10111" t="inlineStr">
        <is>
          <t>VÄRMLANDS LÄN</t>
        </is>
      </c>
      <c r="G10111" t="inlineStr">
        <is>
          <t>SUNNE</t>
        </is>
      </c>
      <c r="H10111" t="inlineStr">
        <is>
          <t>Bergvik skog väst AB</t>
        </is>
      </c>
      <c r="I10111" t="n">
        <v>2.5</v>
      </c>
      <c r="J10111" t="n">
        <v>0</v>
      </c>
      <c r="K10111" t="n">
        <v>0</v>
      </c>
      <c r="L10111" t="n">
        <v>0</v>
      </c>
      <c r="M10111" t="n">
        <v>0</v>
      </c>
      <c r="N10111" t="n">
        <v>0</v>
      </c>
      <c r="O10111" t="n">
        <v>0</v>
      </c>
      <c r="P10111" t="n">
        <v>0</v>
      </c>
      <c r="Q10111" t="n">
        <v>0</v>
      </c>
      <c r="R10111" t="n">
        <v>0</v>
      </c>
      <c r="S10111" t="n">
        <v>0</v>
      </c>
      <c r="T10111" t="n">
        <v>0</v>
      </c>
      <c r="U10111" t="n">
        <v>0</v>
      </c>
      <c r="V10111" s="2" t="inlineStr"/>
    </row>
    <row r="10112" ht="15" customHeight="1">
      <c r="A10112" t="inlineStr">
        <is>
          <t>A 16802-2026</t>
        </is>
      </c>
      <c r="B10112" t="inlineStr">
        <is>
          <t>avverkningsanmälan</t>
        </is>
      </c>
      <c r="C10112" t="inlineStr">
        <is>
          <t>Föryngringsavverkning</t>
        </is>
      </c>
      <c r="D10112" s="1" t="n">
        <v>46113</v>
      </c>
      <c r="E10112" s="1" t="n">
        <v>46307</v>
      </c>
      <c r="F10112" t="inlineStr">
        <is>
          <t>VÄRMLANDS LÄN</t>
        </is>
      </c>
      <c r="G10112" t="inlineStr">
        <is>
          <t>SÄFFLE</t>
        </is>
      </c>
      <c r="I10112" t="n">
        <v>16.2</v>
      </c>
      <c r="J10112" t="n">
        <v>0</v>
      </c>
      <c r="K10112" t="n">
        <v>0</v>
      </c>
      <c r="L10112" t="n">
        <v>0</v>
      </c>
      <c r="M10112" t="n">
        <v>0</v>
      </c>
      <c r="N10112" t="n">
        <v>0</v>
      </c>
      <c r="O10112" t="n">
        <v>0</v>
      </c>
      <c r="P10112" t="n">
        <v>0</v>
      </c>
      <c r="Q10112" t="n">
        <v>0</v>
      </c>
      <c r="R10112" t="n">
        <v>0</v>
      </c>
      <c r="S10112" t="n">
        <v>0</v>
      </c>
      <c r="T10112" t="n">
        <v>0</v>
      </c>
      <c r="U10112" t="n">
        <v>0</v>
      </c>
      <c r="V10112" s="2" t="inlineStr"/>
    </row>
    <row r="10113" ht="15" customHeight="1">
      <c r="A10113" t="inlineStr">
        <is>
          <t>A 32337-2026</t>
        </is>
      </c>
      <c r="B10113" t="inlineStr">
        <is>
          <t>avverkningsanmälan</t>
        </is>
      </c>
      <c r="C10113" t="inlineStr">
        <is>
          <t>Föryngringsavverkning</t>
        </is>
      </c>
      <c r="D10113" s="1" t="n">
        <v>46238</v>
      </c>
      <c r="E10113" s="1" t="n">
        <v>46307</v>
      </c>
      <c r="F10113" t="inlineStr">
        <is>
          <t>VÄRMLANDS LÄN</t>
        </is>
      </c>
      <c r="G10113" t="inlineStr">
        <is>
          <t>EDA</t>
        </is>
      </c>
      <c r="I10113" t="n">
        <v>1.4</v>
      </c>
      <c r="J10113" t="n">
        <v>0</v>
      </c>
      <c r="K10113" t="n">
        <v>0</v>
      </c>
      <c r="L10113" t="n">
        <v>0</v>
      </c>
      <c r="M10113" t="n">
        <v>0</v>
      </c>
      <c r="N10113" t="n">
        <v>0</v>
      </c>
      <c r="O10113" t="n">
        <v>0</v>
      </c>
      <c r="P10113" t="n">
        <v>0</v>
      </c>
      <c r="Q10113" t="n">
        <v>0</v>
      </c>
      <c r="R10113" t="n">
        <v>0</v>
      </c>
      <c r="S10113" t="n">
        <v>0</v>
      </c>
      <c r="T10113" t="n">
        <v>0</v>
      </c>
      <c r="U10113" t="n">
        <v>0</v>
      </c>
      <c r="V10113" s="2" t="inlineStr"/>
    </row>
    <row r="10114" ht="15" customHeight="1">
      <c r="A10114" t="inlineStr">
        <is>
          <t>A 36735-2026</t>
        </is>
      </c>
      <c r="B10114" t="inlineStr">
        <is>
          <t>avverkningsanmälan</t>
        </is>
      </c>
      <c r="C10114" t="inlineStr">
        <is>
          <t>Föryngringsavverkning</t>
        </is>
      </c>
      <c r="D10114" s="1" t="n">
        <v>46272</v>
      </c>
      <c r="E10114" s="1" t="n">
        <v>46307</v>
      </c>
      <c r="F10114" t="inlineStr">
        <is>
          <t>VÄRMLANDS LÄN</t>
        </is>
      </c>
      <c r="G10114" t="inlineStr">
        <is>
          <t>TORSBY</t>
        </is>
      </c>
      <c r="I10114" t="n">
        <v>4.2</v>
      </c>
      <c r="J10114" t="n">
        <v>0</v>
      </c>
      <c r="K10114" t="n">
        <v>0</v>
      </c>
      <c r="L10114" t="n">
        <v>0</v>
      </c>
      <c r="M10114" t="n">
        <v>0</v>
      </c>
      <c r="N10114" t="n">
        <v>0</v>
      </c>
      <c r="O10114" t="n">
        <v>0</v>
      </c>
      <c r="P10114" t="n">
        <v>0</v>
      </c>
      <c r="Q10114" t="n">
        <v>0</v>
      </c>
      <c r="R10114" t="n">
        <v>0</v>
      </c>
      <c r="S10114" t="n">
        <v>0</v>
      </c>
      <c r="T10114" t="n">
        <v>0</v>
      </c>
      <c r="U10114" t="n">
        <v>0</v>
      </c>
      <c r="V10114" s="2" t="inlineStr"/>
    </row>
    <row r="10115" ht="15" customHeight="1">
      <c r="A10115" t="inlineStr">
        <is>
          <t>A 32450-2026</t>
        </is>
      </c>
      <c r="B10115" t="inlineStr">
        <is>
          <t>avverkningsanmälan</t>
        </is>
      </c>
      <c r="C10115" t="inlineStr">
        <is>
          <t>Föryngringsavverkning</t>
        </is>
      </c>
      <c r="D10115" s="1" t="n">
        <v>46239</v>
      </c>
      <c r="E10115" s="1" t="n">
        <v>46307</v>
      </c>
      <c r="F10115" t="inlineStr">
        <is>
          <t>VÄRMLANDS LÄN</t>
        </is>
      </c>
      <c r="G10115" t="inlineStr">
        <is>
          <t>SUNNE</t>
        </is>
      </c>
      <c r="I10115" t="n">
        <v>1.4</v>
      </c>
      <c r="J10115" t="n">
        <v>0</v>
      </c>
      <c r="K10115" t="n">
        <v>0</v>
      </c>
      <c r="L10115" t="n">
        <v>0</v>
      </c>
      <c r="M10115" t="n">
        <v>0</v>
      </c>
      <c r="N10115" t="n">
        <v>0</v>
      </c>
      <c r="O10115" t="n">
        <v>0</v>
      </c>
      <c r="P10115" t="n">
        <v>0</v>
      </c>
      <c r="Q10115" t="n">
        <v>0</v>
      </c>
      <c r="R10115" t="n">
        <v>0</v>
      </c>
      <c r="S10115" t="n">
        <v>0</v>
      </c>
      <c r="T10115" t="n">
        <v>0</v>
      </c>
      <c r="U10115" t="n">
        <v>0</v>
      </c>
      <c r="V10115" s="2" t="inlineStr"/>
    </row>
    <row r="10116" ht="15" customHeight="1">
      <c r="A10116" t="inlineStr">
        <is>
          <t>A 38342-2026</t>
        </is>
      </c>
      <c r="B10116" t="inlineStr">
        <is>
          <t>avverkningsanmälan</t>
        </is>
      </c>
      <c r="C10116" t="inlineStr">
        <is>
          <t>Föryngringsavverkning</t>
        </is>
      </c>
      <c r="D10116" s="1" t="n">
        <v>46282</v>
      </c>
      <c r="E10116" s="1" t="n">
        <v>46307</v>
      </c>
      <c r="F10116" t="inlineStr">
        <is>
          <t>VÄRMLANDS LÄN</t>
        </is>
      </c>
      <c r="G10116" t="inlineStr">
        <is>
          <t>HAGFORS</t>
        </is>
      </c>
      <c r="H10116" t="inlineStr">
        <is>
          <t>Bergvik skog väst AB</t>
        </is>
      </c>
      <c r="I10116" t="n">
        <v>4.6</v>
      </c>
      <c r="J10116" t="n">
        <v>0</v>
      </c>
      <c r="K10116" t="n">
        <v>0</v>
      </c>
      <c r="L10116" t="n">
        <v>0</v>
      </c>
      <c r="M10116" t="n">
        <v>0</v>
      </c>
      <c r="N10116" t="n">
        <v>0</v>
      </c>
      <c r="O10116" t="n">
        <v>0</v>
      </c>
      <c r="P10116" t="n">
        <v>0</v>
      </c>
      <c r="Q10116" t="n">
        <v>0</v>
      </c>
      <c r="R10116" t="n">
        <v>0</v>
      </c>
      <c r="S10116" t="n">
        <v>0</v>
      </c>
      <c r="T10116" t="n">
        <v>0</v>
      </c>
      <c r="U10116" t="n">
        <v>0</v>
      </c>
      <c r="V10116" s="2" t="inlineStr"/>
    </row>
    <row r="10117" ht="15" customHeight="1">
      <c r="A10117" t="inlineStr">
        <is>
          <t>A 38256-2026</t>
        </is>
      </c>
      <c r="B10117" t="inlineStr">
        <is>
          <t>avverkningsanmälan</t>
        </is>
      </c>
      <c r="C10117" t="inlineStr">
        <is>
          <t>Avverkning för annat ändamål</t>
        </is>
      </c>
      <c r="D10117" s="1" t="n">
        <v>46281</v>
      </c>
      <c r="E10117" s="1" t="n">
        <v>46307</v>
      </c>
      <c r="F10117" t="inlineStr">
        <is>
          <t>VÄRMLANDS LÄN</t>
        </is>
      </c>
      <c r="G10117" t="inlineStr">
        <is>
          <t>SÄFFLE</t>
        </is>
      </c>
      <c r="I10117" t="n">
        <v>1.7</v>
      </c>
      <c r="J10117" t="n">
        <v>0</v>
      </c>
      <c r="K10117" t="n">
        <v>0</v>
      </c>
      <c r="L10117" t="n">
        <v>0</v>
      </c>
      <c r="M10117" t="n">
        <v>0</v>
      </c>
      <c r="N10117" t="n">
        <v>0</v>
      </c>
      <c r="O10117" t="n">
        <v>0</v>
      </c>
      <c r="P10117" t="n">
        <v>0</v>
      </c>
      <c r="Q10117" t="n">
        <v>0</v>
      </c>
      <c r="R10117" t="n">
        <v>0</v>
      </c>
      <c r="S10117" t="n">
        <v>0</v>
      </c>
      <c r="T10117" t="n">
        <v>0</v>
      </c>
      <c r="U10117" t="n">
        <v>0</v>
      </c>
      <c r="V10117" s="2" t="inlineStr"/>
    </row>
    <row r="10118" ht="15" customHeight="1">
      <c r="A10118" t="inlineStr">
        <is>
          <t>A 38486-2026</t>
        </is>
      </c>
      <c r="B10118" t="inlineStr">
        <is>
          <t>avverkningsanmälan</t>
        </is>
      </c>
      <c r="C10118" t="inlineStr">
        <is>
          <t>Föryngringsavverkning</t>
        </is>
      </c>
      <c r="D10118" s="1" t="n">
        <v>46282</v>
      </c>
      <c r="E10118" s="1" t="n">
        <v>46307</v>
      </c>
      <c r="F10118" t="inlineStr">
        <is>
          <t>VÄRMLANDS LÄN</t>
        </is>
      </c>
      <c r="G10118" t="inlineStr">
        <is>
          <t>KRISTINEHAMN</t>
        </is>
      </c>
      <c r="I10118" t="n">
        <v>2.1</v>
      </c>
      <c r="J10118" t="n">
        <v>0</v>
      </c>
      <c r="K10118" t="n">
        <v>0</v>
      </c>
      <c r="L10118" t="n">
        <v>0</v>
      </c>
      <c r="M10118" t="n">
        <v>0</v>
      </c>
      <c r="N10118" t="n">
        <v>0</v>
      </c>
      <c r="O10118" t="n">
        <v>0</v>
      </c>
      <c r="P10118" t="n">
        <v>0</v>
      </c>
      <c r="Q10118" t="n">
        <v>0</v>
      </c>
      <c r="R10118" t="n">
        <v>0</v>
      </c>
      <c r="S10118" t="n">
        <v>0</v>
      </c>
      <c r="T10118" t="n">
        <v>0</v>
      </c>
      <c r="U10118" t="n">
        <v>0</v>
      </c>
      <c r="V10118" s="2" t="inlineStr"/>
    </row>
    <row r="10119" ht="15" customHeight="1">
      <c r="A10119" t="inlineStr">
        <is>
          <t>A 38435-2026</t>
        </is>
      </c>
      <c r="B10119" t="inlineStr">
        <is>
          <t>avverkningsanmälan</t>
        </is>
      </c>
      <c r="C10119" t="inlineStr">
        <is>
          <t>Föryngringsavverkning</t>
        </is>
      </c>
      <c r="D10119" s="1" t="n">
        <v>46282</v>
      </c>
      <c r="E10119" s="1" t="n">
        <v>46307</v>
      </c>
      <c r="F10119" t="inlineStr">
        <is>
          <t>VÄRMLANDS LÄN</t>
        </is>
      </c>
      <c r="G10119" t="inlineStr">
        <is>
          <t>ARVIKA</t>
        </is>
      </c>
      <c r="I10119" t="n">
        <v>1.3</v>
      </c>
      <c r="J10119" t="n">
        <v>0</v>
      </c>
      <c r="K10119" t="n">
        <v>0</v>
      </c>
      <c r="L10119" t="n">
        <v>0</v>
      </c>
      <c r="M10119" t="n">
        <v>0</v>
      </c>
      <c r="N10119" t="n">
        <v>0</v>
      </c>
      <c r="O10119" t="n">
        <v>0</v>
      </c>
      <c r="P10119" t="n">
        <v>0</v>
      </c>
      <c r="Q10119" t="n">
        <v>0</v>
      </c>
      <c r="R10119" t="n">
        <v>0</v>
      </c>
      <c r="S10119" t="n">
        <v>0</v>
      </c>
      <c r="T10119" t="n">
        <v>0</v>
      </c>
      <c r="U10119" t="n">
        <v>0</v>
      </c>
      <c r="V10119" s="2" t="inlineStr"/>
    </row>
    <row r="10120" ht="15" customHeight="1">
      <c r="A10120" t="inlineStr">
        <is>
          <t>A 38411-2026</t>
        </is>
      </c>
      <c r="B10120" t="inlineStr">
        <is>
          <t>avverkningsanmälan</t>
        </is>
      </c>
      <c r="C10120" t="inlineStr">
        <is>
          <t>Föryngringsavverkning</t>
        </is>
      </c>
      <c r="D10120" s="1" t="n">
        <v>46282</v>
      </c>
      <c r="E10120" s="1" t="n">
        <v>46307</v>
      </c>
      <c r="F10120" t="inlineStr">
        <is>
          <t>VÄRMLANDS LÄN</t>
        </is>
      </c>
      <c r="G10120" t="inlineStr">
        <is>
          <t>HAGFORS</t>
        </is>
      </c>
      <c r="H10120" t="inlineStr">
        <is>
          <t>Bergvik skog väst AB</t>
        </is>
      </c>
      <c r="I10120" t="n">
        <v>16.6</v>
      </c>
      <c r="J10120" t="n">
        <v>0</v>
      </c>
      <c r="K10120" t="n">
        <v>0</v>
      </c>
      <c r="L10120" t="n">
        <v>0</v>
      </c>
      <c r="M10120" t="n">
        <v>0</v>
      </c>
      <c r="N10120" t="n">
        <v>0</v>
      </c>
      <c r="O10120" t="n">
        <v>0</v>
      </c>
      <c r="P10120" t="n">
        <v>0</v>
      </c>
      <c r="Q10120" t="n">
        <v>0</v>
      </c>
      <c r="R10120" t="n">
        <v>0</v>
      </c>
      <c r="S10120" t="n">
        <v>0</v>
      </c>
      <c r="T10120" t="n">
        <v>0</v>
      </c>
      <c r="U10120" t="n">
        <v>0</v>
      </c>
      <c r="V10120" s="2" t="inlineStr"/>
    </row>
    <row r="10121" ht="15" customHeight="1">
      <c r="A10121" t="inlineStr">
        <is>
          <t>A 32563-2026</t>
        </is>
      </c>
      <c r="B10121" t="inlineStr">
        <is>
          <t>avverkningsanmälan</t>
        </is>
      </c>
      <c r="C10121" t="inlineStr">
        <is>
          <t>Föryngringsavverkning</t>
        </is>
      </c>
      <c r="D10121" s="1" t="n">
        <v>46239</v>
      </c>
      <c r="E10121" s="1" t="n">
        <v>46307</v>
      </c>
      <c r="F10121" t="inlineStr">
        <is>
          <t>VÄRMLANDS LÄN</t>
        </is>
      </c>
      <c r="G10121" t="inlineStr">
        <is>
          <t>FILIPSTAD</t>
        </is>
      </c>
      <c r="H10121" t="inlineStr">
        <is>
          <t>Bergvik skog väst AB</t>
        </is>
      </c>
      <c r="I10121" t="n">
        <v>3.4</v>
      </c>
      <c r="J10121" t="n">
        <v>0</v>
      </c>
      <c r="K10121" t="n">
        <v>0</v>
      </c>
      <c r="L10121" t="n">
        <v>0</v>
      </c>
      <c r="M10121" t="n">
        <v>0</v>
      </c>
      <c r="N10121" t="n">
        <v>0</v>
      </c>
      <c r="O10121" t="n">
        <v>0</v>
      </c>
      <c r="P10121" t="n">
        <v>0</v>
      </c>
      <c r="Q10121" t="n">
        <v>0</v>
      </c>
      <c r="R10121" t="n">
        <v>0</v>
      </c>
      <c r="S10121" t="n">
        <v>0</v>
      </c>
      <c r="T10121" t="n">
        <v>0</v>
      </c>
      <c r="U10121" t="n">
        <v>0</v>
      </c>
      <c r="V10121" s="2" t="inlineStr"/>
    </row>
    <row r="10122" ht="15" customHeight="1">
      <c r="A10122" t="inlineStr">
        <is>
          <t>A 38325-2026</t>
        </is>
      </c>
      <c r="B10122" t="inlineStr">
        <is>
          <t>avverkningsanmälan</t>
        </is>
      </c>
      <c r="C10122" t="inlineStr">
        <is>
          <t>Föryngringsavverkning</t>
        </is>
      </c>
      <c r="D10122" s="1" t="n">
        <v>46282</v>
      </c>
      <c r="E10122" s="1" t="n">
        <v>46307</v>
      </c>
      <c r="F10122" t="inlineStr">
        <is>
          <t>VÄRMLANDS LÄN</t>
        </is>
      </c>
      <c r="G10122" t="inlineStr">
        <is>
          <t>FILIPSTAD</t>
        </is>
      </c>
      <c r="H10122" t="inlineStr">
        <is>
          <t>Kyrkan</t>
        </is>
      </c>
      <c r="I10122" t="n">
        <v>3.5</v>
      </c>
      <c r="J10122" t="n">
        <v>0</v>
      </c>
      <c r="K10122" t="n">
        <v>0</v>
      </c>
      <c r="L10122" t="n">
        <v>0</v>
      </c>
      <c r="M10122" t="n">
        <v>0</v>
      </c>
      <c r="N10122" t="n">
        <v>0</v>
      </c>
      <c r="O10122" t="n">
        <v>0</v>
      </c>
      <c r="P10122" t="n">
        <v>0</v>
      </c>
      <c r="Q10122" t="n">
        <v>0</v>
      </c>
      <c r="R10122" t="n">
        <v>0</v>
      </c>
      <c r="S10122" t="n">
        <v>0</v>
      </c>
      <c r="T10122" t="n">
        <v>0</v>
      </c>
      <c r="U10122" t="n">
        <v>0</v>
      </c>
      <c r="V10122" s="2" t="inlineStr"/>
    </row>
    <row r="10123" ht="15" customHeight="1">
      <c r="A10123" t="inlineStr">
        <is>
          <t>A 32572-2026</t>
        </is>
      </c>
      <c r="B10123" t="inlineStr">
        <is>
          <t>avverkningsanmälan</t>
        </is>
      </c>
      <c r="C10123" t="inlineStr">
        <is>
          <t>Föryngringsavverkning</t>
        </is>
      </c>
      <c r="D10123" s="1" t="n">
        <v>46239</v>
      </c>
      <c r="E10123" s="1" t="n">
        <v>46307</v>
      </c>
      <c r="F10123" t="inlineStr">
        <is>
          <t>VÄRMLANDS LÄN</t>
        </is>
      </c>
      <c r="G10123" t="inlineStr">
        <is>
          <t>FILIPSTAD</t>
        </is>
      </c>
      <c r="H10123" t="inlineStr">
        <is>
          <t>Bergvik skog väst AB</t>
        </is>
      </c>
      <c r="I10123" t="n">
        <v>4.7</v>
      </c>
      <c r="J10123" t="n">
        <v>0</v>
      </c>
      <c r="K10123" t="n">
        <v>0</v>
      </c>
      <c r="L10123" t="n">
        <v>0</v>
      </c>
      <c r="M10123" t="n">
        <v>0</v>
      </c>
      <c r="N10123" t="n">
        <v>0</v>
      </c>
      <c r="O10123" t="n">
        <v>0</v>
      </c>
      <c r="P10123" t="n">
        <v>0</v>
      </c>
      <c r="Q10123" t="n">
        <v>0</v>
      </c>
      <c r="R10123" t="n">
        <v>0</v>
      </c>
      <c r="S10123" t="n">
        <v>0</v>
      </c>
      <c r="T10123" t="n">
        <v>0</v>
      </c>
      <c r="U10123" t="n">
        <v>0</v>
      </c>
      <c r="V10123" s="2" t="inlineStr"/>
    </row>
    <row r="10124" ht="15" customHeight="1">
      <c r="A10124" t="inlineStr">
        <is>
          <t>A 38090-2026</t>
        </is>
      </c>
      <c r="B10124" t="inlineStr">
        <is>
          <t>avverkningsanmälan</t>
        </is>
      </c>
      <c r="C10124" t="inlineStr">
        <is>
          <t>Föryngringsavverkning</t>
        </is>
      </c>
      <c r="D10124" s="1" t="n">
        <v>46281</v>
      </c>
      <c r="E10124" s="1" t="n">
        <v>46307</v>
      </c>
      <c r="F10124" t="inlineStr">
        <is>
          <t>VÄRMLANDS LÄN</t>
        </is>
      </c>
      <c r="G10124" t="inlineStr">
        <is>
          <t>KARLSTAD</t>
        </is>
      </c>
      <c r="I10124" t="n">
        <v>2.1</v>
      </c>
      <c r="J10124" t="n">
        <v>0</v>
      </c>
      <c r="K10124" t="n">
        <v>0</v>
      </c>
      <c r="L10124" t="n">
        <v>0</v>
      </c>
      <c r="M10124" t="n">
        <v>0</v>
      </c>
      <c r="N10124" t="n">
        <v>0</v>
      </c>
      <c r="O10124" t="n">
        <v>0</v>
      </c>
      <c r="P10124" t="n">
        <v>0</v>
      </c>
      <c r="Q10124" t="n">
        <v>0</v>
      </c>
      <c r="R10124" t="n">
        <v>0</v>
      </c>
      <c r="S10124" t="n">
        <v>0</v>
      </c>
      <c r="T10124" t="n">
        <v>0</v>
      </c>
      <c r="U10124" t="n">
        <v>0</v>
      </c>
      <c r="V10124" s="2" t="inlineStr"/>
    </row>
    <row r="10125" ht="15" customHeight="1">
      <c r="A10125" t="inlineStr">
        <is>
          <t>A 38332-2026</t>
        </is>
      </c>
      <c r="B10125" t="inlineStr">
        <is>
          <t>avverkningsanmälan</t>
        </is>
      </c>
      <c r="C10125" t="inlineStr">
        <is>
          <t>Föryngringsavverkning</t>
        </is>
      </c>
      <c r="D10125" s="1" t="n">
        <v>46282</v>
      </c>
      <c r="E10125" s="1" t="n">
        <v>46307</v>
      </c>
      <c r="F10125" t="inlineStr">
        <is>
          <t>VÄRMLANDS LÄN</t>
        </is>
      </c>
      <c r="G10125" t="inlineStr">
        <is>
          <t>ÅRJÄNG</t>
        </is>
      </c>
      <c r="I10125" t="n">
        <v>4</v>
      </c>
      <c r="J10125" t="n">
        <v>0</v>
      </c>
      <c r="K10125" t="n">
        <v>0</v>
      </c>
      <c r="L10125" t="n">
        <v>0</v>
      </c>
      <c r="M10125" t="n">
        <v>0</v>
      </c>
      <c r="N10125" t="n">
        <v>0</v>
      </c>
      <c r="O10125" t="n">
        <v>0</v>
      </c>
      <c r="P10125" t="n">
        <v>0</v>
      </c>
      <c r="Q10125" t="n">
        <v>0</v>
      </c>
      <c r="R10125" t="n">
        <v>0</v>
      </c>
      <c r="S10125" t="n">
        <v>0</v>
      </c>
      <c r="T10125" t="n">
        <v>0</v>
      </c>
      <c r="U10125" t="n">
        <v>0</v>
      </c>
      <c r="V10125" s="2" t="inlineStr"/>
    </row>
    <row r="10126" ht="15" customHeight="1">
      <c r="A10126" t="inlineStr">
        <is>
          <t>A 38499-2026</t>
        </is>
      </c>
      <c r="B10126" t="inlineStr">
        <is>
          <t>avverkningsanmälan</t>
        </is>
      </c>
      <c r="C10126" t="inlineStr">
        <is>
          <t>Föryngringsavverkning</t>
        </is>
      </c>
      <c r="D10126" s="1" t="n">
        <v>46282</v>
      </c>
      <c r="E10126" s="1" t="n">
        <v>46307</v>
      </c>
      <c r="F10126" t="inlineStr">
        <is>
          <t>VÄRMLANDS LÄN</t>
        </is>
      </c>
      <c r="G10126" t="inlineStr">
        <is>
          <t>KIL</t>
        </is>
      </c>
      <c r="I10126" t="n">
        <v>1.1</v>
      </c>
      <c r="J10126" t="n">
        <v>0</v>
      </c>
      <c r="K10126" t="n">
        <v>0</v>
      </c>
      <c r="L10126" t="n">
        <v>0</v>
      </c>
      <c r="M10126" t="n">
        <v>0</v>
      </c>
      <c r="N10126" t="n">
        <v>0</v>
      </c>
      <c r="O10126" t="n">
        <v>0</v>
      </c>
      <c r="P10126" t="n">
        <v>0</v>
      </c>
      <c r="Q10126" t="n">
        <v>0</v>
      </c>
      <c r="R10126" t="n">
        <v>0</v>
      </c>
      <c r="S10126" t="n">
        <v>0</v>
      </c>
      <c r="T10126" t="n">
        <v>0</v>
      </c>
      <c r="U10126" t="n">
        <v>0</v>
      </c>
      <c r="V10126" s="2" t="inlineStr"/>
    </row>
    <row r="10127" ht="15" customHeight="1">
      <c r="A10127" t="inlineStr">
        <is>
          <t>A 32490-2026</t>
        </is>
      </c>
      <c r="B10127" t="inlineStr">
        <is>
          <t>avverkningsanmälan</t>
        </is>
      </c>
      <c r="C10127" t="inlineStr">
        <is>
          <t>Föryngringsavverkning</t>
        </is>
      </c>
      <c r="D10127" s="1" t="n">
        <v>46239</v>
      </c>
      <c r="E10127" s="1" t="n">
        <v>46307</v>
      </c>
      <c r="F10127" t="inlineStr">
        <is>
          <t>VÄRMLANDS LÄN</t>
        </is>
      </c>
      <c r="G10127" t="inlineStr">
        <is>
          <t>HAGFORS</t>
        </is>
      </c>
      <c r="H10127" t="inlineStr">
        <is>
          <t>Bergvik skog väst AB</t>
        </is>
      </c>
      <c r="I10127" t="n">
        <v>19.3</v>
      </c>
      <c r="J10127" t="n">
        <v>0</v>
      </c>
      <c r="K10127" t="n">
        <v>0</v>
      </c>
      <c r="L10127" t="n">
        <v>0</v>
      </c>
      <c r="M10127" t="n">
        <v>0</v>
      </c>
      <c r="N10127" t="n">
        <v>0</v>
      </c>
      <c r="O10127" t="n">
        <v>0</v>
      </c>
      <c r="P10127" t="n">
        <v>0</v>
      </c>
      <c r="Q10127" t="n">
        <v>0</v>
      </c>
      <c r="R10127" t="n">
        <v>0</v>
      </c>
      <c r="S10127" t="n">
        <v>0</v>
      </c>
      <c r="T10127" t="n">
        <v>0</v>
      </c>
      <c r="U10127" t="n">
        <v>0</v>
      </c>
      <c r="V10127" s="2" t="inlineStr"/>
    </row>
    <row r="10128" ht="15" customHeight="1">
      <c r="A10128" t="inlineStr">
        <is>
          <t>A 32496-2026</t>
        </is>
      </c>
      <c r="B10128" t="inlineStr">
        <is>
          <t>avverkningsanmälan</t>
        </is>
      </c>
      <c r="C10128" t="inlineStr">
        <is>
          <t>Föryngringsavverkning</t>
        </is>
      </c>
      <c r="D10128" s="1" t="n">
        <v>46239</v>
      </c>
      <c r="E10128" s="1" t="n">
        <v>46307</v>
      </c>
      <c r="F10128" t="inlineStr">
        <is>
          <t>VÄRMLANDS LÄN</t>
        </is>
      </c>
      <c r="G10128" t="inlineStr">
        <is>
          <t>ARVIKA</t>
        </is>
      </c>
      <c r="H10128" t="inlineStr">
        <is>
          <t>Bergvik skog väst AB</t>
        </is>
      </c>
      <c r="I10128" t="n">
        <v>2.5</v>
      </c>
      <c r="J10128" t="n">
        <v>0</v>
      </c>
      <c r="K10128" t="n">
        <v>0</v>
      </c>
      <c r="L10128" t="n">
        <v>0</v>
      </c>
      <c r="M10128" t="n">
        <v>0</v>
      </c>
      <c r="N10128" t="n">
        <v>0</v>
      </c>
      <c r="O10128" t="n">
        <v>0</v>
      </c>
      <c r="P10128" t="n">
        <v>0</v>
      </c>
      <c r="Q10128" t="n">
        <v>0</v>
      </c>
      <c r="R10128" t="n">
        <v>0</v>
      </c>
      <c r="S10128" t="n">
        <v>0</v>
      </c>
      <c r="T10128" t="n">
        <v>0</v>
      </c>
      <c r="U10128" t="n">
        <v>0</v>
      </c>
      <c r="V10128" s="2" t="inlineStr"/>
    </row>
    <row r="10129" ht="15" customHeight="1">
      <c r="A10129" t="inlineStr">
        <is>
          <t>A 32535-2026</t>
        </is>
      </c>
      <c r="B10129" t="inlineStr">
        <is>
          <t>avverkningsanmälan</t>
        </is>
      </c>
      <c r="C10129" t="inlineStr">
        <is>
          <t>Föryngringsavverkning</t>
        </is>
      </c>
      <c r="D10129" s="1" t="n">
        <v>46239</v>
      </c>
      <c r="E10129" s="1" t="n">
        <v>46307</v>
      </c>
      <c r="F10129" t="inlineStr">
        <is>
          <t>VÄRMLANDS LÄN</t>
        </is>
      </c>
      <c r="G10129" t="inlineStr">
        <is>
          <t>HAGFORS</t>
        </is>
      </c>
      <c r="H10129" t="inlineStr">
        <is>
          <t>Bergvik skog väst AB</t>
        </is>
      </c>
      <c r="I10129" t="n">
        <v>1.3</v>
      </c>
      <c r="J10129" t="n">
        <v>0</v>
      </c>
      <c r="K10129" t="n">
        <v>0</v>
      </c>
      <c r="L10129" t="n">
        <v>0</v>
      </c>
      <c r="M10129" t="n">
        <v>0</v>
      </c>
      <c r="N10129" t="n">
        <v>0</v>
      </c>
      <c r="O10129" t="n">
        <v>0</v>
      </c>
      <c r="P10129" t="n">
        <v>0</v>
      </c>
      <c r="Q10129" t="n">
        <v>0</v>
      </c>
      <c r="R10129" t="n">
        <v>0</v>
      </c>
      <c r="S10129" t="n">
        <v>0</v>
      </c>
      <c r="T10129" t="n">
        <v>0</v>
      </c>
      <c r="U10129" t="n">
        <v>0</v>
      </c>
      <c r="V10129" s="2" t="inlineStr"/>
    </row>
    <row r="10130" ht="15" customHeight="1">
      <c r="A10130" t="inlineStr">
        <is>
          <t>A 38494-2026</t>
        </is>
      </c>
      <c r="B10130" t="inlineStr">
        <is>
          <t>avverkningsanmälan</t>
        </is>
      </c>
      <c r="C10130" t="inlineStr">
        <is>
          <t>Föryngringsavverkning</t>
        </is>
      </c>
      <c r="D10130" s="1" t="n">
        <v>46282</v>
      </c>
      <c r="E10130" s="1" t="n">
        <v>46307</v>
      </c>
      <c r="F10130" t="inlineStr">
        <is>
          <t>VÄRMLANDS LÄN</t>
        </is>
      </c>
      <c r="G10130" t="inlineStr">
        <is>
          <t>KIL</t>
        </is>
      </c>
      <c r="I10130" t="n">
        <v>1</v>
      </c>
      <c r="J10130" t="n">
        <v>0</v>
      </c>
      <c r="K10130" t="n">
        <v>0</v>
      </c>
      <c r="L10130" t="n">
        <v>0</v>
      </c>
      <c r="M10130" t="n">
        <v>0</v>
      </c>
      <c r="N10130" t="n">
        <v>0</v>
      </c>
      <c r="O10130" t="n">
        <v>0</v>
      </c>
      <c r="P10130" t="n">
        <v>0</v>
      </c>
      <c r="Q10130" t="n">
        <v>0</v>
      </c>
      <c r="R10130" t="n">
        <v>0</v>
      </c>
      <c r="S10130" t="n">
        <v>0</v>
      </c>
      <c r="T10130" t="n">
        <v>0</v>
      </c>
      <c r="U10130" t="n">
        <v>0</v>
      </c>
      <c r="V10130" s="2" t="inlineStr"/>
    </row>
    <row r="10131" ht="15" customHeight="1">
      <c r="A10131" t="inlineStr">
        <is>
          <t>A 38460-2026</t>
        </is>
      </c>
      <c r="B10131" t="inlineStr">
        <is>
          <t>avverkningsanmälan</t>
        </is>
      </c>
      <c r="C10131" t="inlineStr">
        <is>
          <t>Avverkning för annat ändamål</t>
        </is>
      </c>
      <c r="D10131" s="1" t="n">
        <v>46282</v>
      </c>
      <c r="E10131" s="1" t="n">
        <v>46307</v>
      </c>
      <c r="F10131" t="inlineStr">
        <is>
          <t>VÄRMLANDS LÄN</t>
        </is>
      </c>
      <c r="G10131" t="inlineStr">
        <is>
          <t>TORSBY</t>
        </is>
      </c>
      <c r="H10131" t="inlineStr">
        <is>
          <t>Bergvik skog väst AB</t>
        </is>
      </c>
      <c r="I10131" t="n">
        <v>7.3</v>
      </c>
      <c r="J10131" t="n">
        <v>0</v>
      </c>
      <c r="K10131" t="n">
        <v>0</v>
      </c>
      <c r="L10131" t="n">
        <v>0</v>
      </c>
      <c r="M10131" t="n">
        <v>0</v>
      </c>
      <c r="N10131" t="n">
        <v>0</v>
      </c>
      <c r="O10131" t="n">
        <v>0</v>
      </c>
      <c r="P10131" t="n">
        <v>0</v>
      </c>
      <c r="Q10131" t="n">
        <v>0</v>
      </c>
      <c r="R10131" t="n">
        <v>0</v>
      </c>
      <c r="S10131" t="n">
        <v>0</v>
      </c>
      <c r="T10131" t="n">
        <v>0</v>
      </c>
      <c r="U10131" t="n">
        <v>0</v>
      </c>
      <c r="V10131" s="2" t="inlineStr"/>
    </row>
    <row r="10132" ht="15" customHeight="1">
      <c r="A10132" t="inlineStr">
        <is>
          <t>A 32571-2026</t>
        </is>
      </c>
      <c r="B10132" t="inlineStr">
        <is>
          <t>avverkningsanmälan</t>
        </is>
      </c>
      <c r="C10132" t="inlineStr">
        <is>
          <t>Föryngringsavverkning</t>
        </is>
      </c>
      <c r="D10132" s="1" t="n">
        <v>46239</v>
      </c>
      <c r="E10132" s="1" t="n">
        <v>46307</v>
      </c>
      <c r="F10132" t="inlineStr">
        <is>
          <t>VÄRMLANDS LÄN</t>
        </is>
      </c>
      <c r="G10132" t="inlineStr">
        <is>
          <t>SUNNE</t>
        </is>
      </c>
      <c r="H10132" t="inlineStr">
        <is>
          <t>Bergvik skog väst AB</t>
        </is>
      </c>
      <c r="I10132" t="n">
        <v>3.3</v>
      </c>
      <c r="J10132" t="n">
        <v>0</v>
      </c>
      <c r="K10132" t="n">
        <v>0</v>
      </c>
      <c r="L10132" t="n">
        <v>0</v>
      </c>
      <c r="M10132" t="n">
        <v>0</v>
      </c>
      <c r="N10132" t="n">
        <v>0</v>
      </c>
      <c r="O10132" t="n">
        <v>0</v>
      </c>
      <c r="P10132" t="n">
        <v>0</v>
      </c>
      <c r="Q10132" t="n">
        <v>0</v>
      </c>
      <c r="R10132" t="n">
        <v>0</v>
      </c>
      <c r="S10132" t="n">
        <v>0</v>
      </c>
      <c r="T10132" t="n">
        <v>0</v>
      </c>
      <c r="U10132" t="n">
        <v>0</v>
      </c>
      <c r="V10132" s="2" t="inlineStr"/>
    </row>
    <row r="10133" ht="15" customHeight="1">
      <c r="A10133" t="inlineStr">
        <is>
          <t>A 38410-2026</t>
        </is>
      </c>
      <c r="B10133" t="inlineStr">
        <is>
          <t>avverkningsanmälan</t>
        </is>
      </c>
      <c r="C10133" t="inlineStr">
        <is>
          <t>Föryngringsavverkning</t>
        </is>
      </c>
      <c r="D10133" s="1" t="n">
        <v>46282</v>
      </c>
      <c r="E10133" s="1" t="n">
        <v>46307</v>
      </c>
      <c r="F10133" t="inlineStr">
        <is>
          <t>VÄRMLANDS LÄN</t>
        </is>
      </c>
      <c r="G10133" t="inlineStr">
        <is>
          <t>HAGFORS</t>
        </is>
      </c>
      <c r="H10133" t="inlineStr">
        <is>
          <t>Bergvik skog väst AB</t>
        </is>
      </c>
      <c r="I10133" t="n">
        <v>3.1</v>
      </c>
      <c r="J10133" t="n">
        <v>0</v>
      </c>
      <c r="K10133" t="n">
        <v>0</v>
      </c>
      <c r="L10133" t="n">
        <v>0</v>
      </c>
      <c r="M10133" t="n">
        <v>0</v>
      </c>
      <c r="N10133" t="n">
        <v>0</v>
      </c>
      <c r="O10133" t="n">
        <v>0</v>
      </c>
      <c r="P10133" t="n">
        <v>0</v>
      </c>
      <c r="Q10133" t="n">
        <v>0</v>
      </c>
      <c r="R10133" t="n">
        <v>0</v>
      </c>
      <c r="S10133" t="n">
        <v>0</v>
      </c>
      <c r="T10133" t="n">
        <v>0</v>
      </c>
      <c r="U10133" t="n">
        <v>0</v>
      </c>
      <c r="V10133" s="2" t="inlineStr"/>
    </row>
    <row r="10134" ht="15" customHeight="1">
      <c r="A10134" t="inlineStr">
        <is>
          <t>A 38244-2026</t>
        </is>
      </c>
      <c r="B10134" t="inlineStr">
        <is>
          <t>avverkningsanmälan</t>
        </is>
      </c>
      <c r="C10134" t="inlineStr">
        <is>
          <t>Föryngringsavverkning</t>
        </is>
      </c>
      <c r="D10134" s="1" t="n">
        <v>46281</v>
      </c>
      <c r="E10134" s="1" t="n">
        <v>46307</v>
      </c>
      <c r="F10134" t="inlineStr">
        <is>
          <t>VÄRMLANDS LÄN</t>
        </is>
      </c>
      <c r="G10134" t="inlineStr">
        <is>
          <t>HAGFORS</t>
        </is>
      </c>
      <c r="H10134" t="inlineStr">
        <is>
          <t>Bergvik skog väst AB</t>
        </is>
      </c>
      <c r="I10134" t="n">
        <v>3</v>
      </c>
      <c r="J10134" t="n">
        <v>0</v>
      </c>
      <c r="K10134" t="n">
        <v>0</v>
      </c>
      <c r="L10134" t="n">
        <v>0</v>
      </c>
      <c r="M10134" t="n">
        <v>0</v>
      </c>
      <c r="N10134" t="n">
        <v>0</v>
      </c>
      <c r="O10134" t="n">
        <v>0</v>
      </c>
      <c r="P10134" t="n">
        <v>0</v>
      </c>
      <c r="Q10134" t="n">
        <v>0</v>
      </c>
      <c r="R10134" t="n">
        <v>0</v>
      </c>
      <c r="S10134" t="n">
        <v>0</v>
      </c>
      <c r="T10134" t="n">
        <v>0</v>
      </c>
      <c r="U10134" t="n">
        <v>0</v>
      </c>
      <c r="V10134" s="2" t="inlineStr"/>
    </row>
    <row r="10135" ht="15" customHeight="1">
      <c r="A10135" t="inlineStr">
        <is>
          <t>A 38252-2026</t>
        </is>
      </c>
      <c r="B10135" t="inlineStr">
        <is>
          <t>avverkningsanmälan</t>
        </is>
      </c>
      <c r="C10135" t="inlineStr">
        <is>
          <t>Föryngringsavverkning</t>
        </is>
      </c>
      <c r="D10135" s="1" t="n">
        <v>46281</v>
      </c>
      <c r="E10135" s="1" t="n">
        <v>46307</v>
      </c>
      <c r="F10135" t="inlineStr">
        <is>
          <t>VÄRMLANDS LÄN</t>
        </is>
      </c>
      <c r="G10135" t="inlineStr">
        <is>
          <t>TORSBY</t>
        </is>
      </c>
      <c r="I10135" t="n">
        <v>3.5</v>
      </c>
      <c r="J10135" t="n">
        <v>0</v>
      </c>
      <c r="K10135" t="n">
        <v>0</v>
      </c>
      <c r="L10135" t="n">
        <v>0</v>
      </c>
      <c r="M10135" t="n">
        <v>0</v>
      </c>
      <c r="N10135" t="n">
        <v>0</v>
      </c>
      <c r="O10135" t="n">
        <v>0</v>
      </c>
      <c r="P10135" t="n">
        <v>0</v>
      </c>
      <c r="Q10135" t="n">
        <v>0</v>
      </c>
      <c r="R10135" t="n">
        <v>0</v>
      </c>
      <c r="S10135" t="n">
        <v>0</v>
      </c>
      <c r="T10135" t="n">
        <v>0</v>
      </c>
      <c r="U10135" t="n">
        <v>0</v>
      </c>
      <c r="V10135" s="2" t="inlineStr"/>
    </row>
    <row r="10136" ht="15" customHeight="1">
      <c r="A10136" t="inlineStr">
        <is>
          <t>A 32565-2026</t>
        </is>
      </c>
      <c r="B10136" t="inlineStr">
        <is>
          <t>avverkningsanmälan</t>
        </is>
      </c>
      <c r="C10136" t="inlineStr">
        <is>
          <t>Föryngringsavverkning</t>
        </is>
      </c>
      <c r="D10136" s="1" t="n">
        <v>46239</v>
      </c>
      <c r="E10136" s="1" t="n">
        <v>46307</v>
      </c>
      <c r="F10136" t="inlineStr">
        <is>
          <t>VÄRMLANDS LÄN</t>
        </is>
      </c>
      <c r="G10136" t="inlineStr">
        <is>
          <t>ARVIKA</t>
        </is>
      </c>
      <c r="H10136" t="inlineStr">
        <is>
          <t>Bergvik skog väst AB</t>
        </is>
      </c>
      <c r="I10136" t="n">
        <v>2.3</v>
      </c>
      <c r="J10136" t="n">
        <v>0</v>
      </c>
      <c r="K10136" t="n">
        <v>0</v>
      </c>
      <c r="L10136" t="n">
        <v>0</v>
      </c>
      <c r="M10136" t="n">
        <v>0</v>
      </c>
      <c r="N10136" t="n">
        <v>0</v>
      </c>
      <c r="O10136" t="n">
        <v>0</v>
      </c>
      <c r="P10136" t="n">
        <v>0</v>
      </c>
      <c r="Q10136" t="n">
        <v>0</v>
      </c>
      <c r="R10136" t="n">
        <v>0</v>
      </c>
      <c r="S10136" t="n">
        <v>0</v>
      </c>
      <c r="T10136" t="n">
        <v>0</v>
      </c>
      <c r="U10136" t="n">
        <v>0</v>
      </c>
      <c r="V10136" s="2" t="inlineStr"/>
    </row>
    <row r="10137" ht="15" customHeight="1">
      <c r="A10137" t="inlineStr">
        <is>
          <t>A 38404-2026</t>
        </is>
      </c>
      <c r="B10137" t="inlineStr">
        <is>
          <t>avverkningsanmälan</t>
        </is>
      </c>
      <c r="C10137" t="inlineStr">
        <is>
          <t>Föryngringsavverkning</t>
        </is>
      </c>
      <c r="D10137" s="1" t="n">
        <v>46282</v>
      </c>
      <c r="E10137" s="1" t="n">
        <v>46307</v>
      </c>
      <c r="F10137" t="inlineStr">
        <is>
          <t>VÄRMLANDS LÄN</t>
        </is>
      </c>
      <c r="G10137" t="inlineStr">
        <is>
          <t>HAGFORS</t>
        </is>
      </c>
      <c r="H10137" t="inlineStr">
        <is>
          <t>Bergvik skog väst AB</t>
        </is>
      </c>
      <c r="I10137" t="n">
        <v>11.4</v>
      </c>
      <c r="J10137" t="n">
        <v>0</v>
      </c>
      <c r="K10137" t="n">
        <v>0</v>
      </c>
      <c r="L10137" t="n">
        <v>0</v>
      </c>
      <c r="M10137" t="n">
        <v>0</v>
      </c>
      <c r="N10137" t="n">
        <v>0</v>
      </c>
      <c r="O10137" t="n">
        <v>0</v>
      </c>
      <c r="P10137" t="n">
        <v>0</v>
      </c>
      <c r="Q10137" t="n">
        <v>0</v>
      </c>
      <c r="R10137" t="n">
        <v>0</v>
      </c>
      <c r="S10137" t="n">
        <v>0</v>
      </c>
      <c r="T10137" t="n">
        <v>0</v>
      </c>
      <c r="U10137" t="n">
        <v>0</v>
      </c>
      <c r="V10137" s="2" t="inlineStr"/>
    </row>
    <row r="10138" ht="15" customHeight="1">
      <c r="A10138" t="inlineStr">
        <is>
          <t>A 38412-2026</t>
        </is>
      </c>
      <c r="B10138" t="inlineStr">
        <is>
          <t>avverkningsanmälan</t>
        </is>
      </c>
      <c r="C10138" t="inlineStr">
        <is>
          <t>Föryngringsavverkning</t>
        </is>
      </c>
      <c r="D10138" s="1" t="n">
        <v>46282</v>
      </c>
      <c r="E10138" s="1" t="n">
        <v>46307</v>
      </c>
      <c r="F10138" t="inlineStr">
        <is>
          <t>VÄRMLANDS LÄN</t>
        </is>
      </c>
      <c r="G10138" t="inlineStr">
        <is>
          <t>HAGFORS</t>
        </is>
      </c>
      <c r="H10138" t="inlineStr">
        <is>
          <t>Bergvik skog väst AB</t>
        </is>
      </c>
      <c r="I10138" t="n">
        <v>3.5</v>
      </c>
      <c r="J10138" t="n">
        <v>0</v>
      </c>
      <c r="K10138" t="n">
        <v>0</v>
      </c>
      <c r="L10138" t="n">
        <v>0</v>
      </c>
      <c r="M10138" t="n">
        <v>0</v>
      </c>
      <c r="N10138" t="n">
        <v>0</v>
      </c>
      <c r="O10138" t="n">
        <v>0</v>
      </c>
      <c r="P10138" t="n">
        <v>0</v>
      </c>
      <c r="Q10138" t="n">
        <v>0</v>
      </c>
      <c r="R10138" t="n">
        <v>0</v>
      </c>
      <c r="S10138" t="n">
        <v>0</v>
      </c>
      <c r="T10138" t="n">
        <v>0</v>
      </c>
      <c r="U10138" t="n">
        <v>0</v>
      </c>
      <c r="V10138" s="2" t="inlineStr"/>
    </row>
    <row r="10139" ht="15" customHeight="1">
      <c r="A10139" t="inlineStr">
        <is>
          <t>A 38214-2026</t>
        </is>
      </c>
      <c r="B10139" t="inlineStr">
        <is>
          <t>avverkningsanmälan</t>
        </is>
      </c>
      <c r="C10139" t="inlineStr">
        <is>
          <t>Föryngringsavverkning</t>
        </is>
      </c>
      <c r="D10139" s="1" t="n">
        <v>46281</v>
      </c>
      <c r="E10139" s="1" t="n">
        <v>46307</v>
      </c>
      <c r="F10139" t="inlineStr">
        <is>
          <t>VÄRMLANDS LÄN</t>
        </is>
      </c>
      <c r="G10139" t="inlineStr">
        <is>
          <t>TORSBY</t>
        </is>
      </c>
      <c r="I10139" t="n">
        <v>4.5</v>
      </c>
      <c r="J10139" t="n">
        <v>0</v>
      </c>
      <c r="K10139" t="n">
        <v>0</v>
      </c>
      <c r="L10139" t="n">
        <v>0</v>
      </c>
      <c r="M10139" t="n">
        <v>0</v>
      </c>
      <c r="N10139" t="n">
        <v>0</v>
      </c>
      <c r="O10139" t="n">
        <v>0</v>
      </c>
      <c r="P10139" t="n">
        <v>0</v>
      </c>
      <c r="Q10139" t="n">
        <v>0</v>
      </c>
      <c r="R10139" t="n">
        <v>0</v>
      </c>
      <c r="S10139" t="n">
        <v>0</v>
      </c>
      <c r="T10139" t="n">
        <v>0</v>
      </c>
      <c r="U10139" t="n">
        <v>0</v>
      </c>
      <c r="V10139" s="2" t="inlineStr"/>
    </row>
    <row r="10140" ht="15" customHeight="1">
      <c r="A10140" t="inlineStr">
        <is>
          <t>A 38228-2026</t>
        </is>
      </c>
      <c r="B10140" t="inlineStr">
        <is>
          <t>avverkningsanmälan</t>
        </is>
      </c>
      <c r="C10140" t="inlineStr">
        <is>
          <t>Föryngringsavverkning</t>
        </is>
      </c>
      <c r="D10140" s="1" t="n">
        <v>46281</v>
      </c>
      <c r="E10140" s="1" t="n">
        <v>46307</v>
      </c>
      <c r="F10140" t="inlineStr">
        <is>
          <t>VÄRMLANDS LÄN</t>
        </is>
      </c>
      <c r="G10140" t="inlineStr">
        <is>
          <t>FILIPSTAD</t>
        </is>
      </c>
      <c r="H10140" t="inlineStr">
        <is>
          <t>Bergvik skog väst AB</t>
        </is>
      </c>
      <c r="I10140" t="n">
        <v>12.2</v>
      </c>
      <c r="J10140" t="n">
        <v>0</v>
      </c>
      <c r="K10140" t="n">
        <v>0</v>
      </c>
      <c r="L10140" t="n">
        <v>0</v>
      </c>
      <c r="M10140" t="n">
        <v>0</v>
      </c>
      <c r="N10140" t="n">
        <v>0</v>
      </c>
      <c r="O10140" t="n">
        <v>0</v>
      </c>
      <c r="P10140" t="n">
        <v>0</v>
      </c>
      <c r="Q10140" t="n">
        <v>0</v>
      </c>
      <c r="R10140" t="n">
        <v>0</v>
      </c>
      <c r="S10140" t="n">
        <v>0</v>
      </c>
      <c r="T10140" t="n">
        <v>0</v>
      </c>
      <c r="U10140" t="n">
        <v>0</v>
      </c>
      <c r="V10140" s="2" t="inlineStr"/>
    </row>
    <row r="10141" ht="15" customHeight="1">
      <c r="A10141" t="inlineStr">
        <is>
          <t>A 38080-2026</t>
        </is>
      </c>
      <c r="B10141" t="inlineStr">
        <is>
          <t>avverkningsanmälan</t>
        </is>
      </c>
      <c r="C10141" t="inlineStr">
        <is>
          <t>Föryngringsavverkning</t>
        </is>
      </c>
      <c r="D10141" s="1" t="n">
        <v>46281</v>
      </c>
      <c r="E10141" s="1" t="n">
        <v>46307</v>
      </c>
      <c r="F10141" t="inlineStr">
        <is>
          <t>VÄRMLANDS LÄN</t>
        </is>
      </c>
      <c r="G10141" t="inlineStr">
        <is>
          <t>KRISTINEHAMN</t>
        </is>
      </c>
      <c r="I10141" t="n">
        <v>6.4</v>
      </c>
      <c r="J10141" t="n">
        <v>0</v>
      </c>
      <c r="K10141" t="n">
        <v>0</v>
      </c>
      <c r="L10141" t="n">
        <v>0</v>
      </c>
      <c r="M10141" t="n">
        <v>0</v>
      </c>
      <c r="N10141" t="n">
        <v>0</v>
      </c>
      <c r="O10141" t="n">
        <v>0</v>
      </c>
      <c r="P10141" t="n">
        <v>0</v>
      </c>
      <c r="Q10141" t="n">
        <v>0</v>
      </c>
      <c r="R10141" t="n">
        <v>0</v>
      </c>
      <c r="S10141" t="n">
        <v>0</v>
      </c>
      <c r="T10141" t="n">
        <v>0</v>
      </c>
      <c r="U10141" t="n">
        <v>0</v>
      </c>
      <c r="V10141" s="2" t="inlineStr"/>
    </row>
    <row r="10142" ht="15" customHeight="1">
      <c r="A10142" t="inlineStr">
        <is>
          <t>A 32507-2026</t>
        </is>
      </c>
      <c r="B10142" t="inlineStr">
        <is>
          <t>avverkningsanmälan</t>
        </is>
      </c>
      <c r="C10142" t="inlineStr">
        <is>
          <t>Föryngringsavverkning</t>
        </is>
      </c>
      <c r="D10142" s="1" t="n">
        <v>46239</v>
      </c>
      <c r="E10142" s="1" t="n">
        <v>46307</v>
      </c>
      <c r="F10142" t="inlineStr">
        <is>
          <t>VÄRMLANDS LÄN</t>
        </is>
      </c>
      <c r="G10142" t="inlineStr">
        <is>
          <t>HAGFORS</t>
        </is>
      </c>
      <c r="H10142" t="inlineStr">
        <is>
          <t>Bergvik skog väst AB</t>
        </is>
      </c>
      <c r="I10142" t="n">
        <v>1.9</v>
      </c>
      <c r="J10142" t="n">
        <v>0</v>
      </c>
      <c r="K10142" t="n">
        <v>0</v>
      </c>
      <c r="L10142" t="n">
        <v>0</v>
      </c>
      <c r="M10142" t="n">
        <v>0</v>
      </c>
      <c r="N10142" t="n">
        <v>0</v>
      </c>
      <c r="O10142" t="n">
        <v>0</v>
      </c>
      <c r="P10142" t="n">
        <v>0</v>
      </c>
      <c r="Q10142" t="n">
        <v>0</v>
      </c>
      <c r="R10142" t="n">
        <v>0</v>
      </c>
      <c r="S10142" t="n">
        <v>0</v>
      </c>
      <c r="T10142" t="n">
        <v>0</v>
      </c>
      <c r="U10142" t="n">
        <v>0</v>
      </c>
      <c r="V10142" s="2" t="inlineStr"/>
    </row>
    <row r="10143" ht="15" customHeight="1">
      <c r="A10143" t="inlineStr">
        <is>
          <t>A 38477-2026</t>
        </is>
      </c>
      <c r="B10143" t="inlineStr">
        <is>
          <t>avverkningsanmälan</t>
        </is>
      </c>
      <c r="C10143" t="inlineStr">
        <is>
          <t>Föryngringsavverkning</t>
        </is>
      </c>
      <c r="D10143" s="1" t="n">
        <v>46282</v>
      </c>
      <c r="E10143" s="1" t="n">
        <v>46307</v>
      </c>
      <c r="F10143" t="inlineStr">
        <is>
          <t>VÄRMLANDS LÄN</t>
        </is>
      </c>
      <c r="G10143" t="inlineStr">
        <is>
          <t>HAGFORS</t>
        </is>
      </c>
      <c r="H10143" t="inlineStr">
        <is>
          <t>Bergvik skog väst AB</t>
        </is>
      </c>
      <c r="I10143" t="n">
        <v>12.7</v>
      </c>
      <c r="J10143" t="n">
        <v>0</v>
      </c>
      <c r="K10143" t="n">
        <v>0</v>
      </c>
      <c r="L10143" t="n">
        <v>0</v>
      </c>
      <c r="M10143" t="n">
        <v>0</v>
      </c>
      <c r="N10143" t="n">
        <v>0</v>
      </c>
      <c r="O10143" t="n">
        <v>0</v>
      </c>
      <c r="P10143" t="n">
        <v>0</v>
      </c>
      <c r="Q10143" t="n">
        <v>0</v>
      </c>
      <c r="R10143" t="n">
        <v>0</v>
      </c>
      <c r="S10143" t="n">
        <v>0</v>
      </c>
      <c r="T10143" t="n">
        <v>0</v>
      </c>
      <c r="U10143" t="n">
        <v>0</v>
      </c>
      <c r="V10143" s="2" t="inlineStr"/>
    </row>
    <row r="10144" ht="15" customHeight="1">
      <c r="A10144" t="inlineStr">
        <is>
          <t>A 38116-2026</t>
        </is>
      </c>
      <c r="B10144" t="inlineStr">
        <is>
          <t>avverkningsanmälan</t>
        </is>
      </c>
      <c r="C10144" t="inlineStr">
        <is>
          <t>Föryngringsavverkning</t>
        </is>
      </c>
      <c r="D10144" s="1" t="n">
        <v>46281</v>
      </c>
      <c r="E10144" s="1" t="n">
        <v>46307</v>
      </c>
      <c r="F10144" t="inlineStr">
        <is>
          <t>VÄRMLANDS LÄN</t>
        </is>
      </c>
      <c r="G10144" t="inlineStr">
        <is>
          <t>SÄFFLE</t>
        </is>
      </c>
      <c r="I10144" t="n">
        <v>1.9</v>
      </c>
      <c r="J10144" t="n">
        <v>0</v>
      </c>
      <c r="K10144" t="n">
        <v>0</v>
      </c>
      <c r="L10144" t="n">
        <v>0</v>
      </c>
      <c r="M10144" t="n">
        <v>0</v>
      </c>
      <c r="N10144" t="n">
        <v>0</v>
      </c>
      <c r="O10144" t="n">
        <v>0</v>
      </c>
      <c r="P10144" t="n">
        <v>0</v>
      </c>
      <c r="Q10144" t="n">
        <v>0</v>
      </c>
      <c r="R10144" t="n">
        <v>0</v>
      </c>
      <c r="S10144" t="n">
        <v>0</v>
      </c>
      <c r="T10144" t="n">
        <v>0</v>
      </c>
      <c r="U10144" t="n">
        <v>0</v>
      </c>
      <c r="V10144" s="2" t="inlineStr"/>
    </row>
    <row r="10145" ht="15" customHeight="1">
      <c r="A10145" t="inlineStr">
        <is>
          <t>A 38128-2026</t>
        </is>
      </c>
      <c r="B10145" t="inlineStr">
        <is>
          <t>avverkningsanmälan</t>
        </is>
      </c>
      <c r="C10145" t="inlineStr">
        <is>
          <t>Föryngringsavverkning</t>
        </is>
      </c>
      <c r="D10145" s="1" t="n">
        <v>46281</v>
      </c>
      <c r="E10145" s="1" t="n">
        <v>46307</v>
      </c>
      <c r="F10145" t="inlineStr">
        <is>
          <t>VÄRMLANDS LÄN</t>
        </is>
      </c>
      <c r="G10145" t="inlineStr">
        <is>
          <t>KRISTINEHAMN</t>
        </is>
      </c>
      <c r="H10145" t="inlineStr">
        <is>
          <t>Sveaskog</t>
        </is>
      </c>
      <c r="I10145" t="n">
        <v>14.1</v>
      </c>
      <c r="J10145" t="n">
        <v>0</v>
      </c>
      <c r="K10145" t="n">
        <v>0</v>
      </c>
      <c r="L10145" t="n">
        <v>0</v>
      </c>
      <c r="M10145" t="n">
        <v>0</v>
      </c>
      <c r="N10145" t="n">
        <v>0</v>
      </c>
      <c r="O10145" t="n">
        <v>0</v>
      </c>
      <c r="P10145" t="n">
        <v>0</v>
      </c>
      <c r="Q10145" t="n">
        <v>0</v>
      </c>
      <c r="R10145" t="n">
        <v>0</v>
      </c>
      <c r="S10145" t="n">
        <v>0</v>
      </c>
      <c r="T10145" t="n">
        <v>0</v>
      </c>
      <c r="U10145" t="n">
        <v>0</v>
      </c>
      <c r="V10145" s="2" t="inlineStr"/>
    </row>
    <row r="10146" ht="15" customHeight="1">
      <c r="A10146" t="inlineStr">
        <is>
          <t>A 32483-2026</t>
        </is>
      </c>
      <c r="B10146" t="inlineStr">
        <is>
          <t>avverkningsanmälan</t>
        </is>
      </c>
      <c r="C10146" t="inlineStr">
        <is>
          <t>Föryngringsavverkning</t>
        </is>
      </c>
      <c r="D10146" s="1" t="n">
        <v>46239</v>
      </c>
      <c r="E10146" s="1" t="n">
        <v>46307</v>
      </c>
      <c r="F10146" t="inlineStr">
        <is>
          <t>VÄRMLANDS LÄN</t>
        </is>
      </c>
      <c r="G10146" t="inlineStr">
        <is>
          <t>HAGFORS</t>
        </is>
      </c>
      <c r="H10146" t="inlineStr">
        <is>
          <t>Bergvik skog väst AB</t>
        </is>
      </c>
      <c r="I10146" t="n">
        <v>11.7</v>
      </c>
      <c r="J10146" t="n">
        <v>0</v>
      </c>
      <c r="K10146" t="n">
        <v>0</v>
      </c>
      <c r="L10146" t="n">
        <v>0</v>
      </c>
      <c r="M10146" t="n">
        <v>0</v>
      </c>
      <c r="N10146" t="n">
        <v>0</v>
      </c>
      <c r="O10146" t="n">
        <v>0</v>
      </c>
      <c r="P10146" t="n">
        <v>0</v>
      </c>
      <c r="Q10146" t="n">
        <v>0</v>
      </c>
      <c r="R10146" t="n">
        <v>0</v>
      </c>
      <c r="S10146" t="n">
        <v>0</v>
      </c>
      <c r="T10146" t="n">
        <v>0</v>
      </c>
      <c r="U10146" t="n">
        <v>0</v>
      </c>
      <c r="V10146" s="2" t="inlineStr"/>
    </row>
    <row r="10147" ht="15" customHeight="1">
      <c r="A10147" t="inlineStr">
        <is>
          <t>A 32442-2026</t>
        </is>
      </c>
      <c r="B10147" t="inlineStr">
        <is>
          <t>avverkningsanmälan</t>
        </is>
      </c>
      <c r="C10147" t="inlineStr">
        <is>
          <t>Föryngringsavverkning</t>
        </is>
      </c>
      <c r="D10147" s="1" t="n">
        <v>46239</v>
      </c>
      <c r="E10147" s="1" t="n">
        <v>46307</v>
      </c>
      <c r="F10147" t="inlineStr">
        <is>
          <t>VÄRMLANDS LÄN</t>
        </is>
      </c>
      <c r="G10147" t="inlineStr">
        <is>
          <t>FILIPSTAD</t>
        </is>
      </c>
      <c r="H10147" t="inlineStr">
        <is>
          <t>Bergvik skog väst AB</t>
        </is>
      </c>
      <c r="I10147" t="n">
        <v>1</v>
      </c>
      <c r="J10147" t="n">
        <v>0</v>
      </c>
      <c r="K10147" t="n">
        <v>0</v>
      </c>
      <c r="L10147" t="n">
        <v>0</v>
      </c>
      <c r="M10147" t="n">
        <v>0</v>
      </c>
      <c r="N10147" t="n">
        <v>0</v>
      </c>
      <c r="O10147" t="n">
        <v>0</v>
      </c>
      <c r="P10147" t="n">
        <v>0</v>
      </c>
      <c r="Q10147" t="n">
        <v>0</v>
      </c>
      <c r="R10147" t="n">
        <v>0</v>
      </c>
      <c r="S10147" t="n">
        <v>0</v>
      </c>
      <c r="T10147" t="n">
        <v>0</v>
      </c>
      <c r="U10147" t="n">
        <v>0</v>
      </c>
      <c r="V10147" s="2" t="inlineStr"/>
    </row>
    <row r="10148" ht="15" customHeight="1">
      <c r="A10148" t="inlineStr">
        <is>
          <t>A 32453-2026</t>
        </is>
      </c>
      <c r="B10148" t="inlineStr">
        <is>
          <t>avverkningsanmälan</t>
        </is>
      </c>
      <c r="C10148" t="inlineStr">
        <is>
          <t>Föryngringsavverkning</t>
        </is>
      </c>
      <c r="D10148" s="1" t="n">
        <v>46239</v>
      </c>
      <c r="E10148" s="1" t="n">
        <v>46307</v>
      </c>
      <c r="F10148" t="inlineStr">
        <is>
          <t>VÄRMLANDS LÄN</t>
        </is>
      </c>
      <c r="G10148" t="inlineStr">
        <is>
          <t>SUNNE</t>
        </is>
      </c>
      <c r="I10148" t="n">
        <v>2.2</v>
      </c>
      <c r="J10148" t="n">
        <v>0</v>
      </c>
      <c r="K10148" t="n">
        <v>0</v>
      </c>
      <c r="L10148" t="n">
        <v>0</v>
      </c>
      <c r="M10148" t="n">
        <v>0</v>
      </c>
      <c r="N10148" t="n">
        <v>0</v>
      </c>
      <c r="O10148" t="n">
        <v>0</v>
      </c>
      <c r="P10148" t="n">
        <v>0</v>
      </c>
      <c r="Q10148" t="n">
        <v>0</v>
      </c>
      <c r="R10148" t="n">
        <v>0</v>
      </c>
      <c r="S10148" t="n">
        <v>0</v>
      </c>
      <c r="T10148" t="n">
        <v>0</v>
      </c>
      <c r="U10148" t="n">
        <v>0</v>
      </c>
      <c r="V10148" s="2" t="inlineStr"/>
    </row>
    <row r="10149" ht="15" customHeight="1">
      <c r="A10149" t="inlineStr">
        <is>
          <t>A 32526-2026</t>
        </is>
      </c>
      <c r="B10149" t="inlineStr">
        <is>
          <t>avverkningsanmälan</t>
        </is>
      </c>
      <c r="C10149" t="inlineStr">
        <is>
          <t>Föryngringsavverkning</t>
        </is>
      </c>
      <c r="D10149" s="1" t="n">
        <v>46239</v>
      </c>
      <c r="E10149" s="1" t="n">
        <v>46307</v>
      </c>
      <c r="F10149" t="inlineStr">
        <is>
          <t>VÄRMLANDS LÄN</t>
        </is>
      </c>
      <c r="G10149" t="inlineStr">
        <is>
          <t>SUNNE</t>
        </is>
      </c>
      <c r="H10149" t="inlineStr">
        <is>
          <t>Bergvik skog väst AB</t>
        </is>
      </c>
      <c r="I10149" t="n">
        <v>3.9</v>
      </c>
      <c r="J10149" t="n">
        <v>0</v>
      </c>
      <c r="K10149" t="n">
        <v>0</v>
      </c>
      <c r="L10149" t="n">
        <v>0</v>
      </c>
      <c r="M10149" t="n">
        <v>0</v>
      </c>
      <c r="N10149" t="n">
        <v>0</v>
      </c>
      <c r="O10149" t="n">
        <v>0</v>
      </c>
      <c r="P10149" t="n">
        <v>0</v>
      </c>
      <c r="Q10149" t="n">
        <v>0</v>
      </c>
      <c r="R10149" t="n">
        <v>0</v>
      </c>
      <c r="S10149" t="n">
        <v>0</v>
      </c>
      <c r="T10149" t="n">
        <v>0</v>
      </c>
      <c r="U10149" t="n">
        <v>0</v>
      </c>
      <c r="V10149" s="2" t="inlineStr"/>
    </row>
    <row r="10150" ht="15" customHeight="1">
      <c r="A10150" t="inlineStr">
        <is>
          <t>A 32528-2026</t>
        </is>
      </c>
      <c r="B10150" t="inlineStr">
        <is>
          <t>avverkningsanmälan</t>
        </is>
      </c>
      <c r="C10150" t="inlineStr">
        <is>
          <t>Föryngringsavverkning</t>
        </is>
      </c>
      <c r="D10150" s="1" t="n">
        <v>46239</v>
      </c>
      <c r="E10150" s="1" t="n">
        <v>46307</v>
      </c>
      <c r="F10150" t="inlineStr">
        <is>
          <t>VÄRMLANDS LÄN</t>
        </is>
      </c>
      <c r="G10150" t="inlineStr">
        <is>
          <t>SUNNE</t>
        </is>
      </c>
      <c r="H10150" t="inlineStr">
        <is>
          <t>Bergvik skog väst AB</t>
        </is>
      </c>
      <c r="I10150" t="n">
        <v>3.8</v>
      </c>
      <c r="J10150" t="n">
        <v>0</v>
      </c>
      <c r="K10150" t="n">
        <v>0</v>
      </c>
      <c r="L10150" t="n">
        <v>0</v>
      </c>
      <c r="M10150" t="n">
        <v>0</v>
      </c>
      <c r="N10150" t="n">
        <v>0</v>
      </c>
      <c r="O10150" t="n">
        <v>0</v>
      </c>
      <c r="P10150" t="n">
        <v>0</v>
      </c>
      <c r="Q10150" t="n">
        <v>0</v>
      </c>
      <c r="R10150" t="n">
        <v>0</v>
      </c>
      <c r="S10150" t="n">
        <v>0</v>
      </c>
      <c r="T10150" t="n">
        <v>0</v>
      </c>
      <c r="U10150" t="n">
        <v>0</v>
      </c>
      <c r="V10150" s="2" t="inlineStr"/>
    </row>
    <row r="10151" ht="15" customHeight="1">
      <c r="A10151" t="inlineStr">
        <is>
          <t>A 38275-2026</t>
        </is>
      </c>
      <c r="B10151" t="inlineStr">
        <is>
          <t>avverkningsanmälan</t>
        </is>
      </c>
      <c r="C10151" t="inlineStr">
        <is>
          <t>Föryngringsavverkning</t>
        </is>
      </c>
      <c r="D10151" s="1" t="n">
        <v>46281</v>
      </c>
      <c r="E10151" s="1" t="n">
        <v>46307</v>
      </c>
      <c r="F10151" t="inlineStr">
        <is>
          <t>VÄRMLANDS LÄN</t>
        </is>
      </c>
      <c r="G10151" t="inlineStr">
        <is>
          <t>STORFORS</t>
        </is>
      </c>
      <c r="H10151" t="inlineStr">
        <is>
          <t>Bergvik skog väst AB</t>
        </is>
      </c>
      <c r="I10151" t="n">
        <v>35.1</v>
      </c>
      <c r="J10151" t="n">
        <v>0</v>
      </c>
      <c r="K10151" t="n">
        <v>0</v>
      </c>
      <c r="L10151" t="n">
        <v>0</v>
      </c>
      <c r="M10151" t="n">
        <v>0</v>
      </c>
      <c r="N10151" t="n">
        <v>0</v>
      </c>
      <c r="O10151" t="n">
        <v>0</v>
      </c>
      <c r="P10151" t="n">
        <v>0</v>
      </c>
      <c r="Q10151" t="n">
        <v>0</v>
      </c>
      <c r="R10151" t="n">
        <v>0</v>
      </c>
      <c r="S10151" t="n">
        <v>0</v>
      </c>
      <c r="T10151" t="n">
        <v>0</v>
      </c>
      <c r="U10151" t="n">
        <v>0</v>
      </c>
      <c r="V10151" s="2" t="inlineStr"/>
    </row>
    <row r="10152" ht="15" customHeight="1">
      <c r="A10152" t="inlineStr">
        <is>
          <t>A 38382-2026</t>
        </is>
      </c>
      <c r="B10152" t="inlineStr">
        <is>
          <t>avverkningsanmälan</t>
        </is>
      </c>
      <c r="C10152" t="inlineStr">
        <is>
          <t>Föryngringsavverkning</t>
        </is>
      </c>
      <c r="D10152" s="1" t="n">
        <v>46282</v>
      </c>
      <c r="E10152" s="1" t="n">
        <v>46307</v>
      </c>
      <c r="F10152" t="inlineStr">
        <is>
          <t>VÄRMLANDS LÄN</t>
        </is>
      </c>
      <c r="G10152" t="inlineStr">
        <is>
          <t>ARVIKA</t>
        </is>
      </c>
      <c r="H10152" t="inlineStr">
        <is>
          <t>Bergvik skog väst AB</t>
        </is>
      </c>
      <c r="I10152" t="n">
        <v>3.8</v>
      </c>
      <c r="J10152" t="n">
        <v>0</v>
      </c>
      <c r="K10152" t="n">
        <v>0</v>
      </c>
      <c r="L10152" t="n">
        <v>0</v>
      </c>
      <c r="M10152" t="n">
        <v>0</v>
      </c>
      <c r="N10152" t="n">
        <v>0</v>
      </c>
      <c r="O10152" t="n">
        <v>0</v>
      </c>
      <c r="P10152" t="n">
        <v>0</v>
      </c>
      <c r="Q10152" t="n">
        <v>0</v>
      </c>
      <c r="R10152" t="n">
        <v>0</v>
      </c>
      <c r="S10152" t="n">
        <v>0</v>
      </c>
      <c r="T10152" t="n">
        <v>0</v>
      </c>
      <c r="U10152" t="n">
        <v>0</v>
      </c>
      <c r="V10152" s="2" t="inlineStr"/>
    </row>
    <row r="10153" ht="15" customHeight="1">
      <c r="A10153" t="inlineStr">
        <is>
          <t>A 38183-2026</t>
        </is>
      </c>
      <c r="B10153" t="inlineStr">
        <is>
          <t>avverkningsanmälan</t>
        </is>
      </c>
      <c r="C10153" t="inlineStr">
        <is>
          <t>Föryngringsavverkning</t>
        </is>
      </c>
      <c r="D10153" s="1" t="n">
        <v>46281</v>
      </c>
      <c r="E10153" s="1" t="n">
        <v>46307</v>
      </c>
      <c r="F10153" t="inlineStr">
        <is>
          <t>VÄRMLANDS LÄN</t>
        </is>
      </c>
      <c r="G10153" t="inlineStr">
        <is>
          <t>TORSBY</t>
        </is>
      </c>
      <c r="I10153" t="n">
        <v>2</v>
      </c>
      <c r="J10153" t="n">
        <v>0</v>
      </c>
      <c r="K10153" t="n">
        <v>0</v>
      </c>
      <c r="L10153" t="n">
        <v>0</v>
      </c>
      <c r="M10153" t="n">
        <v>0</v>
      </c>
      <c r="N10153" t="n">
        <v>0</v>
      </c>
      <c r="O10153" t="n">
        <v>0</v>
      </c>
      <c r="P10153" t="n">
        <v>0</v>
      </c>
      <c r="Q10153" t="n">
        <v>0</v>
      </c>
      <c r="R10153" t="n">
        <v>0</v>
      </c>
      <c r="S10153" t="n">
        <v>0</v>
      </c>
      <c r="T10153" t="n">
        <v>0</v>
      </c>
      <c r="U10153" t="n">
        <v>0</v>
      </c>
      <c r="V10153" s="2" t="inlineStr"/>
    </row>
    <row r="10154" ht="15" customHeight="1">
      <c r="A10154" t="inlineStr">
        <is>
          <t>A 38485-2026</t>
        </is>
      </c>
      <c r="B10154" t="inlineStr">
        <is>
          <t>avverkningsanmälan</t>
        </is>
      </c>
      <c r="C10154" t="inlineStr">
        <is>
          <t>Föryngringsavverkning</t>
        </is>
      </c>
      <c r="D10154" s="1" t="n">
        <v>46282</v>
      </c>
      <c r="E10154" s="1" t="n">
        <v>46307</v>
      </c>
      <c r="F10154" t="inlineStr">
        <is>
          <t>VÄRMLANDS LÄN</t>
        </is>
      </c>
      <c r="G10154" t="inlineStr">
        <is>
          <t>KRISTINEHAMN</t>
        </is>
      </c>
      <c r="I10154" t="n">
        <v>5.8</v>
      </c>
      <c r="J10154" t="n">
        <v>0</v>
      </c>
      <c r="K10154" t="n">
        <v>0</v>
      </c>
      <c r="L10154" t="n">
        <v>0</v>
      </c>
      <c r="M10154" t="n">
        <v>0</v>
      </c>
      <c r="N10154" t="n">
        <v>0</v>
      </c>
      <c r="O10154" t="n">
        <v>0</v>
      </c>
      <c r="P10154" t="n">
        <v>0</v>
      </c>
      <c r="Q10154" t="n">
        <v>0</v>
      </c>
      <c r="R10154" t="n">
        <v>0</v>
      </c>
      <c r="S10154" t="n">
        <v>0</v>
      </c>
      <c r="T10154" t="n">
        <v>0</v>
      </c>
      <c r="U10154" t="n">
        <v>0</v>
      </c>
      <c r="V10154" s="2" t="inlineStr"/>
    </row>
    <row r="10155" ht="15" customHeight="1">
      <c r="A10155" t="inlineStr">
        <is>
          <t>A 38489-2026</t>
        </is>
      </c>
      <c r="B10155" t="inlineStr">
        <is>
          <t>avverkningsanmälan</t>
        </is>
      </c>
      <c r="C10155" t="inlineStr">
        <is>
          <t>Föryngringsavverkning</t>
        </is>
      </c>
      <c r="D10155" s="1" t="n">
        <v>46282</v>
      </c>
      <c r="E10155" s="1" t="n">
        <v>46307</v>
      </c>
      <c r="F10155" t="inlineStr">
        <is>
          <t>VÄRMLANDS LÄN</t>
        </is>
      </c>
      <c r="G10155" t="inlineStr">
        <is>
          <t>KIL</t>
        </is>
      </c>
      <c r="I10155" t="n">
        <v>1.3</v>
      </c>
      <c r="J10155" t="n">
        <v>0</v>
      </c>
      <c r="K10155" t="n">
        <v>0</v>
      </c>
      <c r="L10155" t="n">
        <v>0</v>
      </c>
      <c r="M10155" t="n">
        <v>0</v>
      </c>
      <c r="N10155" t="n">
        <v>0</v>
      </c>
      <c r="O10155" t="n">
        <v>0</v>
      </c>
      <c r="P10155" t="n">
        <v>0</v>
      </c>
      <c r="Q10155" t="n">
        <v>0</v>
      </c>
      <c r="R10155" t="n">
        <v>0</v>
      </c>
      <c r="S10155" t="n">
        <v>0</v>
      </c>
      <c r="T10155" t="n">
        <v>0</v>
      </c>
      <c r="U10155" t="n">
        <v>0</v>
      </c>
      <c r="V10155" s="2" t="inlineStr"/>
    </row>
    <row r="10156" ht="15" customHeight="1">
      <c r="A10156" t="inlineStr">
        <is>
          <t>A 32547-2026</t>
        </is>
      </c>
      <c r="B10156" t="inlineStr">
        <is>
          <t>avverkningsanmälan</t>
        </is>
      </c>
      <c r="C10156" t="inlineStr">
        <is>
          <t>Föryngringsavverkning</t>
        </is>
      </c>
      <c r="D10156" s="1" t="n">
        <v>46239</v>
      </c>
      <c r="E10156" s="1" t="n">
        <v>46307</v>
      </c>
      <c r="F10156" t="inlineStr">
        <is>
          <t>VÄRMLANDS LÄN</t>
        </is>
      </c>
      <c r="G10156" t="inlineStr">
        <is>
          <t>TORSBY</t>
        </is>
      </c>
      <c r="H10156" t="inlineStr">
        <is>
          <t>Bergvik skog väst AB</t>
        </is>
      </c>
      <c r="I10156" t="n">
        <v>4.9</v>
      </c>
      <c r="J10156" t="n">
        <v>0</v>
      </c>
      <c r="K10156" t="n">
        <v>0</v>
      </c>
      <c r="L10156" t="n">
        <v>0</v>
      </c>
      <c r="M10156" t="n">
        <v>0</v>
      </c>
      <c r="N10156" t="n">
        <v>0</v>
      </c>
      <c r="O10156" t="n">
        <v>0</v>
      </c>
      <c r="P10156" t="n">
        <v>0</v>
      </c>
      <c r="Q10156" t="n">
        <v>0</v>
      </c>
      <c r="R10156" t="n">
        <v>0</v>
      </c>
      <c r="S10156" t="n">
        <v>0</v>
      </c>
      <c r="T10156" t="n">
        <v>0</v>
      </c>
      <c r="U10156" t="n">
        <v>0</v>
      </c>
      <c r="V10156" s="2" t="inlineStr"/>
    </row>
    <row r="10157" ht="15" customHeight="1">
      <c r="A10157" t="inlineStr">
        <is>
          <t>A 38487-2026</t>
        </is>
      </c>
      <c r="B10157" t="inlineStr">
        <is>
          <t>avverkningsanmälan</t>
        </is>
      </c>
      <c r="C10157" t="inlineStr">
        <is>
          <t>Föryngringsavverkning</t>
        </is>
      </c>
      <c r="D10157" s="1" t="n">
        <v>46282</v>
      </c>
      <c r="E10157" s="1" t="n">
        <v>46307</v>
      </c>
      <c r="F10157" t="inlineStr">
        <is>
          <t>VÄRMLANDS LÄN</t>
        </is>
      </c>
      <c r="G10157" t="inlineStr">
        <is>
          <t>KRISTINEHAMN</t>
        </is>
      </c>
      <c r="I10157" t="n">
        <v>1.4</v>
      </c>
      <c r="J10157" t="n">
        <v>0</v>
      </c>
      <c r="K10157" t="n">
        <v>0</v>
      </c>
      <c r="L10157" t="n">
        <v>0</v>
      </c>
      <c r="M10157" t="n">
        <v>0</v>
      </c>
      <c r="N10157" t="n">
        <v>0</v>
      </c>
      <c r="O10157" t="n">
        <v>0</v>
      </c>
      <c r="P10157" t="n">
        <v>0</v>
      </c>
      <c r="Q10157" t="n">
        <v>0</v>
      </c>
      <c r="R10157" t="n">
        <v>0</v>
      </c>
      <c r="S10157" t="n">
        <v>0</v>
      </c>
      <c r="T10157" t="n">
        <v>0</v>
      </c>
      <c r="U10157" t="n">
        <v>0</v>
      </c>
      <c r="V10157" s="2" t="inlineStr"/>
    </row>
    <row r="10158" ht="15" customHeight="1">
      <c r="A10158" t="inlineStr">
        <is>
          <t>A 38645-2026</t>
        </is>
      </c>
      <c r="B10158" t="inlineStr">
        <is>
          <t>avverkningsanmälan</t>
        </is>
      </c>
      <c r="C10158" t="inlineStr">
        <is>
          <t>Föryngringsavverkning</t>
        </is>
      </c>
      <c r="D10158" s="1" t="n">
        <v>46283</v>
      </c>
      <c r="E10158" s="1" t="n">
        <v>46307</v>
      </c>
      <c r="F10158" t="inlineStr">
        <is>
          <t>VÄRMLANDS LÄN</t>
        </is>
      </c>
      <c r="G10158" t="inlineStr">
        <is>
          <t>HAGFORS</t>
        </is>
      </c>
      <c r="H10158" t="inlineStr">
        <is>
          <t>Bergvik skog väst AB</t>
        </is>
      </c>
      <c r="I10158" t="n">
        <v>18.6</v>
      </c>
      <c r="J10158" t="n">
        <v>0</v>
      </c>
      <c r="K10158" t="n">
        <v>0</v>
      </c>
      <c r="L10158" t="n">
        <v>0</v>
      </c>
      <c r="M10158" t="n">
        <v>0</v>
      </c>
      <c r="N10158" t="n">
        <v>0</v>
      </c>
      <c r="O10158" t="n">
        <v>0</v>
      </c>
      <c r="P10158" t="n">
        <v>0</v>
      </c>
      <c r="Q10158" t="n">
        <v>0</v>
      </c>
      <c r="R10158" t="n">
        <v>0</v>
      </c>
      <c r="S10158" t="n">
        <v>0</v>
      </c>
      <c r="T10158" t="n">
        <v>0</v>
      </c>
      <c r="U10158" t="n">
        <v>0</v>
      </c>
      <c r="V10158" s="2" t="inlineStr"/>
    </row>
    <row r="10159" ht="15" customHeight="1">
      <c r="A10159" t="inlineStr">
        <is>
          <t>A 32609-2026</t>
        </is>
      </c>
      <c r="B10159" t="inlineStr">
        <is>
          <t>avverkningsanmälan</t>
        </is>
      </c>
      <c r="C10159" t="inlineStr">
        <is>
          <t>Föryngringsavverkning</t>
        </is>
      </c>
      <c r="D10159" s="1" t="n">
        <v>46240</v>
      </c>
      <c r="E10159" s="1" t="n">
        <v>46307</v>
      </c>
      <c r="F10159" t="inlineStr">
        <is>
          <t>VÄRMLANDS LÄN</t>
        </is>
      </c>
      <c r="G10159" t="inlineStr">
        <is>
          <t>ÅRJÄNG</t>
        </is>
      </c>
      <c r="I10159" t="n">
        <v>2</v>
      </c>
      <c r="J10159" t="n">
        <v>0</v>
      </c>
      <c r="K10159" t="n">
        <v>0</v>
      </c>
      <c r="L10159" t="n">
        <v>0</v>
      </c>
      <c r="M10159" t="n">
        <v>0</v>
      </c>
      <c r="N10159" t="n">
        <v>0</v>
      </c>
      <c r="O10159" t="n">
        <v>0</v>
      </c>
      <c r="P10159" t="n">
        <v>0</v>
      </c>
      <c r="Q10159" t="n">
        <v>0</v>
      </c>
      <c r="R10159" t="n">
        <v>0</v>
      </c>
      <c r="S10159" t="n">
        <v>0</v>
      </c>
      <c r="T10159" t="n">
        <v>0</v>
      </c>
      <c r="U10159" t="n">
        <v>0</v>
      </c>
      <c r="V10159" s="2" t="inlineStr"/>
    </row>
    <row r="10160" ht="15" customHeight="1">
      <c r="A10160" t="inlineStr">
        <is>
          <t>A 38687-2026</t>
        </is>
      </c>
      <c r="B10160" t="inlineStr">
        <is>
          <t>avverkningsanmälan</t>
        </is>
      </c>
      <c r="C10160" t="inlineStr">
        <is>
          <t>Föryngringsavverkning</t>
        </is>
      </c>
      <c r="D10160" s="1" t="n">
        <v>46283</v>
      </c>
      <c r="E10160" s="1" t="n">
        <v>46307</v>
      </c>
      <c r="F10160" t="inlineStr">
        <is>
          <t>VÄRMLANDS LÄN</t>
        </is>
      </c>
      <c r="G10160" t="inlineStr">
        <is>
          <t>HAGFORS</t>
        </is>
      </c>
      <c r="H10160" t="inlineStr">
        <is>
          <t>Bergvik skog väst AB</t>
        </is>
      </c>
      <c r="I10160" t="n">
        <v>6.1</v>
      </c>
      <c r="J10160" t="n">
        <v>0</v>
      </c>
      <c r="K10160" t="n">
        <v>0</v>
      </c>
      <c r="L10160" t="n">
        <v>0</v>
      </c>
      <c r="M10160" t="n">
        <v>0</v>
      </c>
      <c r="N10160" t="n">
        <v>0</v>
      </c>
      <c r="O10160" t="n">
        <v>0</v>
      </c>
      <c r="P10160" t="n">
        <v>0</v>
      </c>
      <c r="Q10160" t="n">
        <v>0</v>
      </c>
      <c r="R10160" t="n">
        <v>0</v>
      </c>
      <c r="S10160" t="n">
        <v>0</v>
      </c>
      <c r="T10160" t="n">
        <v>0</v>
      </c>
      <c r="U10160" t="n">
        <v>0</v>
      </c>
      <c r="V10160" s="2" t="inlineStr"/>
    </row>
    <row r="10161" ht="15" customHeight="1">
      <c r="A10161" t="inlineStr">
        <is>
          <t>A 38943-2026</t>
        </is>
      </c>
      <c r="B10161" t="inlineStr">
        <is>
          <t>avverkningsanmälan</t>
        </is>
      </c>
      <c r="C10161" t="inlineStr">
        <is>
          <t>Föryngringsavverkning</t>
        </is>
      </c>
      <c r="D10161" s="1" t="n">
        <v>46286</v>
      </c>
      <c r="E10161" s="1" t="n">
        <v>46307</v>
      </c>
      <c r="F10161" t="inlineStr">
        <is>
          <t>VÄRMLANDS LÄN</t>
        </is>
      </c>
      <c r="G10161" t="inlineStr">
        <is>
          <t>ARVIKA</t>
        </is>
      </c>
      <c r="H10161" t="inlineStr">
        <is>
          <t>Bergvik skog väst AB</t>
        </is>
      </c>
      <c r="I10161" t="n">
        <v>2.9</v>
      </c>
      <c r="J10161" t="n">
        <v>0</v>
      </c>
      <c r="K10161" t="n">
        <v>0</v>
      </c>
      <c r="L10161" t="n">
        <v>0</v>
      </c>
      <c r="M10161" t="n">
        <v>0</v>
      </c>
      <c r="N10161" t="n">
        <v>0</v>
      </c>
      <c r="O10161" t="n">
        <v>0</v>
      </c>
      <c r="P10161" t="n">
        <v>0</v>
      </c>
      <c r="Q10161" t="n">
        <v>0</v>
      </c>
      <c r="R10161" t="n">
        <v>0</v>
      </c>
      <c r="S10161" t="n">
        <v>0</v>
      </c>
      <c r="T10161" t="n">
        <v>0</v>
      </c>
      <c r="U10161" t="n">
        <v>0</v>
      </c>
      <c r="V10161" s="2" t="inlineStr"/>
    </row>
    <row r="10162" ht="15" customHeight="1">
      <c r="A10162" t="inlineStr">
        <is>
          <t>A 32586-2026</t>
        </is>
      </c>
      <c r="B10162" t="inlineStr">
        <is>
          <t>avverkningsanmälan</t>
        </is>
      </c>
      <c r="C10162" t="inlineStr">
        <is>
          <t>Föryngringsavverkning</t>
        </is>
      </c>
      <c r="D10162" s="1" t="n">
        <v>46240</v>
      </c>
      <c r="E10162" s="1" t="n">
        <v>46307</v>
      </c>
      <c r="F10162" t="inlineStr">
        <is>
          <t>VÄRMLANDS LÄN</t>
        </is>
      </c>
      <c r="G10162" t="inlineStr">
        <is>
          <t>TORSBY</t>
        </is>
      </c>
      <c r="I10162" t="n">
        <v>2.8</v>
      </c>
      <c r="J10162" t="n">
        <v>0</v>
      </c>
      <c r="K10162" t="n">
        <v>0</v>
      </c>
      <c r="L10162" t="n">
        <v>0</v>
      </c>
      <c r="M10162" t="n">
        <v>0</v>
      </c>
      <c r="N10162" t="n">
        <v>0</v>
      </c>
      <c r="O10162" t="n">
        <v>0</v>
      </c>
      <c r="P10162" t="n">
        <v>0</v>
      </c>
      <c r="Q10162" t="n">
        <v>0</v>
      </c>
      <c r="R10162" t="n">
        <v>0</v>
      </c>
      <c r="S10162" t="n">
        <v>0</v>
      </c>
      <c r="T10162" t="n">
        <v>0</v>
      </c>
      <c r="U10162" t="n">
        <v>0</v>
      </c>
      <c r="V10162" s="2" t="inlineStr"/>
    </row>
    <row r="10163" ht="15" customHeight="1">
      <c r="A10163" t="inlineStr">
        <is>
          <t>A 32588-2026</t>
        </is>
      </c>
      <c r="B10163" t="inlineStr">
        <is>
          <t>avverkningsanmälan</t>
        </is>
      </c>
      <c r="C10163" t="inlineStr">
        <is>
          <t>Föryngringsavverkning</t>
        </is>
      </c>
      <c r="D10163" s="1" t="n">
        <v>46240</v>
      </c>
      <c r="E10163" s="1" t="n">
        <v>46307</v>
      </c>
      <c r="F10163" t="inlineStr">
        <is>
          <t>VÄRMLANDS LÄN</t>
        </is>
      </c>
      <c r="G10163" t="inlineStr">
        <is>
          <t>FILIPSTAD</t>
        </is>
      </c>
      <c r="H10163" t="inlineStr">
        <is>
          <t>Bergvik skog väst AB</t>
        </is>
      </c>
      <c r="I10163" t="n">
        <v>1.4</v>
      </c>
      <c r="J10163" t="n">
        <v>0</v>
      </c>
      <c r="K10163" t="n">
        <v>0</v>
      </c>
      <c r="L10163" t="n">
        <v>0</v>
      </c>
      <c r="M10163" t="n">
        <v>0</v>
      </c>
      <c r="N10163" t="n">
        <v>0</v>
      </c>
      <c r="O10163" t="n">
        <v>0</v>
      </c>
      <c r="P10163" t="n">
        <v>0</v>
      </c>
      <c r="Q10163" t="n">
        <v>0</v>
      </c>
      <c r="R10163" t="n">
        <v>0</v>
      </c>
      <c r="S10163" t="n">
        <v>0</v>
      </c>
      <c r="T10163" t="n">
        <v>0</v>
      </c>
      <c r="U10163" t="n">
        <v>0</v>
      </c>
      <c r="V10163" s="2" t="inlineStr"/>
    </row>
    <row r="10164" ht="15" customHeight="1">
      <c r="A10164" t="inlineStr">
        <is>
          <t>A 33079-2026</t>
        </is>
      </c>
      <c r="B10164" t="inlineStr">
        <is>
          <t>avverkningsanmälan</t>
        </is>
      </c>
      <c r="C10164" t="inlineStr">
        <is>
          <t>Föryngringsavverkning</t>
        </is>
      </c>
      <c r="D10164" s="1" t="n">
        <v>46244</v>
      </c>
      <c r="E10164" s="1" t="n">
        <v>46307</v>
      </c>
      <c r="F10164" t="inlineStr">
        <is>
          <t>VÄRMLANDS LÄN</t>
        </is>
      </c>
      <c r="G10164" t="inlineStr">
        <is>
          <t>ARVIKA</t>
        </is>
      </c>
      <c r="I10164" t="n">
        <v>1.7</v>
      </c>
      <c r="J10164" t="n">
        <v>0</v>
      </c>
      <c r="K10164" t="n">
        <v>0</v>
      </c>
      <c r="L10164" t="n">
        <v>0</v>
      </c>
      <c r="M10164" t="n">
        <v>0</v>
      </c>
      <c r="N10164" t="n">
        <v>0</v>
      </c>
      <c r="O10164" t="n">
        <v>0</v>
      </c>
      <c r="P10164" t="n">
        <v>0</v>
      </c>
      <c r="Q10164" t="n">
        <v>0</v>
      </c>
      <c r="R10164" t="n">
        <v>0</v>
      </c>
      <c r="S10164" t="n">
        <v>0</v>
      </c>
      <c r="T10164" t="n">
        <v>0</v>
      </c>
      <c r="U10164" t="n">
        <v>0</v>
      </c>
      <c r="V10164" s="2" t="inlineStr"/>
    </row>
    <row r="10165" ht="15" customHeight="1">
      <c r="A10165" t="inlineStr">
        <is>
          <t>A 38828-2026</t>
        </is>
      </c>
      <c r="B10165" t="inlineStr">
        <is>
          <t>avverkningsanmälan</t>
        </is>
      </c>
      <c r="C10165" t="inlineStr">
        <is>
          <t>Föryngringsavverkning</t>
        </is>
      </c>
      <c r="D10165" s="1" t="n">
        <v>46286</v>
      </c>
      <c r="E10165" s="1" t="n">
        <v>46307</v>
      </c>
      <c r="F10165" t="inlineStr">
        <is>
          <t>VÄRMLANDS LÄN</t>
        </is>
      </c>
      <c r="G10165" t="inlineStr">
        <is>
          <t>TORSBY</t>
        </is>
      </c>
      <c r="I10165" t="n">
        <v>1.4</v>
      </c>
      <c r="J10165" t="n">
        <v>0</v>
      </c>
      <c r="K10165" t="n">
        <v>0</v>
      </c>
      <c r="L10165" t="n">
        <v>0</v>
      </c>
      <c r="M10165" t="n">
        <v>0</v>
      </c>
      <c r="N10165" t="n">
        <v>0</v>
      </c>
      <c r="O10165" t="n">
        <v>0</v>
      </c>
      <c r="P10165" t="n">
        <v>0</v>
      </c>
      <c r="Q10165" t="n">
        <v>0</v>
      </c>
      <c r="R10165" t="n">
        <v>0</v>
      </c>
      <c r="S10165" t="n">
        <v>0</v>
      </c>
      <c r="T10165" t="n">
        <v>0</v>
      </c>
      <c r="U10165" t="n">
        <v>0</v>
      </c>
      <c r="V10165" s="2" t="inlineStr"/>
    </row>
    <row r="10166" ht="15" customHeight="1">
      <c r="A10166" t="inlineStr">
        <is>
          <t>A 38929-2026</t>
        </is>
      </c>
      <c r="B10166" t="inlineStr">
        <is>
          <t>avverkningsanmälan</t>
        </is>
      </c>
      <c r="C10166" t="inlineStr">
        <is>
          <t>Föryngringsavverkning</t>
        </is>
      </c>
      <c r="D10166" s="1" t="n">
        <v>46286</v>
      </c>
      <c r="E10166" s="1" t="n">
        <v>46307</v>
      </c>
      <c r="F10166" t="inlineStr">
        <is>
          <t>VÄRMLANDS LÄN</t>
        </is>
      </c>
      <c r="G10166" t="inlineStr">
        <is>
          <t>ARVIKA</t>
        </is>
      </c>
      <c r="H10166" t="inlineStr">
        <is>
          <t>Bergvik skog väst AB</t>
        </is>
      </c>
      <c r="I10166" t="n">
        <v>5.3</v>
      </c>
      <c r="J10166" t="n">
        <v>0</v>
      </c>
      <c r="K10166" t="n">
        <v>0</v>
      </c>
      <c r="L10166" t="n">
        <v>0</v>
      </c>
      <c r="M10166" t="n">
        <v>0</v>
      </c>
      <c r="N10166" t="n">
        <v>0</v>
      </c>
      <c r="O10166" t="n">
        <v>0</v>
      </c>
      <c r="P10166" t="n">
        <v>0</v>
      </c>
      <c r="Q10166" t="n">
        <v>0</v>
      </c>
      <c r="R10166" t="n">
        <v>0</v>
      </c>
      <c r="S10166" t="n">
        <v>0</v>
      </c>
      <c r="T10166" t="n">
        <v>0</v>
      </c>
      <c r="U10166" t="n">
        <v>0</v>
      </c>
      <c r="V10166" s="2" t="inlineStr"/>
    </row>
    <row r="10167" ht="15" customHeight="1">
      <c r="A10167" t="inlineStr">
        <is>
          <t>A 38971-2026</t>
        </is>
      </c>
      <c r="B10167" t="inlineStr">
        <is>
          <t>avverkningsanmälan</t>
        </is>
      </c>
      <c r="C10167" t="inlineStr">
        <is>
          <t>Föryngringsavverkning</t>
        </is>
      </c>
      <c r="D10167" s="1" t="n">
        <v>46286</v>
      </c>
      <c r="E10167" s="1" t="n">
        <v>46307</v>
      </c>
      <c r="F10167" t="inlineStr">
        <is>
          <t>VÄRMLANDS LÄN</t>
        </is>
      </c>
      <c r="G10167" t="inlineStr">
        <is>
          <t>TORSBY</t>
        </is>
      </c>
      <c r="I10167" t="n">
        <v>0.5</v>
      </c>
      <c r="J10167" t="n">
        <v>0</v>
      </c>
      <c r="K10167" t="n">
        <v>0</v>
      </c>
      <c r="L10167" t="n">
        <v>0</v>
      </c>
      <c r="M10167" t="n">
        <v>0</v>
      </c>
      <c r="N10167" t="n">
        <v>0</v>
      </c>
      <c r="O10167" t="n">
        <v>0</v>
      </c>
      <c r="P10167" t="n">
        <v>0</v>
      </c>
      <c r="Q10167" t="n">
        <v>0</v>
      </c>
      <c r="R10167" t="n">
        <v>0</v>
      </c>
      <c r="S10167" t="n">
        <v>0</v>
      </c>
      <c r="T10167" t="n">
        <v>0</v>
      </c>
      <c r="U10167" t="n">
        <v>0</v>
      </c>
      <c r="V10167" s="2" t="inlineStr"/>
    </row>
    <row r="10168" ht="15" customHeight="1">
      <c r="A10168" t="inlineStr">
        <is>
          <t>A 38714-2026</t>
        </is>
      </c>
      <c r="B10168" t="inlineStr">
        <is>
          <t>avverkningsanmälan</t>
        </is>
      </c>
      <c r="C10168" t="inlineStr">
        <is>
          <t>Avverkning för annat ändamål</t>
        </is>
      </c>
      <c r="D10168" s="1" t="n">
        <v>46284</v>
      </c>
      <c r="E10168" s="1" t="n">
        <v>46307</v>
      </c>
      <c r="F10168" t="inlineStr">
        <is>
          <t>VÄRMLANDS LÄN</t>
        </is>
      </c>
      <c r="G10168" t="inlineStr">
        <is>
          <t>ÅRJÄNG</t>
        </is>
      </c>
      <c r="I10168" t="n">
        <v>0.3</v>
      </c>
      <c r="J10168" t="n">
        <v>0</v>
      </c>
      <c r="K10168" t="n">
        <v>0</v>
      </c>
      <c r="L10168" t="n">
        <v>0</v>
      </c>
      <c r="M10168" t="n">
        <v>0</v>
      </c>
      <c r="N10168" t="n">
        <v>0</v>
      </c>
      <c r="O10168" t="n">
        <v>0</v>
      </c>
      <c r="P10168" t="n">
        <v>0</v>
      </c>
      <c r="Q10168" t="n">
        <v>0</v>
      </c>
      <c r="R10168" t="n">
        <v>0</v>
      </c>
      <c r="S10168" t="n">
        <v>0</v>
      </c>
      <c r="T10168" t="n">
        <v>0</v>
      </c>
      <c r="U10168" t="n">
        <v>0</v>
      </c>
      <c r="V10168" s="2" t="inlineStr"/>
    </row>
    <row r="10169" ht="15" customHeight="1">
      <c r="A10169" t="inlineStr">
        <is>
          <t>A 32603-2026</t>
        </is>
      </c>
      <c r="B10169" t="inlineStr">
        <is>
          <t>avverkningsanmälan</t>
        </is>
      </c>
      <c r="C10169" t="inlineStr">
        <is>
          <t>Föryngringsavverkning</t>
        </is>
      </c>
      <c r="D10169" s="1" t="n">
        <v>46240</v>
      </c>
      <c r="E10169" s="1" t="n">
        <v>46307</v>
      </c>
      <c r="F10169" t="inlineStr">
        <is>
          <t>VÄRMLANDS LÄN</t>
        </is>
      </c>
      <c r="G10169" t="inlineStr">
        <is>
          <t>FILIPSTAD</t>
        </is>
      </c>
      <c r="H10169" t="inlineStr">
        <is>
          <t>Bergvik skog väst AB</t>
        </is>
      </c>
      <c r="I10169" t="n">
        <v>3.8</v>
      </c>
      <c r="J10169" t="n">
        <v>0</v>
      </c>
      <c r="K10169" t="n">
        <v>0</v>
      </c>
      <c r="L10169" t="n">
        <v>0</v>
      </c>
      <c r="M10169" t="n">
        <v>0</v>
      </c>
      <c r="N10169" t="n">
        <v>0</v>
      </c>
      <c r="O10169" t="n">
        <v>0</v>
      </c>
      <c r="P10169" t="n">
        <v>0</v>
      </c>
      <c r="Q10169" t="n">
        <v>0</v>
      </c>
      <c r="R10169" t="n">
        <v>0</v>
      </c>
      <c r="S10169" t="n">
        <v>0</v>
      </c>
      <c r="T10169" t="n">
        <v>0</v>
      </c>
      <c r="U10169" t="n">
        <v>0</v>
      </c>
      <c r="V10169" s="2" t="inlineStr"/>
    </row>
    <row r="10170" ht="15" customHeight="1">
      <c r="A10170" t="inlineStr">
        <is>
          <t>A 32585-2026</t>
        </is>
      </c>
      <c r="B10170" t="inlineStr">
        <is>
          <t>avverkningsanmälan</t>
        </is>
      </c>
      <c r="C10170" t="inlineStr">
        <is>
          <t>Föryngringsavverkning</t>
        </is>
      </c>
      <c r="D10170" s="1" t="n">
        <v>46240</v>
      </c>
      <c r="E10170" s="1" t="n">
        <v>46307</v>
      </c>
      <c r="F10170" t="inlineStr">
        <is>
          <t>VÄRMLANDS LÄN</t>
        </is>
      </c>
      <c r="G10170" t="inlineStr">
        <is>
          <t>TORSBY</t>
        </is>
      </c>
      <c r="I10170" t="n">
        <v>2.7</v>
      </c>
      <c r="J10170" t="n">
        <v>0</v>
      </c>
      <c r="K10170" t="n">
        <v>0</v>
      </c>
      <c r="L10170" t="n">
        <v>0</v>
      </c>
      <c r="M10170" t="n">
        <v>0</v>
      </c>
      <c r="N10170" t="n">
        <v>0</v>
      </c>
      <c r="O10170" t="n">
        <v>0</v>
      </c>
      <c r="P10170" t="n">
        <v>0</v>
      </c>
      <c r="Q10170" t="n">
        <v>0</v>
      </c>
      <c r="R10170" t="n">
        <v>0</v>
      </c>
      <c r="S10170" t="n">
        <v>0</v>
      </c>
      <c r="T10170" t="n">
        <v>0</v>
      </c>
      <c r="U10170" t="n">
        <v>0</v>
      </c>
      <c r="V10170" s="2" t="inlineStr"/>
    </row>
    <row r="10171" ht="15" customHeight="1">
      <c r="A10171" t="inlineStr">
        <is>
          <t>A 32601-2026</t>
        </is>
      </c>
      <c r="B10171" t="inlineStr">
        <is>
          <t>avverkningsanmälan</t>
        </is>
      </c>
      <c r="C10171" t="inlineStr">
        <is>
          <t>Föryngringsavverkning</t>
        </is>
      </c>
      <c r="D10171" s="1" t="n">
        <v>46240</v>
      </c>
      <c r="E10171" s="1" t="n">
        <v>46307</v>
      </c>
      <c r="F10171" t="inlineStr">
        <is>
          <t>VÄRMLANDS LÄN</t>
        </is>
      </c>
      <c r="G10171" t="inlineStr">
        <is>
          <t>FILIPSTAD</t>
        </is>
      </c>
      <c r="H10171" t="inlineStr">
        <is>
          <t>Bergvik skog väst AB</t>
        </is>
      </c>
      <c r="I10171" t="n">
        <v>1.1</v>
      </c>
      <c r="J10171" t="n">
        <v>0</v>
      </c>
      <c r="K10171" t="n">
        <v>0</v>
      </c>
      <c r="L10171" t="n">
        <v>0</v>
      </c>
      <c r="M10171" t="n">
        <v>0</v>
      </c>
      <c r="N10171" t="n">
        <v>0</v>
      </c>
      <c r="O10171" t="n">
        <v>0</v>
      </c>
      <c r="P10171" t="n">
        <v>0</v>
      </c>
      <c r="Q10171" t="n">
        <v>0</v>
      </c>
      <c r="R10171" t="n">
        <v>0</v>
      </c>
      <c r="S10171" t="n">
        <v>0</v>
      </c>
      <c r="T10171" t="n">
        <v>0</v>
      </c>
      <c r="U10171" t="n">
        <v>0</v>
      </c>
      <c r="V10171" s="2" t="inlineStr"/>
    </row>
    <row r="10172" ht="15" customHeight="1">
      <c r="A10172" t="inlineStr">
        <is>
          <t>A 32602-2026</t>
        </is>
      </c>
      <c r="B10172" t="inlineStr">
        <is>
          <t>avverkningsanmälan</t>
        </is>
      </c>
      <c r="C10172" t="inlineStr">
        <is>
          <t>Föryngringsavverkning</t>
        </is>
      </c>
      <c r="D10172" s="1" t="n">
        <v>46240</v>
      </c>
      <c r="E10172" s="1" t="n">
        <v>46307</v>
      </c>
      <c r="F10172" t="inlineStr">
        <is>
          <t>VÄRMLANDS LÄN</t>
        </is>
      </c>
      <c r="G10172" t="inlineStr">
        <is>
          <t>TORSBY</t>
        </is>
      </c>
      <c r="H10172" t="inlineStr">
        <is>
          <t>Bergvik skog väst AB</t>
        </is>
      </c>
      <c r="I10172" t="n">
        <v>8.6</v>
      </c>
      <c r="J10172" t="n">
        <v>0</v>
      </c>
      <c r="K10172" t="n">
        <v>0</v>
      </c>
      <c r="L10172" t="n">
        <v>0</v>
      </c>
      <c r="M10172" t="n">
        <v>0</v>
      </c>
      <c r="N10172" t="n">
        <v>0</v>
      </c>
      <c r="O10172" t="n">
        <v>0</v>
      </c>
      <c r="P10172" t="n">
        <v>0</v>
      </c>
      <c r="Q10172" t="n">
        <v>0</v>
      </c>
      <c r="R10172" t="n">
        <v>0</v>
      </c>
      <c r="S10172" t="n">
        <v>0</v>
      </c>
      <c r="T10172" t="n">
        <v>0</v>
      </c>
      <c r="U10172" t="n">
        <v>0</v>
      </c>
      <c r="V10172" s="2" t="inlineStr"/>
    </row>
    <row r="10173" ht="15" customHeight="1">
      <c r="A10173" t="inlineStr">
        <is>
          <t>A 32607-2026</t>
        </is>
      </c>
      <c r="B10173" t="inlineStr">
        <is>
          <t>avverkningsanmälan</t>
        </is>
      </c>
      <c r="C10173" t="inlineStr">
        <is>
          <t>Föryngringsavverkning</t>
        </is>
      </c>
      <c r="D10173" s="1" t="n">
        <v>46240</v>
      </c>
      <c r="E10173" s="1" t="n">
        <v>46307</v>
      </c>
      <c r="F10173" t="inlineStr">
        <is>
          <t>VÄRMLANDS LÄN</t>
        </is>
      </c>
      <c r="G10173" t="inlineStr">
        <is>
          <t>ÅRJÄNG</t>
        </is>
      </c>
      <c r="I10173" t="n">
        <v>7.4</v>
      </c>
      <c r="J10173" t="n">
        <v>0</v>
      </c>
      <c r="K10173" t="n">
        <v>0</v>
      </c>
      <c r="L10173" t="n">
        <v>0</v>
      </c>
      <c r="M10173" t="n">
        <v>0</v>
      </c>
      <c r="N10173" t="n">
        <v>0</v>
      </c>
      <c r="O10173" t="n">
        <v>0</v>
      </c>
      <c r="P10173" t="n">
        <v>0</v>
      </c>
      <c r="Q10173" t="n">
        <v>0</v>
      </c>
      <c r="R10173" t="n">
        <v>0</v>
      </c>
      <c r="S10173" t="n">
        <v>0</v>
      </c>
      <c r="T10173" t="n">
        <v>0</v>
      </c>
      <c r="U10173" t="n">
        <v>0</v>
      </c>
      <c r="V10173" s="2" t="inlineStr"/>
    </row>
    <row r="10174" ht="15" customHeight="1">
      <c r="A10174" t="inlineStr">
        <is>
          <t>A 32633-2026</t>
        </is>
      </c>
      <c r="B10174" t="inlineStr">
        <is>
          <t>avverkningsanmälan</t>
        </is>
      </c>
      <c r="C10174" t="inlineStr">
        <is>
          <t>Föryngringsavverkning</t>
        </is>
      </c>
      <c r="D10174" s="1" t="n">
        <v>46240</v>
      </c>
      <c r="E10174" s="1" t="n">
        <v>46307</v>
      </c>
      <c r="F10174" t="inlineStr">
        <is>
          <t>VÄRMLANDS LÄN</t>
        </is>
      </c>
      <c r="G10174" t="inlineStr">
        <is>
          <t>ÅRJÄNG</t>
        </is>
      </c>
      <c r="I10174" t="n">
        <v>1.6</v>
      </c>
      <c r="J10174" t="n">
        <v>0</v>
      </c>
      <c r="K10174" t="n">
        <v>0</v>
      </c>
      <c r="L10174" t="n">
        <v>0</v>
      </c>
      <c r="M10174" t="n">
        <v>0</v>
      </c>
      <c r="N10174" t="n">
        <v>0</v>
      </c>
      <c r="O10174" t="n">
        <v>0</v>
      </c>
      <c r="P10174" t="n">
        <v>0</v>
      </c>
      <c r="Q10174" t="n">
        <v>0</v>
      </c>
      <c r="R10174" t="n">
        <v>0</v>
      </c>
      <c r="S10174" t="n">
        <v>0</v>
      </c>
      <c r="T10174" t="n">
        <v>0</v>
      </c>
      <c r="U10174" t="n">
        <v>0</v>
      </c>
      <c r="V10174" s="2" t="inlineStr"/>
    </row>
    <row r="10175" ht="15" customHeight="1">
      <c r="A10175" t="inlineStr">
        <is>
          <t>A 38652-2026</t>
        </is>
      </c>
      <c r="B10175" t="inlineStr">
        <is>
          <t>avverkningsanmälan</t>
        </is>
      </c>
      <c r="C10175" t="inlineStr">
        <is>
          <t>Föryngringsavverkning</t>
        </is>
      </c>
      <c r="D10175" s="1" t="n">
        <v>46283</v>
      </c>
      <c r="E10175" s="1" t="n">
        <v>46307</v>
      </c>
      <c r="F10175" t="inlineStr">
        <is>
          <t>VÄRMLANDS LÄN</t>
        </is>
      </c>
      <c r="G10175" t="inlineStr">
        <is>
          <t>SÄFFLE</t>
        </is>
      </c>
      <c r="I10175" t="n">
        <v>0.7</v>
      </c>
      <c r="J10175" t="n">
        <v>0</v>
      </c>
      <c r="K10175" t="n">
        <v>0</v>
      </c>
      <c r="L10175" t="n">
        <v>0</v>
      </c>
      <c r="M10175" t="n">
        <v>0</v>
      </c>
      <c r="N10175" t="n">
        <v>0</v>
      </c>
      <c r="O10175" t="n">
        <v>0</v>
      </c>
      <c r="P10175" t="n">
        <v>0</v>
      </c>
      <c r="Q10175" t="n">
        <v>0</v>
      </c>
      <c r="R10175" t="n">
        <v>0</v>
      </c>
      <c r="S10175" t="n">
        <v>0</v>
      </c>
      <c r="T10175" t="n">
        <v>0</v>
      </c>
      <c r="U10175" t="n">
        <v>0</v>
      </c>
      <c r="V10175" s="2" t="inlineStr"/>
    </row>
    <row r="10176" ht="15" customHeight="1">
      <c r="A10176" t="inlineStr">
        <is>
          <t>A 38820-2026</t>
        </is>
      </c>
      <c r="B10176" t="inlineStr">
        <is>
          <t>avverkningsanmälan</t>
        </is>
      </c>
      <c r="C10176" t="inlineStr">
        <is>
          <t>Föryngringsavverkning</t>
        </is>
      </c>
      <c r="D10176" s="1" t="n">
        <v>46286</v>
      </c>
      <c r="E10176" s="1" t="n">
        <v>46307</v>
      </c>
      <c r="F10176" t="inlineStr">
        <is>
          <t>VÄRMLANDS LÄN</t>
        </is>
      </c>
      <c r="G10176" t="inlineStr">
        <is>
          <t>FILIPSTAD</t>
        </is>
      </c>
      <c r="H10176" t="inlineStr">
        <is>
          <t>Bergvik skog väst AB</t>
        </is>
      </c>
      <c r="I10176" t="n">
        <v>1.1</v>
      </c>
      <c r="J10176" t="n">
        <v>0</v>
      </c>
      <c r="K10176" t="n">
        <v>0</v>
      </c>
      <c r="L10176" t="n">
        <v>0</v>
      </c>
      <c r="M10176" t="n">
        <v>0</v>
      </c>
      <c r="N10176" t="n">
        <v>0</v>
      </c>
      <c r="O10176" t="n">
        <v>0</v>
      </c>
      <c r="P10176" t="n">
        <v>0</v>
      </c>
      <c r="Q10176" t="n">
        <v>0</v>
      </c>
      <c r="R10176" t="n">
        <v>0</v>
      </c>
      <c r="S10176" t="n">
        <v>0</v>
      </c>
      <c r="T10176" t="n">
        <v>0</v>
      </c>
      <c r="U10176" t="n">
        <v>0</v>
      </c>
      <c r="V10176" s="2" t="inlineStr"/>
    </row>
    <row r="10177" ht="15" customHeight="1">
      <c r="A10177" t="inlineStr">
        <is>
          <t>A 38891-2026</t>
        </is>
      </c>
      <c r="B10177" t="inlineStr">
        <is>
          <t>avverkningsanmälan</t>
        </is>
      </c>
      <c r="C10177" t="inlineStr">
        <is>
          <t>Föryngringsavverkning</t>
        </is>
      </c>
      <c r="D10177" s="1" t="n">
        <v>46286</v>
      </c>
      <c r="E10177" s="1" t="n">
        <v>46307</v>
      </c>
      <c r="F10177" t="inlineStr">
        <is>
          <t>VÄRMLANDS LÄN</t>
        </is>
      </c>
      <c r="G10177" t="inlineStr">
        <is>
          <t>TORSBY</t>
        </is>
      </c>
      <c r="I10177" t="n">
        <v>0.5</v>
      </c>
      <c r="J10177" t="n">
        <v>0</v>
      </c>
      <c r="K10177" t="n">
        <v>0</v>
      </c>
      <c r="L10177" t="n">
        <v>0</v>
      </c>
      <c r="M10177" t="n">
        <v>0</v>
      </c>
      <c r="N10177" t="n">
        <v>0</v>
      </c>
      <c r="O10177" t="n">
        <v>0</v>
      </c>
      <c r="P10177" t="n">
        <v>0</v>
      </c>
      <c r="Q10177" t="n">
        <v>0</v>
      </c>
      <c r="R10177" t="n">
        <v>0</v>
      </c>
      <c r="S10177" t="n">
        <v>0</v>
      </c>
      <c r="T10177" t="n">
        <v>0</v>
      </c>
      <c r="U10177" t="n">
        <v>0</v>
      </c>
      <c r="V10177" s="2" t="inlineStr"/>
    </row>
    <row r="10178" ht="15" customHeight="1">
      <c r="A10178" t="inlineStr">
        <is>
          <t>A 38578-2026</t>
        </is>
      </c>
      <c r="B10178" t="inlineStr">
        <is>
          <t>avverkningsanmälan</t>
        </is>
      </c>
      <c r="C10178" t="inlineStr">
        <is>
          <t>Föryngringsavverkning</t>
        </is>
      </c>
      <c r="D10178" s="1" t="n">
        <v>46283</v>
      </c>
      <c r="E10178" s="1" t="n">
        <v>46307</v>
      </c>
      <c r="F10178" t="inlineStr">
        <is>
          <t>VÄRMLANDS LÄN</t>
        </is>
      </c>
      <c r="G10178" t="inlineStr">
        <is>
          <t>FILIPSTAD</t>
        </is>
      </c>
      <c r="H10178" t="inlineStr">
        <is>
          <t>Bergvik skog väst AB</t>
        </is>
      </c>
      <c r="I10178" t="n">
        <v>0.6</v>
      </c>
      <c r="J10178" t="n">
        <v>0</v>
      </c>
      <c r="K10178" t="n">
        <v>0</v>
      </c>
      <c r="L10178" t="n">
        <v>0</v>
      </c>
      <c r="M10178" t="n">
        <v>0</v>
      </c>
      <c r="N10178" t="n">
        <v>0</v>
      </c>
      <c r="O10178" t="n">
        <v>0</v>
      </c>
      <c r="P10178" t="n">
        <v>0</v>
      </c>
      <c r="Q10178" t="n">
        <v>0</v>
      </c>
      <c r="R10178" t="n">
        <v>0</v>
      </c>
      <c r="S10178" t="n">
        <v>0</v>
      </c>
      <c r="T10178" t="n">
        <v>0</v>
      </c>
      <c r="U10178" t="n">
        <v>0</v>
      </c>
      <c r="V10178" s="2" t="inlineStr"/>
    </row>
    <row r="10179" ht="15" customHeight="1">
      <c r="A10179" t="inlineStr">
        <is>
          <t>A 32783-2026</t>
        </is>
      </c>
      <c r="B10179" t="inlineStr">
        <is>
          <t>avverkningsanmälan</t>
        </is>
      </c>
      <c r="C10179" t="inlineStr">
        <is>
          <t>Föryngringsavverkning</t>
        </is>
      </c>
      <c r="D10179" s="1" t="n">
        <v>46241</v>
      </c>
      <c r="E10179" s="1" t="n">
        <v>46307</v>
      </c>
      <c r="F10179" t="inlineStr">
        <is>
          <t>VÄRMLANDS LÄN</t>
        </is>
      </c>
      <c r="G10179" t="inlineStr">
        <is>
          <t>FILIPSTAD</t>
        </is>
      </c>
      <c r="H10179" t="inlineStr">
        <is>
          <t>Bergvik skog väst AB</t>
        </is>
      </c>
      <c r="I10179" t="n">
        <v>0.5</v>
      </c>
      <c r="J10179" t="n">
        <v>0</v>
      </c>
      <c r="K10179" t="n">
        <v>0</v>
      </c>
      <c r="L10179" t="n">
        <v>0</v>
      </c>
      <c r="M10179" t="n">
        <v>0</v>
      </c>
      <c r="N10179" t="n">
        <v>0</v>
      </c>
      <c r="O10179" t="n">
        <v>0</v>
      </c>
      <c r="P10179" t="n">
        <v>0</v>
      </c>
      <c r="Q10179" t="n">
        <v>0</v>
      </c>
      <c r="R10179" t="n">
        <v>0</v>
      </c>
      <c r="S10179" t="n">
        <v>0</v>
      </c>
      <c r="T10179" t="n">
        <v>0</v>
      </c>
      <c r="U10179" t="n">
        <v>0</v>
      </c>
      <c r="V10179" s="2" t="inlineStr"/>
    </row>
    <row r="10180" ht="15" customHeight="1">
      <c r="A10180" t="inlineStr">
        <is>
          <t>A 32625-2026</t>
        </is>
      </c>
      <c r="B10180" t="inlineStr">
        <is>
          <t>avverkningsanmälan</t>
        </is>
      </c>
      <c r="C10180" t="inlineStr">
        <is>
          <t>Föryngringsavverkning</t>
        </is>
      </c>
      <c r="D10180" s="1" t="n">
        <v>46240</v>
      </c>
      <c r="E10180" s="1" t="n">
        <v>46307</v>
      </c>
      <c r="F10180" t="inlineStr">
        <is>
          <t>VÄRMLANDS LÄN</t>
        </is>
      </c>
      <c r="G10180" t="inlineStr">
        <is>
          <t>ÅRJÄNG</t>
        </is>
      </c>
      <c r="I10180" t="n">
        <v>0.6</v>
      </c>
      <c r="J10180" t="n">
        <v>0</v>
      </c>
      <c r="K10180" t="n">
        <v>0</v>
      </c>
      <c r="L10180" t="n">
        <v>0</v>
      </c>
      <c r="M10180" t="n">
        <v>0</v>
      </c>
      <c r="N10180" t="n">
        <v>0</v>
      </c>
      <c r="O10180" t="n">
        <v>0</v>
      </c>
      <c r="P10180" t="n">
        <v>0</v>
      </c>
      <c r="Q10180" t="n">
        <v>0</v>
      </c>
      <c r="R10180" t="n">
        <v>0</v>
      </c>
      <c r="S10180" t="n">
        <v>0</v>
      </c>
      <c r="T10180" t="n">
        <v>0</v>
      </c>
      <c r="U10180" t="n">
        <v>0</v>
      </c>
      <c r="V10180" s="2" t="inlineStr"/>
    </row>
    <row r="10181" ht="15" customHeight="1">
      <c r="A10181" t="inlineStr">
        <is>
          <t>A 38961-2026</t>
        </is>
      </c>
      <c r="B10181" t="inlineStr">
        <is>
          <t>avverkningsanmälan</t>
        </is>
      </c>
      <c r="C10181" t="inlineStr">
        <is>
          <t>Föryngringsavverkning</t>
        </is>
      </c>
      <c r="D10181" s="1" t="n">
        <v>46286</v>
      </c>
      <c r="E10181" s="1" t="n">
        <v>46307</v>
      </c>
      <c r="F10181" t="inlineStr">
        <is>
          <t>VÄRMLANDS LÄN</t>
        </is>
      </c>
      <c r="G10181" t="inlineStr">
        <is>
          <t>MUNKFORS</t>
        </is>
      </c>
      <c r="I10181" t="n">
        <v>4.2</v>
      </c>
      <c r="J10181" t="n">
        <v>0</v>
      </c>
      <c r="K10181" t="n">
        <v>0</v>
      </c>
      <c r="L10181" t="n">
        <v>0</v>
      </c>
      <c r="M10181" t="n">
        <v>0</v>
      </c>
      <c r="N10181" t="n">
        <v>0</v>
      </c>
      <c r="O10181" t="n">
        <v>0</v>
      </c>
      <c r="P10181" t="n">
        <v>0</v>
      </c>
      <c r="Q10181" t="n">
        <v>0</v>
      </c>
      <c r="R10181" t="n">
        <v>0</v>
      </c>
      <c r="S10181" t="n">
        <v>0</v>
      </c>
      <c r="T10181" t="n">
        <v>0</v>
      </c>
      <c r="U10181" t="n">
        <v>0</v>
      </c>
      <c r="V10181" s="2" t="inlineStr"/>
    </row>
    <row r="10182" ht="15" customHeight="1">
      <c r="A10182" t="inlineStr">
        <is>
          <t>A 38840-2026</t>
        </is>
      </c>
      <c r="B10182" t="inlineStr">
        <is>
          <t>avverkningsanmälan</t>
        </is>
      </c>
      <c r="C10182" t="inlineStr">
        <is>
          <t>Avverkning för annat ändamål</t>
        </is>
      </c>
      <c r="D10182" s="1" t="n">
        <v>46286</v>
      </c>
      <c r="E10182" s="1" t="n">
        <v>46307</v>
      </c>
      <c r="F10182" t="inlineStr">
        <is>
          <t>VÄRMLANDS LÄN</t>
        </is>
      </c>
      <c r="G10182" t="inlineStr">
        <is>
          <t>KRISTINEHAMN</t>
        </is>
      </c>
      <c r="H10182" t="inlineStr">
        <is>
          <t>Sveaskog</t>
        </is>
      </c>
      <c r="I10182" t="n">
        <v>0.6</v>
      </c>
      <c r="J10182" t="n">
        <v>0</v>
      </c>
      <c r="K10182" t="n">
        <v>0</v>
      </c>
      <c r="L10182" t="n">
        <v>0</v>
      </c>
      <c r="M10182" t="n">
        <v>0</v>
      </c>
      <c r="N10182" t="n">
        <v>0</v>
      </c>
      <c r="O10182" t="n">
        <v>0</v>
      </c>
      <c r="P10182" t="n">
        <v>0</v>
      </c>
      <c r="Q10182" t="n">
        <v>0</v>
      </c>
      <c r="R10182" t="n">
        <v>0</v>
      </c>
      <c r="S10182" t="n">
        <v>0</v>
      </c>
      <c r="T10182" t="n">
        <v>0</v>
      </c>
      <c r="U10182" t="n">
        <v>0</v>
      </c>
      <c r="V10182" s="2" t="inlineStr"/>
    </row>
    <row r="10183" ht="15" customHeight="1">
      <c r="A10183" t="inlineStr">
        <is>
          <t>A 32721-2026</t>
        </is>
      </c>
      <c r="B10183" t="inlineStr">
        <is>
          <t>avverkningsanmälan</t>
        </is>
      </c>
      <c r="C10183" t="inlineStr">
        <is>
          <t>Föryngringsavverkning</t>
        </is>
      </c>
      <c r="D10183" s="1" t="n">
        <v>46241</v>
      </c>
      <c r="E10183" s="1" t="n">
        <v>46307</v>
      </c>
      <c r="F10183" t="inlineStr">
        <is>
          <t>VÄRMLANDS LÄN</t>
        </is>
      </c>
      <c r="G10183" t="inlineStr">
        <is>
          <t>HAGFORS</t>
        </is>
      </c>
      <c r="I10183" t="n">
        <v>4.1</v>
      </c>
      <c r="J10183" t="n">
        <v>0</v>
      </c>
      <c r="K10183" t="n">
        <v>0</v>
      </c>
      <c r="L10183" t="n">
        <v>0</v>
      </c>
      <c r="M10183" t="n">
        <v>0</v>
      </c>
      <c r="N10183" t="n">
        <v>0</v>
      </c>
      <c r="O10183" t="n">
        <v>0</v>
      </c>
      <c r="P10183" t="n">
        <v>0</v>
      </c>
      <c r="Q10183" t="n">
        <v>0</v>
      </c>
      <c r="R10183" t="n">
        <v>0</v>
      </c>
      <c r="S10183" t="n">
        <v>0</v>
      </c>
      <c r="T10183" t="n">
        <v>0</v>
      </c>
      <c r="U10183" t="n">
        <v>0</v>
      </c>
      <c r="V10183" s="2" t="inlineStr"/>
    </row>
    <row r="10184" ht="15" customHeight="1">
      <c r="A10184" t="inlineStr">
        <is>
          <t>A 38909-2026</t>
        </is>
      </c>
      <c r="B10184" t="inlineStr">
        <is>
          <t>avverkningsanmälan</t>
        </is>
      </c>
      <c r="C10184" t="inlineStr">
        <is>
          <t>Föryngringsavverkning</t>
        </is>
      </c>
      <c r="D10184" s="1" t="n">
        <v>46282</v>
      </c>
      <c r="E10184" s="1" t="n">
        <v>46307</v>
      </c>
      <c r="F10184" t="inlineStr">
        <is>
          <t>VÄRMLANDS LÄN</t>
        </is>
      </c>
      <c r="G10184" t="inlineStr">
        <is>
          <t>ÅRJÄNG</t>
        </is>
      </c>
      <c r="I10184" t="n">
        <v>0.7</v>
      </c>
      <c r="J10184" t="n">
        <v>0</v>
      </c>
      <c r="K10184" t="n">
        <v>0</v>
      </c>
      <c r="L10184" t="n">
        <v>0</v>
      </c>
      <c r="M10184" t="n">
        <v>0</v>
      </c>
      <c r="N10184" t="n">
        <v>0</v>
      </c>
      <c r="O10184" t="n">
        <v>0</v>
      </c>
      <c r="P10184" t="n">
        <v>0</v>
      </c>
      <c r="Q10184" t="n">
        <v>0</v>
      </c>
      <c r="R10184" t="n">
        <v>0</v>
      </c>
      <c r="S10184" t="n">
        <v>0</v>
      </c>
      <c r="T10184" t="n">
        <v>0</v>
      </c>
      <c r="U10184" t="n">
        <v>0</v>
      </c>
      <c r="V10184" s="2" t="inlineStr"/>
    </row>
    <row r="10185" ht="15" customHeight="1">
      <c r="A10185" t="inlineStr">
        <is>
          <t>A 38951-2026</t>
        </is>
      </c>
      <c r="B10185" t="inlineStr">
        <is>
          <t>avverkningsanmälan</t>
        </is>
      </c>
      <c r="C10185" t="inlineStr">
        <is>
          <t>Föryngringsavverkning</t>
        </is>
      </c>
      <c r="D10185" s="1" t="n">
        <v>46286</v>
      </c>
      <c r="E10185" s="1" t="n">
        <v>46307</v>
      </c>
      <c r="F10185" t="inlineStr">
        <is>
          <t>VÄRMLANDS LÄN</t>
        </is>
      </c>
      <c r="G10185" t="inlineStr">
        <is>
          <t>HAGFORS</t>
        </is>
      </c>
      <c r="H10185" t="inlineStr">
        <is>
          <t>Bergvik skog väst AB</t>
        </is>
      </c>
      <c r="I10185" t="n">
        <v>1.8</v>
      </c>
      <c r="J10185" t="n">
        <v>0</v>
      </c>
      <c r="K10185" t="n">
        <v>0</v>
      </c>
      <c r="L10185" t="n">
        <v>0</v>
      </c>
      <c r="M10185" t="n">
        <v>0</v>
      </c>
      <c r="N10185" t="n">
        <v>0</v>
      </c>
      <c r="O10185" t="n">
        <v>0</v>
      </c>
      <c r="P10185" t="n">
        <v>0</v>
      </c>
      <c r="Q10185" t="n">
        <v>0</v>
      </c>
      <c r="R10185" t="n">
        <v>0</v>
      </c>
      <c r="S10185" t="n">
        <v>0</v>
      </c>
      <c r="T10185" t="n">
        <v>0</v>
      </c>
      <c r="U10185" t="n">
        <v>0</v>
      </c>
      <c r="V10185" s="2" t="inlineStr"/>
    </row>
    <row r="10186" ht="15" customHeight="1">
      <c r="A10186" t="inlineStr">
        <is>
          <t>A 38590-2026</t>
        </is>
      </c>
      <c r="B10186" t="inlineStr">
        <is>
          <t>avverkningsanmälan</t>
        </is>
      </c>
      <c r="C10186" t="inlineStr">
        <is>
          <t>Föryngringsavverkning</t>
        </is>
      </c>
      <c r="D10186" s="1" t="n">
        <v>46283</v>
      </c>
      <c r="E10186" s="1" t="n">
        <v>46307</v>
      </c>
      <c r="F10186" t="inlineStr">
        <is>
          <t>VÄRMLANDS LÄN</t>
        </is>
      </c>
      <c r="G10186" t="inlineStr">
        <is>
          <t>ARVIKA</t>
        </is>
      </c>
      <c r="I10186" t="n">
        <v>3.9</v>
      </c>
      <c r="J10186" t="n">
        <v>0</v>
      </c>
      <c r="K10186" t="n">
        <v>0</v>
      </c>
      <c r="L10186" t="n">
        <v>0</v>
      </c>
      <c r="M10186" t="n">
        <v>0</v>
      </c>
      <c r="N10186" t="n">
        <v>0</v>
      </c>
      <c r="O10186" t="n">
        <v>0</v>
      </c>
      <c r="P10186" t="n">
        <v>0</v>
      </c>
      <c r="Q10186" t="n">
        <v>0</v>
      </c>
      <c r="R10186" t="n">
        <v>0</v>
      </c>
      <c r="S10186" t="n">
        <v>0</v>
      </c>
      <c r="T10186" t="n">
        <v>0</v>
      </c>
      <c r="U10186" t="n">
        <v>0</v>
      </c>
      <c r="V10186" s="2" t="inlineStr"/>
    </row>
    <row r="10187" ht="15" customHeight="1">
      <c r="A10187" t="inlineStr">
        <is>
          <t>A 32900-2026</t>
        </is>
      </c>
      <c r="B10187" t="inlineStr">
        <is>
          <t>avverkningsanmälan</t>
        </is>
      </c>
      <c r="C10187" t="inlineStr">
        <is>
          <t>Föryngringsavverkning</t>
        </is>
      </c>
      <c r="D10187" s="1" t="n">
        <v>46244</v>
      </c>
      <c r="E10187" s="1" t="n">
        <v>46307</v>
      </c>
      <c r="F10187" t="inlineStr">
        <is>
          <t>VÄRMLANDS LÄN</t>
        </is>
      </c>
      <c r="G10187" t="inlineStr">
        <is>
          <t>MUNKFORS</t>
        </is>
      </c>
      <c r="I10187" t="n">
        <v>0.6</v>
      </c>
      <c r="J10187" t="n">
        <v>0</v>
      </c>
      <c r="K10187" t="n">
        <v>0</v>
      </c>
      <c r="L10187" t="n">
        <v>0</v>
      </c>
      <c r="M10187" t="n">
        <v>0</v>
      </c>
      <c r="N10187" t="n">
        <v>0</v>
      </c>
      <c r="O10187" t="n">
        <v>0</v>
      </c>
      <c r="P10187" t="n">
        <v>0</v>
      </c>
      <c r="Q10187" t="n">
        <v>0</v>
      </c>
      <c r="R10187" t="n">
        <v>0</v>
      </c>
      <c r="S10187" t="n">
        <v>0</v>
      </c>
      <c r="T10187" t="n">
        <v>0</v>
      </c>
      <c r="U10187" t="n">
        <v>0</v>
      </c>
      <c r="V10187" s="2" t="inlineStr"/>
    </row>
    <row r="10188" ht="15" customHeight="1">
      <c r="A10188" t="inlineStr">
        <is>
          <t>A 38599-2026</t>
        </is>
      </c>
      <c r="B10188" t="inlineStr">
        <is>
          <t>avverkningsanmälan</t>
        </is>
      </c>
      <c r="C10188" t="inlineStr">
        <is>
          <t>Föryngringsavverkning</t>
        </is>
      </c>
      <c r="D10188" s="1" t="n">
        <v>46283</v>
      </c>
      <c r="E10188" s="1" t="n">
        <v>46307</v>
      </c>
      <c r="F10188" t="inlineStr">
        <is>
          <t>VÄRMLANDS LÄN</t>
        </is>
      </c>
      <c r="G10188" t="inlineStr">
        <is>
          <t>TORSBY</t>
        </is>
      </c>
      <c r="I10188" t="n">
        <v>1.7</v>
      </c>
      <c r="J10188" t="n">
        <v>0</v>
      </c>
      <c r="K10188" t="n">
        <v>0</v>
      </c>
      <c r="L10188" t="n">
        <v>0</v>
      </c>
      <c r="M10188" t="n">
        <v>0</v>
      </c>
      <c r="N10188" t="n">
        <v>0</v>
      </c>
      <c r="O10188" t="n">
        <v>0</v>
      </c>
      <c r="P10188" t="n">
        <v>0</v>
      </c>
      <c r="Q10188" t="n">
        <v>0</v>
      </c>
      <c r="R10188" t="n">
        <v>0</v>
      </c>
      <c r="S10188" t="n">
        <v>0</v>
      </c>
      <c r="T10188" t="n">
        <v>0</v>
      </c>
      <c r="U10188" t="n">
        <v>0</v>
      </c>
      <c r="V10188" s="2" t="inlineStr"/>
    </row>
    <row r="10189" ht="15" customHeight="1">
      <c r="A10189" t="inlineStr">
        <is>
          <t>A 38660-2026</t>
        </is>
      </c>
      <c r="B10189" t="inlineStr">
        <is>
          <t>avverkningsanmälan</t>
        </is>
      </c>
      <c r="C10189" t="inlineStr">
        <is>
          <t>Föryngringsavverkning</t>
        </is>
      </c>
      <c r="D10189" s="1" t="n">
        <v>46283</v>
      </c>
      <c r="E10189" s="1" t="n">
        <v>46307</v>
      </c>
      <c r="F10189" t="inlineStr">
        <is>
          <t>VÄRMLANDS LÄN</t>
        </is>
      </c>
      <c r="G10189" t="inlineStr">
        <is>
          <t>TORSBY</t>
        </is>
      </c>
      <c r="H10189" t="inlineStr">
        <is>
          <t>Bergvik skog väst AB</t>
        </is>
      </c>
      <c r="I10189" t="n">
        <v>1.9</v>
      </c>
      <c r="J10189" t="n">
        <v>0</v>
      </c>
      <c r="K10189" t="n">
        <v>0</v>
      </c>
      <c r="L10189" t="n">
        <v>0</v>
      </c>
      <c r="M10189" t="n">
        <v>0</v>
      </c>
      <c r="N10189" t="n">
        <v>0</v>
      </c>
      <c r="O10189" t="n">
        <v>0</v>
      </c>
      <c r="P10189" t="n">
        <v>0</v>
      </c>
      <c r="Q10189" t="n">
        <v>0</v>
      </c>
      <c r="R10189" t="n">
        <v>0</v>
      </c>
      <c r="S10189" t="n">
        <v>0</v>
      </c>
      <c r="T10189" t="n">
        <v>0</v>
      </c>
      <c r="U10189" t="n">
        <v>0</v>
      </c>
      <c r="V10189" s="2" t="inlineStr"/>
    </row>
    <row r="10190" ht="15" customHeight="1">
      <c r="A10190" t="inlineStr">
        <is>
          <t>A 32747-2026</t>
        </is>
      </c>
      <c r="B10190" t="inlineStr">
        <is>
          <t>avverkningsanmälan</t>
        </is>
      </c>
      <c r="C10190" t="inlineStr">
        <is>
          <t>Föryngringsavverkning</t>
        </is>
      </c>
      <c r="D10190" s="1" t="n">
        <v>46241</v>
      </c>
      <c r="E10190" s="1" t="n">
        <v>46307</v>
      </c>
      <c r="F10190" t="inlineStr">
        <is>
          <t>VÄRMLANDS LÄN</t>
        </is>
      </c>
      <c r="G10190" t="inlineStr">
        <is>
          <t>ARVIKA</t>
        </is>
      </c>
      <c r="I10190" t="n">
        <v>0.9</v>
      </c>
      <c r="J10190" t="n">
        <v>0</v>
      </c>
      <c r="K10190" t="n">
        <v>0</v>
      </c>
      <c r="L10190" t="n">
        <v>0</v>
      </c>
      <c r="M10190" t="n">
        <v>0</v>
      </c>
      <c r="N10190" t="n">
        <v>0</v>
      </c>
      <c r="O10190" t="n">
        <v>0</v>
      </c>
      <c r="P10190" t="n">
        <v>0</v>
      </c>
      <c r="Q10190" t="n">
        <v>0</v>
      </c>
      <c r="R10190" t="n">
        <v>0</v>
      </c>
      <c r="S10190" t="n">
        <v>0</v>
      </c>
      <c r="T10190" t="n">
        <v>0</v>
      </c>
      <c r="U10190" t="n">
        <v>0</v>
      </c>
      <c r="V10190" s="2" t="inlineStr"/>
    </row>
    <row r="10191" ht="15" customHeight="1">
      <c r="A10191" t="inlineStr">
        <is>
          <t>A 38699-2026</t>
        </is>
      </c>
      <c r="B10191" t="inlineStr">
        <is>
          <t>avverkningsanmälan</t>
        </is>
      </c>
      <c r="C10191" t="inlineStr">
        <is>
          <t>Föryngringsavverkning</t>
        </is>
      </c>
      <c r="D10191" s="1" t="n">
        <v>46283</v>
      </c>
      <c r="E10191" s="1" t="n">
        <v>46307</v>
      </c>
      <c r="F10191" t="inlineStr">
        <is>
          <t>VÄRMLANDS LÄN</t>
        </is>
      </c>
      <c r="G10191" t="inlineStr">
        <is>
          <t>SÄFFLE</t>
        </is>
      </c>
      <c r="H10191" t="inlineStr">
        <is>
          <t>Bergvik skog väst AB</t>
        </is>
      </c>
      <c r="I10191" t="n">
        <v>5.5</v>
      </c>
      <c r="J10191" t="n">
        <v>0</v>
      </c>
      <c r="K10191" t="n">
        <v>0</v>
      </c>
      <c r="L10191" t="n">
        <v>0</v>
      </c>
      <c r="M10191" t="n">
        <v>0</v>
      </c>
      <c r="N10191" t="n">
        <v>0</v>
      </c>
      <c r="O10191" t="n">
        <v>0</v>
      </c>
      <c r="P10191" t="n">
        <v>0</v>
      </c>
      <c r="Q10191" t="n">
        <v>0</v>
      </c>
      <c r="R10191" t="n">
        <v>0</v>
      </c>
      <c r="S10191" t="n">
        <v>0</v>
      </c>
      <c r="T10191" t="n">
        <v>0</v>
      </c>
      <c r="U10191" t="n">
        <v>0</v>
      </c>
      <c r="V10191" s="2" t="inlineStr"/>
    </row>
    <row r="10192" ht="15" customHeight="1">
      <c r="A10192" t="inlineStr">
        <is>
          <t>A 38572-2026</t>
        </is>
      </c>
      <c r="B10192" t="inlineStr">
        <is>
          <t>avverkningsanmälan</t>
        </is>
      </c>
      <c r="C10192" t="inlineStr">
        <is>
          <t>Föryngringsavverkning</t>
        </is>
      </c>
      <c r="D10192" s="1" t="n">
        <v>46283</v>
      </c>
      <c r="E10192" s="1" t="n">
        <v>46307</v>
      </c>
      <c r="F10192" t="inlineStr">
        <is>
          <t>VÄRMLANDS LÄN</t>
        </is>
      </c>
      <c r="G10192" t="inlineStr">
        <is>
          <t>SÄFFLE</t>
        </is>
      </c>
      <c r="H10192" t="inlineStr">
        <is>
          <t>Bergvik skog väst AB</t>
        </is>
      </c>
      <c r="I10192" t="n">
        <v>12.6</v>
      </c>
      <c r="J10192" t="n">
        <v>0</v>
      </c>
      <c r="K10192" t="n">
        <v>0</v>
      </c>
      <c r="L10192" t="n">
        <v>0</v>
      </c>
      <c r="M10192" t="n">
        <v>0</v>
      </c>
      <c r="N10192" t="n">
        <v>0</v>
      </c>
      <c r="O10192" t="n">
        <v>0</v>
      </c>
      <c r="P10192" t="n">
        <v>0</v>
      </c>
      <c r="Q10192" t="n">
        <v>0</v>
      </c>
      <c r="R10192" t="n">
        <v>0</v>
      </c>
      <c r="S10192" t="n">
        <v>0</v>
      </c>
      <c r="T10192" t="n">
        <v>0</v>
      </c>
      <c r="U10192" t="n">
        <v>0</v>
      </c>
      <c r="V10192" s="2" t="inlineStr"/>
    </row>
    <row r="10193" ht="15" customHeight="1">
      <c r="A10193" t="inlineStr">
        <is>
          <t>A 38573-2026</t>
        </is>
      </c>
      <c r="B10193" t="inlineStr">
        <is>
          <t>avverkningsanmälan</t>
        </is>
      </c>
      <c r="C10193" t="inlineStr">
        <is>
          <t>Föryngringsavverkning</t>
        </is>
      </c>
      <c r="D10193" s="1" t="n">
        <v>46283</v>
      </c>
      <c r="E10193" s="1" t="n">
        <v>46307</v>
      </c>
      <c r="F10193" t="inlineStr">
        <is>
          <t>VÄRMLANDS LÄN</t>
        </is>
      </c>
      <c r="G10193" t="inlineStr">
        <is>
          <t>HAGFORS</t>
        </is>
      </c>
      <c r="H10193" t="inlineStr">
        <is>
          <t>Bergvik skog väst AB</t>
        </is>
      </c>
      <c r="I10193" t="n">
        <v>1.8</v>
      </c>
      <c r="J10193" t="n">
        <v>0</v>
      </c>
      <c r="K10193" t="n">
        <v>0</v>
      </c>
      <c r="L10193" t="n">
        <v>0</v>
      </c>
      <c r="M10193" t="n">
        <v>0</v>
      </c>
      <c r="N10193" t="n">
        <v>0</v>
      </c>
      <c r="O10193" t="n">
        <v>0</v>
      </c>
      <c r="P10193" t="n">
        <v>0</v>
      </c>
      <c r="Q10193" t="n">
        <v>0</v>
      </c>
      <c r="R10193" t="n">
        <v>0</v>
      </c>
      <c r="S10193" t="n">
        <v>0</v>
      </c>
      <c r="T10193" t="n">
        <v>0</v>
      </c>
      <c r="U10193" t="n">
        <v>0</v>
      </c>
      <c r="V10193" s="2" t="inlineStr"/>
    </row>
    <row r="10194" ht="15" customHeight="1">
      <c r="A10194" t="inlineStr">
        <is>
          <t>A 32600-2026</t>
        </is>
      </c>
      <c r="B10194" t="inlineStr">
        <is>
          <t>avverkningsanmälan</t>
        </is>
      </c>
      <c r="C10194" t="inlineStr">
        <is>
          <t>Föryngringsavverkning</t>
        </is>
      </c>
      <c r="D10194" s="1" t="n">
        <v>46240</v>
      </c>
      <c r="E10194" s="1" t="n">
        <v>46307</v>
      </c>
      <c r="F10194" t="inlineStr">
        <is>
          <t>VÄRMLANDS LÄN</t>
        </is>
      </c>
      <c r="G10194" t="inlineStr">
        <is>
          <t>FILIPSTAD</t>
        </is>
      </c>
      <c r="H10194" t="inlineStr">
        <is>
          <t>Bergvik skog väst AB</t>
        </is>
      </c>
      <c r="I10194" t="n">
        <v>1</v>
      </c>
      <c r="J10194" t="n">
        <v>0</v>
      </c>
      <c r="K10194" t="n">
        <v>0</v>
      </c>
      <c r="L10194" t="n">
        <v>0</v>
      </c>
      <c r="M10194" t="n">
        <v>0</v>
      </c>
      <c r="N10194" t="n">
        <v>0</v>
      </c>
      <c r="O10194" t="n">
        <v>0</v>
      </c>
      <c r="P10194" t="n">
        <v>0</v>
      </c>
      <c r="Q10194" t="n">
        <v>0</v>
      </c>
      <c r="R10194" t="n">
        <v>0</v>
      </c>
      <c r="S10194" t="n">
        <v>0</v>
      </c>
      <c r="T10194" t="n">
        <v>0</v>
      </c>
      <c r="U10194" t="n">
        <v>0</v>
      </c>
      <c r="V10194" s="2" t="inlineStr"/>
    </row>
    <row r="10195" ht="15" customHeight="1">
      <c r="A10195" t="inlineStr">
        <is>
          <t>A 32618-2026</t>
        </is>
      </c>
      <c r="B10195" t="inlineStr">
        <is>
          <t>avverkningsanmälan</t>
        </is>
      </c>
      <c r="C10195" t="inlineStr">
        <is>
          <t>Föryngringsavverkning</t>
        </is>
      </c>
      <c r="D10195" s="1" t="n">
        <v>46240</v>
      </c>
      <c r="E10195" s="1" t="n">
        <v>46307</v>
      </c>
      <c r="F10195" t="inlineStr">
        <is>
          <t>VÄRMLANDS LÄN</t>
        </is>
      </c>
      <c r="G10195" t="inlineStr">
        <is>
          <t>EDA</t>
        </is>
      </c>
      <c r="I10195" t="n">
        <v>3.6</v>
      </c>
      <c r="J10195" t="n">
        <v>0</v>
      </c>
      <c r="K10195" t="n">
        <v>0</v>
      </c>
      <c r="L10195" t="n">
        <v>0</v>
      </c>
      <c r="M10195" t="n">
        <v>0</v>
      </c>
      <c r="N10195" t="n">
        <v>0</v>
      </c>
      <c r="O10195" t="n">
        <v>0</v>
      </c>
      <c r="P10195" t="n">
        <v>0</v>
      </c>
      <c r="Q10195" t="n">
        <v>0</v>
      </c>
      <c r="R10195" t="n">
        <v>0</v>
      </c>
      <c r="S10195" t="n">
        <v>0</v>
      </c>
      <c r="T10195" t="n">
        <v>0</v>
      </c>
      <c r="U10195" t="n">
        <v>0</v>
      </c>
      <c r="V10195" s="2" t="inlineStr"/>
    </row>
    <row r="10196" ht="15" customHeight="1">
      <c r="A10196" t="inlineStr">
        <is>
          <t>A 38517-2026</t>
        </is>
      </c>
      <c r="B10196" t="inlineStr">
        <is>
          <t>avverkningsanmälan</t>
        </is>
      </c>
      <c r="C10196" t="inlineStr">
        <is>
          <t>Föryngringsavverkning</t>
        </is>
      </c>
      <c r="D10196" s="1" t="n">
        <v>46283</v>
      </c>
      <c r="E10196" s="1" t="n">
        <v>46307</v>
      </c>
      <c r="F10196" t="inlineStr">
        <is>
          <t>VÄRMLANDS LÄN</t>
        </is>
      </c>
      <c r="G10196" t="inlineStr">
        <is>
          <t>KIL</t>
        </is>
      </c>
      <c r="H10196" t="inlineStr">
        <is>
          <t>Kommuner</t>
        </is>
      </c>
      <c r="I10196" t="n">
        <v>3.9</v>
      </c>
      <c r="J10196" t="n">
        <v>0</v>
      </c>
      <c r="K10196" t="n">
        <v>0</v>
      </c>
      <c r="L10196" t="n">
        <v>0</v>
      </c>
      <c r="M10196" t="n">
        <v>0</v>
      </c>
      <c r="N10196" t="n">
        <v>0</v>
      </c>
      <c r="O10196" t="n">
        <v>0</v>
      </c>
      <c r="P10196" t="n">
        <v>0</v>
      </c>
      <c r="Q10196" t="n">
        <v>0</v>
      </c>
      <c r="R10196" t="n">
        <v>0</v>
      </c>
      <c r="S10196" t="n">
        <v>0</v>
      </c>
      <c r="T10196" t="n">
        <v>0</v>
      </c>
      <c r="U10196" t="n">
        <v>0</v>
      </c>
      <c r="V10196" s="2" t="inlineStr"/>
    </row>
    <row r="10197" ht="15" customHeight="1">
      <c r="A10197" t="inlineStr">
        <is>
          <t>A 38615-2026</t>
        </is>
      </c>
      <c r="B10197" t="inlineStr">
        <is>
          <t>avverkningsanmälan</t>
        </is>
      </c>
      <c r="C10197" t="inlineStr">
        <is>
          <t>Föryngringsavverkning</t>
        </is>
      </c>
      <c r="D10197" s="1" t="n">
        <v>46283</v>
      </c>
      <c r="E10197" s="1" t="n">
        <v>46307</v>
      </c>
      <c r="F10197" t="inlineStr">
        <is>
          <t>VÄRMLANDS LÄN</t>
        </is>
      </c>
      <c r="G10197" t="inlineStr">
        <is>
          <t>TORSBY</t>
        </is>
      </c>
      <c r="I10197" t="n">
        <v>22.6</v>
      </c>
      <c r="J10197" t="n">
        <v>0</v>
      </c>
      <c r="K10197" t="n">
        <v>0</v>
      </c>
      <c r="L10197" t="n">
        <v>0</v>
      </c>
      <c r="M10197" t="n">
        <v>0</v>
      </c>
      <c r="N10197" t="n">
        <v>0</v>
      </c>
      <c r="O10197" t="n">
        <v>0</v>
      </c>
      <c r="P10197" t="n">
        <v>0</v>
      </c>
      <c r="Q10197" t="n">
        <v>0</v>
      </c>
      <c r="R10197" t="n">
        <v>0</v>
      </c>
      <c r="S10197" t="n">
        <v>0</v>
      </c>
      <c r="T10197" t="n">
        <v>0</v>
      </c>
      <c r="U10197" t="n">
        <v>0</v>
      </c>
      <c r="V10197" s="2" t="inlineStr"/>
    </row>
    <row r="10198" ht="15" customHeight="1">
      <c r="A10198" t="inlineStr">
        <is>
          <t>A 38575-2026</t>
        </is>
      </c>
      <c r="B10198" t="inlineStr">
        <is>
          <t>avverkningsanmälan</t>
        </is>
      </c>
      <c r="C10198" t="inlineStr">
        <is>
          <t>Föryngringsavverkning</t>
        </is>
      </c>
      <c r="D10198" s="1" t="n">
        <v>46283</v>
      </c>
      <c r="E10198" s="1" t="n">
        <v>46307</v>
      </c>
      <c r="F10198" t="inlineStr">
        <is>
          <t>VÄRMLANDS LÄN</t>
        </is>
      </c>
      <c r="G10198" t="inlineStr">
        <is>
          <t>FILIPSTAD</t>
        </is>
      </c>
      <c r="H10198" t="inlineStr">
        <is>
          <t>Bergvik skog väst AB</t>
        </is>
      </c>
      <c r="I10198" t="n">
        <v>7</v>
      </c>
      <c r="J10198" t="n">
        <v>0</v>
      </c>
      <c r="K10198" t="n">
        <v>0</v>
      </c>
      <c r="L10198" t="n">
        <v>0</v>
      </c>
      <c r="M10198" t="n">
        <v>0</v>
      </c>
      <c r="N10198" t="n">
        <v>0</v>
      </c>
      <c r="O10198" t="n">
        <v>0</v>
      </c>
      <c r="P10198" t="n">
        <v>0</v>
      </c>
      <c r="Q10198" t="n">
        <v>0</v>
      </c>
      <c r="R10198" t="n">
        <v>0</v>
      </c>
      <c r="S10198" t="n">
        <v>0</v>
      </c>
      <c r="T10198" t="n">
        <v>0</v>
      </c>
      <c r="U10198" t="n">
        <v>0</v>
      </c>
      <c r="V10198" s="2" t="inlineStr"/>
    </row>
    <row r="10199" ht="15" customHeight="1">
      <c r="A10199" t="inlineStr">
        <is>
          <t>A 38580-2026</t>
        </is>
      </c>
      <c r="B10199" t="inlineStr">
        <is>
          <t>avverkningsanmälan</t>
        </is>
      </c>
      <c r="C10199" t="inlineStr">
        <is>
          <t>Föryngringsavverkning</t>
        </is>
      </c>
      <c r="D10199" s="1" t="n">
        <v>46283</v>
      </c>
      <c r="E10199" s="1" t="n">
        <v>46307</v>
      </c>
      <c r="F10199" t="inlineStr">
        <is>
          <t>VÄRMLANDS LÄN</t>
        </is>
      </c>
      <c r="G10199" t="inlineStr">
        <is>
          <t>SUNNE</t>
        </is>
      </c>
      <c r="H10199" t="inlineStr">
        <is>
          <t>Bergvik skog väst AB</t>
        </is>
      </c>
      <c r="I10199" t="n">
        <v>0.7</v>
      </c>
      <c r="J10199" t="n">
        <v>0</v>
      </c>
      <c r="K10199" t="n">
        <v>0</v>
      </c>
      <c r="L10199" t="n">
        <v>0</v>
      </c>
      <c r="M10199" t="n">
        <v>0</v>
      </c>
      <c r="N10199" t="n">
        <v>0</v>
      </c>
      <c r="O10199" t="n">
        <v>0</v>
      </c>
      <c r="P10199" t="n">
        <v>0</v>
      </c>
      <c r="Q10199" t="n">
        <v>0</v>
      </c>
      <c r="R10199" t="n">
        <v>0</v>
      </c>
      <c r="S10199" t="n">
        <v>0</v>
      </c>
      <c r="T10199" t="n">
        <v>0</v>
      </c>
      <c r="U10199" t="n">
        <v>0</v>
      </c>
      <c r="V10199" s="2" t="inlineStr"/>
    </row>
    <row r="10200" ht="15" customHeight="1">
      <c r="A10200" t="inlineStr">
        <is>
          <t>A 31160-2026</t>
        </is>
      </c>
      <c r="B10200" t="inlineStr">
        <is>
          <t>avverkningsanmälan</t>
        </is>
      </c>
      <c r="C10200" t="inlineStr">
        <is>
          <t>Föryngringsavverkning</t>
        </is>
      </c>
      <c r="D10200" s="1" t="n">
        <v>46209</v>
      </c>
      <c r="E10200" s="1" t="n">
        <v>46307</v>
      </c>
      <c r="F10200" t="inlineStr">
        <is>
          <t>VÄRMLANDS LÄN</t>
        </is>
      </c>
      <c r="G10200" t="inlineStr">
        <is>
          <t>TORSBY</t>
        </is>
      </c>
      <c r="I10200" t="n">
        <v>1.2</v>
      </c>
      <c r="J10200" t="n">
        <v>0</v>
      </c>
      <c r="K10200" t="n">
        <v>0</v>
      </c>
      <c r="L10200" t="n">
        <v>0</v>
      </c>
      <c r="M10200" t="n">
        <v>0</v>
      </c>
      <c r="N10200" t="n">
        <v>0</v>
      </c>
      <c r="O10200" t="n">
        <v>0</v>
      </c>
      <c r="P10200" t="n">
        <v>0</v>
      </c>
      <c r="Q10200" t="n">
        <v>0</v>
      </c>
      <c r="R10200" t="n">
        <v>0</v>
      </c>
      <c r="S10200" t="n">
        <v>0</v>
      </c>
      <c r="T10200" t="n">
        <v>0</v>
      </c>
      <c r="U10200" t="n">
        <v>0</v>
      </c>
      <c r="V10200" s="2" t="inlineStr"/>
    </row>
    <row r="10201" ht="15" customHeight="1">
      <c r="A10201" t="inlineStr">
        <is>
          <t>A 32756-2026</t>
        </is>
      </c>
      <c r="B10201" t="inlineStr">
        <is>
          <t>avverkningsanmälan</t>
        </is>
      </c>
      <c r="C10201" t="inlineStr">
        <is>
          <t>Föryngringsavverkning</t>
        </is>
      </c>
      <c r="D10201" s="1" t="n">
        <v>46241</v>
      </c>
      <c r="E10201" s="1" t="n">
        <v>46307</v>
      </c>
      <c r="F10201" t="inlineStr">
        <is>
          <t>VÄRMLANDS LÄN</t>
        </is>
      </c>
      <c r="G10201" t="inlineStr">
        <is>
          <t>TORSBY</t>
        </is>
      </c>
      <c r="H10201" t="inlineStr">
        <is>
          <t>Bergvik skog väst AB</t>
        </is>
      </c>
      <c r="I10201" t="n">
        <v>3.4</v>
      </c>
      <c r="J10201" t="n">
        <v>0</v>
      </c>
      <c r="K10201" t="n">
        <v>0</v>
      </c>
      <c r="L10201" t="n">
        <v>0</v>
      </c>
      <c r="M10201" t="n">
        <v>0</v>
      </c>
      <c r="N10201" t="n">
        <v>0</v>
      </c>
      <c r="O10201" t="n">
        <v>0</v>
      </c>
      <c r="P10201" t="n">
        <v>0</v>
      </c>
      <c r="Q10201" t="n">
        <v>0</v>
      </c>
      <c r="R10201" t="n">
        <v>0</v>
      </c>
      <c r="S10201" t="n">
        <v>0</v>
      </c>
      <c r="T10201" t="n">
        <v>0</v>
      </c>
      <c r="U10201" t="n">
        <v>0</v>
      </c>
      <c r="V10201" s="2" t="inlineStr"/>
    </row>
    <row r="10202" ht="15" customHeight="1">
      <c r="A10202" t="inlineStr">
        <is>
          <t>A 46514-2025</t>
        </is>
      </c>
      <c r="B10202" t="inlineStr">
        <is>
          <t>avverkningsanmälan</t>
        </is>
      </c>
      <c r="C10202" t="inlineStr">
        <is>
          <t>Föryngringsavverkning</t>
        </is>
      </c>
      <c r="D10202" s="1" t="n">
        <v>45926</v>
      </c>
      <c r="E10202" s="1" t="n">
        <v>46307</v>
      </c>
      <c r="F10202" t="inlineStr">
        <is>
          <t>VÄRMLANDS LÄN</t>
        </is>
      </c>
      <c r="G10202" t="inlineStr">
        <is>
          <t>ARVIKA</t>
        </is>
      </c>
      <c r="I10202" t="n">
        <v>2.7</v>
      </c>
      <c r="J10202" t="n">
        <v>0</v>
      </c>
      <c r="K10202" t="n">
        <v>0</v>
      </c>
      <c r="L10202" t="n">
        <v>0</v>
      </c>
      <c r="M10202" t="n">
        <v>0</v>
      </c>
      <c r="N10202" t="n">
        <v>0</v>
      </c>
      <c r="O10202" t="n">
        <v>0</v>
      </c>
      <c r="P10202" t="n">
        <v>0</v>
      </c>
      <c r="Q10202" t="n">
        <v>0</v>
      </c>
      <c r="R10202" t="n">
        <v>0</v>
      </c>
      <c r="S10202" t="n">
        <v>0</v>
      </c>
      <c r="T10202" t="n">
        <v>0</v>
      </c>
      <c r="U10202" t="n">
        <v>0</v>
      </c>
      <c r="V10202" s="2" t="inlineStr"/>
    </row>
    <row r="10203" ht="15" customHeight="1">
      <c r="A10203" t="inlineStr">
        <is>
          <t>A 32712-2026</t>
        </is>
      </c>
      <c r="B10203" t="inlineStr">
        <is>
          <t>avverkningsanmälan</t>
        </is>
      </c>
      <c r="C10203" t="inlineStr">
        <is>
          <t>Föryngringsavverkning</t>
        </is>
      </c>
      <c r="D10203" s="1" t="n">
        <v>46241</v>
      </c>
      <c r="E10203" s="1" t="n">
        <v>46307</v>
      </c>
      <c r="F10203" t="inlineStr">
        <is>
          <t>VÄRMLANDS LÄN</t>
        </is>
      </c>
      <c r="G10203" t="inlineStr">
        <is>
          <t>HAGFORS</t>
        </is>
      </c>
      <c r="H10203" t="inlineStr">
        <is>
          <t>Bergvik skog väst AB</t>
        </is>
      </c>
      <c r="I10203" t="n">
        <v>2</v>
      </c>
      <c r="J10203" t="n">
        <v>0</v>
      </c>
      <c r="K10203" t="n">
        <v>0</v>
      </c>
      <c r="L10203" t="n">
        <v>0</v>
      </c>
      <c r="M10203" t="n">
        <v>0</v>
      </c>
      <c r="N10203" t="n">
        <v>0</v>
      </c>
      <c r="O10203" t="n">
        <v>0</v>
      </c>
      <c r="P10203" t="n">
        <v>0</v>
      </c>
      <c r="Q10203" t="n">
        <v>0</v>
      </c>
      <c r="R10203" t="n">
        <v>0</v>
      </c>
      <c r="S10203" t="n">
        <v>0</v>
      </c>
      <c r="T10203" t="n">
        <v>0</v>
      </c>
      <c r="U10203" t="n">
        <v>0</v>
      </c>
      <c r="V10203" s="2" t="inlineStr"/>
    </row>
    <row r="10204" ht="15" customHeight="1">
      <c r="A10204" t="inlineStr">
        <is>
          <t>A 32713-2026</t>
        </is>
      </c>
      <c r="B10204" t="inlineStr">
        <is>
          <t>avverkningsanmälan</t>
        </is>
      </c>
      <c r="C10204" t="inlineStr">
        <is>
          <t>Föryngringsavverkning</t>
        </is>
      </c>
      <c r="D10204" s="1" t="n">
        <v>46241</v>
      </c>
      <c r="E10204" s="1" t="n">
        <v>46307</v>
      </c>
      <c r="F10204" t="inlineStr">
        <is>
          <t>VÄRMLANDS LÄN</t>
        </is>
      </c>
      <c r="G10204" t="inlineStr">
        <is>
          <t>HAGFORS</t>
        </is>
      </c>
      <c r="H10204" t="inlineStr">
        <is>
          <t>Bergvik skog väst AB</t>
        </is>
      </c>
      <c r="I10204" t="n">
        <v>7.5</v>
      </c>
      <c r="J10204" t="n">
        <v>0</v>
      </c>
      <c r="K10204" t="n">
        <v>0</v>
      </c>
      <c r="L10204" t="n">
        <v>0</v>
      </c>
      <c r="M10204" t="n">
        <v>0</v>
      </c>
      <c r="N10204" t="n">
        <v>0</v>
      </c>
      <c r="O10204" t="n">
        <v>0</v>
      </c>
      <c r="P10204" t="n">
        <v>0</v>
      </c>
      <c r="Q10204" t="n">
        <v>0</v>
      </c>
      <c r="R10204" t="n">
        <v>0</v>
      </c>
      <c r="S10204" t="n">
        <v>0</v>
      </c>
      <c r="T10204" t="n">
        <v>0</v>
      </c>
      <c r="U10204" t="n">
        <v>0</v>
      </c>
      <c r="V10204" s="2" t="inlineStr"/>
    </row>
    <row r="10205" ht="15" customHeight="1">
      <c r="A10205" t="inlineStr">
        <is>
          <t>A 38664-2026</t>
        </is>
      </c>
      <c r="B10205" t="inlineStr">
        <is>
          <t>avverkningsanmälan</t>
        </is>
      </c>
      <c r="C10205" t="inlineStr">
        <is>
          <t>Föryngringsavverkning</t>
        </is>
      </c>
      <c r="D10205" s="1" t="n">
        <v>46283</v>
      </c>
      <c r="E10205" s="1" t="n">
        <v>46307</v>
      </c>
      <c r="F10205" t="inlineStr">
        <is>
          <t>VÄRMLANDS LÄN</t>
        </is>
      </c>
      <c r="G10205" t="inlineStr">
        <is>
          <t>FILIPSTAD</t>
        </is>
      </c>
      <c r="H10205" t="inlineStr">
        <is>
          <t>Bergvik skog väst AB</t>
        </is>
      </c>
      <c r="I10205" t="n">
        <v>1.8</v>
      </c>
      <c r="J10205" t="n">
        <v>0</v>
      </c>
      <c r="K10205" t="n">
        <v>0</v>
      </c>
      <c r="L10205" t="n">
        <v>0</v>
      </c>
      <c r="M10205" t="n">
        <v>0</v>
      </c>
      <c r="N10205" t="n">
        <v>0</v>
      </c>
      <c r="O10205" t="n">
        <v>0</v>
      </c>
      <c r="P10205" t="n">
        <v>0</v>
      </c>
      <c r="Q10205" t="n">
        <v>0</v>
      </c>
      <c r="R10205" t="n">
        <v>0</v>
      </c>
      <c r="S10205" t="n">
        <v>0</v>
      </c>
      <c r="T10205" t="n">
        <v>0</v>
      </c>
      <c r="U10205" t="n">
        <v>0</v>
      </c>
      <c r="V10205" s="2" t="inlineStr"/>
    </row>
    <row r="10206" ht="15" customHeight="1">
      <c r="A10206" t="inlineStr">
        <is>
          <t>A 38681-2026</t>
        </is>
      </c>
      <c r="B10206" t="inlineStr">
        <is>
          <t>avverkningsanmälan</t>
        </is>
      </c>
      <c r="C10206" t="inlineStr">
        <is>
          <t>Föryngringsavverkning</t>
        </is>
      </c>
      <c r="D10206" s="1" t="n">
        <v>46283</v>
      </c>
      <c r="E10206" s="1" t="n">
        <v>46307</v>
      </c>
      <c r="F10206" t="inlineStr">
        <is>
          <t>VÄRMLANDS LÄN</t>
        </is>
      </c>
      <c r="G10206" t="inlineStr">
        <is>
          <t>ARVIKA</t>
        </is>
      </c>
      <c r="H10206" t="inlineStr">
        <is>
          <t>Bergvik skog väst AB</t>
        </is>
      </c>
      <c r="I10206" t="n">
        <v>3.9</v>
      </c>
      <c r="J10206" t="n">
        <v>0</v>
      </c>
      <c r="K10206" t="n">
        <v>0</v>
      </c>
      <c r="L10206" t="n">
        <v>0</v>
      </c>
      <c r="M10206" t="n">
        <v>0</v>
      </c>
      <c r="N10206" t="n">
        <v>0</v>
      </c>
      <c r="O10206" t="n">
        <v>0</v>
      </c>
      <c r="P10206" t="n">
        <v>0</v>
      </c>
      <c r="Q10206" t="n">
        <v>0</v>
      </c>
      <c r="R10206" t="n">
        <v>0</v>
      </c>
      <c r="S10206" t="n">
        <v>0</v>
      </c>
      <c r="T10206" t="n">
        <v>0</v>
      </c>
      <c r="U10206" t="n">
        <v>0</v>
      </c>
      <c r="V10206" s="2" t="inlineStr"/>
    </row>
    <row r="10207" ht="15" customHeight="1">
      <c r="A10207" t="inlineStr">
        <is>
          <t>A 39086-2026</t>
        </is>
      </c>
      <c r="B10207" t="inlineStr">
        <is>
          <t>avverkningsanmälan</t>
        </is>
      </c>
      <c r="C10207" t="inlineStr">
        <is>
          <t>Föryngringsavverkning</t>
        </is>
      </c>
      <c r="D10207" s="1" t="n">
        <v>46287</v>
      </c>
      <c r="E10207" s="1" t="n">
        <v>46307</v>
      </c>
      <c r="F10207" t="inlineStr">
        <is>
          <t>VÄRMLANDS LÄN</t>
        </is>
      </c>
      <c r="G10207" t="inlineStr">
        <is>
          <t>SUNNE</t>
        </is>
      </c>
      <c r="H10207" t="inlineStr">
        <is>
          <t>Bergvik skog väst AB</t>
        </is>
      </c>
      <c r="I10207" t="n">
        <v>1.7</v>
      </c>
      <c r="J10207" t="n">
        <v>0</v>
      </c>
      <c r="K10207" t="n">
        <v>0</v>
      </c>
      <c r="L10207" t="n">
        <v>0</v>
      </c>
      <c r="M10207" t="n">
        <v>0</v>
      </c>
      <c r="N10207" t="n">
        <v>0</v>
      </c>
      <c r="O10207" t="n">
        <v>0</v>
      </c>
      <c r="P10207" t="n">
        <v>0</v>
      </c>
      <c r="Q10207" t="n">
        <v>0</v>
      </c>
      <c r="R10207" t="n">
        <v>0</v>
      </c>
      <c r="S10207" t="n">
        <v>0</v>
      </c>
      <c r="T10207" t="n">
        <v>0</v>
      </c>
      <c r="U10207" t="n">
        <v>0</v>
      </c>
      <c r="V10207" s="2" t="inlineStr"/>
    </row>
    <row r="10208" ht="15" customHeight="1">
      <c r="A10208" t="inlineStr">
        <is>
          <t>A 39122-2026</t>
        </is>
      </c>
      <c r="B10208" t="inlineStr">
        <is>
          <t>avverkningsanmälan</t>
        </is>
      </c>
      <c r="C10208" t="inlineStr">
        <is>
          <t>Föryngringsavverkning</t>
        </is>
      </c>
      <c r="D10208" s="1" t="n">
        <v>46287</v>
      </c>
      <c r="E10208" s="1" t="n">
        <v>46307</v>
      </c>
      <c r="F10208" t="inlineStr">
        <is>
          <t>VÄRMLANDS LÄN</t>
        </is>
      </c>
      <c r="G10208" t="inlineStr">
        <is>
          <t>ÅRJÄNG</t>
        </is>
      </c>
      <c r="I10208" t="n">
        <v>2.8</v>
      </c>
      <c r="J10208" t="n">
        <v>0</v>
      </c>
      <c r="K10208" t="n">
        <v>0</v>
      </c>
      <c r="L10208" t="n">
        <v>0</v>
      </c>
      <c r="M10208" t="n">
        <v>0</v>
      </c>
      <c r="N10208" t="n">
        <v>0</v>
      </c>
      <c r="O10208" t="n">
        <v>0</v>
      </c>
      <c r="P10208" t="n">
        <v>0</v>
      </c>
      <c r="Q10208" t="n">
        <v>0</v>
      </c>
      <c r="R10208" t="n">
        <v>0</v>
      </c>
      <c r="S10208" t="n">
        <v>0</v>
      </c>
      <c r="T10208" t="n">
        <v>0</v>
      </c>
      <c r="U10208" t="n">
        <v>0</v>
      </c>
      <c r="V10208" s="2" t="inlineStr"/>
    </row>
    <row r="10209" ht="15" customHeight="1">
      <c r="A10209" t="inlineStr">
        <is>
          <t>A 32852-2026</t>
        </is>
      </c>
      <c r="B10209" t="inlineStr">
        <is>
          <t>avverkningsanmälan</t>
        </is>
      </c>
      <c r="C10209" t="inlineStr">
        <is>
          <t>Föryngringsavverkning</t>
        </is>
      </c>
      <c r="D10209" s="1" t="n">
        <v>46244</v>
      </c>
      <c r="E10209" s="1" t="n">
        <v>46307</v>
      </c>
      <c r="F10209" t="inlineStr">
        <is>
          <t>VÄRMLANDS LÄN</t>
        </is>
      </c>
      <c r="G10209" t="inlineStr">
        <is>
          <t>FILIPSTAD</t>
        </is>
      </c>
      <c r="H10209" t="inlineStr">
        <is>
          <t>Bergvik skog väst AB</t>
        </is>
      </c>
      <c r="I10209" t="n">
        <v>4.2</v>
      </c>
      <c r="J10209" t="n">
        <v>0</v>
      </c>
      <c r="K10209" t="n">
        <v>0</v>
      </c>
      <c r="L10209" t="n">
        <v>0</v>
      </c>
      <c r="M10209" t="n">
        <v>0</v>
      </c>
      <c r="N10209" t="n">
        <v>0</v>
      </c>
      <c r="O10209" t="n">
        <v>0</v>
      </c>
      <c r="P10209" t="n">
        <v>0</v>
      </c>
      <c r="Q10209" t="n">
        <v>0</v>
      </c>
      <c r="R10209" t="n">
        <v>0</v>
      </c>
      <c r="S10209" t="n">
        <v>0</v>
      </c>
      <c r="T10209" t="n">
        <v>0</v>
      </c>
      <c r="U10209" t="n">
        <v>0</v>
      </c>
      <c r="V10209" s="2" t="inlineStr"/>
    </row>
    <row r="10210" ht="15" customHeight="1">
      <c r="A10210" t="inlineStr">
        <is>
          <t>A 39217-2026</t>
        </is>
      </c>
      <c r="B10210" t="inlineStr">
        <is>
          <t>avverkningsanmälan</t>
        </is>
      </c>
      <c r="C10210" t="inlineStr">
        <is>
          <t>Föryngringsavverkning</t>
        </is>
      </c>
      <c r="D10210" s="1" t="n">
        <v>46287</v>
      </c>
      <c r="E10210" s="1" t="n">
        <v>46307</v>
      </c>
      <c r="F10210" t="inlineStr">
        <is>
          <t>VÄRMLANDS LÄN</t>
        </is>
      </c>
      <c r="G10210" t="inlineStr">
        <is>
          <t>TORSBY</t>
        </is>
      </c>
      <c r="H10210" t="inlineStr">
        <is>
          <t>Bergvik skog väst AB</t>
        </is>
      </c>
      <c r="I10210" t="n">
        <v>5.7</v>
      </c>
      <c r="J10210" t="n">
        <v>0</v>
      </c>
      <c r="K10210" t="n">
        <v>0</v>
      </c>
      <c r="L10210" t="n">
        <v>0</v>
      </c>
      <c r="M10210" t="n">
        <v>0</v>
      </c>
      <c r="N10210" t="n">
        <v>0</v>
      </c>
      <c r="O10210" t="n">
        <v>0</v>
      </c>
      <c r="P10210" t="n">
        <v>0</v>
      </c>
      <c r="Q10210" t="n">
        <v>0</v>
      </c>
      <c r="R10210" t="n">
        <v>0</v>
      </c>
      <c r="S10210" t="n">
        <v>0</v>
      </c>
      <c r="T10210" t="n">
        <v>0</v>
      </c>
      <c r="U10210" t="n">
        <v>0</v>
      </c>
      <c r="V10210" s="2" t="inlineStr"/>
    </row>
    <row r="10211" ht="15" customHeight="1">
      <c r="A10211" t="inlineStr">
        <is>
          <t>A 39041-2026</t>
        </is>
      </c>
      <c r="B10211" t="inlineStr">
        <is>
          <t>avverkningsanmälan</t>
        </is>
      </c>
      <c r="C10211" t="inlineStr">
        <is>
          <t>Föryngringsavverkning</t>
        </is>
      </c>
      <c r="D10211" s="1" t="n">
        <v>46287</v>
      </c>
      <c r="E10211" s="1" t="n">
        <v>46307</v>
      </c>
      <c r="F10211" t="inlineStr">
        <is>
          <t>VÄRMLANDS LÄN</t>
        </is>
      </c>
      <c r="G10211" t="inlineStr">
        <is>
          <t>SUNNE</t>
        </is>
      </c>
      <c r="H10211" t="inlineStr">
        <is>
          <t>Bergvik skog väst AB</t>
        </is>
      </c>
      <c r="I10211" t="n">
        <v>4.5</v>
      </c>
      <c r="J10211" t="n">
        <v>0</v>
      </c>
      <c r="K10211" t="n">
        <v>0</v>
      </c>
      <c r="L10211" t="n">
        <v>0</v>
      </c>
      <c r="M10211" t="n">
        <v>0</v>
      </c>
      <c r="N10211" t="n">
        <v>0</v>
      </c>
      <c r="O10211" t="n">
        <v>0</v>
      </c>
      <c r="P10211" t="n">
        <v>0</v>
      </c>
      <c r="Q10211" t="n">
        <v>0</v>
      </c>
      <c r="R10211" t="n">
        <v>0</v>
      </c>
      <c r="S10211" t="n">
        <v>0</v>
      </c>
      <c r="T10211" t="n">
        <v>0</v>
      </c>
      <c r="U10211" t="n">
        <v>0</v>
      </c>
      <c r="V10211" s="2" t="inlineStr"/>
    </row>
    <row r="10212" ht="15" customHeight="1">
      <c r="A10212" t="inlineStr">
        <is>
          <t>A 39105-2026</t>
        </is>
      </c>
      <c r="B10212" t="inlineStr">
        <is>
          <t>avverkningsanmälan</t>
        </is>
      </c>
      <c r="C10212" t="inlineStr">
        <is>
          <t>Föryngringsavverkning</t>
        </is>
      </c>
      <c r="D10212" s="1" t="n">
        <v>46287</v>
      </c>
      <c r="E10212" s="1" t="n">
        <v>46307</v>
      </c>
      <c r="F10212" t="inlineStr">
        <is>
          <t>VÄRMLANDS LÄN</t>
        </is>
      </c>
      <c r="G10212" t="inlineStr">
        <is>
          <t>ÅRJÄNG</t>
        </is>
      </c>
      <c r="I10212" t="n">
        <v>2.4</v>
      </c>
      <c r="J10212" t="n">
        <v>0</v>
      </c>
      <c r="K10212" t="n">
        <v>0</v>
      </c>
      <c r="L10212" t="n">
        <v>0</v>
      </c>
      <c r="M10212" t="n">
        <v>0</v>
      </c>
      <c r="N10212" t="n">
        <v>0</v>
      </c>
      <c r="O10212" t="n">
        <v>0</v>
      </c>
      <c r="P10212" t="n">
        <v>0</v>
      </c>
      <c r="Q10212" t="n">
        <v>0</v>
      </c>
      <c r="R10212" t="n">
        <v>0</v>
      </c>
      <c r="S10212" t="n">
        <v>0</v>
      </c>
      <c r="T10212" t="n">
        <v>0</v>
      </c>
      <c r="U10212" t="n">
        <v>0</v>
      </c>
      <c r="V10212" s="2" t="inlineStr"/>
    </row>
    <row r="10213" ht="15" customHeight="1">
      <c r="A10213" t="inlineStr">
        <is>
          <t>A 39138-2026</t>
        </is>
      </c>
      <c r="B10213" t="inlineStr">
        <is>
          <t>avverkningsanmälan</t>
        </is>
      </c>
      <c r="C10213" t="inlineStr">
        <is>
          <t>Föryngringsavverkning</t>
        </is>
      </c>
      <c r="D10213" s="1" t="n">
        <v>46287</v>
      </c>
      <c r="E10213" s="1" t="n">
        <v>46307</v>
      </c>
      <c r="F10213" t="inlineStr">
        <is>
          <t>VÄRMLANDS LÄN</t>
        </is>
      </c>
      <c r="G10213" t="inlineStr">
        <is>
          <t>SÄFFLE</t>
        </is>
      </c>
      <c r="I10213" t="n">
        <v>0.6</v>
      </c>
      <c r="J10213" t="n">
        <v>0</v>
      </c>
      <c r="K10213" t="n">
        <v>0</v>
      </c>
      <c r="L10213" t="n">
        <v>0</v>
      </c>
      <c r="M10213" t="n">
        <v>0</v>
      </c>
      <c r="N10213" t="n">
        <v>0</v>
      </c>
      <c r="O10213" t="n">
        <v>0</v>
      </c>
      <c r="P10213" t="n">
        <v>0</v>
      </c>
      <c r="Q10213" t="n">
        <v>0</v>
      </c>
      <c r="R10213" t="n">
        <v>0</v>
      </c>
      <c r="S10213" t="n">
        <v>0</v>
      </c>
      <c r="T10213" t="n">
        <v>0</v>
      </c>
      <c r="U10213" t="n">
        <v>0</v>
      </c>
      <c r="V10213" s="2" t="inlineStr"/>
    </row>
    <row r="10214" ht="15" customHeight="1">
      <c r="A10214" t="inlineStr">
        <is>
          <t>A 39159-2026</t>
        </is>
      </c>
      <c r="B10214" t="inlineStr">
        <is>
          <t>avverkningsanmälan</t>
        </is>
      </c>
      <c r="C10214" t="inlineStr">
        <is>
          <t>Föryngringsavverkning</t>
        </is>
      </c>
      <c r="D10214" s="1" t="n">
        <v>46287</v>
      </c>
      <c r="E10214" s="1" t="n">
        <v>46307</v>
      </c>
      <c r="F10214" t="inlineStr">
        <is>
          <t>VÄRMLANDS LÄN</t>
        </is>
      </c>
      <c r="G10214" t="inlineStr">
        <is>
          <t>TORSBY</t>
        </is>
      </c>
      <c r="I10214" t="n">
        <v>1.9</v>
      </c>
      <c r="J10214" t="n">
        <v>0</v>
      </c>
      <c r="K10214" t="n">
        <v>0</v>
      </c>
      <c r="L10214" t="n">
        <v>0</v>
      </c>
      <c r="M10214" t="n">
        <v>0</v>
      </c>
      <c r="N10214" t="n">
        <v>0</v>
      </c>
      <c r="O10214" t="n">
        <v>0</v>
      </c>
      <c r="P10214" t="n">
        <v>0</v>
      </c>
      <c r="Q10214" t="n">
        <v>0</v>
      </c>
      <c r="R10214" t="n">
        <v>0</v>
      </c>
      <c r="S10214" t="n">
        <v>0</v>
      </c>
      <c r="T10214" t="n">
        <v>0</v>
      </c>
      <c r="U10214" t="n">
        <v>0</v>
      </c>
      <c r="V10214" s="2" t="inlineStr"/>
    </row>
    <row r="10215" ht="15" customHeight="1">
      <c r="A10215" t="inlineStr">
        <is>
          <t>A 39366-2026</t>
        </is>
      </c>
      <c r="B10215" t="inlineStr">
        <is>
          <t>avverkningsanmälan</t>
        </is>
      </c>
      <c r="C10215" t="inlineStr">
        <is>
          <t>Föryngringsavverkning</t>
        </is>
      </c>
      <c r="D10215" s="1" t="n">
        <v>46288</v>
      </c>
      <c r="E10215" s="1" t="n">
        <v>46307</v>
      </c>
      <c r="F10215" t="inlineStr">
        <is>
          <t>VÄRMLANDS LÄN</t>
        </is>
      </c>
      <c r="G10215" t="inlineStr">
        <is>
          <t>FORSHAGA</t>
        </is>
      </c>
      <c r="I10215" t="n">
        <v>9.5</v>
      </c>
      <c r="J10215" t="n">
        <v>0</v>
      </c>
      <c r="K10215" t="n">
        <v>0</v>
      </c>
      <c r="L10215" t="n">
        <v>0</v>
      </c>
      <c r="M10215" t="n">
        <v>0</v>
      </c>
      <c r="N10215" t="n">
        <v>0</v>
      </c>
      <c r="O10215" t="n">
        <v>0</v>
      </c>
      <c r="P10215" t="n">
        <v>0</v>
      </c>
      <c r="Q10215" t="n">
        <v>0</v>
      </c>
      <c r="R10215" t="n">
        <v>0</v>
      </c>
      <c r="S10215" t="n">
        <v>0</v>
      </c>
      <c r="T10215" t="n">
        <v>0</v>
      </c>
      <c r="U10215" t="n">
        <v>0</v>
      </c>
      <c r="V10215" s="2" t="inlineStr"/>
    </row>
    <row r="10216" ht="15" customHeight="1">
      <c r="A10216" t="inlineStr">
        <is>
          <t>A 20816-2025</t>
        </is>
      </c>
      <c r="B10216" t="inlineStr">
        <is>
          <t>avverkningsanmälan</t>
        </is>
      </c>
      <c r="C10216" t="inlineStr">
        <is>
          <t>Avverkning för att bevara och utveckla /försöksver</t>
        </is>
      </c>
      <c r="D10216" s="1" t="n">
        <v>45776</v>
      </c>
      <c r="E10216" s="1" t="n">
        <v>46307</v>
      </c>
      <c r="F10216" t="inlineStr">
        <is>
          <t>VÄRMLANDS LÄN</t>
        </is>
      </c>
      <c r="G10216" t="inlineStr">
        <is>
          <t>TORSBY</t>
        </is>
      </c>
      <c r="H10216" t="inlineStr">
        <is>
          <t>Bergvik skog väst AB</t>
        </is>
      </c>
      <c r="I10216" t="n">
        <v>2.9</v>
      </c>
      <c r="J10216" t="n">
        <v>0</v>
      </c>
      <c r="K10216" t="n">
        <v>0</v>
      </c>
      <c r="L10216" t="n">
        <v>0</v>
      </c>
      <c r="M10216" t="n">
        <v>0</v>
      </c>
      <c r="N10216" t="n">
        <v>0</v>
      </c>
      <c r="O10216" t="n">
        <v>0</v>
      </c>
      <c r="P10216" t="n">
        <v>0</v>
      </c>
      <c r="Q10216" t="n">
        <v>0</v>
      </c>
      <c r="R10216" t="n">
        <v>0</v>
      </c>
      <c r="S10216" t="n">
        <v>0</v>
      </c>
      <c r="T10216" t="n">
        <v>0</v>
      </c>
      <c r="U10216" t="n">
        <v>0</v>
      </c>
      <c r="V10216" s="2" t="inlineStr"/>
    </row>
    <row r="10217" ht="15" customHeight="1">
      <c r="A10217" t="inlineStr">
        <is>
          <t>A 20928-2024</t>
        </is>
      </c>
      <c r="B10217" t="inlineStr">
        <is>
          <t>avverkningsanmälan</t>
        </is>
      </c>
      <c r="C10217" t="inlineStr">
        <is>
          <t>Föryngringsavverkning</t>
        </is>
      </c>
      <c r="D10217" s="1" t="n">
        <v>45439</v>
      </c>
      <c r="E10217" s="1" t="n">
        <v>46307</v>
      </c>
      <c r="F10217" t="inlineStr">
        <is>
          <t>VÄRMLANDS LÄN</t>
        </is>
      </c>
      <c r="G10217" t="inlineStr">
        <is>
          <t>FORSHAGA</t>
        </is>
      </c>
      <c r="I10217" t="n">
        <v>2.9</v>
      </c>
      <c r="J10217" t="n">
        <v>0</v>
      </c>
      <c r="K10217" t="n">
        <v>0</v>
      </c>
      <c r="L10217" t="n">
        <v>0</v>
      </c>
      <c r="M10217" t="n">
        <v>0</v>
      </c>
      <c r="N10217" t="n">
        <v>0</v>
      </c>
      <c r="O10217" t="n">
        <v>0</v>
      </c>
      <c r="P10217" t="n">
        <v>0</v>
      </c>
      <c r="Q10217" t="n">
        <v>0</v>
      </c>
      <c r="R10217" t="n">
        <v>0</v>
      </c>
      <c r="S10217" t="n">
        <v>0</v>
      </c>
      <c r="T10217" t="n">
        <v>0</v>
      </c>
      <c r="U10217" t="n">
        <v>0</v>
      </c>
      <c r="V10217" s="2" t="inlineStr"/>
    </row>
    <row r="10218" ht="15" customHeight="1">
      <c r="A10218" t="inlineStr">
        <is>
          <t>A 39373-2026</t>
        </is>
      </c>
      <c r="B10218" t="inlineStr">
        <is>
          <t>avverkningsanmälan</t>
        </is>
      </c>
      <c r="C10218" t="inlineStr">
        <is>
          <t>Föryngringsavverkning</t>
        </is>
      </c>
      <c r="D10218" s="1" t="n">
        <v>46288</v>
      </c>
      <c r="E10218" s="1" t="n">
        <v>46307</v>
      </c>
      <c r="F10218" t="inlineStr">
        <is>
          <t>VÄRMLANDS LÄN</t>
        </is>
      </c>
      <c r="G10218" t="inlineStr">
        <is>
          <t>FILIPSTAD</t>
        </is>
      </c>
      <c r="H10218" t="inlineStr">
        <is>
          <t>Bergvik skog väst AB</t>
        </is>
      </c>
      <c r="I10218" t="n">
        <v>2.1</v>
      </c>
      <c r="J10218" t="n">
        <v>0</v>
      </c>
      <c r="K10218" t="n">
        <v>0</v>
      </c>
      <c r="L10218" t="n">
        <v>0</v>
      </c>
      <c r="M10218" t="n">
        <v>0</v>
      </c>
      <c r="N10218" t="n">
        <v>0</v>
      </c>
      <c r="O10218" t="n">
        <v>0</v>
      </c>
      <c r="P10218" t="n">
        <v>0</v>
      </c>
      <c r="Q10218" t="n">
        <v>0</v>
      </c>
      <c r="R10218" t="n">
        <v>0</v>
      </c>
      <c r="S10218" t="n">
        <v>0</v>
      </c>
      <c r="T10218" t="n">
        <v>0</v>
      </c>
      <c r="U10218" t="n">
        <v>0</v>
      </c>
      <c r="V10218" s="2" t="inlineStr"/>
    </row>
    <row r="10219" ht="15" customHeight="1">
      <c r="A10219" t="inlineStr">
        <is>
          <t>A 39118-2026</t>
        </is>
      </c>
      <c r="B10219" t="inlineStr">
        <is>
          <t>avverkningsanmälan</t>
        </is>
      </c>
      <c r="C10219" t="inlineStr">
        <is>
          <t>Föryngringsavverkning</t>
        </is>
      </c>
      <c r="D10219" s="1" t="n">
        <v>46287</v>
      </c>
      <c r="E10219" s="1" t="n">
        <v>46307</v>
      </c>
      <c r="F10219" t="inlineStr">
        <is>
          <t>VÄRMLANDS LÄN</t>
        </is>
      </c>
      <c r="G10219" t="inlineStr">
        <is>
          <t>ARVIKA</t>
        </is>
      </c>
      <c r="H10219" t="inlineStr">
        <is>
          <t>Bergvik skog väst AB</t>
        </is>
      </c>
      <c r="I10219" t="n">
        <v>1.3</v>
      </c>
      <c r="J10219" t="n">
        <v>0</v>
      </c>
      <c r="K10219" t="n">
        <v>0</v>
      </c>
      <c r="L10219" t="n">
        <v>0</v>
      </c>
      <c r="M10219" t="n">
        <v>0</v>
      </c>
      <c r="N10219" t="n">
        <v>0</v>
      </c>
      <c r="O10219" t="n">
        <v>0</v>
      </c>
      <c r="P10219" t="n">
        <v>0</v>
      </c>
      <c r="Q10219" t="n">
        <v>0</v>
      </c>
      <c r="R10219" t="n">
        <v>0</v>
      </c>
      <c r="S10219" t="n">
        <v>0</v>
      </c>
      <c r="T10219" t="n">
        <v>0</v>
      </c>
      <c r="U10219" t="n">
        <v>0</v>
      </c>
      <c r="V10219" s="2" t="inlineStr"/>
    </row>
    <row r="10220" ht="15" customHeight="1">
      <c r="A10220" t="inlineStr">
        <is>
          <t>A 38992-2026</t>
        </is>
      </c>
      <c r="B10220" t="inlineStr">
        <is>
          <t>avverkningsanmälan</t>
        </is>
      </c>
      <c r="C10220" t="inlineStr">
        <is>
          <t>Föryngringsavverkning</t>
        </is>
      </c>
      <c r="D10220" s="1" t="n">
        <v>46287</v>
      </c>
      <c r="E10220" s="1" t="n">
        <v>46307</v>
      </c>
      <c r="F10220" t="inlineStr">
        <is>
          <t>VÄRMLANDS LÄN</t>
        </is>
      </c>
      <c r="G10220" t="inlineStr">
        <is>
          <t>SÄFFLE</t>
        </is>
      </c>
      <c r="H10220" t="inlineStr">
        <is>
          <t>Bergvik skog väst AB</t>
        </is>
      </c>
      <c r="I10220" t="n">
        <v>10.2</v>
      </c>
      <c r="J10220" t="n">
        <v>0</v>
      </c>
      <c r="K10220" t="n">
        <v>0</v>
      </c>
      <c r="L10220" t="n">
        <v>0</v>
      </c>
      <c r="M10220" t="n">
        <v>0</v>
      </c>
      <c r="N10220" t="n">
        <v>0</v>
      </c>
      <c r="O10220" t="n">
        <v>0</v>
      </c>
      <c r="P10220" t="n">
        <v>0</v>
      </c>
      <c r="Q10220" t="n">
        <v>0</v>
      </c>
      <c r="R10220" t="n">
        <v>0</v>
      </c>
      <c r="S10220" t="n">
        <v>0</v>
      </c>
      <c r="T10220" t="n">
        <v>0</v>
      </c>
      <c r="U10220" t="n">
        <v>0</v>
      </c>
      <c r="V10220" s="2" t="inlineStr"/>
    </row>
    <row r="10221" ht="15" customHeight="1">
      <c r="A10221" t="inlineStr">
        <is>
          <t>A 33085-2026</t>
        </is>
      </c>
      <c r="B10221" t="inlineStr">
        <is>
          <t>avverkningsanmälan</t>
        </is>
      </c>
      <c r="C10221" t="inlineStr">
        <is>
          <t>Föryngringsavverkning</t>
        </is>
      </c>
      <c r="D10221" s="1" t="n">
        <v>46245</v>
      </c>
      <c r="E10221" s="1" t="n">
        <v>46307</v>
      </c>
      <c r="F10221" t="inlineStr">
        <is>
          <t>VÄRMLANDS LÄN</t>
        </is>
      </c>
      <c r="G10221" t="inlineStr">
        <is>
          <t>FORSHAGA</t>
        </is>
      </c>
      <c r="H10221" t="inlineStr">
        <is>
          <t>Bergvik skog väst AB</t>
        </is>
      </c>
      <c r="I10221" t="n">
        <v>10.6</v>
      </c>
      <c r="J10221" t="n">
        <v>0</v>
      </c>
      <c r="K10221" t="n">
        <v>0</v>
      </c>
      <c r="L10221" t="n">
        <v>0</v>
      </c>
      <c r="M10221" t="n">
        <v>0</v>
      </c>
      <c r="N10221" t="n">
        <v>0</v>
      </c>
      <c r="O10221" t="n">
        <v>0</v>
      </c>
      <c r="P10221" t="n">
        <v>0</v>
      </c>
      <c r="Q10221" t="n">
        <v>0</v>
      </c>
      <c r="R10221" t="n">
        <v>0</v>
      </c>
      <c r="S10221" t="n">
        <v>0</v>
      </c>
      <c r="T10221" t="n">
        <v>0</v>
      </c>
      <c r="U10221" t="n">
        <v>0</v>
      </c>
      <c r="V10221" s="2" t="inlineStr"/>
    </row>
    <row r="10222" ht="15" customHeight="1">
      <c r="A10222" t="inlineStr">
        <is>
          <t>A 33101-2026</t>
        </is>
      </c>
      <c r="B10222" t="inlineStr">
        <is>
          <t>avverkningsanmälan</t>
        </is>
      </c>
      <c r="C10222" t="inlineStr">
        <is>
          <t>Föryngringsavverkning</t>
        </is>
      </c>
      <c r="D10222" s="1" t="n">
        <v>46245</v>
      </c>
      <c r="E10222" s="1" t="n">
        <v>46307</v>
      </c>
      <c r="F10222" t="inlineStr">
        <is>
          <t>VÄRMLANDS LÄN</t>
        </is>
      </c>
      <c r="G10222" t="inlineStr">
        <is>
          <t>ÅRJÄNG</t>
        </is>
      </c>
      <c r="I10222" t="n">
        <v>1.1</v>
      </c>
      <c r="J10222" t="n">
        <v>0</v>
      </c>
      <c r="K10222" t="n">
        <v>0</v>
      </c>
      <c r="L10222" t="n">
        <v>0</v>
      </c>
      <c r="M10222" t="n">
        <v>0</v>
      </c>
      <c r="N10222" t="n">
        <v>0</v>
      </c>
      <c r="O10222" t="n">
        <v>0</v>
      </c>
      <c r="P10222" t="n">
        <v>0</v>
      </c>
      <c r="Q10222" t="n">
        <v>0</v>
      </c>
      <c r="R10222" t="n">
        <v>0</v>
      </c>
      <c r="S10222" t="n">
        <v>0</v>
      </c>
      <c r="T10222" t="n">
        <v>0</v>
      </c>
      <c r="U10222" t="n">
        <v>0</v>
      </c>
      <c r="V10222" s="2" t="inlineStr"/>
    </row>
    <row r="10223" ht="15" customHeight="1">
      <c r="A10223" t="inlineStr">
        <is>
          <t>A 33131-2026</t>
        </is>
      </c>
      <c r="B10223" t="inlineStr">
        <is>
          <t>avverkningsanmälan</t>
        </is>
      </c>
      <c r="C10223" t="inlineStr">
        <is>
          <t>Föryngringsavverkning</t>
        </is>
      </c>
      <c r="D10223" s="1" t="n">
        <v>46245</v>
      </c>
      <c r="E10223" s="1" t="n">
        <v>46307</v>
      </c>
      <c r="F10223" t="inlineStr">
        <is>
          <t>VÄRMLANDS LÄN</t>
        </is>
      </c>
      <c r="G10223" t="inlineStr">
        <is>
          <t>SUNNE</t>
        </is>
      </c>
      <c r="I10223" t="n">
        <v>5.9</v>
      </c>
      <c r="J10223" t="n">
        <v>0</v>
      </c>
      <c r="K10223" t="n">
        <v>0</v>
      </c>
      <c r="L10223" t="n">
        <v>0</v>
      </c>
      <c r="M10223" t="n">
        <v>0</v>
      </c>
      <c r="N10223" t="n">
        <v>0</v>
      </c>
      <c r="O10223" t="n">
        <v>0</v>
      </c>
      <c r="P10223" t="n">
        <v>0</v>
      </c>
      <c r="Q10223" t="n">
        <v>0</v>
      </c>
      <c r="R10223" t="n">
        <v>0</v>
      </c>
      <c r="S10223" t="n">
        <v>0</v>
      </c>
      <c r="T10223" t="n">
        <v>0</v>
      </c>
      <c r="U10223" t="n">
        <v>0</v>
      </c>
      <c r="V10223" s="2" t="inlineStr"/>
    </row>
    <row r="10224" ht="15" customHeight="1">
      <c r="A10224" t="inlineStr">
        <is>
          <t>A 33136-2026</t>
        </is>
      </c>
      <c r="B10224" t="inlineStr">
        <is>
          <t>avverkningsanmälan</t>
        </is>
      </c>
      <c r="C10224" t="inlineStr">
        <is>
          <t>Föryngringsavverkning</t>
        </is>
      </c>
      <c r="D10224" s="1" t="n">
        <v>46245</v>
      </c>
      <c r="E10224" s="1" t="n">
        <v>46307</v>
      </c>
      <c r="F10224" t="inlineStr">
        <is>
          <t>VÄRMLANDS LÄN</t>
        </is>
      </c>
      <c r="G10224" t="inlineStr">
        <is>
          <t>FORSHAGA</t>
        </is>
      </c>
      <c r="H10224" t="inlineStr">
        <is>
          <t>Bergvik skog väst AB</t>
        </is>
      </c>
      <c r="I10224" t="n">
        <v>3.2</v>
      </c>
      <c r="J10224" t="n">
        <v>0</v>
      </c>
      <c r="K10224" t="n">
        <v>0</v>
      </c>
      <c r="L10224" t="n">
        <v>0</v>
      </c>
      <c r="M10224" t="n">
        <v>0</v>
      </c>
      <c r="N10224" t="n">
        <v>0</v>
      </c>
      <c r="O10224" t="n">
        <v>0</v>
      </c>
      <c r="P10224" t="n">
        <v>0</v>
      </c>
      <c r="Q10224" t="n">
        <v>0</v>
      </c>
      <c r="R10224" t="n">
        <v>0</v>
      </c>
      <c r="S10224" t="n">
        <v>0</v>
      </c>
      <c r="T10224" t="n">
        <v>0</v>
      </c>
      <c r="U10224" t="n">
        <v>0</v>
      </c>
      <c r="V10224" s="2" t="inlineStr"/>
    </row>
    <row r="10225" ht="15" customHeight="1">
      <c r="A10225" t="inlineStr">
        <is>
          <t>A 39279-2026</t>
        </is>
      </c>
      <c r="B10225" t="inlineStr">
        <is>
          <t>avverkningsanmälan</t>
        </is>
      </c>
      <c r="C10225" t="inlineStr">
        <is>
          <t>Föryngringsavverkning</t>
        </is>
      </c>
      <c r="D10225" s="1" t="n">
        <v>46288</v>
      </c>
      <c r="E10225" s="1" t="n">
        <v>46307</v>
      </c>
      <c r="F10225" t="inlineStr">
        <is>
          <t>VÄRMLANDS LÄN</t>
        </is>
      </c>
      <c r="G10225" t="inlineStr">
        <is>
          <t>TORSBY</t>
        </is>
      </c>
      <c r="H10225" t="inlineStr">
        <is>
          <t>Kyrkan</t>
        </is>
      </c>
      <c r="I10225" t="n">
        <v>1.7</v>
      </c>
      <c r="J10225" t="n">
        <v>0</v>
      </c>
      <c r="K10225" t="n">
        <v>0</v>
      </c>
      <c r="L10225" t="n">
        <v>0</v>
      </c>
      <c r="M10225" t="n">
        <v>0</v>
      </c>
      <c r="N10225" t="n">
        <v>0</v>
      </c>
      <c r="O10225" t="n">
        <v>0</v>
      </c>
      <c r="P10225" t="n">
        <v>0</v>
      </c>
      <c r="Q10225" t="n">
        <v>0</v>
      </c>
      <c r="R10225" t="n">
        <v>0</v>
      </c>
      <c r="S10225" t="n">
        <v>0</v>
      </c>
      <c r="T10225" t="n">
        <v>0</v>
      </c>
      <c r="U10225" t="n">
        <v>0</v>
      </c>
      <c r="V10225" s="2" t="inlineStr"/>
    </row>
    <row r="10226" ht="15" customHeight="1">
      <c r="A10226" t="inlineStr">
        <is>
          <t>A 39026-2026</t>
        </is>
      </c>
      <c r="B10226" t="inlineStr">
        <is>
          <t>avverkningsanmälan</t>
        </is>
      </c>
      <c r="C10226" t="inlineStr">
        <is>
          <t>Föryngringsavverkning</t>
        </is>
      </c>
      <c r="D10226" s="1" t="n">
        <v>46287</v>
      </c>
      <c r="E10226" s="1" t="n">
        <v>46307</v>
      </c>
      <c r="F10226" t="inlineStr">
        <is>
          <t>VÄRMLANDS LÄN</t>
        </is>
      </c>
      <c r="G10226" t="inlineStr">
        <is>
          <t>ARVIKA</t>
        </is>
      </c>
      <c r="H10226" t="inlineStr">
        <is>
          <t>Bergvik skog väst AB</t>
        </is>
      </c>
      <c r="I10226" t="n">
        <v>0.8</v>
      </c>
      <c r="J10226" t="n">
        <v>0</v>
      </c>
      <c r="K10226" t="n">
        <v>0</v>
      </c>
      <c r="L10226" t="n">
        <v>0</v>
      </c>
      <c r="M10226" t="n">
        <v>0</v>
      </c>
      <c r="N10226" t="n">
        <v>0</v>
      </c>
      <c r="O10226" t="n">
        <v>0</v>
      </c>
      <c r="P10226" t="n">
        <v>0</v>
      </c>
      <c r="Q10226" t="n">
        <v>0</v>
      </c>
      <c r="R10226" t="n">
        <v>0</v>
      </c>
      <c r="S10226" t="n">
        <v>0</v>
      </c>
      <c r="T10226" t="n">
        <v>0</v>
      </c>
      <c r="U10226" t="n">
        <v>0</v>
      </c>
      <c r="V10226" s="2" t="inlineStr"/>
    </row>
    <row r="10227" ht="15" customHeight="1">
      <c r="A10227" t="inlineStr">
        <is>
          <t>A 43341-2025</t>
        </is>
      </c>
      <c r="B10227" t="inlineStr">
        <is>
          <t>avverkningsanmälan</t>
        </is>
      </c>
      <c r="C10227" t="inlineStr">
        <is>
          <t>Föryngringsavverkning</t>
        </is>
      </c>
      <c r="D10227" s="1" t="n">
        <v>45910</v>
      </c>
      <c r="E10227" s="1" t="n">
        <v>46307</v>
      </c>
      <c r="F10227" t="inlineStr">
        <is>
          <t>VÄRMLANDS LÄN</t>
        </is>
      </c>
      <c r="G10227" t="inlineStr">
        <is>
          <t>SÄFFLE</t>
        </is>
      </c>
      <c r="I10227" t="n">
        <v>1.9</v>
      </c>
      <c r="J10227" t="n">
        <v>0</v>
      </c>
      <c r="K10227" t="n">
        <v>0</v>
      </c>
      <c r="L10227" t="n">
        <v>0</v>
      </c>
      <c r="M10227" t="n">
        <v>0</v>
      </c>
      <c r="N10227" t="n">
        <v>0</v>
      </c>
      <c r="O10227" t="n">
        <v>0</v>
      </c>
      <c r="P10227" t="n">
        <v>0</v>
      </c>
      <c r="Q10227" t="n">
        <v>0</v>
      </c>
      <c r="R10227" t="n">
        <v>0</v>
      </c>
      <c r="S10227" t="n">
        <v>0</v>
      </c>
      <c r="T10227" t="n">
        <v>0</v>
      </c>
      <c r="U10227" t="n">
        <v>0</v>
      </c>
      <c r="V10227" s="2" t="inlineStr"/>
    </row>
    <row r="10228" ht="15" customHeight="1">
      <c r="A10228" t="inlineStr">
        <is>
          <t>A 33037-2026</t>
        </is>
      </c>
      <c r="B10228" t="inlineStr">
        <is>
          <t>avverkningsanmälan</t>
        </is>
      </c>
      <c r="C10228" t="inlineStr">
        <is>
          <t>Föryngringsavverkning</t>
        </is>
      </c>
      <c r="D10228" s="1" t="n">
        <v>46245</v>
      </c>
      <c r="E10228" s="1" t="n">
        <v>46307</v>
      </c>
      <c r="F10228" t="inlineStr">
        <is>
          <t>VÄRMLANDS LÄN</t>
        </is>
      </c>
      <c r="G10228" t="inlineStr">
        <is>
          <t>KIL</t>
        </is>
      </c>
      <c r="I10228" t="n">
        <v>5.4</v>
      </c>
      <c r="J10228" t="n">
        <v>0</v>
      </c>
      <c r="K10228" t="n">
        <v>0</v>
      </c>
      <c r="L10228" t="n">
        <v>0</v>
      </c>
      <c r="M10228" t="n">
        <v>0</v>
      </c>
      <c r="N10228" t="n">
        <v>0</v>
      </c>
      <c r="O10228" t="n">
        <v>0</v>
      </c>
      <c r="P10228" t="n">
        <v>0</v>
      </c>
      <c r="Q10228" t="n">
        <v>0</v>
      </c>
      <c r="R10228" t="n">
        <v>0</v>
      </c>
      <c r="S10228" t="n">
        <v>0</v>
      </c>
      <c r="T10228" t="n">
        <v>0</v>
      </c>
      <c r="U10228" t="n">
        <v>0</v>
      </c>
      <c r="V10228" s="2" t="inlineStr"/>
    </row>
    <row r="10229" ht="15" customHeight="1">
      <c r="A10229" t="inlineStr">
        <is>
          <t>A 33073-2026</t>
        </is>
      </c>
      <c r="B10229" t="inlineStr">
        <is>
          <t>avverkningsanmälan</t>
        </is>
      </c>
      <c r="C10229" t="inlineStr">
        <is>
          <t>Föryngringsavverkning</t>
        </is>
      </c>
      <c r="D10229" s="1" t="n">
        <v>46245</v>
      </c>
      <c r="E10229" s="1" t="n">
        <v>46307</v>
      </c>
      <c r="F10229" t="inlineStr">
        <is>
          <t>VÄRMLANDS LÄN</t>
        </is>
      </c>
      <c r="G10229" t="inlineStr">
        <is>
          <t>HAGFORS</t>
        </is>
      </c>
      <c r="I10229" t="n">
        <v>2.3</v>
      </c>
      <c r="J10229" t="n">
        <v>0</v>
      </c>
      <c r="K10229" t="n">
        <v>0</v>
      </c>
      <c r="L10229" t="n">
        <v>0</v>
      </c>
      <c r="M10229" t="n">
        <v>0</v>
      </c>
      <c r="N10229" t="n">
        <v>0</v>
      </c>
      <c r="O10229" t="n">
        <v>0</v>
      </c>
      <c r="P10229" t="n">
        <v>0</v>
      </c>
      <c r="Q10229" t="n">
        <v>0</v>
      </c>
      <c r="R10229" t="n">
        <v>0</v>
      </c>
      <c r="S10229" t="n">
        <v>0</v>
      </c>
      <c r="T10229" t="n">
        <v>0</v>
      </c>
      <c r="U10229" t="n">
        <v>0</v>
      </c>
      <c r="V10229" s="2" t="inlineStr"/>
    </row>
    <row r="10230" ht="15" customHeight="1">
      <c r="A10230" t="inlineStr">
        <is>
          <t>A 28564-2026</t>
        </is>
      </c>
      <c r="B10230" t="inlineStr">
        <is>
          <t>avverkningsanmälan</t>
        </is>
      </c>
      <c r="C10230" t="inlineStr">
        <is>
          <t>Föryngringsavverkning</t>
        </is>
      </c>
      <c r="D10230" s="1" t="n">
        <v>46197</v>
      </c>
      <c r="E10230" s="1" t="n">
        <v>46307</v>
      </c>
      <c r="F10230" t="inlineStr">
        <is>
          <t>VÄRMLANDS LÄN</t>
        </is>
      </c>
      <c r="G10230" t="inlineStr">
        <is>
          <t>SUNNE</t>
        </is>
      </c>
      <c r="I10230" t="n">
        <v>1.8</v>
      </c>
      <c r="J10230" t="n">
        <v>0</v>
      </c>
      <c r="K10230" t="n">
        <v>0</v>
      </c>
      <c r="L10230" t="n">
        <v>0</v>
      </c>
      <c r="M10230" t="n">
        <v>0</v>
      </c>
      <c r="N10230" t="n">
        <v>0</v>
      </c>
      <c r="O10230" t="n">
        <v>0</v>
      </c>
      <c r="P10230" t="n">
        <v>0</v>
      </c>
      <c r="Q10230" t="n">
        <v>0</v>
      </c>
      <c r="R10230" t="n">
        <v>0</v>
      </c>
      <c r="S10230" t="n">
        <v>0</v>
      </c>
      <c r="T10230" t="n">
        <v>0</v>
      </c>
      <c r="U10230" t="n">
        <v>0</v>
      </c>
      <c r="V10230" s="2" t="inlineStr"/>
    </row>
    <row r="10231" ht="15" customHeight="1">
      <c r="A10231" t="inlineStr">
        <is>
          <t>A 40363-2025</t>
        </is>
      </c>
      <c r="B10231" t="inlineStr">
        <is>
          <t>avverkningsanmälan</t>
        </is>
      </c>
      <c r="C10231" t="inlineStr">
        <is>
          <t>Föryngringsavverkning</t>
        </is>
      </c>
      <c r="D10231" s="1" t="n">
        <v>45895</v>
      </c>
      <c r="E10231" s="1" t="n">
        <v>46307</v>
      </c>
      <c r="F10231" t="inlineStr">
        <is>
          <t>VÄRMLANDS LÄN</t>
        </is>
      </c>
      <c r="G10231" t="inlineStr">
        <is>
          <t>SÄFFLE</t>
        </is>
      </c>
      <c r="I10231" t="n">
        <v>0.7</v>
      </c>
      <c r="J10231" t="n">
        <v>0</v>
      </c>
      <c r="K10231" t="n">
        <v>0</v>
      </c>
      <c r="L10231" t="n">
        <v>0</v>
      </c>
      <c r="M10231" t="n">
        <v>0</v>
      </c>
      <c r="N10231" t="n">
        <v>0</v>
      </c>
      <c r="O10231" t="n">
        <v>0</v>
      </c>
      <c r="P10231" t="n">
        <v>0</v>
      </c>
      <c r="Q10231" t="n">
        <v>0</v>
      </c>
      <c r="R10231" t="n">
        <v>0</v>
      </c>
      <c r="S10231" t="n">
        <v>0</v>
      </c>
      <c r="T10231" t="n">
        <v>0</v>
      </c>
      <c r="U10231" t="n">
        <v>0</v>
      </c>
      <c r="V10231" s="2" t="inlineStr"/>
    </row>
    <row r="10232" ht="15" customHeight="1">
      <c r="A10232" t="inlineStr">
        <is>
          <t>A 33054-2026</t>
        </is>
      </c>
      <c r="B10232" t="inlineStr">
        <is>
          <t>avverkningsanmälan</t>
        </is>
      </c>
      <c r="C10232" t="inlineStr">
        <is>
          <t>Föryngringsavverkning</t>
        </is>
      </c>
      <c r="D10232" s="1" t="n">
        <v>46245</v>
      </c>
      <c r="E10232" s="1" t="n">
        <v>46307</v>
      </c>
      <c r="F10232" t="inlineStr">
        <is>
          <t>VÄRMLANDS LÄN</t>
        </is>
      </c>
      <c r="G10232" t="inlineStr">
        <is>
          <t>FORSHAGA</t>
        </is>
      </c>
      <c r="H10232" t="inlineStr">
        <is>
          <t>Bergvik skog väst AB</t>
        </is>
      </c>
      <c r="I10232" t="n">
        <v>2.5</v>
      </c>
      <c r="J10232" t="n">
        <v>0</v>
      </c>
      <c r="K10232" t="n">
        <v>0</v>
      </c>
      <c r="L10232" t="n">
        <v>0</v>
      </c>
      <c r="M10232" t="n">
        <v>0</v>
      </c>
      <c r="N10232" t="n">
        <v>0</v>
      </c>
      <c r="O10232" t="n">
        <v>0</v>
      </c>
      <c r="P10232" t="n">
        <v>0</v>
      </c>
      <c r="Q10232" t="n">
        <v>0</v>
      </c>
      <c r="R10232" t="n">
        <v>0</v>
      </c>
      <c r="S10232" t="n">
        <v>0</v>
      </c>
      <c r="T10232" t="n">
        <v>0</v>
      </c>
      <c r="U10232" t="n">
        <v>0</v>
      </c>
      <c r="V10232" s="2" t="inlineStr"/>
    </row>
    <row r="10233" ht="15" customHeight="1">
      <c r="A10233" t="inlineStr">
        <is>
          <t>A 33055-2026</t>
        </is>
      </c>
      <c r="B10233" t="inlineStr">
        <is>
          <t>avverkningsanmälan</t>
        </is>
      </c>
      <c r="C10233" t="inlineStr">
        <is>
          <t>Föryngringsavverkning</t>
        </is>
      </c>
      <c r="D10233" s="1" t="n">
        <v>46245</v>
      </c>
      <c r="E10233" s="1" t="n">
        <v>46307</v>
      </c>
      <c r="F10233" t="inlineStr">
        <is>
          <t>VÄRMLANDS LÄN</t>
        </is>
      </c>
      <c r="G10233" t="inlineStr">
        <is>
          <t>FORSHAGA</t>
        </is>
      </c>
      <c r="H10233" t="inlineStr">
        <is>
          <t>Bergvik skog väst AB</t>
        </is>
      </c>
      <c r="I10233" t="n">
        <v>11.8</v>
      </c>
      <c r="J10233" t="n">
        <v>0</v>
      </c>
      <c r="K10233" t="n">
        <v>0</v>
      </c>
      <c r="L10233" t="n">
        <v>0</v>
      </c>
      <c r="M10233" t="n">
        <v>0</v>
      </c>
      <c r="N10233" t="n">
        <v>0</v>
      </c>
      <c r="O10233" t="n">
        <v>0</v>
      </c>
      <c r="P10233" t="n">
        <v>0</v>
      </c>
      <c r="Q10233" t="n">
        <v>0</v>
      </c>
      <c r="R10233" t="n">
        <v>0</v>
      </c>
      <c r="S10233" t="n">
        <v>0</v>
      </c>
      <c r="T10233" t="n">
        <v>0</v>
      </c>
      <c r="U10233" t="n">
        <v>0</v>
      </c>
      <c r="V10233" s="2" t="inlineStr"/>
    </row>
    <row r="10234" ht="15" customHeight="1">
      <c r="A10234" t="inlineStr">
        <is>
          <t>A 33092-2026</t>
        </is>
      </c>
      <c r="B10234" t="inlineStr">
        <is>
          <t>avverkningsanmälan</t>
        </is>
      </c>
      <c r="C10234" t="inlineStr">
        <is>
          <t>Föryngringsavverkning</t>
        </is>
      </c>
      <c r="D10234" s="1" t="n">
        <v>46245</v>
      </c>
      <c r="E10234" s="1" t="n">
        <v>46307</v>
      </c>
      <c r="F10234" t="inlineStr">
        <is>
          <t>VÄRMLANDS LÄN</t>
        </is>
      </c>
      <c r="G10234" t="inlineStr">
        <is>
          <t>FILIPSTAD</t>
        </is>
      </c>
      <c r="I10234" t="n">
        <v>6.4</v>
      </c>
      <c r="J10234" t="n">
        <v>0</v>
      </c>
      <c r="K10234" t="n">
        <v>0</v>
      </c>
      <c r="L10234" t="n">
        <v>0</v>
      </c>
      <c r="M10234" t="n">
        <v>0</v>
      </c>
      <c r="N10234" t="n">
        <v>0</v>
      </c>
      <c r="O10234" t="n">
        <v>0</v>
      </c>
      <c r="P10234" t="n">
        <v>0</v>
      </c>
      <c r="Q10234" t="n">
        <v>0</v>
      </c>
      <c r="R10234" t="n">
        <v>0</v>
      </c>
      <c r="S10234" t="n">
        <v>0</v>
      </c>
      <c r="T10234" t="n">
        <v>0</v>
      </c>
      <c r="U10234" t="n">
        <v>0</v>
      </c>
      <c r="V10234" s="2" t="inlineStr"/>
    </row>
    <row r="10235" ht="15" customHeight="1">
      <c r="A10235" t="inlineStr">
        <is>
          <t>A 33130-2026</t>
        </is>
      </c>
      <c r="B10235" t="inlineStr">
        <is>
          <t>avverkningsanmälan</t>
        </is>
      </c>
      <c r="C10235" t="inlineStr">
        <is>
          <t>Föryngringsavverkning</t>
        </is>
      </c>
      <c r="D10235" s="1" t="n">
        <v>46245</v>
      </c>
      <c r="E10235" s="1" t="n">
        <v>46307</v>
      </c>
      <c r="F10235" t="inlineStr">
        <is>
          <t>VÄRMLANDS LÄN</t>
        </is>
      </c>
      <c r="G10235" t="inlineStr">
        <is>
          <t>FILIPSTAD</t>
        </is>
      </c>
      <c r="H10235" t="inlineStr">
        <is>
          <t>Bergvik skog väst AB</t>
        </is>
      </c>
      <c r="I10235" t="n">
        <v>22.4</v>
      </c>
      <c r="J10235" t="n">
        <v>0</v>
      </c>
      <c r="K10235" t="n">
        <v>0</v>
      </c>
      <c r="L10235" t="n">
        <v>0</v>
      </c>
      <c r="M10235" t="n">
        <v>0</v>
      </c>
      <c r="N10235" t="n">
        <v>0</v>
      </c>
      <c r="O10235" t="n">
        <v>0</v>
      </c>
      <c r="P10235" t="n">
        <v>0</v>
      </c>
      <c r="Q10235" t="n">
        <v>0</v>
      </c>
      <c r="R10235" t="n">
        <v>0</v>
      </c>
      <c r="S10235" t="n">
        <v>0</v>
      </c>
      <c r="T10235" t="n">
        <v>0</v>
      </c>
      <c r="U10235" t="n">
        <v>0</v>
      </c>
      <c r="V10235" s="2" t="inlineStr"/>
    </row>
    <row r="10236" ht="15" customHeight="1">
      <c r="A10236" t="inlineStr">
        <is>
          <t>A 39368-2026</t>
        </is>
      </c>
      <c r="B10236" t="inlineStr">
        <is>
          <t>avverkningsanmälan</t>
        </is>
      </c>
      <c r="C10236" t="inlineStr">
        <is>
          <t>Föryngringsavverkning</t>
        </is>
      </c>
      <c r="D10236" s="1" t="n">
        <v>46288</v>
      </c>
      <c r="E10236" s="1" t="n">
        <v>46307</v>
      </c>
      <c r="F10236" t="inlineStr">
        <is>
          <t>VÄRMLANDS LÄN</t>
        </is>
      </c>
      <c r="G10236" t="inlineStr">
        <is>
          <t>FORSHAGA</t>
        </is>
      </c>
      <c r="I10236" t="n">
        <v>1.5</v>
      </c>
      <c r="J10236" t="n">
        <v>0</v>
      </c>
      <c r="K10236" t="n">
        <v>0</v>
      </c>
      <c r="L10236" t="n">
        <v>0</v>
      </c>
      <c r="M10236" t="n">
        <v>0</v>
      </c>
      <c r="N10236" t="n">
        <v>0</v>
      </c>
      <c r="O10236" t="n">
        <v>0</v>
      </c>
      <c r="P10236" t="n">
        <v>0</v>
      </c>
      <c r="Q10236" t="n">
        <v>0</v>
      </c>
      <c r="R10236" t="n">
        <v>0</v>
      </c>
      <c r="S10236" t="n">
        <v>0</v>
      </c>
      <c r="T10236" t="n">
        <v>0</v>
      </c>
      <c r="U10236" t="n">
        <v>0</v>
      </c>
      <c r="V10236" s="2" t="inlineStr"/>
    </row>
    <row r="10237" ht="15" customHeight="1">
      <c r="A10237" t="inlineStr">
        <is>
          <t>A 32907-2026</t>
        </is>
      </c>
      <c r="B10237" t="inlineStr">
        <is>
          <t>avverkningsanmälan</t>
        </is>
      </c>
      <c r="C10237" t="inlineStr">
        <is>
          <t>Föryngringsavverkning</t>
        </is>
      </c>
      <c r="D10237" s="1" t="n">
        <v>46244</v>
      </c>
      <c r="E10237" s="1" t="n">
        <v>46307</v>
      </c>
      <c r="F10237" t="inlineStr">
        <is>
          <t>VÄRMLANDS LÄN</t>
        </is>
      </c>
      <c r="G10237" t="inlineStr">
        <is>
          <t>SUNNE</t>
        </is>
      </c>
      <c r="I10237" t="n">
        <v>2.6</v>
      </c>
      <c r="J10237" t="n">
        <v>0</v>
      </c>
      <c r="K10237" t="n">
        <v>0</v>
      </c>
      <c r="L10237" t="n">
        <v>0</v>
      </c>
      <c r="M10237" t="n">
        <v>0</v>
      </c>
      <c r="N10237" t="n">
        <v>0</v>
      </c>
      <c r="O10237" t="n">
        <v>0</v>
      </c>
      <c r="P10237" t="n">
        <v>0</v>
      </c>
      <c r="Q10237" t="n">
        <v>0</v>
      </c>
      <c r="R10237" t="n">
        <v>0</v>
      </c>
      <c r="S10237" t="n">
        <v>0</v>
      </c>
      <c r="T10237" t="n">
        <v>0</v>
      </c>
      <c r="U10237" t="n">
        <v>0</v>
      </c>
      <c r="V10237" s="2" t="inlineStr"/>
    </row>
    <row r="10238" ht="15" customHeight="1">
      <c r="A10238" t="inlineStr">
        <is>
          <t>A 6107-2026</t>
        </is>
      </c>
      <c r="B10238" t="inlineStr">
        <is>
          <t>avverkningsanmälan</t>
        </is>
      </c>
      <c r="C10238" t="inlineStr">
        <is>
          <t>Föryngringsavverkning</t>
        </is>
      </c>
      <c r="D10238" s="1" t="n">
        <v>46052</v>
      </c>
      <c r="E10238" s="1" t="n">
        <v>46307</v>
      </c>
      <c r="F10238" t="inlineStr">
        <is>
          <t>VÄRMLANDS LÄN</t>
        </is>
      </c>
      <c r="G10238" t="inlineStr">
        <is>
          <t>EDA</t>
        </is>
      </c>
      <c r="H10238" t="inlineStr">
        <is>
          <t>Kyrkan</t>
        </is>
      </c>
      <c r="I10238" t="n">
        <v>1.8</v>
      </c>
      <c r="J10238" t="n">
        <v>0</v>
      </c>
      <c r="K10238" t="n">
        <v>0</v>
      </c>
      <c r="L10238" t="n">
        <v>0</v>
      </c>
      <c r="M10238" t="n">
        <v>0</v>
      </c>
      <c r="N10238" t="n">
        <v>0</v>
      </c>
      <c r="O10238" t="n">
        <v>0</v>
      </c>
      <c r="P10238" t="n">
        <v>0</v>
      </c>
      <c r="Q10238" t="n">
        <v>0</v>
      </c>
      <c r="R10238" t="n">
        <v>0</v>
      </c>
      <c r="S10238" t="n">
        <v>0</v>
      </c>
      <c r="T10238" t="n">
        <v>0</v>
      </c>
      <c r="U10238" t="n">
        <v>0</v>
      </c>
      <c r="V10238" s="2" t="inlineStr"/>
    </row>
    <row r="10239" ht="15" customHeight="1">
      <c r="A10239" t="inlineStr">
        <is>
          <t>A 53024-2025</t>
        </is>
      </c>
      <c r="B10239" t="inlineStr">
        <is>
          <t>avverkningsanmälan</t>
        </is>
      </c>
      <c r="C10239" t="inlineStr">
        <is>
          <t>Föryngringsavverkning</t>
        </is>
      </c>
      <c r="D10239" s="1" t="n">
        <v>45958</v>
      </c>
      <c r="E10239" s="1" t="n">
        <v>46307</v>
      </c>
      <c r="F10239" t="inlineStr">
        <is>
          <t>VÄRMLANDS LÄN</t>
        </is>
      </c>
      <c r="G10239" t="inlineStr">
        <is>
          <t>ÅRJÄNG</t>
        </is>
      </c>
      <c r="I10239" t="n">
        <v>2.1</v>
      </c>
      <c r="J10239" t="n">
        <v>0</v>
      </c>
      <c r="K10239" t="n">
        <v>0</v>
      </c>
      <c r="L10239" t="n">
        <v>0</v>
      </c>
      <c r="M10239" t="n">
        <v>0</v>
      </c>
      <c r="N10239" t="n">
        <v>0</v>
      </c>
      <c r="O10239" t="n">
        <v>0</v>
      </c>
      <c r="P10239" t="n">
        <v>0</v>
      </c>
      <c r="Q10239" t="n">
        <v>0</v>
      </c>
      <c r="R10239" t="n">
        <v>0</v>
      </c>
      <c r="S10239" t="n">
        <v>0</v>
      </c>
      <c r="T10239" t="n">
        <v>0</v>
      </c>
      <c r="U10239" t="n">
        <v>0</v>
      </c>
      <c r="V10239" s="2" t="inlineStr"/>
    </row>
    <row r="10240" ht="15" customHeight="1">
      <c r="A10240" t="inlineStr">
        <is>
          <t>A 39116-2026</t>
        </is>
      </c>
      <c r="B10240" t="inlineStr">
        <is>
          <t>avverkningsanmälan</t>
        </is>
      </c>
      <c r="C10240" t="inlineStr">
        <is>
          <t>Föryngringsavverkning</t>
        </is>
      </c>
      <c r="D10240" s="1" t="n">
        <v>46287</v>
      </c>
      <c r="E10240" s="1" t="n">
        <v>46307</v>
      </c>
      <c r="F10240" t="inlineStr">
        <is>
          <t>VÄRMLANDS LÄN</t>
        </is>
      </c>
      <c r="G10240" t="inlineStr">
        <is>
          <t>HAGFORS</t>
        </is>
      </c>
      <c r="H10240" t="inlineStr">
        <is>
          <t>Bergvik skog väst AB</t>
        </is>
      </c>
      <c r="I10240" t="n">
        <v>13.3</v>
      </c>
      <c r="J10240" t="n">
        <v>0</v>
      </c>
      <c r="K10240" t="n">
        <v>0</v>
      </c>
      <c r="L10240" t="n">
        <v>0</v>
      </c>
      <c r="M10240" t="n">
        <v>0</v>
      </c>
      <c r="N10240" t="n">
        <v>0</v>
      </c>
      <c r="O10240" t="n">
        <v>0</v>
      </c>
      <c r="P10240" t="n">
        <v>0</v>
      </c>
      <c r="Q10240" t="n">
        <v>0</v>
      </c>
      <c r="R10240" t="n">
        <v>0</v>
      </c>
      <c r="S10240" t="n">
        <v>0</v>
      </c>
      <c r="T10240" t="n">
        <v>0</v>
      </c>
      <c r="U10240" t="n">
        <v>0</v>
      </c>
      <c r="V10240" s="2" t="inlineStr"/>
    </row>
    <row r="10241" ht="15" customHeight="1">
      <c r="A10241" t="inlineStr">
        <is>
          <t>A 33132-2026</t>
        </is>
      </c>
      <c r="B10241" t="inlineStr">
        <is>
          <t>avverkningsanmälan</t>
        </is>
      </c>
      <c r="C10241" t="inlineStr">
        <is>
          <t>Föryngringsavverkning</t>
        </is>
      </c>
      <c r="D10241" s="1" t="n">
        <v>46245</v>
      </c>
      <c r="E10241" s="1" t="n">
        <v>46307</v>
      </c>
      <c r="F10241" t="inlineStr">
        <is>
          <t>VÄRMLANDS LÄN</t>
        </is>
      </c>
      <c r="G10241" t="inlineStr">
        <is>
          <t>TORSBY</t>
        </is>
      </c>
      <c r="I10241" t="n">
        <v>4.8</v>
      </c>
      <c r="J10241" t="n">
        <v>0</v>
      </c>
      <c r="K10241" t="n">
        <v>0</v>
      </c>
      <c r="L10241" t="n">
        <v>0</v>
      </c>
      <c r="M10241" t="n">
        <v>0</v>
      </c>
      <c r="N10241" t="n">
        <v>0</v>
      </c>
      <c r="O10241" t="n">
        <v>0</v>
      </c>
      <c r="P10241" t="n">
        <v>0</v>
      </c>
      <c r="Q10241" t="n">
        <v>0</v>
      </c>
      <c r="R10241" t="n">
        <v>0</v>
      </c>
      <c r="S10241" t="n">
        <v>0</v>
      </c>
      <c r="T10241" t="n">
        <v>0</v>
      </c>
      <c r="U10241" t="n">
        <v>0</v>
      </c>
      <c r="V10241" s="2" t="inlineStr"/>
    </row>
    <row r="10242" ht="15" customHeight="1">
      <c r="A10242" t="inlineStr">
        <is>
          <t>A 60467-2022</t>
        </is>
      </c>
      <c r="B10242" t="inlineStr">
        <is>
          <t>avverkningsanmälan</t>
        </is>
      </c>
      <c r="C10242" t="inlineStr">
        <is>
          <t>Föryngringsavverkning</t>
        </is>
      </c>
      <c r="D10242" s="1" t="n">
        <v>44911</v>
      </c>
      <c r="E10242" s="1" t="n">
        <v>46307</v>
      </c>
      <c r="F10242" t="inlineStr">
        <is>
          <t>VÄRMLANDS LÄN</t>
        </is>
      </c>
      <c r="G10242" t="inlineStr">
        <is>
          <t>EDA</t>
        </is>
      </c>
      <c r="I10242" t="n">
        <v>9.9</v>
      </c>
      <c r="J10242" t="n">
        <v>0</v>
      </c>
      <c r="K10242" t="n">
        <v>0</v>
      </c>
      <c r="L10242" t="n">
        <v>0</v>
      </c>
      <c r="M10242" t="n">
        <v>0</v>
      </c>
      <c r="N10242" t="n">
        <v>0</v>
      </c>
      <c r="O10242" t="n">
        <v>0</v>
      </c>
      <c r="P10242" t="n">
        <v>0</v>
      </c>
      <c r="Q10242" t="n">
        <v>0</v>
      </c>
      <c r="R10242" t="n">
        <v>0</v>
      </c>
      <c r="S10242" t="n">
        <v>0</v>
      </c>
      <c r="T10242" t="n">
        <v>0</v>
      </c>
      <c r="U10242" t="n">
        <v>0</v>
      </c>
      <c r="V10242" s="2" t="inlineStr"/>
    </row>
    <row r="10243" ht="15" customHeight="1">
      <c r="A10243" t="inlineStr">
        <is>
          <t>A 60467-2022</t>
        </is>
      </c>
      <c r="B10243" t="inlineStr">
        <is>
          <t>avverkningsanmälan</t>
        </is>
      </c>
      <c r="C10243" t="inlineStr">
        <is>
          <t>Föryngringsavverkning</t>
        </is>
      </c>
      <c r="D10243" s="1" t="n">
        <v>44911</v>
      </c>
      <c r="E10243" s="1" t="n">
        <v>46307</v>
      </c>
      <c r="F10243" t="inlineStr">
        <is>
          <t>VÄRMLANDS LÄN</t>
        </is>
      </c>
      <c r="G10243" t="inlineStr">
        <is>
          <t>EDA</t>
        </is>
      </c>
      <c r="I10243" t="n">
        <v>9.9</v>
      </c>
      <c r="J10243" t="n">
        <v>0</v>
      </c>
      <c r="K10243" t="n">
        <v>0</v>
      </c>
      <c r="L10243" t="n">
        <v>0</v>
      </c>
      <c r="M10243" t="n">
        <v>0</v>
      </c>
      <c r="N10243" t="n">
        <v>0</v>
      </c>
      <c r="O10243" t="n">
        <v>0</v>
      </c>
      <c r="P10243" t="n">
        <v>0</v>
      </c>
      <c r="Q10243" t="n">
        <v>0</v>
      </c>
      <c r="R10243" t="n">
        <v>0</v>
      </c>
      <c r="S10243" t="n">
        <v>0</v>
      </c>
      <c r="T10243" t="n">
        <v>0</v>
      </c>
      <c r="U10243" t="n">
        <v>0</v>
      </c>
      <c r="V10243" s="2" t="inlineStr"/>
    </row>
    <row r="10244" ht="15" customHeight="1">
      <c r="A10244" t="inlineStr">
        <is>
          <t>A 39406-2026</t>
        </is>
      </c>
      <c r="B10244" t="inlineStr">
        <is>
          <t>avverkningsanmälan</t>
        </is>
      </c>
      <c r="C10244" t="inlineStr">
        <is>
          <t>Föryngringsavverkning</t>
        </is>
      </c>
      <c r="D10244" s="1" t="n">
        <v>46288</v>
      </c>
      <c r="E10244" s="1" t="n">
        <v>46307</v>
      </c>
      <c r="F10244" t="inlineStr">
        <is>
          <t>VÄRMLANDS LÄN</t>
        </is>
      </c>
      <c r="G10244" t="inlineStr">
        <is>
          <t>TORSBY</t>
        </is>
      </c>
      <c r="H10244" t="inlineStr">
        <is>
          <t>Bergvik skog väst AB</t>
        </is>
      </c>
      <c r="I10244" t="n">
        <v>6.7</v>
      </c>
      <c r="J10244" t="n">
        <v>0</v>
      </c>
      <c r="K10244" t="n">
        <v>0</v>
      </c>
      <c r="L10244" t="n">
        <v>0</v>
      </c>
      <c r="M10244" t="n">
        <v>0</v>
      </c>
      <c r="N10244" t="n">
        <v>0</v>
      </c>
      <c r="O10244" t="n">
        <v>0</v>
      </c>
      <c r="P10244" t="n">
        <v>0</v>
      </c>
      <c r="Q10244" t="n">
        <v>0</v>
      </c>
      <c r="R10244" t="n">
        <v>0</v>
      </c>
      <c r="S10244" t="n">
        <v>0</v>
      </c>
      <c r="T10244" t="n">
        <v>0</v>
      </c>
      <c r="U10244" t="n">
        <v>0</v>
      </c>
      <c r="V10244" s="2" t="inlineStr"/>
    </row>
    <row r="10245" ht="15" customHeight="1">
      <c r="A10245" t="inlineStr">
        <is>
          <t>A 57161-2024</t>
        </is>
      </c>
      <c r="B10245" t="inlineStr">
        <is>
          <t>avverkningsanmälan</t>
        </is>
      </c>
      <c r="C10245" t="inlineStr">
        <is>
          <t>Föryngringsavverkning</t>
        </is>
      </c>
      <c r="D10245" s="1" t="n">
        <v>45628</v>
      </c>
      <c r="E10245" s="1" t="n">
        <v>46307</v>
      </c>
      <c r="F10245" t="inlineStr">
        <is>
          <t>VÄRMLANDS LÄN</t>
        </is>
      </c>
      <c r="G10245" t="inlineStr">
        <is>
          <t>ÅRJÄNG</t>
        </is>
      </c>
      <c r="I10245" t="n">
        <v>0.9</v>
      </c>
      <c r="J10245" t="n">
        <v>0</v>
      </c>
      <c r="K10245" t="n">
        <v>0</v>
      </c>
      <c r="L10245" t="n">
        <v>0</v>
      </c>
      <c r="M10245" t="n">
        <v>0</v>
      </c>
      <c r="N10245" t="n">
        <v>0</v>
      </c>
      <c r="O10245" t="n">
        <v>0</v>
      </c>
      <c r="P10245" t="n">
        <v>0</v>
      </c>
      <c r="Q10245" t="n">
        <v>0</v>
      </c>
      <c r="R10245" t="n">
        <v>0</v>
      </c>
      <c r="S10245" t="n">
        <v>0</v>
      </c>
      <c r="T10245" t="n">
        <v>0</v>
      </c>
      <c r="U10245" t="n">
        <v>0</v>
      </c>
      <c r="V10245" s="2" t="inlineStr"/>
    </row>
    <row r="10246" ht="15" customHeight="1">
      <c r="A10246" t="inlineStr">
        <is>
          <t>A 58301-2025</t>
        </is>
      </c>
      <c r="B10246" t="inlineStr">
        <is>
          <t>avverkningsanmälan</t>
        </is>
      </c>
      <c r="C10246" t="inlineStr">
        <is>
          <t>Föryngringsavverkning</t>
        </is>
      </c>
      <c r="D10246" s="1" t="n">
        <v>45985</v>
      </c>
      <c r="E10246" s="1" t="n">
        <v>46307</v>
      </c>
      <c r="F10246" t="inlineStr">
        <is>
          <t>VÄRMLANDS LÄN</t>
        </is>
      </c>
      <c r="G10246" t="inlineStr">
        <is>
          <t>SUNNE</t>
        </is>
      </c>
      <c r="I10246" t="n">
        <v>2.4</v>
      </c>
      <c r="J10246" t="n">
        <v>0</v>
      </c>
      <c r="K10246" t="n">
        <v>0</v>
      </c>
      <c r="L10246" t="n">
        <v>0</v>
      </c>
      <c r="M10246" t="n">
        <v>0</v>
      </c>
      <c r="N10246" t="n">
        <v>0</v>
      </c>
      <c r="O10246" t="n">
        <v>0</v>
      </c>
      <c r="P10246" t="n">
        <v>0</v>
      </c>
      <c r="Q10246" t="n">
        <v>0</v>
      </c>
      <c r="R10246" t="n">
        <v>0</v>
      </c>
      <c r="S10246" t="n">
        <v>0</v>
      </c>
      <c r="T10246" t="n">
        <v>0</v>
      </c>
      <c r="U10246" t="n">
        <v>0</v>
      </c>
      <c r="V10246" s="2" t="inlineStr"/>
    </row>
    <row r="10247" ht="15" customHeight="1">
      <c r="A10247" t="inlineStr">
        <is>
          <t>A 39297-2026</t>
        </is>
      </c>
      <c r="B10247" t="inlineStr">
        <is>
          <t>avverkningsanmälan</t>
        </is>
      </c>
      <c r="C10247" t="inlineStr">
        <is>
          <t>Föryngringsavverkning</t>
        </is>
      </c>
      <c r="D10247" s="1" t="n">
        <v>46288</v>
      </c>
      <c r="E10247" s="1" t="n">
        <v>46307</v>
      </c>
      <c r="F10247" t="inlineStr">
        <is>
          <t>VÄRMLANDS LÄN</t>
        </is>
      </c>
      <c r="G10247" t="inlineStr">
        <is>
          <t>ÅRJÄNG</t>
        </is>
      </c>
      <c r="I10247" t="n">
        <v>3.7</v>
      </c>
      <c r="J10247" t="n">
        <v>0</v>
      </c>
      <c r="K10247" t="n">
        <v>0</v>
      </c>
      <c r="L10247" t="n">
        <v>0</v>
      </c>
      <c r="M10247" t="n">
        <v>0</v>
      </c>
      <c r="N10247" t="n">
        <v>0</v>
      </c>
      <c r="O10247" t="n">
        <v>0</v>
      </c>
      <c r="P10247" t="n">
        <v>0</v>
      </c>
      <c r="Q10247" t="n">
        <v>0</v>
      </c>
      <c r="R10247" t="n">
        <v>0</v>
      </c>
      <c r="S10247" t="n">
        <v>0</v>
      </c>
      <c r="T10247" t="n">
        <v>0</v>
      </c>
      <c r="U10247" t="n">
        <v>0</v>
      </c>
      <c r="V10247" s="2" t="inlineStr"/>
    </row>
    <row r="10248" ht="15" customHeight="1">
      <c r="A10248" t="inlineStr">
        <is>
          <t>A 39069-2026</t>
        </is>
      </c>
      <c r="B10248" t="inlineStr">
        <is>
          <t>avverkningsanmälan</t>
        </is>
      </c>
      <c r="C10248" t="inlineStr">
        <is>
          <t>Föryngringsavverkning</t>
        </is>
      </c>
      <c r="D10248" s="1" t="n">
        <v>46287</v>
      </c>
      <c r="E10248" s="1" t="n">
        <v>46307</v>
      </c>
      <c r="F10248" t="inlineStr">
        <is>
          <t>VÄRMLANDS LÄN</t>
        </is>
      </c>
      <c r="G10248" t="inlineStr">
        <is>
          <t>MUNKFORS</t>
        </is>
      </c>
      <c r="H10248" t="inlineStr">
        <is>
          <t>Bergvik skog väst AB</t>
        </is>
      </c>
      <c r="I10248" t="n">
        <v>1.5</v>
      </c>
      <c r="J10248" t="n">
        <v>0</v>
      </c>
      <c r="K10248" t="n">
        <v>0</v>
      </c>
      <c r="L10248" t="n">
        <v>0</v>
      </c>
      <c r="M10248" t="n">
        <v>0</v>
      </c>
      <c r="N10248" t="n">
        <v>0</v>
      </c>
      <c r="O10248" t="n">
        <v>0</v>
      </c>
      <c r="P10248" t="n">
        <v>0</v>
      </c>
      <c r="Q10248" t="n">
        <v>0</v>
      </c>
      <c r="R10248" t="n">
        <v>0</v>
      </c>
      <c r="S10248" t="n">
        <v>0</v>
      </c>
      <c r="T10248" t="n">
        <v>0</v>
      </c>
      <c r="U10248" t="n">
        <v>0</v>
      </c>
      <c r="V10248" s="2" t="inlineStr"/>
    </row>
    <row r="10249" ht="15" customHeight="1">
      <c r="A10249" t="inlineStr">
        <is>
          <t>A 18892-2026</t>
        </is>
      </c>
      <c r="B10249" t="inlineStr">
        <is>
          <t>avverkningsanmälan</t>
        </is>
      </c>
      <c r="C10249" t="inlineStr">
        <is>
          <t>Föryngringsavverkning</t>
        </is>
      </c>
      <c r="D10249" s="1" t="n">
        <v>46129</v>
      </c>
      <c r="E10249" s="1" t="n">
        <v>46307</v>
      </c>
      <c r="F10249" t="inlineStr">
        <is>
          <t>VÄRMLANDS LÄN</t>
        </is>
      </c>
      <c r="G10249" t="inlineStr">
        <is>
          <t>FILIPSTAD</t>
        </is>
      </c>
      <c r="H10249" t="inlineStr">
        <is>
          <t>Bergvik skog väst AB</t>
        </is>
      </c>
      <c r="I10249" t="n">
        <v>24.9</v>
      </c>
      <c r="J10249" t="n">
        <v>0</v>
      </c>
      <c r="K10249" t="n">
        <v>0</v>
      </c>
      <c r="L10249" t="n">
        <v>0</v>
      </c>
      <c r="M10249" t="n">
        <v>0</v>
      </c>
      <c r="N10249" t="n">
        <v>0</v>
      </c>
      <c r="O10249" t="n">
        <v>0</v>
      </c>
      <c r="P10249" t="n">
        <v>0</v>
      </c>
      <c r="Q10249" t="n">
        <v>0</v>
      </c>
      <c r="R10249" t="n">
        <v>0</v>
      </c>
      <c r="S10249" t="n">
        <v>0</v>
      </c>
      <c r="T10249" t="n">
        <v>0</v>
      </c>
      <c r="U10249" t="n">
        <v>0</v>
      </c>
      <c r="V10249" s="2" t="inlineStr"/>
    </row>
    <row r="10250" ht="15" customHeight="1">
      <c r="A10250" t="inlineStr">
        <is>
          <t>A 22541-2026</t>
        </is>
      </c>
      <c r="B10250" t="inlineStr">
        <is>
          <t>avverkningsanmälan</t>
        </is>
      </c>
      <c r="C10250" t="inlineStr">
        <is>
          <t>Föryngringsavverkning</t>
        </is>
      </c>
      <c r="D10250" s="1" t="n">
        <v>46155</v>
      </c>
      <c r="E10250" s="1" t="n">
        <v>46307</v>
      </c>
      <c r="F10250" t="inlineStr">
        <is>
          <t>VÄRMLANDS LÄN</t>
        </is>
      </c>
      <c r="G10250" t="inlineStr">
        <is>
          <t>TORSBY</t>
        </is>
      </c>
      <c r="H10250" t="inlineStr">
        <is>
          <t>Bergvik skog väst AB</t>
        </is>
      </c>
      <c r="I10250" t="n">
        <v>19.8</v>
      </c>
      <c r="J10250" t="n">
        <v>0</v>
      </c>
      <c r="K10250" t="n">
        <v>0</v>
      </c>
      <c r="L10250" t="n">
        <v>0</v>
      </c>
      <c r="M10250" t="n">
        <v>0</v>
      </c>
      <c r="N10250" t="n">
        <v>0</v>
      </c>
      <c r="O10250" t="n">
        <v>0</v>
      </c>
      <c r="P10250" t="n">
        <v>0</v>
      </c>
      <c r="Q10250" t="n">
        <v>0</v>
      </c>
      <c r="R10250" t="n">
        <v>0</v>
      </c>
      <c r="S10250" t="n">
        <v>0</v>
      </c>
      <c r="T10250" t="n">
        <v>0</v>
      </c>
      <c r="U10250" t="n">
        <v>0</v>
      </c>
      <c r="V10250" s="2" t="inlineStr"/>
    </row>
    <row r="10251" ht="15" customHeight="1">
      <c r="A10251" t="inlineStr">
        <is>
          <t>A 28889-2026</t>
        </is>
      </c>
      <c r="B10251" t="inlineStr">
        <is>
          <t>avverkningsanmälan</t>
        </is>
      </c>
      <c r="C10251" t="inlineStr">
        <is>
          <t>Föryngringsavverkning</t>
        </is>
      </c>
      <c r="D10251" s="1" t="n">
        <v>46199</v>
      </c>
      <c r="E10251" s="1" t="n">
        <v>46307</v>
      </c>
      <c r="F10251" t="inlineStr">
        <is>
          <t>VÄRMLANDS LÄN</t>
        </is>
      </c>
      <c r="G10251" t="inlineStr">
        <is>
          <t>EDA</t>
        </is>
      </c>
      <c r="I10251" t="n">
        <v>1.3</v>
      </c>
      <c r="J10251" t="n">
        <v>0</v>
      </c>
      <c r="K10251" t="n">
        <v>0</v>
      </c>
      <c r="L10251" t="n">
        <v>0</v>
      </c>
      <c r="M10251" t="n">
        <v>0</v>
      </c>
      <c r="N10251" t="n">
        <v>0</v>
      </c>
      <c r="O10251" t="n">
        <v>0</v>
      </c>
      <c r="P10251" t="n">
        <v>0</v>
      </c>
      <c r="Q10251" t="n">
        <v>0</v>
      </c>
      <c r="R10251" t="n">
        <v>0</v>
      </c>
      <c r="S10251" t="n">
        <v>0</v>
      </c>
      <c r="T10251" t="n">
        <v>0</v>
      </c>
      <c r="U10251" t="n">
        <v>0</v>
      </c>
      <c r="V10251" s="2" t="inlineStr"/>
    </row>
    <row r="10252" ht="15" customHeight="1">
      <c r="A10252" t="inlineStr">
        <is>
          <t>A 33162-2026</t>
        </is>
      </c>
      <c r="B10252" t="inlineStr">
        <is>
          <t>avverkningsanmälan</t>
        </is>
      </c>
      <c r="C10252" t="inlineStr">
        <is>
          <t>Avverkning för annat ändamål</t>
        </is>
      </c>
      <c r="D10252" s="1" t="n">
        <v>46245</v>
      </c>
      <c r="E10252" s="1" t="n">
        <v>46307</v>
      </c>
      <c r="F10252" t="inlineStr">
        <is>
          <t>VÄRMLANDS LÄN</t>
        </is>
      </c>
      <c r="G10252" t="inlineStr">
        <is>
          <t>EDA</t>
        </is>
      </c>
      <c r="I10252" t="n">
        <v>0.2</v>
      </c>
      <c r="J10252" t="n">
        <v>0</v>
      </c>
      <c r="K10252" t="n">
        <v>0</v>
      </c>
      <c r="L10252" t="n">
        <v>0</v>
      </c>
      <c r="M10252" t="n">
        <v>0</v>
      </c>
      <c r="N10252" t="n">
        <v>0</v>
      </c>
      <c r="O10252" t="n">
        <v>0</v>
      </c>
      <c r="P10252" t="n">
        <v>0</v>
      </c>
      <c r="Q10252" t="n">
        <v>0</v>
      </c>
      <c r="R10252" t="n">
        <v>0</v>
      </c>
      <c r="S10252" t="n">
        <v>0</v>
      </c>
      <c r="T10252" t="n">
        <v>0</v>
      </c>
      <c r="U10252" t="n">
        <v>0</v>
      </c>
      <c r="V10252" s="2" t="inlineStr"/>
    </row>
    <row r="10253" ht="15" customHeight="1">
      <c r="A10253" t="inlineStr">
        <is>
          <t>A 39313-2026</t>
        </is>
      </c>
      <c r="B10253" t="inlineStr">
        <is>
          <t>avverkningsanmälan</t>
        </is>
      </c>
      <c r="C10253" t="inlineStr">
        <is>
          <t>Föryngringsavverkning</t>
        </is>
      </c>
      <c r="D10253" s="1" t="n">
        <v>46288</v>
      </c>
      <c r="E10253" s="1" t="n">
        <v>46307</v>
      </c>
      <c r="F10253" t="inlineStr">
        <is>
          <t>VÄRMLANDS LÄN</t>
        </is>
      </c>
      <c r="G10253" t="inlineStr">
        <is>
          <t>ARVIKA</t>
        </is>
      </c>
      <c r="H10253" t="inlineStr">
        <is>
          <t>Bergvik skog väst AB</t>
        </is>
      </c>
      <c r="I10253" t="n">
        <v>10.9</v>
      </c>
      <c r="J10253" t="n">
        <v>0</v>
      </c>
      <c r="K10253" t="n">
        <v>0</v>
      </c>
      <c r="L10253" t="n">
        <v>0</v>
      </c>
      <c r="M10253" t="n">
        <v>0</v>
      </c>
      <c r="N10253" t="n">
        <v>0</v>
      </c>
      <c r="O10253" t="n">
        <v>0</v>
      </c>
      <c r="P10253" t="n">
        <v>0</v>
      </c>
      <c r="Q10253" t="n">
        <v>0</v>
      </c>
      <c r="R10253" t="n">
        <v>0</v>
      </c>
      <c r="S10253" t="n">
        <v>0</v>
      </c>
      <c r="T10253" t="n">
        <v>0</v>
      </c>
      <c r="U10253" t="n">
        <v>0</v>
      </c>
      <c r="V10253" s="2" t="inlineStr"/>
    </row>
    <row r="10254" ht="15" customHeight="1">
      <c r="A10254" t="inlineStr">
        <is>
          <t>A 39345-2026</t>
        </is>
      </c>
      <c r="B10254" t="inlineStr">
        <is>
          <t>avverkningsanmälan</t>
        </is>
      </c>
      <c r="C10254" t="inlineStr">
        <is>
          <t>Föryngringsavverkning</t>
        </is>
      </c>
      <c r="D10254" s="1" t="n">
        <v>46288</v>
      </c>
      <c r="E10254" s="1" t="n">
        <v>46307</v>
      </c>
      <c r="F10254" t="inlineStr">
        <is>
          <t>VÄRMLANDS LÄN</t>
        </is>
      </c>
      <c r="G10254" t="inlineStr">
        <is>
          <t>HAGFORS</t>
        </is>
      </c>
      <c r="H10254" t="inlineStr">
        <is>
          <t>Bergvik skog väst AB</t>
        </is>
      </c>
      <c r="I10254" t="n">
        <v>10.8</v>
      </c>
      <c r="J10254" t="n">
        <v>0</v>
      </c>
      <c r="K10254" t="n">
        <v>0</v>
      </c>
      <c r="L10254" t="n">
        <v>0</v>
      </c>
      <c r="M10254" t="n">
        <v>0</v>
      </c>
      <c r="N10254" t="n">
        <v>0</v>
      </c>
      <c r="O10254" t="n">
        <v>0</v>
      </c>
      <c r="P10254" t="n">
        <v>0</v>
      </c>
      <c r="Q10254" t="n">
        <v>0</v>
      </c>
      <c r="R10254" t="n">
        <v>0</v>
      </c>
      <c r="S10254" t="n">
        <v>0</v>
      </c>
      <c r="T10254" t="n">
        <v>0</v>
      </c>
      <c r="U10254" t="n">
        <v>0</v>
      </c>
      <c r="V10254" s="2" t="inlineStr"/>
    </row>
    <row r="10255" ht="15" customHeight="1">
      <c r="A10255" t="inlineStr">
        <is>
          <t>A 39388-2026</t>
        </is>
      </c>
      <c r="B10255" t="inlineStr">
        <is>
          <t>avverkningsanmälan</t>
        </is>
      </c>
      <c r="C10255" t="inlineStr">
        <is>
          <t>Föryngringsavverkning</t>
        </is>
      </c>
      <c r="D10255" s="1" t="n">
        <v>46288</v>
      </c>
      <c r="E10255" s="1" t="n">
        <v>46307</v>
      </c>
      <c r="F10255" t="inlineStr">
        <is>
          <t>VÄRMLANDS LÄN</t>
        </is>
      </c>
      <c r="G10255" t="inlineStr">
        <is>
          <t>SÄFFLE</t>
        </is>
      </c>
      <c r="H10255" t="inlineStr">
        <is>
          <t>Kyrkan</t>
        </is>
      </c>
      <c r="I10255" t="n">
        <v>26.6</v>
      </c>
      <c r="J10255" t="n">
        <v>0</v>
      </c>
      <c r="K10255" t="n">
        <v>0</v>
      </c>
      <c r="L10255" t="n">
        <v>0</v>
      </c>
      <c r="M10255" t="n">
        <v>0</v>
      </c>
      <c r="N10255" t="n">
        <v>0</v>
      </c>
      <c r="O10255" t="n">
        <v>0</v>
      </c>
      <c r="P10255" t="n">
        <v>0</v>
      </c>
      <c r="Q10255" t="n">
        <v>0</v>
      </c>
      <c r="R10255" t="n">
        <v>0</v>
      </c>
      <c r="S10255" t="n">
        <v>0</v>
      </c>
      <c r="T10255" t="n">
        <v>0</v>
      </c>
      <c r="U10255" t="n">
        <v>0</v>
      </c>
      <c r="V10255" s="2" t="inlineStr"/>
    </row>
    <row r="10256" ht="15" customHeight="1">
      <c r="A10256" t="inlineStr">
        <is>
          <t>A 39399-2026</t>
        </is>
      </c>
      <c r="B10256" t="inlineStr">
        <is>
          <t>avverkningsanmälan</t>
        </is>
      </c>
      <c r="C10256" t="inlineStr">
        <is>
          <t>Föryngringsavverkning</t>
        </is>
      </c>
      <c r="D10256" s="1" t="n">
        <v>46288</v>
      </c>
      <c r="E10256" s="1" t="n">
        <v>46307</v>
      </c>
      <c r="F10256" t="inlineStr">
        <is>
          <t>VÄRMLANDS LÄN</t>
        </is>
      </c>
      <c r="G10256" t="inlineStr">
        <is>
          <t>ÅRJÄNG</t>
        </is>
      </c>
      <c r="I10256" t="n">
        <v>0.7</v>
      </c>
      <c r="J10256" t="n">
        <v>0</v>
      </c>
      <c r="K10256" t="n">
        <v>0</v>
      </c>
      <c r="L10256" t="n">
        <v>0</v>
      </c>
      <c r="M10256" t="n">
        <v>0</v>
      </c>
      <c r="N10256" t="n">
        <v>0</v>
      </c>
      <c r="O10256" t="n">
        <v>0</v>
      </c>
      <c r="P10256" t="n">
        <v>0</v>
      </c>
      <c r="Q10256" t="n">
        <v>0</v>
      </c>
      <c r="R10256" t="n">
        <v>0</v>
      </c>
      <c r="S10256" t="n">
        <v>0</v>
      </c>
      <c r="T10256" t="n">
        <v>0</v>
      </c>
      <c r="U10256" t="n">
        <v>0</v>
      </c>
      <c r="V10256" s="2" t="inlineStr"/>
    </row>
    <row r="10257" ht="15" customHeight="1">
      <c r="A10257" t="inlineStr">
        <is>
          <t>A 32860-2026</t>
        </is>
      </c>
      <c r="B10257" t="inlineStr">
        <is>
          <t>avverkningsanmälan</t>
        </is>
      </c>
      <c r="C10257" t="inlineStr">
        <is>
          <t>Avverkning för annat ändamål</t>
        </is>
      </c>
      <c r="D10257" s="1" t="n">
        <v>46244</v>
      </c>
      <c r="E10257" s="1" t="n">
        <v>46307</v>
      </c>
      <c r="F10257" t="inlineStr">
        <is>
          <t>VÄRMLANDS LÄN</t>
        </is>
      </c>
      <c r="G10257" t="inlineStr">
        <is>
          <t>TORSBY</t>
        </is>
      </c>
      <c r="H10257" t="inlineStr">
        <is>
          <t>Kommuner</t>
        </is>
      </c>
      <c r="I10257" t="n">
        <v>1</v>
      </c>
      <c r="J10257" t="n">
        <v>0</v>
      </c>
      <c r="K10257" t="n">
        <v>0</v>
      </c>
      <c r="L10257" t="n">
        <v>0</v>
      </c>
      <c r="M10257" t="n">
        <v>0</v>
      </c>
      <c r="N10257" t="n">
        <v>0</v>
      </c>
      <c r="O10257" t="n">
        <v>0</v>
      </c>
      <c r="P10257" t="n">
        <v>0</v>
      </c>
      <c r="Q10257" t="n">
        <v>0</v>
      </c>
      <c r="R10257" t="n">
        <v>0</v>
      </c>
      <c r="S10257" t="n">
        <v>0</v>
      </c>
      <c r="T10257" t="n">
        <v>0</v>
      </c>
      <c r="U10257" t="n">
        <v>0</v>
      </c>
      <c r="V10257" s="2" t="inlineStr"/>
    </row>
    <row r="10258" ht="15" customHeight="1">
      <c r="A10258" t="inlineStr">
        <is>
          <t>A 32947-2026</t>
        </is>
      </c>
      <c r="B10258" t="inlineStr">
        <is>
          <t>avverkningsanmälan</t>
        </is>
      </c>
      <c r="C10258" t="inlineStr">
        <is>
          <t>Föryngringsavverkning</t>
        </is>
      </c>
      <c r="D10258" s="1" t="n">
        <v>46244</v>
      </c>
      <c r="E10258" s="1" t="n">
        <v>46307</v>
      </c>
      <c r="F10258" t="inlineStr">
        <is>
          <t>VÄRMLANDS LÄN</t>
        </is>
      </c>
      <c r="G10258" t="inlineStr">
        <is>
          <t>ÅRJÄNG</t>
        </is>
      </c>
      <c r="I10258" t="n">
        <v>0.9</v>
      </c>
      <c r="J10258" t="n">
        <v>0</v>
      </c>
      <c r="K10258" t="n">
        <v>0</v>
      </c>
      <c r="L10258" t="n">
        <v>0</v>
      </c>
      <c r="M10258" t="n">
        <v>0</v>
      </c>
      <c r="N10258" t="n">
        <v>0</v>
      </c>
      <c r="O10258" t="n">
        <v>0</v>
      </c>
      <c r="P10258" t="n">
        <v>0</v>
      </c>
      <c r="Q10258" t="n">
        <v>0</v>
      </c>
      <c r="R10258" t="n">
        <v>0</v>
      </c>
      <c r="S10258" t="n">
        <v>0</v>
      </c>
      <c r="T10258" t="n">
        <v>0</v>
      </c>
      <c r="U10258" t="n">
        <v>0</v>
      </c>
      <c r="V10258" s="2" t="inlineStr"/>
    </row>
    <row r="10259" ht="15" customHeight="1">
      <c r="A10259" t="inlineStr">
        <is>
          <t>A 32980-2026</t>
        </is>
      </c>
      <c r="B10259" t="inlineStr">
        <is>
          <t>avverkningsanmälan</t>
        </is>
      </c>
      <c r="C10259" t="inlineStr">
        <is>
          <t>Föryngringsavverkning</t>
        </is>
      </c>
      <c r="D10259" s="1" t="n">
        <v>46244</v>
      </c>
      <c r="E10259" s="1" t="n">
        <v>46307</v>
      </c>
      <c r="F10259" t="inlineStr">
        <is>
          <t>VÄRMLANDS LÄN</t>
        </is>
      </c>
      <c r="G10259" t="inlineStr">
        <is>
          <t>FILIPSTAD</t>
        </is>
      </c>
      <c r="I10259" t="n">
        <v>6.3</v>
      </c>
      <c r="J10259" t="n">
        <v>0</v>
      </c>
      <c r="K10259" t="n">
        <v>0</v>
      </c>
      <c r="L10259" t="n">
        <v>0</v>
      </c>
      <c r="M10259" t="n">
        <v>0</v>
      </c>
      <c r="N10259" t="n">
        <v>0</v>
      </c>
      <c r="O10259" t="n">
        <v>0</v>
      </c>
      <c r="P10259" t="n">
        <v>0</v>
      </c>
      <c r="Q10259" t="n">
        <v>0</v>
      </c>
      <c r="R10259" t="n">
        <v>0</v>
      </c>
      <c r="S10259" t="n">
        <v>0</v>
      </c>
      <c r="T10259" t="n">
        <v>0</v>
      </c>
      <c r="U10259" t="n">
        <v>0</v>
      </c>
      <c r="V10259" s="2" t="inlineStr"/>
    </row>
    <row r="10260" ht="15" customHeight="1">
      <c r="A10260" t="inlineStr">
        <is>
          <t>A 32984-2026</t>
        </is>
      </c>
      <c r="B10260" t="inlineStr">
        <is>
          <t>avverkningsanmälan</t>
        </is>
      </c>
      <c r="C10260" t="inlineStr">
        <is>
          <t>Föryngringsavverkning</t>
        </is>
      </c>
      <c r="D10260" s="1" t="n">
        <v>46244</v>
      </c>
      <c r="E10260" s="1" t="n">
        <v>46307</v>
      </c>
      <c r="F10260" t="inlineStr">
        <is>
          <t>VÄRMLANDS LÄN</t>
        </is>
      </c>
      <c r="G10260" t="inlineStr">
        <is>
          <t>SUNNE</t>
        </is>
      </c>
      <c r="H10260" t="inlineStr">
        <is>
          <t>Bergvik skog väst AB</t>
        </is>
      </c>
      <c r="I10260" t="n">
        <v>10.4</v>
      </c>
      <c r="J10260" t="n">
        <v>0</v>
      </c>
      <c r="K10260" t="n">
        <v>0</v>
      </c>
      <c r="L10260" t="n">
        <v>0</v>
      </c>
      <c r="M10260" t="n">
        <v>0</v>
      </c>
      <c r="N10260" t="n">
        <v>0</v>
      </c>
      <c r="O10260" t="n">
        <v>0</v>
      </c>
      <c r="P10260" t="n">
        <v>0</v>
      </c>
      <c r="Q10260" t="n">
        <v>0</v>
      </c>
      <c r="R10260" t="n">
        <v>0</v>
      </c>
      <c r="S10260" t="n">
        <v>0</v>
      </c>
      <c r="T10260" t="n">
        <v>0</v>
      </c>
      <c r="U10260" t="n">
        <v>0</v>
      </c>
      <c r="V10260" s="2" t="inlineStr"/>
    </row>
    <row r="10261" ht="15" customHeight="1">
      <c r="A10261" t="inlineStr">
        <is>
          <t>A 59429-2025</t>
        </is>
      </c>
      <c r="B10261" t="inlineStr">
        <is>
          <t>avverkningsanmälan</t>
        </is>
      </c>
      <c r="C10261" t="inlineStr">
        <is>
          <t>Föryngringsavverkning</t>
        </is>
      </c>
      <c r="D10261" s="1" t="n">
        <v>45989</v>
      </c>
      <c r="E10261" s="1" t="n">
        <v>46307</v>
      </c>
      <c r="F10261" t="inlineStr">
        <is>
          <t>VÄRMLANDS LÄN</t>
        </is>
      </c>
      <c r="G10261" t="inlineStr">
        <is>
          <t>SÄFFLE</t>
        </is>
      </c>
      <c r="I10261" t="n">
        <v>1.7</v>
      </c>
      <c r="J10261" t="n">
        <v>0</v>
      </c>
      <c r="K10261" t="n">
        <v>0</v>
      </c>
      <c r="L10261" t="n">
        <v>0</v>
      </c>
      <c r="M10261" t="n">
        <v>0</v>
      </c>
      <c r="N10261" t="n">
        <v>0</v>
      </c>
      <c r="O10261" t="n">
        <v>0</v>
      </c>
      <c r="P10261" t="n">
        <v>0</v>
      </c>
      <c r="Q10261" t="n">
        <v>0</v>
      </c>
      <c r="R10261" t="n">
        <v>0</v>
      </c>
      <c r="S10261" t="n">
        <v>0</v>
      </c>
      <c r="T10261" t="n">
        <v>0</v>
      </c>
      <c r="U10261" t="n">
        <v>0</v>
      </c>
      <c r="V10261" s="2" t="inlineStr"/>
    </row>
    <row r="10262" ht="15" customHeight="1">
      <c r="A10262" t="inlineStr">
        <is>
          <t>A 39052-2026</t>
        </is>
      </c>
      <c r="B10262" t="inlineStr">
        <is>
          <t>avverkningsanmälan</t>
        </is>
      </c>
      <c r="C10262" t="inlineStr">
        <is>
          <t>Föryngringsavverkning</t>
        </is>
      </c>
      <c r="D10262" s="1" t="n">
        <v>46287</v>
      </c>
      <c r="E10262" s="1" t="n">
        <v>46307</v>
      </c>
      <c r="F10262" t="inlineStr">
        <is>
          <t>VÄRMLANDS LÄN</t>
        </is>
      </c>
      <c r="G10262" t="inlineStr">
        <is>
          <t>ARVIKA</t>
        </is>
      </c>
      <c r="H10262" t="inlineStr">
        <is>
          <t>Bergvik skog väst AB</t>
        </is>
      </c>
      <c r="I10262" t="n">
        <v>16.2</v>
      </c>
      <c r="J10262" t="n">
        <v>0</v>
      </c>
      <c r="K10262" t="n">
        <v>0</v>
      </c>
      <c r="L10262" t="n">
        <v>0</v>
      </c>
      <c r="M10262" t="n">
        <v>0</v>
      </c>
      <c r="N10262" t="n">
        <v>0</v>
      </c>
      <c r="O10262" t="n">
        <v>0</v>
      </c>
      <c r="P10262" t="n">
        <v>0</v>
      </c>
      <c r="Q10262" t="n">
        <v>0</v>
      </c>
      <c r="R10262" t="n">
        <v>0</v>
      </c>
      <c r="S10262" t="n">
        <v>0</v>
      </c>
      <c r="T10262" t="n">
        <v>0</v>
      </c>
      <c r="U10262" t="n">
        <v>0</v>
      </c>
      <c r="V10262" s="2" t="inlineStr"/>
    </row>
    <row r="10263" ht="15" customHeight="1">
      <c r="A10263" t="inlineStr">
        <is>
          <t>A 39057-2026</t>
        </is>
      </c>
      <c r="B10263" t="inlineStr">
        <is>
          <t>avverkningsanmälan</t>
        </is>
      </c>
      <c r="C10263" t="inlineStr">
        <is>
          <t>Föryngringsavverkning</t>
        </is>
      </c>
      <c r="D10263" s="1" t="n">
        <v>46287</v>
      </c>
      <c r="E10263" s="1" t="n">
        <v>46307</v>
      </c>
      <c r="F10263" t="inlineStr">
        <is>
          <t>VÄRMLANDS LÄN</t>
        </is>
      </c>
      <c r="G10263" t="inlineStr">
        <is>
          <t>ARVIKA</t>
        </is>
      </c>
      <c r="H10263" t="inlineStr">
        <is>
          <t>Bergvik skog väst AB</t>
        </is>
      </c>
      <c r="I10263" t="n">
        <v>0.9</v>
      </c>
      <c r="J10263" t="n">
        <v>0</v>
      </c>
      <c r="K10263" t="n">
        <v>0</v>
      </c>
      <c r="L10263" t="n">
        <v>0</v>
      </c>
      <c r="M10263" t="n">
        <v>0</v>
      </c>
      <c r="N10263" t="n">
        <v>0</v>
      </c>
      <c r="O10263" t="n">
        <v>0</v>
      </c>
      <c r="P10263" t="n">
        <v>0</v>
      </c>
      <c r="Q10263" t="n">
        <v>0</v>
      </c>
      <c r="R10263" t="n">
        <v>0</v>
      </c>
      <c r="S10263" t="n">
        <v>0</v>
      </c>
      <c r="T10263" t="n">
        <v>0</v>
      </c>
      <c r="U10263" t="n">
        <v>0</v>
      </c>
      <c r="V10263" s="2" t="inlineStr"/>
    </row>
    <row r="10264" ht="15" customHeight="1">
      <c r="A10264" t="inlineStr">
        <is>
          <t>A 39080-2026</t>
        </is>
      </c>
      <c r="B10264" t="inlineStr">
        <is>
          <t>avverkningsanmälan</t>
        </is>
      </c>
      <c r="C10264" t="inlineStr">
        <is>
          <t>Föryngringsavverkning</t>
        </is>
      </c>
      <c r="D10264" s="1" t="n">
        <v>46287</v>
      </c>
      <c r="E10264" s="1" t="n">
        <v>46307</v>
      </c>
      <c r="F10264" t="inlineStr">
        <is>
          <t>VÄRMLANDS LÄN</t>
        </is>
      </c>
      <c r="G10264" t="inlineStr">
        <is>
          <t>FILIPSTAD</t>
        </is>
      </c>
      <c r="H10264" t="inlineStr">
        <is>
          <t>Bergvik skog väst AB</t>
        </is>
      </c>
      <c r="I10264" t="n">
        <v>19.1</v>
      </c>
      <c r="J10264" t="n">
        <v>0</v>
      </c>
      <c r="K10264" t="n">
        <v>0</v>
      </c>
      <c r="L10264" t="n">
        <v>0</v>
      </c>
      <c r="M10264" t="n">
        <v>0</v>
      </c>
      <c r="N10264" t="n">
        <v>0</v>
      </c>
      <c r="O10264" t="n">
        <v>0</v>
      </c>
      <c r="P10264" t="n">
        <v>0</v>
      </c>
      <c r="Q10264" t="n">
        <v>0</v>
      </c>
      <c r="R10264" t="n">
        <v>0</v>
      </c>
      <c r="S10264" t="n">
        <v>0</v>
      </c>
      <c r="T10264" t="n">
        <v>0</v>
      </c>
      <c r="U10264" t="n">
        <v>0</v>
      </c>
      <c r="V10264" s="2" t="inlineStr"/>
    </row>
    <row r="10265" ht="15" customHeight="1">
      <c r="A10265" t="inlineStr">
        <is>
          <t>A 56506-2025</t>
        </is>
      </c>
      <c r="B10265" t="inlineStr">
        <is>
          <t>avverkningsanmälan</t>
        </is>
      </c>
      <c r="C10265" t="inlineStr">
        <is>
          <t>Föryngringsavverkning</t>
        </is>
      </c>
      <c r="D10265" s="1" t="n">
        <v>45975</v>
      </c>
      <c r="E10265" s="1" t="n">
        <v>46307</v>
      </c>
      <c r="F10265" t="inlineStr">
        <is>
          <t>VÄRMLANDS LÄN</t>
        </is>
      </c>
      <c r="G10265" t="inlineStr">
        <is>
          <t>EDA</t>
        </is>
      </c>
      <c r="I10265" t="n">
        <v>1.5</v>
      </c>
      <c r="J10265" t="n">
        <v>0</v>
      </c>
      <c r="K10265" t="n">
        <v>0</v>
      </c>
      <c r="L10265" t="n">
        <v>0</v>
      </c>
      <c r="M10265" t="n">
        <v>0</v>
      </c>
      <c r="N10265" t="n">
        <v>0</v>
      </c>
      <c r="O10265" t="n">
        <v>0</v>
      </c>
      <c r="P10265" t="n">
        <v>0</v>
      </c>
      <c r="Q10265" t="n">
        <v>0</v>
      </c>
      <c r="R10265" t="n">
        <v>0</v>
      </c>
      <c r="S10265" t="n">
        <v>0</v>
      </c>
      <c r="T10265" t="n">
        <v>0</v>
      </c>
      <c r="U10265" t="n">
        <v>0</v>
      </c>
      <c r="V10265" s="2" t="inlineStr"/>
    </row>
    <row r="10266" ht="15" customHeight="1">
      <c r="A10266" t="inlineStr">
        <is>
          <t>A 32854-2026</t>
        </is>
      </c>
      <c r="B10266" t="inlineStr">
        <is>
          <t>avverkningsanmälan</t>
        </is>
      </c>
      <c r="C10266" t="inlineStr">
        <is>
          <t>Föryngringsavverkning</t>
        </is>
      </c>
      <c r="D10266" s="1" t="n">
        <v>46244</v>
      </c>
      <c r="E10266" s="1" t="n">
        <v>46307</v>
      </c>
      <c r="F10266" t="inlineStr">
        <is>
          <t>VÄRMLANDS LÄN</t>
        </is>
      </c>
      <c r="G10266" t="inlineStr">
        <is>
          <t>ARVIKA</t>
        </is>
      </c>
      <c r="I10266" t="n">
        <v>1.3</v>
      </c>
      <c r="J10266" t="n">
        <v>0</v>
      </c>
      <c r="K10266" t="n">
        <v>0</v>
      </c>
      <c r="L10266" t="n">
        <v>0</v>
      </c>
      <c r="M10266" t="n">
        <v>0</v>
      </c>
      <c r="N10266" t="n">
        <v>0</v>
      </c>
      <c r="O10266" t="n">
        <v>0</v>
      </c>
      <c r="P10266" t="n">
        <v>0</v>
      </c>
      <c r="Q10266" t="n">
        <v>0</v>
      </c>
      <c r="R10266" t="n">
        <v>0</v>
      </c>
      <c r="S10266" t="n">
        <v>0</v>
      </c>
      <c r="T10266" t="n">
        <v>0</v>
      </c>
      <c r="U10266" t="n">
        <v>0</v>
      </c>
      <c r="V10266" s="2" t="inlineStr"/>
    </row>
    <row r="10267" ht="15" customHeight="1">
      <c r="A10267" t="inlineStr">
        <is>
          <t>A 19056-2026</t>
        </is>
      </c>
      <c r="B10267" t="inlineStr">
        <is>
          <t>avverkningsanmälan</t>
        </is>
      </c>
      <c r="C10267" t="inlineStr">
        <is>
          <t>Föryngringsavverkning</t>
        </is>
      </c>
      <c r="D10267" s="1" t="n">
        <v>46132</v>
      </c>
      <c r="E10267" s="1" t="n">
        <v>46307</v>
      </c>
      <c r="F10267" t="inlineStr">
        <is>
          <t>VÄRMLANDS LÄN</t>
        </is>
      </c>
      <c r="G10267" t="inlineStr">
        <is>
          <t>HAGFORS</t>
        </is>
      </c>
      <c r="H10267" t="inlineStr">
        <is>
          <t>Bergvik skog väst AB</t>
        </is>
      </c>
      <c r="I10267" t="n">
        <v>6.5</v>
      </c>
      <c r="J10267" t="n">
        <v>0</v>
      </c>
      <c r="K10267" t="n">
        <v>0</v>
      </c>
      <c r="L10267" t="n">
        <v>0</v>
      </c>
      <c r="M10267" t="n">
        <v>0</v>
      </c>
      <c r="N10267" t="n">
        <v>0</v>
      </c>
      <c r="O10267" t="n">
        <v>0</v>
      </c>
      <c r="P10267" t="n">
        <v>0</v>
      </c>
      <c r="Q10267" t="n">
        <v>0</v>
      </c>
      <c r="R10267" t="n">
        <v>0</v>
      </c>
      <c r="S10267" t="n">
        <v>0</v>
      </c>
      <c r="T10267" t="n">
        <v>0</v>
      </c>
      <c r="U10267" t="n">
        <v>0</v>
      </c>
      <c r="V10267" s="2" t="inlineStr"/>
    </row>
    <row r="10268" ht="15" customHeight="1">
      <c r="A10268" t="inlineStr">
        <is>
          <t>A 39181-2026</t>
        </is>
      </c>
      <c r="B10268" t="inlineStr">
        <is>
          <t>avverkningsanmälan</t>
        </is>
      </c>
      <c r="C10268" t="inlineStr">
        <is>
          <t>Avverkning för att bevara och utveckla /försöksver</t>
        </is>
      </c>
      <c r="D10268" s="1" t="n">
        <v>46287</v>
      </c>
      <c r="E10268" s="1" t="n">
        <v>46307</v>
      </c>
      <c r="F10268" t="inlineStr">
        <is>
          <t>VÄRMLANDS LÄN</t>
        </is>
      </c>
      <c r="G10268" t="inlineStr">
        <is>
          <t>TORSBY</t>
        </is>
      </c>
      <c r="I10268" t="n">
        <v>0.9</v>
      </c>
      <c r="J10268" t="n">
        <v>0</v>
      </c>
      <c r="K10268" t="n">
        <v>0</v>
      </c>
      <c r="L10268" t="n">
        <v>0</v>
      </c>
      <c r="M10268" t="n">
        <v>0</v>
      </c>
      <c r="N10268" t="n">
        <v>0</v>
      </c>
      <c r="O10268" t="n">
        <v>0</v>
      </c>
      <c r="P10268" t="n">
        <v>0</v>
      </c>
      <c r="Q10268" t="n">
        <v>0</v>
      </c>
      <c r="R10268" t="n">
        <v>0</v>
      </c>
      <c r="S10268" t="n">
        <v>0</v>
      </c>
      <c r="T10268" t="n">
        <v>0</v>
      </c>
      <c r="U10268" t="n">
        <v>0</v>
      </c>
      <c r="V10268" s="2" t="inlineStr"/>
    </row>
    <row r="10269" ht="15" customHeight="1">
      <c r="A10269" t="inlineStr">
        <is>
          <t>A 39185-2026</t>
        </is>
      </c>
      <c r="B10269" t="inlineStr">
        <is>
          <t>avverkningsanmälan</t>
        </is>
      </c>
      <c r="C10269" t="inlineStr">
        <is>
          <t>Föryngringsavverkning</t>
        </is>
      </c>
      <c r="D10269" s="1" t="n">
        <v>46287</v>
      </c>
      <c r="E10269" s="1" t="n">
        <v>46307</v>
      </c>
      <c r="F10269" t="inlineStr">
        <is>
          <t>VÄRMLANDS LÄN</t>
        </is>
      </c>
      <c r="G10269" t="inlineStr">
        <is>
          <t>SUNNE</t>
        </is>
      </c>
      <c r="I10269" t="n">
        <v>1.6</v>
      </c>
      <c r="J10269" t="n">
        <v>0</v>
      </c>
      <c r="K10269" t="n">
        <v>0</v>
      </c>
      <c r="L10269" t="n">
        <v>0</v>
      </c>
      <c r="M10269" t="n">
        <v>0</v>
      </c>
      <c r="N10269" t="n">
        <v>0</v>
      </c>
      <c r="O10269" t="n">
        <v>0</v>
      </c>
      <c r="P10269" t="n">
        <v>0</v>
      </c>
      <c r="Q10269" t="n">
        <v>0</v>
      </c>
      <c r="R10269" t="n">
        <v>0</v>
      </c>
      <c r="S10269" t="n">
        <v>0</v>
      </c>
      <c r="T10269" t="n">
        <v>0</v>
      </c>
      <c r="U10269" t="n">
        <v>0</v>
      </c>
      <c r="V10269" s="2" t="inlineStr"/>
    </row>
    <row r="10270" ht="15" customHeight="1">
      <c r="A10270" t="inlineStr">
        <is>
          <t>A 39382-2026</t>
        </is>
      </c>
      <c r="B10270" t="inlineStr">
        <is>
          <t>avverkningsanmälan</t>
        </is>
      </c>
      <c r="C10270" t="inlineStr">
        <is>
          <t>Föryngringsavverkning</t>
        </is>
      </c>
      <c r="D10270" s="1" t="n">
        <v>46288</v>
      </c>
      <c r="E10270" s="1" t="n">
        <v>46307</v>
      </c>
      <c r="F10270" t="inlineStr">
        <is>
          <t>VÄRMLANDS LÄN</t>
        </is>
      </c>
      <c r="G10270" t="inlineStr">
        <is>
          <t>HAGFORS</t>
        </is>
      </c>
      <c r="H10270" t="inlineStr">
        <is>
          <t>Bergvik skog väst AB</t>
        </is>
      </c>
      <c r="I10270" t="n">
        <v>4.2</v>
      </c>
      <c r="J10270" t="n">
        <v>0</v>
      </c>
      <c r="K10270" t="n">
        <v>0</v>
      </c>
      <c r="L10270" t="n">
        <v>0</v>
      </c>
      <c r="M10270" t="n">
        <v>0</v>
      </c>
      <c r="N10270" t="n">
        <v>0</v>
      </c>
      <c r="O10270" t="n">
        <v>0</v>
      </c>
      <c r="P10270" t="n">
        <v>0</v>
      </c>
      <c r="Q10270" t="n">
        <v>0</v>
      </c>
      <c r="R10270" t="n">
        <v>0</v>
      </c>
      <c r="S10270" t="n">
        <v>0</v>
      </c>
      <c r="T10270" t="n">
        <v>0</v>
      </c>
      <c r="U10270" t="n">
        <v>0</v>
      </c>
      <c r="V10270" s="2" t="inlineStr"/>
    </row>
    <row r="10271" ht="15" customHeight="1">
      <c r="A10271" t="inlineStr">
        <is>
          <t>A 39333-2026</t>
        </is>
      </c>
      <c r="B10271" t="inlineStr">
        <is>
          <t>avverkningsanmälan</t>
        </is>
      </c>
      <c r="C10271" t="inlineStr">
        <is>
          <t>Föryngringsavverkning</t>
        </is>
      </c>
      <c r="D10271" s="1" t="n">
        <v>46288</v>
      </c>
      <c r="E10271" s="1" t="n">
        <v>46307</v>
      </c>
      <c r="F10271" t="inlineStr">
        <is>
          <t>VÄRMLANDS LÄN</t>
        </is>
      </c>
      <c r="G10271" t="inlineStr">
        <is>
          <t>FILIPSTAD</t>
        </is>
      </c>
      <c r="H10271" t="inlineStr">
        <is>
          <t>Bergvik skog väst AB</t>
        </is>
      </c>
      <c r="I10271" t="n">
        <v>3.8</v>
      </c>
      <c r="J10271" t="n">
        <v>0</v>
      </c>
      <c r="K10271" t="n">
        <v>0</v>
      </c>
      <c r="L10271" t="n">
        <v>0</v>
      </c>
      <c r="M10271" t="n">
        <v>0</v>
      </c>
      <c r="N10271" t="n">
        <v>0</v>
      </c>
      <c r="O10271" t="n">
        <v>0</v>
      </c>
      <c r="P10271" t="n">
        <v>0</v>
      </c>
      <c r="Q10271" t="n">
        <v>0</v>
      </c>
      <c r="R10271" t="n">
        <v>0</v>
      </c>
      <c r="S10271" t="n">
        <v>0</v>
      </c>
      <c r="T10271" t="n">
        <v>0</v>
      </c>
      <c r="U10271" t="n">
        <v>0</v>
      </c>
      <c r="V10271" s="2" t="inlineStr"/>
    </row>
    <row r="10272" ht="15" customHeight="1">
      <c r="A10272" t="inlineStr">
        <is>
          <t>A 32964-2026</t>
        </is>
      </c>
      <c r="B10272" t="inlineStr">
        <is>
          <t>avverkningsanmälan</t>
        </is>
      </c>
      <c r="C10272" t="inlineStr">
        <is>
          <t>Föryngringsavverkning</t>
        </is>
      </c>
      <c r="D10272" s="1" t="n">
        <v>46244</v>
      </c>
      <c r="E10272" s="1" t="n">
        <v>46307</v>
      </c>
      <c r="F10272" t="inlineStr">
        <is>
          <t>VÄRMLANDS LÄN</t>
        </is>
      </c>
      <c r="G10272" t="inlineStr">
        <is>
          <t>STORFORS</t>
        </is>
      </c>
      <c r="I10272" t="n">
        <v>0.9</v>
      </c>
      <c r="J10272" t="n">
        <v>0</v>
      </c>
      <c r="K10272" t="n">
        <v>0</v>
      </c>
      <c r="L10272" t="n">
        <v>0</v>
      </c>
      <c r="M10272" t="n">
        <v>0</v>
      </c>
      <c r="N10272" t="n">
        <v>0</v>
      </c>
      <c r="O10272" t="n">
        <v>0</v>
      </c>
      <c r="P10272" t="n">
        <v>0</v>
      </c>
      <c r="Q10272" t="n">
        <v>0</v>
      </c>
      <c r="R10272" t="n">
        <v>0</v>
      </c>
      <c r="S10272" t="n">
        <v>0</v>
      </c>
      <c r="T10272" t="n">
        <v>0</v>
      </c>
      <c r="U10272" t="n">
        <v>0</v>
      </c>
      <c r="V10272" s="2" t="inlineStr"/>
    </row>
    <row r="10273" ht="15" customHeight="1">
      <c r="A10273" t="inlineStr">
        <is>
          <t>A 39347-2026</t>
        </is>
      </c>
      <c r="B10273" t="inlineStr">
        <is>
          <t>avverkningsanmälan</t>
        </is>
      </c>
      <c r="C10273" t="inlineStr">
        <is>
          <t>Föryngringsavverkning</t>
        </is>
      </c>
      <c r="D10273" s="1" t="n">
        <v>46288</v>
      </c>
      <c r="E10273" s="1" t="n">
        <v>46307</v>
      </c>
      <c r="F10273" t="inlineStr">
        <is>
          <t>VÄRMLANDS LÄN</t>
        </is>
      </c>
      <c r="G10273" t="inlineStr">
        <is>
          <t>HAGFORS</t>
        </is>
      </c>
      <c r="H10273" t="inlineStr">
        <is>
          <t>Bergvik skog väst AB</t>
        </is>
      </c>
      <c r="I10273" t="n">
        <v>8.5</v>
      </c>
      <c r="J10273" t="n">
        <v>0</v>
      </c>
      <c r="K10273" t="n">
        <v>0</v>
      </c>
      <c r="L10273" t="n">
        <v>0</v>
      </c>
      <c r="M10273" t="n">
        <v>0</v>
      </c>
      <c r="N10273" t="n">
        <v>0</v>
      </c>
      <c r="O10273" t="n">
        <v>0</v>
      </c>
      <c r="P10273" t="n">
        <v>0</v>
      </c>
      <c r="Q10273" t="n">
        <v>0</v>
      </c>
      <c r="R10273" t="n">
        <v>0</v>
      </c>
      <c r="S10273" t="n">
        <v>0</v>
      </c>
      <c r="T10273" t="n">
        <v>0</v>
      </c>
      <c r="U10273" t="n">
        <v>0</v>
      </c>
      <c r="V10273" s="2" t="inlineStr"/>
    </row>
    <row r="10274" ht="15" customHeight="1">
      <c r="A10274" t="inlineStr">
        <is>
          <t>A 32977-2026</t>
        </is>
      </c>
      <c r="B10274" t="inlineStr">
        <is>
          <t>avverkningsanmälan</t>
        </is>
      </c>
      <c r="C10274" t="inlineStr">
        <is>
          <t>Avverkning för annat ändamål</t>
        </is>
      </c>
      <c r="D10274" s="1" t="n">
        <v>46244</v>
      </c>
      <c r="E10274" s="1" t="n">
        <v>46307</v>
      </c>
      <c r="F10274" t="inlineStr">
        <is>
          <t>VÄRMLANDS LÄN</t>
        </is>
      </c>
      <c r="G10274" t="inlineStr">
        <is>
          <t>TORSBY</t>
        </is>
      </c>
      <c r="H10274" t="inlineStr">
        <is>
          <t>Bergvik skog väst AB</t>
        </is>
      </c>
      <c r="I10274" t="n">
        <v>1.1</v>
      </c>
      <c r="J10274" t="n">
        <v>0</v>
      </c>
      <c r="K10274" t="n">
        <v>0</v>
      </c>
      <c r="L10274" t="n">
        <v>0</v>
      </c>
      <c r="M10274" t="n">
        <v>0</v>
      </c>
      <c r="N10274" t="n">
        <v>0</v>
      </c>
      <c r="O10274" t="n">
        <v>0</v>
      </c>
      <c r="P10274" t="n">
        <v>0</v>
      </c>
      <c r="Q10274" t="n">
        <v>0</v>
      </c>
      <c r="R10274" t="n">
        <v>0</v>
      </c>
      <c r="S10274" t="n">
        <v>0</v>
      </c>
      <c r="T10274" t="n">
        <v>0</v>
      </c>
      <c r="U10274" t="n">
        <v>0</v>
      </c>
      <c r="V10274" s="2" t="inlineStr"/>
    </row>
    <row r="10275" ht="15" customHeight="1">
      <c r="A10275" t="inlineStr">
        <is>
          <t>A 39070-2026</t>
        </is>
      </c>
      <c r="B10275" t="inlineStr">
        <is>
          <t>avverkningsanmälan</t>
        </is>
      </c>
      <c r="C10275" t="inlineStr">
        <is>
          <t>Föryngringsavverkning</t>
        </is>
      </c>
      <c r="D10275" s="1" t="n">
        <v>46287</v>
      </c>
      <c r="E10275" s="1" t="n">
        <v>46307</v>
      </c>
      <c r="F10275" t="inlineStr">
        <is>
          <t>VÄRMLANDS LÄN</t>
        </is>
      </c>
      <c r="G10275" t="inlineStr">
        <is>
          <t>HAGFORS</t>
        </is>
      </c>
      <c r="H10275" t="inlineStr">
        <is>
          <t>Bergvik skog väst AB</t>
        </is>
      </c>
      <c r="I10275" t="n">
        <v>11.8</v>
      </c>
      <c r="J10275" t="n">
        <v>0</v>
      </c>
      <c r="K10275" t="n">
        <v>0</v>
      </c>
      <c r="L10275" t="n">
        <v>0</v>
      </c>
      <c r="M10275" t="n">
        <v>0</v>
      </c>
      <c r="N10275" t="n">
        <v>0</v>
      </c>
      <c r="O10275" t="n">
        <v>0</v>
      </c>
      <c r="P10275" t="n">
        <v>0</v>
      </c>
      <c r="Q10275" t="n">
        <v>0</v>
      </c>
      <c r="R10275" t="n">
        <v>0</v>
      </c>
      <c r="S10275" t="n">
        <v>0</v>
      </c>
      <c r="T10275" t="n">
        <v>0</v>
      </c>
      <c r="U10275" t="n">
        <v>0</v>
      </c>
      <c r="V10275" s="2" t="inlineStr"/>
    </row>
    <row r="10276" ht="15" customHeight="1">
      <c r="A10276" t="inlineStr">
        <is>
          <t>A 39071-2026</t>
        </is>
      </c>
      <c r="B10276" t="inlineStr">
        <is>
          <t>avverkningsanmälan</t>
        </is>
      </c>
      <c r="C10276" t="inlineStr">
        <is>
          <t>Föryngringsavverkning</t>
        </is>
      </c>
      <c r="D10276" s="1" t="n">
        <v>46287</v>
      </c>
      <c r="E10276" s="1" t="n">
        <v>46307</v>
      </c>
      <c r="F10276" t="inlineStr">
        <is>
          <t>VÄRMLANDS LÄN</t>
        </is>
      </c>
      <c r="G10276" t="inlineStr">
        <is>
          <t>ARVIKA</t>
        </is>
      </c>
      <c r="H10276" t="inlineStr">
        <is>
          <t>Bergvik skog väst AB</t>
        </is>
      </c>
      <c r="I10276" t="n">
        <v>5.5</v>
      </c>
      <c r="J10276" t="n">
        <v>0</v>
      </c>
      <c r="K10276" t="n">
        <v>0</v>
      </c>
      <c r="L10276" t="n">
        <v>0</v>
      </c>
      <c r="M10276" t="n">
        <v>0</v>
      </c>
      <c r="N10276" t="n">
        <v>0</v>
      </c>
      <c r="O10276" t="n">
        <v>0</v>
      </c>
      <c r="P10276" t="n">
        <v>0</v>
      </c>
      <c r="Q10276" t="n">
        <v>0</v>
      </c>
      <c r="R10276" t="n">
        <v>0</v>
      </c>
      <c r="S10276" t="n">
        <v>0</v>
      </c>
      <c r="T10276" t="n">
        <v>0</v>
      </c>
      <c r="U10276" t="n">
        <v>0</v>
      </c>
      <c r="V10276" s="2" t="inlineStr"/>
    </row>
    <row r="10277" ht="15" customHeight="1">
      <c r="A10277" t="inlineStr">
        <is>
          <t>A 38140-2025</t>
        </is>
      </c>
      <c r="B10277" t="inlineStr">
        <is>
          <t>avverkningsanmälan</t>
        </is>
      </c>
      <c r="C10277" t="inlineStr">
        <is>
          <t>Föryngringsavverkning</t>
        </is>
      </c>
      <c r="D10277" s="1" t="n">
        <v>45882</v>
      </c>
      <c r="E10277" s="1" t="n">
        <v>46307</v>
      </c>
      <c r="F10277" t="inlineStr">
        <is>
          <t>VÄRMLANDS LÄN</t>
        </is>
      </c>
      <c r="G10277" t="inlineStr">
        <is>
          <t>ARVIKA</t>
        </is>
      </c>
      <c r="I10277" t="n">
        <v>1.4</v>
      </c>
      <c r="J10277" t="n">
        <v>0</v>
      </c>
      <c r="K10277" t="n">
        <v>0</v>
      </c>
      <c r="L10277" t="n">
        <v>0</v>
      </c>
      <c r="M10277" t="n">
        <v>0</v>
      </c>
      <c r="N10277" t="n">
        <v>0</v>
      </c>
      <c r="O10277" t="n">
        <v>0</v>
      </c>
      <c r="P10277" t="n">
        <v>0</v>
      </c>
      <c r="Q10277" t="n">
        <v>0</v>
      </c>
      <c r="R10277" t="n">
        <v>0</v>
      </c>
      <c r="S10277" t="n">
        <v>0</v>
      </c>
      <c r="T10277" t="n">
        <v>0</v>
      </c>
      <c r="U10277" t="n">
        <v>0</v>
      </c>
      <c r="V10277" s="2" t="inlineStr"/>
    </row>
    <row r="10278" ht="15" customHeight="1">
      <c r="A10278" t="inlineStr">
        <is>
          <t>A 32942-2026</t>
        </is>
      </c>
      <c r="B10278" t="inlineStr">
        <is>
          <t>avverkningsanmälan</t>
        </is>
      </c>
      <c r="C10278" t="inlineStr">
        <is>
          <t>Föryngringsavverkning</t>
        </is>
      </c>
      <c r="D10278" s="1" t="n">
        <v>46244</v>
      </c>
      <c r="E10278" s="1" t="n">
        <v>46307</v>
      </c>
      <c r="F10278" t="inlineStr">
        <is>
          <t>VÄRMLANDS LÄN</t>
        </is>
      </c>
      <c r="G10278" t="inlineStr">
        <is>
          <t>GRUMS</t>
        </is>
      </c>
      <c r="I10278" t="n">
        <v>2.1</v>
      </c>
      <c r="J10278" t="n">
        <v>0</v>
      </c>
      <c r="K10278" t="n">
        <v>0</v>
      </c>
      <c r="L10278" t="n">
        <v>0</v>
      </c>
      <c r="M10278" t="n">
        <v>0</v>
      </c>
      <c r="N10278" t="n">
        <v>0</v>
      </c>
      <c r="O10278" t="n">
        <v>0</v>
      </c>
      <c r="P10278" t="n">
        <v>0</v>
      </c>
      <c r="Q10278" t="n">
        <v>0</v>
      </c>
      <c r="R10278" t="n">
        <v>0</v>
      </c>
      <c r="S10278" t="n">
        <v>0</v>
      </c>
      <c r="T10278" t="n">
        <v>0</v>
      </c>
      <c r="U10278" t="n">
        <v>0</v>
      </c>
      <c r="V10278" s="2" t="inlineStr"/>
    </row>
    <row r="10279" ht="15" customHeight="1">
      <c r="A10279" t="inlineStr">
        <is>
          <t>A 32943-2026</t>
        </is>
      </c>
      <c r="B10279" t="inlineStr">
        <is>
          <t>avverkningsanmälan</t>
        </is>
      </c>
      <c r="C10279" t="inlineStr">
        <is>
          <t>Föryngringsavverkning</t>
        </is>
      </c>
      <c r="D10279" s="1" t="n">
        <v>46244</v>
      </c>
      <c r="E10279" s="1" t="n">
        <v>46307</v>
      </c>
      <c r="F10279" t="inlineStr">
        <is>
          <t>VÄRMLANDS LÄN</t>
        </is>
      </c>
      <c r="G10279" t="inlineStr">
        <is>
          <t>TORSBY</t>
        </is>
      </c>
      <c r="H10279" t="inlineStr">
        <is>
          <t>Bergvik skog väst AB</t>
        </is>
      </c>
      <c r="I10279" t="n">
        <v>14.1</v>
      </c>
      <c r="J10279" t="n">
        <v>0</v>
      </c>
      <c r="K10279" t="n">
        <v>0</v>
      </c>
      <c r="L10279" t="n">
        <v>0</v>
      </c>
      <c r="M10279" t="n">
        <v>0</v>
      </c>
      <c r="N10279" t="n">
        <v>0</v>
      </c>
      <c r="O10279" t="n">
        <v>0</v>
      </c>
      <c r="P10279" t="n">
        <v>0</v>
      </c>
      <c r="Q10279" t="n">
        <v>0</v>
      </c>
      <c r="R10279" t="n">
        <v>0</v>
      </c>
      <c r="S10279" t="n">
        <v>0</v>
      </c>
      <c r="T10279" t="n">
        <v>0</v>
      </c>
      <c r="U10279" t="n">
        <v>0</v>
      </c>
      <c r="V10279" s="2" t="inlineStr"/>
    </row>
    <row r="10280" ht="15" customHeight="1">
      <c r="A10280" t="inlineStr">
        <is>
          <t>A 33104-2026</t>
        </is>
      </c>
      <c r="B10280" t="inlineStr">
        <is>
          <t>avverkningsanmälan</t>
        </is>
      </c>
      <c r="C10280" t="inlineStr">
        <is>
          <t>Föryngringsavverkning</t>
        </is>
      </c>
      <c r="D10280" s="1" t="n">
        <v>46245</v>
      </c>
      <c r="E10280" s="1" t="n">
        <v>46307</v>
      </c>
      <c r="F10280" t="inlineStr">
        <is>
          <t>VÄRMLANDS LÄN</t>
        </is>
      </c>
      <c r="G10280" t="inlineStr">
        <is>
          <t>TORSBY</t>
        </is>
      </c>
      <c r="I10280" t="n">
        <v>1.5</v>
      </c>
      <c r="J10280" t="n">
        <v>0</v>
      </c>
      <c r="K10280" t="n">
        <v>0</v>
      </c>
      <c r="L10280" t="n">
        <v>0</v>
      </c>
      <c r="M10280" t="n">
        <v>0</v>
      </c>
      <c r="N10280" t="n">
        <v>0</v>
      </c>
      <c r="O10280" t="n">
        <v>0</v>
      </c>
      <c r="P10280" t="n">
        <v>0</v>
      </c>
      <c r="Q10280" t="n">
        <v>0</v>
      </c>
      <c r="R10280" t="n">
        <v>0</v>
      </c>
      <c r="S10280" t="n">
        <v>0</v>
      </c>
      <c r="T10280" t="n">
        <v>0</v>
      </c>
      <c r="U10280" t="n">
        <v>0</v>
      </c>
      <c r="V10280" s="2" t="inlineStr"/>
    </row>
    <row r="10281" ht="15" customHeight="1">
      <c r="A10281" t="inlineStr">
        <is>
          <t>A 39208-2026</t>
        </is>
      </c>
      <c r="B10281" t="inlineStr">
        <is>
          <t>avverkningsanmälan</t>
        </is>
      </c>
      <c r="C10281" t="inlineStr">
        <is>
          <t>Föryngringsavverkning</t>
        </is>
      </c>
      <c r="D10281" s="1" t="n">
        <v>46287</v>
      </c>
      <c r="E10281" s="1" t="n">
        <v>46307</v>
      </c>
      <c r="F10281" t="inlineStr">
        <is>
          <t>VÄRMLANDS LÄN</t>
        </is>
      </c>
      <c r="G10281" t="inlineStr">
        <is>
          <t>SUNNE</t>
        </is>
      </c>
      <c r="I10281" t="n">
        <v>0.9</v>
      </c>
      <c r="J10281" t="n">
        <v>0</v>
      </c>
      <c r="K10281" t="n">
        <v>0</v>
      </c>
      <c r="L10281" t="n">
        <v>0</v>
      </c>
      <c r="M10281" t="n">
        <v>0</v>
      </c>
      <c r="N10281" t="n">
        <v>0</v>
      </c>
      <c r="O10281" t="n">
        <v>0</v>
      </c>
      <c r="P10281" t="n">
        <v>0</v>
      </c>
      <c r="Q10281" t="n">
        <v>0</v>
      </c>
      <c r="R10281" t="n">
        <v>0</v>
      </c>
      <c r="S10281" t="n">
        <v>0</v>
      </c>
      <c r="T10281" t="n">
        <v>0</v>
      </c>
      <c r="U10281" t="n">
        <v>0</v>
      </c>
      <c r="V10281" s="2" t="inlineStr"/>
    </row>
    <row r="10282" ht="15" customHeight="1">
      <c r="A10282" t="inlineStr">
        <is>
          <t>A 44325-2024</t>
        </is>
      </c>
      <c r="B10282" t="inlineStr">
        <is>
          <t>avverkningsanmälan</t>
        </is>
      </c>
      <c r="C10282" t="inlineStr">
        <is>
          <t>Föryngringsavverkning</t>
        </is>
      </c>
      <c r="D10282" s="1" t="n">
        <v>45573</v>
      </c>
      <c r="E10282" s="1" t="n">
        <v>46307</v>
      </c>
      <c r="F10282" t="inlineStr">
        <is>
          <t>VÄRMLANDS LÄN</t>
        </is>
      </c>
      <c r="G10282" t="inlineStr">
        <is>
          <t>TORSBY</t>
        </is>
      </c>
      <c r="I10282" t="n">
        <v>1.2</v>
      </c>
      <c r="J10282" t="n">
        <v>0</v>
      </c>
      <c r="K10282" t="n">
        <v>0</v>
      </c>
      <c r="L10282" t="n">
        <v>0</v>
      </c>
      <c r="M10282" t="n">
        <v>0</v>
      </c>
      <c r="N10282" t="n">
        <v>0</v>
      </c>
      <c r="O10282" t="n">
        <v>0</v>
      </c>
      <c r="P10282" t="n">
        <v>0</v>
      </c>
      <c r="Q10282" t="n">
        <v>0</v>
      </c>
      <c r="R10282" t="n">
        <v>0</v>
      </c>
      <c r="S10282" t="n">
        <v>0</v>
      </c>
      <c r="T10282" t="n">
        <v>0</v>
      </c>
      <c r="U10282" t="n">
        <v>0</v>
      </c>
      <c r="V10282" s="2" t="inlineStr"/>
    </row>
    <row r="10283" ht="15" customHeight="1">
      <c r="A10283" t="inlineStr">
        <is>
          <t>A 32874-2026</t>
        </is>
      </c>
      <c r="B10283" t="inlineStr">
        <is>
          <t>avverkningsanmälan</t>
        </is>
      </c>
      <c r="C10283" t="inlineStr">
        <is>
          <t>Föryngringsavverkning</t>
        </is>
      </c>
      <c r="D10283" s="1" t="n">
        <v>46244</v>
      </c>
      <c r="E10283" s="1" t="n">
        <v>46307</v>
      </c>
      <c r="F10283" t="inlineStr">
        <is>
          <t>VÄRMLANDS LÄN</t>
        </is>
      </c>
      <c r="G10283" t="inlineStr">
        <is>
          <t>SUNNE</t>
        </is>
      </c>
      <c r="H10283" t="inlineStr">
        <is>
          <t>Bergvik skog väst AB</t>
        </is>
      </c>
      <c r="I10283" t="n">
        <v>0.9</v>
      </c>
      <c r="J10283" t="n">
        <v>0</v>
      </c>
      <c r="K10283" t="n">
        <v>0</v>
      </c>
      <c r="L10283" t="n">
        <v>0</v>
      </c>
      <c r="M10283" t="n">
        <v>0</v>
      </c>
      <c r="N10283" t="n">
        <v>0</v>
      </c>
      <c r="O10283" t="n">
        <v>0</v>
      </c>
      <c r="P10283" t="n">
        <v>0</v>
      </c>
      <c r="Q10283" t="n">
        <v>0</v>
      </c>
      <c r="R10283" t="n">
        <v>0</v>
      </c>
      <c r="S10283" t="n">
        <v>0</v>
      </c>
      <c r="T10283" t="n">
        <v>0</v>
      </c>
      <c r="U10283" t="n">
        <v>0</v>
      </c>
      <c r="V10283" s="2" t="inlineStr"/>
    </row>
    <row r="10284" ht="15" customHeight="1">
      <c r="A10284" t="inlineStr">
        <is>
          <t>A 39186-2026</t>
        </is>
      </c>
      <c r="B10284" t="inlineStr">
        <is>
          <t>avverkningsanmälan</t>
        </is>
      </c>
      <c r="C10284" t="inlineStr">
        <is>
          <t>Föryngringsavverkning</t>
        </is>
      </c>
      <c r="D10284" s="1" t="n">
        <v>46287</v>
      </c>
      <c r="E10284" s="1" t="n">
        <v>46307</v>
      </c>
      <c r="F10284" t="inlineStr">
        <is>
          <t>VÄRMLANDS LÄN</t>
        </is>
      </c>
      <c r="G10284" t="inlineStr">
        <is>
          <t>HAGFORS</t>
        </is>
      </c>
      <c r="H10284" t="inlineStr">
        <is>
          <t>Bergvik skog väst AB</t>
        </is>
      </c>
      <c r="I10284" t="n">
        <v>7.3</v>
      </c>
      <c r="J10284" t="n">
        <v>0</v>
      </c>
      <c r="K10284" t="n">
        <v>0</v>
      </c>
      <c r="L10284" t="n">
        <v>0</v>
      </c>
      <c r="M10284" t="n">
        <v>0</v>
      </c>
      <c r="N10284" t="n">
        <v>0</v>
      </c>
      <c r="O10284" t="n">
        <v>0</v>
      </c>
      <c r="P10284" t="n">
        <v>0</v>
      </c>
      <c r="Q10284" t="n">
        <v>0</v>
      </c>
      <c r="R10284" t="n">
        <v>0</v>
      </c>
      <c r="S10284" t="n">
        <v>0</v>
      </c>
      <c r="T10284" t="n">
        <v>0</v>
      </c>
      <c r="U10284" t="n">
        <v>0</v>
      </c>
      <c r="V10284" s="2" t="inlineStr"/>
    </row>
    <row r="10285" ht="15" customHeight="1">
      <c r="A10285" t="inlineStr">
        <is>
          <t>A 40487-2022</t>
        </is>
      </c>
      <c r="B10285" t="inlineStr">
        <is>
          <t>avverkningsanmälan</t>
        </is>
      </c>
      <c r="C10285" t="inlineStr">
        <is>
          <t>Föryngringsavverkning</t>
        </is>
      </c>
      <c r="D10285" s="1" t="n">
        <v>44819</v>
      </c>
      <c r="E10285" s="1" t="n">
        <v>46307</v>
      </c>
      <c r="F10285" t="inlineStr">
        <is>
          <t>VÄRMLANDS LÄN</t>
        </is>
      </c>
      <c r="G10285" t="inlineStr">
        <is>
          <t>SÄFFLE</t>
        </is>
      </c>
      <c r="I10285" t="n">
        <v>1.3</v>
      </c>
      <c r="J10285" t="n">
        <v>0</v>
      </c>
      <c r="K10285" t="n">
        <v>0</v>
      </c>
      <c r="L10285" t="n">
        <v>0</v>
      </c>
      <c r="M10285" t="n">
        <v>0</v>
      </c>
      <c r="N10285" t="n">
        <v>0</v>
      </c>
      <c r="O10285" t="n">
        <v>0</v>
      </c>
      <c r="P10285" t="n">
        <v>0</v>
      </c>
      <c r="Q10285" t="n">
        <v>0</v>
      </c>
      <c r="R10285" t="n">
        <v>0</v>
      </c>
      <c r="S10285" t="n">
        <v>0</v>
      </c>
      <c r="T10285" t="n">
        <v>0</v>
      </c>
      <c r="U10285" t="n">
        <v>0</v>
      </c>
      <c r="V10285" s="2" t="inlineStr"/>
    </row>
    <row r="10286" ht="15" customHeight="1">
      <c r="A10286" t="inlineStr">
        <is>
          <t>A 43304-2025</t>
        </is>
      </c>
      <c r="B10286" t="inlineStr">
        <is>
          <t>avverkningsanmälan</t>
        </is>
      </c>
      <c r="C10286" t="inlineStr">
        <is>
          <t>Föryngringsavverkning</t>
        </is>
      </c>
      <c r="D10286" s="1" t="n">
        <v>45910</v>
      </c>
      <c r="E10286" s="1" t="n">
        <v>46307</v>
      </c>
      <c r="F10286" t="inlineStr">
        <is>
          <t>VÄRMLANDS LÄN</t>
        </is>
      </c>
      <c r="G10286" t="inlineStr">
        <is>
          <t>TORSBY</t>
        </is>
      </c>
      <c r="I10286" t="n">
        <v>1.1</v>
      </c>
      <c r="J10286" t="n">
        <v>0</v>
      </c>
      <c r="K10286" t="n">
        <v>0</v>
      </c>
      <c r="L10286" t="n">
        <v>0</v>
      </c>
      <c r="M10286" t="n">
        <v>0</v>
      </c>
      <c r="N10286" t="n">
        <v>0</v>
      </c>
      <c r="O10286" t="n">
        <v>0</v>
      </c>
      <c r="P10286" t="n">
        <v>0</v>
      </c>
      <c r="Q10286" t="n">
        <v>0</v>
      </c>
      <c r="R10286" t="n">
        <v>0</v>
      </c>
      <c r="S10286" t="n">
        <v>0</v>
      </c>
      <c r="T10286" t="n">
        <v>0</v>
      </c>
      <c r="U10286" t="n">
        <v>0</v>
      </c>
      <c r="V10286" s="2" t="inlineStr"/>
    </row>
    <row r="10287" ht="15" customHeight="1">
      <c r="A10287" t="inlineStr">
        <is>
          <t>A 33144-2026</t>
        </is>
      </c>
      <c r="B10287" t="inlineStr">
        <is>
          <t>avverkningsanmälan</t>
        </is>
      </c>
      <c r="C10287" t="inlineStr">
        <is>
          <t>Föryngringsavverkning</t>
        </is>
      </c>
      <c r="D10287" s="1" t="n">
        <v>46245</v>
      </c>
      <c r="E10287" s="1" t="n">
        <v>46307</v>
      </c>
      <c r="F10287" t="inlineStr">
        <is>
          <t>VÄRMLANDS LÄN</t>
        </is>
      </c>
      <c r="G10287" t="inlineStr">
        <is>
          <t>EDA</t>
        </is>
      </c>
      <c r="I10287" t="n">
        <v>2.8</v>
      </c>
      <c r="J10287" t="n">
        <v>0</v>
      </c>
      <c r="K10287" t="n">
        <v>0</v>
      </c>
      <c r="L10287" t="n">
        <v>0</v>
      </c>
      <c r="M10287" t="n">
        <v>0</v>
      </c>
      <c r="N10287" t="n">
        <v>0</v>
      </c>
      <c r="O10287" t="n">
        <v>0</v>
      </c>
      <c r="P10287" t="n">
        <v>0</v>
      </c>
      <c r="Q10287" t="n">
        <v>0</v>
      </c>
      <c r="R10287" t="n">
        <v>0</v>
      </c>
      <c r="S10287" t="n">
        <v>0</v>
      </c>
      <c r="T10287" t="n">
        <v>0</v>
      </c>
      <c r="U10287" t="n">
        <v>0</v>
      </c>
      <c r="V10287" s="2" t="inlineStr"/>
    </row>
    <row r="10288" ht="15" customHeight="1">
      <c r="A10288" t="inlineStr">
        <is>
          <t>A 39194-2026</t>
        </is>
      </c>
      <c r="B10288" t="inlineStr">
        <is>
          <t>avverkningsanmälan</t>
        </is>
      </c>
      <c r="C10288" t="inlineStr">
        <is>
          <t>Föryngringsavverkning</t>
        </is>
      </c>
      <c r="D10288" s="1" t="n">
        <v>46287</v>
      </c>
      <c r="E10288" s="1" t="n">
        <v>46307</v>
      </c>
      <c r="F10288" t="inlineStr">
        <is>
          <t>VÄRMLANDS LÄN</t>
        </is>
      </c>
      <c r="G10288" t="inlineStr">
        <is>
          <t>TORSBY</t>
        </is>
      </c>
      <c r="H10288" t="inlineStr">
        <is>
          <t>Bergvik skog väst AB</t>
        </is>
      </c>
      <c r="I10288" t="n">
        <v>22.3</v>
      </c>
      <c r="J10288" t="n">
        <v>0</v>
      </c>
      <c r="K10288" t="n">
        <v>0</v>
      </c>
      <c r="L10288" t="n">
        <v>0</v>
      </c>
      <c r="M10288" t="n">
        <v>0</v>
      </c>
      <c r="N10288" t="n">
        <v>0</v>
      </c>
      <c r="O10288" t="n">
        <v>0</v>
      </c>
      <c r="P10288" t="n">
        <v>0</v>
      </c>
      <c r="Q10288" t="n">
        <v>0</v>
      </c>
      <c r="R10288" t="n">
        <v>0</v>
      </c>
      <c r="S10288" t="n">
        <v>0</v>
      </c>
      <c r="T10288" t="n">
        <v>0</v>
      </c>
      <c r="U10288" t="n">
        <v>0</v>
      </c>
      <c r="V10288" s="2" t="inlineStr"/>
    </row>
    <row r="10289" ht="15" customHeight="1">
      <c r="A10289" t="inlineStr">
        <is>
          <t>A 21286-2026</t>
        </is>
      </c>
      <c r="B10289" t="inlineStr">
        <is>
          <t>avverkningsanmälan</t>
        </is>
      </c>
      <c r="C10289" t="inlineStr">
        <is>
          <t>Avverkning för annat ändamål</t>
        </is>
      </c>
      <c r="D10289" s="1" t="n">
        <v>46147</v>
      </c>
      <c r="E10289" s="1" t="n">
        <v>46307</v>
      </c>
      <c r="F10289" t="inlineStr">
        <is>
          <t>VÄRMLANDS LÄN</t>
        </is>
      </c>
      <c r="G10289" t="inlineStr">
        <is>
          <t>EDA</t>
        </is>
      </c>
      <c r="I10289" t="n">
        <v>6.2</v>
      </c>
      <c r="J10289" t="n">
        <v>0</v>
      </c>
      <c r="K10289" t="n">
        <v>0</v>
      </c>
      <c r="L10289" t="n">
        <v>0</v>
      </c>
      <c r="M10289" t="n">
        <v>0</v>
      </c>
      <c r="N10289" t="n">
        <v>0</v>
      </c>
      <c r="O10289" t="n">
        <v>0</v>
      </c>
      <c r="P10289" t="n">
        <v>0</v>
      </c>
      <c r="Q10289" t="n">
        <v>0</v>
      </c>
      <c r="R10289" t="n">
        <v>0</v>
      </c>
      <c r="S10289" t="n">
        <v>0</v>
      </c>
      <c r="T10289" t="n">
        <v>0</v>
      </c>
      <c r="U10289" t="n">
        <v>0</v>
      </c>
      <c r="V10289" s="2" t="inlineStr"/>
    </row>
    <row r="10290" ht="15" customHeight="1">
      <c r="A10290" t="inlineStr">
        <is>
          <t>A 6614-2024</t>
        </is>
      </c>
      <c r="B10290" t="inlineStr">
        <is>
          <t>avverkningsanmälan</t>
        </is>
      </c>
      <c r="C10290" t="inlineStr">
        <is>
          <t>Föryngringsavverkning</t>
        </is>
      </c>
      <c r="D10290" s="1" t="n">
        <v>45341</v>
      </c>
      <c r="E10290" s="1" t="n">
        <v>46307</v>
      </c>
      <c r="F10290" t="inlineStr">
        <is>
          <t>VÄRMLANDS LÄN</t>
        </is>
      </c>
      <c r="G10290" t="inlineStr">
        <is>
          <t>SÄFFLE</t>
        </is>
      </c>
      <c r="I10290" t="n">
        <v>5.3</v>
      </c>
      <c r="J10290" t="n">
        <v>0</v>
      </c>
      <c r="K10290" t="n">
        <v>0</v>
      </c>
      <c r="L10290" t="n">
        <v>0</v>
      </c>
      <c r="M10290" t="n">
        <v>0</v>
      </c>
      <c r="N10290" t="n">
        <v>0</v>
      </c>
      <c r="O10290" t="n">
        <v>0</v>
      </c>
      <c r="P10290" t="n">
        <v>0</v>
      </c>
      <c r="Q10290" t="n">
        <v>0</v>
      </c>
      <c r="R10290" t="n">
        <v>0</v>
      </c>
      <c r="S10290" t="n">
        <v>0</v>
      </c>
      <c r="T10290" t="n">
        <v>0</v>
      </c>
      <c r="U10290" t="n">
        <v>0</v>
      </c>
      <c r="V10290" s="2" t="inlineStr"/>
    </row>
    <row r="10291" ht="15" customHeight="1">
      <c r="A10291" t="inlineStr">
        <is>
          <t>A 32972-2026</t>
        </is>
      </c>
      <c r="B10291" t="inlineStr">
        <is>
          <t>avverkningsanmälan</t>
        </is>
      </c>
      <c r="C10291" t="inlineStr">
        <is>
          <t>Föryngringsavverkning</t>
        </is>
      </c>
      <c r="D10291" s="1" t="n">
        <v>46244</v>
      </c>
      <c r="E10291" s="1" t="n">
        <v>46307</v>
      </c>
      <c r="F10291" t="inlineStr">
        <is>
          <t>VÄRMLANDS LÄN</t>
        </is>
      </c>
      <c r="G10291" t="inlineStr">
        <is>
          <t>FILIPSTAD</t>
        </is>
      </c>
      <c r="H10291" t="inlineStr">
        <is>
          <t>Bergvik skog väst AB</t>
        </is>
      </c>
      <c r="I10291" t="n">
        <v>1.4</v>
      </c>
      <c r="J10291" t="n">
        <v>0</v>
      </c>
      <c r="K10291" t="n">
        <v>0</v>
      </c>
      <c r="L10291" t="n">
        <v>0</v>
      </c>
      <c r="M10291" t="n">
        <v>0</v>
      </c>
      <c r="N10291" t="n">
        <v>0</v>
      </c>
      <c r="O10291" t="n">
        <v>0</v>
      </c>
      <c r="P10291" t="n">
        <v>0</v>
      </c>
      <c r="Q10291" t="n">
        <v>0</v>
      </c>
      <c r="R10291" t="n">
        <v>0</v>
      </c>
      <c r="S10291" t="n">
        <v>0</v>
      </c>
      <c r="T10291" t="n">
        <v>0</v>
      </c>
      <c r="U10291" t="n">
        <v>0</v>
      </c>
      <c r="V10291" s="2" t="inlineStr"/>
    </row>
    <row r="10292" ht="15" customHeight="1">
      <c r="A10292" t="inlineStr">
        <is>
          <t>A 33458-2026</t>
        </is>
      </c>
      <c r="B10292" t="inlineStr">
        <is>
          <t>avverkningsanmälan</t>
        </is>
      </c>
      <c r="C10292" t="inlineStr">
        <is>
          <t>Föryngringsavverkning</t>
        </is>
      </c>
      <c r="D10292" s="1" t="n">
        <v>46247</v>
      </c>
      <c r="E10292" s="1" t="n">
        <v>46307</v>
      </c>
      <c r="F10292" t="inlineStr">
        <is>
          <t>VÄRMLANDS LÄN</t>
        </is>
      </c>
      <c r="G10292" t="inlineStr">
        <is>
          <t>TORSBY</t>
        </is>
      </c>
      <c r="I10292" t="n">
        <v>2.6</v>
      </c>
      <c r="J10292" t="n">
        <v>0</v>
      </c>
      <c r="K10292" t="n">
        <v>0</v>
      </c>
      <c r="L10292" t="n">
        <v>0</v>
      </c>
      <c r="M10292" t="n">
        <v>0</v>
      </c>
      <c r="N10292" t="n">
        <v>0</v>
      </c>
      <c r="O10292" t="n">
        <v>0</v>
      </c>
      <c r="P10292" t="n">
        <v>0</v>
      </c>
      <c r="Q10292" t="n">
        <v>0</v>
      </c>
      <c r="R10292" t="n">
        <v>0</v>
      </c>
      <c r="S10292" t="n">
        <v>0</v>
      </c>
      <c r="T10292" t="n">
        <v>0</v>
      </c>
      <c r="U10292" t="n">
        <v>0</v>
      </c>
      <c r="V10292" s="2" t="inlineStr"/>
    </row>
    <row r="10293" ht="15" customHeight="1">
      <c r="A10293" t="inlineStr">
        <is>
          <t>A 39856-2026</t>
        </is>
      </c>
      <c r="B10293" t="inlineStr">
        <is>
          <t>avverkningsanmälan</t>
        </is>
      </c>
      <c r="C10293" t="inlineStr">
        <is>
          <t>Föryngringsavverkning</t>
        </is>
      </c>
      <c r="D10293" s="1" t="n">
        <v>46290</v>
      </c>
      <c r="E10293" s="1" t="n">
        <v>46307</v>
      </c>
      <c r="F10293" t="inlineStr">
        <is>
          <t>VÄRMLANDS LÄN</t>
        </is>
      </c>
      <c r="G10293" t="inlineStr">
        <is>
          <t>EDA</t>
        </is>
      </c>
      <c r="I10293" t="n">
        <v>3.2</v>
      </c>
      <c r="J10293" t="n">
        <v>0</v>
      </c>
      <c r="K10293" t="n">
        <v>0</v>
      </c>
      <c r="L10293" t="n">
        <v>0</v>
      </c>
      <c r="M10293" t="n">
        <v>0</v>
      </c>
      <c r="N10293" t="n">
        <v>0</v>
      </c>
      <c r="O10293" t="n">
        <v>0</v>
      </c>
      <c r="P10293" t="n">
        <v>0</v>
      </c>
      <c r="Q10293" t="n">
        <v>0</v>
      </c>
      <c r="R10293" t="n">
        <v>0</v>
      </c>
      <c r="S10293" t="n">
        <v>0</v>
      </c>
      <c r="T10293" t="n">
        <v>0</v>
      </c>
      <c r="U10293" t="n">
        <v>0</v>
      </c>
      <c r="V10293" s="2" t="inlineStr"/>
    </row>
    <row r="10294" ht="15" customHeight="1">
      <c r="A10294" t="inlineStr">
        <is>
          <t>A 39860-2026</t>
        </is>
      </c>
      <c r="B10294" t="inlineStr">
        <is>
          <t>avverkningsanmälan</t>
        </is>
      </c>
      <c r="C10294" t="inlineStr">
        <is>
          <t>Föryngringsavverkning</t>
        </is>
      </c>
      <c r="D10294" s="1" t="n">
        <v>46290</v>
      </c>
      <c r="E10294" s="1" t="n">
        <v>46307</v>
      </c>
      <c r="F10294" t="inlineStr">
        <is>
          <t>VÄRMLANDS LÄN</t>
        </is>
      </c>
      <c r="G10294" t="inlineStr">
        <is>
          <t>EDA</t>
        </is>
      </c>
      <c r="I10294" t="n">
        <v>2.9</v>
      </c>
      <c r="J10294" t="n">
        <v>0</v>
      </c>
      <c r="K10294" t="n">
        <v>0</v>
      </c>
      <c r="L10294" t="n">
        <v>0</v>
      </c>
      <c r="M10294" t="n">
        <v>0</v>
      </c>
      <c r="N10294" t="n">
        <v>0</v>
      </c>
      <c r="O10294" t="n">
        <v>0</v>
      </c>
      <c r="P10294" t="n">
        <v>0</v>
      </c>
      <c r="Q10294" t="n">
        <v>0</v>
      </c>
      <c r="R10294" t="n">
        <v>0</v>
      </c>
      <c r="S10294" t="n">
        <v>0</v>
      </c>
      <c r="T10294" t="n">
        <v>0</v>
      </c>
      <c r="U10294" t="n">
        <v>0</v>
      </c>
      <c r="V10294" s="2" t="inlineStr"/>
    </row>
    <row r="10295" ht="15" customHeight="1">
      <c r="A10295" t="inlineStr">
        <is>
          <t>A 39872-2026</t>
        </is>
      </c>
      <c r="B10295" t="inlineStr">
        <is>
          <t>avverkningsanmälan</t>
        </is>
      </c>
      <c r="C10295" t="inlineStr">
        <is>
          <t>Föryngringsavverkning</t>
        </is>
      </c>
      <c r="D10295" s="1" t="n">
        <v>46290</v>
      </c>
      <c r="E10295" s="1" t="n">
        <v>46307</v>
      </c>
      <c r="F10295" t="inlineStr">
        <is>
          <t>VÄRMLANDS LÄN</t>
        </is>
      </c>
      <c r="G10295" t="inlineStr">
        <is>
          <t>TORSBY</t>
        </is>
      </c>
      <c r="H10295" t="inlineStr">
        <is>
          <t>Bergvik skog väst AB</t>
        </is>
      </c>
      <c r="I10295" t="n">
        <v>3.8</v>
      </c>
      <c r="J10295" t="n">
        <v>0</v>
      </c>
      <c r="K10295" t="n">
        <v>0</v>
      </c>
      <c r="L10295" t="n">
        <v>0</v>
      </c>
      <c r="M10295" t="n">
        <v>0</v>
      </c>
      <c r="N10295" t="n">
        <v>0</v>
      </c>
      <c r="O10295" t="n">
        <v>0</v>
      </c>
      <c r="P10295" t="n">
        <v>0</v>
      </c>
      <c r="Q10295" t="n">
        <v>0</v>
      </c>
      <c r="R10295" t="n">
        <v>0</v>
      </c>
      <c r="S10295" t="n">
        <v>0</v>
      </c>
      <c r="T10295" t="n">
        <v>0</v>
      </c>
      <c r="U10295" t="n">
        <v>0</v>
      </c>
      <c r="V10295" s="2" t="inlineStr"/>
    </row>
    <row r="10296" ht="15" customHeight="1">
      <c r="A10296" t="inlineStr">
        <is>
          <t>A 39532-2026</t>
        </is>
      </c>
      <c r="B10296" t="inlineStr">
        <is>
          <t>avverkningsanmälan</t>
        </is>
      </c>
      <c r="C10296" t="inlineStr">
        <is>
          <t>Föryngringsavverkning</t>
        </is>
      </c>
      <c r="D10296" s="1" t="n">
        <v>46289</v>
      </c>
      <c r="E10296" s="1" t="n">
        <v>46307</v>
      </c>
      <c r="F10296" t="inlineStr">
        <is>
          <t>VÄRMLANDS LÄN</t>
        </is>
      </c>
      <c r="G10296" t="inlineStr">
        <is>
          <t>HAGFORS</t>
        </is>
      </c>
      <c r="H10296" t="inlineStr">
        <is>
          <t>Bergvik skog väst AB</t>
        </is>
      </c>
      <c r="I10296" t="n">
        <v>2.5</v>
      </c>
      <c r="J10296" t="n">
        <v>0</v>
      </c>
      <c r="K10296" t="n">
        <v>0</v>
      </c>
      <c r="L10296" t="n">
        <v>0</v>
      </c>
      <c r="M10296" t="n">
        <v>0</v>
      </c>
      <c r="N10296" t="n">
        <v>0</v>
      </c>
      <c r="O10296" t="n">
        <v>0</v>
      </c>
      <c r="P10296" t="n">
        <v>0</v>
      </c>
      <c r="Q10296" t="n">
        <v>0</v>
      </c>
      <c r="R10296" t="n">
        <v>0</v>
      </c>
      <c r="S10296" t="n">
        <v>0</v>
      </c>
      <c r="T10296" t="n">
        <v>0</v>
      </c>
      <c r="U10296" t="n">
        <v>0</v>
      </c>
      <c r="V10296" s="2" t="inlineStr"/>
    </row>
    <row r="10297" ht="15" customHeight="1">
      <c r="A10297" t="inlineStr">
        <is>
          <t>A 39591-2026</t>
        </is>
      </c>
      <c r="B10297" t="inlineStr">
        <is>
          <t>avverkningsanmälan</t>
        </is>
      </c>
      <c r="C10297" t="inlineStr">
        <is>
          <t>Föryngringsavverkning</t>
        </is>
      </c>
      <c r="D10297" s="1" t="n">
        <v>46289</v>
      </c>
      <c r="E10297" s="1" t="n">
        <v>46307</v>
      </c>
      <c r="F10297" t="inlineStr">
        <is>
          <t>VÄRMLANDS LÄN</t>
        </is>
      </c>
      <c r="G10297" t="inlineStr">
        <is>
          <t>FILIPSTAD</t>
        </is>
      </c>
      <c r="H10297" t="inlineStr">
        <is>
          <t>Kyrkan</t>
        </is>
      </c>
      <c r="I10297" t="n">
        <v>1.8</v>
      </c>
      <c r="J10297" t="n">
        <v>0</v>
      </c>
      <c r="K10297" t="n">
        <v>0</v>
      </c>
      <c r="L10297" t="n">
        <v>0</v>
      </c>
      <c r="M10297" t="n">
        <v>0</v>
      </c>
      <c r="N10297" t="n">
        <v>0</v>
      </c>
      <c r="O10297" t="n">
        <v>0</v>
      </c>
      <c r="P10297" t="n">
        <v>0</v>
      </c>
      <c r="Q10297" t="n">
        <v>0</v>
      </c>
      <c r="R10297" t="n">
        <v>0</v>
      </c>
      <c r="S10297" t="n">
        <v>0</v>
      </c>
      <c r="T10297" t="n">
        <v>0</v>
      </c>
      <c r="U10297" t="n">
        <v>0</v>
      </c>
      <c r="V10297" s="2" t="inlineStr"/>
    </row>
    <row r="10298" ht="15" customHeight="1">
      <c r="A10298" t="inlineStr">
        <is>
          <t>A 33233-2026</t>
        </is>
      </c>
      <c r="B10298" t="inlineStr">
        <is>
          <t>avverkningsanmälan</t>
        </is>
      </c>
      <c r="C10298" t="inlineStr">
        <is>
          <t>Föryngringsavverkning</t>
        </is>
      </c>
      <c r="D10298" s="1" t="n">
        <v>46246</v>
      </c>
      <c r="E10298" s="1" t="n">
        <v>46307</v>
      </c>
      <c r="F10298" t="inlineStr">
        <is>
          <t>VÄRMLANDS LÄN</t>
        </is>
      </c>
      <c r="G10298" t="inlineStr">
        <is>
          <t>KIL</t>
        </is>
      </c>
      <c r="I10298" t="n">
        <v>1.2</v>
      </c>
      <c r="J10298" t="n">
        <v>0</v>
      </c>
      <c r="K10298" t="n">
        <v>0</v>
      </c>
      <c r="L10298" t="n">
        <v>0</v>
      </c>
      <c r="M10298" t="n">
        <v>0</v>
      </c>
      <c r="N10298" t="n">
        <v>0</v>
      </c>
      <c r="O10298" t="n">
        <v>0</v>
      </c>
      <c r="P10298" t="n">
        <v>0</v>
      </c>
      <c r="Q10298" t="n">
        <v>0</v>
      </c>
      <c r="R10298" t="n">
        <v>0</v>
      </c>
      <c r="S10298" t="n">
        <v>0</v>
      </c>
      <c r="T10298" t="n">
        <v>0</v>
      </c>
      <c r="U10298" t="n">
        <v>0</v>
      </c>
      <c r="V10298" s="2" t="inlineStr"/>
    </row>
    <row r="10299" ht="15" customHeight="1">
      <c r="A10299" t="inlineStr">
        <is>
          <t>A 39843-2026</t>
        </is>
      </c>
      <c r="B10299" t="inlineStr">
        <is>
          <t>avverkningsanmälan</t>
        </is>
      </c>
      <c r="C10299" t="inlineStr">
        <is>
          <t>Föryngringsavverkning</t>
        </is>
      </c>
      <c r="D10299" s="1" t="n">
        <v>46290</v>
      </c>
      <c r="E10299" s="1" t="n">
        <v>46307</v>
      </c>
      <c r="F10299" t="inlineStr">
        <is>
          <t>VÄRMLANDS LÄN</t>
        </is>
      </c>
      <c r="G10299" t="inlineStr">
        <is>
          <t>TORSBY</t>
        </is>
      </c>
      <c r="I10299" t="n">
        <v>6.4</v>
      </c>
      <c r="J10299" t="n">
        <v>0</v>
      </c>
      <c r="K10299" t="n">
        <v>0</v>
      </c>
      <c r="L10299" t="n">
        <v>0</v>
      </c>
      <c r="M10299" t="n">
        <v>0</v>
      </c>
      <c r="N10299" t="n">
        <v>0</v>
      </c>
      <c r="O10299" t="n">
        <v>0</v>
      </c>
      <c r="P10299" t="n">
        <v>0</v>
      </c>
      <c r="Q10299" t="n">
        <v>0</v>
      </c>
      <c r="R10299" t="n">
        <v>0</v>
      </c>
      <c r="S10299" t="n">
        <v>0</v>
      </c>
      <c r="T10299" t="n">
        <v>0</v>
      </c>
      <c r="U10299" t="n">
        <v>0</v>
      </c>
      <c r="V10299" s="2" t="inlineStr"/>
    </row>
    <row r="10300" ht="15" customHeight="1">
      <c r="A10300" t="inlineStr">
        <is>
          <t>A 35945-2026</t>
        </is>
      </c>
      <c r="B10300" t="inlineStr">
        <is>
          <t>avverkningsanmälan</t>
        </is>
      </c>
      <c r="C10300" t="inlineStr">
        <is>
          <t>Föryngringsavverkning</t>
        </is>
      </c>
      <c r="D10300" s="1" t="n">
        <v>46266</v>
      </c>
      <c r="E10300" s="1" t="n">
        <v>46307</v>
      </c>
      <c r="F10300" t="inlineStr">
        <is>
          <t>VÄRMLANDS LÄN</t>
        </is>
      </c>
      <c r="G10300" t="inlineStr">
        <is>
          <t>FILIPSTAD</t>
        </is>
      </c>
      <c r="H10300" t="inlineStr">
        <is>
          <t>Bergvik skog väst AB</t>
        </is>
      </c>
      <c r="I10300" t="n">
        <v>6</v>
      </c>
      <c r="J10300" t="n">
        <v>0</v>
      </c>
      <c r="K10300" t="n">
        <v>0</v>
      </c>
      <c r="L10300" t="n">
        <v>0</v>
      </c>
      <c r="M10300" t="n">
        <v>0</v>
      </c>
      <c r="N10300" t="n">
        <v>0</v>
      </c>
      <c r="O10300" t="n">
        <v>0</v>
      </c>
      <c r="P10300" t="n">
        <v>0</v>
      </c>
      <c r="Q10300" t="n">
        <v>0</v>
      </c>
      <c r="R10300" t="n">
        <v>0</v>
      </c>
      <c r="S10300" t="n">
        <v>0</v>
      </c>
      <c r="T10300" t="n">
        <v>0</v>
      </c>
      <c r="U10300" t="n">
        <v>0</v>
      </c>
      <c r="V10300" s="2" t="inlineStr"/>
    </row>
    <row r="10301" ht="15" customHeight="1">
      <c r="A10301" t="inlineStr">
        <is>
          <t>A 33324-2026</t>
        </is>
      </c>
      <c r="B10301" t="inlineStr">
        <is>
          <t>avverkningsanmälan</t>
        </is>
      </c>
      <c r="C10301" t="inlineStr">
        <is>
          <t>Föryngringsavverkning</t>
        </is>
      </c>
      <c r="D10301" s="1" t="n">
        <v>46246</v>
      </c>
      <c r="E10301" s="1" t="n">
        <v>46307</v>
      </c>
      <c r="F10301" t="inlineStr">
        <is>
          <t>VÄRMLANDS LÄN</t>
        </is>
      </c>
      <c r="G10301" t="inlineStr">
        <is>
          <t>FILIPSTAD</t>
        </is>
      </c>
      <c r="H10301" t="inlineStr">
        <is>
          <t>Bergvik skog väst AB</t>
        </is>
      </c>
      <c r="I10301" t="n">
        <v>23.8</v>
      </c>
      <c r="J10301" t="n">
        <v>0</v>
      </c>
      <c r="K10301" t="n">
        <v>0</v>
      </c>
      <c r="L10301" t="n">
        <v>0</v>
      </c>
      <c r="M10301" t="n">
        <v>0</v>
      </c>
      <c r="N10301" t="n">
        <v>0</v>
      </c>
      <c r="O10301" t="n">
        <v>0</v>
      </c>
      <c r="P10301" t="n">
        <v>0</v>
      </c>
      <c r="Q10301" t="n">
        <v>0</v>
      </c>
      <c r="R10301" t="n">
        <v>0</v>
      </c>
      <c r="S10301" t="n">
        <v>0</v>
      </c>
      <c r="T10301" t="n">
        <v>0</v>
      </c>
      <c r="U10301" t="n">
        <v>0</v>
      </c>
      <c r="V10301" s="2" t="inlineStr"/>
    </row>
    <row r="10302" ht="15" customHeight="1">
      <c r="A10302" t="inlineStr">
        <is>
          <t>A 33370-2026</t>
        </is>
      </c>
      <c r="B10302" t="inlineStr">
        <is>
          <t>avverkningsanmälan</t>
        </is>
      </c>
      <c r="C10302" t="inlineStr">
        <is>
          <t>Föryngringsavverkning</t>
        </is>
      </c>
      <c r="D10302" s="1" t="n">
        <v>46247</v>
      </c>
      <c r="E10302" s="1" t="n">
        <v>46307</v>
      </c>
      <c r="F10302" t="inlineStr">
        <is>
          <t>VÄRMLANDS LÄN</t>
        </is>
      </c>
      <c r="G10302" t="inlineStr">
        <is>
          <t>SUNNE</t>
        </is>
      </c>
      <c r="H10302" t="inlineStr">
        <is>
          <t>Bergvik skog väst AB</t>
        </is>
      </c>
      <c r="I10302" t="n">
        <v>10.2</v>
      </c>
      <c r="J10302" t="n">
        <v>0</v>
      </c>
      <c r="K10302" t="n">
        <v>0</v>
      </c>
      <c r="L10302" t="n">
        <v>0</v>
      </c>
      <c r="M10302" t="n">
        <v>0</v>
      </c>
      <c r="N10302" t="n">
        <v>0</v>
      </c>
      <c r="O10302" t="n">
        <v>0</v>
      </c>
      <c r="P10302" t="n">
        <v>0</v>
      </c>
      <c r="Q10302" t="n">
        <v>0</v>
      </c>
      <c r="R10302" t="n">
        <v>0</v>
      </c>
      <c r="S10302" t="n">
        <v>0</v>
      </c>
      <c r="T10302" t="n">
        <v>0</v>
      </c>
      <c r="U10302" t="n">
        <v>0</v>
      </c>
      <c r="V10302" s="2" t="inlineStr"/>
    </row>
    <row r="10303" ht="15" customHeight="1">
      <c r="A10303" t="inlineStr">
        <is>
          <t>A 33610-2026</t>
        </is>
      </c>
      <c r="B10303" t="inlineStr">
        <is>
          <t>avverkningsanmälan</t>
        </is>
      </c>
      <c r="C10303" t="inlineStr">
        <is>
          <t>Föryngringsavverkning</t>
        </is>
      </c>
      <c r="D10303" s="1" t="n">
        <v>46248</v>
      </c>
      <c r="E10303" s="1" t="n">
        <v>46307</v>
      </c>
      <c r="F10303" t="inlineStr">
        <is>
          <t>VÄRMLANDS LÄN</t>
        </is>
      </c>
      <c r="G10303" t="inlineStr">
        <is>
          <t>ARVIKA</t>
        </is>
      </c>
      <c r="I10303" t="n">
        <v>2.5</v>
      </c>
      <c r="J10303" t="n">
        <v>0</v>
      </c>
      <c r="K10303" t="n">
        <v>0</v>
      </c>
      <c r="L10303" t="n">
        <v>0</v>
      </c>
      <c r="M10303" t="n">
        <v>0</v>
      </c>
      <c r="N10303" t="n">
        <v>0</v>
      </c>
      <c r="O10303" t="n">
        <v>0</v>
      </c>
      <c r="P10303" t="n">
        <v>0</v>
      </c>
      <c r="Q10303" t="n">
        <v>0</v>
      </c>
      <c r="R10303" t="n">
        <v>0</v>
      </c>
      <c r="S10303" t="n">
        <v>0</v>
      </c>
      <c r="T10303" t="n">
        <v>0</v>
      </c>
      <c r="U10303" t="n">
        <v>0</v>
      </c>
      <c r="V10303" s="2" t="inlineStr"/>
    </row>
    <row r="10304" ht="15" customHeight="1">
      <c r="A10304" t="inlineStr">
        <is>
          <t>A 39507-2026</t>
        </is>
      </c>
      <c r="B10304" t="inlineStr">
        <is>
          <t>avverkningsanmälan</t>
        </is>
      </c>
      <c r="C10304" t="inlineStr">
        <is>
          <t>Föryngringsavverkning</t>
        </is>
      </c>
      <c r="D10304" s="1" t="n">
        <v>46289</v>
      </c>
      <c r="E10304" s="1" t="n">
        <v>46307</v>
      </c>
      <c r="F10304" t="inlineStr">
        <is>
          <t>VÄRMLANDS LÄN</t>
        </is>
      </c>
      <c r="G10304" t="inlineStr">
        <is>
          <t>FORSHAGA</t>
        </is>
      </c>
      <c r="I10304" t="n">
        <v>1.9</v>
      </c>
      <c r="J10304" t="n">
        <v>0</v>
      </c>
      <c r="K10304" t="n">
        <v>0</v>
      </c>
      <c r="L10304" t="n">
        <v>0</v>
      </c>
      <c r="M10304" t="n">
        <v>0</v>
      </c>
      <c r="N10304" t="n">
        <v>0</v>
      </c>
      <c r="O10304" t="n">
        <v>0</v>
      </c>
      <c r="P10304" t="n">
        <v>0</v>
      </c>
      <c r="Q10304" t="n">
        <v>0</v>
      </c>
      <c r="R10304" t="n">
        <v>0</v>
      </c>
      <c r="S10304" t="n">
        <v>0</v>
      </c>
      <c r="T10304" t="n">
        <v>0</v>
      </c>
      <c r="U10304" t="n">
        <v>0</v>
      </c>
      <c r="V10304" s="2" t="inlineStr"/>
    </row>
    <row r="10305" ht="15" customHeight="1">
      <c r="A10305" t="inlineStr">
        <is>
          <t>A 37968-2026</t>
        </is>
      </c>
      <c r="B10305" t="inlineStr">
        <is>
          <t>avverkningsanmälan</t>
        </is>
      </c>
      <c r="C10305" t="inlineStr">
        <is>
          <t>Föryngringsavverkning</t>
        </is>
      </c>
      <c r="D10305" s="1" t="n">
        <v>46280</v>
      </c>
      <c r="E10305" s="1" t="n">
        <v>46307</v>
      </c>
      <c r="F10305" t="inlineStr">
        <is>
          <t>VÄRMLANDS LÄN</t>
        </is>
      </c>
      <c r="G10305" t="inlineStr">
        <is>
          <t>STORFORS</t>
        </is>
      </c>
      <c r="I10305" t="n">
        <v>1.2</v>
      </c>
      <c r="J10305" t="n">
        <v>0</v>
      </c>
      <c r="K10305" t="n">
        <v>0</v>
      </c>
      <c r="L10305" t="n">
        <v>0</v>
      </c>
      <c r="M10305" t="n">
        <v>0</v>
      </c>
      <c r="N10305" t="n">
        <v>0</v>
      </c>
      <c r="O10305" t="n">
        <v>0</v>
      </c>
      <c r="P10305" t="n">
        <v>0</v>
      </c>
      <c r="Q10305" t="n">
        <v>0</v>
      </c>
      <c r="R10305" t="n">
        <v>0</v>
      </c>
      <c r="S10305" t="n">
        <v>0</v>
      </c>
      <c r="T10305" t="n">
        <v>0</v>
      </c>
      <c r="U10305" t="n">
        <v>0</v>
      </c>
      <c r="V10305" s="2" t="inlineStr"/>
    </row>
    <row r="10306" ht="15" customHeight="1">
      <c r="A10306" t="inlineStr">
        <is>
          <t>A 36668-2026</t>
        </is>
      </c>
      <c r="B10306" t="inlineStr">
        <is>
          <t>avverkningsanmälan</t>
        </is>
      </c>
      <c r="C10306" t="inlineStr">
        <is>
          <t>Avverkning för annat ändamål</t>
        </is>
      </c>
      <c r="D10306" s="1" t="n">
        <v>46272</v>
      </c>
      <c r="E10306" s="1" t="n">
        <v>46307</v>
      </c>
      <c r="F10306" t="inlineStr">
        <is>
          <t>VÄRMLANDS LÄN</t>
        </is>
      </c>
      <c r="G10306" t="inlineStr">
        <is>
          <t>TORSBY</t>
        </is>
      </c>
      <c r="H10306" t="inlineStr">
        <is>
          <t>Bergvik skog väst AB</t>
        </is>
      </c>
      <c r="I10306" t="n">
        <v>4.4</v>
      </c>
      <c r="J10306" t="n">
        <v>0</v>
      </c>
      <c r="K10306" t="n">
        <v>0</v>
      </c>
      <c r="L10306" t="n">
        <v>0</v>
      </c>
      <c r="M10306" t="n">
        <v>0</v>
      </c>
      <c r="N10306" t="n">
        <v>0</v>
      </c>
      <c r="O10306" t="n">
        <v>0</v>
      </c>
      <c r="P10306" t="n">
        <v>0</v>
      </c>
      <c r="Q10306" t="n">
        <v>0</v>
      </c>
      <c r="R10306" t="n">
        <v>0</v>
      </c>
      <c r="S10306" t="n">
        <v>0</v>
      </c>
      <c r="T10306" t="n">
        <v>0</v>
      </c>
      <c r="U10306" t="n">
        <v>0</v>
      </c>
      <c r="V10306" s="2" t="inlineStr"/>
    </row>
    <row r="10307" ht="15" customHeight="1">
      <c r="A10307" t="inlineStr">
        <is>
          <t>A 33266-2026</t>
        </is>
      </c>
      <c r="B10307" t="inlineStr">
        <is>
          <t>avverkningsanmälan</t>
        </is>
      </c>
      <c r="C10307" t="inlineStr">
        <is>
          <t>Föryngringsavverkning</t>
        </is>
      </c>
      <c r="D10307" s="1" t="n">
        <v>46246</v>
      </c>
      <c r="E10307" s="1" t="n">
        <v>46307</v>
      </c>
      <c r="F10307" t="inlineStr">
        <is>
          <t>VÄRMLANDS LÄN</t>
        </is>
      </c>
      <c r="G10307" t="inlineStr">
        <is>
          <t>KIL</t>
        </is>
      </c>
      <c r="I10307" t="n">
        <v>5.2</v>
      </c>
      <c r="J10307" t="n">
        <v>0</v>
      </c>
      <c r="K10307" t="n">
        <v>0</v>
      </c>
      <c r="L10307" t="n">
        <v>0</v>
      </c>
      <c r="M10307" t="n">
        <v>0</v>
      </c>
      <c r="N10307" t="n">
        <v>0</v>
      </c>
      <c r="O10307" t="n">
        <v>0</v>
      </c>
      <c r="P10307" t="n">
        <v>0</v>
      </c>
      <c r="Q10307" t="n">
        <v>0</v>
      </c>
      <c r="R10307" t="n">
        <v>0</v>
      </c>
      <c r="S10307" t="n">
        <v>0</v>
      </c>
      <c r="T10307" t="n">
        <v>0</v>
      </c>
      <c r="U10307" t="n">
        <v>0</v>
      </c>
      <c r="V10307" s="2" t="inlineStr"/>
    </row>
    <row r="10308" ht="15" customHeight="1">
      <c r="A10308" t="inlineStr">
        <is>
          <t>A 33427-2026</t>
        </is>
      </c>
      <c r="B10308" t="inlineStr">
        <is>
          <t>avverkningsanmälan</t>
        </is>
      </c>
      <c r="C10308" t="inlineStr">
        <is>
          <t>Föryngringsavverkning</t>
        </is>
      </c>
      <c r="D10308" s="1" t="n">
        <v>46247</v>
      </c>
      <c r="E10308" s="1" t="n">
        <v>46307</v>
      </c>
      <c r="F10308" t="inlineStr">
        <is>
          <t>VÄRMLANDS LÄN</t>
        </is>
      </c>
      <c r="G10308" t="inlineStr">
        <is>
          <t>EDA</t>
        </is>
      </c>
      <c r="I10308" t="n">
        <v>3.2</v>
      </c>
      <c r="J10308" t="n">
        <v>0</v>
      </c>
      <c r="K10308" t="n">
        <v>0</v>
      </c>
      <c r="L10308" t="n">
        <v>0</v>
      </c>
      <c r="M10308" t="n">
        <v>0</v>
      </c>
      <c r="N10308" t="n">
        <v>0</v>
      </c>
      <c r="O10308" t="n">
        <v>0</v>
      </c>
      <c r="P10308" t="n">
        <v>0</v>
      </c>
      <c r="Q10308" t="n">
        <v>0</v>
      </c>
      <c r="R10308" t="n">
        <v>0</v>
      </c>
      <c r="S10308" t="n">
        <v>0</v>
      </c>
      <c r="T10308" t="n">
        <v>0</v>
      </c>
      <c r="U10308" t="n">
        <v>0</v>
      </c>
      <c r="V10308" s="2" t="inlineStr"/>
    </row>
    <row r="10309" ht="15" customHeight="1">
      <c r="A10309" t="inlineStr">
        <is>
          <t>A 33432-2026</t>
        </is>
      </c>
      <c r="B10309" t="inlineStr">
        <is>
          <t>avverkningsanmälan</t>
        </is>
      </c>
      <c r="C10309" t="inlineStr">
        <is>
          <t>Föryngringsavverkning</t>
        </is>
      </c>
      <c r="D10309" s="1" t="n">
        <v>46247</v>
      </c>
      <c r="E10309" s="1" t="n">
        <v>46307</v>
      </c>
      <c r="F10309" t="inlineStr">
        <is>
          <t>VÄRMLANDS LÄN</t>
        </is>
      </c>
      <c r="G10309" t="inlineStr">
        <is>
          <t>ARVIKA</t>
        </is>
      </c>
      <c r="I10309" t="n">
        <v>0.9</v>
      </c>
      <c r="J10309" t="n">
        <v>0</v>
      </c>
      <c r="K10309" t="n">
        <v>0</v>
      </c>
      <c r="L10309" t="n">
        <v>0</v>
      </c>
      <c r="M10309" t="n">
        <v>0</v>
      </c>
      <c r="N10309" t="n">
        <v>0</v>
      </c>
      <c r="O10309" t="n">
        <v>0</v>
      </c>
      <c r="P10309" t="n">
        <v>0</v>
      </c>
      <c r="Q10309" t="n">
        <v>0</v>
      </c>
      <c r="R10309" t="n">
        <v>0</v>
      </c>
      <c r="S10309" t="n">
        <v>0</v>
      </c>
      <c r="T10309" t="n">
        <v>0</v>
      </c>
      <c r="U10309" t="n">
        <v>0</v>
      </c>
      <c r="V10309" s="2" t="inlineStr"/>
    </row>
    <row r="10310" ht="15" customHeight="1">
      <c r="A10310" t="inlineStr">
        <is>
          <t>A 33274-2026</t>
        </is>
      </c>
      <c r="B10310" t="inlineStr">
        <is>
          <t>avverkningsanmälan</t>
        </is>
      </c>
      <c r="C10310" t="inlineStr">
        <is>
          <t>Föryngringsavverkning</t>
        </is>
      </c>
      <c r="D10310" s="1" t="n">
        <v>46246</v>
      </c>
      <c r="E10310" s="1" t="n">
        <v>46307</v>
      </c>
      <c r="F10310" t="inlineStr">
        <is>
          <t>VÄRMLANDS LÄN</t>
        </is>
      </c>
      <c r="G10310" t="inlineStr">
        <is>
          <t>TORSBY</t>
        </is>
      </c>
      <c r="H10310" t="inlineStr">
        <is>
          <t>Bergvik skog väst AB</t>
        </is>
      </c>
      <c r="I10310" t="n">
        <v>8.699999999999999</v>
      </c>
      <c r="J10310" t="n">
        <v>0</v>
      </c>
      <c r="K10310" t="n">
        <v>0</v>
      </c>
      <c r="L10310" t="n">
        <v>0</v>
      </c>
      <c r="M10310" t="n">
        <v>0</v>
      </c>
      <c r="N10310" t="n">
        <v>0</v>
      </c>
      <c r="O10310" t="n">
        <v>0</v>
      </c>
      <c r="P10310" t="n">
        <v>0</v>
      </c>
      <c r="Q10310" t="n">
        <v>0</v>
      </c>
      <c r="R10310" t="n">
        <v>0</v>
      </c>
      <c r="S10310" t="n">
        <v>0</v>
      </c>
      <c r="T10310" t="n">
        <v>0</v>
      </c>
      <c r="U10310" t="n">
        <v>0</v>
      </c>
      <c r="V10310" s="2" t="inlineStr"/>
    </row>
    <row r="10311" ht="15" customHeight="1">
      <c r="A10311" t="inlineStr">
        <is>
          <t>A 32981-2026</t>
        </is>
      </c>
      <c r="B10311" t="inlineStr">
        <is>
          <t>avverkningsanmälan</t>
        </is>
      </c>
      <c r="C10311" t="inlineStr">
        <is>
          <t>Föryngringsavverkning</t>
        </is>
      </c>
      <c r="D10311" s="1" t="n">
        <v>46244</v>
      </c>
      <c r="E10311" s="1" t="n">
        <v>46307</v>
      </c>
      <c r="F10311" t="inlineStr">
        <is>
          <t>VÄRMLANDS LÄN</t>
        </is>
      </c>
      <c r="G10311" t="inlineStr">
        <is>
          <t>ÅRJÄNG</t>
        </is>
      </c>
      <c r="I10311" t="n">
        <v>7.9</v>
      </c>
      <c r="J10311" t="n">
        <v>0</v>
      </c>
      <c r="K10311" t="n">
        <v>0</v>
      </c>
      <c r="L10311" t="n">
        <v>0</v>
      </c>
      <c r="M10311" t="n">
        <v>0</v>
      </c>
      <c r="N10311" t="n">
        <v>0</v>
      </c>
      <c r="O10311" t="n">
        <v>0</v>
      </c>
      <c r="P10311" t="n">
        <v>0</v>
      </c>
      <c r="Q10311" t="n">
        <v>0</v>
      </c>
      <c r="R10311" t="n">
        <v>0</v>
      </c>
      <c r="S10311" t="n">
        <v>0</v>
      </c>
      <c r="T10311" t="n">
        <v>0</v>
      </c>
      <c r="U10311" t="n">
        <v>0</v>
      </c>
      <c r="V10311" s="2" t="inlineStr"/>
    </row>
    <row r="10312" ht="15" customHeight="1">
      <c r="A10312" t="inlineStr">
        <is>
          <t>A 33658-2026</t>
        </is>
      </c>
      <c r="B10312" t="inlineStr">
        <is>
          <t>avverkningsanmälan</t>
        </is>
      </c>
      <c r="C10312" t="inlineStr">
        <is>
          <t>Föryngringsavverkning</t>
        </is>
      </c>
      <c r="D10312" s="1" t="n">
        <v>46247</v>
      </c>
      <c r="E10312" s="1" t="n">
        <v>46307</v>
      </c>
      <c r="F10312" t="inlineStr">
        <is>
          <t>VÄRMLANDS LÄN</t>
        </is>
      </c>
      <c r="G10312" t="inlineStr">
        <is>
          <t>TORSBY</t>
        </is>
      </c>
      <c r="I10312" t="n">
        <v>2.4</v>
      </c>
      <c r="J10312" t="n">
        <v>0</v>
      </c>
      <c r="K10312" t="n">
        <v>0</v>
      </c>
      <c r="L10312" t="n">
        <v>0</v>
      </c>
      <c r="M10312" t="n">
        <v>0</v>
      </c>
      <c r="N10312" t="n">
        <v>0</v>
      </c>
      <c r="O10312" t="n">
        <v>0</v>
      </c>
      <c r="P10312" t="n">
        <v>0</v>
      </c>
      <c r="Q10312" t="n">
        <v>0</v>
      </c>
      <c r="R10312" t="n">
        <v>0</v>
      </c>
      <c r="S10312" t="n">
        <v>0</v>
      </c>
      <c r="T10312" t="n">
        <v>0</v>
      </c>
      <c r="U10312" t="n">
        <v>0</v>
      </c>
      <c r="V10312" s="2" t="inlineStr"/>
    </row>
    <row r="10313" ht="15" customHeight="1">
      <c r="A10313" t="inlineStr">
        <is>
          <t>A 38076-2026</t>
        </is>
      </c>
      <c r="B10313" t="inlineStr">
        <is>
          <t>avverkningsanmälan</t>
        </is>
      </c>
      <c r="C10313" t="inlineStr">
        <is>
          <t>Föryngringsavverkning</t>
        </is>
      </c>
      <c r="D10313" s="1" t="n">
        <v>46281</v>
      </c>
      <c r="E10313" s="1" t="n">
        <v>46307</v>
      </c>
      <c r="F10313" t="inlineStr">
        <is>
          <t>VÄRMLANDS LÄN</t>
        </is>
      </c>
      <c r="G10313" t="inlineStr">
        <is>
          <t>EDA</t>
        </is>
      </c>
      <c r="I10313" t="n">
        <v>2.4</v>
      </c>
      <c r="J10313" t="n">
        <v>0</v>
      </c>
      <c r="K10313" t="n">
        <v>0</v>
      </c>
      <c r="L10313" t="n">
        <v>0</v>
      </c>
      <c r="M10313" t="n">
        <v>0</v>
      </c>
      <c r="N10313" t="n">
        <v>0</v>
      </c>
      <c r="O10313" t="n">
        <v>0</v>
      </c>
      <c r="P10313" t="n">
        <v>0</v>
      </c>
      <c r="Q10313" t="n">
        <v>0</v>
      </c>
      <c r="R10313" t="n">
        <v>0</v>
      </c>
      <c r="S10313" t="n">
        <v>0</v>
      </c>
      <c r="T10313" t="n">
        <v>0</v>
      </c>
      <c r="U10313" t="n">
        <v>0</v>
      </c>
      <c r="V10313" s="2" t="inlineStr"/>
    </row>
    <row r="10314" ht="15" customHeight="1">
      <c r="A10314" t="inlineStr">
        <is>
          <t>A 39497-2026</t>
        </is>
      </c>
      <c r="B10314" t="inlineStr">
        <is>
          <t>avverkningsanmälan</t>
        </is>
      </c>
      <c r="C10314" t="inlineStr">
        <is>
          <t>Föryngringsavverkning</t>
        </is>
      </c>
      <c r="D10314" s="1" t="n">
        <v>46289</v>
      </c>
      <c r="E10314" s="1" t="n">
        <v>46307</v>
      </c>
      <c r="F10314" t="inlineStr">
        <is>
          <t>VÄRMLANDS LÄN</t>
        </is>
      </c>
      <c r="G10314" t="inlineStr">
        <is>
          <t>EDA</t>
        </is>
      </c>
      <c r="I10314" t="n">
        <v>0.7</v>
      </c>
      <c r="J10314" t="n">
        <v>0</v>
      </c>
      <c r="K10314" t="n">
        <v>0</v>
      </c>
      <c r="L10314" t="n">
        <v>0</v>
      </c>
      <c r="M10314" t="n">
        <v>0</v>
      </c>
      <c r="N10314" t="n">
        <v>0</v>
      </c>
      <c r="O10314" t="n">
        <v>0</v>
      </c>
      <c r="P10314" t="n">
        <v>0</v>
      </c>
      <c r="Q10314" t="n">
        <v>0</v>
      </c>
      <c r="R10314" t="n">
        <v>0</v>
      </c>
      <c r="S10314" t="n">
        <v>0</v>
      </c>
      <c r="T10314" t="n">
        <v>0</v>
      </c>
      <c r="U10314" t="n">
        <v>0</v>
      </c>
      <c r="V10314" s="2" t="inlineStr"/>
    </row>
    <row r="10315" ht="15" customHeight="1">
      <c r="A10315" t="inlineStr">
        <is>
          <t>A 39711-2026</t>
        </is>
      </c>
      <c r="B10315" t="inlineStr">
        <is>
          <t>avverkningsanmälan</t>
        </is>
      </c>
      <c r="C10315" t="inlineStr">
        <is>
          <t>Föryngringsavverkning</t>
        </is>
      </c>
      <c r="D10315" s="1" t="n">
        <v>46289</v>
      </c>
      <c r="E10315" s="1" t="n">
        <v>46307</v>
      </c>
      <c r="F10315" t="inlineStr">
        <is>
          <t>VÄRMLANDS LÄN</t>
        </is>
      </c>
      <c r="G10315" t="inlineStr">
        <is>
          <t>TORSBY</t>
        </is>
      </c>
      <c r="H10315" t="inlineStr">
        <is>
          <t>Bergvik skog väst AB</t>
        </is>
      </c>
      <c r="I10315" t="n">
        <v>1.8</v>
      </c>
      <c r="J10315" t="n">
        <v>0</v>
      </c>
      <c r="K10315" t="n">
        <v>0</v>
      </c>
      <c r="L10315" t="n">
        <v>0</v>
      </c>
      <c r="M10315" t="n">
        <v>0</v>
      </c>
      <c r="N10315" t="n">
        <v>0</v>
      </c>
      <c r="O10315" t="n">
        <v>0</v>
      </c>
      <c r="P10315" t="n">
        <v>0</v>
      </c>
      <c r="Q10315" t="n">
        <v>0</v>
      </c>
      <c r="R10315" t="n">
        <v>0</v>
      </c>
      <c r="S10315" t="n">
        <v>0</v>
      </c>
      <c r="T10315" t="n">
        <v>0</v>
      </c>
      <c r="U10315" t="n">
        <v>0</v>
      </c>
      <c r="V10315" s="2" t="inlineStr"/>
    </row>
    <row r="10316" ht="15" customHeight="1">
      <c r="A10316" t="inlineStr">
        <is>
          <t>A 39771-2026</t>
        </is>
      </c>
      <c r="B10316" t="inlineStr">
        <is>
          <t>avverkningsanmälan</t>
        </is>
      </c>
      <c r="C10316" t="inlineStr">
        <is>
          <t>Föryngringsavverkning</t>
        </is>
      </c>
      <c r="D10316" s="1" t="n">
        <v>46290</v>
      </c>
      <c r="E10316" s="1" t="n">
        <v>46307</v>
      </c>
      <c r="F10316" t="inlineStr">
        <is>
          <t>VÄRMLANDS LÄN</t>
        </is>
      </c>
      <c r="G10316" t="inlineStr">
        <is>
          <t>TORSBY</t>
        </is>
      </c>
      <c r="I10316" t="n">
        <v>1.2</v>
      </c>
      <c r="J10316" t="n">
        <v>0</v>
      </c>
      <c r="K10316" t="n">
        <v>0</v>
      </c>
      <c r="L10316" t="n">
        <v>0</v>
      </c>
      <c r="M10316" t="n">
        <v>0</v>
      </c>
      <c r="N10316" t="n">
        <v>0</v>
      </c>
      <c r="O10316" t="n">
        <v>0</v>
      </c>
      <c r="P10316" t="n">
        <v>0</v>
      </c>
      <c r="Q10316" t="n">
        <v>0</v>
      </c>
      <c r="R10316" t="n">
        <v>0</v>
      </c>
      <c r="S10316" t="n">
        <v>0</v>
      </c>
      <c r="T10316" t="n">
        <v>0</v>
      </c>
      <c r="U10316" t="n">
        <v>0</v>
      </c>
      <c r="V10316" s="2" t="inlineStr"/>
    </row>
    <row r="10317" ht="15" customHeight="1">
      <c r="A10317" t="inlineStr">
        <is>
          <t>A 39780-2026</t>
        </is>
      </c>
      <c r="B10317" t="inlineStr">
        <is>
          <t>avverkningsanmälan</t>
        </is>
      </c>
      <c r="C10317" t="inlineStr">
        <is>
          <t>Föryngringsavverkning</t>
        </is>
      </c>
      <c r="D10317" s="1" t="n">
        <v>46290</v>
      </c>
      <c r="E10317" s="1" t="n">
        <v>46307</v>
      </c>
      <c r="F10317" t="inlineStr">
        <is>
          <t>VÄRMLANDS LÄN</t>
        </is>
      </c>
      <c r="G10317" t="inlineStr">
        <is>
          <t>EDA</t>
        </is>
      </c>
      <c r="H10317" t="inlineStr">
        <is>
          <t>Bergvik skog väst AB</t>
        </is>
      </c>
      <c r="I10317" t="n">
        <v>2.9</v>
      </c>
      <c r="J10317" t="n">
        <v>0</v>
      </c>
      <c r="K10317" t="n">
        <v>0</v>
      </c>
      <c r="L10317" t="n">
        <v>0</v>
      </c>
      <c r="M10317" t="n">
        <v>0</v>
      </c>
      <c r="N10317" t="n">
        <v>0</v>
      </c>
      <c r="O10317" t="n">
        <v>0</v>
      </c>
      <c r="P10317" t="n">
        <v>0</v>
      </c>
      <c r="Q10317" t="n">
        <v>0</v>
      </c>
      <c r="R10317" t="n">
        <v>0</v>
      </c>
      <c r="S10317" t="n">
        <v>0</v>
      </c>
      <c r="T10317" t="n">
        <v>0</v>
      </c>
      <c r="U10317" t="n">
        <v>0</v>
      </c>
      <c r="V10317" s="2" t="inlineStr"/>
    </row>
    <row r="10318" ht="15" customHeight="1">
      <c r="A10318" t="inlineStr">
        <is>
          <t>A 39825-2026</t>
        </is>
      </c>
      <c r="B10318" t="inlineStr">
        <is>
          <t>avverkningsanmälan</t>
        </is>
      </c>
      <c r="C10318" t="inlineStr">
        <is>
          <t>Föryngringsavverkning</t>
        </is>
      </c>
      <c r="D10318" s="1" t="n">
        <v>46290</v>
      </c>
      <c r="E10318" s="1" t="n">
        <v>46307</v>
      </c>
      <c r="F10318" t="inlineStr">
        <is>
          <t>VÄRMLANDS LÄN</t>
        </is>
      </c>
      <c r="G10318" t="inlineStr">
        <is>
          <t>HAGFORS</t>
        </is>
      </c>
      <c r="H10318" t="inlineStr">
        <is>
          <t>Bergvik skog väst AB</t>
        </is>
      </c>
      <c r="I10318" t="n">
        <v>4.6</v>
      </c>
      <c r="J10318" t="n">
        <v>0</v>
      </c>
      <c r="K10318" t="n">
        <v>0</v>
      </c>
      <c r="L10318" t="n">
        <v>0</v>
      </c>
      <c r="M10318" t="n">
        <v>0</v>
      </c>
      <c r="N10318" t="n">
        <v>0</v>
      </c>
      <c r="O10318" t="n">
        <v>0</v>
      </c>
      <c r="P10318" t="n">
        <v>0</v>
      </c>
      <c r="Q10318" t="n">
        <v>0</v>
      </c>
      <c r="R10318" t="n">
        <v>0</v>
      </c>
      <c r="S10318" t="n">
        <v>0</v>
      </c>
      <c r="T10318" t="n">
        <v>0</v>
      </c>
      <c r="U10318" t="n">
        <v>0</v>
      </c>
      <c r="V10318" s="2" t="inlineStr"/>
    </row>
    <row r="10319" ht="15" customHeight="1">
      <c r="A10319" t="inlineStr">
        <is>
          <t>A 33616-2026</t>
        </is>
      </c>
      <c r="B10319" t="inlineStr">
        <is>
          <t>avverkningsanmälan</t>
        </is>
      </c>
      <c r="C10319" t="inlineStr">
        <is>
          <t>Föryngringsavverkning</t>
        </is>
      </c>
      <c r="D10319" s="1" t="n">
        <v>46248</v>
      </c>
      <c r="E10319" s="1" t="n">
        <v>46307</v>
      </c>
      <c r="F10319" t="inlineStr">
        <is>
          <t>VÄRMLANDS LÄN</t>
        </is>
      </c>
      <c r="G10319" t="inlineStr">
        <is>
          <t>ARVIKA</t>
        </is>
      </c>
      <c r="I10319" t="n">
        <v>1.6</v>
      </c>
      <c r="J10319" t="n">
        <v>0</v>
      </c>
      <c r="K10319" t="n">
        <v>0</v>
      </c>
      <c r="L10319" t="n">
        <v>0</v>
      </c>
      <c r="M10319" t="n">
        <v>0</v>
      </c>
      <c r="N10319" t="n">
        <v>0</v>
      </c>
      <c r="O10319" t="n">
        <v>0</v>
      </c>
      <c r="P10319" t="n">
        <v>0</v>
      </c>
      <c r="Q10319" t="n">
        <v>0</v>
      </c>
      <c r="R10319" t="n">
        <v>0</v>
      </c>
      <c r="S10319" t="n">
        <v>0</v>
      </c>
      <c r="T10319" t="n">
        <v>0</v>
      </c>
      <c r="U10319" t="n">
        <v>0</v>
      </c>
      <c r="V10319" s="2" t="inlineStr"/>
    </row>
    <row r="10320" ht="15" customHeight="1">
      <c r="A10320" t="inlineStr">
        <is>
          <t>A 39724-2026</t>
        </is>
      </c>
      <c r="B10320" t="inlineStr">
        <is>
          <t>avverkningsanmälan</t>
        </is>
      </c>
      <c r="C10320" t="inlineStr">
        <is>
          <t>Föryngringsavverkning</t>
        </is>
      </c>
      <c r="D10320" s="1" t="n">
        <v>46289</v>
      </c>
      <c r="E10320" s="1" t="n">
        <v>46307</v>
      </c>
      <c r="F10320" t="inlineStr">
        <is>
          <t>VÄRMLANDS LÄN</t>
        </is>
      </c>
      <c r="G10320" t="inlineStr">
        <is>
          <t>ÅRJÄNG</t>
        </is>
      </c>
      <c r="I10320" t="n">
        <v>1.2</v>
      </c>
      <c r="J10320" t="n">
        <v>0</v>
      </c>
      <c r="K10320" t="n">
        <v>0</v>
      </c>
      <c r="L10320" t="n">
        <v>0</v>
      </c>
      <c r="M10320" t="n">
        <v>0</v>
      </c>
      <c r="N10320" t="n">
        <v>0</v>
      </c>
      <c r="O10320" t="n">
        <v>0</v>
      </c>
      <c r="P10320" t="n">
        <v>0</v>
      </c>
      <c r="Q10320" t="n">
        <v>0</v>
      </c>
      <c r="R10320" t="n">
        <v>0</v>
      </c>
      <c r="S10320" t="n">
        <v>0</v>
      </c>
      <c r="T10320" t="n">
        <v>0</v>
      </c>
      <c r="U10320" t="n">
        <v>0</v>
      </c>
      <c r="V10320" s="2" t="inlineStr"/>
    </row>
    <row r="10321" ht="15" customHeight="1">
      <c r="A10321" t="inlineStr">
        <is>
          <t>A 39749-2026</t>
        </is>
      </c>
      <c r="B10321" t="inlineStr">
        <is>
          <t>avverkningsanmälan</t>
        </is>
      </c>
      <c r="C10321" t="inlineStr">
        <is>
          <t>Föryngringsavverkning</t>
        </is>
      </c>
      <c r="D10321" s="1" t="n">
        <v>46290</v>
      </c>
      <c r="E10321" s="1" t="n">
        <v>46307</v>
      </c>
      <c r="F10321" t="inlineStr">
        <is>
          <t>VÄRMLANDS LÄN</t>
        </is>
      </c>
      <c r="G10321" t="inlineStr">
        <is>
          <t>TORSBY</t>
        </is>
      </c>
      <c r="I10321" t="n">
        <v>3.1</v>
      </c>
      <c r="J10321" t="n">
        <v>0</v>
      </c>
      <c r="K10321" t="n">
        <v>0</v>
      </c>
      <c r="L10321" t="n">
        <v>0</v>
      </c>
      <c r="M10321" t="n">
        <v>0</v>
      </c>
      <c r="N10321" t="n">
        <v>0</v>
      </c>
      <c r="O10321" t="n">
        <v>0</v>
      </c>
      <c r="P10321" t="n">
        <v>0</v>
      </c>
      <c r="Q10321" t="n">
        <v>0</v>
      </c>
      <c r="R10321" t="n">
        <v>0</v>
      </c>
      <c r="S10321" t="n">
        <v>0</v>
      </c>
      <c r="T10321" t="n">
        <v>0</v>
      </c>
      <c r="U10321" t="n">
        <v>0</v>
      </c>
      <c r="V10321" s="2" t="inlineStr"/>
    </row>
    <row r="10322" ht="15" customHeight="1">
      <c r="A10322" t="inlineStr">
        <is>
          <t>A 39665-2026</t>
        </is>
      </c>
      <c r="B10322" t="inlineStr">
        <is>
          <t>avverkningsanmälan</t>
        </is>
      </c>
      <c r="C10322" t="inlineStr">
        <is>
          <t>Föryngringsavverkning</t>
        </is>
      </c>
      <c r="D10322" s="1" t="n">
        <v>46289</v>
      </c>
      <c r="E10322" s="1" t="n">
        <v>46307</v>
      </c>
      <c r="F10322" t="inlineStr">
        <is>
          <t>VÄRMLANDS LÄN</t>
        </is>
      </c>
      <c r="G10322" t="inlineStr">
        <is>
          <t>TORSBY</t>
        </is>
      </c>
      <c r="H10322" t="inlineStr">
        <is>
          <t>Bergvik skog väst AB</t>
        </is>
      </c>
      <c r="I10322" t="n">
        <v>9.9</v>
      </c>
      <c r="J10322" t="n">
        <v>0</v>
      </c>
      <c r="K10322" t="n">
        <v>0</v>
      </c>
      <c r="L10322" t="n">
        <v>0</v>
      </c>
      <c r="M10322" t="n">
        <v>0</v>
      </c>
      <c r="N10322" t="n">
        <v>0</v>
      </c>
      <c r="O10322" t="n">
        <v>0</v>
      </c>
      <c r="P10322" t="n">
        <v>0</v>
      </c>
      <c r="Q10322" t="n">
        <v>0</v>
      </c>
      <c r="R10322" t="n">
        <v>0</v>
      </c>
      <c r="S10322" t="n">
        <v>0</v>
      </c>
      <c r="T10322" t="n">
        <v>0</v>
      </c>
      <c r="U10322" t="n">
        <v>0</v>
      </c>
      <c r="V10322" s="2" t="inlineStr"/>
    </row>
    <row r="10323" ht="15" customHeight="1">
      <c r="A10323" t="inlineStr">
        <is>
          <t>A 33264-2026</t>
        </is>
      </c>
      <c r="B10323" t="inlineStr">
        <is>
          <t>avverkningsanmälan</t>
        </is>
      </c>
      <c r="C10323" t="inlineStr">
        <is>
          <t>Föryngringsavverkning</t>
        </is>
      </c>
      <c r="D10323" s="1" t="n">
        <v>46246</v>
      </c>
      <c r="E10323" s="1" t="n">
        <v>46307</v>
      </c>
      <c r="F10323" t="inlineStr">
        <is>
          <t>VÄRMLANDS LÄN</t>
        </is>
      </c>
      <c r="G10323" t="inlineStr">
        <is>
          <t>ARVIKA</t>
        </is>
      </c>
      <c r="I10323" t="n">
        <v>0.8</v>
      </c>
      <c r="J10323" t="n">
        <v>0</v>
      </c>
      <c r="K10323" t="n">
        <v>0</v>
      </c>
      <c r="L10323" t="n">
        <v>0</v>
      </c>
      <c r="M10323" t="n">
        <v>0</v>
      </c>
      <c r="N10323" t="n">
        <v>0</v>
      </c>
      <c r="O10323" t="n">
        <v>0</v>
      </c>
      <c r="P10323" t="n">
        <v>0</v>
      </c>
      <c r="Q10323" t="n">
        <v>0</v>
      </c>
      <c r="R10323" t="n">
        <v>0</v>
      </c>
      <c r="S10323" t="n">
        <v>0</v>
      </c>
      <c r="T10323" t="n">
        <v>0</v>
      </c>
      <c r="U10323" t="n">
        <v>0</v>
      </c>
      <c r="V10323" s="2" t="inlineStr"/>
    </row>
    <row r="10324" ht="15" customHeight="1">
      <c r="A10324" t="inlineStr">
        <is>
          <t>A 39881-2026</t>
        </is>
      </c>
      <c r="B10324" t="inlineStr">
        <is>
          <t>avverkningsanmälan</t>
        </is>
      </c>
      <c r="C10324" t="inlineStr">
        <is>
          <t>Föryngringsavverkning</t>
        </is>
      </c>
      <c r="D10324" s="1" t="n">
        <v>46290</v>
      </c>
      <c r="E10324" s="1" t="n">
        <v>46307</v>
      </c>
      <c r="F10324" t="inlineStr">
        <is>
          <t>VÄRMLANDS LÄN</t>
        </is>
      </c>
      <c r="G10324" t="inlineStr">
        <is>
          <t>HAGFORS</t>
        </is>
      </c>
      <c r="H10324" t="inlineStr">
        <is>
          <t>Bergvik skog väst AB</t>
        </is>
      </c>
      <c r="I10324" t="n">
        <v>4.4</v>
      </c>
      <c r="J10324" t="n">
        <v>0</v>
      </c>
      <c r="K10324" t="n">
        <v>0</v>
      </c>
      <c r="L10324" t="n">
        <v>0</v>
      </c>
      <c r="M10324" t="n">
        <v>0</v>
      </c>
      <c r="N10324" t="n">
        <v>0</v>
      </c>
      <c r="O10324" t="n">
        <v>0</v>
      </c>
      <c r="P10324" t="n">
        <v>0</v>
      </c>
      <c r="Q10324" t="n">
        <v>0</v>
      </c>
      <c r="R10324" t="n">
        <v>0</v>
      </c>
      <c r="S10324" t="n">
        <v>0</v>
      </c>
      <c r="T10324" t="n">
        <v>0</v>
      </c>
      <c r="U10324" t="n">
        <v>0</v>
      </c>
      <c r="V10324" s="2" t="inlineStr"/>
    </row>
    <row r="10325" ht="15" customHeight="1">
      <c r="A10325" t="inlineStr">
        <is>
          <t>A 33425-2026</t>
        </is>
      </c>
      <c r="B10325" t="inlineStr">
        <is>
          <t>avverkningsanmälan</t>
        </is>
      </c>
      <c r="C10325" t="inlineStr">
        <is>
          <t>Föryngringsavverkning</t>
        </is>
      </c>
      <c r="D10325" s="1" t="n">
        <v>46247</v>
      </c>
      <c r="E10325" s="1" t="n">
        <v>46307</v>
      </c>
      <c r="F10325" t="inlineStr">
        <is>
          <t>VÄRMLANDS LÄN</t>
        </is>
      </c>
      <c r="G10325" t="inlineStr">
        <is>
          <t>EDA</t>
        </is>
      </c>
      <c r="I10325" t="n">
        <v>3.2</v>
      </c>
      <c r="J10325" t="n">
        <v>0</v>
      </c>
      <c r="K10325" t="n">
        <v>0</v>
      </c>
      <c r="L10325" t="n">
        <v>0</v>
      </c>
      <c r="M10325" t="n">
        <v>0</v>
      </c>
      <c r="N10325" t="n">
        <v>0</v>
      </c>
      <c r="O10325" t="n">
        <v>0</v>
      </c>
      <c r="P10325" t="n">
        <v>0</v>
      </c>
      <c r="Q10325" t="n">
        <v>0</v>
      </c>
      <c r="R10325" t="n">
        <v>0</v>
      </c>
      <c r="S10325" t="n">
        <v>0</v>
      </c>
      <c r="T10325" t="n">
        <v>0</v>
      </c>
      <c r="U10325" t="n">
        <v>0</v>
      </c>
      <c r="V10325" s="2" t="inlineStr"/>
    </row>
    <row r="10326" ht="15" customHeight="1">
      <c r="A10326" t="inlineStr">
        <is>
          <t>A 33666-2026</t>
        </is>
      </c>
      <c r="B10326" t="inlineStr">
        <is>
          <t>avverkningsanmälan</t>
        </is>
      </c>
      <c r="C10326" t="inlineStr">
        <is>
          <t>Föryngringsavverkning</t>
        </is>
      </c>
      <c r="D10326" s="1" t="n">
        <v>46247</v>
      </c>
      <c r="E10326" s="1" t="n">
        <v>46307</v>
      </c>
      <c r="F10326" t="inlineStr">
        <is>
          <t>VÄRMLANDS LÄN</t>
        </is>
      </c>
      <c r="G10326" t="inlineStr">
        <is>
          <t>TORSBY</t>
        </is>
      </c>
      <c r="I10326" t="n">
        <v>1.4</v>
      </c>
      <c r="J10326" t="n">
        <v>0</v>
      </c>
      <c r="K10326" t="n">
        <v>0</v>
      </c>
      <c r="L10326" t="n">
        <v>0</v>
      </c>
      <c r="M10326" t="n">
        <v>0</v>
      </c>
      <c r="N10326" t="n">
        <v>0</v>
      </c>
      <c r="O10326" t="n">
        <v>0</v>
      </c>
      <c r="P10326" t="n">
        <v>0</v>
      </c>
      <c r="Q10326" t="n">
        <v>0</v>
      </c>
      <c r="R10326" t="n">
        <v>0</v>
      </c>
      <c r="S10326" t="n">
        <v>0</v>
      </c>
      <c r="T10326" t="n">
        <v>0</v>
      </c>
      <c r="U10326" t="n">
        <v>0</v>
      </c>
      <c r="V10326" s="2" t="inlineStr"/>
    </row>
    <row r="10327" ht="15" customHeight="1">
      <c r="A10327" t="inlineStr">
        <is>
          <t>A 39537-2026</t>
        </is>
      </c>
      <c r="B10327" t="inlineStr">
        <is>
          <t>avverkningsanmälan</t>
        </is>
      </c>
      <c r="C10327" t="inlineStr">
        <is>
          <t>Föryngringsavverkning</t>
        </is>
      </c>
      <c r="D10327" s="1" t="n">
        <v>46289</v>
      </c>
      <c r="E10327" s="1" t="n">
        <v>46307</v>
      </c>
      <c r="F10327" t="inlineStr">
        <is>
          <t>VÄRMLANDS LÄN</t>
        </is>
      </c>
      <c r="G10327" t="inlineStr">
        <is>
          <t>STORFORS</t>
        </is>
      </c>
      <c r="H10327" t="inlineStr">
        <is>
          <t>Bergvik skog väst AB</t>
        </is>
      </c>
      <c r="I10327" t="n">
        <v>28.9</v>
      </c>
      <c r="J10327" t="n">
        <v>0</v>
      </c>
      <c r="K10327" t="n">
        <v>0</v>
      </c>
      <c r="L10327" t="n">
        <v>0</v>
      </c>
      <c r="M10327" t="n">
        <v>0</v>
      </c>
      <c r="N10327" t="n">
        <v>0</v>
      </c>
      <c r="O10327" t="n">
        <v>0</v>
      </c>
      <c r="P10327" t="n">
        <v>0</v>
      </c>
      <c r="Q10327" t="n">
        <v>0</v>
      </c>
      <c r="R10327" t="n">
        <v>0</v>
      </c>
      <c r="S10327" t="n">
        <v>0</v>
      </c>
      <c r="T10327" t="n">
        <v>0</v>
      </c>
      <c r="U10327" t="n">
        <v>0</v>
      </c>
      <c r="V10327" s="2" t="inlineStr"/>
    </row>
    <row r="10328" ht="15" customHeight="1">
      <c r="A10328" t="inlineStr">
        <is>
          <t>A 39574-2026</t>
        </is>
      </c>
      <c r="B10328" t="inlineStr">
        <is>
          <t>avverkningsanmälan</t>
        </is>
      </c>
      <c r="C10328" t="inlineStr">
        <is>
          <t>Föryngringsavverkning</t>
        </is>
      </c>
      <c r="D10328" s="1" t="n">
        <v>46289</v>
      </c>
      <c r="E10328" s="1" t="n">
        <v>46307</v>
      </c>
      <c r="F10328" t="inlineStr">
        <is>
          <t>VÄRMLANDS LÄN</t>
        </is>
      </c>
      <c r="G10328" t="inlineStr">
        <is>
          <t>ARVIKA</t>
        </is>
      </c>
      <c r="I10328" t="n">
        <v>3.7</v>
      </c>
      <c r="J10328" t="n">
        <v>0</v>
      </c>
      <c r="K10328" t="n">
        <v>0</v>
      </c>
      <c r="L10328" t="n">
        <v>0</v>
      </c>
      <c r="M10328" t="n">
        <v>0</v>
      </c>
      <c r="N10328" t="n">
        <v>0</v>
      </c>
      <c r="O10328" t="n">
        <v>0</v>
      </c>
      <c r="P10328" t="n">
        <v>0</v>
      </c>
      <c r="Q10328" t="n">
        <v>0</v>
      </c>
      <c r="R10328" t="n">
        <v>0</v>
      </c>
      <c r="S10328" t="n">
        <v>0</v>
      </c>
      <c r="T10328" t="n">
        <v>0</v>
      </c>
      <c r="U10328" t="n">
        <v>0</v>
      </c>
      <c r="V10328" s="2" t="inlineStr"/>
    </row>
    <row r="10329" ht="15" customHeight="1">
      <c r="A10329" t="inlineStr">
        <is>
          <t>A 39774-2026</t>
        </is>
      </c>
      <c r="B10329" t="inlineStr">
        <is>
          <t>avverkningsanmälan</t>
        </is>
      </c>
      <c r="C10329" t="inlineStr">
        <is>
          <t>Föryngringsavverkning</t>
        </is>
      </c>
      <c r="D10329" s="1" t="n">
        <v>46290</v>
      </c>
      <c r="E10329" s="1" t="n">
        <v>46307</v>
      </c>
      <c r="F10329" t="inlineStr">
        <is>
          <t>VÄRMLANDS LÄN</t>
        </is>
      </c>
      <c r="G10329" t="inlineStr">
        <is>
          <t>EDA</t>
        </is>
      </c>
      <c r="H10329" t="inlineStr">
        <is>
          <t>Bergvik skog väst AB</t>
        </is>
      </c>
      <c r="I10329" t="n">
        <v>6.6</v>
      </c>
      <c r="J10329" t="n">
        <v>0</v>
      </c>
      <c r="K10329" t="n">
        <v>0</v>
      </c>
      <c r="L10329" t="n">
        <v>0</v>
      </c>
      <c r="M10329" t="n">
        <v>0</v>
      </c>
      <c r="N10329" t="n">
        <v>0</v>
      </c>
      <c r="O10329" t="n">
        <v>0</v>
      </c>
      <c r="P10329" t="n">
        <v>0</v>
      </c>
      <c r="Q10329" t="n">
        <v>0</v>
      </c>
      <c r="R10329" t="n">
        <v>0</v>
      </c>
      <c r="S10329" t="n">
        <v>0</v>
      </c>
      <c r="T10329" t="n">
        <v>0</v>
      </c>
      <c r="U10329" t="n">
        <v>0</v>
      </c>
      <c r="V10329" s="2" t="inlineStr"/>
    </row>
    <row r="10330" ht="15" customHeight="1">
      <c r="A10330" t="inlineStr">
        <is>
          <t>A 39566-2026</t>
        </is>
      </c>
      <c r="B10330" t="inlineStr">
        <is>
          <t>avverkningsanmälan</t>
        </is>
      </c>
      <c r="C10330" t="inlineStr">
        <is>
          <t>Föryngringsavverkning</t>
        </is>
      </c>
      <c r="D10330" s="1" t="n">
        <v>46289</v>
      </c>
      <c r="E10330" s="1" t="n">
        <v>46307</v>
      </c>
      <c r="F10330" t="inlineStr">
        <is>
          <t>VÄRMLANDS LÄN</t>
        </is>
      </c>
      <c r="G10330" t="inlineStr">
        <is>
          <t>HAGFORS</t>
        </is>
      </c>
      <c r="H10330" t="inlineStr">
        <is>
          <t>Bergvik skog väst AB</t>
        </is>
      </c>
      <c r="I10330" t="n">
        <v>14.2</v>
      </c>
      <c r="J10330" t="n">
        <v>0</v>
      </c>
      <c r="K10330" t="n">
        <v>0</v>
      </c>
      <c r="L10330" t="n">
        <v>0</v>
      </c>
      <c r="M10330" t="n">
        <v>0</v>
      </c>
      <c r="N10330" t="n">
        <v>0</v>
      </c>
      <c r="O10330" t="n">
        <v>0</v>
      </c>
      <c r="P10330" t="n">
        <v>0</v>
      </c>
      <c r="Q10330" t="n">
        <v>0</v>
      </c>
      <c r="R10330" t="n">
        <v>0</v>
      </c>
      <c r="S10330" t="n">
        <v>0</v>
      </c>
      <c r="T10330" t="n">
        <v>0</v>
      </c>
      <c r="U10330" t="n">
        <v>0</v>
      </c>
      <c r="V10330" s="2" t="inlineStr"/>
    </row>
    <row r="10331" ht="15" customHeight="1">
      <c r="A10331" t="inlineStr">
        <is>
          <t>A 39939-2026</t>
        </is>
      </c>
      <c r="B10331" t="inlineStr">
        <is>
          <t>avverkningsanmälan</t>
        </is>
      </c>
      <c r="C10331" t="inlineStr">
        <is>
          <t>Föryngringsavverkning</t>
        </is>
      </c>
      <c r="D10331" s="1" t="n">
        <v>46290</v>
      </c>
      <c r="E10331" s="1" t="n">
        <v>46307</v>
      </c>
      <c r="F10331" t="inlineStr">
        <is>
          <t>VÄRMLANDS LÄN</t>
        </is>
      </c>
      <c r="G10331" t="inlineStr">
        <is>
          <t>SUNNE</t>
        </is>
      </c>
      <c r="H10331" t="inlineStr">
        <is>
          <t>Bergvik skog väst AB</t>
        </is>
      </c>
      <c r="I10331" t="n">
        <v>0.7</v>
      </c>
      <c r="J10331" t="n">
        <v>0</v>
      </c>
      <c r="K10331" t="n">
        <v>0</v>
      </c>
      <c r="L10331" t="n">
        <v>0</v>
      </c>
      <c r="M10331" t="n">
        <v>0</v>
      </c>
      <c r="N10331" t="n">
        <v>0</v>
      </c>
      <c r="O10331" t="n">
        <v>0</v>
      </c>
      <c r="P10331" t="n">
        <v>0</v>
      </c>
      <c r="Q10331" t="n">
        <v>0</v>
      </c>
      <c r="R10331" t="n">
        <v>0</v>
      </c>
      <c r="S10331" t="n">
        <v>0</v>
      </c>
      <c r="T10331" t="n">
        <v>0</v>
      </c>
      <c r="U10331" t="n">
        <v>0</v>
      </c>
      <c r="V10331" s="2" t="inlineStr"/>
    </row>
    <row r="10332" ht="15" customHeight="1">
      <c r="A10332" t="inlineStr">
        <is>
          <t>A 33342-2026</t>
        </is>
      </c>
      <c r="B10332" t="inlineStr">
        <is>
          <t>avverkningsanmälan</t>
        </is>
      </c>
      <c r="C10332" t="inlineStr">
        <is>
          <t>Föryngringsavverkning</t>
        </is>
      </c>
      <c r="D10332" s="1" t="n">
        <v>46246</v>
      </c>
      <c r="E10332" s="1" t="n">
        <v>46307</v>
      </c>
      <c r="F10332" t="inlineStr">
        <is>
          <t>VÄRMLANDS LÄN</t>
        </is>
      </c>
      <c r="G10332" t="inlineStr">
        <is>
          <t>ÅRJÄNG</t>
        </is>
      </c>
      <c r="I10332" t="n">
        <v>1.2</v>
      </c>
      <c r="J10332" t="n">
        <v>0</v>
      </c>
      <c r="K10332" t="n">
        <v>0</v>
      </c>
      <c r="L10332" t="n">
        <v>0</v>
      </c>
      <c r="M10332" t="n">
        <v>0</v>
      </c>
      <c r="N10332" t="n">
        <v>0</v>
      </c>
      <c r="O10332" t="n">
        <v>0</v>
      </c>
      <c r="P10332" t="n">
        <v>0</v>
      </c>
      <c r="Q10332" t="n">
        <v>0</v>
      </c>
      <c r="R10332" t="n">
        <v>0</v>
      </c>
      <c r="S10332" t="n">
        <v>0</v>
      </c>
      <c r="T10332" t="n">
        <v>0</v>
      </c>
      <c r="U10332" t="n">
        <v>0</v>
      </c>
      <c r="V10332" s="2" t="inlineStr"/>
    </row>
    <row r="10333" ht="15" customHeight="1">
      <c r="A10333" t="inlineStr">
        <is>
          <t>A 39605-2026</t>
        </is>
      </c>
      <c r="B10333" t="inlineStr">
        <is>
          <t>avverkningsanmälan</t>
        </is>
      </c>
      <c r="C10333" t="inlineStr">
        <is>
          <t>Föryngringsavverkning</t>
        </is>
      </c>
      <c r="D10333" s="1" t="n">
        <v>46289</v>
      </c>
      <c r="E10333" s="1" t="n">
        <v>46307</v>
      </c>
      <c r="F10333" t="inlineStr">
        <is>
          <t>VÄRMLANDS LÄN</t>
        </is>
      </c>
      <c r="G10333" t="inlineStr">
        <is>
          <t>HAGFORS</t>
        </is>
      </c>
      <c r="H10333" t="inlineStr">
        <is>
          <t>Bergvik skog väst AB</t>
        </is>
      </c>
      <c r="I10333" t="n">
        <v>3.1</v>
      </c>
      <c r="J10333" t="n">
        <v>0</v>
      </c>
      <c r="K10333" t="n">
        <v>0</v>
      </c>
      <c r="L10333" t="n">
        <v>0</v>
      </c>
      <c r="M10333" t="n">
        <v>0</v>
      </c>
      <c r="N10333" t="n">
        <v>0</v>
      </c>
      <c r="O10333" t="n">
        <v>0</v>
      </c>
      <c r="P10333" t="n">
        <v>0</v>
      </c>
      <c r="Q10333" t="n">
        <v>0</v>
      </c>
      <c r="R10333" t="n">
        <v>0</v>
      </c>
      <c r="S10333" t="n">
        <v>0</v>
      </c>
      <c r="T10333" t="n">
        <v>0</v>
      </c>
      <c r="U10333" t="n">
        <v>0</v>
      </c>
      <c r="V10333" s="2" t="inlineStr"/>
    </row>
    <row r="10334" ht="15" customHeight="1">
      <c r="A10334" t="inlineStr">
        <is>
          <t>A 39804-2026</t>
        </is>
      </c>
      <c r="B10334" t="inlineStr">
        <is>
          <t>avverkningsanmälan</t>
        </is>
      </c>
      <c r="C10334" t="inlineStr">
        <is>
          <t>Föryngringsavverkning</t>
        </is>
      </c>
      <c r="D10334" s="1" t="n">
        <v>46290</v>
      </c>
      <c r="E10334" s="1" t="n">
        <v>46307</v>
      </c>
      <c r="F10334" t="inlineStr">
        <is>
          <t>VÄRMLANDS LÄN</t>
        </is>
      </c>
      <c r="G10334" t="inlineStr">
        <is>
          <t>STORFORS</t>
        </is>
      </c>
      <c r="H10334" t="inlineStr">
        <is>
          <t>Bergvik skog väst AB</t>
        </is>
      </c>
      <c r="I10334" t="n">
        <v>19.5</v>
      </c>
      <c r="J10334" t="n">
        <v>0</v>
      </c>
      <c r="K10334" t="n">
        <v>0</v>
      </c>
      <c r="L10334" t="n">
        <v>0</v>
      </c>
      <c r="M10334" t="n">
        <v>0</v>
      </c>
      <c r="N10334" t="n">
        <v>0</v>
      </c>
      <c r="O10334" t="n">
        <v>0</v>
      </c>
      <c r="P10334" t="n">
        <v>0</v>
      </c>
      <c r="Q10334" t="n">
        <v>0</v>
      </c>
      <c r="R10334" t="n">
        <v>0</v>
      </c>
      <c r="S10334" t="n">
        <v>0</v>
      </c>
      <c r="T10334" t="n">
        <v>0</v>
      </c>
      <c r="U10334" t="n">
        <v>0</v>
      </c>
      <c r="V10334" s="2" t="inlineStr"/>
    </row>
    <row r="10335" ht="15" customHeight="1">
      <c r="A10335" t="inlineStr">
        <is>
          <t>A 39577-2026</t>
        </is>
      </c>
      <c r="B10335" t="inlineStr">
        <is>
          <t>avverkningsanmälan</t>
        </is>
      </c>
      <c r="C10335" t="inlineStr">
        <is>
          <t>Föryngringsavverkning</t>
        </is>
      </c>
      <c r="D10335" s="1" t="n">
        <v>46289</v>
      </c>
      <c r="E10335" s="1" t="n">
        <v>46307</v>
      </c>
      <c r="F10335" t="inlineStr">
        <is>
          <t>VÄRMLANDS LÄN</t>
        </is>
      </c>
      <c r="G10335" t="inlineStr">
        <is>
          <t>HAGFORS</t>
        </is>
      </c>
      <c r="I10335" t="n">
        <v>1</v>
      </c>
      <c r="J10335" t="n">
        <v>0</v>
      </c>
      <c r="K10335" t="n">
        <v>0</v>
      </c>
      <c r="L10335" t="n">
        <v>0</v>
      </c>
      <c r="M10335" t="n">
        <v>0</v>
      </c>
      <c r="N10335" t="n">
        <v>0</v>
      </c>
      <c r="O10335" t="n">
        <v>0</v>
      </c>
      <c r="P10335" t="n">
        <v>0</v>
      </c>
      <c r="Q10335" t="n">
        <v>0</v>
      </c>
      <c r="R10335" t="n">
        <v>0</v>
      </c>
      <c r="S10335" t="n">
        <v>0</v>
      </c>
      <c r="T10335" t="n">
        <v>0</v>
      </c>
      <c r="U10335" t="n">
        <v>0</v>
      </c>
      <c r="V10335" s="2" t="inlineStr"/>
    </row>
    <row r="10336" ht="15" customHeight="1">
      <c r="A10336" t="inlineStr">
        <is>
          <t>A 33468-2026</t>
        </is>
      </c>
      <c r="B10336" t="inlineStr">
        <is>
          <t>avverkningsanmälan</t>
        </is>
      </c>
      <c r="C10336" t="inlineStr">
        <is>
          <t>Föryngringsavverkning</t>
        </is>
      </c>
      <c r="D10336" s="1" t="n">
        <v>46247</v>
      </c>
      <c r="E10336" s="1" t="n">
        <v>46307</v>
      </c>
      <c r="F10336" t="inlineStr">
        <is>
          <t>VÄRMLANDS LÄN</t>
        </is>
      </c>
      <c r="G10336" t="inlineStr">
        <is>
          <t>FILIPSTAD</t>
        </is>
      </c>
      <c r="H10336" t="inlineStr">
        <is>
          <t>Bergvik skog väst AB</t>
        </is>
      </c>
      <c r="I10336" t="n">
        <v>2.7</v>
      </c>
      <c r="J10336" t="n">
        <v>0</v>
      </c>
      <c r="K10336" t="n">
        <v>0</v>
      </c>
      <c r="L10336" t="n">
        <v>0</v>
      </c>
      <c r="M10336" t="n">
        <v>0</v>
      </c>
      <c r="N10336" t="n">
        <v>0</v>
      </c>
      <c r="O10336" t="n">
        <v>0</v>
      </c>
      <c r="P10336" t="n">
        <v>0</v>
      </c>
      <c r="Q10336" t="n">
        <v>0</v>
      </c>
      <c r="R10336" t="n">
        <v>0</v>
      </c>
      <c r="S10336" t="n">
        <v>0</v>
      </c>
      <c r="T10336" t="n">
        <v>0</v>
      </c>
      <c r="U10336" t="n">
        <v>0</v>
      </c>
      <c r="V10336" s="2" t="inlineStr"/>
    </row>
    <row r="10337" ht="15" customHeight="1">
      <c r="A10337" t="inlineStr">
        <is>
          <t>A 39493-2026</t>
        </is>
      </c>
      <c r="B10337" t="inlineStr">
        <is>
          <t>avverkningsanmälan</t>
        </is>
      </c>
      <c r="C10337" t="inlineStr">
        <is>
          <t>Föryngringsavverkning</t>
        </is>
      </c>
      <c r="D10337" s="1" t="n">
        <v>46289</v>
      </c>
      <c r="E10337" s="1" t="n">
        <v>46307</v>
      </c>
      <c r="F10337" t="inlineStr">
        <is>
          <t>VÄRMLANDS LÄN</t>
        </is>
      </c>
      <c r="G10337" t="inlineStr">
        <is>
          <t>EDA</t>
        </is>
      </c>
      <c r="I10337" t="n">
        <v>6.1</v>
      </c>
      <c r="J10337" t="n">
        <v>0</v>
      </c>
      <c r="K10337" t="n">
        <v>0</v>
      </c>
      <c r="L10337" t="n">
        <v>0</v>
      </c>
      <c r="M10337" t="n">
        <v>0</v>
      </c>
      <c r="N10337" t="n">
        <v>0</v>
      </c>
      <c r="O10337" t="n">
        <v>0</v>
      </c>
      <c r="P10337" t="n">
        <v>0</v>
      </c>
      <c r="Q10337" t="n">
        <v>0</v>
      </c>
      <c r="R10337" t="n">
        <v>0</v>
      </c>
      <c r="S10337" t="n">
        <v>0</v>
      </c>
      <c r="T10337" t="n">
        <v>0</v>
      </c>
      <c r="U10337" t="n">
        <v>0</v>
      </c>
      <c r="V10337" s="2" t="inlineStr"/>
    </row>
    <row r="10338" ht="15" customHeight="1">
      <c r="A10338" t="inlineStr">
        <is>
          <t>A 39505-2026</t>
        </is>
      </c>
      <c r="B10338" t="inlineStr">
        <is>
          <t>avverkningsanmälan</t>
        </is>
      </c>
      <c r="C10338" t="inlineStr">
        <is>
          <t>Föryngringsavverkning</t>
        </is>
      </c>
      <c r="D10338" s="1" t="n">
        <v>46289</v>
      </c>
      <c r="E10338" s="1" t="n">
        <v>46307</v>
      </c>
      <c r="F10338" t="inlineStr">
        <is>
          <t>VÄRMLANDS LÄN</t>
        </is>
      </c>
      <c r="G10338" t="inlineStr">
        <is>
          <t>SUNNE</t>
        </is>
      </c>
      <c r="I10338" t="n">
        <v>4.6</v>
      </c>
      <c r="J10338" t="n">
        <v>0</v>
      </c>
      <c r="K10338" t="n">
        <v>0</v>
      </c>
      <c r="L10338" t="n">
        <v>0</v>
      </c>
      <c r="M10338" t="n">
        <v>0</v>
      </c>
      <c r="N10338" t="n">
        <v>0</v>
      </c>
      <c r="O10338" t="n">
        <v>0</v>
      </c>
      <c r="P10338" t="n">
        <v>0</v>
      </c>
      <c r="Q10338" t="n">
        <v>0</v>
      </c>
      <c r="R10338" t="n">
        <v>0</v>
      </c>
      <c r="S10338" t="n">
        <v>0</v>
      </c>
      <c r="T10338" t="n">
        <v>0</v>
      </c>
      <c r="U10338" t="n">
        <v>0</v>
      </c>
      <c r="V10338" s="2" t="inlineStr"/>
    </row>
    <row r="10339" ht="15" customHeight="1">
      <c r="A10339" t="inlineStr">
        <is>
          <t>A 33682-2026</t>
        </is>
      </c>
      <c r="B10339" t="inlineStr">
        <is>
          <t>avverkningsanmälan</t>
        </is>
      </c>
      <c r="C10339" t="inlineStr">
        <is>
          <t>Föryngringsavverkning</t>
        </is>
      </c>
      <c r="D10339" s="1" t="n">
        <v>46248</v>
      </c>
      <c r="E10339" s="1" t="n">
        <v>46307</v>
      </c>
      <c r="F10339" t="inlineStr">
        <is>
          <t>VÄRMLANDS LÄN</t>
        </is>
      </c>
      <c r="G10339" t="inlineStr">
        <is>
          <t>SUNNE</t>
        </is>
      </c>
      <c r="I10339" t="n">
        <v>1.3</v>
      </c>
      <c r="J10339" t="n">
        <v>0</v>
      </c>
      <c r="K10339" t="n">
        <v>0</v>
      </c>
      <c r="L10339" t="n">
        <v>0</v>
      </c>
      <c r="M10339" t="n">
        <v>0</v>
      </c>
      <c r="N10339" t="n">
        <v>0</v>
      </c>
      <c r="O10339" t="n">
        <v>0</v>
      </c>
      <c r="P10339" t="n">
        <v>0</v>
      </c>
      <c r="Q10339" t="n">
        <v>0</v>
      </c>
      <c r="R10339" t="n">
        <v>0</v>
      </c>
      <c r="S10339" t="n">
        <v>0</v>
      </c>
      <c r="T10339" t="n">
        <v>0</v>
      </c>
      <c r="U10339" t="n">
        <v>0</v>
      </c>
      <c r="V10339" s="2" t="inlineStr"/>
    </row>
    <row r="10340" ht="15" customHeight="1">
      <c r="A10340" t="inlineStr">
        <is>
          <t>A 33294-2026</t>
        </is>
      </c>
      <c r="B10340" t="inlineStr">
        <is>
          <t>avverkningsanmälan</t>
        </is>
      </c>
      <c r="C10340" t="inlineStr">
        <is>
          <t>Föryngringsavverkning</t>
        </is>
      </c>
      <c r="D10340" s="1" t="n">
        <v>46246</v>
      </c>
      <c r="E10340" s="1" t="n">
        <v>46307</v>
      </c>
      <c r="F10340" t="inlineStr">
        <is>
          <t>VÄRMLANDS LÄN</t>
        </is>
      </c>
      <c r="G10340" t="inlineStr">
        <is>
          <t>ÅRJÄNG</t>
        </is>
      </c>
      <c r="I10340" t="n">
        <v>2.1</v>
      </c>
      <c r="J10340" t="n">
        <v>0</v>
      </c>
      <c r="K10340" t="n">
        <v>0</v>
      </c>
      <c r="L10340" t="n">
        <v>0</v>
      </c>
      <c r="M10340" t="n">
        <v>0</v>
      </c>
      <c r="N10340" t="n">
        <v>0</v>
      </c>
      <c r="O10340" t="n">
        <v>0</v>
      </c>
      <c r="P10340" t="n">
        <v>0</v>
      </c>
      <c r="Q10340" t="n">
        <v>0</v>
      </c>
      <c r="R10340" t="n">
        <v>0</v>
      </c>
      <c r="S10340" t="n">
        <v>0</v>
      </c>
      <c r="T10340" t="n">
        <v>0</v>
      </c>
      <c r="U10340" t="n">
        <v>0</v>
      </c>
      <c r="V10340" s="2" t="inlineStr"/>
    </row>
    <row r="10341" ht="15" customHeight="1">
      <c r="A10341" t="inlineStr">
        <is>
          <t>A 36416-2026</t>
        </is>
      </c>
      <c r="B10341" t="inlineStr">
        <is>
          <t>avverkningsanmälan</t>
        </is>
      </c>
      <c r="C10341" t="inlineStr">
        <is>
          <t>Avverkning för annat ändamål</t>
        </is>
      </c>
      <c r="D10341" s="1" t="n">
        <v>46268</v>
      </c>
      <c r="E10341" s="1" t="n">
        <v>46307</v>
      </c>
      <c r="F10341" t="inlineStr">
        <is>
          <t>VÄRMLANDS LÄN</t>
        </is>
      </c>
      <c r="G10341" t="inlineStr">
        <is>
          <t>TORSBY</t>
        </is>
      </c>
      <c r="H10341" t="inlineStr">
        <is>
          <t>Bergvik skog väst AB</t>
        </is>
      </c>
      <c r="I10341" t="n">
        <v>3.9</v>
      </c>
      <c r="J10341" t="n">
        <v>0</v>
      </c>
      <c r="K10341" t="n">
        <v>0</v>
      </c>
      <c r="L10341" t="n">
        <v>0</v>
      </c>
      <c r="M10341" t="n">
        <v>0</v>
      </c>
      <c r="N10341" t="n">
        <v>0</v>
      </c>
      <c r="O10341" t="n">
        <v>0</v>
      </c>
      <c r="P10341" t="n">
        <v>0</v>
      </c>
      <c r="Q10341" t="n">
        <v>0</v>
      </c>
      <c r="R10341" t="n">
        <v>0</v>
      </c>
      <c r="S10341" t="n">
        <v>0</v>
      </c>
      <c r="T10341" t="n">
        <v>0</v>
      </c>
      <c r="U10341" t="n">
        <v>0</v>
      </c>
      <c r="V10341" s="2" t="inlineStr"/>
    </row>
    <row r="10342" ht="15" customHeight="1">
      <c r="A10342" t="inlineStr">
        <is>
          <t>A 39706-2026</t>
        </is>
      </c>
      <c r="B10342" t="inlineStr">
        <is>
          <t>avverkningsanmälan</t>
        </is>
      </c>
      <c r="C10342" t="inlineStr">
        <is>
          <t>Föryngringsavverkning</t>
        </is>
      </c>
      <c r="D10342" s="1" t="n">
        <v>46290</v>
      </c>
      <c r="E10342" s="1" t="n">
        <v>46307</v>
      </c>
      <c r="F10342" t="inlineStr">
        <is>
          <t>VÄRMLANDS LÄN</t>
        </is>
      </c>
      <c r="G10342" t="inlineStr">
        <is>
          <t>HAGFORS</t>
        </is>
      </c>
      <c r="H10342" t="inlineStr">
        <is>
          <t>Bergvik skog väst AB</t>
        </is>
      </c>
      <c r="I10342" t="n">
        <v>4.7</v>
      </c>
      <c r="J10342" t="n">
        <v>0</v>
      </c>
      <c r="K10342" t="n">
        <v>0</v>
      </c>
      <c r="L10342" t="n">
        <v>0</v>
      </c>
      <c r="M10342" t="n">
        <v>0</v>
      </c>
      <c r="N10342" t="n">
        <v>0</v>
      </c>
      <c r="O10342" t="n">
        <v>0</v>
      </c>
      <c r="P10342" t="n">
        <v>0</v>
      </c>
      <c r="Q10342" t="n">
        <v>0</v>
      </c>
      <c r="R10342" t="n">
        <v>0</v>
      </c>
      <c r="S10342" t="n">
        <v>0</v>
      </c>
      <c r="T10342" t="n">
        <v>0</v>
      </c>
      <c r="U10342" t="n">
        <v>0</v>
      </c>
      <c r="V10342" s="2" t="inlineStr"/>
    </row>
    <row r="10343" ht="15" customHeight="1">
      <c r="A10343" t="inlineStr">
        <is>
          <t>A 39893-2026</t>
        </is>
      </c>
      <c r="B10343" t="inlineStr">
        <is>
          <t>avverkningsanmälan</t>
        </is>
      </c>
      <c r="C10343" t="inlineStr">
        <is>
          <t>Föryngringsavverkning</t>
        </is>
      </c>
      <c r="D10343" s="1" t="n">
        <v>46290</v>
      </c>
      <c r="E10343" s="1" t="n">
        <v>46307</v>
      </c>
      <c r="F10343" t="inlineStr">
        <is>
          <t>VÄRMLANDS LÄN</t>
        </is>
      </c>
      <c r="G10343" t="inlineStr">
        <is>
          <t>FILIPSTAD</t>
        </is>
      </c>
      <c r="H10343" t="inlineStr">
        <is>
          <t>Bergvik skog väst AB</t>
        </is>
      </c>
      <c r="I10343" t="n">
        <v>14.5</v>
      </c>
      <c r="J10343" t="n">
        <v>0</v>
      </c>
      <c r="K10343" t="n">
        <v>0</v>
      </c>
      <c r="L10343" t="n">
        <v>0</v>
      </c>
      <c r="M10343" t="n">
        <v>0</v>
      </c>
      <c r="N10343" t="n">
        <v>0</v>
      </c>
      <c r="O10343" t="n">
        <v>0</v>
      </c>
      <c r="P10343" t="n">
        <v>0</v>
      </c>
      <c r="Q10343" t="n">
        <v>0</v>
      </c>
      <c r="R10343" t="n">
        <v>0</v>
      </c>
      <c r="S10343" t="n">
        <v>0</v>
      </c>
      <c r="T10343" t="n">
        <v>0</v>
      </c>
      <c r="U10343" t="n">
        <v>0</v>
      </c>
      <c r="V10343" s="2" t="inlineStr"/>
    </row>
    <row r="10344" ht="15" customHeight="1">
      <c r="A10344" t="inlineStr">
        <is>
          <t>A 39708-2026</t>
        </is>
      </c>
      <c r="B10344" t="inlineStr">
        <is>
          <t>avverkningsanmälan</t>
        </is>
      </c>
      <c r="C10344" t="inlineStr">
        <is>
          <t>Föryngringsavverkning</t>
        </is>
      </c>
      <c r="D10344" s="1" t="n">
        <v>46290</v>
      </c>
      <c r="E10344" s="1" t="n">
        <v>46307</v>
      </c>
      <c r="F10344" t="inlineStr">
        <is>
          <t>VÄRMLANDS LÄN</t>
        </is>
      </c>
      <c r="G10344" t="inlineStr">
        <is>
          <t>HAGFORS</t>
        </is>
      </c>
      <c r="H10344" t="inlineStr">
        <is>
          <t>Bergvik skog väst AB</t>
        </is>
      </c>
      <c r="I10344" t="n">
        <v>1.2</v>
      </c>
      <c r="J10344" t="n">
        <v>0</v>
      </c>
      <c r="K10344" t="n">
        <v>0</v>
      </c>
      <c r="L10344" t="n">
        <v>0</v>
      </c>
      <c r="M10344" t="n">
        <v>0</v>
      </c>
      <c r="N10344" t="n">
        <v>0</v>
      </c>
      <c r="O10344" t="n">
        <v>0</v>
      </c>
      <c r="P10344" t="n">
        <v>0</v>
      </c>
      <c r="Q10344" t="n">
        <v>0</v>
      </c>
      <c r="R10344" t="n">
        <v>0</v>
      </c>
      <c r="S10344" t="n">
        <v>0</v>
      </c>
      <c r="T10344" t="n">
        <v>0</v>
      </c>
      <c r="U10344" t="n">
        <v>0</v>
      </c>
      <c r="V10344" s="2" t="inlineStr"/>
    </row>
    <row r="10345" ht="15" customHeight="1">
      <c r="A10345" t="inlineStr">
        <is>
          <t>A 39726-2026</t>
        </is>
      </c>
      <c r="B10345" t="inlineStr">
        <is>
          <t>avverkningsanmälan</t>
        </is>
      </c>
      <c r="C10345" t="inlineStr">
        <is>
          <t>Föryngringsavverkning</t>
        </is>
      </c>
      <c r="D10345" s="1" t="n">
        <v>46289</v>
      </c>
      <c r="E10345" s="1" t="n">
        <v>46307</v>
      </c>
      <c r="F10345" t="inlineStr">
        <is>
          <t>VÄRMLANDS LÄN</t>
        </is>
      </c>
      <c r="G10345" t="inlineStr">
        <is>
          <t>SÄFFLE</t>
        </is>
      </c>
      <c r="I10345" t="n">
        <v>4.2</v>
      </c>
      <c r="J10345" t="n">
        <v>0</v>
      </c>
      <c r="K10345" t="n">
        <v>0</v>
      </c>
      <c r="L10345" t="n">
        <v>0</v>
      </c>
      <c r="M10345" t="n">
        <v>0</v>
      </c>
      <c r="N10345" t="n">
        <v>0</v>
      </c>
      <c r="O10345" t="n">
        <v>0</v>
      </c>
      <c r="P10345" t="n">
        <v>0</v>
      </c>
      <c r="Q10345" t="n">
        <v>0</v>
      </c>
      <c r="R10345" t="n">
        <v>0</v>
      </c>
      <c r="S10345" t="n">
        <v>0</v>
      </c>
      <c r="T10345" t="n">
        <v>0</v>
      </c>
      <c r="U10345" t="n">
        <v>0</v>
      </c>
      <c r="V10345" s="2" t="inlineStr"/>
    </row>
    <row r="10346" ht="15" customHeight="1">
      <c r="A10346" t="inlineStr">
        <is>
          <t>A 39727-2026</t>
        </is>
      </c>
      <c r="B10346" t="inlineStr">
        <is>
          <t>avverkningsanmälan</t>
        </is>
      </c>
      <c r="C10346" t="inlineStr">
        <is>
          <t>Föryngringsavverkning</t>
        </is>
      </c>
      <c r="D10346" s="1" t="n">
        <v>46290</v>
      </c>
      <c r="E10346" s="1" t="n">
        <v>46307</v>
      </c>
      <c r="F10346" t="inlineStr">
        <is>
          <t>VÄRMLANDS LÄN</t>
        </is>
      </c>
      <c r="G10346" t="inlineStr">
        <is>
          <t>HAGFORS</t>
        </is>
      </c>
      <c r="H10346" t="inlineStr">
        <is>
          <t>Bergvik skog väst AB</t>
        </is>
      </c>
      <c r="I10346" t="n">
        <v>3.2</v>
      </c>
      <c r="J10346" t="n">
        <v>0</v>
      </c>
      <c r="K10346" t="n">
        <v>0</v>
      </c>
      <c r="L10346" t="n">
        <v>0</v>
      </c>
      <c r="M10346" t="n">
        <v>0</v>
      </c>
      <c r="N10346" t="n">
        <v>0</v>
      </c>
      <c r="O10346" t="n">
        <v>0</v>
      </c>
      <c r="P10346" t="n">
        <v>0</v>
      </c>
      <c r="Q10346" t="n">
        <v>0</v>
      </c>
      <c r="R10346" t="n">
        <v>0</v>
      </c>
      <c r="S10346" t="n">
        <v>0</v>
      </c>
      <c r="T10346" t="n">
        <v>0</v>
      </c>
      <c r="U10346" t="n">
        <v>0</v>
      </c>
      <c r="V10346" s="2" t="inlineStr"/>
    </row>
    <row r="10347" ht="15" customHeight="1">
      <c r="A10347" t="inlineStr">
        <is>
          <t>A 33493-2026</t>
        </is>
      </c>
      <c r="B10347" t="inlineStr">
        <is>
          <t>avverkningsanmälan</t>
        </is>
      </c>
      <c r="C10347" t="inlineStr">
        <is>
          <t>Föryngringsavverkning</t>
        </is>
      </c>
      <c r="D10347" s="1" t="n">
        <v>46247</v>
      </c>
      <c r="E10347" s="1" t="n">
        <v>46307</v>
      </c>
      <c r="F10347" t="inlineStr">
        <is>
          <t>VÄRMLANDS LÄN</t>
        </is>
      </c>
      <c r="G10347" t="inlineStr">
        <is>
          <t>FILIPSTAD</t>
        </is>
      </c>
      <c r="I10347" t="n">
        <v>1.9</v>
      </c>
      <c r="J10347" t="n">
        <v>0</v>
      </c>
      <c r="K10347" t="n">
        <v>0</v>
      </c>
      <c r="L10347" t="n">
        <v>0</v>
      </c>
      <c r="M10347" t="n">
        <v>0</v>
      </c>
      <c r="N10347" t="n">
        <v>0</v>
      </c>
      <c r="O10347" t="n">
        <v>0</v>
      </c>
      <c r="P10347" t="n">
        <v>0</v>
      </c>
      <c r="Q10347" t="n">
        <v>0</v>
      </c>
      <c r="R10347" t="n">
        <v>0</v>
      </c>
      <c r="S10347" t="n">
        <v>0</v>
      </c>
      <c r="T10347" t="n">
        <v>0</v>
      </c>
      <c r="U10347" t="n">
        <v>0</v>
      </c>
      <c r="V10347" s="2" t="inlineStr"/>
    </row>
    <row r="10348" ht="15" customHeight="1">
      <c r="A10348" t="inlineStr">
        <is>
          <t>A 34203-2026</t>
        </is>
      </c>
      <c r="B10348" t="inlineStr">
        <is>
          <t>avverkningsanmälan</t>
        </is>
      </c>
      <c r="C10348" t="inlineStr">
        <is>
          <t>Föryngringsavverkning</t>
        </is>
      </c>
      <c r="D10348" s="1" t="n">
        <v>46252</v>
      </c>
      <c r="E10348" s="1" t="n">
        <v>46307</v>
      </c>
      <c r="F10348" t="inlineStr">
        <is>
          <t>VÄRMLANDS LÄN</t>
        </is>
      </c>
      <c r="G10348" t="inlineStr">
        <is>
          <t>ÅRJÄNG</t>
        </is>
      </c>
      <c r="I10348" t="n">
        <v>5.9</v>
      </c>
      <c r="J10348" t="n">
        <v>0</v>
      </c>
      <c r="K10348" t="n">
        <v>0</v>
      </c>
      <c r="L10348" t="n">
        <v>0</v>
      </c>
      <c r="M10348" t="n">
        <v>0</v>
      </c>
      <c r="N10348" t="n">
        <v>0</v>
      </c>
      <c r="O10348" t="n">
        <v>0</v>
      </c>
      <c r="P10348" t="n">
        <v>0</v>
      </c>
      <c r="Q10348" t="n">
        <v>0</v>
      </c>
      <c r="R10348" t="n">
        <v>0</v>
      </c>
      <c r="S10348" t="n">
        <v>0</v>
      </c>
      <c r="T10348" t="n">
        <v>0</v>
      </c>
      <c r="U10348" t="n">
        <v>0</v>
      </c>
      <c r="V10348" s="2" t="inlineStr"/>
    </row>
    <row r="10349" ht="15" customHeight="1">
      <c r="A10349" t="inlineStr">
        <is>
          <t>A 40428-2026</t>
        </is>
      </c>
      <c r="B10349" t="inlineStr">
        <is>
          <t>avverkningsanmälan</t>
        </is>
      </c>
      <c r="C10349" t="inlineStr">
        <is>
          <t>Föryngringsavverkning</t>
        </is>
      </c>
      <c r="D10349" s="1" t="n">
        <v>46294</v>
      </c>
      <c r="E10349" s="1" t="n">
        <v>46307</v>
      </c>
      <c r="F10349" t="inlineStr">
        <is>
          <t>VÄRMLANDS LÄN</t>
        </is>
      </c>
      <c r="G10349" t="inlineStr">
        <is>
          <t>HAGFORS</t>
        </is>
      </c>
      <c r="H10349" t="inlineStr">
        <is>
          <t>Bergvik skog väst AB</t>
        </is>
      </c>
      <c r="I10349" t="n">
        <v>1.9</v>
      </c>
      <c r="J10349" t="n">
        <v>0</v>
      </c>
      <c r="K10349" t="n">
        <v>0</v>
      </c>
      <c r="L10349" t="n">
        <v>0</v>
      </c>
      <c r="M10349" t="n">
        <v>0</v>
      </c>
      <c r="N10349" t="n">
        <v>0</v>
      </c>
      <c r="O10349" t="n">
        <v>0</v>
      </c>
      <c r="P10349" t="n">
        <v>0</v>
      </c>
      <c r="Q10349" t="n">
        <v>0</v>
      </c>
      <c r="R10349" t="n">
        <v>0</v>
      </c>
      <c r="S10349" t="n">
        <v>0</v>
      </c>
      <c r="T10349" t="n">
        <v>0</v>
      </c>
      <c r="U10349" t="n">
        <v>0</v>
      </c>
      <c r="V10349" s="2" t="inlineStr"/>
    </row>
    <row r="10350" ht="15" customHeight="1">
      <c r="A10350" t="inlineStr">
        <is>
          <t>A 40298-2026</t>
        </is>
      </c>
      <c r="B10350" t="inlineStr">
        <is>
          <t>avverkningsanmälan</t>
        </is>
      </c>
      <c r="C10350" t="inlineStr">
        <is>
          <t>Föryngringsavverkning</t>
        </is>
      </c>
      <c r="D10350" s="1" t="n">
        <v>46294</v>
      </c>
      <c r="E10350" s="1" t="n">
        <v>46307</v>
      </c>
      <c r="F10350" t="inlineStr">
        <is>
          <t>VÄRMLANDS LÄN</t>
        </is>
      </c>
      <c r="G10350" t="inlineStr">
        <is>
          <t>ÅRJÄNG</t>
        </is>
      </c>
      <c r="I10350" t="n">
        <v>1.6</v>
      </c>
      <c r="J10350" t="n">
        <v>0</v>
      </c>
      <c r="K10350" t="n">
        <v>0</v>
      </c>
      <c r="L10350" t="n">
        <v>0</v>
      </c>
      <c r="M10350" t="n">
        <v>0</v>
      </c>
      <c r="N10350" t="n">
        <v>0</v>
      </c>
      <c r="O10350" t="n">
        <v>0</v>
      </c>
      <c r="P10350" t="n">
        <v>0</v>
      </c>
      <c r="Q10350" t="n">
        <v>0</v>
      </c>
      <c r="R10350" t="n">
        <v>0</v>
      </c>
      <c r="S10350" t="n">
        <v>0</v>
      </c>
      <c r="T10350" t="n">
        <v>0</v>
      </c>
      <c r="U10350" t="n">
        <v>0</v>
      </c>
      <c r="V10350" s="2" t="inlineStr"/>
    </row>
    <row r="10351" ht="15" customHeight="1">
      <c r="A10351" t="inlineStr">
        <is>
          <t>A 40030-2026</t>
        </is>
      </c>
      <c r="B10351" t="inlineStr">
        <is>
          <t>avverkningsanmälan</t>
        </is>
      </c>
      <c r="C10351" t="inlineStr">
        <is>
          <t>Föryngringsavverkning</t>
        </is>
      </c>
      <c r="D10351" s="1" t="n">
        <v>46293</v>
      </c>
      <c r="E10351" s="1" t="n">
        <v>46307</v>
      </c>
      <c r="F10351" t="inlineStr">
        <is>
          <t>VÄRMLANDS LÄN</t>
        </is>
      </c>
      <c r="G10351" t="inlineStr">
        <is>
          <t>TORSBY</t>
        </is>
      </c>
      <c r="I10351" t="n">
        <v>2.1</v>
      </c>
      <c r="J10351" t="n">
        <v>0</v>
      </c>
      <c r="K10351" t="n">
        <v>0</v>
      </c>
      <c r="L10351" t="n">
        <v>0</v>
      </c>
      <c r="M10351" t="n">
        <v>0</v>
      </c>
      <c r="N10351" t="n">
        <v>0</v>
      </c>
      <c r="O10351" t="n">
        <v>0</v>
      </c>
      <c r="P10351" t="n">
        <v>0</v>
      </c>
      <c r="Q10351" t="n">
        <v>0</v>
      </c>
      <c r="R10351" t="n">
        <v>0</v>
      </c>
      <c r="S10351" t="n">
        <v>0</v>
      </c>
      <c r="T10351" t="n">
        <v>0</v>
      </c>
      <c r="U10351" t="n">
        <v>0</v>
      </c>
      <c r="V10351" s="2" t="inlineStr"/>
    </row>
    <row r="10352" ht="15" customHeight="1">
      <c r="A10352" t="inlineStr">
        <is>
          <t>A 40175-2026</t>
        </is>
      </c>
      <c r="B10352" t="inlineStr">
        <is>
          <t>avverkningsanmälan</t>
        </is>
      </c>
      <c r="C10352" t="inlineStr">
        <is>
          <t>Föryngringsavverkning</t>
        </is>
      </c>
      <c r="D10352" s="1" t="n">
        <v>46293</v>
      </c>
      <c r="E10352" s="1" t="n">
        <v>46307</v>
      </c>
      <c r="F10352" t="inlineStr">
        <is>
          <t>VÄRMLANDS LÄN</t>
        </is>
      </c>
      <c r="G10352" t="inlineStr">
        <is>
          <t>TORSBY</t>
        </is>
      </c>
      <c r="I10352" t="n">
        <v>0.6</v>
      </c>
      <c r="J10352" t="n">
        <v>0</v>
      </c>
      <c r="K10352" t="n">
        <v>0</v>
      </c>
      <c r="L10352" t="n">
        <v>0</v>
      </c>
      <c r="M10352" t="n">
        <v>0</v>
      </c>
      <c r="N10352" t="n">
        <v>0</v>
      </c>
      <c r="O10352" t="n">
        <v>0</v>
      </c>
      <c r="P10352" t="n">
        <v>0</v>
      </c>
      <c r="Q10352" t="n">
        <v>0</v>
      </c>
      <c r="R10352" t="n">
        <v>0</v>
      </c>
      <c r="S10352" t="n">
        <v>0</v>
      </c>
      <c r="T10352" t="n">
        <v>0</v>
      </c>
      <c r="U10352" t="n">
        <v>0</v>
      </c>
      <c r="V10352" s="2" t="inlineStr"/>
    </row>
    <row r="10353" ht="15" customHeight="1">
      <c r="A10353" t="inlineStr">
        <is>
          <t>A 40203-2026</t>
        </is>
      </c>
      <c r="B10353" t="inlineStr">
        <is>
          <t>avverkningsanmälan</t>
        </is>
      </c>
      <c r="C10353" t="inlineStr">
        <is>
          <t>Föryngringsavverkning</t>
        </is>
      </c>
      <c r="D10353" s="1" t="n">
        <v>46290</v>
      </c>
      <c r="E10353" s="1" t="n">
        <v>46307</v>
      </c>
      <c r="F10353" t="inlineStr">
        <is>
          <t>VÄRMLANDS LÄN</t>
        </is>
      </c>
      <c r="G10353" t="inlineStr">
        <is>
          <t>HAGFORS</t>
        </is>
      </c>
      <c r="I10353" t="n">
        <v>6.4</v>
      </c>
      <c r="J10353" t="n">
        <v>0</v>
      </c>
      <c r="K10353" t="n">
        <v>0</v>
      </c>
      <c r="L10353" t="n">
        <v>0</v>
      </c>
      <c r="M10353" t="n">
        <v>0</v>
      </c>
      <c r="N10353" t="n">
        <v>0</v>
      </c>
      <c r="O10353" t="n">
        <v>0</v>
      </c>
      <c r="P10353" t="n">
        <v>0</v>
      </c>
      <c r="Q10353" t="n">
        <v>0</v>
      </c>
      <c r="R10353" t="n">
        <v>0</v>
      </c>
      <c r="S10353" t="n">
        <v>0</v>
      </c>
      <c r="T10353" t="n">
        <v>0</v>
      </c>
      <c r="U10353" t="n">
        <v>0</v>
      </c>
      <c r="V10353" s="2" t="inlineStr"/>
    </row>
    <row r="10354" ht="15" customHeight="1">
      <c r="A10354" t="inlineStr">
        <is>
          <t>A 40205-2026</t>
        </is>
      </c>
      <c r="B10354" t="inlineStr">
        <is>
          <t>avverkningsanmälan</t>
        </is>
      </c>
      <c r="C10354" t="inlineStr">
        <is>
          <t>Föryngringsavverkning</t>
        </is>
      </c>
      <c r="D10354" s="1" t="n">
        <v>46290</v>
      </c>
      <c r="E10354" s="1" t="n">
        <v>46307</v>
      </c>
      <c r="F10354" t="inlineStr">
        <is>
          <t>VÄRMLANDS LÄN</t>
        </is>
      </c>
      <c r="G10354" t="inlineStr">
        <is>
          <t>HAGFORS</t>
        </is>
      </c>
      <c r="I10354" t="n">
        <v>6</v>
      </c>
      <c r="J10354" t="n">
        <v>0</v>
      </c>
      <c r="K10354" t="n">
        <v>0</v>
      </c>
      <c r="L10354" t="n">
        <v>0</v>
      </c>
      <c r="M10354" t="n">
        <v>0</v>
      </c>
      <c r="N10354" t="n">
        <v>0</v>
      </c>
      <c r="O10354" t="n">
        <v>0</v>
      </c>
      <c r="P10354" t="n">
        <v>0</v>
      </c>
      <c r="Q10354" t="n">
        <v>0</v>
      </c>
      <c r="R10354" t="n">
        <v>0</v>
      </c>
      <c r="S10354" t="n">
        <v>0</v>
      </c>
      <c r="T10354" t="n">
        <v>0</v>
      </c>
      <c r="U10354" t="n">
        <v>0</v>
      </c>
      <c r="V10354" s="2" t="inlineStr"/>
    </row>
    <row r="10355" ht="15" customHeight="1">
      <c r="A10355" t="inlineStr">
        <is>
          <t>A 33669-2026</t>
        </is>
      </c>
      <c r="B10355" t="inlineStr">
        <is>
          <t>avverkningsanmälan</t>
        </is>
      </c>
      <c r="C10355" t="inlineStr">
        <is>
          <t>Föryngringsavverkning</t>
        </is>
      </c>
      <c r="D10355" s="1" t="n">
        <v>46248</v>
      </c>
      <c r="E10355" s="1" t="n">
        <v>46307</v>
      </c>
      <c r="F10355" t="inlineStr">
        <is>
          <t>VÄRMLANDS LÄN</t>
        </is>
      </c>
      <c r="G10355" t="inlineStr">
        <is>
          <t>SUNNE</t>
        </is>
      </c>
      <c r="I10355" t="n">
        <v>1.6</v>
      </c>
      <c r="J10355" t="n">
        <v>0</v>
      </c>
      <c r="K10355" t="n">
        <v>0</v>
      </c>
      <c r="L10355" t="n">
        <v>0</v>
      </c>
      <c r="M10355" t="n">
        <v>0</v>
      </c>
      <c r="N10355" t="n">
        <v>0</v>
      </c>
      <c r="O10355" t="n">
        <v>0</v>
      </c>
      <c r="P10355" t="n">
        <v>0</v>
      </c>
      <c r="Q10355" t="n">
        <v>0</v>
      </c>
      <c r="R10355" t="n">
        <v>0</v>
      </c>
      <c r="S10355" t="n">
        <v>0</v>
      </c>
      <c r="T10355" t="n">
        <v>0</v>
      </c>
      <c r="U10355" t="n">
        <v>0</v>
      </c>
      <c r="V10355" s="2" t="inlineStr"/>
    </row>
    <row r="10356" ht="15" customHeight="1">
      <c r="A10356" t="inlineStr">
        <is>
          <t>A 40098-2026</t>
        </is>
      </c>
      <c r="B10356" t="inlineStr">
        <is>
          <t>avverkningsanmälan</t>
        </is>
      </c>
      <c r="C10356" t="inlineStr">
        <is>
          <t>Föryngringsavverkning</t>
        </is>
      </c>
      <c r="D10356" s="1" t="n">
        <v>46293</v>
      </c>
      <c r="E10356" s="1" t="n">
        <v>46307</v>
      </c>
      <c r="F10356" t="inlineStr">
        <is>
          <t>VÄRMLANDS LÄN</t>
        </is>
      </c>
      <c r="G10356" t="inlineStr">
        <is>
          <t>STORFORS</t>
        </is>
      </c>
      <c r="H10356" t="inlineStr">
        <is>
          <t>Bergvik skog väst AB</t>
        </is>
      </c>
      <c r="I10356" t="n">
        <v>8.800000000000001</v>
      </c>
      <c r="J10356" t="n">
        <v>0</v>
      </c>
      <c r="K10356" t="n">
        <v>0</v>
      </c>
      <c r="L10356" t="n">
        <v>0</v>
      </c>
      <c r="M10356" t="n">
        <v>0</v>
      </c>
      <c r="N10356" t="n">
        <v>0</v>
      </c>
      <c r="O10356" t="n">
        <v>0</v>
      </c>
      <c r="P10356" t="n">
        <v>0</v>
      </c>
      <c r="Q10356" t="n">
        <v>0</v>
      </c>
      <c r="R10356" t="n">
        <v>0</v>
      </c>
      <c r="S10356" t="n">
        <v>0</v>
      </c>
      <c r="T10356" t="n">
        <v>0</v>
      </c>
      <c r="U10356" t="n">
        <v>0</v>
      </c>
      <c r="V10356" s="2" t="inlineStr"/>
    </row>
    <row r="10357" ht="15" customHeight="1">
      <c r="A10357" t="inlineStr">
        <is>
          <t>A 40103-2026</t>
        </is>
      </c>
      <c r="B10357" t="inlineStr">
        <is>
          <t>avverkningsanmälan</t>
        </is>
      </c>
      <c r="C10357" t="inlineStr">
        <is>
          <t>Föryngringsavverkning</t>
        </is>
      </c>
      <c r="D10357" s="1" t="n">
        <v>46290</v>
      </c>
      <c r="E10357" s="1" t="n">
        <v>46307</v>
      </c>
      <c r="F10357" t="inlineStr">
        <is>
          <t>VÄRMLANDS LÄN</t>
        </is>
      </c>
      <c r="G10357" t="inlineStr">
        <is>
          <t>SÄFFLE</t>
        </is>
      </c>
      <c r="I10357" t="n">
        <v>6.8</v>
      </c>
      <c r="J10357" t="n">
        <v>0</v>
      </c>
      <c r="K10357" t="n">
        <v>0</v>
      </c>
      <c r="L10357" t="n">
        <v>0</v>
      </c>
      <c r="M10357" t="n">
        <v>0</v>
      </c>
      <c r="N10357" t="n">
        <v>0</v>
      </c>
      <c r="O10357" t="n">
        <v>0</v>
      </c>
      <c r="P10357" t="n">
        <v>0</v>
      </c>
      <c r="Q10357" t="n">
        <v>0</v>
      </c>
      <c r="R10357" t="n">
        <v>0</v>
      </c>
      <c r="S10357" t="n">
        <v>0</v>
      </c>
      <c r="T10357" t="n">
        <v>0</v>
      </c>
      <c r="U10357" t="n">
        <v>0</v>
      </c>
      <c r="V10357" s="2" t="inlineStr"/>
    </row>
    <row r="10358" ht="15" customHeight="1">
      <c r="A10358" t="inlineStr">
        <is>
          <t>A 40121-2026</t>
        </is>
      </c>
      <c r="B10358" t="inlineStr">
        <is>
          <t>avverkningsanmälan</t>
        </is>
      </c>
      <c r="C10358" t="inlineStr">
        <is>
          <t>Föryngringsavverkning</t>
        </is>
      </c>
      <c r="D10358" s="1" t="n">
        <v>46293</v>
      </c>
      <c r="E10358" s="1" t="n">
        <v>46307</v>
      </c>
      <c r="F10358" t="inlineStr">
        <is>
          <t>VÄRMLANDS LÄN</t>
        </is>
      </c>
      <c r="G10358" t="inlineStr">
        <is>
          <t>FILIPSTAD</t>
        </is>
      </c>
      <c r="H10358" t="inlineStr">
        <is>
          <t>Bergvik skog väst AB</t>
        </is>
      </c>
      <c r="I10358" t="n">
        <v>2.4</v>
      </c>
      <c r="J10358" t="n">
        <v>0</v>
      </c>
      <c r="K10358" t="n">
        <v>0</v>
      </c>
      <c r="L10358" t="n">
        <v>0</v>
      </c>
      <c r="M10358" t="n">
        <v>0</v>
      </c>
      <c r="N10358" t="n">
        <v>0</v>
      </c>
      <c r="O10358" t="n">
        <v>0</v>
      </c>
      <c r="P10358" t="n">
        <v>0</v>
      </c>
      <c r="Q10358" t="n">
        <v>0</v>
      </c>
      <c r="R10358" t="n">
        <v>0</v>
      </c>
      <c r="S10358" t="n">
        <v>0</v>
      </c>
      <c r="T10358" t="n">
        <v>0</v>
      </c>
      <c r="U10358" t="n">
        <v>0</v>
      </c>
      <c r="V10358" s="2" t="inlineStr"/>
    </row>
    <row r="10359" ht="15" customHeight="1">
      <c r="A10359" t="inlineStr">
        <is>
          <t>A 33635-2026</t>
        </is>
      </c>
      <c r="B10359" t="inlineStr">
        <is>
          <t>avverkningsanmälan</t>
        </is>
      </c>
      <c r="C10359" t="inlineStr">
        <is>
          <t>Föryngringsavverkning</t>
        </is>
      </c>
      <c r="D10359" s="1" t="n">
        <v>46248</v>
      </c>
      <c r="E10359" s="1" t="n">
        <v>46307</v>
      </c>
      <c r="F10359" t="inlineStr">
        <is>
          <t>VÄRMLANDS LÄN</t>
        </is>
      </c>
      <c r="G10359" t="inlineStr">
        <is>
          <t>HAGFORS</t>
        </is>
      </c>
      <c r="H10359" t="inlineStr">
        <is>
          <t>Bergvik skog väst AB</t>
        </is>
      </c>
      <c r="I10359" t="n">
        <v>4.7</v>
      </c>
      <c r="J10359" t="n">
        <v>0</v>
      </c>
      <c r="K10359" t="n">
        <v>0</v>
      </c>
      <c r="L10359" t="n">
        <v>0</v>
      </c>
      <c r="M10359" t="n">
        <v>0</v>
      </c>
      <c r="N10359" t="n">
        <v>0</v>
      </c>
      <c r="O10359" t="n">
        <v>0</v>
      </c>
      <c r="P10359" t="n">
        <v>0</v>
      </c>
      <c r="Q10359" t="n">
        <v>0</v>
      </c>
      <c r="R10359" t="n">
        <v>0</v>
      </c>
      <c r="S10359" t="n">
        <v>0</v>
      </c>
      <c r="T10359" t="n">
        <v>0</v>
      </c>
      <c r="U10359" t="n">
        <v>0</v>
      </c>
      <c r="V10359" s="2" t="inlineStr"/>
    </row>
    <row r="10360" ht="15" customHeight="1">
      <c r="A10360" t="inlineStr">
        <is>
          <t>A 40113-2026</t>
        </is>
      </c>
      <c r="B10360" t="inlineStr">
        <is>
          <t>avverkningsanmälan</t>
        </is>
      </c>
      <c r="C10360" t="inlineStr">
        <is>
          <t>Föryngringsavverkning</t>
        </is>
      </c>
      <c r="D10360" s="1" t="n">
        <v>46293</v>
      </c>
      <c r="E10360" s="1" t="n">
        <v>46307</v>
      </c>
      <c r="F10360" t="inlineStr">
        <is>
          <t>VÄRMLANDS LÄN</t>
        </is>
      </c>
      <c r="G10360" t="inlineStr">
        <is>
          <t>FILIPSTAD</t>
        </is>
      </c>
      <c r="H10360" t="inlineStr">
        <is>
          <t>Bergvik skog väst AB</t>
        </is>
      </c>
      <c r="I10360" t="n">
        <v>3.2</v>
      </c>
      <c r="J10360" t="n">
        <v>0</v>
      </c>
      <c r="K10360" t="n">
        <v>0</v>
      </c>
      <c r="L10360" t="n">
        <v>0</v>
      </c>
      <c r="M10360" t="n">
        <v>0</v>
      </c>
      <c r="N10360" t="n">
        <v>0</v>
      </c>
      <c r="O10360" t="n">
        <v>0</v>
      </c>
      <c r="P10360" t="n">
        <v>0</v>
      </c>
      <c r="Q10360" t="n">
        <v>0</v>
      </c>
      <c r="R10360" t="n">
        <v>0</v>
      </c>
      <c r="S10360" t="n">
        <v>0</v>
      </c>
      <c r="T10360" t="n">
        <v>0</v>
      </c>
      <c r="U10360" t="n">
        <v>0</v>
      </c>
      <c r="V10360" s="2" t="inlineStr"/>
    </row>
    <row r="10361" ht="15" customHeight="1">
      <c r="A10361" t="inlineStr">
        <is>
          <t>A 40351-2026</t>
        </is>
      </c>
      <c r="B10361" t="inlineStr">
        <is>
          <t>avverkningsanmälan</t>
        </is>
      </c>
      <c r="C10361" t="inlineStr">
        <is>
          <t>Föryngringsavverkning</t>
        </is>
      </c>
      <c r="D10361" s="1" t="n">
        <v>46294</v>
      </c>
      <c r="E10361" s="1" t="n">
        <v>46307</v>
      </c>
      <c r="F10361" t="inlineStr">
        <is>
          <t>VÄRMLANDS LÄN</t>
        </is>
      </c>
      <c r="G10361" t="inlineStr">
        <is>
          <t>HAGFORS</t>
        </is>
      </c>
      <c r="H10361" t="inlineStr">
        <is>
          <t>Bergvik skog väst AB</t>
        </is>
      </c>
      <c r="I10361" t="n">
        <v>10.3</v>
      </c>
      <c r="J10361" t="n">
        <v>0</v>
      </c>
      <c r="K10361" t="n">
        <v>0</v>
      </c>
      <c r="L10361" t="n">
        <v>0</v>
      </c>
      <c r="M10361" t="n">
        <v>0</v>
      </c>
      <c r="N10361" t="n">
        <v>0</v>
      </c>
      <c r="O10361" t="n">
        <v>0</v>
      </c>
      <c r="P10361" t="n">
        <v>0</v>
      </c>
      <c r="Q10361" t="n">
        <v>0</v>
      </c>
      <c r="R10361" t="n">
        <v>0</v>
      </c>
      <c r="S10361" t="n">
        <v>0</v>
      </c>
      <c r="T10361" t="n">
        <v>0</v>
      </c>
      <c r="U10361" t="n">
        <v>0</v>
      </c>
      <c r="V10361" s="2" t="inlineStr"/>
    </row>
    <row r="10362" ht="15" customHeight="1">
      <c r="A10362" t="inlineStr">
        <is>
          <t>A 40084-2026</t>
        </is>
      </c>
      <c r="B10362" t="inlineStr">
        <is>
          <t>avverkningsanmälan</t>
        </is>
      </c>
      <c r="C10362" t="inlineStr">
        <is>
          <t>Föryngringsavverkning</t>
        </is>
      </c>
      <c r="D10362" s="1" t="n">
        <v>46293</v>
      </c>
      <c r="E10362" s="1" t="n">
        <v>46307</v>
      </c>
      <c r="F10362" t="inlineStr">
        <is>
          <t>VÄRMLANDS LÄN</t>
        </is>
      </c>
      <c r="G10362" t="inlineStr">
        <is>
          <t>TORSBY</t>
        </is>
      </c>
      <c r="H10362" t="inlineStr">
        <is>
          <t>Bergvik skog väst AB</t>
        </is>
      </c>
      <c r="I10362" t="n">
        <v>26.6</v>
      </c>
      <c r="J10362" t="n">
        <v>0</v>
      </c>
      <c r="K10362" t="n">
        <v>0</v>
      </c>
      <c r="L10362" t="n">
        <v>0</v>
      </c>
      <c r="M10362" t="n">
        <v>0</v>
      </c>
      <c r="N10362" t="n">
        <v>0</v>
      </c>
      <c r="O10362" t="n">
        <v>0</v>
      </c>
      <c r="P10362" t="n">
        <v>0</v>
      </c>
      <c r="Q10362" t="n">
        <v>0</v>
      </c>
      <c r="R10362" t="n">
        <v>0</v>
      </c>
      <c r="S10362" t="n">
        <v>0</v>
      </c>
      <c r="T10362" t="n">
        <v>0</v>
      </c>
      <c r="U10362" t="n">
        <v>0</v>
      </c>
      <c r="V10362" s="2" t="inlineStr"/>
    </row>
    <row r="10363" ht="15" customHeight="1">
      <c r="A10363" t="inlineStr">
        <is>
          <t>A 40074-2026</t>
        </is>
      </c>
      <c r="B10363" t="inlineStr">
        <is>
          <t>avverkningsanmälan</t>
        </is>
      </c>
      <c r="C10363" t="inlineStr">
        <is>
          <t>Föryngringsavverkning</t>
        </is>
      </c>
      <c r="D10363" s="1" t="n">
        <v>46293</v>
      </c>
      <c r="E10363" s="1" t="n">
        <v>46307</v>
      </c>
      <c r="F10363" t="inlineStr">
        <is>
          <t>VÄRMLANDS LÄN</t>
        </is>
      </c>
      <c r="G10363" t="inlineStr">
        <is>
          <t>ARVIKA</t>
        </is>
      </c>
      <c r="I10363" t="n">
        <v>0.7</v>
      </c>
      <c r="J10363" t="n">
        <v>0</v>
      </c>
      <c r="K10363" t="n">
        <v>0</v>
      </c>
      <c r="L10363" t="n">
        <v>0</v>
      </c>
      <c r="M10363" t="n">
        <v>0</v>
      </c>
      <c r="N10363" t="n">
        <v>0</v>
      </c>
      <c r="O10363" t="n">
        <v>0</v>
      </c>
      <c r="P10363" t="n">
        <v>0</v>
      </c>
      <c r="Q10363" t="n">
        <v>0</v>
      </c>
      <c r="R10363" t="n">
        <v>0</v>
      </c>
      <c r="S10363" t="n">
        <v>0</v>
      </c>
      <c r="T10363" t="n">
        <v>0</v>
      </c>
      <c r="U10363" t="n">
        <v>0</v>
      </c>
      <c r="V10363" s="2" t="inlineStr"/>
    </row>
    <row r="10364" ht="15" customHeight="1">
      <c r="A10364" t="inlineStr">
        <is>
          <t>A 40076-2026</t>
        </is>
      </c>
      <c r="B10364" t="inlineStr">
        <is>
          <t>avverkningsanmälan</t>
        </is>
      </c>
      <c r="C10364" t="inlineStr">
        <is>
          <t>Föryngringsavverkning</t>
        </is>
      </c>
      <c r="D10364" s="1" t="n">
        <v>46293</v>
      </c>
      <c r="E10364" s="1" t="n">
        <v>46307</v>
      </c>
      <c r="F10364" t="inlineStr">
        <is>
          <t>VÄRMLANDS LÄN</t>
        </is>
      </c>
      <c r="G10364" t="inlineStr">
        <is>
          <t>SUNNE</t>
        </is>
      </c>
      <c r="I10364" t="n">
        <v>1.4</v>
      </c>
      <c r="J10364" t="n">
        <v>0</v>
      </c>
      <c r="K10364" t="n">
        <v>0</v>
      </c>
      <c r="L10364" t="n">
        <v>0</v>
      </c>
      <c r="M10364" t="n">
        <v>0</v>
      </c>
      <c r="N10364" t="n">
        <v>0</v>
      </c>
      <c r="O10364" t="n">
        <v>0</v>
      </c>
      <c r="P10364" t="n">
        <v>0</v>
      </c>
      <c r="Q10364" t="n">
        <v>0</v>
      </c>
      <c r="R10364" t="n">
        <v>0</v>
      </c>
      <c r="S10364" t="n">
        <v>0</v>
      </c>
      <c r="T10364" t="n">
        <v>0</v>
      </c>
      <c r="U10364" t="n">
        <v>0</v>
      </c>
      <c r="V10364" s="2" t="inlineStr"/>
    </row>
    <row r="10365" ht="15" customHeight="1">
      <c r="A10365" t="inlineStr">
        <is>
          <t>A 33654-2026</t>
        </is>
      </c>
      <c r="B10365" t="inlineStr">
        <is>
          <t>avverkningsanmälan</t>
        </is>
      </c>
      <c r="C10365" t="inlineStr">
        <is>
          <t>Föryngringsavverkning</t>
        </is>
      </c>
      <c r="D10365" s="1" t="n">
        <v>46248</v>
      </c>
      <c r="E10365" s="1" t="n">
        <v>46307</v>
      </c>
      <c r="F10365" t="inlineStr">
        <is>
          <t>VÄRMLANDS LÄN</t>
        </is>
      </c>
      <c r="G10365" t="inlineStr">
        <is>
          <t>ARVIKA</t>
        </is>
      </c>
      <c r="H10365" t="inlineStr">
        <is>
          <t>Bergvik skog väst AB</t>
        </is>
      </c>
      <c r="I10365" t="n">
        <v>4.1</v>
      </c>
      <c r="J10365" t="n">
        <v>0</v>
      </c>
      <c r="K10365" t="n">
        <v>0</v>
      </c>
      <c r="L10365" t="n">
        <v>0</v>
      </c>
      <c r="M10365" t="n">
        <v>0</v>
      </c>
      <c r="N10365" t="n">
        <v>0</v>
      </c>
      <c r="O10365" t="n">
        <v>0</v>
      </c>
      <c r="P10365" t="n">
        <v>0</v>
      </c>
      <c r="Q10365" t="n">
        <v>0</v>
      </c>
      <c r="R10365" t="n">
        <v>0</v>
      </c>
      <c r="S10365" t="n">
        <v>0</v>
      </c>
      <c r="T10365" t="n">
        <v>0</v>
      </c>
      <c r="U10365" t="n">
        <v>0</v>
      </c>
      <c r="V10365" s="2" t="inlineStr"/>
    </row>
    <row r="10366" ht="15" customHeight="1">
      <c r="A10366" t="inlineStr">
        <is>
          <t>A 33714-2026</t>
        </is>
      </c>
      <c r="B10366" t="inlineStr">
        <is>
          <t>avverkningsanmälan</t>
        </is>
      </c>
      <c r="C10366" t="inlineStr">
        <is>
          <t>Föryngringsavverkning</t>
        </is>
      </c>
      <c r="D10366" s="1" t="n">
        <v>46251</v>
      </c>
      <c r="E10366" s="1" t="n">
        <v>46307</v>
      </c>
      <c r="F10366" t="inlineStr">
        <is>
          <t>VÄRMLANDS LÄN</t>
        </is>
      </c>
      <c r="G10366" t="inlineStr">
        <is>
          <t>ARVIKA</t>
        </is>
      </c>
      <c r="I10366" t="n">
        <v>1.1</v>
      </c>
      <c r="J10366" t="n">
        <v>0</v>
      </c>
      <c r="K10366" t="n">
        <v>0</v>
      </c>
      <c r="L10366" t="n">
        <v>0</v>
      </c>
      <c r="M10366" t="n">
        <v>0</v>
      </c>
      <c r="N10366" t="n">
        <v>0</v>
      </c>
      <c r="O10366" t="n">
        <v>0</v>
      </c>
      <c r="P10366" t="n">
        <v>0</v>
      </c>
      <c r="Q10366" t="n">
        <v>0</v>
      </c>
      <c r="R10366" t="n">
        <v>0</v>
      </c>
      <c r="S10366" t="n">
        <v>0</v>
      </c>
      <c r="T10366" t="n">
        <v>0</v>
      </c>
      <c r="U10366" t="n">
        <v>0</v>
      </c>
      <c r="V10366" s="2" t="inlineStr"/>
    </row>
    <row r="10367" ht="15" customHeight="1">
      <c r="A10367" t="inlineStr">
        <is>
          <t>A 40436-2026</t>
        </is>
      </c>
      <c r="B10367" t="inlineStr">
        <is>
          <t>avverkningsanmälan</t>
        </is>
      </c>
      <c r="C10367" t="inlineStr">
        <is>
          <t>Föryngringsavverkning</t>
        </is>
      </c>
      <c r="D10367" s="1" t="n">
        <v>46294</v>
      </c>
      <c r="E10367" s="1" t="n">
        <v>46307</v>
      </c>
      <c r="F10367" t="inlineStr">
        <is>
          <t>VÄRMLANDS LÄN</t>
        </is>
      </c>
      <c r="G10367" t="inlineStr">
        <is>
          <t>HAGFORS</t>
        </is>
      </c>
      <c r="I10367" t="n">
        <v>0.7</v>
      </c>
      <c r="J10367" t="n">
        <v>0</v>
      </c>
      <c r="K10367" t="n">
        <v>0</v>
      </c>
      <c r="L10367" t="n">
        <v>0</v>
      </c>
      <c r="M10367" t="n">
        <v>0</v>
      </c>
      <c r="N10367" t="n">
        <v>0</v>
      </c>
      <c r="O10367" t="n">
        <v>0</v>
      </c>
      <c r="P10367" t="n">
        <v>0</v>
      </c>
      <c r="Q10367" t="n">
        <v>0</v>
      </c>
      <c r="R10367" t="n">
        <v>0</v>
      </c>
      <c r="S10367" t="n">
        <v>0</v>
      </c>
      <c r="T10367" t="n">
        <v>0</v>
      </c>
      <c r="U10367" t="n">
        <v>0</v>
      </c>
      <c r="V10367" s="2" t="inlineStr"/>
    </row>
    <row r="10368" ht="15" customHeight="1">
      <c r="A10368" t="inlineStr">
        <is>
          <t>A 40141-2026</t>
        </is>
      </c>
      <c r="B10368" t="inlineStr">
        <is>
          <t>avverkningsanmälan</t>
        </is>
      </c>
      <c r="C10368" t="inlineStr">
        <is>
          <t>Föryngringsavverkning</t>
        </is>
      </c>
      <c r="D10368" s="1" t="n">
        <v>46293</v>
      </c>
      <c r="E10368" s="1" t="n">
        <v>46307</v>
      </c>
      <c r="F10368" t="inlineStr">
        <is>
          <t>VÄRMLANDS LÄN</t>
        </is>
      </c>
      <c r="G10368" t="inlineStr">
        <is>
          <t>KRISTINEHAMN</t>
        </is>
      </c>
      <c r="I10368" t="n">
        <v>3.5</v>
      </c>
      <c r="J10368" t="n">
        <v>0</v>
      </c>
      <c r="K10368" t="n">
        <v>0</v>
      </c>
      <c r="L10368" t="n">
        <v>0</v>
      </c>
      <c r="M10368" t="n">
        <v>0</v>
      </c>
      <c r="N10368" t="n">
        <v>0</v>
      </c>
      <c r="O10368" t="n">
        <v>0</v>
      </c>
      <c r="P10368" t="n">
        <v>0</v>
      </c>
      <c r="Q10368" t="n">
        <v>0</v>
      </c>
      <c r="R10368" t="n">
        <v>0</v>
      </c>
      <c r="S10368" t="n">
        <v>0</v>
      </c>
      <c r="T10368" t="n">
        <v>0</v>
      </c>
      <c r="U10368" t="n">
        <v>0</v>
      </c>
      <c r="V10368" s="2" t="inlineStr"/>
    </row>
    <row r="10369" ht="15" customHeight="1">
      <c r="A10369" t="inlineStr">
        <is>
          <t>A 40163-2026</t>
        </is>
      </c>
      <c r="B10369" t="inlineStr">
        <is>
          <t>avverkningsanmälan</t>
        </is>
      </c>
      <c r="C10369" t="inlineStr">
        <is>
          <t>Föryngringsavverkning</t>
        </is>
      </c>
      <c r="D10369" s="1" t="n">
        <v>46293</v>
      </c>
      <c r="E10369" s="1" t="n">
        <v>46307</v>
      </c>
      <c r="F10369" t="inlineStr">
        <is>
          <t>VÄRMLANDS LÄN</t>
        </is>
      </c>
      <c r="G10369" t="inlineStr">
        <is>
          <t>HAGFORS</t>
        </is>
      </c>
      <c r="H10369" t="inlineStr">
        <is>
          <t>Bergvik skog väst AB</t>
        </is>
      </c>
      <c r="I10369" t="n">
        <v>5.3</v>
      </c>
      <c r="J10369" t="n">
        <v>0</v>
      </c>
      <c r="K10369" t="n">
        <v>0</v>
      </c>
      <c r="L10369" t="n">
        <v>0</v>
      </c>
      <c r="M10369" t="n">
        <v>0</v>
      </c>
      <c r="N10369" t="n">
        <v>0</v>
      </c>
      <c r="O10369" t="n">
        <v>0</v>
      </c>
      <c r="P10369" t="n">
        <v>0</v>
      </c>
      <c r="Q10369" t="n">
        <v>0</v>
      </c>
      <c r="R10369" t="n">
        <v>0</v>
      </c>
      <c r="S10369" t="n">
        <v>0</v>
      </c>
      <c r="T10369" t="n">
        <v>0</v>
      </c>
      <c r="U10369" t="n">
        <v>0</v>
      </c>
      <c r="V10369" s="2" t="inlineStr"/>
    </row>
    <row r="10370" ht="15" customHeight="1">
      <c r="A10370" t="inlineStr">
        <is>
          <t>A 40174-2026</t>
        </is>
      </c>
      <c r="B10370" t="inlineStr">
        <is>
          <t>avverkningsanmälan</t>
        </is>
      </c>
      <c r="C10370" t="inlineStr">
        <is>
          <t>Föryngringsavverkning</t>
        </is>
      </c>
      <c r="D10370" s="1" t="n">
        <v>46293</v>
      </c>
      <c r="E10370" s="1" t="n">
        <v>46307</v>
      </c>
      <c r="F10370" t="inlineStr">
        <is>
          <t>VÄRMLANDS LÄN</t>
        </is>
      </c>
      <c r="G10370" t="inlineStr">
        <is>
          <t>HAGFORS</t>
        </is>
      </c>
      <c r="H10370" t="inlineStr">
        <is>
          <t>Bergvik skog väst AB</t>
        </is>
      </c>
      <c r="I10370" t="n">
        <v>0.7</v>
      </c>
      <c r="J10370" t="n">
        <v>0</v>
      </c>
      <c r="K10370" t="n">
        <v>0</v>
      </c>
      <c r="L10370" t="n">
        <v>0</v>
      </c>
      <c r="M10370" t="n">
        <v>0</v>
      </c>
      <c r="N10370" t="n">
        <v>0</v>
      </c>
      <c r="O10370" t="n">
        <v>0</v>
      </c>
      <c r="P10370" t="n">
        <v>0</v>
      </c>
      <c r="Q10370" t="n">
        <v>0</v>
      </c>
      <c r="R10370" t="n">
        <v>0</v>
      </c>
      <c r="S10370" t="n">
        <v>0</v>
      </c>
      <c r="T10370" t="n">
        <v>0</v>
      </c>
      <c r="U10370" t="n">
        <v>0</v>
      </c>
      <c r="V10370" s="2" t="inlineStr"/>
    </row>
    <row r="10371" ht="15" customHeight="1">
      <c r="A10371" t="inlineStr">
        <is>
          <t>A 40092-2026</t>
        </is>
      </c>
      <c r="B10371" t="inlineStr">
        <is>
          <t>avverkningsanmälan</t>
        </is>
      </c>
      <c r="C10371" t="inlineStr">
        <is>
          <t>Föryngringsavverkning</t>
        </is>
      </c>
      <c r="D10371" s="1" t="n">
        <v>46293</v>
      </c>
      <c r="E10371" s="1" t="n">
        <v>46307</v>
      </c>
      <c r="F10371" t="inlineStr">
        <is>
          <t>VÄRMLANDS LÄN</t>
        </is>
      </c>
      <c r="G10371" t="inlineStr">
        <is>
          <t>FILIPSTAD</t>
        </is>
      </c>
      <c r="H10371" t="inlineStr">
        <is>
          <t>Bergvik skog väst AB</t>
        </is>
      </c>
      <c r="I10371" t="n">
        <v>2.7</v>
      </c>
      <c r="J10371" t="n">
        <v>0</v>
      </c>
      <c r="K10371" t="n">
        <v>0</v>
      </c>
      <c r="L10371" t="n">
        <v>0</v>
      </c>
      <c r="M10371" t="n">
        <v>0</v>
      </c>
      <c r="N10371" t="n">
        <v>0</v>
      </c>
      <c r="O10371" t="n">
        <v>0</v>
      </c>
      <c r="P10371" t="n">
        <v>0</v>
      </c>
      <c r="Q10371" t="n">
        <v>0</v>
      </c>
      <c r="R10371" t="n">
        <v>0</v>
      </c>
      <c r="S10371" t="n">
        <v>0</v>
      </c>
      <c r="T10371" t="n">
        <v>0</v>
      </c>
      <c r="U10371" t="n">
        <v>0</v>
      </c>
      <c r="V10371" s="2" t="inlineStr"/>
    </row>
    <row r="10372" ht="15" customHeight="1">
      <c r="A10372" t="inlineStr">
        <is>
          <t>A 40148-2026</t>
        </is>
      </c>
      <c r="B10372" t="inlineStr">
        <is>
          <t>avverkningsanmälan</t>
        </is>
      </c>
      <c r="C10372" t="inlineStr">
        <is>
          <t>Föryngringsavverkning</t>
        </is>
      </c>
      <c r="D10372" s="1" t="n">
        <v>46293</v>
      </c>
      <c r="E10372" s="1" t="n">
        <v>46307</v>
      </c>
      <c r="F10372" t="inlineStr">
        <is>
          <t>VÄRMLANDS LÄN</t>
        </is>
      </c>
      <c r="G10372" t="inlineStr">
        <is>
          <t>HAGFORS</t>
        </is>
      </c>
      <c r="H10372" t="inlineStr">
        <is>
          <t>Bergvik skog väst AB</t>
        </is>
      </c>
      <c r="I10372" t="n">
        <v>14.6</v>
      </c>
      <c r="J10372" t="n">
        <v>0</v>
      </c>
      <c r="K10372" t="n">
        <v>0</v>
      </c>
      <c r="L10372" t="n">
        <v>0</v>
      </c>
      <c r="M10372" t="n">
        <v>0</v>
      </c>
      <c r="N10372" t="n">
        <v>0</v>
      </c>
      <c r="O10372" t="n">
        <v>0</v>
      </c>
      <c r="P10372" t="n">
        <v>0</v>
      </c>
      <c r="Q10372" t="n">
        <v>0</v>
      </c>
      <c r="R10372" t="n">
        <v>0</v>
      </c>
      <c r="S10372" t="n">
        <v>0</v>
      </c>
      <c r="T10372" t="n">
        <v>0</v>
      </c>
      <c r="U10372" t="n">
        <v>0</v>
      </c>
      <c r="V10372" s="2" t="inlineStr"/>
    </row>
    <row r="10373" ht="15" customHeight="1">
      <c r="A10373" t="inlineStr">
        <is>
          <t>A 40259-2026</t>
        </is>
      </c>
      <c r="B10373" t="inlineStr">
        <is>
          <t>avverkningsanmälan</t>
        </is>
      </c>
      <c r="C10373" t="inlineStr">
        <is>
          <t>Föryngringsavverkning</t>
        </is>
      </c>
      <c r="D10373" s="1" t="n">
        <v>46294</v>
      </c>
      <c r="E10373" s="1" t="n">
        <v>46307</v>
      </c>
      <c r="F10373" t="inlineStr">
        <is>
          <t>VÄRMLANDS LÄN</t>
        </is>
      </c>
      <c r="G10373" t="inlineStr">
        <is>
          <t>HAGFORS</t>
        </is>
      </c>
      <c r="H10373" t="inlineStr">
        <is>
          <t>Bergvik skog väst AB</t>
        </is>
      </c>
      <c r="I10373" t="n">
        <v>15.3</v>
      </c>
      <c r="J10373" t="n">
        <v>0</v>
      </c>
      <c r="K10373" t="n">
        <v>0</v>
      </c>
      <c r="L10373" t="n">
        <v>0</v>
      </c>
      <c r="M10373" t="n">
        <v>0</v>
      </c>
      <c r="N10373" t="n">
        <v>0</v>
      </c>
      <c r="O10373" t="n">
        <v>0</v>
      </c>
      <c r="P10373" t="n">
        <v>0</v>
      </c>
      <c r="Q10373" t="n">
        <v>0</v>
      </c>
      <c r="R10373" t="n">
        <v>0</v>
      </c>
      <c r="S10373" t="n">
        <v>0</v>
      </c>
      <c r="T10373" t="n">
        <v>0</v>
      </c>
      <c r="U10373" t="n">
        <v>0</v>
      </c>
      <c r="V10373" s="2" t="inlineStr"/>
    </row>
    <row r="10374" ht="15" customHeight="1">
      <c r="A10374" t="inlineStr">
        <is>
          <t>A 40101-2026</t>
        </is>
      </c>
      <c r="B10374" t="inlineStr">
        <is>
          <t>avverkningsanmälan</t>
        </is>
      </c>
      <c r="C10374" t="inlineStr">
        <is>
          <t>Föryngringsavverkning</t>
        </is>
      </c>
      <c r="D10374" s="1" t="n">
        <v>46290</v>
      </c>
      <c r="E10374" s="1" t="n">
        <v>46307</v>
      </c>
      <c r="F10374" t="inlineStr">
        <is>
          <t>VÄRMLANDS LÄN</t>
        </is>
      </c>
      <c r="G10374" t="inlineStr">
        <is>
          <t>SÄFFLE</t>
        </is>
      </c>
      <c r="I10374" t="n">
        <v>2.2</v>
      </c>
      <c r="J10374" t="n">
        <v>0</v>
      </c>
      <c r="K10374" t="n">
        <v>0</v>
      </c>
      <c r="L10374" t="n">
        <v>0</v>
      </c>
      <c r="M10374" t="n">
        <v>0</v>
      </c>
      <c r="N10374" t="n">
        <v>0</v>
      </c>
      <c r="O10374" t="n">
        <v>0</v>
      </c>
      <c r="P10374" t="n">
        <v>0</v>
      </c>
      <c r="Q10374" t="n">
        <v>0</v>
      </c>
      <c r="R10374" t="n">
        <v>0</v>
      </c>
      <c r="S10374" t="n">
        <v>0</v>
      </c>
      <c r="T10374" t="n">
        <v>0</v>
      </c>
      <c r="U10374" t="n">
        <v>0</v>
      </c>
      <c r="V10374" s="2" t="inlineStr"/>
    </row>
    <row r="10375" ht="15" customHeight="1">
      <c r="A10375" t="inlineStr">
        <is>
          <t>A 40102-2026</t>
        </is>
      </c>
      <c r="B10375" t="inlineStr">
        <is>
          <t>avverkningsanmälan</t>
        </is>
      </c>
      <c r="C10375" t="inlineStr">
        <is>
          <t>Föryngringsavverkning</t>
        </is>
      </c>
      <c r="D10375" s="1" t="n">
        <v>46290</v>
      </c>
      <c r="E10375" s="1" t="n">
        <v>46307</v>
      </c>
      <c r="F10375" t="inlineStr">
        <is>
          <t>VÄRMLANDS LÄN</t>
        </is>
      </c>
      <c r="G10375" t="inlineStr">
        <is>
          <t>SÄFFLE</t>
        </is>
      </c>
      <c r="I10375" t="n">
        <v>5.1</v>
      </c>
      <c r="J10375" t="n">
        <v>0</v>
      </c>
      <c r="K10375" t="n">
        <v>0</v>
      </c>
      <c r="L10375" t="n">
        <v>0</v>
      </c>
      <c r="M10375" t="n">
        <v>0</v>
      </c>
      <c r="N10375" t="n">
        <v>0</v>
      </c>
      <c r="O10375" t="n">
        <v>0</v>
      </c>
      <c r="P10375" t="n">
        <v>0</v>
      </c>
      <c r="Q10375" t="n">
        <v>0</v>
      </c>
      <c r="R10375" t="n">
        <v>0</v>
      </c>
      <c r="S10375" t="n">
        <v>0</v>
      </c>
      <c r="T10375" t="n">
        <v>0</v>
      </c>
      <c r="U10375" t="n">
        <v>0</v>
      </c>
      <c r="V10375" s="2" t="inlineStr"/>
    </row>
    <row r="10376" ht="15" customHeight="1">
      <c r="A10376" t="inlineStr">
        <is>
          <t>A 40081-2026</t>
        </is>
      </c>
      <c r="B10376" t="inlineStr">
        <is>
          <t>avverkningsanmälan</t>
        </is>
      </c>
      <c r="C10376" t="inlineStr">
        <is>
          <t>Föryngringsavverkning</t>
        </is>
      </c>
      <c r="D10376" s="1" t="n">
        <v>46293</v>
      </c>
      <c r="E10376" s="1" t="n">
        <v>46307</v>
      </c>
      <c r="F10376" t="inlineStr">
        <is>
          <t>VÄRMLANDS LÄN</t>
        </is>
      </c>
      <c r="G10376" t="inlineStr">
        <is>
          <t>SUNNE</t>
        </is>
      </c>
      <c r="I10376" t="n">
        <v>0.8</v>
      </c>
      <c r="J10376" t="n">
        <v>0</v>
      </c>
      <c r="K10376" t="n">
        <v>0</v>
      </c>
      <c r="L10376" t="n">
        <v>0</v>
      </c>
      <c r="M10376" t="n">
        <v>0</v>
      </c>
      <c r="N10376" t="n">
        <v>0</v>
      </c>
      <c r="O10376" t="n">
        <v>0</v>
      </c>
      <c r="P10376" t="n">
        <v>0</v>
      </c>
      <c r="Q10376" t="n">
        <v>0</v>
      </c>
      <c r="R10376" t="n">
        <v>0</v>
      </c>
      <c r="S10376" t="n">
        <v>0</v>
      </c>
      <c r="T10376" t="n">
        <v>0</v>
      </c>
      <c r="U10376" t="n">
        <v>0</v>
      </c>
      <c r="V10376" s="2" t="inlineStr"/>
    </row>
    <row r="10377" ht="15" customHeight="1">
      <c r="A10377" t="inlineStr">
        <is>
          <t>A 40191-2026</t>
        </is>
      </c>
      <c r="B10377" t="inlineStr">
        <is>
          <t>avverkningsanmälan</t>
        </is>
      </c>
      <c r="C10377" t="inlineStr">
        <is>
          <t>Föryngringsavverkning</t>
        </is>
      </c>
      <c r="D10377" s="1" t="n">
        <v>46290</v>
      </c>
      <c r="E10377" s="1" t="n">
        <v>46307</v>
      </c>
      <c r="F10377" t="inlineStr">
        <is>
          <t>VÄRMLANDS LÄN</t>
        </is>
      </c>
      <c r="G10377" t="inlineStr">
        <is>
          <t>HAGFORS</t>
        </is>
      </c>
      <c r="I10377" t="n">
        <v>4.3</v>
      </c>
      <c r="J10377" t="n">
        <v>0</v>
      </c>
      <c r="K10377" t="n">
        <v>0</v>
      </c>
      <c r="L10377" t="n">
        <v>0</v>
      </c>
      <c r="M10377" t="n">
        <v>0</v>
      </c>
      <c r="N10377" t="n">
        <v>0</v>
      </c>
      <c r="O10377" t="n">
        <v>0</v>
      </c>
      <c r="P10377" t="n">
        <v>0</v>
      </c>
      <c r="Q10377" t="n">
        <v>0</v>
      </c>
      <c r="R10377" t="n">
        <v>0</v>
      </c>
      <c r="S10377" t="n">
        <v>0</v>
      </c>
      <c r="T10377" t="n">
        <v>0</v>
      </c>
      <c r="U10377" t="n">
        <v>0</v>
      </c>
      <c r="V10377" s="2" t="inlineStr"/>
    </row>
    <row r="10378" ht="15" customHeight="1">
      <c r="A10378" t="inlineStr">
        <is>
          <t>A 40310-2026</t>
        </is>
      </c>
      <c r="B10378" t="inlineStr">
        <is>
          <t>avverkningsanmälan</t>
        </is>
      </c>
      <c r="C10378" t="inlineStr">
        <is>
          <t>Föryngringsavverkning</t>
        </is>
      </c>
      <c r="D10378" s="1" t="n">
        <v>46294</v>
      </c>
      <c r="E10378" s="1" t="n">
        <v>46307</v>
      </c>
      <c r="F10378" t="inlineStr">
        <is>
          <t>VÄRMLANDS LÄN</t>
        </is>
      </c>
      <c r="G10378" t="inlineStr">
        <is>
          <t>EDA</t>
        </is>
      </c>
      <c r="I10378" t="n">
        <v>1</v>
      </c>
      <c r="J10378" t="n">
        <v>0</v>
      </c>
      <c r="K10378" t="n">
        <v>0</v>
      </c>
      <c r="L10378" t="n">
        <v>0</v>
      </c>
      <c r="M10378" t="n">
        <v>0</v>
      </c>
      <c r="N10378" t="n">
        <v>0</v>
      </c>
      <c r="O10378" t="n">
        <v>0</v>
      </c>
      <c r="P10378" t="n">
        <v>0</v>
      </c>
      <c r="Q10378" t="n">
        <v>0</v>
      </c>
      <c r="R10378" t="n">
        <v>0</v>
      </c>
      <c r="S10378" t="n">
        <v>0</v>
      </c>
      <c r="T10378" t="n">
        <v>0</v>
      </c>
      <c r="U10378" t="n">
        <v>0</v>
      </c>
      <c r="V10378" s="2" t="inlineStr"/>
    </row>
    <row r="10379" ht="15" customHeight="1">
      <c r="A10379" t="inlineStr">
        <is>
          <t>A 40027-2026</t>
        </is>
      </c>
      <c r="B10379" t="inlineStr">
        <is>
          <t>avverkningsanmälan</t>
        </is>
      </c>
      <c r="C10379" t="inlineStr">
        <is>
          <t>Föryngringsavverkning</t>
        </is>
      </c>
      <c r="D10379" s="1" t="n">
        <v>46293</v>
      </c>
      <c r="E10379" s="1" t="n">
        <v>46307</v>
      </c>
      <c r="F10379" t="inlineStr">
        <is>
          <t>VÄRMLANDS LÄN</t>
        </is>
      </c>
      <c r="G10379" t="inlineStr">
        <is>
          <t>TORSBY</t>
        </is>
      </c>
      <c r="H10379" t="inlineStr">
        <is>
          <t>Bergvik skog väst AB</t>
        </is>
      </c>
      <c r="I10379" t="n">
        <v>8.300000000000001</v>
      </c>
      <c r="J10379" t="n">
        <v>0</v>
      </c>
      <c r="K10379" t="n">
        <v>0</v>
      </c>
      <c r="L10379" t="n">
        <v>0</v>
      </c>
      <c r="M10379" t="n">
        <v>0</v>
      </c>
      <c r="N10379" t="n">
        <v>0</v>
      </c>
      <c r="O10379" t="n">
        <v>0</v>
      </c>
      <c r="P10379" t="n">
        <v>0</v>
      </c>
      <c r="Q10379" t="n">
        <v>0</v>
      </c>
      <c r="R10379" t="n">
        <v>0</v>
      </c>
      <c r="S10379" t="n">
        <v>0</v>
      </c>
      <c r="T10379" t="n">
        <v>0</v>
      </c>
      <c r="U10379" t="n">
        <v>0</v>
      </c>
      <c r="V10379" s="2" t="inlineStr"/>
    </row>
    <row r="10380" ht="15" customHeight="1">
      <c r="A10380" t="inlineStr">
        <is>
          <t>A 40330-2026</t>
        </is>
      </c>
      <c r="B10380" t="inlineStr">
        <is>
          <t>avverkningsanmälan</t>
        </is>
      </c>
      <c r="C10380" t="inlineStr">
        <is>
          <t>Föryngringsavverkning</t>
        </is>
      </c>
      <c r="D10380" s="1" t="n">
        <v>46294</v>
      </c>
      <c r="E10380" s="1" t="n">
        <v>46307</v>
      </c>
      <c r="F10380" t="inlineStr">
        <is>
          <t>VÄRMLANDS LÄN</t>
        </is>
      </c>
      <c r="G10380" t="inlineStr">
        <is>
          <t>ARVIKA</t>
        </is>
      </c>
      <c r="I10380" t="n">
        <v>1.2</v>
      </c>
      <c r="J10380" t="n">
        <v>0</v>
      </c>
      <c r="K10380" t="n">
        <v>0</v>
      </c>
      <c r="L10380" t="n">
        <v>0</v>
      </c>
      <c r="M10380" t="n">
        <v>0</v>
      </c>
      <c r="N10380" t="n">
        <v>0</v>
      </c>
      <c r="O10380" t="n">
        <v>0</v>
      </c>
      <c r="P10380" t="n">
        <v>0</v>
      </c>
      <c r="Q10380" t="n">
        <v>0</v>
      </c>
      <c r="R10380" t="n">
        <v>0</v>
      </c>
      <c r="S10380" t="n">
        <v>0</v>
      </c>
      <c r="T10380" t="n">
        <v>0</v>
      </c>
      <c r="U10380" t="n">
        <v>0</v>
      </c>
      <c r="V10380" s="2" t="inlineStr"/>
    </row>
    <row r="10381" ht="15" customHeight="1">
      <c r="A10381" t="inlineStr">
        <is>
          <t>A 40234-2026</t>
        </is>
      </c>
      <c r="B10381" t="inlineStr">
        <is>
          <t>avverkningsanmälan</t>
        </is>
      </c>
      <c r="C10381" t="inlineStr">
        <is>
          <t>Föryngringsavverkning</t>
        </is>
      </c>
      <c r="D10381" s="1" t="n">
        <v>46294</v>
      </c>
      <c r="E10381" s="1" t="n">
        <v>46307</v>
      </c>
      <c r="F10381" t="inlineStr">
        <is>
          <t>VÄRMLANDS LÄN</t>
        </is>
      </c>
      <c r="G10381" t="inlineStr">
        <is>
          <t>ÅRJÄNG</t>
        </is>
      </c>
      <c r="I10381" t="n">
        <v>1.1</v>
      </c>
      <c r="J10381" t="n">
        <v>0</v>
      </c>
      <c r="K10381" t="n">
        <v>0</v>
      </c>
      <c r="L10381" t="n">
        <v>0</v>
      </c>
      <c r="M10381" t="n">
        <v>0</v>
      </c>
      <c r="N10381" t="n">
        <v>0</v>
      </c>
      <c r="O10381" t="n">
        <v>0</v>
      </c>
      <c r="P10381" t="n">
        <v>0</v>
      </c>
      <c r="Q10381" t="n">
        <v>0</v>
      </c>
      <c r="R10381" t="n">
        <v>0</v>
      </c>
      <c r="S10381" t="n">
        <v>0</v>
      </c>
      <c r="T10381" t="n">
        <v>0</v>
      </c>
      <c r="U10381" t="n">
        <v>0</v>
      </c>
      <c r="V10381" s="2" t="inlineStr"/>
    </row>
    <row r="10382" ht="15" customHeight="1">
      <c r="A10382" t="inlineStr">
        <is>
          <t>A 40251-2026</t>
        </is>
      </c>
      <c r="B10382" t="inlineStr">
        <is>
          <t>avverkningsanmälan</t>
        </is>
      </c>
      <c r="C10382" t="inlineStr">
        <is>
          <t>Föryngringsavverkning</t>
        </is>
      </c>
      <c r="D10382" s="1" t="n">
        <v>46294</v>
      </c>
      <c r="E10382" s="1" t="n">
        <v>46307</v>
      </c>
      <c r="F10382" t="inlineStr">
        <is>
          <t>VÄRMLANDS LÄN</t>
        </is>
      </c>
      <c r="G10382" t="inlineStr">
        <is>
          <t>ARVIKA</t>
        </is>
      </c>
      <c r="H10382" t="inlineStr">
        <is>
          <t>Bergvik skog väst AB</t>
        </is>
      </c>
      <c r="I10382" t="n">
        <v>2.4</v>
      </c>
      <c r="J10382" t="n">
        <v>0</v>
      </c>
      <c r="K10382" t="n">
        <v>0</v>
      </c>
      <c r="L10382" t="n">
        <v>0</v>
      </c>
      <c r="M10382" t="n">
        <v>0</v>
      </c>
      <c r="N10382" t="n">
        <v>0</v>
      </c>
      <c r="O10382" t="n">
        <v>0</v>
      </c>
      <c r="P10382" t="n">
        <v>0</v>
      </c>
      <c r="Q10382" t="n">
        <v>0</v>
      </c>
      <c r="R10382" t="n">
        <v>0</v>
      </c>
      <c r="S10382" t="n">
        <v>0</v>
      </c>
      <c r="T10382" t="n">
        <v>0</v>
      </c>
      <c r="U10382" t="n">
        <v>0</v>
      </c>
      <c r="V10382" s="2" t="inlineStr"/>
    </row>
    <row r="10383" ht="15" customHeight="1">
      <c r="A10383" t="inlineStr">
        <is>
          <t>A 40233-2026</t>
        </is>
      </c>
      <c r="B10383" t="inlineStr">
        <is>
          <t>avverkningsanmälan</t>
        </is>
      </c>
      <c r="C10383" t="inlineStr">
        <is>
          <t>Föryngringsavverkning</t>
        </is>
      </c>
      <c r="D10383" s="1" t="n">
        <v>46294</v>
      </c>
      <c r="E10383" s="1" t="n">
        <v>46307</v>
      </c>
      <c r="F10383" t="inlineStr">
        <is>
          <t>VÄRMLANDS LÄN</t>
        </is>
      </c>
      <c r="G10383" t="inlineStr">
        <is>
          <t>ÅRJÄNG</t>
        </is>
      </c>
      <c r="I10383" t="n">
        <v>2.4</v>
      </c>
      <c r="J10383" t="n">
        <v>0</v>
      </c>
      <c r="K10383" t="n">
        <v>0</v>
      </c>
      <c r="L10383" t="n">
        <v>0</v>
      </c>
      <c r="M10383" t="n">
        <v>0</v>
      </c>
      <c r="N10383" t="n">
        <v>0</v>
      </c>
      <c r="O10383" t="n">
        <v>0</v>
      </c>
      <c r="P10383" t="n">
        <v>0</v>
      </c>
      <c r="Q10383" t="n">
        <v>0</v>
      </c>
      <c r="R10383" t="n">
        <v>0</v>
      </c>
      <c r="S10383" t="n">
        <v>0</v>
      </c>
      <c r="T10383" t="n">
        <v>0</v>
      </c>
      <c r="U10383" t="n">
        <v>0</v>
      </c>
      <c r="V10383" s="2" t="inlineStr"/>
    </row>
    <row r="10384" ht="15" customHeight="1">
      <c r="A10384" t="inlineStr">
        <is>
          <t>A 33515-2026</t>
        </is>
      </c>
      <c r="B10384" t="inlineStr">
        <is>
          <t>avverkningsanmälan</t>
        </is>
      </c>
      <c r="C10384" t="inlineStr">
        <is>
          <t>Föryngringsavverkning</t>
        </is>
      </c>
      <c r="D10384" s="1" t="n">
        <v>46248</v>
      </c>
      <c r="E10384" s="1" t="n">
        <v>46307</v>
      </c>
      <c r="F10384" t="inlineStr">
        <is>
          <t>VÄRMLANDS LÄN</t>
        </is>
      </c>
      <c r="G10384" t="inlineStr">
        <is>
          <t>HAGFORS</t>
        </is>
      </c>
      <c r="H10384" t="inlineStr">
        <is>
          <t>Bergvik skog väst AB</t>
        </is>
      </c>
      <c r="I10384" t="n">
        <v>6.5</v>
      </c>
      <c r="J10384" t="n">
        <v>0</v>
      </c>
      <c r="K10384" t="n">
        <v>0</v>
      </c>
      <c r="L10384" t="n">
        <v>0</v>
      </c>
      <c r="M10384" t="n">
        <v>0</v>
      </c>
      <c r="N10384" t="n">
        <v>0</v>
      </c>
      <c r="O10384" t="n">
        <v>0</v>
      </c>
      <c r="P10384" t="n">
        <v>0</v>
      </c>
      <c r="Q10384" t="n">
        <v>0</v>
      </c>
      <c r="R10384" t="n">
        <v>0</v>
      </c>
      <c r="S10384" t="n">
        <v>0</v>
      </c>
      <c r="T10384" t="n">
        <v>0</v>
      </c>
      <c r="U10384" t="n">
        <v>0</v>
      </c>
      <c r="V10384" s="2" t="inlineStr"/>
    </row>
    <row r="10385" ht="15" customHeight="1">
      <c r="A10385" t="inlineStr">
        <is>
          <t>A 33627-2026</t>
        </is>
      </c>
      <c r="B10385" t="inlineStr">
        <is>
          <t>avverkningsanmälan</t>
        </is>
      </c>
      <c r="C10385" t="inlineStr">
        <is>
          <t>Föryngringsavverkning</t>
        </is>
      </c>
      <c r="D10385" s="1" t="n">
        <v>46248</v>
      </c>
      <c r="E10385" s="1" t="n">
        <v>46307</v>
      </c>
      <c r="F10385" t="inlineStr">
        <is>
          <t>VÄRMLANDS LÄN</t>
        </is>
      </c>
      <c r="G10385" t="inlineStr">
        <is>
          <t>HAGFORS</t>
        </is>
      </c>
      <c r="H10385" t="inlineStr">
        <is>
          <t>Bergvik skog väst AB</t>
        </is>
      </c>
      <c r="I10385" t="n">
        <v>2.1</v>
      </c>
      <c r="J10385" t="n">
        <v>0</v>
      </c>
      <c r="K10385" t="n">
        <v>0</v>
      </c>
      <c r="L10385" t="n">
        <v>0</v>
      </c>
      <c r="M10385" t="n">
        <v>0</v>
      </c>
      <c r="N10385" t="n">
        <v>0</v>
      </c>
      <c r="O10385" t="n">
        <v>0</v>
      </c>
      <c r="P10385" t="n">
        <v>0</v>
      </c>
      <c r="Q10385" t="n">
        <v>0</v>
      </c>
      <c r="R10385" t="n">
        <v>0</v>
      </c>
      <c r="S10385" t="n">
        <v>0</v>
      </c>
      <c r="T10385" t="n">
        <v>0</v>
      </c>
      <c r="U10385" t="n">
        <v>0</v>
      </c>
      <c r="V10385" s="2" t="inlineStr"/>
    </row>
    <row r="10386" ht="15" customHeight="1">
      <c r="A10386" t="inlineStr">
        <is>
          <t>A 40000-2026</t>
        </is>
      </c>
      <c r="B10386" t="inlineStr">
        <is>
          <t>avverkningsanmälan</t>
        </is>
      </c>
      <c r="C10386" t="inlineStr">
        <is>
          <t>Föryngringsavverkning</t>
        </is>
      </c>
      <c r="D10386" s="1" t="n">
        <v>46293</v>
      </c>
      <c r="E10386" s="1" t="n">
        <v>46307</v>
      </c>
      <c r="F10386" t="inlineStr">
        <is>
          <t>VÄRMLANDS LÄN</t>
        </is>
      </c>
      <c r="G10386" t="inlineStr">
        <is>
          <t>SUNNE</t>
        </is>
      </c>
      <c r="I10386" t="n">
        <v>0.7</v>
      </c>
      <c r="J10386" t="n">
        <v>0</v>
      </c>
      <c r="K10386" t="n">
        <v>0</v>
      </c>
      <c r="L10386" t="n">
        <v>0</v>
      </c>
      <c r="M10386" t="n">
        <v>0</v>
      </c>
      <c r="N10386" t="n">
        <v>0</v>
      </c>
      <c r="O10386" t="n">
        <v>0</v>
      </c>
      <c r="P10386" t="n">
        <v>0</v>
      </c>
      <c r="Q10386" t="n">
        <v>0</v>
      </c>
      <c r="R10386" t="n">
        <v>0</v>
      </c>
      <c r="S10386" t="n">
        <v>0</v>
      </c>
      <c r="T10386" t="n">
        <v>0</v>
      </c>
      <c r="U10386" t="n">
        <v>0</v>
      </c>
      <c r="V10386" s="2" t="inlineStr"/>
    </row>
    <row r="10387" ht="15" customHeight="1">
      <c r="A10387" t="inlineStr">
        <is>
          <t>A 40125-2026</t>
        </is>
      </c>
      <c r="B10387" t="inlineStr">
        <is>
          <t>avverkningsanmälan</t>
        </is>
      </c>
      <c r="C10387" t="inlineStr">
        <is>
          <t>Föryngringsavverkning</t>
        </is>
      </c>
      <c r="D10387" s="1" t="n">
        <v>46293</v>
      </c>
      <c r="E10387" s="1" t="n">
        <v>46307</v>
      </c>
      <c r="F10387" t="inlineStr">
        <is>
          <t>VÄRMLANDS LÄN</t>
        </is>
      </c>
      <c r="G10387" t="inlineStr">
        <is>
          <t>HAGFORS</t>
        </is>
      </c>
      <c r="H10387" t="inlineStr">
        <is>
          <t>Bergvik skog väst AB</t>
        </is>
      </c>
      <c r="I10387" t="n">
        <v>1.5</v>
      </c>
      <c r="J10387" t="n">
        <v>0</v>
      </c>
      <c r="K10387" t="n">
        <v>0</v>
      </c>
      <c r="L10387" t="n">
        <v>0</v>
      </c>
      <c r="M10387" t="n">
        <v>0</v>
      </c>
      <c r="N10387" t="n">
        <v>0</v>
      </c>
      <c r="O10387" t="n">
        <v>0</v>
      </c>
      <c r="P10387" t="n">
        <v>0</v>
      </c>
      <c r="Q10387" t="n">
        <v>0</v>
      </c>
      <c r="R10387" t="n">
        <v>0</v>
      </c>
      <c r="S10387" t="n">
        <v>0</v>
      </c>
      <c r="T10387" t="n">
        <v>0</v>
      </c>
      <c r="U10387" t="n">
        <v>0</v>
      </c>
      <c r="V10387" s="2" t="inlineStr"/>
    </row>
    <row r="10388" ht="15" customHeight="1">
      <c r="A10388" t="inlineStr">
        <is>
          <t>A 40130-2026</t>
        </is>
      </c>
      <c r="B10388" t="inlineStr">
        <is>
          <t>avverkningsanmälan</t>
        </is>
      </c>
      <c r="C10388" t="inlineStr">
        <is>
          <t>Föryngringsavverkning</t>
        </is>
      </c>
      <c r="D10388" s="1" t="n">
        <v>46293</v>
      </c>
      <c r="E10388" s="1" t="n">
        <v>46307</v>
      </c>
      <c r="F10388" t="inlineStr">
        <is>
          <t>VÄRMLANDS LÄN</t>
        </is>
      </c>
      <c r="G10388" t="inlineStr">
        <is>
          <t>HAGFORS</t>
        </is>
      </c>
      <c r="H10388" t="inlineStr">
        <is>
          <t>Bergvik skog väst AB</t>
        </is>
      </c>
      <c r="I10388" t="n">
        <v>1.2</v>
      </c>
      <c r="J10388" t="n">
        <v>0</v>
      </c>
      <c r="K10388" t="n">
        <v>0</v>
      </c>
      <c r="L10388" t="n">
        <v>0</v>
      </c>
      <c r="M10388" t="n">
        <v>0</v>
      </c>
      <c r="N10388" t="n">
        <v>0</v>
      </c>
      <c r="O10388" t="n">
        <v>0</v>
      </c>
      <c r="P10388" t="n">
        <v>0</v>
      </c>
      <c r="Q10388" t="n">
        <v>0</v>
      </c>
      <c r="R10388" t="n">
        <v>0</v>
      </c>
      <c r="S10388" t="n">
        <v>0</v>
      </c>
      <c r="T10388" t="n">
        <v>0</v>
      </c>
      <c r="U10388" t="n">
        <v>0</v>
      </c>
      <c r="V10388" s="2" t="inlineStr"/>
    </row>
    <row r="10389" ht="15" customHeight="1">
      <c r="A10389" t="inlineStr">
        <is>
          <t>A 39988-2026</t>
        </is>
      </c>
      <c r="B10389" t="inlineStr">
        <is>
          <t>avverkningsanmälan</t>
        </is>
      </c>
      <c r="C10389" t="inlineStr">
        <is>
          <t>Föryngringsavverkning</t>
        </is>
      </c>
      <c r="D10389" s="1" t="n">
        <v>46293</v>
      </c>
      <c r="E10389" s="1" t="n">
        <v>46307</v>
      </c>
      <c r="F10389" t="inlineStr">
        <is>
          <t>VÄRMLANDS LÄN</t>
        </is>
      </c>
      <c r="G10389" t="inlineStr">
        <is>
          <t>STORFORS</t>
        </is>
      </c>
      <c r="H10389" t="inlineStr">
        <is>
          <t>Bergvik skog väst AB</t>
        </is>
      </c>
      <c r="I10389" t="n">
        <v>6</v>
      </c>
      <c r="J10389" t="n">
        <v>0</v>
      </c>
      <c r="K10389" t="n">
        <v>0</v>
      </c>
      <c r="L10389" t="n">
        <v>0</v>
      </c>
      <c r="M10389" t="n">
        <v>0</v>
      </c>
      <c r="N10389" t="n">
        <v>0</v>
      </c>
      <c r="O10389" t="n">
        <v>0</v>
      </c>
      <c r="P10389" t="n">
        <v>0</v>
      </c>
      <c r="Q10389" t="n">
        <v>0</v>
      </c>
      <c r="R10389" t="n">
        <v>0</v>
      </c>
      <c r="S10389" t="n">
        <v>0</v>
      </c>
      <c r="T10389" t="n">
        <v>0</v>
      </c>
      <c r="U10389" t="n">
        <v>0</v>
      </c>
      <c r="V10389" s="2" t="inlineStr"/>
    </row>
    <row r="10390" ht="15" customHeight="1">
      <c r="A10390" t="inlineStr">
        <is>
          <t>A 40009-2026</t>
        </is>
      </c>
      <c r="B10390" t="inlineStr">
        <is>
          <t>avverkningsanmälan</t>
        </is>
      </c>
      <c r="C10390" t="inlineStr">
        <is>
          <t>Föryngringsavverkning</t>
        </is>
      </c>
      <c r="D10390" s="1" t="n">
        <v>46293</v>
      </c>
      <c r="E10390" s="1" t="n">
        <v>46307</v>
      </c>
      <c r="F10390" t="inlineStr">
        <is>
          <t>VÄRMLANDS LÄN</t>
        </is>
      </c>
      <c r="G10390" t="inlineStr">
        <is>
          <t>STORFORS</t>
        </is>
      </c>
      <c r="H10390" t="inlineStr">
        <is>
          <t>Bergvik skog väst AB</t>
        </is>
      </c>
      <c r="I10390" t="n">
        <v>10.6</v>
      </c>
      <c r="J10390" t="n">
        <v>0</v>
      </c>
      <c r="K10390" t="n">
        <v>0</v>
      </c>
      <c r="L10390" t="n">
        <v>0</v>
      </c>
      <c r="M10390" t="n">
        <v>0</v>
      </c>
      <c r="N10390" t="n">
        <v>0</v>
      </c>
      <c r="O10390" t="n">
        <v>0</v>
      </c>
      <c r="P10390" t="n">
        <v>0</v>
      </c>
      <c r="Q10390" t="n">
        <v>0</v>
      </c>
      <c r="R10390" t="n">
        <v>0</v>
      </c>
      <c r="S10390" t="n">
        <v>0</v>
      </c>
      <c r="T10390" t="n">
        <v>0</v>
      </c>
      <c r="U10390" t="n">
        <v>0</v>
      </c>
      <c r="V10390" s="2" t="inlineStr"/>
    </row>
    <row r="10391" ht="15" customHeight="1">
      <c r="A10391" t="inlineStr">
        <is>
          <t>A 40291-2026</t>
        </is>
      </c>
      <c r="B10391" t="inlineStr">
        <is>
          <t>avverkningsanmälan</t>
        </is>
      </c>
      <c r="C10391" t="inlineStr">
        <is>
          <t>Föryngringsavverkning</t>
        </is>
      </c>
      <c r="D10391" s="1" t="n">
        <v>46294</v>
      </c>
      <c r="E10391" s="1" t="n">
        <v>46307</v>
      </c>
      <c r="F10391" t="inlineStr">
        <is>
          <t>VÄRMLANDS LÄN</t>
        </is>
      </c>
      <c r="G10391" t="inlineStr">
        <is>
          <t>ARVIKA</t>
        </is>
      </c>
      <c r="H10391" t="inlineStr">
        <is>
          <t>Bergvik skog väst AB</t>
        </is>
      </c>
      <c r="I10391" t="n">
        <v>4.6</v>
      </c>
      <c r="J10391" t="n">
        <v>0</v>
      </c>
      <c r="K10391" t="n">
        <v>0</v>
      </c>
      <c r="L10391" t="n">
        <v>0</v>
      </c>
      <c r="M10391" t="n">
        <v>0</v>
      </c>
      <c r="N10391" t="n">
        <v>0</v>
      </c>
      <c r="O10391" t="n">
        <v>0</v>
      </c>
      <c r="P10391" t="n">
        <v>0</v>
      </c>
      <c r="Q10391" t="n">
        <v>0</v>
      </c>
      <c r="R10391" t="n">
        <v>0</v>
      </c>
      <c r="S10391" t="n">
        <v>0</v>
      </c>
      <c r="T10391" t="n">
        <v>0</v>
      </c>
      <c r="U10391" t="n">
        <v>0</v>
      </c>
      <c r="V10391" s="2" t="inlineStr"/>
    </row>
    <row r="10392" ht="15" customHeight="1">
      <c r="A10392" t="inlineStr">
        <is>
          <t>A 40157-2026</t>
        </is>
      </c>
      <c r="B10392" t="inlineStr">
        <is>
          <t>avverkningsanmälan</t>
        </is>
      </c>
      <c r="C10392" t="inlineStr">
        <is>
          <t>Föryngringsavverkning</t>
        </is>
      </c>
      <c r="D10392" s="1" t="n">
        <v>46290</v>
      </c>
      <c r="E10392" s="1" t="n">
        <v>46307</v>
      </c>
      <c r="F10392" t="inlineStr">
        <is>
          <t>VÄRMLANDS LÄN</t>
        </is>
      </c>
      <c r="G10392" t="inlineStr">
        <is>
          <t>HAGFORS</t>
        </is>
      </c>
      <c r="I10392" t="n">
        <v>3</v>
      </c>
      <c r="J10392" t="n">
        <v>0</v>
      </c>
      <c r="K10392" t="n">
        <v>0</v>
      </c>
      <c r="L10392" t="n">
        <v>0</v>
      </c>
      <c r="M10392" t="n">
        <v>0</v>
      </c>
      <c r="N10392" t="n">
        <v>0</v>
      </c>
      <c r="O10392" t="n">
        <v>0</v>
      </c>
      <c r="P10392" t="n">
        <v>0</v>
      </c>
      <c r="Q10392" t="n">
        <v>0</v>
      </c>
      <c r="R10392" t="n">
        <v>0</v>
      </c>
      <c r="S10392" t="n">
        <v>0</v>
      </c>
      <c r="T10392" t="n">
        <v>0</v>
      </c>
      <c r="U10392" t="n">
        <v>0</v>
      </c>
      <c r="V10392" s="2" t="inlineStr"/>
    </row>
    <row r="10393" ht="15" customHeight="1">
      <c r="A10393" t="inlineStr">
        <is>
          <t>A 40181-2026</t>
        </is>
      </c>
      <c r="B10393" t="inlineStr">
        <is>
          <t>avverkningsanmälan</t>
        </is>
      </c>
      <c r="C10393" t="inlineStr">
        <is>
          <t>Föryngringsavverkning</t>
        </is>
      </c>
      <c r="D10393" s="1" t="n">
        <v>46293</v>
      </c>
      <c r="E10393" s="1" t="n">
        <v>46307</v>
      </c>
      <c r="F10393" t="inlineStr">
        <is>
          <t>VÄRMLANDS LÄN</t>
        </is>
      </c>
      <c r="G10393" t="inlineStr">
        <is>
          <t>ÅRJÄNG</t>
        </is>
      </c>
      <c r="I10393" t="n">
        <v>1.1</v>
      </c>
      <c r="J10393" t="n">
        <v>0</v>
      </c>
      <c r="K10393" t="n">
        <v>0</v>
      </c>
      <c r="L10393" t="n">
        <v>0</v>
      </c>
      <c r="M10393" t="n">
        <v>0</v>
      </c>
      <c r="N10393" t="n">
        <v>0</v>
      </c>
      <c r="O10393" t="n">
        <v>0</v>
      </c>
      <c r="P10393" t="n">
        <v>0</v>
      </c>
      <c r="Q10393" t="n">
        <v>0</v>
      </c>
      <c r="R10393" t="n">
        <v>0</v>
      </c>
      <c r="S10393" t="n">
        <v>0</v>
      </c>
      <c r="T10393" t="n">
        <v>0</v>
      </c>
      <c r="U10393" t="n">
        <v>0</v>
      </c>
      <c r="V10393" s="2" t="inlineStr"/>
    </row>
    <row r="10394" ht="15" customHeight="1">
      <c r="A10394" t="inlineStr">
        <is>
          <t>A 40206-2026</t>
        </is>
      </c>
      <c r="B10394" t="inlineStr">
        <is>
          <t>avverkningsanmälan</t>
        </is>
      </c>
      <c r="C10394" t="inlineStr">
        <is>
          <t>Föryngringsavverkning</t>
        </is>
      </c>
      <c r="D10394" s="1" t="n">
        <v>46293</v>
      </c>
      <c r="E10394" s="1" t="n">
        <v>46307</v>
      </c>
      <c r="F10394" t="inlineStr">
        <is>
          <t>VÄRMLANDS LÄN</t>
        </is>
      </c>
      <c r="G10394" t="inlineStr">
        <is>
          <t>HAGFORS</t>
        </is>
      </c>
      <c r="H10394" t="inlineStr">
        <is>
          <t>Bergvik skog väst AB</t>
        </is>
      </c>
      <c r="I10394" t="n">
        <v>1.8</v>
      </c>
      <c r="J10394" t="n">
        <v>0</v>
      </c>
      <c r="K10394" t="n">
        <v>0</v>
      </c>
      <c r="L10394" t="n">
        <v>0</v>
      </c>
      <c r="M10394" t="n">
        <v>0</v>
      </c>
      <c r="N10394" t="n">
        <v>0</v>
      </c>
      <c r="O10394" t="n">
        <v>0</v>
      </c>
      <c r="P10394" t="n">
        <v>0</v>
      </c>
      <c r="Q10394" t="n">
        <v>0</v>
      </c>
      <c r="R10394" t="n">
        <v>0</v>
      </c>
      <c r="S10394" t="n">
        <v>0</v>
      </c>
      <c r="T10394" t="n">
        <v>0</v>
      </c>
      <c r="U10394" t="n">
        <v>0</v>
      </c>
      <c r="V10394" s="2" t="inlineStr"/>
    </row>
    <row r="10395" ht="15" customHeight="1">
      <c r="A10395" t="inlineStr">
        <is>
          <t>A 33642-2026</t>
        </is>
      </c>
      <c r="B10395" t="inlineStr">
        <is>
          <t>avverkningsanmälan</t>
        </is>
      </c>
      <c r="C10395" t="inlineStr">
        <is>
          <t>Föryngringsavverkning</t>
        </is>
      </c>
      <c r="D10395" s="1" t="n">
        <v>46248</v>
      </c>
      <c r="E10395" s="1" t="n">
        <v>46307</v>
      </c>
      <c r="F10395" t="inlineStr">
        <is>
          <t>VÄRMLANDS LÄN</t>
        </is>
      </c>
      <c r="G10395" t="inlineStr">
        <is>
          <t>TORSBY</t>
        </is>
      </c>
      <c r="H10395" t="inlineStr">
        <is>
          <t>Bergvik skog väst AB</t>
        </is>
      </c>
      <c r="I10395" t="n">
        <v>11.9</v>
      </c>
      <c r="J10395" t="n">
        <v>0</v>
      </c>
      <c r="K10395" t="n">
        <v>0</v>
      </c>
      <c r="L10395" t="n">
        <v>0</v>
      </c>
      <c r="M10395" t="n">
        <v>0</v>
      </c>
      <c r="N10395" t="n">
        <v>0</v>
      </c>
      <c r="O10395" t="n">
        <v>0</v>
      </c>
      <c r="P10395" t="n">
        <v>0</v>
      </c>
      <c r="Q10395" t="n">
        <v>0</v>
      </c>
      <c r="R10395" t="n">
        <v>0</v>
      </c>
      <c r="S10395" t="n">
        <v>0</v>
      </c>
      <c r="T10395" t="n">
        <v>0</v>
      </c>
      <c r="U10395" t="n">
        <v>0</v>
      </c>
      <c r="V10395" s="2" t="inlineStr"/>
    </row>
    <row r="10396" ht="15" customHeight="1">
      <c r="A10396" t="inlineStr">
        <is>
          <t>A 40071-2026</t>
        </is>
      </c>
      <c r="B10396" t="inlineStr">
        <is>
          <t>avverkningsanmälan</t>
        </is>
      </c>
      <c r="C10396" t="inlineStr">
        <is>
          <t>Föryngringsavverkning</t>
        </is>
      </c>
      <c r="D10396" s="1" t="n">
        <v>46293</v>
      </c>
      <c r="E10396" s="1" t="n">
        <v>46307</v>
      </c>
      <c r="F10396" t="inlineStr">
        <is>
          <t>VÄRMLANDS LÄN</t>
        </is>
      </c>
      <c r="G10396" t="inlineStr">
        <is>
          <t>HAGFORS</t>
        </is>
      </c>
      <c r="H10396" t="inlineStr">
        <is>
          <t>Bergvik skog väst AB</t>
        </is>
      </c>
      <c r="I10396" t="n">
        <v>2.9</v>
      </c>
      <c r="J10396" t="n">
        <v>0</v>
      </c>
      <c r="K10396" t="n">
        <v>0</v>
      </c>
      <c r="L10396" t="n">
        <v>0</v>
      </c>
      <c r="M10396" t="n">
        <v>0</v>
      </c>
      <c r="N10396" t="n">
        <v>0</v>
      </c>
      <c r="O10396" t="n">
        <v>0</v>
      </c>
      <c r="P10396" t="n">
        <v>0</v>
      </c>
      <c r="Q10396" t="n">
        <v>0</v>
      </c>
      <c r="R10396" t="n">
        <v>0</v>
      </c>
      <c r="S10396" t="n">
        <v>0</v>
      </c>
      <c r="T10396" t="n">
        <v>0</v>
      </c>
      <c r="U10396" t="n">
        <v>0</v>
      </c>
      <c r="V10396" s="2" t="inlineStr"/>
    </row>
    <row r="10397" ht="15" customHeight="1">
      <c r="A10397" t="inlineStr">
        <is>
          <t>A 40131-2026</t>
        </is>
      </c>
      <c r="B10397" t="inlineStr">
        <is>
          <t>avverkningsanmälan</t>
        </is>
      </c>
      <c r="C10397" t="inlineStr">
        <is>
          <t>Föryngringsavverkning</t>
        </is>
      </c>
      <c r="D10397" s="1" t="n">
        <v>46293</v>
      </c>
      <c r="E10397" s="1" t="n">
        <v>46307</v>
      </c>
      <c r="F10397" t="inlineStr">
        <is>
          <t>VÄRMLANDS LÄN</t>
        </is>
      </c>
      <c r="G10397" t="inlineStr">
        <is>
          <t>ARVIKA</t>
        </is>
      </c>
      <c r="I10397" t="n">
        <v>1.2</v>
      </c>
      <c r="J10397" t="n">
        <v>0</v>
      </c>
      <c r="K10397" t="n">
        <v>0</v>
      </c>
      <c r="L10397" t="n">
        <v>0</v>
      </c>
      <c r="M10397" t="n">
        <v>0</v>
      </c>
      <c r="N10397" t="n">
        <v>0</v>
      </c>
      <c r="O10397" t="n">
        <v>0</v>
      </c>
      <c r="P10397" t="n">
        <v>0</v>
      </c>
      <c r="Q10397" t="n">
        <v>0</v>
      </c>
      <c r="R10397" t="n">
        <v>0</v>
      </c>
      <c r="S10397" t="n">
        <v>0</v>
      </c>
      <c r="T10397" t="n">
        <v>0</v>
      </c>
      <c r="U10397" t="n">
        <v>0</v>
      </c>
      <c r="V10397" s="2" t="inlineStr"/>
    </row>
    <row r="10398" ht="15" customHeight="1">
      <c r="A10398" t="inlineStr">
        <is>
          <t>A 34302-2026</t>
        </is>
      </c>
      <c r="B10398" t="inlineStr">
        <is>
          <t>avverkningsanmälan</t>
        </is>
      </c>
      <c r="C10398" t="inlineStr">
        <is>
          <t>Föryngringsavverkning</t>
        </is>
      </c>
      <c r="D10398" s="1" t="n">
        <v>46252</v>
      </c>
      <c r="E10398" s="1" t="n">
        <v>46307</v>
      </c>
      <c r="F10398" t="inlineStr">
        <is>
          <t>VÄRMLANDS LÄN</t>
        </is>
      </c>
      <c r="G10398" t="inlineStr">
        <is>
          <t>ÅRJÄNG</t>
        </is>
      </c>
      <c r="I10398" t="n">
        <v>1.1</v>
      </c>
      <c r="J10398" t="n">
        <v>0</v>
      </c>
      <c r="K10398" t="n">
        <v>0</v>
      </c>
      <c r="L10398" t="n">
        <v>0</v>
      </c>
      <c r="M10398" t="n">
        <v>0</v>
      </c>
      <c r="N10398" t="n">
        <v>0</v>
      </c>
      <c r="O10398" t="n">
        <v>0</v>
      </c>
      <c r="P10398" t="n">
        <v>0</v>
      </c>
      <c r="Q10398" t="n">
        <v>0</v>
      </c>
      <c r="R10398" t="n">
        <v>0</v>
      </c>
      <c r="S10398" t="n">
        <v>0</v>
      </c>
      <c r="T10398" t="n">
        <v>0</v>
      </c>
      <c r="U10398" t="n">
        <v>0</v>
      </c>
      <c r="V10398" s="2" t="inlineStr"/>
    </row>
    <row r="10399" ht="15" customHeight="1">
      <c r="A10399" t="inlineStr">
        <is>
          <t>A 40207-2026</t>
        </is>
      </c>
      <c r="B10399" t="inlineStr">
        <is>
          <t>avverkningsanmälan</t>
        </is>
      </c>
      <c r="C10399" t="inlineStr">
        <is>
          <t>Föryngringsavverkning</t>
        </is>
      </c>
      <c r="D10399" s="1" t="n">
        <v>46290</v>
      </c>
      <c r="E10399" s="1" t="n">
        <v>46307</v>
      </c>
      <c r="F10399" t="inlineStr">
        <is>
          <t>VÄRMLANDS LÄN</t>
        </is>
      </c>
      <c r="G10399" t="inlineStr">
        <is>
          <t>HAGFORS</t>
        </is>
      </c>
      <c r="I10399" t="n">
        <v>2.4</v>
      </c>
      <c r="J10399" t="n">
        <v>0</v>
      </c>
      <c r="K10399" t="n">
        <v>0</v>
      </c>
      <c r="L10399" t="n">
        <v>0</v>
      </c>
      <c r="M10399" t="n">
        <v>0</v>
      </c>
      <c r="N10399" t="n">
        <v>0</v>
      </c>
      <c r="O10399" t="n">
        <v>0</v>
      </c>
      <c r="P10399" t="n">
        <v>0</v>
      </c>
      <c r="Q10399" t="n">
        <v>0</v>
      </c>
      <c r="R10399" t="n">
        <v>0</v>
      </c>
      <c r="S10399" t="n">
        <v>0</v>
      </c>
      <c r="T10399" t="n">
        <v>0</v>
      </c>
      <c r="U10399" t="n">
        <v>0</v>
      </c>
      <c r="V10399" s="2" t="inlineStr"/>
    </row>
    <row r="10400" ht="15" customHeight="1">
      <c r="A10400" t="inlineStr">
        <is>
          <t>A 40058-2026</t>
        </is>
      </c>
      <c r="B10400" t="inlineStr">
        <is>
          <t>avverkningsanmälan</t>
        </is>
      </c>
      <c r="C10400" t="inlineStr">
        <is>
          <t>Föryngringsavverkning</t>
        </is>
      </c>
      <c r="D10400" s="1" t="n">
        <v>46293</v>
      </c>
      <c r="E10400" s="1" t="n">
        <v>46307</v>
      </c>
      <c r="F10400" t="inlineStr">
        <is>
          <t>VÄRMLANDS LÄN</t>
        </is>
      </c>
      <c r="G10400" t="inlineStr">
        <is>
          <t>STORFORS</t>
        </is>
      </c>
      <c r="H10400" t="inlineStr">
        <is>
          <t>Bergvik skog väst AB</t>
        </is>
      </c>
      <c r="I10400" t="n">
        <v>12.5</v>
      </c>
      <c r="J10400" t="n">
        <v>0</v>
      </c>
      <c r="K10400" t="n">
        <v>0</v>
      </c>
      <c r="L10400" t="n">
        <v>0</v>
      </c>
      <c r="M10400" t="n">
        <v>0</v>
      </c>
      <c r="N10400" t="n">
        <v>0</v>
      </c>
      <c r="O10400" t="n">
        <v>0</v>
      </c>
      <c r="P10400" t="n">
        <v>0</v>
      </c>
      <c r="Q10400" t="n">
        <v>0</v>
      </c>
      <c r="R10400" t="n">
        <v>0</v>
      </c>
      <c r="S10400" t="n">
        <v>0</v>
      </c>
      <c r="T10400" t="n">
        <v>0</v>
      </c>
      <c r="U10400" t="n">
        <v>0</v>
      </c>
      <c r="V10400" s="2" t="inlineStr"/>
    </row>
    <row r="10401" ht="15" customHeight="1">
      <c r="A10401" t="inlineStr">
        <is>
          <t>A 33423-2026</t>
        </is>
      </c>
      <c r="B10401" t="inlineStr">
        <is>
          <t>avverkningsanmälan</t>
        </is>
      </c>
      <c r="C10401" t="inlineStr">
        <is>
          <t>Föryngringsavverkning</t>
        </is>
      </c>
      <c r="D10401" s="1" t="n">
        <v>46247</v>
      </c>
      <c r="E10401" s="1" t="n">
        <v>46307</v>
      </c>
      <c r="F10401" t="inlineStr">
        <is>
          <t>VÄRMLANDS LÄN</t>
        </is>
      </c>
      <c r="G10401" t="inlineStr">
        <is>
          <t>ARVIKA</t>
        </is>
      </c>
      <c r="I10401" t="n">
        <v>1.4</v>
      </c>
      <c r="J10401" t="n">
        <v>0</v>
      </c>
      <c r="K10401" t="n">
        <v>0</v>
      </c>
      <c r="L10401" t="n">
        <v>0</v>
      </c>
      <c r="M10401" t="n">
        <v>0</v>
      </c>
      <c r="N10401" t="n">
        <v>0</v>
      </c>
      <c r="O10401" t="n">
        <v>0</v>
      </c>
      <c r="P10401" t="n">
        <v>0</v>
      </c>
      <c r="Q10401" t="n">
        <v>0</v>
      </c>
      <c r="R10401" t="n">
        <v>0</v>
      </c>
      <c r="S10401" t="n">
        <v>0</v>
      </c>
      <c r="T10401" t="n">
        <v>0</v>
      </c>
      <c r="U10401" t="n">
        <v>0</v>
      </c>
      <c r="V10401" s="2" t="inlineStr"/>
    </row>
    <row r="10402" ht="15" customHeight="1">
      <c r="A10402" t="inlineStr">
        <is>
          <t>A 40188-2026</t>
        </is>
      </c>
      <c r="B10402" t="inlineStr">
        <is>
          <t>avverkningsanmälan</t>
        </is>
      </c>
      <c r="C10402" t="inlineStr">
        <is>
          <t>Föryngringsavverkning</t>
        </is>
      </c>
      <c r="D10402" s="1" t="n">
        <v>46293</v>
      </c>
      <c r="E10402" s="1" t="n">
        <v>46307</v>
      </c>
      <c r="F10402" t="inlineStr">
        <is>
          <t>VÄRMLANDS LÄN</t>
        </is>
      </c>
      <c r="G10402" t="inlineStr">
        <is>
          <t>HAGFORS</t>
        </is>
      </c>
      <c r="H10402" t="inlineStr">
        <is>
          <t>Bergvik skog väst AB</t>
        </is>
      </c>
      <c r="I10402" t="n">
        <v>1.4</v>
      </c>
      <c r="J10402" t="n">
        <v>0</v>
      </c>
      <c r="K10402" t="n">
        <v>0</v>
      </c>
      <c r="L10402" t="n">
        <v>0</v>
      </c>
      <c r="M10402" t="n">
        <v>0</v>
      </c>
      <c r="N10402" t="n">
        <v>0</v>
      </c>
      <c r="O10402" t="n">
        <v>0</v>
      </c>
      <c r="P10402" t="n">
        <v>0</v>
      </c>
      <c r="Q10402" t="n">
        <v>0</v>
      </c>
      <c r="R10402" t="n">
        <v>0</v>
      </c>
      <c r="S10402" t="n">
        <v>0</v>
      </c>
      <c r="T10402" t="n">
        <v>0</v>
      </c>
      <c r="U10402" t="n">
        <v>0</v>
      </c>
      <c r="V10402" s="2" t="inlineStr"/>
    </row>
    <row r="10403" ht="15" customHeight="1">
      <c r="A10403" t="inlineStr">
        <is>
          <t>A 40440-2026</t>
        </is>
      </c>
      <c r="B10403" t="inlineStr">
        <is>
          <t>avverkningsanmälan</t>
        </is>
      </c>
      <c r="C10403" t="inlineStr">
        <is>
          <t>Föryngringsavverkning</t>
        </is>
      </c>
      <c r="D10403" s="1" t="n">
        <v>46294</v>
      </c>
      <c r="E10403" s="1" t="n">
        <v>46307</v>
      </c>
      <c r="F10403" t="inlineStr">
        <is>
          <t>VÄRMLANDS LÄN</t>
        </is>
      </c>
      <c r="G10403" t="inlineStr">
        <is>
          <t>HAGFORS</t>
        </is>
      </c>
      <c r="H10403" t="inlineStr">
        <is>
          <t>Bergvik skog väst AB</t>
        </is>
      </c>
      <c r="I10403" t="n">
        <v>10.3</v>
      </c>
      <c r="J10403" t="n">
        <v>0</v>
      </c>
      <c r="K10403" t="n">
        <v>0</v>
      </c>
      <c r="L10403" t="n">
        <v>0</v>
      </c>
      <c r="M10403" t="n">
        <v>0</v>
      </c>
      <c r="N10403" t="n">
        <v>0</v>
      </c>
      <c r="O10403" t="n">
        <v>0</v>
      </c>
      <c r="P10403" t="n">
        <v>0</v>
      </c>
      <c r="Q10403" t="n">
        <v>0</v>
      </c>
      <c r="R10403" t="n">
        <v>0</v>
      </c>
      <c r="S10403" t="n">
        <v>0</v>
      </c>
      <c r="T10403" t="n">
        <v>0</v>
      </c>
      <c r="U10403" t="n">
        <v>0</v>
      </c>
      <c r="V10403" s="2" t="inlineStr"/>
    </row>
    <row r="10404" ht="15" customHeight="1">
      <c r="A10404" t="inlineStr">
        <is>
          <t>A 33559-2026</t>
        </is>
      </c>
      <c r="B10404" t="inlineStr">
        <is>
          <t>avverkningsanmälan</t>
        </is>
      </c>
      <c r="C10404" t="inlineStr">
        <is>
          <t>Föryngringsavverkning</t>
        </is>
      </c>
      <c r="D10404" s="1" t="n">
        <v>46248</v>
      </c>
      <c r="E10404" s="1" t="n">
        <v>46307</v>
      </c>
      <c r="F10404" t="inlineStr">
        <is>
          <t>VÄRMLANDS LÄN</t>
        </is>
      </c>
      <c r="G10404" t="inlineStr">
        <is>
          <t>TORSBY</t>
        </is>
      </c>
      <c r="H10404" t="inlineStr">
        <is>
          <t>Bergvik skog väst AB</t>
        </is>
      </c>
      <c r="I10404" t="n">
        <v>17.1</v>
      </c>
      <c r="J10404" t="n">
        <v>0</v>
      </c>
      <c r="K10404" t="n">
        <v>0</v>
      </c>
      <c r="L10404" t="n">
        <v>0</v>
      </c>
      <c r="M10404" t="n">
        <v>0</v>
      </c>
      <c r="N10404" t="n">
        <v>0</v>
      </c>
      <c r="O10404" t="n">
        <v>0</v>
      </c>
      <c r="P10404" t="n">
        <v>0</v>
      </c>
      <c r="Q10404" t="n">
        <v>0</v>
      </c>
      <c r="R10404" t="n">
        <v>0</v>
      </c>
      <c r="S10404" t="n">
        <v>0</v>
      </c>
      <c r="T10404" t="n">
        <v>0</v>
      </c>
      <c r="U10404" t="n">
        <v>0</v>
      </c>
      <c r="V10404" s="2" t="inlineStr"/>
    </row>
    <row r="10405" ht="15" customHeight="1">
      <c r="A10405" t="inlineStr">
        <is>
          <t>A 40451-2026</t>
        </is>
      </c>
      <c r="B10405" t="inlineStr">
        <is>
          <t>avverkningsanmälan</t>
        </is>
      </c>
      <c r="C10405" t="inlineStr">
        <is>
          <t>Föryngringsavverkning</t>
        </is>
      </c>
      <c r="D10405" s="1" t="n">
        <v>46294</v>
      </c>
      <c r="E10405" s="1" t="n">
        <v>46307</v>
      </c>
      <c r="F10405" t="inlineStr">
        <is>
          <t>VÄRMLANDS LÄN</t>
        </is>
      </c>
      <c r="G10405" t="inlineStr">
        <is>
          <t>ARVIKA</t>
        </is>
      </c>
      <c r="H10405" t="inlineStr">
        <is>
          <t>Bergvik skog väst AB</t>
        </is>
      </c>
      <c r="I10405" t="n">
        <v>3.7</v>
      </c>
      <c r="J10405" t="n">
        <v>0</v>
      </c>
      <c r="K10405" t="n">
        <v>0</v>
      </c>
      <c r="L10405" t="n">
        <v>0</v>
      </c>
      <c r="M10405" t="n">
        <v>0</v>
      </c>
      <c r="N10405" t="n">
        <v>0</v>
      </c>
      <c r="O10405" t="n">
        <v>0</v>
      </c>
      <c r="P10405" t="n">
        <v>0</v>
      </c>
      <c r="Q10405" t="n">
        <v>0</v>
      </c>
      <c r="R10405" t="n">
        <v>0</v>
      </c>
      <c r="S10405" t="n">
        <v>0</v>
      </c>
      <c r="T10405" t="n">
        <v>0</v>
      </c>
      <c r="U10405" t="n">
        <v>0</v>
      </c>
      <c r="V10405" s="2" t="inlineStr"/>
    </row>
    <row r="10406" ht="15" customHeight="1">
      <c r="A10406" t="inlineStr">
        <is>
          <t>A 40278-2026</t>
        </is>
      </c>
      <c r="B10406" t="inlineStr">
        <is>
          <t>avverkningsanmälan</t>
        </is>
      </c>
      <c r="C10406" t="inlineStr">
        <is>
          <t>Föryngringsavverkning</t>
        </is>
      </c>
      <c r="D10406" s="1" t="n">
        <v>46294</v>
      </c>
      <c r="E10406" s="1" t="n">
        <v>46307</v>
      </c>
      <c r="F10406" t="inlineStr">
        <is>
          <t>VÄRMLANDS LÄN</t>
        </is>
      </c>
      <c r="G10406" t="inlineStr">
        <is>
          <t>ÅRJÄNG</t>
        </is>
      </c>
      <c r="I10406" t="n">
        <v>1.4</v>
      </c>
      <c r="J10406" t="n">
        <v>0</v>
      </c>
      <c r="K10406" t="n">
        <v>0</v>
      </c>
      <c r="L10406" t="n">
        <v>0</v>
      </c>
      <c r="M10406" t="n">
        <v>0</v>
      </c>
      <c r="N10406" t="n">
        <v>0</v>
      </c>
      <c r="O10406" t="n">
        <v>0</v>
      </c>
      <c r="P10406" t="n">
        <v>0</v>
      </c>
      <c r="Q10406" t="n">
        <v>0</v>
      </c>
      <c r="R10406" t="n">
        <v>0</v>
      </c>
      <c r="S10406" t="n">
        <v>0</v>
      </c>
      <c r="T10406" t="n">
        <v>0</v>
      </c>
      <c r="U10406" t="n">
        <v>0</v>
      </c>
      <c r="V10406" s="2" t="inlineStr"/>
    </row>
    <row r="10407" ht="15" customHeight="1">
      <c r="A10407" t="inlineStr">
        <is>
          <t>A 33668-2026</t>
        </is>
      </c>
      <c r="B10407" t="inlineStr">
        <is>
          <t>avverkningsanmälan</t>
        </is>
      </c>
      <c r="C10407" t="inlineStr">
        <is>
          <t>Föryngringsavverkning</t>
        </is>
      </c>
      <c r="D10407" s="1" t="n">
        <v>46248</v>
      </c>
      <c r="E10407" s="1" t="n">
        <v>46307</v>
      </c>
      <c r="F10407" t="inlineStr">
        <is>
          <t>VÄRMLANDS LÄN</t>
        </is>
      </c>
      <c r="G10407" t="inlineStr">
        <is>
          <t>ARVIKA</t>
        </is>
      </c>
      <c r="H10407" t="inlineStr">
        <is>
          <t>Bergvik skog väst AB</t>
        </is>
      </c>
      <c r="I10407" t="n">
        <v>4.1</v>
      </c>
      <c r="J10407" t="n">
        <v>0</v>
      </c>
      <c r="K10407" t="n">
        <v>0</v>
      </c>
      <c r="L10407" t="n">
        <v>0</v>
      </c>
      <c r="M10407" t="n">
        <v>0</v>
      </c>
      <c r="N10407" t="n">
        <v>0</v>
      </c>
      <c r="O10407" t="n">
        <v>0</v>
      </c>
      <c r="P10407" t="n">
        <v>0</v>
      </c>
      <c r="Q10407" t="n">
        <v>0</v>
      </c>
      <c r="R10407" t="n">
        <v>0</v>
      </c>
      <c r="S10407" t="n">
        <v>0</v>
      </c>
      <c r="T10407" t="n">
        <v>0</v>
      </c>
      <c r="U10407" t="n">
        <v>0</v>
      </c>
      <c r="V10407" s="2" t="inlineStr"/>
    </row>
    <row r="10408" ht="15" customHeight="1">
      <c r="A10408" t="inlineStr">
        <is>
          <t>A 40209-2026</t>
        </is>
      </c>
      <c r="B10408" t="inlineStr">
        <is>
          <t>avverkningsanmälan</t>
        </is>
      </c>
      <c r="C10408" t="inlineStr">
        <is>
          <t>Föryngringsavverkning</t>
        </is>
      </c>
      <c r="D10408" s="1" t="n">
        <v>46290</v>
      </c>
      <c r="E10408" s="1" t="n">
        <v>46307</v>
      </c>
      <c r="F10408" t="inlineStr">
        <is>
          <t>VÄRMLANDS LÄN</t>
        </is>
      </c>
      <c r="G10408" t="inlineStr">
        <is>
          <t>HAGFORS</t>
        </is>
      </c>
      <c r="I10408" t="n">
        <v>2.2</v>
      </c>
      <c r="J10408" t="n">
        <v>0</v>
      </c>
      <c r="K10408" t="n">
        <v>0</v>
      </c>
      <c r="L10408" t="n">
        <v>0</v>
      </c>
      <c r="M10408" t="n">
        <v>0</v>
      </c>
      <c r="N10408" t="n">
        <v>0</v>
      </c>
      <c r="O10408" t="n">
        <v>0</v>
      </c>
      <c r="P10408" t="n">
        <v>0</v>
      </c>
      <c r="Q10408" t="n">
        <v>0</v>
      </c>
      <c r="R10408" t="n">
        <v>0</v>
      </c>
      <c r="S10408" t="n">
        <v>0</v>
      </c>
      <c r="T10408" t="n">
        <v>0</v>
      </c>
      <c r="U10408" t="n">
        <v>0</v>
      </c>
      <c r="V10408" s="2" t="inlineStr"/>
    </row>
    <row r="10409" ht="15" customHeight="1">
      <c r="A10409" t="inlineStr">
        <is>
          <t>A 33843-2026</t>
        </is>
      </c>
      <c r="B10409" t="inlineStr">
        <is>
          <t>avverkningsanmälan</t>
        </is>
      </c>
      <c r="C10409" t="inlineStr">
        <is>
          <t>Föryngringsavverkning</t>
        </is>
      </c>
      <c r="D10409" s="1" t="n">
        <v>46251</v>
      </c>
      <c r="E10409" s="1" t="n">
        <v>46307</v>
      </c>
      <c r="F10409" t="inlineStr">
        <is>
          <t>VÄRMLANDS LÄN</t>
        </is>
      </c>
      <c r="G10409" t="inlineStr">
        <is>
          <t>TORSBY</t>
        </is>
      </c>
      <c r="H10409" t="inlineStr">
        <is>
          <t>Bergvik skog väst AB</t>
        </is>
      </c>
      <c r="I10409" t="n">
        <v>6.3</v>
      </c>
      <c r="J10409" t="n">
        <v>0</v>
      </c>
      <c r="K10409" t="n">
        <v>0</v>
      </c>
      <c r="L10409" t="n">
        <v>0</v>
      </c>
      <c r="M10409" t="n">
        <v>0</v>
      </c>
      <c r="N10409" t="n">
        <v>0</v>
      </c>
      <c r="O10409" t="n">
        <v>0</v>
      </c>
      <c r="P10409" t="n">
        <v>0</v>
      </c>
      <c r="Q10409" t="n">
        <v>0</v>
      </c>
      <c r="R10409" t="n">
        <v>0</v>
      </c>
      <c r="S10409" t="n">
        <v>0</v>
      </c>
      <c r="T10409" t="n">
        <v>0</v>
      </c>
      <c r="U10409" t="n">
        <v>0</v>
      </c>
      <c r="V10409" s="2" t="inlineStr"/>
    </row>
    <row r="10410" ht="15" customHeight="1">
      <c r="A10410" t="inlineStr">
        <is>
          <t>A 34152-2026</t>
        </is>
      </c>
      <c r="B10410" t="inlineStr">
        <is>
          <t>avverkningsanmälan</t>
        </is>
      </c>
      <c r="C10410" t="inlineStr">
        <is>
          <t>Föryngringsavverkning</t>
        </is>
      </c>
      <c r="D10410" s="1" t="n">
        <v>46253</v>
      </c>
      <c r="E10410" s="1" t="n">
        <v>46307</v>
      </c>
      <c r="F10410" t="inlineStr">
        <is>
          <t>VÄRMLANDS LÄN</t>
        </is>
      </c>
      <c r="G10410" t="inlineStr">
        <is>
          <t>TORSBY</t>
        </is>
      </c>
      <c r="H10410" t="inlineStr">
        <is>
          <t>Bergvik skog väst AB</t>
        </is>
      </c>
      <c r="I10410" t="n">
        <v>23.3</v>
      </c>
      <c r="J10410" t="n">
        <v>0</v>
      </c>
      <c r="K10410" t="n">
        <v>0</v>
      </c>
      <c r="L10410" t="n">
        <v>0</v>
      </c>
      <c r="M10410" t="n">
        <v>0</v>
      </c>
      <c r="N10410" t="n">
        <v>0</v>
      </c>
      <c r="O10410" t="n">
        <v>0</v>
      </c>
      <c r="P10410" t="n">
        <v>0</v>
      </c>
      <c r="Q10410" t="n">
        <v>0</v>
      </c>
      <c r="R10410" t="n">
        <v>0</v>
      </c>
      <c r="S10410" t="n">
        <v>0</v>
      </c>
      <c r="T10410" t="n">
        <v>0</v>
      </c>
      <c r="U10410" t="n">
        <v>0</v>
      </c>
      <c r="V10410" s="2" t="inlineStr"/>
    </row>
    <row r="10411" ht="15" customHeight="1">
      <c r="A10411" t="inlineStr">
        <is>
          <t>A 40732-2026</t>
        </is>
      </c>
      <c r="B10411" t="inlineStr">
        <is>
          <t>avverkningsanmälan</t>
        </is>
      </c>
      <c r="C10411" t="inlineStr">
        <is>
          <t>Föryngringsavverkning</t>
        </is>
      </c>
      <c r="D10411" s="1" t="n">
        <v>46296</v>
      </c>
      <c r="E10411" s="1" t="n">
        <v>46307</v>
      </c>
      <c r="F10411" t="inlineStr">
        <is>
          <t>VÄRMLANDS LÄN</t>
        </is>
      </c>
      <c r="G10411" t="inlineStr">
        <is>
          <t>FORSHAGA</t>
        </is>
      </c>
      <c r="I10411" t="n">
        <v>1.3</v>
      </c>
      <c r="J10411" t="n">
        <v>0</v>
      </c>
      <c r="K10411" t="n">
        <v>0</v>
      </c>
      <c r="L10411" t="n">
        <v>0</v>
      </c>
      <c r="M10411" t="n">
        <v>0</v>
      </c>
      <c r="N10411" t="n">
        <v>0</v>
      </c>
      <c r="O10411" t="n">
        <v>0</v>
      </c>
      <c r="P10411" t="n">
        <v>0</v>
      </c>
      <c r="Q10411" t="n">
        <v>0</v>
      </c>
      <c r="R10411" t="n">
        <v>0</v>
      </c>
      <c r="S10411" t="n">
        <v>0</v>
      </c>
      <c r="T10411" t="n">
        <v>0</v>
      </c>
      <c r="U10411" t="n">
        <v>0</v>
      </c>
      <c r="V10411" s="2" t="inlineStr"/>
    </row>
    <row r="10412" ht="15" customHeight="1">
      <c r="A10412" t="inlineStr">
        <is>
          <t>A 33779-2026</t>
        </is>
      </c>
      <c r="B10412" t="inlineStr">
        <is>
          <t>avverkningsanmälan</t>
        </is>
      </c>
      <c r="C10412" t="inlineStr">
        <is>
          <t>Föryngringsavverkning</t>
        </is>
      </c>
      <c r="D10412" s="1" t="n">
        <v>46251</v>
      </c>
      <c r="E10412" s="1" t="n">
        <v>46307</v>
      </c>
      <c r="F10412" t="inlineStr">
        <is>
          <t>VÄRMLANDS LÄN</t>
        </is>
      </c>
      <c r="G10412" t="inlineStr">
        <is>
          <t>ÅRJÄNG</t>
        </is>
      </c>
      <c r="I10412" t="n">
        <v>0.9</v>
      </c>
      <c r="J10412" t="n">
        <v>0</v>
      </c>
      <c r="K10412" t="n">
        <v>0</v>
      </c>
      <c r="L10412" t="n">
        <v>0</v>
      </c>
      <c r="M10412" t="n">
        <v>0</v>
      </c>
      <c r="N10412" t="n">
        <v>0</v>
      </c>
      <c r="O10412" t="n">
        <v>0</v>
      </c>
      <c r="P10412" t="n">
        <v>0</v>
      </c>
      <c r="Q10412" t="n">
        <v>0</v>
      </c>
      <c r="R10412" t="n">
        <v>0</v>
      </c>
      <c r="S10412" t="n">
        <v>0</v>
      </c>
      <c r="T10412" t="n">
        <v>0</v>
      </c>
      <c r="U10412" t="n">
        <v>0</v>
      </c>
      <c r="V10412" s="2" t="inlineStr"/>
    </row>
    <row r="10413" ht="15" customHeight="1">
      <c r="A10413" t="inlineStr">
        <is>
          <t>A 33805-2026</t>
        </is>
      </c>
      <c r="B10413" t="inlineStr">
        <is>
          <t>avverkningsanmälan</t>
        </is>
      </c>
      <c r="C10413" t="inlineStr">
        <is>
          <t>Föryngringsavverkning</t>
        </is>
      </c>
      <c r="D10413" s="1" t="n">
        <v>46251</v>
      </c>
      <c r="E10413" s="1" t="n">
        <v>46307</v>
      </c>
      <c r="F10413" t="inlineStr">
        <is>
          <t>VÄRMLANDS LÄN</t>
        </is>
      </c>
      <c r="G10413" t="inlineStr">
        <is>
          <t>SÄFFLE</t>
        </is>
      </c>
      <c r="H10413" t="inlineStr">
        <is>
          <t>Kyrkan</t>
        </is>
      </c>
      <c r="I10413" t="n">
        <v>5.4</v>
      </c>
      <c r="J10413" t="n">
        <v>0</v>
      </c>
      <c r="K10413" t="n">
        <v>0</v>
      </c>
      <c r="L10413" t="n">
        <v>0</v>
      </c>
      <c r="M10413" t="n">
        <v>0</v>
      </c>
      <c r="N10413" t="n">
        <v>0</v>
      </c>
      <c r="O10413" t="n">
        <v>0</v>
      </c>
      <c r="P10413" t="n">
        <v>0</v>
      </c>
      <c r="Q10413" t="n">
        <v>0</v>
      </c>
      <c r="R10413" t="n">
        <v>0</v>
      </c>
      <c r="S10413" t="n">
        <v>0</v>
      </c>
      <c r="T10413" t="n">
        <v>0</v>
      </c>
      <c r="U10413" t="n">
        <v>0</v>
      </c>
      <c r="V10413" s="2" t="inlineStr"/>
    </row>
    <row r="10414" ht="15" customHeight="1">
      <c r="A10414" t="inlineStr">
        <is>
          <t>A 33887-2026</t>
        </is>
      </c>
      <c r="B10414" t="inlineStr">
        <is>
          <t>avverkningsanmälan</t>
        </is>
      </c>
      <c r="C10414" t="inlineStr">
        <is>
          <t>Föryngringsavverkning</t>
        </is>
      </c>
      <c r="D10414" s="1" t="n">
        <v>46251</v>
      </c>
      <c r="E10414" s="1" t="n">
        <v>46307</v>
      </c>
      <c r="F10414" t="inlineStr">
        <is>
          <t>VÄRMLANDS LÄN</t>
        </is>
      </c>
      <c r="G10414" t="inlineStr">
        <is>
          <t>FORSHAGA</t>
        </is>
      </c>
      <c r="H10414" t="inlineStr">
        <is>
          <t>Bergvik skog väst AB</t>
        </is>
      </c>
      <c r="I10414" t="n">
        <v>4.1</v>
      </c>
      <c r="J10414" t="n">
        <v>0</v>
      </c>
      <c r="K10414" t="n">
        <v>0</v>
      </c>
      <c r="L10414" t="n">
        <v>0</v>
      </c>
      <c r="M10414" t="n">
        <v>0</v>
      </c>
      <c r="N10414" t="n">
        <v>0</v>
      </c>
      <c r="O10414" t="n">
        <v>0</v>
      </c>
      <c r="P10414" t="n">
        <v>0</v>
      </c>
      <c r="Q10414" t="n">
        <v>0</v>
      </c>
      <c r="R10414" t="n">
        <v>0</v>
      </c>
      <c r="S10414" t="n">
        <v>0</v>
      </c>
      <c r="T10414" t="n">
        <v>0</v>
      </c>
      <c r="U10414" t="n">
        <v>0</v>
      </c>
      <c r="V10414" s="2" t="inlineStr"/>
    </row>
    <row r="10415" ht="15" customHeight="1">
      <c r="A10415" t="inlineStr">
        <is>
          <t>A 33901-2026</t>
        </is>
      </c>
      <c r="B10415" t="inlineStr">
        <is>
          <t>avverkningsanmälan</t>
        </is>
      </c>
      <c r="C10415" t="inlineStr">
        <is>
          <t>Föryngringsavverkning</t>
        </is>
      </c>
      <c r="D10415" s="1" t="n">
        <v>46251</v>
      </c>
      <c r="E10415" s="1" t="n">
        <v>46307</v>
      </c>
      <c r="F10415" t="inlineStr">
        <is>
          <t>VÄRMLANDS LÄN</t>
        </is>
      </c>
      <c r="G10415" t="inlineStr">
        <is>
          <t>SÄFFLE</t>
        </is>
      </c>
      <c r="I10415" t="n">
        <v>0.6</v>
      </c>
      <c r="J10415" t="n">
        <v>0</v>
      </c>
      <c r="K10415" t="n">
        <v>0</v>
      </c>
      <c r="L10415" t="n">
        <v>0</v>
      </c>
      <c r="M10415" t="n">
        <v>0</v>
      </c>
      <c r="N10415" t="n">
        <v>0</v>
      </c>
      <c r="O10415" t="n">
        <v>0</v>
      </c>
      <c r="P10415" t="n">
        <v>0</v>
      </c>
      <c r="Q10415" t="n">
        <v>0</v>
      </c>
      <c r="R10415" t="n">
        <v>0</v>
      </c>
      <c r="S10415" t="n">
        <v>0</v>
      </c>
      <c r="T10415" t="n">
        <v>0</v>
      </c>
      <c r="U10415" t="n">
        <v>0</v>
      </c>
      <c r="V10415" s="2" t="inlineStr"/>
    </row>
    <row r="10416" ht="15" customHeight="1">
      <c r="A10416" t="inlineStr">
        <is>
          <t>A 33902-2026</t>
        </is>
      </c>
      <c r="B10416" t="inlineStr">
        <is>
          <t>avverkningsanmälan</t>
        </is>
      </c>
      <c r="C10416" t="inlineStr">
        <is>
          <t>Föryngringsavverkning</t>
        </is>
      </c>
      <c r="D10416" s="1" t="n">
        <v>46251</v>
      </c>
      <c r="E10416" s="1" t="n">
        <v>46307</v>
      </c>
      <c r="F10416" t="inlineStr">
        <is>
          <t>VÄRMLANDS LÄN</t>
        </is>
      </c>
      <c r="G10416" t="inlineStr">
        <is>
          <t>SÄFFLE</t>
        </is>
      </c>
      <c r="I10416" t="n">
        <v>0.8</v>
      </c>
      <c r="J10416" t="n">
        <v>0</v>
      </c>
      <c r="K10416" t="n">
        <v>0</v>
      </c>
      <c r="L10416" t="n">
        <v>0</v>
      </c>
      <c r="M10416" t="n">
        <v>0</v>
      </c>
      <c r="N10416" t="n">
        <v>0</v>
      </c>
      <c r="O10416" t="n">
        <v>0</v>
      </c>
      <c r="P10416" t="n">
        <v>0</v>
      </c>
      <c r="Q10416" t="n">
        <v>0</v>
      </c>
      <c r="R10416" t="n">
        <v>0</v>
      </c>
      <c r="S10416" t="n">
        <v>0</v>
      </c>
      <c r="T10416" t="n">
        <v>0</v>
      </c>
      <c r="U10416" t="n">
        <v>0</v>
      </c>
      <c r="V10416" s="2" t="inlineStr"/>
    </row>
    <row r="10417" ht="15" customHeight="1">
      <c r="A10417" t="inlineStr">
        <is>
          <t>A 34254-2026</t>
        </is>
      </c>
      <c r="B10417" t="inlineStr">
        <is>
          <t>avverkningsanmälan</t>
        </is>
      </c>
      <c r="C10417" t="inlineStr">
        <is>
          <t>Föryngringsavverkning</t>
        </is>
      </c>
      <c r="D10417" s="1" t="n">
        <v>46253</v>
      </c>
      <c r="E10417" s="1" t="n">
        <v>46307</v>
      </c>
      <c r="F10417" t="inlineStr">
        <is>
          <t>VÄRMLANDS LÄN</t>
        </is>
      </c>
      <c r="G10417" t="inlineStr">
        <is>
          <t>ÅRJÄNG</t>
        </is>
      </c>
      <c r="I10417" t="n">
        <v>1.5</v>
      </c>
      <c r="J10417" t="n">
        <v>0</v>
      </c>
      <c r="K10417" t="n">
        <v>0</v>
      </c>
      <c r="L10417" t="n">
        <v>0</v>
      </c>
      <c r="M10417" t="n">
        <v>0</v>
      </c>
      <c r="N10417" t="n">
        <v>0</v>
      </c>
      <c r="O10417" t="n">
        <v>0</v>
      </c>
      <c r="P10417" t="n">
        <v>0</v>
      </c>
      <c r="Q10417" t="n">
        <v>0</v>
      </c>
      <c r="R10417" t="n">
        <v>0</v>
      </c>
      <c r="S10417" t="n">
        <v>0</v>
      </c>
      <c r="T10417" t="n">
        <v>0</v>
      </c>
      <c r="U10417" t="n">
        <v>0</v>
      </c>
      <c r="V10417" s="2" t="inlineStr"/>
    </row>
    <row r="10418" ht="15" customHeight="1">
      <c r="A10418" t="inlineStr">
        <is>
          <t>A 34215-2026</t>
        </is>
      </c>
      <c r="B10418" t="inlineStr">
        <is>
          <t>avverkningsanmälan</t>
        </is>
      </c>
      <c r="C10418" t="inlineStr">
        <is>
          <t>Föryngringsavverkning</t>
        </is>
      </c>
      <c r="D10418" s="1" t="n">
        <v>46253</v>
      </c>
      <c r="E10418" s="1" t="n">
        <v>46307</v>
      </c>
      <c r="F10418" t="inlineStr">
        <is>
          <t>VÄRMLANDS LÄN</t>
        </is>
      </c>
      <c r="G10418" t="inlineStr">
        <is>
          <t>TORSBY</t>
        </is>
      </c>
      <c r="I10418" t="n">
        <v>1.2</v>
      </c>
      <c r="J10418" t="n">
        <v>0</v>
      </c>
      <c r="K10418" t="n">
        <v>0</v>
      </c>
      <c r="L10418" t="n">
        <v>0</v>
      </c>
      <c r="M10418" t="n">
        <v>0</v>
      </c>
      <c r="N10418" t="n">
        <v>0</v>
      </c>
      <c r="O10418" t="n">
        <v>0</v>
      </c>
      <c r="P10418" t="n">
        <v>0</v>
      </c>
      <c r="Q10418" t="n">
        <v>0</v>
      </c>
      <c r="R10418" t="n">
        <v>0</v>
      </c>
      <c r="S10418" t="n">
        <v>0</v>
      </c>
      <c r="T10418" t="n">
        <v>0</v>
      </c>
      <c r="U10418" t="n">
        <v>0</v>
      </c>
      <c r="V10418" s="2" t="inlineStr"/>
    </row>
    <row r="10419" ht="15" customHeight="1">
      <c r="A10419" t="inlineStr">
        <is>
          <t>A 34222-2026</t>
        </is>
      </c>
      <c r="B10419" t="inlineStr">
        <is>
          <t>avverkningsanmälan</t>
        </is>
      </c>
      <c r="C10419" t="inlineStr">
        <is>
          <t>Föryngringsavverkning</t>
        </is>
      </c>
      <c r="D10419" s="1" t="n">
        <v>46253</v>
      </c>
      <c r="E10419" s="1" t="n">
        <v>46307</v>
      </c>
      <c r="F10419" t="inlineStr">
        <is>
          <t>VÄRMLANDS LÄN</t>
        </is>
      </c>
      <c r="G10419" t="inlineStr">
        <is>
          <t>ARVIKA</t>
        </is>
      </c>
      <c r="I10419" t="n">
        <v>6.1</v>
      </c>
      <c r="J10419" t="n">
        <v>0</v>
      </c>
      <c r="K10419" t="n">
        <v>0</v>
      </c>
      <c r="L10419" t="n">
        <v>0</v>
      </c>
      <c r="M10419" t="n">
        <v>0</v>
      </c>
      <c r="N10419" t="n">
        <v>0</v>
      </c>
      <c r="O10419" t="n">
        <v>0</v>
      </c>
      <c r="P10419" t="n">
        <v>0</v>
      </c>
      <c r="Q10419" t="n">
        <v>0</v>
      </c>
      <c r="R10419" t="n">
        <v>0</v>
      </c>
      <c r="S10419" t="n">
        <v>0</v>
      </c>
      <c r="T10419" t="n">
        <v>0</v>
      </c>
      <c r="U10419" t="n">
        <v>0</v>
      </c>
      <c r="V10419" s="2" t="inlineStr"/>
    </row>
    <row r="10420" ht="15" customHeight="1">
      <c r="A10420" t="inlineStr">
        <is>
          <t>A 33741-2026</t>
        </is>
      </c>
      <c r="B10420" t="inlineStr">
        <is>
          <t>avverkningsanmälan</t>
        </is>
      </c>
      <c r="C10420" t="inlineStr">
        <is>
          <t>Föryngringsavverkning</t>
        </is>
      </c>
      <c r="D10420" s="1" t="n">
        <v>46251</v>
      </c>
      <c r="E10420" s="1" t="n">
        <v>46307</v>
      </c>
      <c r="F10420" t="inlineStr">
        <is>
          <t>VÄRMLANDS LÄN</t>
        </is>
      </c>
      <c r="G10420" t="inlineStr">
        <is>
          <t>FORSHAGA</t>
        </is>
      </c>
      <c r="H10420" t="inlineStr">
        <is>
          <t>Bergvik skog väst AB</t>
        </is>
      </c>
      <c r="I10420" t="n">
        <v>6</v>
      </c>
      <c r="J10420" t="n">
        <v>0</v>
      </c>
      <c r="K10420" t="n">
        <v>0</v>
      </c>
      <c r="L10420" t="n">
        <v>0</v>
      </c>
      <c r="M10420" t="n">
        <v>0</v>
      </c>
      <c r="N10420" t="n">
        <v>0</v>
      </c>
      <c r="O10420" t="n">
        <v>0</v>
      </c>
      <c r="P10420" t="n">
        <v>0</v>
      </c>
      <c r="Q10420" t="n">
        <v>0</v>
      </c>
      <c r="R10420" t="n">
        <v>0</v>
      </c>
      <c r="S10420" t="n">
        <v>0</v>
      </c>
      <c r="T10420" t="n">
        <v>0</v>
      </c>
      <c r="U10420" t="n">
        <v>0</v>
      </c>
      <c r="V10420" s="2" t="inlineStr"/>
    </row>
    <row r="10421" ht="15" customHeight="1">
      <c r="A10421" t="inlineStr">
        <is>
          <t>A 33833-2026</t>
        </is>
      </c>
      <c r="B10421" t="inlineStr">
        <is>
          <t>avverkningsanmälan</t>
        </is>
      </c>
      <c r="C10421" t="inlineStr">
        <is>
          <t>Föryngringsavverkning</t>
        </is>
      </c>
      <c r="D10421" s="1" t="n">
        <v>46251</v>
      </c>
      <c r="E10421" s="1" t="n">
        <v>46307</v>
      </c>
      <c r="F10421" t="inlineStr">
        <is>
          <t>VÄRMLANDS LÄN</t>
        </is>
      </c>
      <c r="G10421" t="inlineStr">
        <is>
          <t>HAGFORS</t>
        </is>
      </c>
      <c r="H10421" t="inlineStr">
        <is>
          <t>Bergvik skog väst AB</t>
        </is>
      </c>
      <c r="I10421" t="n">
        <v>5.8</v>
      </c>
      <c r="J10421" t="n">
        <v>0</v>
      </c>
      <c r="K10421" t="n">
        <v>0</v>
      </c>
      <c r="L10421" t="n">
        <v>0</v>
      </c>
      <c r="M10421" t="n">
        <v>0</v>
      </c>
      <c r="N10421" t="n">
        <v>0</v>
      </c>
      <c r="O10421" t="n">
        <v>0</v>
      </c>
      <c r="P10421" t="n">
        <v>0</v>
      </c>
      <c r="Q10421" t="n">
        <v>0</v>
      </c>
      <c r="R10421" t="n">
        <v>0</v>
      </c>
      <c r="S10421" t="n">
        <v>0</v>
      </c>
      <c r="T10421" t="n">
        <v>0</v>
      </c>
      <c r="U10421" t="n">
        <v>0</v>
      </c>
      <c r="V10421" s="2" t="inlineStr"/>
    </row>
    <row r="10422" ht="15" customHeight="1">
      <c r="A10422" t="inlineStr">
        <is>
          <t>A 33837-2026</t>
        </is>
      </c>
      <c r="B10422" t="inlineStr">
        <is>
          <t>avverkningsanmälan</t>
        </is>
      </c>
      <c r="C10422" t="inlineStr">
        <is>
          <t>Föryngringsavverkning</t>
        </is>
      </c>
      <c r="D10422" s="1" t="n">
        <v>46251</v>
      </c>
      <c r="E10422" s="1" t="n">
        <v>46307</v>
      </c>
      <c r="F10422" t="inlineStr">
        <is>
          <t>VÄRMLANDS LÄN</t>
        </is>
      </c>
      <c r="G10422" t="inlineStr">
        <is>
          <t>FILIPSTAD</t>
        </is>
      </c>
      <c r="H10422" t="inlineStr">
        <is>
          <t>Bergvik skog väst AB</t>
        </is>
      </c>
      <c r="I10422" t="n">
        <v>7.4</v>
      </c>
      <c r="J10422" t="n">
        <v>0</v>
      </c>
      <c r="K10422" t="n">
        <v>0</v>
      </c>
      <c r="L10422" t="n">
        <v>0</v>
      </c>
      <c r="M10422" t="n">
        <v>0</v>
      </c>
      <c r="N10422" t="n">
        <v>0</v>
      </c>
      <c r="O10422" t="n">
        <v>0</v>
      </c>
      <c r="P10422" t="n">
        <v>0</v>
      </c>
      <c r="Q10422" t="n">
        <v>0</v>
      </c>
      <c r="R10422" t="n">
        <v>0</v>
      </c>
      <c r="S10422" t="n">
        <v>0</v>
      </c>
      <c r="T10422" t="n">
        <v>0</v>
      </c>
      <c r="U10422" t="n">
        <v>0</v>
      </c>
      <c r="V10422" s="2" t="inlineStr"/>
    </row>
    <row r="10423" ht="15" customHeight="1">
      <c r="A10423" t="inlineStr">
        <is>
          <t>A 33855-2026</t>
        </is>
      </c>
      <c r="B10423" t="inlineStr">
        <is>
          <t>avverkningsanmälan</t>
        </is>
      </c>
      <c r="C10423" t="inlineStr">
        <is>
          <t>Föryngringsavverkning</t>
        </is>
      </c>
      <c r="D10423" s="1" t="n">
        <v>46251</v>
      </c>
      <c r="E10423" s="1" t="n">
        <v>46307</v>
      </c>
      <c r="F10423" t="inlineStr">
        <is>
          <t>VÄRMLANDS LÄN</t>
        </is>
      </c>
      <c r="G10423" t="inlineStr">
        <is>
          <t>FILIPSTAD</t>
        </is>
      </c>
      <c r="H10423" t="inlineStr">
        <is>
          <t>Bergvik skog väst AB</t>
        </is>
      </c>
      <c r="I10423" t="n">
        <v>3.1</v>
      </c>
      <c r="J10423" t="n">
        <v>0</v>
      </c>
      <c r="K10423" t="n">
        <v>0</v>
      </c>
      <c r="L10423" t="n">
        <v>0</v>
      </c>
      <c r="M10423" t="n">
        <v>0</v>
      </c>
      <c r="N10423" t="n">
        <v>0</v>
      </c>
      <c r="O10423" t="n">
        <v>0</v>
      </c>
      <c r="P10423" t="n">
        <v>0</v>
      </c>
      <c r="Q10423" t="n">
        <v>0</v>
      </c>
      <c r="R10423" t="n">
        <v>0</v>
      </c>
      <c r="S10423" t="n">
        <v>0</v>
      </c>
      <c r="T10423" t="n">
        <v>0</v>
      </c>
      <c r="U10423" t="n">
        <v>0</v>
      </c>
      <c r="V10423" s="2" t="inlineStr"/>
    </row>
    <row r="10424" ht="15" customHeight="1">
      <c r="A10424" t="inlineStr">
        <is>
          <t>A 33859-2026</t>
        </is>
      </c>
      <c r="B10424" t="inlineStr">
        <is>
          <t>avverkningsanmälan</t>
        </is>
      </c>
      <c r="C10424" t="inlineStr">
        <is>
          <t>Föryngringsavverkning</t>
        </is>
      </c>
      <c r="D10424" s="1" t="n">
        <v>46251</v>
      </c>
      <c r="E10424" s="1" t="n">
        <v>46307</v>
      </c>
      <c r="F10424" t="inlineStr">
        <is>
          <t>VÄRMLANDS LÄN</t>
        </is>
      </c>
      <c r="G10424" t="inlineStr">
        <is>
          <t>FILIPSTAD</t>
        </is>
      </c>
      <c r="H10424" t="inlineStr">
        <is>
          <t>Bergvik skog väst AB</t>
        </is>
      </c>
      <c r="I10424" t="n">
        <v>2.8</v>
      </c>
      <c r="J10424" t="n">
        <v>0</v>
      </c>
      <c r="K10424" t="n">
        <v>0</v>
      </c>
      <c r="L10424" t="n">
        <v>0</v>
      </c>
      <c r="M10424" t="n">
        <v>0</v>
      </c>
      <c r="N10424" t="n">
        <v>0</v>
      </c>
      <c r="O10424" t="n">
        <v>0</v>
      </c>
      <c r="P10424" t="n">
        <v>0</v>
      </c>
      <c r="Q10424" t="n">
        <v>0</v>
      </c>
      <c r="R10424" t="n">
        <v>0</v>
      </c>
      <c r="S10424" t="n">
        <v>0</v>
      </c>
      <c r="T10424" t="n">
        <v>0</v>
      </c>
      <c r="U10424" t="n">
        <v>0</v>
      </c>
      <c r="V10424" s="2" t="inlineStr"/>
    </row>
    <row r="10425" ht="15" customHeight="1">
      <c r="A10425" t="inlineStr">
        <is>
          <t>A 54027-2025</t>
        </is>
      </c>
      <c r="B10425" t="inlineStr">
        <is>
          <t>avverkningsanmälan</t>
        </is>
      </c>
      <c r="C10425" t="inlineStr">
        <is>
          <t>Föryngringsavverkning</t>
        </is>
      </c>
      <c r="D10425" s="1" t="n">
        <v>45962</v>
      </c>
      <c r="E10425" s="1" t="n">
        <v>46307</v>
      </c>
      <c r="F10425" t="inlineStr">
        <is>
          <t>VÄRMLANDS LÄN</t>
        </is>
      </c>
      <c r="G10425" t="inlineStr">
        <is>
          <t>ARVIKA</t>
        </is>
      </c>
      <c r="I10425" t="n">
        <v>2.9</v>
      </c>
      <c r="J10425" t="n">
        <v>0</v>
      </c>
      <c r="K10425" t="n">
        <v>0</v>
      </c>
      <c r="L10425" t="n">
        <v>0</v>
      </c>
      <c r="M10425" t="n">
        <v>0</v>
      </c>
      <c r="N10425" t="n">
        <v>0</v>
      </c>
      <c r="O10425" t="n">
        <v>0</v>
      </c>
      <c r="P10425" t="n">
        <v>0</v>
      </c>
      <c r="Q10425" t="n">
        <v>0</v>
      </c>
      <c r="R10425" t="n">
        <v>0</v>
      </c>
      <c r="S10425" t="n">
        <v>0</v>
      </c>
      <c r="T10425" t="n">
        <v>0</v>
      </c>
      <c r="U10425" t="n">
        <v>0</v>
      </c>
      <c r="V10425" s="2" t="inlineStr"/>
    </row>
    <row r="10426" ht="15" customHeight="1">
      <c r="A10426" t="inlineStr">
        <is>
          <t>A 33781-2026</t>
        </is>
      </c>
      <c r="B10426" t="inlineStr">
        <is>
          <t>avverkningsanmälan</t>
        </is>
      </c>
      <c r="C10426" t="inlineStr">
        <is>
          <t>Föryngringsavverkning</t>
        </is>
      </c>
      <c r="D10426" s="1" t="n">
        <v>46251</v>
      </c>
      <c r="E10426" s="1" t="n">
        <v>46307</v>
      </c>
      <c r="F10426" t="inlineStr">
        <is>
          <t>VÄRMLANDS LÄN</t>
        </is>
      </c>
      <c r="G10426" t="inlineStr">
        <is>
          <t>TORSBY</t>
        </is>
      </c>
      <c r="H10426" t="inlineStr">
        <is>
          <t>Bergvik skog väst AB</t>
        </is>
      </c>
      <c r="I10426" t="n">
        <v>14</v>
      </c>
      <c r="J10426" t="n">
        <v>0</v>
      </c>
      <c r="K10426" t="n">
        <v>0</v>
      </c>
      <c r="L10426" t="n">
        <v>0</v>
      </c>
      <c r="M10426" t="n">
        <v>0</v>
      </c>
      <c r="N10426" t="n">
        <v>0</v>
      </c>
      <c r="O10426" t="n">
        <v>0</v>
      </c>
      <c r="P10426" t="n">
        <v>0</v>
      </c>
      <c r="Q10426" t="n">
        <v>0</v>
      </c>
      <c r="R10426" t="n">
        <v>0</v>
      </c>
      <c r="S10426" t="n">
        <v>0</v>
      </c>
      <c r="T10426" t="n">
        <v>0</v>
      </c>
      <c r="U10426" t="n">
        <v>0</v>
      </c>
      <c r="V10426" s="2" t="inlineStr"/>
    </row>
    <row r="10427" ht="15" customHeight="1">
      <c r="A10427" t="inlineStr">
        <is>
          <t>A 34231-2026</t>
        </is>
      </c>
      <c r="B10427" t="inlineStr">
        <is>
          <t>avverkningsanmälan</t>
        </is>
      </c>
      <c r="C10427" t="inlineStr">
        <is>
          <t>Föryngringsavverkning</t>
        </is>
      </c>
      <c r="D10427" s="1" t="n">
        <v>46253</v>
      </c>
      <c r="E10427" s="1" t="n">
        <v>46307</v>
      </c>
      <c r="F10427" t="inlineStr">
        <is>
          <t>VÄRMLANDS LÄN</t>
        </is>
      </c>
      <c r="G10427" t="inlineStr">
        <is>
          <t>TORSBY</t>
        </is>
      </c>
      <c r="H10427" t="inlineStr">
        <is>
          <t>Bergvik skog väst AB</t>
        </is>
      </c>
      <c r="I10427" t="n">
        <v>4.9</v>
      </c>
      <c r="J10427" t="n">
        <v>0</v>
      </c>
      <c r="K10427" t="n">
        <v>0</v>
      </c>
      <c r="L10427" t="n">
        <v>0</v>
      </c>
      <c r="M10427" t="n">
        <v>0</v>
      </c>
      <c r="N10427" t="n">
        <v>0</v>
      </c>
      <c r="O10427" t="n">
        <v>0</v>
      </c>
      <c r="P10427" t="n">
        <v>0</v>
      </c>
      <c r="Q10427" t="n">
        <v>0</v>
      </c>
      <c r="R10427" t="n">
        <v>0</v>
      </c>
      <c r="S10427" t="n">
        <v>0</v>
      </c>
      <c r="T10427" t="n">
        <v>0</v>
      </c>
      <c r="U10427" t="n">
        <v>0</v>
      </c>
      <c r="V10427" s="2" t="inlineStr"/>
    </row>
    <row r="10428" ht="15" customHeight="1">
      <c r="A10428" t="inlineStr">
        <is>
          <t>A 34251-2026</t>
        </is>
      </c>
      <c r="B10428" t="inlineStr">
        <is>
          <t>avverkningsanmälan</t>
        </is>
      </c>
      <c r="C10428" t="inlineStr">
        <is>
          <t>Avverkning för annat ändamål</t>
        </is>
      </c>
      <c r="D10428" s="1" t="n">
        <v>46253</v>
      </c>
      <c r="E10428" s="1" t="n">
        <v>46307</v>
      </c>
      <c r="F10428" t="inlineStr">
        <is>
          <t>VÄRMLANDS LÄN</t>
        </is>
      </c>
      <c r="G10428" t="inlineStr">
        <is>
          <t>SÄFFLE</t>
        </is>
      </c>
      <c r="I10428" t="n">
        <v>39.3</v>
      </c>
      <c r="J10428" t="n">
        <v>0</v>
      </c>
      <c r="K10428" t="n">
        <v>0</v>
      </c>
      <c r="L10428" t="n">
        <v>0</v>
      </c>
      <c r="M10428" t="n">
        <v>0</v>
      </c>
      <c r="N10428" t="n">
        <v>0</v>
      </c>
      <c r="O10428" t="n">
        <v>0</v>
      </c>
      <c r="P10428" t="n">
        <v>0</v>
      </c>
      <c r="Q10428" t="n">
        <v>0</v>
      </c>
      <c r="R10428" t="n">
        <v>0</v>
      </c>
      <c r="S10428" t="n">
        <v>0</v>
      </c>
      <c r="T10428" t="n">
        <v>0</v>
      </c>
      <c r="U10428" t="n">
        <v>0</v>
      </c>
      <c r="V10428" s="2" t="inlineStr"/>
    </row>
    <row r="10429" ht="15" customHeight="1">
      <c r="A10429" t="inlineStr">
        <is>
          <t>A 40537-2026</t>
        </is>
      </c>
      <c r="B10429" t="inlineStr">
        <is>
          <t>avverkningsanmälan</t>
        </is>
      </c>
      <c r="C10429" t="inlineStr">
        <is>
          <t>Föryngringsavverkning</t>
        </is>
      </c>
      <c r="D10429" s="1" t="n">
        <v>46295</v>
      </c>
      <c r="E10429" s="1" t="n">
        <v>46307</v>
      </c>
      <c r="F10429" t="inlineStr">
        <is>
          <t>VÄRMLANDS LÄN</t>
        </is>
      </c>
      <c r="G10429" t="inlineStr">
        <is>
          <t>HAGFORS</t>
        </is>
      </c>
      <c r="H10429" t="inlineStr">
        <is>
          <t>Kommuner</t>
        </is>
      </c>
      <c r="I10429" t="n">
        <v>3.3</v>
      </c>
      <c r="J10429" t="n">
        <v>0</v>
      </c>
      <c r="K10429" t="n">
        <v>0</v>
      </c>
      <c r="L10429" t="n">
        <v>0</v>
      </c>
      <c r="M10429" t="n">
        <v>0</v>
      </c>
      <c r="N10429" t="n">
        <v>0</v>
      </c>
      <c r="O10429" t="n">
        <v>0</v>
      </c>
      <c r="P10429" t="n">
        <v>0</v>
      </c>
      <c r="Q10429" t="n">
        <v>0</v>
      </c>
      <c r="R10429" t="n">
        <v>0</v>
      </c>
      <c r="S10429" t="n">
        <v>0</v>
      </c>
      <c r="T10429" t="n">
        <v>0</v>
      </c>
      <c r="U10429" t="n">
        <v>0</v>
      </c>
      <c r="V10429" s="2" t="inlineStr"/>
    </row>
    <row r="10430" ht="15" customHeight="1">
      <c r="A10430" t="inlineStr">
        <is>
          <t>A 19220-2026</t>
        </is>
      </c>
      <c r="B10430" t="inlineStr">
        <is>
          <t>avverkningsanmälan</t>
        </is>
      </c>
      <c r="C10430" t="inlineStr">
        <is>
          <t>Föryngringsavverkning</t>
        </is>
      </c>
      <c r="D10430" s="1" t="n">
        <v>46132</v>
      </c>
      <c r="E10430" s="1" t="n">
        <v>46307</v>
      </c>
      <c r="F10430" t="inlineStr">
        <is>
          <t>VÄRMLANDS LÄN</t>
        </is>
      </c>
      <c r="G10430" t="inlineStr">
        <is>
          <t>MUNKFORS</t>
        </is>
      </c>
      <c r="I10430" t="n">
        <v>3.1</v>
      </c>
      <c r="J10430" t="n">
        <v>0</v>
      </c>
      <c r="K10430" t="n">
        <v>0</v>
      </c>
      <c r="L10430" t="n">
        <v>0</v>
      </c>
      <c r="M10430" t="n">
        <v>0</v>
      </c>
      <c r="N10430" t="n">
        <v>0</v>
      </c>
      <c r="O10430" t="n">
        <v>0</v>
      </c>
      <c r="P10430" t="n">
        <v>0</v>
      </c>
      <c r="Q10430" t="n">
        <v>0</v>
      </c>
      <c r="R10430" t="n">
        <v>0</v>
      </c>
      <c r="S10430" t="n">
        <v>0</v>
      </c>
      <c r="T10430" t="n">
        <v>0</v>
      </c>
      <c r="U10430" t="n">
        <v>0</v>
      </c>
      <c r="V10430" s="2" t="inlineStr"/>
    </row>
    <row r="10431" ht="15" customHeight="1">
      <c r="A10431" t="inlineStr">
        <is>
          <t>A 36871-2026</t>
        </is>
      </c>
      <c r="B10431" t="inlineStr">
        <is>
          <t>avverkningsanmälan</t>
        </is>
      </c>
      <c r="C10431" t="inlineStr">
        <is>
          <t>Föryngringsavverkning</t>
        </is>
      </c>
      <c r="D10431" s="1" t="n">
        <v>46272</v>
      </c>
      <c r="E10431" s="1" t="n">
        <v>46307</v>
      </c>
      <c r="F10431" t="inlineStr">
        <is>
          <t>VÄRMLANDS LÄN</t>
        </is>
      </c>
      <c r="G10431" t="inlineStr">
        <is>
          <t>FILIPSTAD</t>
        </is>
      </c>
      <c r="I10431" t="n">
        <v>2.6</v>
      </c>
      <c r="J10431" t="n">
        <v>0</v>
      </c>
      <c r="K10431" t="n">
        <v>0</v>
      </c>
      <c r="L10431" t="n">
        <v>0</v>
      </c>
      <c r="M10431" t="n">
        <v>0</v>
      </c>
      <c r="N10431" t="n">
        <v>0</v>
      </c>
      <c r="O10431" t="n">
        <v>0</v>
      </c>
      <c r="P10431" t="n">
        <v>0</v>
      </c>
      <c r="Q10431" t="n">
        <v>0</v>
      </c>
      <c r="R10431" t="n">
        <v>0</v>
      </c>
      <c r="S10431" t="n">
        <v>0</v>
      </c>
      <c r="T10431" t="n">
        <v>0</v>
      </c>
      <c r="U10431" t="n">
        <v>0</v>
      </c>
      <c r="V10431" s="2" t="inlineStr"/>
    </row>
    <row r="10432" ht="15" customHeight="1">
      <c r="A10432" t="inlineStr">
        <is>
          <t>A 40810-2026</t>
        </is>
      </c>
      <c r="B10432" t="inlineStr">
        <is>
          <t>avverkningsanmälan</t>
        </is>
      </c>
      <c r="C10432" t="inlineStr">
        <is>
          <t>Föryngringsavverkning</t>
        </is>
      </c>
      <c r="D10432" s="1" t="n">
        <v>46296</v>
      </c>
      <c r="E10432" s="1" t="n">
        <v>46307</v>
      </c>
      <c r="F10432" t="inlineStr">
        <is>
          <t>VÄRMLANDS LÄN</t>
        </is>
      </c>
      <c r="G10432" t="inlineStr">
        <is>
          <t>KARLSTAD</t>
        </is>
      </c>
      <c r="I10432" t="n">
        <v>0.8</v>
      </c>
      <c r="J10432" t="n">
        <v>0</v>
      </c>
      <c r="K10432" t="n">
        <v>0</v>
      </c>
      <c r="L10432" t="n">
        <v>0</v>
      </c>
      <c r="M10432" t="n">
        <v>0</v>
      </c>
      <c r="N10432" t="n">
        <v>0</v>
      </c>
      <c r="O10432" t="n">
        <v>0</v>
      </c>
      <c r="P10432" t="n">
        <v>0</v>
      </c>
      <c r="Q10432" t="n">
        <v>0</v>
      </c>
      <c r="R10432" t="n">
        <v>0</v>
      </c>
      <c r="S10432" t="n">
        <v>0</v>
      </c>
      <c r="T10432" t="n">
        <v>0</v>
      </c>
      <c r="U10432" t="n">
        <v>0</v>
      </c>
      <c r="V10432" s="2" t="inlineStr"/>
    </row>
    <row r="10433" ht="15" customHeight="1">
      <c r="A10433" t="inlineStr">
        <is>
          <t>A 40462-2026</t>
        </is>
      </c>
      <c r="B10433" t="inlineStr">
        <is>
          <t>avverkningsanmälan</t>
        </is>
      </c>
      <c r="C10433" t="inlineStr">
        <is>
          <t>Föryngringsavverkning</t>
        </is>
      </c>
      <c r="D10433" s="1" t="n">
        <v>46295</v>
      </c>
      <c r="E10433" s="1" t="n">
        <v>46307</v>
      </c>
      <c r="F10433" t="inlineStr">
        <is>
          <t>VÄRMLANDS LÄN</t>
        </is>
      </c>
      <c r="G10433" t="inlineStr">
        <is>
          <t>ÅRJÄNG</t>
        </is>
      </c>
      <c r="I10433" t="n">
        <v>3.8</v>
      </c>
      <c r="J10433" t="n">
        <v>0</v>
      </c>
      <c r="K10433" t="n">
        <v>0</v>
      </c>
      <c r="L10433" t="n">
        <v>0</v>
      </c>
      <c r="M10433" t="n">
        <v>0</v>
      </c>
      <c r="N10433" t="n">
        <v>0</v>
      </c>
      <c r="O10433" t="n">
        <v>0</v>
      </c>
      <c r="P10433" t="n">
        <v>0</v>
      </c>
      <c r="Q10433" t="n">
        <v>0</v>
      </c>
      <c r="R10433" t="n">
        <v>0</v>
      </c>
      <c r="S10433" t="n">
        <v>0</v>
      </c>
      <c r="T10433" t="n">
        <v>0</v>
      </c>
      <c r="U10433" t="n">
        <v>0</v>
      </c>
      <c r="V10433" s="2" t="inlineStr"/>
    </row>
    <row r="10434" ht="15" customHeight="1">
      <c r="A10434" t="inlineStr">
        <is>
          <t>A 40547-2026</t>
        </is>
      </c>
      <c r="B10434" t="inlineStr">
        <is>
          <t>avverkningsanmälan</t>
        </is>
      </c>
      <c r="C10434" t="inlineStr">
        <is>
          <t>Föryngringsavverkning</t>
        </is>
      </c>
      <c r="D10434" s="1" t="n">
        <v>46295</v>
      </c>
      <c r="E10434" s="1" t="n">
        <v>46307</v>
      </c>
      <c r="F10434" t="inlineStr">
        <is>
          <t>VÄRMLANDS LÄN</t>
        </is>
      </c>
      <c r="G10434" t="inlineStr">
        <is>
          <t>HAGFORS</t>
        </is>
      </c>
      <c r="H10434" t="inlineStr">
        <is>
          <t>Kommuner</t>
        </is>
      </c>
      <c r="I10434" t="n">
        <v>1.7</v>
      </c>
      <c r="J10434" t="n">
        <v>0</v>
      </c>
      <c r="K10434" t="n">
        <v>0</v>
      </c>
      <c r="L10434" t="n">
        <v>0</v>
      </c>
      <c r="M10434" t="n">
        <v>0</v>
      </c>
      <c r="N10434" t="n">
        <v>0</v>
      </c>
      <c r="O10434" t="n">
        <v>0</v>
      </c>
      <c r="P10434" t="n">
        <v>0</v>
      </c>
      <c r="Q10434" t="n">
        <v>0</v>
      </c>
      <c r="R10434" t="n">
        <v>0</v>
      </c>
      <c r="S10434" t="n">
        <v>0</v>
      </c>
      <c r="T10434" t="n">
        <v>0</v>
      </c>
      <c r="U10434" t="n">
        <v>0</v>
      </c>
      <c r="V10434" s="2" t="inlineStr"/>
    </row>
    <row r="10435" ht="15" customHeight="1">
      <c r="A10435" t="inlineStr">
        <is>
          <t>A 33866-2026</t>
        </is>
      </c>
      <c r="B10435" t="inlineStr">
        <is>
          <t>avverkningsanmälan</t>
        </is>
      </c>
      <c r="C10435" t="inlineStr">
        <is>
          <t>Föryngringsavverkning</t>
        </is>
      </c>
      <c r="D10435" s="1" t="n">
        <v>46251</v>
      </c>
      <c r="E10435" s="1" t="n">
        <v>46307</v>
      </c>
      <c r="F10435" t="inlineStr">
        <is>
          <t>VÄRMLANDS LÄN</t>
        </is>
      </c>
      <c r="G10435" t="inlineStr">
        <is>
          <t>FILIPSTAD</t>
        </is>
      </c>
      <c r="H10435" t="inlineStr">
        <is>
          <t>Bergvik skog väst AB</t>
        </is>
      </c>
      <c r="I10435" t="n">
        <v>3.1</v>
      </c>
      <c r="J10435" t="n">
        <v>0</v>
      </c>
      <c r="K10435" t="n">
        <v>0</v>
      </c>
      <c r="L10435" t="n">
        <v>0</v>
      </c>
      <c r="M10435" t="n">
        <v>0</v>
      </c>
      <c r="N10435" t="n">
        <v>0</v>
      </c>
      <c r="O10435" t="n">
        <v>0</v>
      </c>
      <c r="P10435" t="n">
        <v>0</v>
      </c>
      <c r="Q10435" t="n">
        <v>0</v>
      </c>
      <c r="R10435" t="n">
        <v>0</v>
      </c>
      <c r="S10435" t="n">
        <v>0</v>
      </c>
      <c r="T10435" t="n">
        <v>0</v>
      </c>
      <c r="U10435" t="n">
        <v>0</v>
      </c>
      <c r="V10435" s="2" t="inlineStr"/>
    </row>
    <row r="10436" ht="15" customHeight="1">
      <c r="A10436" t="inlineStr">
        <is>
          <t>A 34014-2026</t>
        </is>
      </c>
      <c r="B10436" t="inlineStr">
        <is>
          <t>avverkningsanmälan</t>
        </is>
      </c>
      <c r="C10436" t="inlineStr">
        <is>
          <t>Föryngringsavverkning</t>
        </is>
      </c>
      <c r="D10436" s="1" t="n">
        <v>46252</v>
      </c>
      <c r="E10436" s="1" t="n">
        <v>46307</v>
      </c>
      <c r="F10436" t="inlineStr">
        <is>
          <t>VÄRMLANDS LÄN</t>
        </is>
      </c>
      <c r="G10436" t="inlineStr">
        <is>
          <t>HAGFORS</t>
        </is>
      </c>
      <c r="H10436" t="inlineStr">
        <is>
          <t>Bergvik skog väst AB</t>
        </is>
      </c>
      <c r="I10436" t="n">
        <v>2.6</v>
      </c>
      <c r="J10436" t="n">
        <v>0</v>
      </c>
      <c r="K10436" t="n">
        <v>0</v>
      </c>
      <c r="L10436" t="n">
        <v>0</v>
      </c>
      <c r="M10436" t="n">
        <v>0</v>
      </c>
      <c r="N10436" t="n">
        <v>0</v>
      </c>
      <c r="O10436" t="n">
        <v>0</v>
      </c>
      <c r="P10436" t="n">
        <v>0</v>
      </c>
      <c r="Q10436" t="n">
        <v>0</v>
      </c>
      <c r="R10436" t="n">
        <v>0</v>
      </c>
      <c r="S10436" t="n">
        <v>0</v>
      </c>
      <c r="T10436" t="n">
        <v>0</v>
      </c>
      <c r="U10436" t="n">
        <v>0</v>
      </c>
      <c r="V10436" s="2" t="inlineStr"/>
    </row>
    <row r="10437" ht="15" customHeight="1">
      <c r="A10437" t="inlineStr">
        <is>
          <t>A 40635-2026</t>
        </is>
      </c>
      <c r="B10437" t="inlineStr">
        <is>
          <t>avverkningsanmälan</t>
        </is>
      </c>
      <c r="C10437" t="inlineStr">
        <is>
          <t>Föryngringsavverkning</t>
        </is>
      </c>
      <c r="D10437" s="1" t="n">
        <v>46295</v>
      </c>
      <c r="E10437" s="1" t="n">
        <v>46307</v>
      </c>
      <c r="F10437" t="inlineStr">
        <is>
          <t>VÄRMLANDS LÄN</t>
        </is>
      </c>
      <c r="G10437" t="inlineStr">
        <is>
          <t>TORSBY</t>
        </is>
      </c>
      <c r="I10437" t="n">
        <v>4.9</v>
      </c>
      <c r="J10437" t="n">
        <v>0</v>
      </c>
      <c r="K10437" t="n">
        <v>0</v>
      </c>
      <c r="L10437" t="n">
        <v>0</v>
      </c>
      <c r="M10437" t="n">
        <v>0</v>
      </c>
      <c r="N10437" t="n">
        <v>0</v>
      </c>
      <c r="O10437" t="n">
        <v>0</v>
      </c>
      <c r="P10437" t="n">
        <v>0</v>
      </c>
      <c r="Q10437" t="n">
        <v>0</v>
      </c>
      <c r="R10437" t="n">
        <v>0</v>
      </c>
      <c r="S10437" t="n">
        <v>0</v>
      </c>
      <c r="T10437" t="n">
        <v>0</v>
      </c>
      <c r="U10437" t="n">
        <v>0</v>
      </c>
      <c r="V10437" s="2" t="inlineStr"/>
    </row>
    <row r="10438" ht="15" customHeight="1">
      <c r="A10438" t="inlineStr">
        <is>
          <t>A 40503-2026</t>
        </is>
      </c>
      <c r="B10438" t="inlineStr">
        <is>
          <t>avverkningsanmälan</t>
        </is>
      </c>
      <c r="C10438" t="inlineStr">
        <is>
          <t>Föryngringsavverkning</t>
        </is>
      </c>
      <c r="D10438" s="1" t="n">
        <v>46295</v>
      </c>
      <c r="E10438" s="1" t="n">
        <v>46307</v>
      </c>
      <c r="F10438" t="inlineStr">
        <is>
          <t>VÄRMLANDS LÄN</t>
        </is>
      </c>
      <c r="G10438" t="inlineStr">
        <is>
          <t>TORSBY</t>
        </is>
      </c>
      <c r="I10438" t="n">
        <v>17.4</v>
      </c>
      <c r="J10438" t="n">
        <v>0</v>
      </c>
      <c r="K10438" t="n">
        <v>0</v>
      </c>
      <c r="L10438" t="n">
        <v>0</v>
      </c>
      <c r="M10438" t="n">
        <v>0</v>
      </c>
      <c r="N10438" t="n">
        <v>0</v>
      </c>
      <c r="O10438" t="n">
        <v>0</v>
      </c>
      <c r="P10438" t="n">
        <v>0</v>
      </c>
      <c r="Q10438" t="n">
        <v>0</v>
      </c>
      <c r="R10438" t="n">
        <v>0</v>
      </c>
      <c r="S10438" t="n">
        <v>0</v>
      </c>
      <c r="T10438" t="n">
        <v>0</v>
      </c>
      <c r="U10438" t="n">
        <v>0</v>
      </c>
      <c r="V10438" s="2" t="inlineStr"/>
    </row>
    <row r="10439" ht="15" customHeight="1">
      <c r="A10439" t="inlineStr">
        <is>
          <t>A 33986-2026</t>
        </is>
      </c>
      <c r="B10439" t="inlineStr">
        <is>
          <t>avverkningsanmälan</t>
        </is>
      </c>
      <c r="C10439" t="inlineStr">
        <is>
          <t>Föryngringsavverkning</t>
        </is>
      </c>
      <c r="D10439" s="1" t="n">
        <v>46252</v>
      </c>
      <c r="E10439" s="1" t="n">
        <v>46307</v>
      </c>
      <c r="F10439" t="inlineStr">
        <is>
          <t>VÄRMLANDS LÄN</t>
        </is>
      </c>
      <c r="G10439" t="inlineStr">
        <is>
          <t>EDA</t>
        </is>
      </c>
      <c r="I10439" t="n">
        <v>1.6</v>
      </c>
      <c r="J10439" t="n">
        <v>0</v>
      </c>
      <c r="K10439" t="n">
        <v>0</v>
      </c>
      <c r="L10439" t="n">
        <v>0</v>
      </c>
      <c r="M10439" t="n">
        <v>0</v>
      </c>
      <c r="N10439" t="n">
        <v>0</v>
      </c>
      <c r="O10439" t="n">
        <v>0</v>
      </c>
      <c r="P10439" t="n">
        <v>0</v>
      </c>
      <c r="Q10439" t="n">
        <v>0</v>
      </c>
      <c r="R10439" t="n">
        <v>0</v>
      </c>
      <c r="S10439" t="n">
        <v>0</v>
      </c>
      <c r="T10439" t="n">
        <v>0</v>
      </c>
      <c r="U10439" t="n">
        <v>0</v>
      </c>
      <c r="V10439" s="2" t="inlineStr"/>
    </row>
    <row r="10440" ht="15" customHeight="1">
      <c r="A10440" t="inlineStr">
        <is>
          <t>A 34054-2026</t>
        </is>
      </c>
      <c r="B10440" t="inlineStr">
        <is>
          <t>avverkningsanmälan</t>
        </is>
      </c>
      <c r="C10440" t="inlineStr">
        <is>
          <t>Föryngringsavverkning</t>
        </is>
      </c>
      <c r="D10440" s="1" t="n">
        <v>46252</v>
      </c>
      <c r="E10440" s="1" t="n">
        <v>46307</v>
      </c>
      <c r="F10440" t="inlineStr">
        <is>
          <t>VÄRMLANDS LÄN</t>
        </is>
      </c>
      <c r="G10440" t="inlineStr">
        <is>
          <t>FILIPSTAD</t>
        </is>
      </c>
      <c r="H10440" t="inlineStr">
        <is>
          <t>Bergvik skog väst AB</t>
        </is>
      </c>
      <c r="I10440" t="n">
        <v>3</v>
      </c>
      <c r="J10440" t="n">
        <v>0</v>
      </c>
      <c r="K10440" t="n">
        <v>0</v>
      </c>
      <c r="L10440" t="n">
        <v>0</v>
      </c>
      <c r="M10440" t="n">
        <v>0</v>
      </c>
      <c r="N10440" t="n">
        <v>0</v>
      </c>
      <c r="O10440" t="n">
        <v>0</v>
      </c>
      <c r="P10440" t="n">
        <v>0</v>
      </c>
      <c r="Q10440" t="n">
        <v>0</v>
      </c>
      <c r="R10440" t="n">
        <v>0</v>
      </c>
      <c r="S10440" t="n">
        <v>0</v>
      </c>
      <c r="T10440" t="n">
        <v>0</v>
      </c>
      <c r="U10440" t="n">
        <v>0</v>
      </c>
      <c r="V10440" s="2" t="inlineStr"/>
    </row>
    <row r="10441" ht="15" customHeight="1">
      <c r="A10441" t="inlineStr">
        <is>
          <t>A 40378-2026</t>
        </is>
      </c>
      <c r="B10441" t="inlineStr">
        <is>
          <t>avverkningsanmälan</t>
        </is>
      </c>
      <c r="C10441" t="inlineStr">
        <is>
          <t>Föryngringsavverkning</t>
        </is>
      </c>
      <c r="D10441" s="1" t="n">
        <v>46294</v>
      </c>
      <c r="E10441" s="1" t="n">
        <v>46307</v>
      </c>
      <c r="F10441" t="inlineStr">
        <is>
          <t>VÄRMLANDS LÄN</t>
        </is>
      </c>
      <c r="G10441" t="inlineStr">
        <is>
          <t>FILIPSTAD</t>
        </is>
      </c>
      <c r="H10441" t="inlineStr">
        <is>
          <t>Bergvik skog väst AB</t>
        </is>
      </c>
      <c r="I10441" t="n">
        <v>0.7</v>
      </c>
      <c r="J10441" t="n">
        <v>0</v>
      </c>
      <c r="K10441" t="n">
        <v>0</v>
      </c>
      <c r="L10441" t="n">
        <v>0</v>
      </c>
      <c r="M10441" t="n">
        <v>0</v>
      </c>
      <c r="N10441" t="n">
        <v>0</v>
      </c>
      <c r="O10441" t="n">
        <v>0</v>
      </c>
      <c r="P10441" t="n">
        <v>0</v>
      </c>
      <c r="Q10441" t="n">
        <v>0</v>
      </c>
      <c r="R10441" t="n">
        <v>0</v>
      </c>
      <c r="S10441" t="n">
        <v>0</v>
      </c>
      <c r="T10441" t="n">
        <v>0</v>
      </c>
      <c r="U10441" t="n">
        <v>0</v>
      </c>
      <c r="V10441" s="2" t="inlineStr"/>
    </row>
    <row r="10442" ht="15" customHeight="1">
      <c r="A10442" t="inlineStr">
        <is>
          <t>A 40386-2026</t>
        </is>
      </c>
      <c r="B10442" t="inlineStr">
        <is>
          <t>avverkningsanmälan</t>
        </is>
      </c>
      <c r="C10442" t="inlineStr">
        <is>
          <t>Föryngringsavverkning</t>
        </is>
      </c>
      <c r="D10442" s="1" t="n">
        <v>46294</v>
      </c>
      <c r="E10442" s="1" t="n">
        <v>46307</v>
      </c>
      <c r="F10442" t="inlineStr">
        <is>
          <t>VÄRMLANDS LÄN</t>
        </is>
      </c>
      <c r="G10442" t="inlineStr">
        <is>
          <t>FILIPSTAD</t>
        </is>
      </c>
      <c r="H10442" t="inlineStr">
        <is>
          <t>Bergvik skog väst AB</t>
        </is>
      </c>
      <c r="I10442" t="n">
        <v>4.2</v>
      </c>
      <c r="J10442" t="n">
        <v>0</v>
      </c>
      <c r="K10442" t="n">
        <v>0</v>
      </c>
      <c r="L10442" t="n">
        <v>0</v>
      </c>
      <c r="M10442" t="n">
        <v>0</v>
      </c>
      <c r="N10442" t="n">
        <v>0</v>
      </c>
      <c r="O10442" t="n">
        <v>0</v>
      </c>
      <c r="P10442" t="n">
        <v>0</v>
      </c>
      <c r="Q10442" t="n">
        <v>0</v>
      </c>
      <c r="R10442" t="n">
        <v>0</v>
      </c>
      <c r="S10442" t="n">
        <v>0</v>
      </c>
      <c r="T10442" t="n">
        <v>0</v>
      </c>
      <c r="U10442" t="n">
        <v>0</v>
      </c>
      <c r="V10442" s="2" t="inlineStr"/>
    </row>
    <row r="10443" ht="15" customHeight="1">
      <c r="A10443" t="inlineStr">
        <is>
          <t>A 33857-2026</t>
        </is>
      </c>
      <c r="B10443" t="inlineStr">
        <is>
          <t>avverkningsanmälan</t>
        </is>
      </c>
      <c r="C10443" t="inlineStr">
        <is>
          <t>Föryngringsavverkning</t>
        </is>
      </c>
      <c r="D10443" s="1" t="n">
        <v>46251</v>
      </c>
      <c r="E10443" s="1" t="n">
        <v>46307</v>
      </c>
      <c r="F10443" t="inlineStr">
        <is>
          <t>VÄRMLANDS LÄN</t>
        </is>
      </c>
      <c r="G10443" t="inlineStr">
        <is>
          <t>FILIPSTAD</t>
        </is>
      </c>
      <c r="H10443" t="inlineStr">
        <is>
          <t>Bergvik skog väst AB</t>
        </is>
      </c>
      <c r="I10443" t="n">
        <v>2</v>
      </c>
      <c r="J10443" t="n">
        <v>0</v>
      </c>
      <c r="K10443" t="n">
        <v>0</v>
      </c>
      <c r="L10443" t="n">
        <v>0</v>
      </c>
      <c r="M10443" t="n">
        <v>0</v>
      </c>
      <c r="N10443" t="n">
        <v>0</v>
      </c>
      <c r="O10443" t="n">
        <v>0</v>
      </c>
      <c r="P10443" t="n">
        <v>0</v>
      </c>
      <c r="Q10443" t="n">
        <v>0</v>
      </c>
      <c r="R10443" t="n">
        <v>0</v>
      </c>
      <c r="S10443" t="n">
        <v>0</v>
      </c>
      <c r="T10443" t="n">
        <v>0</v>
      </c>
      <c r="U10443" t="n">
        <v>0</v>
      </c>
      <c r="V10443" s="2" t="inlineStr"/>
    </row>
    <row r="10444" ht="15" customHeight="1">
      <c r="A10444" t="inlineStr">
        <is>
          <t>A 33898-2026</t>
        </is>
      </c>
      <c r="B10444" t="inlineStr">
        <is>
          <t>avverkningsanmälan</t>
        </is>
      </c>
      <c r="C10444" t="inlineStr">
        <is>
          <t>Föryngringsavverkning</t>
        </is>
      </c>
      <c r="D10444" s="1" t="n">
        <v>46251</v>
      </c>
      <c r="E10444" s="1" t="n">
        <v>46307</v>
      </c>
      <c r="F10444" t="inlineStr">
        <is>
          <t>VÄRMLANDS LÄN</t>
        </is>
      </c>
      <c r="G10444" t="inlineStr">
        <is>
          <t>SÄFFLE</t>
        </is>
      </c>
      <c r="I10444" t="n">
        <v>3.3</v>
      </c>
      <c r="J10444" t="n">
        <v>0</v>
      </c>
      <c r="K10444" t="n">
        <v>0</v>
      </c>
      <c r="L10444" t="n">
        <v>0</v>
      </c>
      <c r="M10444" t="n">
        <v>0</v>
      </c>
      <c r="N10444" t="n">
        <v>0</v>
      </c>
      <c r="O10444" t="n">
        <v>0</v>
      </c>
      <c r="P10444" t="n">
        <v>0</v>
      </c>
      <c r="Q10444" t="n">
        <v>0</v>
      </c>
      <c r="R10444" t="n">
        <v>0</v>
      </c>
      <c r="S10444" t="n">
        <v>0</v>
      </c>
      <c r="T10444" t="n">
        <v>0</v>
      </c>
      <c r="U10444" t="n">
        <v>0</v>
      </c>
      <c r="V10444" s="2" t="inlineStr"/>
    </row>
    <row r="10445" ht="15" customHeight="1">
      <c r="A10445" t="inlineStr">
        <is>
          <t>A 33745-2026</t>
        </is>
      </c>
      <c r="B10445" t="inlineStr">
        <is>
          <t>avverkningsanmälan</t>
        </is>
      </c>
      <c r="C10445" t="inlineStr">
        <is>
          <t>Föryngringsavverkning</t>
        </is>
      </c>
      <c r="D10445" s="1" t="n">
        <v>46251</v>
      </c>
      <c r="E10445" s="1" t="n">
        <v>46307</v>
      </c>
      <c r="F10445" t="inlineStr">
        <is>
          <t>VÄRMLANDS LÄN</t>
        </is>
      </c>
      <c r="G10445" t="inlineStr">
        <is>
          <t>ARVIKA</t>
        </is>
      </c>
      <c r="I10445" t="n">
        <v>3.1</v>
      </c>
      <c r="J10445" t="n">
        <v>0</v>
      </c>
      <c r="K10445" t="n">
        <v>0</v>
      </c>
      <c r="L10445" t="n">
        <v>0</v>
      </c>
      <c r="M10445" t="n">
        <v>0</v>
      </c>
      <c r="N10445" t="n">
        <v>0</v>
      </c>
      <c r="O10445" t="n">
        <v>0</v>
      </c>
      <c r="P10445" t="n">
        <v>0</v>
      </c>
      <c r="Q10445" t="n">
        <v>0</v>
      </c>
      <c r="R10445" t="n">
        <v>0</v>
      </c>
      <c r="S10445" t="n">
        <v>0</v>
      </c>
      <c r="T10445" t="n">
        <v>0</v>
      </c>
      <c r="U10445" t="n">
        <v>0</v>
      </c>
      <c r="V10445" s="2" t="inlineStr"/>
    </row>
    <row r="10446" ht="15" customHeight="1">
      <c r="A10446" t="inlineStr">
        <is>
          <t>A 34252-2026</t>
        </is>
      </c>
      <c r="B10446" t="inlineStr">
        <is>
          <t>avverkningsanmälan</t>
        </is>
      </c>
      <c r="C10446" t="inlineStr">
        <is>
          <t>Föryngringsavverkning</t>
        </is>
      </c>
      <c r="D10446" s="1" t="n">
        <v>46253</v>
      </c>
      <c r="E10446" s="1" t="n">
        <v>46307</v>
      </c>
      <c r="F10446" t="inlineStr">
        <is>
          <t>VÄRMLANDS LÄN</t>
        </is>
      </c>
      <c r="G10446" t="inlineStr">
        <is>
          <t>ARVIKA</t>
        </is>
      </c>
      <c r="I10446" t="n">
        <v>4.2</v>
      </c>
      <c r="J10446" t="n">
        <v>0</v>
      </c>
      <c r="K10446" t="n">
        <v>0</v>
      </c>
      <c r="L10446" t="n">
        <v>0</v>
      </c>
      <c r="M10446" t="n">
        <v>0</v>
      </c>
      <c r="N10446" t="n">
        <v>0</v>
      </c>
      <c r="O10446" t="n">
        <v>0</v>
      </c>
      <c r="P10446" t="n">
        <v>0</v>
      </c>
      <c r="Q10446" t="n">
        <v>0</v>
      </c>
      <c r="R10446" t="n">
        <v>0</v>
      </c>
      <c r="S10446" t="n">
        <v>0</v>
      </c>
      <c r="T10446" t="n">
        <v>0</v>
      </c>
      <c r="U10446" t="n">
        <v>0</v>
      </c>
      <c r="V10446" s="2" t="inlineStr"/>
    </row>
    <row r="10447" ht="15" customHeight="1">
      <c r="A10447" t="inlineStr">
        <is>
          <t>A 40809-2026</t>
        </is>
      </c>
      <c r="B10447" t="inlineStr">
        <is>
          <t>avverkningsanmälan</t>
        </is>
      </c>
      <c r="C10447" t="inlineStr">
        <is>
          <t>Föryngringsavverkning</t>
        </is>
      </c>
      <c r="D10447" s="1" t="n">
        <v>46296</v>
      </c>
      <c r="E10447" s="1" t="n">
        <v>46307</v>
      </c>
      <c r="F10447" t="inlineStr">
        <is>
          <t>VÄRMLANDS LÄN</t>
        </is>
      </c>
      <c r="G10447" t="inlineStr">
        <is>
          <t>KARLSTAD</t>
        </is>
      </c>
      <c r="I10447" t="n">
        <v>5.1</v>
      </c>
      <c r="J10447" t="n">
        <v>0</v>
      </c>
      <c r="K10447" t="n">
        <v>0</v>
      </c>
      <c r="L10447" t="n">
        <v>0</v>
      </c>
      <c r="M10447" t="n">
        <v>0</v>
      </c>
      <c r="N10447" t="n">
        <v>0</v>
      </c>
      <c r="O10447" t="n">
        <v>0</v>
      </c>
      <c r="P10447" t="n">
        <v>0</v>
      </c>
      <c r="Q10447" t="n">
        <v>0</v>
      </c>
      <c r="R10447" t="n">
        <v>0</v>
      </c>
      <c r="S10447" t="n">
        <v>0</v>
      </c>
      <c r="T10447" t="n">
        <v>0</v>
      </c>
      <c r="U10447" t="n">
        <v>0</v>
      </c>
      <c r="V10447" s="2" t="inlineStr"/>
    </row>
    <row r="10448" ht="15" customHeight="1">
      <c r="A10448" t="inlineStr">
        <is>
          <t>A 40648-2026</t>
        </is>
      </c>
      <c r="B10448" t="inlineStr">
        <is>
          <t>avverkningsanmälan</t>
        </is>
      </c>
      <c r="C10448" t="inlineStr">
        <is>
          <t>Föryngringsavverkning</t>
        </is>
      </c>
      <c r="D10448" s="1" t="n">
        <v>46296</v>
      </c>
      <c r="E10448" s="1" t="n">
        <v>46307</v>
      </c>
      <c r="F10448" t="inlineStr">
        <is>
          <t>VÄRMLANDS LÄN</t>
        </is>
      </c>
      <c r="G10448" t="inlineStr">
        <is>
          <t>ARVIKA</t>
        </is>
      </c>
      <c r="I10448" t="n">
        <v>3.4</v>
      </c>
      <c r="J10448" t="n">
        <v>0</v>
      </c>
      <c r="K10448" t="n">
        <v>0</v>
      </c>
      <c r="L10448" t="n">
        <v>0</v>
      </c>
      <c r="M10448" t="n">
        <v>0</v>
      </c>
      <c r="N10448" t="n">
        <v>0</v>
      </c>
      <c r="O10448" t="n">
        <v>0</v>
      </c>
      <c r="P10448" t="n">
        <v>0</v>
      </c>
      <c r="Q10448" t="n">
        <v>0</v>
      </c>
      <c r="R10448" t="n">
        <v>0</v>
      </c>
      <c r="S10448" t="n">
        <v>0</v>
      </c>
      <c r="T10448" t="n">
        <v>0</v>
      </c>
      <c r="U10448" t="n">
        <v>0</v>
      </c>
      <c r="V10448" s="2" t="inlineStr"/>
    </row>
    <row r="10449" ht="15" customHeight="1">
      <c r="A10449" t="inlineStr">
        <is>
          <t>A 40460-2026</t>
        </is>
      </c>
      <c r="B10449" t="inlineStr">
        <is>
          <t>avverkningsanmälan</t>
        </is>
      </c>
      <c r="C10449" t="inlineStr">
        <is>
          <t>Föryngringsavverkning</t>
        </is>
      </c>
      <c r="D10449" s="1" t="n">
        <v>46295</v>
      </c>
      <c r="E10449" s="1" t="n">
        <v>46307</v>
      </c>
      <c r="F10449" t="inlineStr">
        <is>
          <t>VÄRMLANDS LÄN</t>
        </is>
      </c>
      <c r="G10449" t="inlineStr">
        <is>
          <t>SÄFFLE</t>
        </is>
      </c>
      <c r="I10449" t="n">
        <v>0.8</v>
      </c>
      <c r="J10449" t="n">
        <v>0</v>
      </c>
      <c r="K10449" t="n">
        <v>0</v>
      </c>
      <c r="L10449" t="n">
        <v>0</v>
      </c>
      <c r="M10449" t="n">
        <v>0</v>
      </c>
      <c r="N10449" t="n">
        <v>0</v>
      </c>
      <c r="O10449" t="n">
        <v>0</v>
      </c>
      <c r="P10449" t="n">
        <v>0</v>
      </c>
      <c r="Q10449" t="n">
        <v>0</v>
      </c>
      <c r="R10449" t="n">
        <v>0</v>
      </c>
      <c r="S10449" t="n">
        <v>0</v>
      </c>
      <c r="T10449" t="n">
        <v>0</v>
      </c>
      <c r="U10449" t="n">
        <v>0</v>
      </c>
      <c r="V10449" s="2" t="inlineStr"/>
    </row>
    <row r="10450" ht="15" customHeight="1">
      <c r="A10450" t="inlineStr">
        <is>
          <t>A 40538-2026</t>
        </is>
      </c>
      <c r="B10450" t="inlineStr">
        <is>
          <t>avverkningsanmälan</t>
        </is>
      </c>
      <c r="C10450" t="inlineStr">
        <is>
          <t>Föryngringsavverkning</t>
        </is>
      </c>
      <c r="D10450" s="1" t="n">
        <v>46295</v>
      </c>
      <c r="E10450" s="1" t="n">
        <v>46307</v>
      </c>
      <c r="F10450" t="inlineStr">
        <is>
          <t>VÄRMLANDS LÄN</t>
        </is>
      </c>
      <c r="G10450" t="inlineStr">
        <is>
          <t>HAGFORS</t>
        </is>
      </c>
      <c r="H10450" t="inlineStr">
        <is>
          <t>Kommuner</t>
        </is>
      </c>
      <c r="I10450" t="n">
        <v>0.6</v>
      </c>
      <c r="J10450" t="n">
        <v>0</v>
      </c>
      <c r="K10450" t="n">
        <v>0</v>
      </c>
      <c r="L10450" t="n">
        <v>0</v>
      </c>
      <c r="M10450" t="n">
        <v>0</v>
      </c>
      <c r="N10450" t="n">
        <v>0</v>
      </c>
      <c r="O10450" t="n">
        <v>0</v>
      </c>
      <c r="P10450" t="n">
        <v>0</v>
      </c>
      <c r="Q10450" t="n">
        <v>0</v>
      </c>
      <c r="R10450" t="n">
        <v>0</v>
      </c>
      <c r="S10450" t="n">
        <v>0</v>
      </c>
      <c r="T10450" t="n">
        <v>0</v>
      </c>
      <c r="U10450" t="n">
        <v>0</v>
      </c>
      <c r="V10450" s="2" t="inlineStr"/>
    </row>
    <row r="10451" ht="15" customHeight="1">
      <c r="A10451" t="inlineStr">
        <is>
          <t>A 34134-2026</t>
        </is>
      </c>
      <c r="B10451" t="inlineStr">
        <is>
          <t>avverkningsanmälan</t>
        </is>
      </c>
      <c r="C10451" t="inlineStr">
        <is>
          <t>Föryngringsavverkning</t>
        </is>
      </c>
      <c r="D10451" s="1" t="n">
        <v>46253</v>
      </c>
      <c r="E10451" s="1" t="n">
        <v>46307</v>
      </c>
      <c r="F10451" t="inlineStr">
        <is>
          <t>VÄRMLANDS LÄN</t>
        </is>
      </c>
      <c r="G10451" t="inlineStr">
        <is>
          <t>SUNNE</t>
        </is>
      </c>
      <c r="I10451" t="n">
        <v>1</v>
      </c>
      <c r="J10451" t="n">
        <v>0</v>
      </c>
      <c r="K10451" t="n">
        <v>0</v>
      </c>
      <c r="L10451" t="n">
        <v>0</v>
      </c>
      <c r="M10451" t="n">
        <v>0</v>
      </c>
      <c r="N10451" t="n">
        <v>0</v>
      </c>
      <c r="O10451" t="n">
        <v>0</v>
      </c>
      <c r="P10451" t="n">
        <v>0</v>
      </c>
      <c r="Q10451" t="n">
        <v>0</v>
      </c>
      <c r="R10451" t="n">
        <v>0</v>
      </c>
      <c r="S10451" t="n">
        <v>0</v>
      </c>
      <c r="T10451" t="n">
        <v>0</v>
      </c>
      <c r="U10451" t="n">
        <v>0</v>
      </c>
      <c r="V10451" s="2" t="inlineStr"/>
    </row>
    <row r="10452" ht="15" customHeight="1">
      <c r="A10452" t="inlineStr">
        <is>
          <t>A 34117-2026</t>
        </is>
      </c>
      <c r="B10452" t="inlineStr">
        <is>
          <t>avverkningsanmälan</t>
        </is>
      </c>
      <c r="C10452" t="inlineStr">
        <is>
          <t>Föryngringsavverkning</t>
        </is>
      </c>
      <c r="D10452" s="1" t="n">
        <v>46253</v>
      </c>
      <c r="E10452" s="1" t="n">
        <v>46307</v>
      </c>
      <c r="F10452" t="inlineStr">
        <is>
          <t>VÄRMLANDS LÄN</t>
        </is>
      </c>
      <c r="G10452" t="inlineStr">
        <is>
          <t>EDA</t>
        </is>
      </c>
      <c r="I10452" t="n">
        <v>0.9</v>
      </c>
      <c r="J10452" t="n">
        <v>0</v>
      </c>
      <c r="K10452" t="n">
        <v>0</v>
      </c>
      <c r="L10452" t="n">
        <v>0</v>
      </c>
      <c r="M10452" t="n">
        <v>0</v>
      </c>
      <c r="N10452" t="n">
        <v>0</v>
      </c>
      <c r="O10452" t="n">
        <v>0</v>
      </c>
      <c r="P10452" t="n">
        <v>0</v>
      </c>
      <c r="Q10452" t="n">
        <v>0</v>
      </c>
      <c r="R10452" t="n">
        <v>0</v>
      </c>
      <c r="S10452" t="n">
        <v>0</v>
      </c>
      <c r="T10452" t="n">
        <v>0</v>
      </c>
      <c r="U10452" t="n">
        <v>0</v>
      </c>
      <c r="V10452" s="2" t="inlineStr"/>
    </row>
    <row r="10453" ht="15" customHeight="1">
      <c r="A10453" t="inlineStr">
        <is>
          <t>A 34053-2026</t>
        </is>
      </c>
      <c r="B10453" t="inlineStr">
        <is>
          <t>avverkningsanmälan</t>
        </is>
      </c>
      <c r="C10453" t="inlineStr">
        <is>
          <t>Föryngringsavverkning</t>
        </is>
      </c>
      <c r="D10453" s="1" t="n">
        <v>46252</v>
      </c>
      <c r="E10453" s="1" t="n">
        <v>46307</v>
      </c>
      <c r="F10453" t="inlineStr">
        <is>
          <t>VÄRMLANDS LÄN</t>
        </is>
      </c>
      <c r="G10453" t="inlineStr">
        <is>
          <t>FILIPSTAD</t>
        </is>
      </c>
      <c r="H10453" t="inlineStr">
        <is>
          <t>Bergvik skog väst AB</t>
        </is>
      </c>
      <c r="I10453" t="n">
        <v>20.2</v>
      </c>
      <c r="J10453" t="n">
        <v>0</v>
      </c>
      <c r="K10453" t="n">
        <v>0</v>
      </c>
      <c r="L10453" t="n">
        <v>0</v>
      </c>
      <c r="M10453" t="n">
        <v>0</v>
      </c>
      <c r="N10453" t="n">
        <v>0</v>
      </c>
      <c r="O10453" t="n">
        <v>0</v>
      </c>
      <c r="P10453" t="n">
        <v>0</v>
      </c>
      <c r="Q10453" t="n">
        <v>0</v>
      </c>
      <c r="R10453" t="n">
        <v>0</v>
      </c>
      <c r="S10453" t="n">
        <v>0</v>
      </c>
      <c r="T10453" t="n">
        <v>0</v>
      </c>
      <c r="U10453" t="n">
        <v>0</v>
      </c>
      <c r="V10453" s="2" t="inlineStr"/>
    </row>
    <row r="10454" ht="15" customHeight="1">
      <c r="A10454" t="inlineStr">
        <is>
          <t>A 34322-2026</t>
        </is>
      </c>
      <c r="B10454" t="inlineStr">
        <is>
          <t>avverkningsanmälan</t>
        </is>
      </c>
      <c r="C10454" t="inlineStr">
        <is>
          <t>Föryngringsavverkning</t>
        </is>
      </c>
      <c r="D10454" s="1" t="n">
        <v>46254</v>
      </c>
      <c r="E10454" s="1" t="n">
        <v>46307</v>
      </c>
      <c r="F10454" t="inlineStr">
        <is>
          <t>VÄRMLANDS LÄN</t>
        </is>
      </c>
      <c r="G10454" t="inlineStr">
        <is>
          <t>SUNNE</t>
        </is>
      </c>
      <c r="I10454" t="n">
        <v>2.5</v>
      </c>
      <c r="J10454" t="n">
        <v>0</v>
      </c>
      <c r="K10454" t="n">
        <v>0</v>
      </c>
      <c r="L10454" t="n">
        <v>0</v>
      </c>
      <c r="M10454" t="n">
        <v>0</v>
      </c>
      <c r="N10454" t="n">
        <v>0</v>
      </c>
      <c r="O10454" t="n">
        <v>0</v>
      </c>
      <c r="P10454" t="n">
        <v>0</v>
      </c>
      <c r="Q10454" t="n">
        <v>0</v>
      </c>
      <c r="R10454" t="n">
        <v>0</v>
      </c>
      <c r="S10454" t="n">
        <v>0</v>
      </c>
      <c r="T10454" t="n">
        <v>0</v>
      </c>
      <c r="U10454" t="n">
        <v>0</v>
      </c>
      <c r="V10454" s="2" t="inlineStr"/>
    </row>
    <row r="10455" ht="15" customHeight="1">
      <c r="A10455" t="inlineStr">
        <is>
          <t>A 30984-2026</t>
        </is>
      </c>
      <c r="B10455" t="inlineStr">
        <is>
          <t>avverkningsanmälan</t>
        </is>
      </c>
      <c r="C10455" t="inlineStr">
        <is>
          <t>Föryngringsavverkning</t>
        </is>
      </c>
      <c r="D10455" s="1" t="n">
        <v>46213</v>
      </c>
      <c r="E10455" s="1" t="n">
        <v>46307</v>
      </c>
      <c r="F10455" t="inlineStr">
        <is>
          <t>VÄRMLANDS LÄN</t>
        </is>
      </c>
      <c r="G10455" t="inlineStr">
        <is>
          <t>FILIPSTAD</t>
        </is>
      </c>
      <c r="I10455" t="n">
        <v>4.5</v>
      </c>
      <c r="J10455" t="n">
        <v>0</v>
      </c>
      <c r="K10455" t="n">
        <v>0</v>
      </c>
      <c r="L10455" t="n">
        <v>0</v>
      </c>
      <c r="M10455" t="n">
        <v>0</v>
      </c>
      <c r="N10455" t="n">
        <v>0</v>
      </c>
      <c r="O10455" t="n">
        <v>0</v>
      </c>
      <c r="P10455" t="n">
        <v>0</v>
      </c>
      <c r="Q10455" t="n">
        <v>0</v>
      </c>
      <c r="R10455" t="n">
        <v>0</v>
      </c>
      <c r="S10455" t="n">
        <v>0</v>
      </c>
      <c r="T10455" t="n">
        <v>0</v>
      </c>
      <c r="U10455" t="n">
        <v>0</v>
      </c>
      <c r="V10455" s="2" t="inlineStr"/>
    </row>
    <row r="10456" ht="15" customHeight="1">
      <c r="A10456" t="inlineStr">
        <is>
          <t>A 30986-2026</t>
        </is>
      </c>
      <c r="B10456" t="inlineStr">
        <is>
          <t>avverkningsanmälan</t>
        </is>
      </c>
      <c r="C10456" t="inlineStr">
        <is>
          <t>Föryngringsavverkning</t>
        </is>
      </c>
      <c r="D10456" s="1" t="n">
        <v>46213</v>
      </c>
      <c r="E10456" s="1" t="n">
        <v>46307</v>
      </c>
      <c r="F10456" t="inlineStr">
        <is>
          <t>VÄRMLANDS LÄN</t>
        </is>
      </c>
      <c r="G10456" t="inlineStr">
        <is>
          <t>KRISTINEHAMN</t>
        </is>
      </c>
      <c r="I10456" t="n">
        <v>5.5</v>
      </c>
      <c r="J10456" t="n">
        <v>0</v>
      </c>
      <c r="K10456" t="n">
        <v>0</v>
      </c>
      <c r="L10456" t="n">
        <v>0</v>
      </c>
      <c r="M10456" t="n">
        <v>0</v>
      </c>
      <c r="N10456" t="n">
        <v>0</v>
      </c>
      <c r="O10456" t="n">
        <v>0</v>
      </c>
      <c r="P10456" t="n">
        <v>0</v>
      </c>
      <c r="Q10456" t="n">
        <v>0</v>
      </c>
      <c r="R10456" t="n">
        <v>0</v>
      </c>
      <c r="S10456" t="n">
        <v>0</v>
      </c>
      <c r="T10456" t="n">
        <v>0</v>
      </c>
      <c r="U10456" t="n">
        <v>0</v>
      </c>
      <c r="V10456" s="2" t="inlineStr"/>
    </row>
    <row r="10457" ht="15" customHeight="1">
      <c r="A10457" t="inlineStr">
        <is>
          <t>A 34627-2026</t>
        </is>
      </c>
      <c r="B10457" t="inlineStr">
        <is>
          <t>avverkningsanmälan</t>
        </is>
      </c>
      <c r="C10457" t="inlineStr">
        <is>
          <t>Föryngringsavverkning</t>
        </is>
      </c>
      <c r="D10457" s="1" t="n">
        <v>46255</v>
      </c>
      <c r="E10457" s="1" t="n">
        <v>46307</v>
      </c>
      <c r="F10457" t="inlineStr">
        <is>
          <t>VÄRMLANDS LÄN</t>
        </is>
      </c>
      <c r="G10457" t="inlineStr">
        <is>
          <t>STORFORS</t>
        </is>
      </c>
      <c r="H10457" t="inlineStr">
        <is>
          <t>Bergvik skog väst AB</t>
        </is>
      </c>
      <c r="I10457" t="n">
        <v>24.1</v>
      </c>
      <c r="J10457" t="n">
        <v>0</v>
      </c>
      <c r="K10457" t="n">
        <v>0</v>
      </c>
      <c r="L10457" t="n">
        <v>0</v>
      </c>
      <c r="M10457" t="n">
        <v>0</v>
      </c>
      <c r="N10457" t="n">
        <v>0</v>
      </c>
      <c r="O10457" t="n">
        <v>0</v>
      </c>
      <c r="P10457" t="n">
        <v>0</v>
      </c>
      <c r="Q10457" t="n">
        <v>0</v>
      </c>
      <c r="R10457" t="n">
        <v>0</v>
      </c>
      <c r="S10457" t="n">
        <v>0</v>
      </c>
      <c r="T10457" t="n">
        <v>0</v>
      </c>
      <c r="U10457" t="n">
        <v>0</v>
      </c>
      <c r="V10457" s="2" t="inlineStr"/>
    </row>
    <row r="10458" ht="15" customHeight="1">
      <c r="A10458" t="inlineStr">
        <is>
          <t>A 34628-2026</t>
        </is>
      </c>
      <c r="B10458" t="inlineStr">
        <is>
          <t>avverkningsanmälan</t>
        </is>
      </c>
      <c r="C10458" t="inlineStr">
        <is>
          <t>Föryngringsavverkning</t>
        </is>
      </c>
      <c r="D10458" s="1" t="n">
        <v>46255</v>
      </c>
      <c r="E10458" s="1" t="n">
        <v>46307</v>
      </c>
      <c r="F10458" t="inlineStr">
        <is>
          <t>VÄRMLANDS LÄN</t>
        </is>
      </c>
      <c r="G10458" t="inlineStr">
        <is>
          <t>SÄFFLE</t>
        </is>
      </c>
      <c r="H10458" t="inlineStr">
        <is>
          <t>Kyrkan</t>
        </is>
      </c>
      <c r="I10458" t="n">
        <v>8.300000000000001</v>
      </c>
      <c r="J10458" t="n">
        <v>0</v>
      </c>
      <c r="K10458" t="n">
        <v>0</v>
      </c>
      <c r="L10458" t="n">
        <v>0</v>
      </c>
      <c r="M10458" t="n">
        <v>0</v>
      </c>
      <c r="N10458" t="n">
        <v>0</v>
      </c>
      <c r="O10458" t="n">
        <v>0</v>
      </c>
      <c r="P10458" t="n">
        <v>0</v>
      </c>
      <c r="Q10458" t="n">
        <v>0</v>
      </c>
      <c r="R10458" t="n">
        <v>0</v>
      </c>
      <c r="S10458" t="n">
        <v>0</v>
      </c>
      <c r="T10458" t="n">
        <v>0</v>
      </c>
      <c r="U10458" t="n">
        <v>0</v>
      </c>
      <c r="V10458" s="2" t="inlineStr"/>
    </row>
    <row r="10459" ht="15" customHeight="1">
      <c r="A10459" t="inlineStr">
        <is>
          <t>A 41147-2026</t>
        </is>
      </c>
      <c r="B10459" t="inlineStr">
        <is>
          <t>avverkningsanmälan</t>
        </is>
      </c>
      <c r="C10459" t="inlineStr">
        <is>
          <t>Föryngringsavverkning</t>
        </is>
      </c>
      <c r="D10459" s="1" t="n">
        <v>46300</v>
      </c>
      <c r="E10459" s="1" t="n">
        <v>46307</v>
      </c>
      <c r="F10459" t="inlineStr">
        <is>
          <t>VÄRMLANDS LÄN</t>
        </is>
      </c>
      <c r="G10459" t="inlineStr">
        <is>
          <t>ÅRJÄNG</t>
        </is>
      </c>
      <c r="I10459" t="n">
        <v>1</v>
      </c>
      <c r="J10459" t="n">
        <v>0</v>
      </c>
      <c r="K10459" t="n">
        <v>0</v>
      </c>
      <c r="L10459" t="n">
        <v>0</v>
      </c>
      <c r="M10459" t="n">
        <v>0</v>
      </c>
      <c r="N10459" t="n">
        <v>0</v>
      </c>
      <c r="O10459" t="n">
        <v>0</v>
      </c>
      <c r="P10459" t="n">
        <v>0</v>
      </c>
      <c r="Q10459" t="n">
        <v>0</v>
      </c>
      <c r="R10459" t="n">
        <v>0</v>
      </c>
      <c r="S10459" t="n">
        <v>0</v>
      </c>
      <c r="T10459" t="n">
        <v>0</v>
      </c>
      <c r="U10459" t="n">
        <v>0</v>
      </c>
      <c r="V10459" s="2" t="inlineStr"/>
    </row>
    <row r="10460" ht="15" customHeight="1">
      <c r="A10460" t="inlineStr">
        <is>
          <t>A 41204-2026</t>
        </is>
      </c>
      <c r="B10460" t="inlineStr">
        <is>
          <t>avverkningsanmälan</t>
        </is>
      </c>
      <c r="C10460" t="inlineStr">
        <is>
          <t>Föryngringsavverkning</t>
        </is>
      </c>
      <c r="D10460" s="1" t="n">
        <v>46300</v>
      </c>
      <c r="E10460" s="1" t="n">
        <v>46307</v>
      </c>
      <c r="F10460" t="inlineStr">
        <is>
          <t>VÄRMLANDS LÄN</t>
        </is>
      </c>
      <c r="G10460" t="inlineStr">
        <is>
          <t>TORSBY</t>
        </is>
      </c>
      <c r="I10460" t="n">
        <v>3.6</v>
      </c>
      <c r="J10460" t="n">
        <v>0</v>
      </c>
      <c r="K10460" t="n">
        <v>0</v>
      </c>
      <c r="L10460" t="n">
        <v>0</v>
      </c>
      <c r="M10460" t="n">
        <v>0</v>
      </c>
      <c r="N10460" t="n">
        <v>0</v>
      </c>
      <c r="O10460" t="n">
        <v>0</v>
      </c>
      <c r="P10460" t="n">
        <v>0</v>
      </c>
      <c r="Q10460" t="n">
        <v>0</v>
      </c>
      <c r="R10460" t="n">
        <v>0</v>
      </c>
      <c r="S10460" t="n">
        <v>0</v>
      </c>
      <c r="T10460" t="n">
        <v>0</v>
      </c>
      <c r="U10460" t="n">
        <v>0</v>
      </c>
      <c r="V10460" s="2" t="inlineStr"/>
    </row>
    <row r="10461" ht="15" customHeight="1">
      <c r="A10461" t="inlineStr">
        <is>
          <t>A 34263-2026</t>
        </is>
      </c>
      <c r="B10461" t="inlineStr">
        <is>
          <t>avverkningsanmälan</t>
        </is>
      </c>
      <c r="C10461" t="inlineStr">
        <is>
          <t>Föryngringsavverkning</t>
        </is>
      </c>
      <c r="D10461" s="1" t="n">
        <v>46253</v>
      </c>
      <c r="E10461" s="1" t="n">
        <v>46307</v>
      </c>
      <c r="F10461" t="inlineStr">
        <is>
          <t>VÄRMLANDS LÄN</t>
        </is>
      </c>
      <c r="G10461" t="inlineStr">
        <is>
          <t>ÅRJÄNG</t>
        </is>
      </c>
      <c r="I10461" t="n">
        <v>2</v>
      </c>
      <c r="J10461" t="n">
        <v>0</v>
      </c>
      <c r="K10461" t="n">
        <v>0</v>
      </c>
      <c r="L10461" t="n">
        <v>0</v>
      </c>
      <c r="M10461" t="n">
        <v>0</v>
      </c>
      <c r="N10461" t="n">
        <v>0</v>
      </c>
      <c r="O10461" t="n">
        <v>0</v>
      </c>
      <c r="P10461" t="n">
        <v>0</v>
      </c>
      <c r="Q10461" t="n">
        <v>0</v>
      </c>
      <c r="R10461" t="n">
        <v>0</v>
      </c>
      <c r="S10461" t="n">
        <v>0</v>
      </c>
      <c r="T10461" t="n">
        <v>0</v>
      </c>
      <c r="U10461" t="n">
        <v>0</v>
      </c>
      <c r="V10461" s="2" t="inlineStr"/>
    </row>
    <row r="10462" ht="15" customHeight="1">
      <c r="A10462" t="inlineStr">
        <is>
          <t>A 39470-2026</t>
        </is>
      </c>
      <c r="B10462" t="inlineStr">
        <is>
          <t>avverkningsanmälan</t>
        </is>
      </c>
      <c r="C10462" t="inlineStr">
        <is>
          <t>Föryngringsavverkning</t>
        </is>
      </c>
      <c r="D10462" s="1" t="n">
        <v>46288</v>
      </c>
      <c r="E10462" s="1" t="n">
        <v>46307</v>
      </c>
      <c r="F10462" t="inlineStr">
        <is>
          <t>VÄRMLANDS LÄN</t>
        </is>
      </c>
      <c r="G10462" t="inlineStr">
        <is>
          <t>ARVIKA</t>
        </is>
      </c>
      <c r="I10462" t="n">
        <v>1.4</v>
      </c>
      <c r="J10462" t="n">
        <v>0</v>
      </c>
      <c r="K10462" t="n">
        <v>0</v>
      </c>
      <c r="L10462" t="n">
        <v>0</v>
      </c>
      <c r="M10462" t="n">
        <v>0</v>
      </c>
      <c r="N10462" t="n">
        <v>0</v>
      </c>
      <c r="O10462" t="n">
        <v>0</v>
      </c>
      <c r="P10462" t="n">
        <v>0</v>
      </c>
      <c r="Q10462" t="n">
        <v>0</v>
      </c>
      <c r="R10462" t="n">
        <v>0</v>
      </c>
      <c r="S10462" t="n">
        <v>0</v>
      </c>
      <c r="T10462" t="n">
        <v>0</v>
      </c>
      <c r="U10462" t="n">
        <v>0</v>
      </c>
      <c r="V10462" s="2" t="inlineStr"/>
    </row>
    <row r="10463" ht="15" customHeight="1">
      <c r="A10463" t="inlineStr">
        <is>
          <t>A 41128-2026</t>
        </is>
      </c>
      <c r="B10463" t="inlineStr">
        <is>
          <t>avverkningsanmälan</t>
        </is>
      </c>
      <c r="C10463" t="inlineStr">
        <is>
          <t>Föryngringsavverkning</t>
        </is>
      </c>
      <c r="D10463" s="1" t="n">
        <v>46300</v>
      </c>
      <c r="E10463" s="1" t="n">
        <v>46307</v>
      </c>
      <c r="F10463" t="inlineStr">
        <is>
          <t>VÄRMLANDS LÄN</t>
        </is>
      </c>
      <c r="G10463" t="inlineStr">
        <is>
          <t>KIL</t>
        </is>
      </c>
      <c r="I10463" t="n">
        <v>1.2</v>
      </c>
      <c r="J10463" t="n">
        <v>0</v>
      </c>
      <c r="K10463" t="n">
        <v>0</v>
      </c>
      <c r="L10463" t="n">
        <v>0</v>
      </c>
      <c r="M10463" t="n">
        <v>0</v>
      </c>
      <c r="N10463" t="n">
        <v>0</v>
      </c>
      <c r="O10463" t="n">
        <v>0</v>
      </c>
      <c r="P10463" t="n">
        <v>0</v>
      </c>
      <c r="Q10463" t="n">
        <v>0</v>
      </c>
      <c r="R10463" t="n">
        <v>0</v>
      </c>
      <c r="S10463" t="n">
        <v>0</v>
      </c>
      <c r="T10463" t="n">
        <v>0</v>
      </c>
      <c r="U10463" t="n">
        <v>0</v>
      </c>
      <c r="V10463" s="2" t="inlineStr"/>
    </row>
    <row r="10464" ht="15" customHeight="1">
      <c r="A10464" t="inlineStr">
        <is>
          <t>A 34329-2026</t>
        </is>
      </c>
      <c r="B10464" t="inlineStr">
        <is>
          <t>avverkningsanmälan</t>
        </is>
      </c>
      <c r="C10464" t="inlineStr">
        <is>
          <t>Föryngringsavverkning</t>
        </is>
      </c>
      <c r="D10464" s="1" t="n">
        <v>46254</v>
      </c>
      <c r="E10464" s="1" t="n">
        <v>46307</v>
      </c>
      <c r="F10464" t="inlineStr">
        <is>
          <t>VÄRMLANDS LÄN</t>
        </is>
      </c>
      <c r="G10464" t="inlineStr">
        <is>
          <t>KARLSTAD</t>
        </is>
      </c>
      <c r="I10464" t="n">
        <v>3.2</v>
      </c>
      <c r="J10464" t="n">
        <v>0</v>
      </c>
      <c r="K10464" t="n">
        <v>0</v>
      </c>
      <c r="L10464" t="n">
        <v>0</v>
      </c>
      <c r="M10464" t="n">
        <v>0</v>
      </c>
      <c r="N10464" t="n">
        <v>0</v>
      </c>
      <c r="O10464" t="n">
        <v>0</v>
      </c>
      <c r="P10464" t="n">
        <v>0</v>
      </c>
      <c r="Q10464" t="n">
        <v>0</v>
      </c>
      <c r="R10464" t="n">
        <v>0</v>
      </c>
      <c r="S10464" t="n">
        <v>0</v>
      </c>
      <c r="T10464" t="n">
        <v>0</v>
      </c>
      <c r="U10464" t="n">
        <v>0</v>
      </c>
      <c r="V10464" s="2" t="inlineStr"/>
    </row>
    <row r="10465" ht="15" customHeight="1">
      <c r="A10465" t="inlineStr">
        <is>
          <t>A 40856-2026</t>
        </is>
      </c>
      <c r="B10465" t="inlineStr">
        <is>
          <t>avverkningsanmälan</t>
        </is>
      </c>
      <c r="C10465" t="inlineStr">
        <is>
          <t>Föryngringsavverkning</t>
        </is>
      </c>
      <c r="D10465" s="1" t="n">
        <v>46296</v>
      </c>
      <c r="E10465" s="1" t="n">
        <v>46307</v>
      </c>
      <c r="F10465" t="inlineStr">
        <is>
          <t>VÄRMLANDS LÄN</t>
        </is>
      </c>
      <c r="G10465" t="inlineStr">
        <is>
          <t>SUNNE</t>
        </is>
      </c>
      <c r="I10465" t="n">
        <v>5.6</v>
      </c>
      <c r="J10465" t="n">
        <v>0</v>
      </c>
      <c r="K10465" t="n">
        <v>0</v>
      </c>
      <c r="L10465" t="n">
        <v>0</v>
      </c>
      <c r="M10465" t="n">
        <v>0</v>
      </c>
      <c r="N10465" t="n">
        <v>0</v>
      </c>
      <c r="O10465" t="n">
        <v>0</v>
      </c>
      <c r="P10465" t="n">
        <v>0</v>
      </c>
      <c r="Q10465" t="n">
        <v>0</v>
      </c>
      <c r="R10465" t="n">
        <v>0</v>
      </c>
      <c r="S10465" t="n">
        <v>0</v>
      </c>
      <c r="T10465" t="n">
        <v>0</v>
      </c>
      <c r="U10465" t="n">
        <v>0</v>
      </c>
      <c r="V10465" s="2" t="inlineStr"/>
    </row>
    <row r="10466" ht="15" customHeight="1">
      <c r="A10466" t="inlineStr">
        <is>
          <t>A 40857-2026</t>
        </is>
      </c>
      <c r="B10466" t="inlineStr">
        <is>
          <t>avverkningsanmälan</t>
        </is>
      </c>
      <c r="C10466" t="inlineStr">
        <is>
          <t>Föryngringsavverkning</t>
        </is>
      </c>
      <c r="D10466" s="1" t="n">
        <v>46296</v>
      </c>
      <c r="E10466" s="1" t="n">
        <v>46307</v>
      </c>
      <c r="F10466" t="inlineStr">
        <is>
          <t>VÄRMLANDS LÄN</t>
        </is>
      </c>
      <c r="G10466" t="inlineStr">
        <is>
          <t>TORSBY</t>
        </is>
      </c>
      <c r="I10466" t="n">
        <v>7.4</v>
      </c>
      <c r="J10466" t="n">
        <v>0</v>
      </c>
      <c r="K10466" t="n">
        <v>0</v>
      </c>
      <c r="L10466" t="n">
        <v>0</v>
      </c>
      <c r="M10466" t="n">
        <v>0</v>
      </c>
      <c r="N10466" t="n">
        <v>0</v>
      </c>
      <c r="O10466" t="n">
        <v>0</v>
      </c>
      <c r="P10466" t="n">
        <v>0</v>
      </c>
      <c r="Q10466" t="n">
        <v>0</v>
      </c>
      <c r="R10466" t="n">
        <v>0</v>
      </c>
      <c r="S10466" t="n">
        <v>0</v>
      </c>
      <c r="T10466" t="n">
        <v>0</v>
      </c>
      <c r="U10466" t="n">
        <v>0</v>
      </c>
      <c r="V10466" s="2" t="inlineStr"/>
    </row>
    <row r="10467" ht="15" customHeight="1">
      <c r="A10467" t="inlineStr">
        <is>
          <t>A 40860-2026</t>
        </is>
      </c>
      <c r="B10467" t="inlineStr">
        <is>
          <t>avverkningsanmälan</t>
        </is>
      </c>
      <c r="C10467" t="inlineStr">
        <is>
          <t>Föryngringsavverkning</t>
        </is>
      </c>
      <c r="D10467" s="1" t="n">
        <v>46297</v>
      </c>
      <c r="E10467" s="1" t="n">
        <v>46307</v>
      </c>
      <c r="F10467" t="inlineStr">
        <is>
          <t>VÄRMLANDS LÄN</t>
        </is>
      </c>
      <c r="G10467" t="inlineStr">
        <is>
          <t>EDA</t>
        </is>
      </c>
      <c r="I10467" t="n">
        <v>1.1</v>
      </c>
      <c r="J10467" t="n">
        <v>0</v>
      </c>
      <c r="K10467" t="n">
        <v>0</v>
      </c>
      <c r="L10467" t="n">
        <v>0</v>
      </c>
      <c r="M10467" t="n">
        <v>0</v>
      </c>
      <c r="N10467" t="n">
        <v>0</v>
      </c>
      <c r="O10467" t="n">
        <v>0</v>
      </c>
      <c r="P10467" t="n">
        <v>0</v>
      </c>
      <c r="Q10467" t="n">
        <v>0</v>
      </c>
      <c r="R10467" t="n">
        <v>0</v>
      </c>
      <c r="S10467" t="n">
        <v>0</v>
      </c>
      <c r="T10467" t="n">
        <v>0</v>
      </c>
      <c r="U10467" t="n">
        <v>0</v>
      </c>
      <c r="V10467" s="2" t="inlineStr"/>
    </row>
    <row r="10468" ht="15" customHeight="1">
      <c r="A10468" t="inlineStr">
        <is>
          <t>A 41038-2026</t>
        </is>
      </c>
      <c r="B10468" t="inlineStr">
        <is>
          <t>avverkningsanmälan</t>
        </is>
      </c>
      <c r="C10468" t="inlineStr">
        <is>
          <t>Föryngringsavverkning</t>
        </is>
      </c>
      <c r="D10468" s="1" t="n">
        <v>46299</v>
      </c>
      <c r="E10468" s="1" t="n">
        <v>46307</v>
      </c>
      <c r="F10468" t="inlineStr">
        <is>
          <t>VÄRMLANDS LÄN</t>
        </is>
      </c>
      <c r="G10468" t="inlineStr">
        <is>
          <t>TORSBY</t>
        </is>
      </c>
      <c r="I10468" t="n">
        <v>14.8</v>
      </c>
      <c r="J10468" t="n">
        <v>0</v>
      </c>
      <c r="K10468" t="n">
        <v>0</v>
      </c>
      <c r="L10468" t="n">
        <v>0</v>
      </c>
      <c r="M10468" t="n">
        <v>0</v>
      </c>
      <c r="N10468" t="n">
        <v>0</v>
      </c>
      <c r="O10468" t="n">
        <v>0</v>
      </c>
      <c r="P10468" t="n">
        <v>0</v>
      </c>
      <c r="Q10468" t="n">
        <v>0</v>
      </c>
      <c r="R10468" t="n">
        <v>0</v>
      </c>
      <c r="S10468" t="n">
        <v>0</v>
      </c>
      <c r="T10468" t="n">
        <v>0</v>
      </c>
      <c r="U10468" t="n">
        <v>0</v>
      </c>
      <c r="V10468" s="2" t="inlineStr"/>
    </row>
    <row r="10469" ht="15" customHeight="1">
      <c r="A10469" t="inlineStr">
        <is>
          <t>A 33311-2026</t>
        </is>
      </c>
      <c r="B10469" t="inlineStr">
        <is>
          <t>avverkningsanmälan</t>
        </is>
      </c>
      <c r="C10469" t="inlineStr">
        <is>
          <t>Föryngringsavverkning</t>
        </is>
      </c>
      <c r="D10469" s="1" t="n">
        <v>46246</v>
      </c>
      <c r="E10469" s="1" t="n">
        <v>46307</v>
      </c>
      <c r="F10469" t="inlineStr">
        <is>
          <t>VÄRMLANDS LÄN</t>
        </is>
      </c>
      <c r="G10469" t="inlineStr">
        <is>
          <t>ÅRJÄNG</t>
        </is>
      </c>
      <c r="I10469" t="n">
        <v>1.5</v>
      </c>
      <c r="J10469" t="n">
        <v>0</v>
      </c>
      <c r="K10469" t="n">
        <v>0</v>
      </c>
      <c r="L10469" t="n">
        <v>0</v>
      </c>
      <c r="M10469" t="n">
        <v>0</v>
      </c>
      <c r="N10469" t="n">
        <v>0</v>
      </c>
      <c r="O10469" t="n">
        <v>0</v>
      </c>
      <c r="P10469" t="n">
        <v>0</v>
      </c>
      <c r="Q10469" t="n">
        <v>0</v>
      </c>
      <c r="R10469" t="n">
        <v>0</v>
      </c>
      <c r="S10469" t="n">
        <v>0</v>
      </c>
      <c r="T10469" t="n">
        <v>0</v>
      </c>
      <c r="U10469" t="n">
        <v>0</v>
      </c>
      <c r="V10469" s="2" t="inlineStr"/>
    </row>
    <row r="10470" ht="15" customHeight="1">
      <c r="A10470" t="inlineStr">
        <is>
          <t>A 34522-2026</t>
        </is>
      </c>
      <c r="B10470" t="inlineStr">
        <is>
          <t>avverkningsanmälan</t>
        </is>
      </c>
      <c r="C10470" t="inlineStr">
        <is>
          <t>Föryngringsavverkning</t>
        </is>
      </c>
      <c r="D10470" s="1" t="n">
        <v>46255</v>
      </c>
      <c r="E10470" s="1" t="n">
        <v>46307</v>
      </c>
      <c r="F10470" t="inlineStr">
        <is>
          <t>VÄRMLANDS LÄN</t>
        </is>
      </c>
      <c r="G10470" t="inlineStr">
        <is>
          <t>HAGFORS</t>
        </is>
      </c>
      <c r="H10470" t="inlineStr">
        <is>
          <t>Bergvik skog väst AB</t>
        </is>
      </c>
      <c r="I10470" t="n">
        <v>8</v>
      </c>
      <c r="J10470" t="n">
        <v>0</v>
      </c>
      <c r="K10470" t="n">
        <v>0</v>
      </c>
      <c r="L10470" t="n">
        <v>0</v>
      </c>
      <c r="M10470" t="n">
        <v>0</v>
      </c>
      <c r="N10470" t="n">
        <v>0</v>
      </c>
      <c r="O10470" t="n">
        <v>0</v>
      </c>
      <c r="P10470" t="n">
        <v>0</v>
      </c>
      <c r="Q10470" t="n">
        <v>0</v>
      </c>
      <c r="R10470" t="n">
        <v>0</v>
      </c>
      <c r="S10470" t="n">
        <v>0</v>
      </c>
      <c r="T10470" t="n">
        <v>0</v>
      </c>
      <c r="U10470" t="n">
        <v>0</v>
      </c>
      <c r="V10470" s="2" t="inlineStr"/>
    </row>
    <row r="10471" ht="15" customHeight="1">
      <c r="A10471" t="inlineStr">
        <is>
          <t>A 34523-2026</t>
        </is>
      </c>
      <c r="B10471" t="inlineStr">
        <is>
          <t>avverkningsanmälan</t>
        </is>
      </c>
      <c r="C10471" t="inlineStr">
        <is>
          <t>Föryngringsavverkning</t>
        </is>
      </c>
      <c r="D10471" s="1" t="n">
        <v>46255</v>
      </c>
      <c r="E10471" s="1" t="n">
        <v>46307</v>
      </c>
      <c r="F10471" t="inlineStr">
        <is>
          <t>VÄRMLANDS LÄN</t>
        </is>
      </c>
      <c r="G10471" t="inlineStr">
        <is>
          <t>HAGFORS</t>
        </is>
      </c>
      <c r="H10471" t="inlineStr">
        <is>
          <t>Bergvik skog väst AB</t>
        </is>
      </c>
      <c r="I10471" t="n">
        <v>15</v>
      </c>
      <c r="J10471" t="n">
        <v>0</v>
      </c>
      <c r="K10471" t="n">
        <v>0</v>
      </c>
      <c r="L10471" t="n">
        <v>0</v>
      </c>
      <c r="M10471" t="n">
        <v>0</v>
      </c>
      <c r="N10471" t="n">
        <v>0</v>
      </c>
      <c r="O10471" t="n">
        <v>0</v>
      </c>
      <c r="P10471" t="n">
        <v>0</v>
      </c>
      <c r="Q10471" t="n">
        <v>0</v>
      </c>
      <c r="R10471" t="n">
        <v>0</v>
      </c>
      <c r="S10471" t="n">
        <v>0</v>
      </c>
      <c r="T10471" t="n">
        <v>0</v>
      </c>
      <c r="U10471" t="n">
        <v>0</v>
      </c>
      <c r="V10471" s="2" t="inlineStr"/>
    </row>
    <row r="10472" ht="15" customHeight="1">
      <c r="A10472" t="inlineStr">
        <is>
          <t>A 34537-2026</t>
        </is>
      </c>
      <c r="B10472" t="inlineStr">
        <is>
          <t>avverkningsanmälan</t>
        </is>
      </c>
      <c r="C10472" t="inlineStr">
        <is>
          <t>Föryngringsavverkning</t>
        </is>
      </c>
      <c r="D10472" s="1" t="n">
        <v>46255</v>
      </c>
      <c r="E10472" s="1" t="n">
        <v>46307</v>
      </c>
      <c r="F10472" t="inlineStr">
        <is>
          <t>VÄRMLANDS LÄN</t>
        </is>
      </c>
      <c r="G10472" t="inlineStr">
        <is>
          <t>ARVIKA</t>
        </is>
      </c>
      <c r="H10472" t="inlineStr">
        <is>
          <t>Bergvik skog väst AB</t>
        </is>
      </c>
      <c r="I10472" t="n">
        <v>2.4</v>
      </c>
      <c r="J10472" t="n">
        <v>0</v>
      </c>
      <c r="K10472" t="n">
        <v>0</v>
      </c>
      <c r="L10472" t="n">
        <v>0</v>
      </c>
      <c r="M10472" t="n">
        <v>0</v>
      </c>
      <c r="N10472" t="n">
        <v>0</v>
      </c>
      <c r="O10472" t="n">
        <v>0</v>
      </c>
      <c r="P10472" t="n">
        <v>0</v>
      </c>
      <c r="Q10472" t="n">
        <v>0</v>
      </c>
      <c r="R10472" t="n">
        <v>0</v>
      </c>
      <c r="S10472" t="n">
        <v>0</v>
      </c>
      <c r="T10472" t="n">
        <v>0</v>
      </c>
      <c r="U10472" t="n">
        <v>0</v>
      </c>
      <c r="V10472" s="2" t="inlineStr"/>
    </row>
    <row r="10473" ht="15" customHeight="1">
      <c r="A10473" t="inlineStr">
        <is>
          <t>A 34538-2026</t>
        </is>
      </c>
      <c r="B10473" t="inlineStr">
        <is>
          <t>avverkningsanmälan</t>
        </is>
      </c>
      <c r="C10473" t="inlineStr">
        <is>
          <t>Föryngringsavverkning</t>
        </is>
      </c>
      <c r="D10473" s="1" t="n">
        <v>46255</v>
      </c>
      <c r="E10473" s="1" t="n">
        <v>46307</v>
      </c>
      <c r="F10473" t="inlineStr">
        <is>
          <t>VÄRMLANDS LÄN</t>
        </is>
      </c>
      <c r="G10473" t="inlineStr">
        <is>
          <t>GRUMS</t>
        </is>
      </c>
      <c r="I10473" t="n">
        <v>3.3</v>
      </c>
      <c r="J10473" t="n">
        <v>0</v>
      </c>
      <c r="K10473" t="n">
        <v>0</v>
      </c>
      <c r="L10473" t="n">
        <v>0</v>
      </c>
      <c r="M10473" t="n">
        <v>0</v>
      </c>
      <c r="N10473" t="n">
        <v>0</v>
      </c>
      <c r="O10473" t="n">
        <v>0</v>
      </c>
      <c r="P10473" t="n">
        <v>0</v>
      </c>
      <c r="Q10473" t="n">
        <v>0</v>
      </c>
      <c r="R10473" t="n">
        <v>0</v>
      </c>
      <c r="S10473" t="n">
        <v>0</v>
      </c>
      <c r="T10473" t="n">
        <v>0</v>
      </c>
      <c r="U10473" t="n">
        <v>0</v>
      </c>
      <c r="V10473" s="2" t="inlineStr"/>
    </row>
    <row r="10474" ht="15" customHeight="1">
      <c r="A10474" t="inlineStr">
        <is>
          <t>A 34456-2026</t>
        </is>
      </c>
      <c r="B10474" t="inlineStr">
        <is>
          <t>avverkningsanmälan</t>
        </is>
      </c>
      <c r="C10474" t="inlineStr">
        <is>
          <t>Föryngringsavverkning</t>
        </is>
      </c>
      <c r="D10474" s="1" t="n">
        <v>46254</v>
      </c>
      <c r="E10474" s="1" t="n">
        <v>46307</v>
      </c>
      <c r="F10474" t="inlineStr">
        <is>
          <t>VÄRMLANDS LÄN</t>
        </is>
      </c>
      <c r="G10474" t="inlineStr">
        <is>
          <t>HAGFORS</t>
        </is>
      </c>
      <c r="H10474" t="inlineStr">
        <is>
          <t>Bergvik skog väst AB</t>
        </is>
      </c>
      <c r="I10474" t="n">
        <v>8.800000000000001</v>
      </c>
      <c r="J10474" t="n">
        <v>0</v>
      </c>
      <c r="K10474" t="n">
        <v>0</v>
      </c>
      <c r="L10474" t="n">
        <v>0</v>
      </c>
      <c r="M10474" t="n">
        <v>0</v>
      </c>
      <c r="N10474" t="n">
        <v>0</v>
      </c>
      <c r="O10474" t="n">
        <v>0</v>
      </c>
      <c r="P10474" t="n">
        <v>0</v>
      </c>
      <c r="Q10474" t="n">
        <v>0</v>
      </c>
      <c r="R10474" t="n">
        <v>0</v>
      </c>
      <c r="S10474" t="n">
        <v>0</v>
      </c>
      <c r="T10474" t="n">
        <v>0</v>
      </c>
      <c r="U10474" t="n">
        <v>0</v>
      </c>
      <c r="V10474" s="2" t="inlineStr"/>
    </row>
    <row r="10475" ht="15" customHeight="1">
      <c r="A10475" t="inlineStr">
        <is>
          <t>A 41112-2026</t>
        </is>
      </c>
      <c r="B10475" t="inlineStr">
        <is>
          <t>avverkningsanmälan</t>
        </is>
      </c>
      <c r="C10475" t="inlineStr">
        <is>
          <t>Föryngringsavverkning</t>
        </is>
      </c>
      <c r="D10475" s="1" t="n">
        <v>46300</v>
      </c>
      <c r="E10475" s="1" t="n">
        <v>46307</v>
      </c>
      <c r="F10475" t="inlineStr">
        <is>
          <t>VÄRMLANDS LÄN</t>
        </is>
      </c>
      <c r="G10475" t="inlineStr">
        <is>
          <t>TORSBY</t>
        </is>
      </c>
      <c r="I10475" t="n">
        <v>1.4</v>
      </c>
      <c r="J10475" t="n">
        <v>0</v>
      </c>
      <c r="K10475" t="n">
        <v>0</v>
      </c>
      <c r="L10475" t="n">
        <v>0</v>
      </c>
      <c r="M10475" t="n">
        <v>0</v>
      </c>
      <c r="N10475" t="n">
        <v>0</v>
      </c>
      <c r="O10475" t="n">
        <v>0</v>
      </c>
      <c r="P10475" t="n">
        <v>0</v>
      </c>
      <c r="Q10475" t="n">
        <v>0</v>
      </c>
      <c r="R10475" t="n">
        <v>0</v>
      </c>
      <c r="S10475" t="n">
        <v>0</v>
      </c>
      <c r="T10475" t="n">
        <v>0</v>
      </c>
      <c r="U10475" t="n">
        <v>0</v>
      </c>
      <c r="V10475" s="2" t="inlineStr"/>
    </row>
    <row r="10476" ht="15" customHeight="1">
      <c r="A10476" t="inlineStr">
        <is>
          <t>A 41119-2026</t>
        </is>
      </c>
      <c r="B10476" t="inlineStr">
        <is>
          <t>avverkningsanmälan</t>
        </is>
      </c>
      <c r="C10476" t="inlineStr">
        <is>
          <t>Föryngringsavverkning</t>
        </is>
      </c>
      <c r="D10476" s="1" t="n">
        <v>46300</v>
      </c>
      <c r="E10476" s="1" t="n">
        <v>46307</v>
      </c>
      <c r="F10476" t="inlineStr">
        <is>
          <t>VÄRMLANDS LÄN</t>
        </is>
      </c>
      <c r="G10476" t="inlineStr">
        <is>
          <t>HAGFORS</t>
        </is>
      </c>
      <c r="I10476" t="n">
        <v>1.1</v>
      </c>
      <c r="J10476" t="n">
        <v>0</v>
      </c>
      <c r="K10476" t="n">
        <v>0</v>
      </c>
      <c r="L10476" t="n">
        <v>0</v>
      </c>
      <c r="M10476" t="n">
        <v>0</v>
      </c>
      <c r="N10476" t="n">
        <v>0</v>
      </c>
      <c r="O10476" t="n">
        <v>0</v>
      </c>
      <c r="P10476" t="n">
        <v>0</v>
      </c>
      <c r="Q10476" t="n">
        <v>0</v>
      </c>
      <c r="R10476" t="n">
        <v>0</v>
      </c>
      <c r="S10476" t="n">
        <v>0</v>
      </c>
      <c r="T10476" t="n">
        <v>0</v>
      </c>
      <c r="U10476" t="n">
        <v>0</v>
      </c>
      <c r="V10476" s="2" t="inlineStr"/>
    </row>
    <row r="10477" ht="15" customHeight="1">
      <c r="A10477" t="inlineStr">
        <is>
          <t>A 41154-2026</t>
        </is>
      </c>
      <c r="B10477" t="inlineStr">
        <is>
          <t>avverkningsanmälan</t>
        </is>
      </c>
      <c r="C10477" t="inlineStr">
        <is>
          <t>Föryngringsavverkning</t>
        </is>
      </c>
      <c r="D10477" s="1" t="n">
        <v>46300</v>
      </c>
      <c r="E10477" s="1" t="n">
        <v>46307</v>
      </c>
      <c r="F10477" t="inlineStr">
        <is>
          <t>VÄRMLANDS LÄN</t>
        </is>
      </c>
      <c r="G10477" t="inlineStr">
        <is>
          <t>GRUMS</t>
        </is>
      </c>
      <c r="H10477" t="inlineStr">
        <is>
          <t>Kommuner</t>
        </is>
      </c>
      <c r="I10477" t="n">
        <v>20.8</v>
      </c>
      <c r="J10477" t="n">
        <v>0</v>
      </c>
      <c r="K10477" t="n">
        <v>0</v>
      </c>
      <c r="L10477" t="n">
        <v>0</v>
      </c>
      <c r="M10477" t="n">
        <v>0</v>
      </c>
      <c r="N10477" t="n">
        <v>0</v>
      </c>
      <c r="O10477" t="n">
        <v>0</v>
      </c>
      <c r="P10477" t="n">
        <v>0</v>
      </c>
      <c r="Q10477" t="n">
        <v>0</v>
      </c>
      <c r="R10477" t="n">
        <v>0</v>
      </c>
      <c r="S10477" t="n">
        <v>0</v>
      </c>
      <c r="T10477" t="n">
        <v>0</v>
      </c>
      <c r="U10477" t="n">
        <v>0</v>
      </c>
      <c r="V10477" s="2" t="inlineStr"/>
    </row>
    <row r="10478" ht="15" customHeight="1">
      <c r="A10478" t="inlineStr">
        <is>
          <t>A 34442-2026</t>
        </is>
      </c>
      <c r="B10478" t="inlineStr">
        <is>
          <t>avverkningsanmälan</t>
        </is>
      </c>
      <c r="C10478" t="inlineStr">
        <is>
          <t>Föryngringsavverkning</t>
        </is>
      </c>
      <c r="D10478" s="1" t="n">
        <v>46254</v>
      </c>
      <c r="E10478" s="1" t="n">
        <v>46307</v>
      </c>
      <c r="F10478" t="inlineStr">
        <is>
          <t>VÄRMLANDS LÄN</t>
        </is>
      </c>
      <c r="G10478" t="inlineStr">
        <is>
          <t>FILIPSTAD</t>
        </is>
      </c>
      <c r="H10478" t="inlineStr">
        <is>
          <t>Bergvik skog väst AB</t>
        </is>
      </c>
      <c r="I10478" t="n">
        <v>10.4</v>
      </c>
      <c r="J10478" t="n">
        <v>0</v>
      </c>
      <c r="K10478" t="n">
        <v>0</v>
      </c>
      <c r="L10478" t="n">
        <v>0</v>
      </c>
      <c r="M10478" t="n">
        <v>0</v>
      </c>
      <c r="N10478" t="n">
        <v>0</v>
      </c>
      <c r="O10478" t="n">
        <v>0</v>
      </c>
      <c r="P10478" t="n">
        <v>0</v>
      </c>
      <c r="Q10478" t="n">
        <v>0</v>
      </c>
      <c r="R10478" t="n">
        <v>0</v>
      </c>
      <c r="S10478" t="n">
        <v>0</v>
      </c>
      <c r="T10478" t="n">
        <v>0</v>
      </c>
      <c r="U10478" t="n">
        <v>0</v>
      </c>
      <c r="V10478" s="2" t="inlineStr"/>
    </row>
    <row r="10479" ht="15" customHeight="1">
      <c r="A10479" t="inlineStr">
        <is>
          <t>A 34443-2026</t>
        </is>
      </c>
      <c r="B10479" t="inlineStr">
        <is>
          <t>avverkningsanmälan</t>
        </is>
      </c>
      <c r="C10479" t="inlineStr">
        <is>
          <t>Föryngringsavverkning</t>
        </is>
      </c>
      <c r="D10479" s="1" t="n">
        <v>46254</v>
      </c>
      <c r="E10479" s="1" t="n">
        <v>46307</v>
      </c>
      <c r="F10479" t="inlineStr">
        <is>
          <t>VÄRMLANDS LÄN</t>
        </is>
      </c>
      <c r="G10479" t="inlineStr">
        <is>
          <t>HAGFORS</t>
        </is>
      </c>
      <c r="H10479" t="inlineStr">
        <is>
          <t>Bergvik skog väst AB</t>
        </is>
      </c>
      <c r="I10479" t="n">
        <v>1.5</v>
      </c>
      <c r="J10479" t="n">
        <v>0</v>
      </c>
      <c r="K10479" t="n">
        <v>0</v>
      </c>
      <c r="L10479" t="n">
        <v>0</v>
      </c>
      <c r="M10479" t="n">
        <v>0</v>
      </c>
      <c r="N10479" t="n">
        <v>0</v>
      </c>
      <c r="O10479" t="n">
        <v>0</v>
      </c>
      <c r="P10479" t="n">
        <v>0</v>
      </c>
      <c r="Q10479" t="n">
        <v>0</v>
      </c>
      <c r="R10479" t="n">
        <v>0</v>
      </c>
      <c r="S10479" t="n">
        <v>0</v>
      </c>
      <c r="T10479" t="n">
        <v>0</v>
      </c>
      <c r="U10479" t="n">
        <v>0</v>
      </c>
      <c r="V10479" s="2" t="inlineStr"/>
    </row>
    <row r="10480" ht="15" customHeight="1">
      <c r="A10480" t="inlineStr">
        <is>
          <t>A 41050-2026</t>
        </is>
      </c>
      <c r="B10480" t="inlineStr">
        <is>
          <t>avverkningsanmälan</t>
        </is>
      </c>
      <c r="C10480" t="inlineStr">
        <is>
          <t>Föryngringsavverkning</t>
        </is>
      </c>
      <c r="D10480" s="1" t="n">
        <v>46300</v>
      </c>
      <c r="E10480" s="1" t="n">
        <v>46307</v>
      </c>
      <c r="F10480" t="inlineStr">
        <is>
          <t>VÄRMLANDS LÄN</t>
        </is>
      </c>
      <c r="G10480" t="inlineStr">
        <is>
          <t>HAGFORS</t>
        </is>
      </c>
      <c r="I10480" t="n">
        <v>1.2</v>
      </c>
      <c r="J10480" t="n">
        <v>0</v>
      </c>
      <c r="K10480" t="n">
        <v>0</v>
      </c>
      <c r="L10480" t="n">
        <v>0</v>
      </c>
      <c r="M10480" t="n">
        <v>0</v>
      </c>
      <c r="N10480" t="n">
        <v>0</v>
      </c>
      <c r="O10480" t="n">
        <v>0</v>
      </c>
      <c r="P10480" t="n">
        <v>0</v>
      </c>
      <c r="Q10480" t="n">
        <v>0</v>
      </c>
      <c r="R10480" t="n">
        <v>0</v>
      </c>
      <c r="S10480" t="n">
        <v>0</v>
      </c>
      <c r="T10480" t="n">
        <v>0</v>
      </c>
      <c r="U10480" t="n">
        <v>0</v>
      </c>
      <c r="V10480" s="2" t="inlineStr"/>
    </row>
    <row r="10481" ht="15" customHeight="1">
      <c r="A10481" t="inlineStr">
        <is>
          <t>A 41085-2026</t>
        </is>
      </c>
      <c r="B10481" t="inlineStr">
        <is>
          <t>avverkningsanmälan</t>
        </is>
      </c>
      <c r="C10481" t="inlineStr">
        <is>
          <t>Föryngringsavverkning</t>
        </is>
      </c>
      <c r="D10481" s="1" t="n">
        <v>46300</v>
      </c>
      <c r="E10481" s="1" t="n">
        <v>46307</v>
      </c>
      <c r="F10481" t="inlineStr">
        <is>
          <t>VÄRMLANDS LÄN</t>
        </is>
      </c>
      <c r="G10481" t="inlineStr">
        <is>
          <t>SUNNE</t>
        </is>
      </c>
      <c r="I10481" t="n">
        <v>6.1</v>
      </c>
      <c r="J10481" t="n">
        <v>0</v>
      </c>
      <c r="K10481" t="n">
        <v>0</v>
      </c>
      <c r="L10481" t="n">
        <v>0</v>
      </c>
      <c r="M10481" t="n">
        <v>0</v>
      </c>
      <c r="N10481" t="n">
        <v>0</v>
      </c>
      <c r="O10481" t="n">
        <v>0</v>
      </c>
      <c r="P10481" t="n">
        <v>0</v>
      </c>
      <c r="Q10481" t="n">
        <v>0</v>
      </c>
      <c r="R10481" t="n">
        <v>0</v>
      </c>
      <c r="S10481" t="n">
        <v>0</v>
      </c>
      <c r="T10481" t="n">
        <v>0</v>
      </c>
      <c r="U10481" t="n">
        <v>0</v>
      </c>
      <c r="V10481" s="2" t="inlineStr"/>
    </row>
    <row r="10482" ht="15" customHeight="1">
      <c r="A10482" t="inlineStr">
        <is>
          <t>A 41144-2026</t>
        </is>
      </c>
      <c r="B10482" t="inlineStr">
        <is>
          <t>avverkningsanmälan</t>
        </is>
      </c>
      <c r="C10482" t="inlineStr">
        <is>
          <t>Föryngringsavverkning</t>
        </is>
      </c>
      <c r="D10482" s="1" t="n">
        <v>46300</v>
      </c>
      <c r="E10482" s="1" t="n">
        <v>46307</v>
      </c>
      <c r="F10482" t="inlineStr">
        <is>
          <t>VÄRMLANDS LÄN</t>
        </is>
      </c>
      <c r="G10482" t="inlineStr">
        <is>
          <t>ÅRJÄNG</t>
        </is>
      </c>
      <c r="I10482" t="n">
        <v>0.9</v>
      </c>
      <c r="J10482" t="n">
        <v>0</v>
      </c>
      <c r="K10482" t="n">
        <v>0</v>
      </c>
      <c r="L10482" t="n">
        <v>0</v>
      </c>
      <c r="M10482" t="n">
        <v>0</v>
      </c>
      <c r="N10482" t="n">
        <v>0</v>
      </c>
      <c r="O10482" t="n">
        <v>0</v>
      </c>
      <c r="P10482" t="n">
        <v>0</v>
      </c>
      <c r="Q10482" t="n">
        <v>0</v>
      </c>
      <c r="R10482" t="n">
        <v>0</v>
      </c>
      <c r="S10482" t="n">
        <v>0</v>
      </c>
      <c r="T10482" t="n">
        <v>0</v>
      </c>
      <c r="U10482" t="n">
        <v>0</v>
      </c>
      <c r="V10482" s="2" t="inlineStr"/>
    </row>
    <row r="10483" ht="15" customHeight="1">
      <c r="A10483" t="inlineStr">
        <is>
          <t>A 39187-2026</t>
        </is>
      </c>
      <c r="B10483" t="inlineStr">
        <is>
          <t>avverkningsanmälan</t>
        </is>
      </c>
      <c r="C10483" t="inlineStr">
        <is>
          <t>Föryngringsavverkning</t>
        </is>
      </c>
      <c r="D10483" s="1" t="n">
        <v>46287</v>
      </c>
      <c r="E10483" s="1" t="n">
        <v>46307</v>
      </c>
      <c r="F10483" t="inlineStr">
        <is>
          <t>VÄRMLANDS LÄN</t>
        </is>
      </c>
      <c r="G10483" t="inlineStr">
        <is>
          <t>KRISTINEHAMN</t>
        </is>
      </c>
      <c r="I10483" t="n">
        <v>10</v>
      </c>
      <c r="J10483" t="n">
        <v>0</v>
      </c>
      <c r="K10483" t="n">
        <v>0</v>
      </c>
      <c r="L10483" t="n">
        <v>0</v>
      </c>
      <c r="M10483" t="n">
        <v>0</v>
      </c>
      <c r="N10483" t="n">
        <v>0</v>
      </c>
      <c r="O10483" t="n">
        <v>0</v>
      </c>
      <c r="P10483" t="n">
        <v>0</v>
      </c>
      <c r="Q10483" t="n">
        <v>0</v>
      </c>
      <c r="R10483" t="n">
        <v>0</v>
      </c>
      <c r="S10483" t="n">
        <v>0</v>
      </c>
      <c r="T10483" t="n">
        <v>0</v>
      </c>
      <c r="U10483" t="n">
        <v>0</v>
      </c>
      <c r="V10483" s="2" t="inlineStr"/>
    </row>
    <row r="10484" ht="15" customHeight="1">
      <c r="A10484" t="inlineStr">
        <is>
          <t>A 40859-2026</t>
        </is>
      </c>
      <c r="B10484" t="inlineStr">
        <is>
          <t>avverkningsanmälan</t>
        </is>
      </c>
      <c r="C10484" t="inlineStr">
        <is>
          <t>Föryngringsavverkning</t>
        </is>
      </c>
      <c r="D10484" s="1" t="n">
        <v>46297</v>
      </c>
      <c r="E10484" s="1" t="n">
        <v>46307</v>
      </c>
      <c r="F10484" t="inlineStr">
        <is>
          <t>VÄRMLANDS LÄN</t>
        </is>
      </c>
      <c r="G10484" t="inlineStr">
        <is>
          <t>EDA</t>
        </is>
      </c>
      <c r="I10484" t="n">
        <v>2.8</v>
      </c>
      <c r="J10484" t="n">
        <v>0</v>
      </c>
      <c r="K10484" t="n">
        <v>0</v>
      </c>
      <c r="L10484" t="n">
        <v>0</v>
      </c>
      <c r="M10484" t="n">
        <v>0</v>
      </c>
      <c r="N10484" t="n">
        <v>0</v>
      </c>
      <c r="O10484" t="n">
        <v>0</v>
      </c>
      <c r="P10484" t="n">
        <v>0</v>
      </c>
      <c r="Q10484" t="n">
        <v>0</v>
      </c>
      <c r="R10484" t="n">
        <v>0</v>
      </c>
      <c r="S10484" t="n">
        <v>0</v>
      </c>
      <c r="T10484" t="n">
        <v>0</v>
      </c>
      <c r="U10484" t="n">
        <v>0</v>
      </c>
      <c r="V10484" s="2" t="inlineStr"/>
    </row>
    <row r="10485" ht="15" customHeight="1">
      <c r="A10485" t="inlineStr">
        <is>
          <t>A 41232-2026</t>
        </is>
      </c>
      <c r="B10485" t="inlineStr">
        <is>
          <t>avverkningsanmälan</t>
        </is>
      </c>
      <c r="C10485" t="inlineStr">
        <is>
          <t>Föryngringsavverkning</t>
        </is>
      </c>
      <c r="D10485" s="1" t="n">
        <v>46297</v>
      </c>
      <c r="E10485" s="1" t="n">
        <v>46307</v>
      </c>
      <c r="F10485" t="inlineStr">
        <is>
          <t>VÄRMLANDS LÄN</t>
        </is>
      </c>
      <c r="G10485" t="inlineStr">
        <is>
          <t>SÄFFLE</t>
        </is>
      </c>
      <c r="I10485" t="n">
        <v>3</v>
      </c>
      <c r="J10485" t="n">
        <v>0</v>
      </c>
      <c r="K10485" t="n">
        <v>0</v>
      </c>
      <c r="L10485" t="n">
        <v>0</v>
      </c>
      <c r="M10485" t="n">
        <v>0</v>
      </c>
      <c r="N10485" t="n">
        <v>0</v>
      </c>
      <c r="O10485" t="n">
        <v>0</v>
      </c>
      <c r="P10485" t="n">
        <v>0</v>
      </c>
      <c r="Q10485" t="n">
        <v>0</v>
      </c>
      <c r="R10485" t="n">
        <v>0</v>
      </c>
      <c r="S10485" t="n">
        <v>0</v>
      </c>
      <c r="T10485" t="n">
        <v>0</v>
      </c>
      <c r="U10485" t="n">
        <v>0</v>
      </c>
      <c r="V10485" s="2" t="inlineStr"/>
    </row>
    <row r="10486" ht="15" customHeight="1">
      <c r="A10486" t="inlineStr">
        <is>
          <t>A 40924-2026</t>
        </is>
      </c>
      <c r="B10486" t="inlineStr">
        <is>
          <t>avverkningsanmälan</t>
        </is>
      </c>
      <c r="C10486" t="inlineStr">
        <is>
          <t>Föryngringsavverkning</t>
        </is>
      </c>
      <c r="D10486" s="1" t="n">
        <v>46297</v>
      </c>
      <c r="E10486" s="1" t="n">
        <v>46307</v>
      </c>
      <c r="F10486" t="inlineStr">
        <is>
          <t>VÄRMLANDS LÄN</t>
        </is>
      </c>
      <c r="G10486" t="inlineStr">
        <is>
          <t>SÄFFLE</t>
        </is>
      </c>
      <c r="I10486" t="n">
        <v>2.7</v>
      </c>
      <c r="J10486" t="n">
        <v>0</v>
      </c>
      <c r="K10486" t="n">
        <v>0</v>
      </c>
      <c r="L10486" t="n">
        <v>0</v>
      </c>
      <c r="M10486" t="n">
        <v>0</v>
      </c>
      <c r="N10486" t="n">
        <v>0</v>
      </c>
      <c r="O10486" t="n">
        <v>0</v>
      </c>
      <c r="P10486" t="n">
        <v>0</v>
      </c>
      <c r="Q10486" t="n">
        <v>0</v>
      </c>
      <c r="R10486" t="n">
        <v>0</v>
      </c>
      <c r="S10486" t="n">
        <v>0</v>
      </c>
      <c r="T10486" t="n">
        <v>0</v>
      </c>
      <c r="U10486" t="n">
        <v>0</v>
      </c>
      <c r="V10486" s="2" t="inlineStr"/>
    </row>
    <row r="10487" ht="15" customHeight="1">
      <c r="A10487" t="inlineStr">
        <is>
          <t>A 41057-2026</t>
        </is>
      </c>
      <c r="B10487" t="inlineStr">
        <is>
          <t>avverkningsanmälan</t>
        </is>
      </c>
      <c r="C10487" t="inlineStr">
        <is>
          <t>Föryngringsavverkning</t>
        </is>
      </c>
      <c r="D10487" s="1" t="n">
        <v>46300</v>
      </c>
      <c r="E10487" s="1" t="n">
        <v>46307</v>
      </c>
      <c r="F10487" t="inlineStr">
        <is>
          <t>VÄRMLANDS LÄN</t>
        </is>
      </c>
      <c r="G10487" t="inlineStr">
        <is>
          <t>HAGFORS</t>
        </is>
      </c>
      <c r="I10487" t="n">
        <v>1.6</v>
      </c>
      <c r="J10487" t="n">
        <v>0</v>
      </c>
      <c r="K10487" t="n">
        <v>0</v>
      </c>
      <c r="L10487" t="n">
        <v>0</v>
      </c>
      <c r="M10487" t="n">
        <v>0</v>
      </c>
      <c r="N10487" t="n">
        <v>0</v>
      </c>
      <c r="O10487" t="n">
        <v>0</v>
      </c>
      <c r="P10487" t="n">
        <v>0</v>
      </c>
      <c r="Q10487" t="n">
        <v>0</v>
      </c>
      <c r="R10487" t="n">
        <v>0</v>
      </c>
      <c r="S10487" t="n">
        <v>0</v>
      </c>
      <c r="T10487" t="n">
        <v>0</v>
      </c>
      <c r="U10487" t="n">
        <v>0</v>
      </c>
      <c r="V10487" s="2" t="inlineStr"/>
    </row>
    <row r="10488" ht="15" customHeight="1">
      <c r="A10488" t="inlineStr">
        <is>
          <t>A 41084-2026</t>
        </is>
      </c>
      <c r="B10488" t="inlineStr">
        <is>
          <t>avverkningsanmälan</t>
        </is>
      </c>
      <c r="C10488" t="inlineStr">
        <is>
          <t>Föryngringsavverkning</t>
        </is>
      </c>
      <c r="D10488" s="1" t="n">
        <v>46300</v>
      </c>
      <c r="E10488" s="1" t="n">
        <v>46307</v>
      </c>
      <c r="F10488" t="inlineStr">
        <is>
          <t>VÄRMLANDS LÄN</t>
        </is>
      </c>
      <c r="G10488" t="inlineStr">
        <is>
          <t>STORFORS</t>
        </is>
      </c>
      <c r="I10488" t="n">
        <v>2.7</v>
      </c>
      <c r="J10488" t="n">
        <v>0</v>
      </c>
      <c r="K10488" t="n">
        <v>0</v>
      </c>
      <c r="L10488" t="n">
        <v>0</v>
      </c>
      <c r="M10488" t="n">
        <v>0</v>
      </c>
      <c r="N10488" t="n">
        <v>0</v>
      </c>
      <c r="O10488" t="n">
        <v>0</v>
      </c>
      <c r="P10488" t="n">
        <v>0</v>
      </c>
      <c r="Q10488" t="n">
        <v>0</v>
      </c>
      <c r="R10488" t="n">
        <v>0</v>
      </c>
      <c r="S10488" t="n">
        <v>0</v>
      </c>
      <c r="T10488" t="n">
        <v>0</v>
      </c>
      <c r="U10488" t="n">
        <v>0</v>
      </c>
      <c r="V10488" s="2" t="inlineStr"/>
    </row>
    <row r="10489" ht="15" customHeight="1">
      <c r="A10489" t="inlineStr">
        <is>
          <t>A 34480-2026</t>
        </is>
      </c>
      <c r="B10489" t="inlineStr">
        <is>
          <t>avverkningsanmälan</t>
        </is>
      </c>
      <c r="C10489" t="inlineStr">
        <is>
          <t>Föryngringsavverkning</t>
        </is>
      </c>
      <c r="D10489" s="1" t="n">
        <v>46254</v>
      </c>
      <c r="E10489" s="1" t="n">
        <v>46307</v>
      </c>
      <c r="F10489" t="inlineStr">
        <is>
          <t>VÄRMLANDS LÄN</t>
        </is>
      </c>
      <c r="G10489" t="inlineStr">
        <is>
          <t>ARVIKA</t>
        </is>
      </c>
      <c r="I10489" t="n">
        <v>3.9</v>
      </c>
      <c r="J10489" t="n">
        <v>0</v>
      </c>
      <c r="K10489" t="n">
        <v>0</v>
      </c>
      <c r="L10489" t="n">
        <v>0</v>
      </c>
      <c r="M10489" t="n">
        <v>0</v>
      </c>
      <c r="N10489" t="n">
        <v>0</v>
      </c>
      <c r="O10489" t="n">
        <v>0</v>
      </c>
      <c r="P10489" t="n">
        <v>0</v>
      </c>
      <c r="Q10489" t="n">
        <v>0</v>
      </c>
      <c r="R10489" t="n">
        <v>0</v>
      </c>
      <c r="S10489" t="n">
        <v>0</v>
      </c>
      <c r="T10489" t="n">
        <v>0</v>
      </c>
      <c r="U10489" t="n">
        <v>0</v>
      </c>
      <c r="V10489" s="2" t="inlineStr"/>
    </row>
    <row r="10490" ht="15" customHeight="1">
      <c r="A10490" t="inlineStr">
        <is>
          <t>A 34399-2026</t>
        </is>
      </c>
      <c r="B10490" t="inlineStr">
        <is>
          <t>avverkningsanmälan</t>
        </is>
      </c>
      <c r="C10490" t="inlineStr">
        <is>
          <t>Föryngringsavverkning</t>
        </is>
      </c>
      <c r="D10490" s="1" t="n">
        <v>46254</v>
      </c>
      <c r="E10490" s="1" t="n">
        <v>46307</v>
      </c>
      <c r="F10490" t="inlineStr">
        <is>
          <t>VÄRMLANDS LÄN</t>
        </is>
      </c>
      <c r="G10490" t="inlineStr">
        <is>
          <t>HAGFORS</t>
        </is>
      </c>
      <c r="H10490" t="inlineStr">
        <is>
          <t>Bergvik skog väst AB</t>
        </is>
      </c>
      <c r="I10490" t="n">
        <v>15.8</v>
      </c>
      <c r="J10490" t="n">
        <v>0</v>
      </c>
      <c r="K10490" t="n">
        <v>0</v>
      </c>
      <c r="L10490" t="n">
        <v>0</v>
      </c>
      <c r="M10490" t="n">
        <v>0</v>
      </c>
      <c r="N10490" t="n">
        <v>0</v>
      </c>
      <c r="O10490" t="n">
        <v>0</v>
      </c>
      <c r="P10490" t="n">
        <v>0</v>
      </c>
      <c r="Q10490" t="n">
        <v>0</v>
      </c>
      <c r="R10490" t="n">
        <v>0</v>
      </c>
      <c r="S10490" t="n">
        <v>0</v>
      </c>
      <c r="T10490" t="n">
        <v>0</v>
      </c>
      <c r="U10490" t="n">
        <v>0</v>
      </c>
      <c r="V10490" s="2" t="inlineStr"/>
    </row>
    <row r="10491" ht="15" customHeight="1">
      <c r="A10491" t="inlineStr">
        <is>
          <t>A 41218-2026</t>
        </is>
      </c>
      <c r="B10491" t="inlineStr">
        <is>
          <t>avverkningsanmälan</t>
        </is>
      </c>
      <c r="C10491" t="inlineStr">
        <is>
          <t>Föryngringsavverkning</t>
        </is>
      </c>
      <c r="D10491" s="1" t="n">
        <v>46300</v>
      </c>
      <c r="E10491" s="1" t="n">
        <v>46307</v>
      </c>
      <c r="F10491" t="inlineStr">
        <is>
          <t>VÄRMLANDS LÄN</t>
        </is>
      </c>
      <c r="G10491" t="inlineStr">
        <is>
          <t>SÄFFLE</t>
        </is>
      </c>
      <c r="I10491" t="n">
        <v>1.3</v>
      </c>
      <c r="J10491" t="n">
        <v>0</v>
      </c>
      <c r="K10491" t="n">
        <v>0</v>
      </c>
      <c r="L10491" t="n">
        <v>0</v>
      </c>
      <c r="M10491" t="n">
        <v>0</v>
      </c>
      <c r="N10491" t="n">
        <v>0</v>
      </c>
      <c r="O10491" t="n">
        <v>0</v>
      </c>
      <c r="P10491" t="n">
        <v>0</v>
      </c>
      <c r="Q10491" t="n">
        <v>0</v>
      </c>
      <c r="R10491" t="n">
        <v>0</v>
      </c>
      <c r="S10491" t="n">
        <v>0</v>
      </c>
      <c r="T10491" t="n">
        <v>0</v>
      </c>
      <c r="U10491" t="n">
        <v>0</v>
      </c>
      <c r="V10491" s="2" t="inlineStr"/>
    </row>
    <row r="10492" ht="15" customHeight="1">
      <c r="A10492" t="inlineStr">
        <is>
          <t>A 37408-2026</t>
        </is>
      </c>
      <c r="B10492" t="inlineStr">
        <is>
          <t>avverkningsanmälan</t>
        </is>
      </c>
      <c r="C10492" t="inlineStr">
        <is>
          <t>Avverkning för annat ändamål</t>
        </is>
      </c>
      <c r="D10492" s="1" t="n">
        <v>46275</v>
      </c>
      <c r="E10492" s="1" t="n">
        <v>46307</v>
      </c>
      <c r="F10492" t="inlineStr">
        <is>
          <t>VÄRMLANDS LÄN</t>
        </is>
      </c>
      <c r="G10492" t="inlineStr">
        <is>
          <t>TORSBY</t>
        </is>
      </c>
      <c r="I10492" t="n">
        <v>1.5</v>
      </c>
      <c r="J10492" t="n">
        <v>0</v>
      </c>
      <c r="K10492" t="n">
        <v>0</v>
      </c>
      <c r="L10492" t="n">
        <v>0</v>
      </c>
      <c r="M10492" t="n">
        <v>0</v>
      </c>
      <c r="N10492" t="n">
        <v>0</v>
      </c>
      <c r="O10492" t="n">
        <v>0</v>
      </c>
      <c r="P10492" t="n">
        <v>0</v>
      </c>
      <c r="Q10492" t="n">
        <v>0</v>
      </c>
      <c r="R10492" t="n">
        <v>0</v>
      </c>
      <c r="S10492" t="n">
        <v>0</v>
      </c>
      <c r="T10492" t="n">
        <v>0</v>
      </c>
      <c r="U10492" t="n">
        <v>0</v>
      </c>
      <c r="V10492" s="2" t="inlineStr"/>
    </row>
    <row r="10493" ht="15" customHeight="1">
      <c r="A10493" t="inlineStr">
        <is>
          <t>A 34582-2026</t>
        </is>
      </c>
      <c r="B10493" t="inlineStr">
        <is>
          <t>avverkningsanmälan</t>
        </is>
      </c>
      <c r="C10493" t="inlineStr">
        <is>
          <t>Föryngringsavverkning</t>
        </is>
      </c>
      <c r="D10493" s="1" t="n">
        <v>46255</v>
      </c>
      <c r="E10493" s="1" t="n">
        <v>46307</v>
      </c>
      <c r="F10493" t="inlineStr">
        <is>
          <t>VÄRMLANDS LÄN</t>
        </is>
      </c>
      <c r="G10493" t="inlineStr">
        <is>
          <t>TORSBY</t>
        </is>
      </c>
      <c r="H10493" t="inlineStr">
        <is>
          <t>Bergvik skog väst AB</t>
        </is>
      </c>
      <c r="I10493" t="n">
        <v>4.3</v>
      </c>
      <c r="J10493" t="n">
        <v>0</v>
      </c>
      <c r="K10493" t="n">
        <v>0</v>
      </c>
      <c r="L10493" t="n">
        <v>0</v>
      </c>
      <c r="M10493" t="n">
        <v>0</v>
      </c>
      <c r="N10493" t="n">
        <v>0</v>
      </c>
      <c r="O10493" t="n">
        <v>0</v>
      </c>
      <c r="P10493" t="n">
        <v>0</v>
      </c>
      <c r="Q10493" t="n">
        <v>0</v>
      </c>
      <c r="R10493" t="n">
        <v>0</v>
      </c>
      <c r="S10493" t="n">
        <v>0</v>
      </c>
      <c r="T10493" t="n">
        <v>0</v>
      </c>
      <c r="U10493" t="n">
        <v>0</v>
      </c>
      <c r="V10493" s="2" t="inlineStr"/>
    </row>
    <row r="10494" ht="15" customHeight="1">
      <c r="A10494" t="inlineStr">
        <is>
          <t>A 40889-2026</t>
        </is>
      </c>
      <c r="B10494" t="inlineStr">
        <is>
          <t>avverkningsanmälan</t>
        </is>
      </c>
      <c r="C10494" t="inlineStr">
        <is>
          <t>Föryngringsavverkning</t>
        </is>
      </c>
      <c r="D10494" s="1" t="n">
        <v>46297</v>
      </c>
      <c r="E10494" s="1" t="n">
        <v>46307</v>
      </c>
      <c r="F10494" t="inlineStr">
        <is>
          <t>VÄRMLANDS LÄN</t>
        </is>
      </c>
      <c r="G10494" t="inlineStr">
        <is>
          <t>EDA</t>
        </is>
      </c>
      <c r="H10494" t="inlineStr">
        <is>
          <t>Kyrkan</t>
        </is>
      </c>
      <c r="I10494" t="n">
        <v>3.4</v>
      </c>
      <c r="J10494" t="n">
        <v>0</v>
      </c>
      <c r="K10494" t="n">
        <v>0</v>
      </c>
      <c r="L10494" t="n">
        <v>0</v>
      </c>
      <c r="M10494" t="n">
        <v>0</v>
      </c>
      <c r="N10494" t="n">
        <v>0</v>
      </c>
      <c r="O10494" t="n">
        <v>0</v>
      </c>
      <c r="P10494" t="n">
        <v>0</v>
      </c>
      <c r="Q10494" t="n">
        <v>0</v>
      </c>
      <c r="R10494" t="n">
        <v>0</v>
      </c>
      <c r="S10494" t="n">
        <v>0</v>
      </c>
      <c r="T10494" t="n">
        <v>0</v>
      </c>
      <c r="U10494" t="n">
        <v>0</v>
      </c>
      <c r="V10494" s="2" t="inlineStr"/>
    </row>
    <row r="10495" ht="15" customHeight="1">
      <c r="A10495" t="inlineStr">
        <is>
          <t>A 34516-2026</t>
        </is>
      </c>
      <c r="B10495" t="inlineStr">
        <is>
          <t>avverkningsanmälan</t>
        </is>
      </c>
      <c r="C10495" t="inlineStr">
        <is>
          <t>Föryngringsavverkning</t>
        </is>
      </c>
      <c r="D10495" s="1" t="n">
        <v>46255</v>
      </c>
      <c r="E10495" s="1" t="n">
        <v>46307</v>
      </c>
      <c r="F10495" t="inlineStr">
        <is>
          <t>VÄRMLANDS LÄN</t>
        </is>
      </c>
      <c r="G10495" t="inlineStr">
        <is>
          <t>SÄFFLE</t>
        </is>
      </c>
      <c r="I10495" t="n">
        <v>1.7</v>
      </c>
      <c r="J10495" t="n">
        <v>0</v>
      </c>
      <c r="K10495" t="n">
        <v>0</v>
      </c>
      <c r="L10495" t="n">
        <v>0</v>
      </c>
      <c r="M10495" t="n">
        <v>0</v>
      </c>
      <c r="N10495" t="n">
        <v>0</v>
      </c>
      <c r="O10495" t="n">
        <v>0</v>
      </c>
      <c r="P10495" t="n">
        <v>0</v>
      </c>
      <c r="Q10495" t="n">
        <v>0</v>
      </c>
      <c r="R10495" t="n">
        <v>0</v>
      </c>
      <c r="S10495" t="n">
        <v>0</v>
      </c>
      <c r="T10495" t="n">
        <v>0</v>
      </c>
      <c r="U10495" t="n">
        <v>0</v>
      </c>
      <c r="V10495" s="2" t="inlineStr"/>
    </row>
    <row r="10496" ht="15" customHeight="1">
      <c r="A10496" t="inlineStr">
        <is>
          <t>A 34539-2026</t>
        </is>
      </c>
      <c r="B10496" t="inlineStr">
        <is>
          <t>avverkningsanmälan</t>
        </is>
      </c>
      <c r="C10496" t="inlineStr">
        <is>
          <t>Föryngringsavverkning</t>
        </is>
      </c>
      <c r="D10496" s="1" t="n">
        <v>46255</v>
      </c>
      <c r="E10496" s="1" t="n">
        <v>46307</v>
      </c>
      <c r="F10496" t="inlineStr">
        <is>
          <t>VÄRMLANDS LÄN</t>
        </is>
      </c>
      <c r="G10496" t="inlineStr">
        <is>
          <t>FILIPSTAD</t>
        </is>
      </c>
      <c r="H10496" t="inlineStr">
        <is>
          <t>Bergvik skog väst AB</t>
        </is>
      </c>
      <c r="I10496" t="n">
        <v>5.3</v>
      </c>
      <c r="J10496" t="n">
        <v>0</v>
      </c>
      <c r="K10496" t="n">
        <v>0</v>
      </c>
      <c r="L10496" t="n">
        <v>0</v>
      </c>
      <c r="M10496" t="n">
        <v>0</v>
      </c>
      <c r="N10496" t="n">
        <v>0</v>
      </c>
      <c r="O10496" t="n">
        <v>0</v>
      </c>
      <c r="P10496" t="n">
        <v>0</v>
      </c>
      <c r="Q10496" t="n">
        <v>0</v>
      </c>
      <c r="R10496" t="n">
        <v>0</v>
      </c>
      <c r="S10496" t="n">
        <v>0</v>
      </c>
      <c r="T10496" t="n">
        <v>0</v>
      </c>
      <c r="U10496" t="n">
        <v>0</v>
      </c>
      <c r="V10496" s="2" t="inlineStr"/>
    </row>
    <row r="10497" ht="15" customHeight="1">
      <c r="A10497" t="inlineStr">
        <is>
          <t>A 33420-2026</t>
        </is>
      </c>
      <c r="B10497" t="inlineStr">
        <is>
          <t>avverkningsanmälan</t>
        </is>
      </c>
      <c r="C10497" t="inlineStr">
        <is>
          <t>Föryngringsavverkning</t>
        </is>
      </c>
      <c r="D10497" s="1" t="n">
        <v>46247</v>
      </c>
      <c r="E10497" s="1" t="n">
        <v>46307</v>
      </c>
      <c r="F10497" t="inlineStr">
        <is>
          <t>VÄRMLANDS LÄN</t>
        </is>
      </c>
      <c r="G10497" t="inlineStr">
        <is>
          <t>EDA</t>
        </is>
      </c>
      <c r="I10497" t="n">
        <v>3.2</v>
      </c>
      <c r="J10497" t="n">
        <v>0</v>
      </c>
      <c r="K10497" t="n">
        <v>0</v>
      </c>
      <c r="L10497" t="n">
        <v>0</v>
      </c>
      <c r="M10497" t="n">
        <v>0</v>
      </c>
      <c r="N10497" t="n">
        <v>0</v>
      </c>
      <c r="O10497" t="n">
        <v>0</v>
      </c>
      <c r="P10497" t="n">
        <v>0</v>
      </c>
      <c r="Q10497" t="n">
        <v>0</v>
      </c>
      <c r="R10497" t="n">
        <v>0</v>
      </c>
      <c r="S10497" t="n">
        <v>0</v>
      </c>
      <c r="T10497" t="n">
        <v>0</v>
      </c>
      <c r="U10497" t="n">
        <v>0</v>
      </c>
      <c r="V10497" s="2" t="inlineStr"/>
    </row>
    <row r="10498" ht="15" customHeight="1">
      <c r="A10498" t="inlineStr">
        <is>
          <t>A 32978-2026</t>
        </is>
      </c>
      <c r="B10498" t="inlineStr">
        <is>
          <t>avverkningsanmälan</t>
        </is>
      </c>
      <c r="C10498" t="inlineStr">
        <is>
          <t>Föryngringsavverkning</t>
        </is>
      </c>
      <c r="D10498" s="1" t="n">
        <v>46244</v>
      </c>
      <c r="E10498" s="1" t="n">
        <v>46307</v>
      </c>
      <c r="F10498" t="inlineStr">
        <is>
          <t>VÄRMLANDS LÄN</t>
        </is>
      </c>
      <c r="G10498" t="inlineStr">
        <is>
          <t>FILIPSTAD</t>
        </is>
      </c>
      <c r="I10498" t="n">
        <v>7.5</v>
      </c>
      <c r="J10498" t="n">
        <v>0</v>
      </c>
      <c r="K10498" t="n">
        <v>0</v>
      </c>
      <c r="L10498" t="n">
        <v>0</v>
      </c>
      <c r="M10498" t="n">
        <v>0</v>
      </c>
      <c r="N10498" t="n">
        <v>0</v>
      </c>
      <c r="O10498" t="n">
        <v>0</v>
      </c>
      <c r="P10498" t="n">
        <v>0</v>
      </c>
      <c r="Q10498" t="n">
        <v>0</v>
      </c>
      <c r="R10498" t="n">
        <v>0</v>
      </c>
      <c r="S10498" t="n">
        <v>0</v>
      </c>
      <c r="T10498" t="n">
        <v>0</v>
      </c>
      <c r="U10498" t="n">
        <v>0</v>
      </c>
      <c r="V10498" s="2" t="inlineStr"/>
    </row>
    <row r="10499" ht="15" customHeight="1">
      <c r="A10499" t="inlineStr">
        <is>
          <t>A 33821-2026</t>
        </is>
      </c>
      <c r="B10499" t="inlineStr">
        <is>
          <t>avverkningsanmälan</t>
        </is>
      </c>
      <c r="C10499" t="inlineStr">
        <is>
          <t>Föryngringsavverkning</t>
        </is>
      </c>
      <c r="D10499" s="1" t="n">
        <v>46251</v>
      </c>
      <c r="E10499" s="1" t="n">
        <v>46307</v>
      </c>
      <c r="F10499" t="inlineStr">
        <is>
          <t>VÄRMLANDS LÄN</t>
        </is>
      </c>
      <c r="G10499" t="inlineStr">
        <is>
          <t>HAGFORS</t>
        </is>
      </c>
      <c r="H10499" t="inlineStr">
        <is>
          <t>Bergvik skog väst AB</t>
        </is>
      </c>
      <c r="I10499" t="n">
        <v>14.4</v>
      </c>
      <c r="J10499" t="n">
        <v>0</v>
      </c>
      <c r="K10499" t="n">
        <v>0</v>
      </c>
      <c r="L10499" t="n">
        <v>0</v>
      </c>
      <c r="M10499" t="n">
        <v>0</v>
      </c>
      <c r="N10499" t="n">
        <v>0</v>
      </c>
      <c r="O10499" t="n">
        <v>0</v>
      </c>
      <c r="P10499" t="n">
        <v>0</v>
      </c>
      <c r="Q10499" t="n">
        <v>0</v>
      </c>
      <c r="R10499" t="n">
        <v>0</v>
      </c>
      <c r="S10499" t="n">
        <v>0</v>
      </c>
      <c r="T10499" t="n">
        <v>0</v>
      </c>
      <c r="U10499" t="n">
        <v>0</v>
      </c>
      <c r="V10499" s="2" t="inlineStr"/>
    </row>
    <row r="10500" ht="15" customHeight="1">
      <c r="A10500" t="inlineStr">
        <is>
          <t>A 34441-2026</t>
        </is>
      </c>
      <c r="B10500" t="inlineStr">
        <is>
          <t>avverkningsanmälan</t>
        </is>
      </c>
      <c r="C10500" t="inlineStr">
        <is>
          <t>Föryngringsavverkning</t>
        </is>
      </c>
      <c r="D10500" s="1" t="n">
        <v>46254</v>
      </c>
      <c r="E10500" s="1" t="n">
        <v>46307</v>
      </c>
      <c r="F10500" t="inlineStr">
        <is>
          <t>VÄRMLANDS LÄN</t>
        </is>
      </c>
      <c r="G10500" t="inlineStr">
        <is>
          <t>KARLSTAD</t>
        </is>
      </c>
      <c r="I10500" t="n">
        <v>3.1</v>
      </c>
      <c r="J10500" t="n">
        <v>0</v>
      </c>
      <c r="K10500" t="n">
        <v>0</v>
      </c>
      <c r="L10500" t="n">
        <v>0</v>
      </c>
      <c r="M10500" t="n">
        <v>0</v>
      </c>
      <c r="N10500" t="n">
        <v>0</v>
      </c>
      <c r="O10500" t="n">
        <v>0</v>
      </c>
      <c r="P10500" t="n">
        <v>0</v>
      </c>
      <c r="Q10500" t="n">
        <v>0</v>
      </c>
      <c r="R10500" t="n">
        <v>0</v>
      </c>
      <c r="S10500" t="n">
        <v>0</v>
      </c>
      <c r="T10500" t="n">
        <v>0</v>
      </c>
      <c r="U10500" t="n">
        <v>0</v>
      </c>
      <c r="V10500" s="2" t="inlineStr"/>
    </row>
    <row r="10501" ht="15" customHeight="1">
      <c r="A10501" t="inlineStr">
        <is>
          <t>A 34493-2026</t>
        </is>
      </c>
      <c r="B10501" t="inlineStr">
        <is>
          <t>avverkningsanmälan</t>
        </is>
      </c>
      <c r="C10501" t="inlineStr">
        <is>
          <t>Föryngringsavverkning</t>
        </is>
      </c>
      <c r="D10501" s="1" t="n">
        <v>46255</v>
      </c>
      <c r="E10501" s="1" t="n">
        <v>46307</v>
      </c>
      <c r="F10501" t="inlineStr">
        <is>
          <t>VÄRMLANDS LÄN</t>
        </is>
      </c>
      <c r="G10501" t="inlineStr">
        <is>
          <t>FILIPSTAD</t>
        </is>
      </c>
      <c r="H10501" t="inlineStr">
        <is>
          <t>Bergvik skog väst AB</t>
        </is>
      </c>
      <c r="I10501" t="n">
        <v>19.2</v>
      </c>
      <c r="J10501" t="n">
        <v>0</v>
      </c>
      <c r="K10501" t="n">
        <v>0</v>
      </c>
      <c r="L10501" t="n">
        <v>0</v>
      </c>
      <c r="M10501" t="n">
        <v>0</v>
      </c>
      <c r="N10501" t="n">
        <v>0</v>
      </c>
      <c r="O10501" t="n">
        <v>0</v>
      </c>
      <c r="P10501" t="n">
        <v>0</v>
      </c>
      <c r="Q10501" t="n">
        <v>0</v>
      </c>
      <c r="R10501" t="n">
        <v>0</v>
      </c>
      <c r="S10501" t="n">
        <v>0</v>
      </c>
      <c r="T10501" t="n">
        <v>0</v>
      </c>
      <c r="U10501" t="n">
        <v>0</v>
      </c>
      <c r="V10501" s="2" t="inlineStr"/>
    </row>
    <row r="10502" ht="15" customHeight="1">
      <c r="A10502" t="inlineStr">
        <is>
          <t>A 33242-2026</t>
        </is>
      </c>
      <c r="B10502" t="inlineStr">
        <is>
          <t>avverkningsanmälan</t>
        </is>
      </c>
      <c r="C10502" t="inlineStr">
        <is>
          <t>Föryngringsavverkning</t>
        </is>
      </c>
      <c r="D10502" s="1" t="n">
        <v>46246</v>
      </c>
      <c r="E10502" s="1" t="n">
        <v>46307</v>
      </c>
      <c r="F10502" t="inlineStr">
        <is>
          <t>VÄRMLANDS LÄN</t>
        </is>
      </c>
      <c r="G10502" t="inlineStr">
        <is>
          <t>ÅRJÄNG</t>
        </is>
      </c>
      <c r="I10502" t="n">
        <v>0.9</v>
      </c>
      <c r="J10502" t="n">
        <v>0</v>
      </c>
      <c r="K10502" t="n">
        <v>0</v>
      </c>
      <c r="L10502" t="n">
        <v>0</v>
      </c>
      <c r="M10502" t="n">
        <v>0</v>
      </c>
      <c r="N10502" t="n">
        <v>0</v>
      </c>
      <c r="O10502" t="n">
        <v>0</v>
      </c>
      <c r="P10502" t="n">
        <v>0</v>
      </c>
      <c r="Q10502" t="n">
        <v>0</v>
      </c>
      <c r="R10502" t="n">
        <v>0</v>
      </c>
      <c r="S10502" t="n">
        <v>0</v>
      </c>
      <c r="T10502" t="n">
        <v>0</v>
      </c>
      <c r="U10502" t="n">
        <v>0</v>
      </c>
      <c r="V10502" s="2" t="inlineStr"/>
    </row>
    <row r="10503" ht="15" customHeight="1">
      <c r="A10503" t="inlineStr">
        <is>
          <t>A 34552-2026</t>
        </is>
      </c>
      <c r="B10503" t="inlineStr">
        <is>
          <t>avverkningsanmälan</t>
        </is>
      </c>
      <c r="C10503" t="inlineStr">
        <is>
          <t>Föryngringsavverkning</t>
        </is>
      </c>
      <c r="D10503" s="1" t="n">
        <v>46255</v>
      </c>
      <c r="E10503" s="1" t="n">
        <v>46307</v>
      </c>
      <c r="F10503" t="inlineStr">
        <is>
          <t>VÄRMLANDS LÄN</t>
        </is>
      </c>
      <c r="G10503" t="inlineStr">
        <is>
          <t>HAGFORS</t>
        </is>
      </c>
      <c r="H10503" t="inlineStr">
        <is>
          <t>Bergvik skog väst AB</t>
        </is>
      </c>
      <c r="I10503" t="n">
        <v>5.9</v>
      </c>
      <c r="J10503" t="n">
        <v>0</v>
      </c>
      <c r="K10503" t="n">
        <v>0</v>
      </c>
      <c r="L10503" t="n">
        <v>0</v>
      </c>
      <c r="M10503" t="n">
        <v>0</v>
      </c>
      <c r="N10503" t="n">
        <v>0</v>
      </c>
      <c r="O10503" t="n">
        <v>0</v>
      </c>
      <c r="P10503" t="n">
        <v>0</v>
      </c>
      <c r="Q10503" t="n">
        <v>0</v>
      </c>
      <c r="R10503" t="n">
        <v>0</v>
      </c>
      <c r="S10503" t="n">
        <v>0</v>
      </c>
      <c r="T10503" t="n">
        <v>0</v>
      </c>
      <c r="U10503" t="n">
        <v>0</v>
      </c>
      <c r="V10503" s="2" t="inlineStr"/>
    </row>
    <row r="10504" ht="15" customHeight="1">
      <c r="A10504" t="inlineStr">
        <is>
          <t>A 33938-2026</t>
        </is>
      </c>
      <c r="B10504" t="inlineStr">
        <is>
          <t>avverkningsanmälan</t>
        </is>
      </c>
      <c r="C10504" t="inlineStr">
        <is>
          <t>Föryngringsavverkning</t>
        </is>
      </c>
      <c r="D10504" s="1" t="n">
        <v>46252</v>
      </c>
      <c r="E10504" s="1" t="n">
        <v>46307</v>
      </c>
      <c r="F10504" t="inlineStr">
        <is>
          <t>VÄRMLANDS LÄN</t>
        </is>
      </c>
      <c r="G10504" t="inlineStr">
        <is>
          <t>SUNNE</t>
        </is>
      </c>
      <c r="I10504" t="n">
        <v>1.1</v>
      </c>
      <c r="J10504" t="n">
        <v>0</v>
      </c>
      <c r="K10504" t="n">
        <v>0</v>
      </c>
      <c r="L10504" t="n">
        <v>0</v>
      </c>
      <c r="M10504" t="n">
        <v>0</v>
      </c>
      <c r="N10504" t="n">
        <v>0</v>
      </c>
      <c r="O10504" t="n">
        <v>0</v>
      </c>
      <c r="P10504" t="n">
        <v>0</v>
      </c>
      <c r="Q10504" t="n">
        <v>0</v>
      </c>
      <c r="R10504" t="n">
        <v>0</v>
      </c>
      <c r="S10504" t="n">
        <v>0</v>
      </c>
      <c r="T10504" t="n">
        <v>0</v>
      </c>
      <c r="U10504" t="n">
        <v>0</v>
      </c>
      <c r="V10504" s="2" t="inlineStr"/>
    </row>
    <row r="10505" ht="15" customHeight="1">
      <c r="A10505" t="inlineStr">
        <is>
          <t>A 41509-2026</t>
        </is>
      </c>
      <c r="B10505" t="inlineStr">
        <is>
          <t>avverkningsanmälan</t>
        </is>
      </c>
      <c r="C10505" t="inlineStr">
        <is>
          <t>Föryngringsavverkning</t>
        </is>
      </c>
      <c r="D10505" s="1" t="n">
        <v>46301</v>
      </c>
      <c r="E10505" s="1" t="n">
        <v>46307</v>
      </c>
      <c r="F10505" t="inlineStr">
        <is>
          <t>VÄRMLANDS LÄN</t>
        </is>
      </c>
      <c r="G10505" t="inlineStr">
        <is>
          <t>FORSHAGA</t>
        </is>
      </c>
      <c r="I10505" t="n">
        <v>2</v>
      </c>
      <c r="J10505" t="n">
        <v>0</v>
      </c>
      <c r="K10505" t="n">
        <v>0</v>
      </c>
      <c r="L10505" t="n">
        <v>0</v>
      </c>
      <c r="M10505" t="n">
        <v>0</v>
      </c>
      <c r="N10505" t="n">
        <v>0</v>
      </c>
      <c r="O10505" t="n">
        <v>0</v>
      </c>
      <c r="P10505" t="n">
        <v>0</v>
      </c>
      <c r="Q10505" t="n">
        <v>0</v>
      </c>
      <c r="R10505" t="n">
        <v>0</v>
      </c>
      <c r="S10505" t="n">
        <v>0</v>
      </c>
      <c r="T10505" t="n">
        <v>0</v>
      </c>
      <c r="U10505" t="n">
        <v>0</v>
      </c>
      <c r="V10505" s="2" t="inlineStr"/>
    </row>
    <row r="10506" ht="15" customHeight="1">
      <c r="A10506" t="inlineStr">
        <is>
          <t>A 41650-2026</t>
        </is>
      </c>
      <c r="B10506" t="inlineStr">
        <is>
          <t>avverkningsanmälan</t>
        </is>
      </c>
      <c r="C10506" t="inlineStr">
        <is>
          <t>Föryngringsavverkning</t>
        </is>
      </c>
      <c r="D10506" s="1" t="n">
        <v>46302</v>
      </c>
      <c r="E10506" s="1" t="n">
        <v>46307</v>
      </c>
      <c r="F10506" t="inlineStr">
        <is>
          <t>VÄRMLANDS LÄN</t>
        </is>
      </c>
      <c r="G10506" t="inlineStr">
        <is>
          <t>FORSHAGA</t>
        </is>
      </c>
      <c r="I10506" t="n">
        <v>0.6</v>
      </c>
      <c r="J10506" t="n">
        <v>0</v>
      </c>
      <c r="K10506" t="n">
        <v>0</v>
      </c>
      <c r="L10506" t="n">
        <v>0</v>
      </c>
      <c r="M10506" t="n">
        <v>0</v>
      </c>
      <c r="N10506" t="n">
        <v>0</v>
      </c>
      <c r="O10506" t="n">
        <v>0</v>
      </c>
      <c r="P10506" t="n">
        <v>0</v>
      </c>
      <c r="Q10506" t="n">
        <v>0</v>
      </c>
      <c r="R10506" t="n">
        <v>0</v>
      </c>
      <c r="S10506" t="n">
        <v>0</v>
      </c>
      <c r="T10506" t="n">
        <v>0</v>
      </c>
      <c r="U10506" t="n">
        <v>0</v>
      </c>
      <c r="V10506" s="2" t="inlineStr"/>
    </row>
    <row r="10507" ht="15" customHeight="1">
      <c r="A10507" t="inlineStr">
        <is>
          <t>A 34976-2026</t>
        </is>
      </c>
      <c r="B10507" t="inlineStr">
        <is>
          <t>avverkningsanmälan</t>
        </is>
      </c>
      <c r="C10507" t="inlineStr">
        <is>
          <t>Föryngringsavverkning</t>
        </is>
      </c>
      <c r="D10507" s="1" t="n">
        <v>46259</v>
      </c>
      <c r="E10507" s="1" t="n">
        <v>46307</v>
      </c>
      <c r="F10507" t="inlineStr">
        <is>
          <t>VÄRMLANDS LÄN</t>
        </is>
      </c>
      <c r="G10507" t="inlineStr">
        <is>
          <t>ARVIKA</t>
        </is>
      </c>
      <c r="H10507" t="inlineStr">
        <is>
          <t>Bergvik skog väst AB</t>
        </is>
      </c>
      <c r="I10507" t="n">
        <v>19.3</v>
      </c>
      <c r="J10507" t="n">
        <v>0</v>
      </c>
      <c r="K10507" t="n">
        <v>0</v>
      </c>
      <c r="L10507" t="n">
        <v>0</v>
      </c>
      <c r="M10507" t="n">
        <v>0</v>
      </c>
      <c r="N10507" t="n">
        <v>0</v>
      </c>
      <c r="O10507" t="n">
        <v>0</v>
      </c>
      <c r="P10507" t="n">
        <v>0</v>
      </c>
      <c r="Q10507" t="n">
        <v>0</v>
      </c>
      <c r="R10507" t="n">
        <v>0</v>
      </c>
      <c r="S10507" t="n">
        <v>0</v>
      </c>
      <c r="T10507" t="n">
        <v>0</v>
      </c>
      <c r="U10507" t="n">
        <v>0</v>
      </c>
      <c r="V10507" s="2" t="inlineStr"/>
    </row>
    <row r="10508" ht="15" customHeight="1">
      <c r="A10508" t="inlineStr">
        <is>
          <t>A 41679-2026</t>
        </is>
      </c>
      <c r="B10508" t="inlineStr">
        <is>
          <t>avverkningsanmälan</t>
        </is>
      </c>
      <c r="C10508" t="inlineStr">
        <is>
          <t>Föryngringsavverkning</t>
        </is>
      </c>
      <c r="D10508" s="1" t="n">
        <v>46302</v>
      </c>
      <c r="E10508" s="1" t="n">
        <v>46307</v>
      </c>
      <c r="F10508" t="inlineStr">
        <is>
          <t>VÄRMLANDS LÄN</t>
        </is>
      </c>
      <c r="G10508" t="inlineStr">
        <is>
          <t>SUNNE</t>
        </is>
      </c>
      <c r="I10508" t="n">
        <v>1</v>
      </c>
      <c r="J10508" t="n">
        <v>0</v>
      </c>
      <c r="K10508" t="n">
        <v>0</v>
      </c>
      <c r="L10508" t="n">
        <v>0</v>
      </c>
      <c r="M10508" t="n">
        <v>0</v>
      </c>
      <c r="N10508" t="n">
        <v>0</v>
      </c>
      <c r="O10508" t="n">
        <v>0</v>
      </c>
      <c r="P10508" t="n">
        <v>0</v>
      </c>
      <c r="Q10508" t="n">
        <v>0</v>
      </c>
      <c r="R10508" t="n">
        <v>0</v>
      </c>
      <c r="S10508" t="n">
        <v>0</v>
      </c>
      <c r="T10508" t="n">
        <v>0</v>
      </c>
      <c r="U10508" t="n">
        <v>0</v>
      </c>
      <c r="V10508" s="2" t="inlineStr"/>
    </row>
    <row r="10509" ht="15" customHeight="1">
      <c r="A10509" t="inlineStr">
        <is>
          <t>A 34916-2026</t>
        </is>
      </c>
      <c r="B10509" t="inlineStr">
        <is>
          <t>avverkningsanmälan</t>
        </is>
      </c>
      <c r="C10509" t="inlineStr">
        <is>
          <t>Föryngringsavverkning</t>
        </is>
      </c>
      <c r="D10509" s="1" t="n">
        <v>46259</v>
      </c>
      <c r="E10509" s="1" t="n">
        <v>46307</v>
      </c>
      <c r="F10509" t="inlineStr">
        <is>
          <t>VÄRMLANDS LÄN</t>
        </is>
      </c>
      <c r="G10509" t="inlineStr">
        <is>
          <t>FILIPSTAD</t>
        </is>
      </c>
      <c r="H10509" t="inlineStr">
        <is>
          <t>Bergvik skog väst AB</t>
        </is>
      </c>
      <c r="I10509" t="n">
        <v>5.3</v>
      </c>
      <c r="J10509" t="n">
        <v>0</v>
      </c>
      <c r="K10509" t="n">
        <v>0</v>
      </c>
      <c r="L10509" t="n">
        <v>0</v>
      </c>
      <c r="M10509" t="n">
        <v>0</v>
      </c>
      <c r="N10509" t="n">
        <v>0</v>
      </c>
      <c r="O10509" t="n">
        <v>0</v>
      </c>
      <c r="P10509" t="n">
        <v>0</v>
      </c>
      <c r="Q10509" t="n">
        <v>0</v>
      </c>
      <c r="R10509" t="n">
        <v>0</v>
      </c>
      <c r="S10509" t="n">
        <v>0</v>
      </c>
      <c r="T10509" t="n">
        <v>0</v>
      </c>
      <c r="U10509" t="n">
        <v>0</v>
      </c>
      <c r="V10509" s="2" t="inlineStr"/>
    </row>
    <row r="10510" ht="15" customHeight="1">
      <c r="A10510" t="inlineStr">
        <is>
          <t>A 34934-2026</t>
        </is>
      </c>
      <c r="B10510" t="inlineStr">
        <is>
          <t>avverkningsanmälan</t>
        </is>
      </c>
      <c r="C10510" t="inlineStr">
        <is>
          <t>Föryngringsavverkning</t>
        </is>
      </c>
      <c r="D10510" s="1" t="n">
        <v>46259</v>
      </c>
      <c r="E10510" s="1" t="n">
        <v>46307</v>
      </c>
      <c r="F10510" t="inlineStr">
        <is>
          <t>VÄRMLANDS LÄN</t>
        </is>
      </c>
      <c r="G10510" t="inlineStr">
        <is>
          <t>TORSBY</t>
        </is>
      </c>
      <c r="I10510" t="n">
        <v>5.5</v>
      </c>
      <c r="J10510" t="n">
        <v>0</v>
      </c>
      <c r="K10510" t="n">
        <v>0</v>
      </c>
      <c r="L10510" t="n">
        <v>0</v>
      </c>
      <c r="M10510" t="n">
        <v>0</v>
      </c>
      <c r="N10510" t="n">
        <v>0</v>
      </c>
      <c r="O10510" t="n">
        <v>0</v>
      </c>
      <c r="P10510" t="n">
        <v>0</v>
      </c>
      <c r="Q10510" t="n">
        <v>0</v>
      </c>
      <c r="R10510" t="n">
        <v>0</v>
      </c>
      <c r="S10510" t="n">
        <v>0</v>
      </c>
      <c r="T10510" t="n">
        <v>0</v>
      </c>
      <c r="U10510" t="n">
        <v>0</v>
      </c>
      <c r="V10510" s="2" t="inlineStr"/>
    </row>
    <row r="10511" ht="15" customHeight="1">
      <c r="A10511" t="inlineStr">
        <is>
          <t>A 34981-2026</t>
        </is>
      </c>
      <c r="B10511" t="inlineStr">
        <is>
          <t>avverkningsanmälan</t>
        </is>
      </c>
      <c r="C10511" t="inlineStr">
        <is>
          <t>Föryngringsavverkning</t>
        </is>
      </c>
      <c r="D10511" s="1" t="n">
        <v>46259</v>
      </c>
      <c r="E10511" s="1" t="n">
        <v>46307</v>
      </c>
      <c r="F10511" t="inlineStr">
        <is>
          <t>VÄRMLANDS LÄN</t>
        </is>
      </c>
      <c r="G10511" t="inlineStr">
        <is>
          <t>MUNKFORS</t>
        </is>
      </c>
      <c r="H10511" t="inlineStr">
        <is>
          <t>Bergvik skog väst AB</t>
        </is>
      </c>
      <c r="I10511" t="n">
        <v>1.5</v>
      </c>
      <c r="J10511" t="n">
        <v>0</v>
      </c>
      <c r="K10511" t="n">
        <v>0</v>
      </c>
      <c r="L10511" t="n">
        <v>0</v>
      </c>
      <c r="M10511" t="n">
        <v>0</v>
      </c>
      <c r="N10511" t="n">
        <v>0</v>
      </c>
      <c r="O10511" t="n">
        <v>0</v>
      </c>
      <c r="P10511" t="n">
        <v>0</v>
      </c>
      <c r="Q10511" t="n">
        <v>0</v>
      </c>
      <c r="R10511" t="n">
        <v>0</v>
      </c>
      <c r="S10511" t="n">
        <v>0</v>
      </c>
      <c r="T10511" t="n">
        <v>0</v>
      </c>
      <c r="U10511" t="n">
        <v>0</v>
      </c>
      <c r="V10511" s="2" t="inlineStr"/>
    </row>
    <row r="10512" ht="15" customHeight="1">
      <c r="A10512" t="inlineStr">
        <is>
          <t>A 15659-2026</t>
        </is>
      </c>
      <c r="B10512" t="inlineStr">
        <is>
          <t>avverkningsanmälan</t>
        </is>
      </c>
      <c r="C10512" t="inlineStr">
        <is>
          <t>Föryngringsavverkning</t>
        </is>
      </c>
      <c r="D10512" s="1" t="n">
        <v>46106</v>
      </c>
      <c r="E10512" s="1" t="n">
        <v>46307</v>
      </c>
      <c r="F10512" t="inlineStr">
        <is>
          <t>VÄRMLANDS LÄN</t>
        </is>
      </c>
      <c r="G10512" t="inlineStr">
        <is>
          <t>TORSBY</t>
        </is>
      </c>
      <c r="I10512" t="n">
        <v>1.1</v>
      </c>
      <c r="J10512" t="n">
        <v>0</v>
      </c>
      <c r="K10512" t="n">
        <v>0</v>
      </c>
      <c r="L10512" t="n">
        <v>0</v>
      </c>
      <c r="M10512" t="n">
        <v>0</v>
      </c>
      <c r="N10512" t="n">
        <v>0</v>
      </c>
      <c r="O10512" t="n">
        <v>0</v>
      </c>
      <c r="P10512" t="n">
        <v>0</v>
      </c>
      <c r="Q10512" t="n">
        <v>0</v>
      </c>
      <c r="R10512" t="n">
        <v>0</v>
      </c>
      <c r="S10512" t="n">
        <v>0</v>
      </c>
      <c r="T10512" t="n">
        <v>0</v>
      </c>
      <c r="U10512" t="n">
        <v>0</v>
      </c>
      <c r="V10512" s="2" t="inlineStr"/>
    </row>
    <row r="10513" ht="15" customHeight="1">
      <c r="A10513" t="inlineStr">
        <is>
          <t>A 34637-2026</t>
        </is>
      </c>
      <c r="B10513" t="inlineStr">
        <is>
          <t>avverkningsanmälan</t>
        </is>
      </c>
      <c r="C10513" t="inlineStr">
        <is>
          <t>Föryngringsavverkning</t>
        </is>
      </c>
      <c r="D10513" s="1" t="n">
        <v>46255</v>
      </c>
      <c r="E10513" s="1" t="n">
        <v>46307</v>
      </c>
      <c r="F10513" t="inlineStr">
        <is>
          <t>VÄRMLANDS LÄN</t>
        </is>
      </c>
      <c r="G10513" t="inlineStr">
        <is>
          <t>FORSHAGA</t>
        </is>
      </c>
      <c r="I10513" t="n">
        <v>1.4</v>
      </c>
      <c r="J10513" t="n">
        <v>0</v>
      </c>
      <c r="K10513" t="n">
        <v>0</v>
      </c>
      <c r="L10513" t="n">
        <v>0</v>
      </c>
      <c r="M10513" t="n">
        <v>0</v>
      </c>
      <c r="N10513" t="n">
        <v>0</v>
      </c>
      <c r="O10513" t="n">
        <v>0</v>
      </c>
      <c r="P10513" t="n">
        <v>0</v>
      </c>
      <c r="Q10513" t="n">
        <v>0</v>
      </c>
      <c r="R10513" t="n">
        <v>0</v>
      </c>
      <c r="S10513" t="n">
        <v>0</v>
      </c>
      <c r="T10513" t="n">
        <v>0</v>
      </c>
      <c r="U10513" t="n">
        <v>0</v>
      </c>
      <c r="V10513" s="2" t="inlineStr"/>
    </row>
    <row r="10514" ht="15" customHeight="1">
      <c r="A10514" t="inlineStr">
        <is>
          <t>A 41730-2026</t>
        </is>
      </c>
      <c r="B10514" t="inlineStr">
        <is>
          <t>avverkningsanmälan</t>
        </is>
      </c>
      <c r="C10514" t="inlineStr">
        <is>
          <t>Föryngringsavverkning</t>
        </is>
      </c>
      <c r="D10514" s="1" t="n">
        <v>46302</v>
      </c>
      <c r="E10514" s="1" t="n">
        <v>46307</v>
      </c>
      <c r="F10514" t="inlineStr">
        <is>
          <t>VÄRMLANDS LÄN</t>
        </is>
      </c>
      <c r="G10514" t="inlineStr">
        <is>
          <t>TORSBY</t>
        </is>
      </c>
      <c r="I10514" t="n">
        <v>2.9</v>
      </c>
      <c r="J10514" t="n">
        <v>0</v>
      </c>
      <c r="K10514" t="n">
        <v>0</v>
      </c>
      <c r="L10514" t="n">
        <v>0</v>
      </c>
      <c r="M10514" t="n">
        <v>0</v>
      </c>
      <c r="N10514" t="n">
        <v>0</v>
      </c>
      <c r="O10514" t="n">
        <v>0</v>
      </c>
      <c r="P10514" t="n">
        <v>0</v>
      </c>
      <c r="Q10514" t="n">
        <v>0</v>
      </c>
      <c r="R10514" t="n">
        <v>0</v>
      </c>
      <c r="S10514" t="n">
        <v>0</v>
      </c>
      <c r="T10514" t="n">
        <v>0</v>
      </c>
      <c r="U10514" t="n">
        <v>0</v>
      </c>
      <c r="V10514" s="2" t="inlineStr"/>
    </row>
    <row r="10515" ht="15" customHeight="1">
      <c r="A10515" t="inlineStr">
        <is>
          <t>A 28035-2024</t>
        </is>
      </c>
      <c r="B10515" t="inlineStr">
        <is>
          <t>avverkningsanmälan</t>
        </is>
      </c>
      <c r="C10515" t="inlineStr">
        <is>
          <t>Föryngringsavverkning</t>
        </is>
      </c>
      <c r="D10515" s="1" t="n">
        <v>45476</v>
      </c>
      <c r="E10515" s="1" t="n">
        <v>46307</v>
      </c>
      <c r="F10515" t="inlineStr">
        <is>
          <t>VÄRMLANDS LÄN</t>
        </is>
      </c>
      <c r="G10515" t="inlineStr">
        <is>
          <t>TORSBY</t>
        </is>
      </c>
      <c r="I10515" t="n">
        <v>13</v>
      </c>
      <c r="J10515" t="n">
        <v>0</v>
      </c>
      <c r="K10515" t="n">
        <v>0</v>
      </c>
      <c r="L10515" t="n">
        <v>0</v>
      </c>
      <c r="M10515" t="n">
        <v>0</v>
      </c>
      <c r="N10515" t="n">
        <v>0</v>
      </c>
      <c r="O10515" t="n">
        <v>0</v>
      </c>
      <c r="P10515" t="n">
        <v>0</v>
      </c>
      <c r="Q10515" t="n">
        <v>0</v>
      </c>
      <c r="R10515" t="n">
        <v>0</v>
      </c>
      <c r="S10515" t="n">
        <v>0</v>
      </c>
      <c r="T10515" t="n">
        <v>0</v>
      </c>
      <c r="U10515" t="n">
        <v>0</v>
      </c>
      <c r="V10515" s="2" t="inlineStr"/>
    </row>
    <row r="10516" ht="15" customHeight="1">
      <c r="A10516" t="inlineStr">
        <is>
          <t>A 35045-2026</t>
        </is>
      </c>
      <c r="B10516" t="inlineStr">
        <is>
          <t>avverkningsanmälan</t>
        </is>
      </c>
      <c r="C10516" t="inlineStr">
        <is>
          <t>Föryngringsavverkning</t>
        </is>
      </c>
      <c r="D10516" s="1" t="n">
        <v>46259</v>
      </c>
      <c r="E10516" s="1" t="n">
        <v>46307</v>
      </c>
      <c r="F10516" t="inlineStr">
        <is>
          <t>VÄRMLANDS LÄN</t>
        </is>
      </c>
      <c r="G10516" t="inlineStr">
        <is>
          <t>SUNNE</t>
        </is>
      </c>
      <c r="I10516" t="n">
        <v>4.1</v>
      </c>
      <c r="J10516" t="n">
        <v>0</v>
      </c>
      <c r="K10516" t="n">
        <v>0</v>
      </c>
      <c r="L10516" t="n">
        <v>0</v>
      </c>
      <c r="M10516" t="n">
        <v>0</v>
      </c>
      <c r="N10516" t="n">
        <v>0</v>
      </c>
      <c r="O10516" t="n">
        <v>0</v>
      </c>
      <c r="P10516" t="n">
        <v>0</v>
      </c>
      <c r="Q10516" t="n">
        <v>0</v>
      </c>
      <c r="R10516" t="n">
        <v>0</v>
      </c>
      <c r="S10516" t="n">
        <v>0</v>
      </c>
      <c r="T10516" t="n">
        <v>0</v>
      </c>
      <c r="U10516" t="n">
        <v>0</v>
      </c>
      <c r="V10516" s="2" t="inlineStr"/>
    </row>
    <row r="10517" ht="15" customHeight="1">
      <c r="A10517" t="inlineStr">
        <is>
          <t>A 41720-2026</t>
        </is>
      </c>
      <c r="B10517" t="inlineStr">
        <is>
          <t>avverkningsanmälan</t>
        </is>
      </c>
      <c r="C10517" t="inlineStr">
        <is>
          <t>Föryngringsavverkning</t>
        </is>
      </c>
      <c r="D10517" s="1" t="n">
        <v>46302</v>
      </c>
      <c r="E10517" s="1" t="n">
        <v>46307</v>
      </c>
      <c r="F10517" t="inlineStr">
        <is>
          <t>VÄRMLANDS LÄN</t>
        </is>
      </c>
      <c r="G10517" t="inlineStr">
        <is>
          <t>TORSBY</t>
        </is>
      </c>
      <c r="I10517" t="n">
        <v>0.8</v>
      </c>
      <c r="J10517" t="n">
        <v>0</v>
      </c>
      <c r="K10517" t="n">
        <v>0</v>
      </c>
      <c r="L10517" t="n">
        <v>0</v>
      </c>
      <c r="M10517" t="n">
        <v>0</v>
      </c>
      <c r="N10517" t="n">
        <v>0</v>
      </c>
      <c r="O10517" t="n">
        <v>0</v>
      </c>
      <c r="P10517" t="n">
        <v>0</v>
      </c>
      <c r="Q10517" t="n">
        <v>0</v>
      </c>
      <c r="R10517" t="n">
        <v>0</v>
      </c>
      <c r="S10517" t="n">
        <v>0</v>
      </c>
      <c r="T10517" t="n">
        <v>0</v>
      </c>
      <c r="U10517" t="n">
        <v>0</v>
      </c>
      <c r="V10517" s="2" t="inlineStr"/>
    </row>
    <row r="10518" ht="15" customHeight="1">
      <c r="A10518" t="inlineStr">
        <is>
          <t>A 34777-2026</t>
        </is>
      </c>
      <c r="B10518" t="inlineStr">
        <is>
          <t>avverkningsanmälan</t>
        </is>
      </c>
      <c r="C10518" t="inlineStr">
        <is>
          <t>Föryngringsavverkning</t>
        </is>
      </c>
      <c r="D10518" s="1" t="n">
        <v>46258</v>
      </c>
      <c r="E10518" s="1" t="n">
        <v>46307</v>
      </c>
      <c r="F10518" t="inlineStr">
        <is>
          <t>VÄRMLANDS LÄN</t>
        </is>
      </c>
      <c r="G10518" t="inlineStr">
        <is>
          <t>SUNNE</t>
        </is>
      </c>
      <c r="I10518" t="n">
        <v>1.2</v>
      </c>
      <c r="J10518" t="n">
        <v>0</v>
      </c>
      <c r="K10518" t="n">
        <v>0</v>
      </c>
      <c r="L10518" t="n">
        <v>0</v>
      </c>
      <c r="M10518" t="n">
        <v>0</v>
      </c>
      <c r="N10518" t="n">
        <v>0</v>
      </c>
      <c r="O10518" t="n">
        <v>0</v>
      </c>
      <c r="P10518" t="n">
        <v>0</v>
      </c>
      <c r="Q10518" t="n">
        <v>0</v>
      </c>
      <c r="R10518" t="n">
        <v>0</v>
      </c>
      <c r="S10518" t="n">
        <v>0</v>
      </c>
      <c r="T10518" t="n">
        <v>0</v>
      </c>
      <c r="U10518" t="n">
        <v>0</v>
      </c>
      <c r="V10518" s="2" t="inlineStr"/>
    </row>
    <row r="10519" ht="15" customHeight="1">
      <c r="A10519" t="inlineStr">
        <is>
          <t>A 41778-2026</t>
        </is>
      </c>
      <c r="B10519" t="inlineStr">
        <is>
          <t>avverkningsanmälan</t>
        </is>
      </c>
      <c r="C10519" t="inlineStr">
        <is>
          <t>Föryngringsavverkning</t>
        </is>
      </c>
      <c r="D10519" s="1" t="n">
        <v>46302</v>
      </c>
      <c r="E10519" s="1" t="n">
        <v>46307</v>
      </c>
      <c r="F10519" t="inlineStr">
        <is>
          <t>VÄRMLANDS LÄN</t>
        </is>
      </c>
      <c r="G10519" t="inlineStr">
        <is>
          <t>KRISTINEHAMN</t>
        </is>
      </c>
      <c r="I10519" t="n">
        <v>12</v>
      </c>
      <c r="J10519" t="n">
        <v>0</v>
      </c>
      <c r="K10519" t="n">
        <v>0</v>
      </c>
      <c r="L10519" t="n">
        <v>0</v>
      </c>
      <c r="M10519" t="n">
        <v>0</v>
      </c>
      <c r="N10519" t="n">
        <v>0</v>
      </c>
      <c r="O10519" t="n">
        <v>0</v>
      </c>
      <c r="P10519" t="n">
        <v>0</v>
      </c>
      <c r="Q10519" t="n">
        <v>0</v>
      </c>
      <c r="R10519" t="n">
        <v>0</v>
      </c>
      <c r="S10519" t="n">
        <v>0</v>
      </c>
      <c r="T10519" t="n">
        <v>0</v>
      </c>
      <c r="U10519" t="n">
        <v>0</v>
      </c>
      <c r="V10519" s="2" t="inlineStr"/>
    </row>
    <row r="10520" ht="15" customHeight="1">
      <c r="A10520" t="inlineStr">
        <is>
          <t>A 40176-2026</t>
        </is>
      </c>
      <c r="B10520" t="inlineStr">
        <is>
          <t>avverkningsanmälan</t>
        </is>
      </c>
      <c r="C10520" t="inlineStr">
        <is>
          <t>Föryngringsavverkning</t>
        </is>
      </c>
      <c r="D10520" s="1" t="n">
        <v>46290</v>
      </c>
      <c r="E10520" s="1" t="n">
        <v>46307</v>
      </c>
      <c r="F10520" t="inlineStr">
        <is>
          <t>VÄRMLANDS LÄN</t>
        </is>
      </c>
      <c r="G10520" t="inlineStr">
        <is>
          <t>HAGFORS</t>
        </is>
      </c>
      <c r="I10520" t="n">
        <v>14.3</v>
      </c>
      <c r="J10520" t="n">
        <v>0</v>
      </c>
      <c r="K10520" t="n">
        <v>0</v>
      </c>
      <c r="L10520" t="n">
        <v>0</v>
      </c>
      <c r="M10520" t="n">
        <v>0</v>
      </c>
      <c r="N10520" t="n">
        <v>0</v>
      </c>
      <c r="O10520" t="n">
        <v>0</v>
      </c>
      <c r="P10520" t="n">
        <v>0</v>
      </c>
      <c r="Q10520" t="n">
        <v>0</v>
      </c>
      <c r="R10520" t="n">
        <v>0</v>
      </c>
      <c r="S10520" t="n">
        <v>0</v>
      </c>
      <c r="T10520" t="n">
        <v>0</v>
      </c>
      <c r="U10520" t="n">
        <v>0</v>
      </c>
      <c r="V10520" s="2" t="inlineStr"/>
    </row>
    <row r="10521" ht="15" customHeight="1">
      <c r="A10521" t="inlineStr">
        <is>
          <t>A 41581-2026</t>
        </is>
      </c>
      <c r="B10521" t="inlineStr">
        <is>
          <t>avverkningsanmälan</t>
        </is>
      </c>
      <c r="C10521" t="inlineStr">
        <is>
          <t>Föryngringsavverkning</t>
        </is>
      </c>
      <c r="D10521" s="1" t="n">
        <v>46301</v>
      </c>
      <c r="E10521" s="1" t="n">
        <v>46307</v>
      </c>
      <c r="F10521" t="inlineStr">
        <is>
          <t>VÄRMLANDS LÄN</t>
        </is>
      </c>
      <c r="G10521" t="inlineStr">
        <is>
          <t>HAGFORS</t>
        </is>
      </c>
      <c r="I10521" t="n">
        <v>1.3</v>
      </c>
      <c r="J10521" t="n">
        <v>0</v>
      </c>
      <c r="K10521" t="n">
        <v>0</v>
      </c>
      <c r="L10521" t="n">
        <v>0</v>
      </c>
      <c r="M10521" t="n">
        <v>0</v>
      </c>
      <c r="N10521" t="n">
        <v>0</v>
      </c>
      <c r="O10521" t="n">
        <v>0</v>
      </c>
      <c r="P10521" t="n">
        <v>0</v>
      </c>
      <c r="Q10521" t="n">
        <v>0</v>
      </c>
      <c r="R10521" t="n">
        <v>0</v>
      </c>
      <c r="S10521" t="n">
        <v>0</v>
      </c>
      <c r="T10521" t="n">
        <v>0</v>
      </c>
      <c r="U10521" t="n">
        <v>0</v>
      </c>
      <c r="V10521" s="2" t="inlineStr"/>
    </row>
    <row r="10522" ht="15" customHeight="1">
      <c r="A10522" t="inlineStr">
        <is>
          <t>A 35017-2026</t>
        </is>
      </c>
      <c r="B10522" t="inlineStr">
        <is>
          <t>avverkningsanmälan</t>
        </is>
      </c>
      <c r="C10522" t="inlineStr">
        <is>
          <t>Föryngringsavverkning</t>
        </is>
      </c>
      <c r="D10522" s="1" t="n">
        <v>46259</v>
      </c>
      <c r="E10522" s="1" t="n">
        <v>46307</v>
      </c>
      <c r="F10522" t="inlineStr">
        <is>
          <t>VÄRMLANDS LÄN</t>
        </is>
      </c>
      <c r="G10522" t="inlineStr">
        <is>
          <t>SUNNE</t>
        </is>
      </c>
      <c r="I10522" t="n">
        <v>1.6</v>
      </c>
      <c r="J10522" t="n">
        <v>0</v>
      </c>
      <c r="K10522" t="n">
        <v>0</v>
      </c>
      <c r="L10522" t="n">
        <v>0</v>
      </c>
      <c r="M10522" t="n">
        <v>0</v>
      </c>
      <c r="N10522" t="n">
        <v>0</v>
      </c>
      <c r="O10522" t="n">
        <v>0</v>
      </c>
      <c r="P10522" t="n">
        <v>0</v>
      </c>
      <c r="Q10522" t="n">
        <v>0</v>
      </c>
      <c r="R10522" t="n">
        <v>0</v>
      </c>
      <c r="S10522" t="n">
        <v>0</v>
      </c>
      <c r="T10522" t="n">
        <v>0</v>
      </c>
      <c r="U10522" t="n">
        <v>0</v>
      </c>
      <c r="V10522" s="2" t="inlineStr"/>
    </row>
    <row r="10523" ht="15" customHeight="1">
      <c r="A10523" t="inlineStr">
        <is>
          <t>A 34931-2026</t>
        </is>
      </c>
      <c r="B10523" t="inlineStr">
        <is>
          <t>avverkningsanmälan</t>
        </is>
      </c>
      <c r="C10523" t="inlineStr">
        <is>
          <t>Föryngringsavverkning</t>
        </is>
      </c>
      <c r="D10523" s="1" t="n">
        <v>46259</v>
      </c>
      <c r="E10523" s="1" t="n">
        <v>46307</v>
      </c>
      <c r="F10523" t="inlineStr">
        <is>
          <t>VÄRMLANDS LÄN</t>
        </is>
      </c>
      <c r="G10523" t="inlineStr">
        <is>
          <t>SUNNE</t>
        </is>
      </c>
      <c r="I10523" t="n">
        <v>2.6</v>
      </c>
      <c r="J10523" t="n">
        <v>0</v>
      </c>
      <c r="K10523" t="n">
        <v>0</v>
      </c>
      <c r="L10523" t="n">
        <v>0</v>
      </c>
      <c r="M10523" t="n">
        <v>0</v>
      </c>
      <c r="N10523" t="n">
        <v>0</v>
      </c>
      <c r="O10523" t="n">
        <v>0</v>
      </c>
      <c r="P10523" t="n">
        <v>0</v>
      </c>
      <c r="Q10523" t="n">
        <v>0</v>
      </c>
      <c r="R10523" t="n">
        <v>0</v>
      </c>
      <c r="S10523" t="n">
        <v>0</v>
      </c>
      <c r="T10523" t="n">
        <v>0</v>
      </c>
      <c r="U10523" t="n">
        <v>0</v>
      </c>
      <c r="V10523" s="2" t="inlineStr"/>
    </row>
    <row r="10524" ht="15" customHeight="1">
      <c r="A10524" t="inlineStr">
        <is>
          <t>A 34788-2026</t>
        </is>
      </c>
      <c r="B10524" t="inlineStr">
        <is>
          <t>avverkningsanmälan</t>
        </is>
      </c>
      <c r="C10524" t="inlineStr">
        <is>
          <t>Avverkning för annat ändamål</t>
        </is>
      </c>
      <c r="D10524" s="1" t="n">
        <v>46258</v>
      </c>
      <c r="E10524" s="1" t="n">
        <v>46307</v>
      </c>
      <c r="F10524" t="inlineStr">
        <is>
          <t>VÄRMLANDS LÄN</t>
        </is>
      </c>
      <c r="G10524" t="inlineStr">
        <is>
          <t>KARLSTAD</t>
        </is>
      </c>
      <c r="I10524" t="n">
        <v>0.2</v>
      </c>
      <c r="J10524" t="n">
        <v>0</v>
      </c>
      <c r="K10524" t="n">
        <v>0</v>
      </c>
      <c r="L10524" t="n">
        <v>0</v>
      </c>
      <c r="M10524" t="n">
        <v>0</v>
      </c>
      <c r="N10524" t="n">
        <v>0</v>
      </c>
      <c r="O10524" t="n">
        <v>0</v>
      </c>
      <c r="P10524" t="n">
        <v>0</v>
      </c>
      <c r="Q10524" t="n">
        <v>0</v>
      </c>
      <c r="R10524" t="n">
        <v>0</v>
      </c>
      <c r="S10524" t="n">
        <v>0</v>
      </c>
      <c r="T10524" t="n">
        <v>0</v>
      </c>
      <c r="U10524" t="n">
        <v>0</v>
      </c>
      <c r="V10524" s="2" t="inlineStr"/>
    </row>
    <row r="10525" ht="15" customHeight="1">
      <c r="A10525" t="inlineStr">
        <is>
          <t>A 34797-2026</t>
        </is>
      </c>
      <c r="B10525" t="inlineStr">
        <is>
          <t>avverkningsanmälan</t>
        </is>
      </c>
      <c r="C10525" t="inlineStr">
        <is>
          <t>Föryngringsavverkning</t>
        </is>
      </c>
      <c r="D10525" s="1" t="n">
        <v>46258</v>
      </c>
      <c r="E10525" s="1" t="n">
        <v>46307</v>
      </c>
      <c r="F10525" t="inlineStr">
        <is>
          <t>VÄRMLANDS LÄN</t>
        </is>
      </c>
      <c r="G10525" t="inlineStr">
        <is>
          <t>HAGFORS</t>
        </is>
      </c>
      <c r="H10525" t="inlineStr">
        <is>
          <t>Bergvik skog väst AB</t>
        </is>
      </c>
      <c r="I10525" t="n">
        <v>6.8</v>
      </c>
      <c r="J10525" t="n">
        <v>0</v>
      </c>
      <c r="K10525" t="n">
        <v>0</v>
      </c>
      <c r="L10525" t="n">
        <v>0</v>
      </c>
      <c r="M10525" t="n">
        <v>0</v>
      </c>
      <c r="N10525" t="n">
        <v>0</v>
      </c>
      <c r="O10525" t="n">
        <v>0</v>
      </c>
      <c r="P10525" t="n">
        <v>0</v>
      </c>
      <c r="Q10525" t="n">
        <v>0</v>
      </c>
      <c r="R10525" t="n">
        <v>0</v>
      </c>
      <c r="S10525" t="n">
        <v>0</v>
      </c>
      <c r="T10525" t="n">
        <v>0</v>
      </c>
      <c r="U10525" t="n">
        <v>0</v>
      </c>
      <c r="V10525" s="2" t="inlineStr"/>
    </row>
    <row r="10526" ht="15" customHeight="1">
      <c r="A10526" t="inlineStr">
        <is>
          <t>A 34716-2026</t>
        </is>
      </c>
      <c r="B10526" t="inlineStr">
        <is>
          <t>avverkningsanmälan</t>
        </is>
      </c>
      <c r="C10526" t="inlineStr">
        <is>
          <t>Föryngringsavverkning</t>
        </is>
      </c>
      <c r="D10526" s="1" t="n">
        <v>46258</v>
      </c>
      <c r="E10526" s="1" t="n">
        <v>46307</v>
      </c>
      <c r="F10526" t="inlineStr">
        <is>
          <t>VÄRMLANDS LÄN</t>
        </is>
      </c>
      <c r="G10526" t="inlineStr">
        <is>
          <t>SUNNE</t>
        </is>
      </c>
      <c r="H10526" t="inlineStr">
        <is>
          <t>Bergvik skog väst AB</t>
        </is>
      </c>
      <c r="I10526" t="n">
        <v>11.9</v>
      </c>
      <c r="J10526" t="n">
        <v>0</v>
      </c>
      <c r="K10526" t="n">
        <v>0</v>
      </c>
      <c r="L10526" t="n">
        <v>0</v>
      </c>
      <c r="M10526" t="n">
        <v>0</v>
      </c>
      <c r="N10526" t="n">
        <v>0</v>
      </c>
      <c r="O10526" t="n">
        <v>0</v>
      </c>
      <c r="P10526" t="n">
        <v>0</v>
      </c>
      <c r="Q10526" t="n">
        <v>0</v>
      </c>
      <c r="R10526" t="n">
        <v>0</v>
      </c>
      <c r="S10526" t="n">
        <v>0</v>
      </c>
      <c r="T10526" t="n">
        <v>0</v>
      </c>
      <c r="U10526" t="n">
        <v>0</v>
      </c>
      <c r="V10526" s="2" t="inlineStr"/>
    </row>
    <row r="10527" ht="15" customHeight="1">
      <c r="A10527" t="inlineStr">
        <is>
          <t>A 34718-2026</t>
        </is>
      </c>
      <c r="B10527" t="inlineStr">
        <is>
          <t>avverkningsanmälan</t>
        </is>
      </c>
      <c r="C10527" t="inlineStr">
        <is>
          <t>Föryngringsavverkning</t>
        </is>
      </c>
      <c r="D10527" s="1" t="n">
        <v>46258</v>
      </c>
      <c r="E10527" s="1" t="n">
        <v>46307</v>
      </c>
      <c r="F10527" t="inlineStr">
        <is>
          <t>VÄRMLANDS LÄN</t>
        </is>
      </c>
      <c r="G10527" t="inlineStr">
        <is>
          <t>STORFORS</t>
        </is>
      </c>
      <c r="I10527" t="n">
        <v>0.7</v>
      </c>
      <c r="J10527" t="n">
        <v>0</v>
      </c>
      <c r="K10527" t="n">
        <v>0</v>
      </c>
      <c r="L10527" t="n">
        <v>0</v>
      </c>
      <c r="M10527" t="n">
        <v>0</v>
      </c>
      <c r="N10527" t="n">
        <v>0</v>
      </c>
      <c r="O10527" t="n">
        <v>0</v>
      </c>
      <c r="P10527" t="n">
        <v>0</v>
      </c>
      <c r="Q10527" t="n">
        <v>0</v>
      </c>
      <c r="R10527" t="n">
        <v>0</v>
      </c>
      <c r="S10527" t="n">
        <v>0</v>
      </c>
      <c r="T10527" t="n">
        <v>0</v>
      </c>
      <c r="U10527" t="n">
        <v>0</v>
      </c>
      <c r="V10527" s="2" t="inlineStr"/>
    </row>
    <row r="10528" ht="15" customHeight="1">
      <c r="A10528" t="inlineStr">
        <is>
          <t>A 18115-2025</t>
        </is>
      </c>
      <c r="B10528" t="inlineStr">
        <is>
          <t>avverkningsanmälan</t>
        </is>
      </c>
      <c r="C10528" t="inlineStr">
        <is>
          <t>Föryngringsavverkning</t>
        </is>
      </c>
      <c r="D10528" s="1" t="n">
        <v>45761</v>
      </c>
      <c r="E10528" s="1" t="n">
        <v>46307</v>
      </c>
      <c r="F10528" t="inlineStr">
        <is>
          <t>VÄRMLANDS LÄN</t>
        </is>
      </c>
      <c r="G10528" t="inlineStr">
        <is>
          <t>TORSBY</t>
        </is>
      </c>
      <c r="I10528" t="n">
        <v>2.8</v>
      </c>
      <c r="J10528" t="n">
        <v>0</v>
      </c>
      <c r="K10528" t="n">
        <v>0</v>
      </c>
      <c r="L10528" t="n">
        <v>0</v>
      </c>
      <c r="M10528" t="n">
        <v>0</v>
      </c>
      <c r="N10528" t="n">
        <v>0</v>
      </c>
      <c r="O10528" t="n">
        <v>0</v>
      </c>
      <c r="P10528" t="n">
        <v>0</v>
      </c>
      <c r="Q10528" t="n">
        <v>0</v>
      </c>
      <c r="R10528" t="n">
        <v>0</v>
      </c>
      <c r="S10528" t="n">
        <v>0</v>
      </c>
      <c r="T10528" t="n">
        <v>0</v>
      </c>
      <c r="U10528" t="n">
        <v>0</v>
      </c>
      <c r="V10528" s="2" t="inlineStr"/>
    </row>
    <row r="10529" ht="15" customHeight="1">
      <c r="A10529" t="inlineStr">
        <is>
          <t>A 35004-2026</t>
        </is>
      </c>
      <c r="B10529" t="inlineStr">
        <is>
          <t>avverkningsanmälan</t>
        </is>
      </c>
      <c r="C10529" t="inlineStr">
        <is>
          <t>Föryngringsavverkning</t>
        </is>
      </c>
      <c r="D10529" s="1" t="n">
        <v>46259</v>
      </c>
      <c r="E10529" s="1" t="n">
        <v>46307</v>
      </c>
      <c r="F10529" t="inlineStr">
        <is>
          <t>VÄRMLANDS LÄN</t>
        </is>
      </c>
      <c r="G10529" t="inlineStr">
        <is>
          <t>ARVIKA</t>
        </is>
      </c>
      <c r="H10529" t="inlineStr">
        <is>
          <t>Bergvik skog väst AB</t>
        </is>
      </c>
      <c r="I10529" t="n">
        <v>6.1</v>
      </c>
      <c r="J10529" t="n">
        <v>0</v>
      </c>
      <c r="K10529" t="n">
        <v>0</v>
      </c>
      <c r="L10529" t="n">
        <v>0</v>
      </c>
      <c r="M10529" t="n">
        <v>0</v>
      </c>
      <c r="N10529" t="n">
        <v>0</v>
      </c>
      <c r="O10529" t="n">
        <v>0</v>
      </c>
      <c r="P10529" t="n">
        <v>0</v>
      </c>
      <c r="Q10529" t="n">
        <v>0</v>
      </c>
      <c r="R10529" t="n">
        <v>0</v>
      </c>
      <c r="S10529" t="n">
        <v>0</v>
      </c>
      <c r="T10529" t="n">
        <v>0</v>
      </c>
      <c r="U10529" t="n">
        <v>0</v>
      </c>
      <c r="V10529" s="2" t="inlineStr"/>
    </row>
    <row r="10530" ht="15" customHeight="1">
      <c r="A10530" t="inlineStr">
        <is>
          <t>A 35010-2026</t>
        </is>
      </c>
      <c r="B10530" t="inlineStr">
        <is>
          <t>avverkningsanmälan</t>
        </is>
      </c>
      <c r="C10530" t="inlineStr">
        <is>
          <t>Föryngringsavverkning</t>
        </is>
      </c>
      <c r="D10530" s="1" t="n">
        <v>46259</v>
      </c>
      <c r="E10530" s="1" t="n">
        <v>46307</v>
      </c>
      <c r="F10530" t="inlineStr">
        <is>
          <t>VÄRMLANDS LÄN</t>
        </is>
      </c>
      <c r="G10530" t="inlineStr">
        <is>
          <t>ARVIKA</t>
        </is>
      </c>
      <c r="H10530" t="inlineStr">
        <is>
          <t>Bergvik skog väst AB</t>
        </is>
      </c>
      <c r="I10530" t="n">
        <v>5.2</v>
      </c>
      <c r="J10530" t="n">
        <v>0</v>
      </c>
      <c r="K10530" t="n">
        <v>0</v>
      </c>
      <c r="L10530" t="n">
        <v>0</v>
      </c>
      <c r="M10530" t="n">
        <v>0</v>
      </c>
      <c r="N10530" t="n">
        <v>0</v>
      </c>
      <c r="O10530" t="n">
        <v>0</v>
      </c>
      <c r="P10530" t="n">
        <v>0</v>
      </c>
      <c r="Q10530" t="n">
        <v>0</v>
      </c>
      <c r="R10530" t="n">
        <v>0</v>
      </c>
      <c r="S10530" t="n">
        <v>0</v>
      </c>
      <c r="T10530" t="n">
        <v>0</v>
      </c>
      <c r="U10530" t="n">
        <v>0</v>
      </c>
      <c r="V10530" s="2" t="inlineStr"/>
    </row>
    <row r="10531" ht="15" customHeight="1">
      <c r="A10531" t="inlineStr">
        <is>
          <t>A 37684-2026</t>
        </is>
      </c>
      <c r="B10531" t="inlineStr">
        <is>
          <t>avverkningsanmälan</t>
        </is>
      </c>
      <c r="C10531" t="inlineStr">
        <is>
          <t>Avverkning för annat ändamål</t>
        </is>
      </c>
      <c r="D10531" s="1" t="n">
        <v>46279</v>
      </c>
      <c r="E10531" s="1" t="n">
        <v>46307</v>
      </c>
      <c r="F10531" t="inlineStr">
        <is>
          <t>VÄRMLANDS LÄN</t>
        </is>
      </c>
      <c r="G10531" t="inlineStr">
        <is>
          <t>TORSBY</t>
        </is>
      </c>
      <c r="H10531" t="inlineStr">
        <is>
          <t>Bergvik skog väst AB</t>
        </is>
      </c>
      <c r="I10531" t="n">
        <v>4.1</v>
      </c>
      <c r="J10531" t="n">
        <v>0</v>
      </c>
      <c r="K10531" t="n">
        <v>0</v>
      </c>
      <c r="L10531" t="n">
        <v>0</v>
      </c>
      <c r="M10531" t="n">
        <v>0</v>
      </c>
      <c r="N10531" t="n">
        <v>0</v>
      </c>
      <c r="O10531" t="n">
        <v>0</v>
      </c>
      <c r="P10531" t="n">
        <v>0</v>
      </c>
      <c r="Q10531" t="n">
        <v>0</v>
      </c>
      <c r="R10531" t="n">
        <v>0</v>
      </c>
      <c r="S10531" t="n">
        <v>0</v>
      </c>
      <c r="T10531" t="n">
        <v>0</v>
      </c>
      <c r="U10531" t="n">
        <v>0</v>
      </c>
      <c r="V10531" s="2" t="inlineStr"/>
    </row>
    <row r="10532" ht="15" customHeight="1">
      <c r="A10532" t="inlineStr">
        <is>
          <t>A 34744-2026</t>
        </is>
      </c>
      <c r="B10532" t="inlineStr">
        <is>
          <t>avverkningsanmälan</t>
        </is>
      </c>
      <c r="C10532" t="inlineStr">
        <is>
          <t>Föryngringsavverkning</t>
        </is>
      </c>
      <c r="D10532" s="1" t="n">
        <v>46258</v>
      </c>
      <c r="E10532" s="1" t="n">
        <v>46307</v>
      </c>
      <c r="F10532" t="inlineStr">
        <is>
          <t>VÄRMLANDS LÄN</t>
        </is>
      </c>
      <c r="G10532" t="inlineStr">
        <is>
          <t>ÅRJÄNG</t>
        </is>
      </c>
      <c r="I10532" t="n">
        <v>3.9</v>
      </c>
      <c r="J10532" t="n">
        <v>0</v>
      </c>
      <c r="K10532" t="n">
        <v>0</v>
      </c>
      <c r="L10532" t="n">
        <v>0</v>
      </c>
      <c r="M10532" t="n">
        <v>0</v>
      </c>
      <c r="N10532" t="n">
        <v>0</v>
      </c>
      <c r="O10532" t="n">
        <v>0</v>
      </c>
      <c r="P10532" t="n">
        <v>0</v>
      </c>
      <c r="Q10532" t="n">
        <v>0</v>
      </c>
      <c r="R10532" t="n">
        <v>0</v>
      </c>
      <c r="S10532" t="n">
        <v>0</v>
      </c>
      <c r="T10532" t="n">
        <v>0</v>
      </c>
      <c r="U10532" t="n">
        <v>0</v>
      </c>
      <c r="V10532" s="2" t="inlineStr"/>
    </row>
    <row r="10533" ht="15" customHeight="1">
      <c r="A10533" t="inlineStr">
        <is>
          <t>A 35070-2026</t>
        </is>
      </c>
      <c r="B10533" t="inlineStr">
        <is>
          <t>avverkningsanmälan</t>
        </is>
      </c>
      <c r="C10533" t="inlineStr">
        <is>
          <t>Föryngringsavverkning</t>
        </is>
      </c>
      <c r="D10533" s="1" t="n">
        <v>46258</v>
      </c>
      <c r="E10533" s="1" t="n">
        <v>46307</v>
      </c>
      <c r="F10533" t="inlineStr">
        <is>
          <t>VÄRMLANDS LÄN</t>
        </is>
      </c>
      <c r="G10533" t="inlineStr">
        <is>
          <t>SÄFFLE</t>
        </is>
      </c>
      <c r="I10533" t="n">
        <v>2.9</v>
      </c>
      <c r="J10533" t="n">
        <v>0</v>
      </c>
      <c r="K10533" t="n">
        <v>0</v>
      </c>
      <c r="L10533" t="n">
        <v>0</v>
      </c>
      <c r="M10533" t="n">
        <v>0</v>
      </c>
      <c r="N10533" t="n">
        <v>0</v>
      </c>
      <c r="O10533" t="n">
        <v>0</v>
      </c>
      <c r="P10533" t="n">
        <v>0</v>
      </c>
      <c r="Q10533" t="n">
        <v>0</v>
      </c>
      <c r="R10533" t="n">
        <v>0</v>
      </c>
      <c r="S10533" t="n">
        <v>0</v>
      </c>
      <c r="T10533" t="n">
        <v>0</v>
      </c>
      <c r="U10533" t="n">
        <v>0</v>
      </c>
      <c r="V10533" s="2" t="inlineStr"/>
    </row>
    <row r="10534" ht="15" customHeight="1">
      <c r="A10534" t="inlineStr">
        <is>
          <t>A 34861-2026</t>
        </is>
      </c>
      <c r="B10534" t="inlineStr">
        <is>
          <t>avverkningsanmälan</t>
        </is>
      </c>
      <c r="C10534" t="inlineStr">
        <is>
          <t>Föryngringsavverkning</t>
        </is>
      </c>
      <c r="D10534" s="1" t="n">
        <v>46258</v>
      </c>
      <c r="E10534" s="1" t="n">
        <v>46307</v>
      </c>
      <c r="F10534" t="inlineStr">
        <is>
          <t>VÄRMLANDS LÄN</t>
        </is>
      </c>
      <c r="G10534" t="inlineStr">
        <is>
          <t>TORSBY</t>
        </is>
      </c>
      <c r="I10534" t="n">
        <v>2.4</v>
      </c>
      <c r="J10534" t="n">
        <v>0</v>
      </c>
      <c r="K10534" t="n">
        <v>0</v>
      </c>
      <c r="L10534" t="n">
        <v>0</v>
      </c>
      <c r="M10534" t="n">
        <v>0</v>
      </c>
      <c r="N10534" t="n">
        <v>0</v>
      </c>
      <c r="O10534" t="n">
        <v>0</v>
      </c>
      <c r="P10534" t="n">
        <v>0</v>
      </c>
      <c r="Q10534" t="n">
        <v>0</v>
      </c>
      <c r="R10534" t="n">
        <v>0</v>
      </c>
      <c r="S10534" t="n">
        <v>0</v>
      </c>
      <c r="T10534" t="n">
        <v>0</v>
      </c>
      <c r="U10534" t="n">
        <v>0</v>
      </c>
      <c r="V10534" s="2" t="inlineStr"/>
    </row>
    <row r="10535" ht="15" customHeight="1">
      <c r="A10535" t="inlineStr">
        <is>
          <t>A 34872-2026</t>
        </is>
      </c>
      <c r="B10535" t="inlineStr">
        <is>
          <t>avverkningsanmälan</t>
        </is>
      </c>
      <c r="C10535" t="inlineStr">
        <is>
          <t>Föryngringsavverkning</t>
        </is>
      </c>
      <c r="D10535" s="1" t="n">
        <v>46258</v>
      </c>
      <c r="E10535" s="1" t="n">
        <v>46307</v>
      </c>
      <c r="F10535" t="inlineStr">
        <is>
          <t>VÄRMLANDS LÄN</t>
        </is>
      </c>
      <c r="G10535" t="inlineStr">
        <is>
          <t>ÅRJÄNG</t>
        </is>
      </c>
      <c r="I10535" t="n">
        <v>0.6</v>
      </c>
      <c r="J10535" t="n">
        <v>0</v>
      </c>
      <c r="K10535" t="n">
        <v>0</v>
      </c>
      <c r="L10535" t="n">
        <v>0</v>
      </c>
      <c r="M10535" t="n">
        <v>0</v>
      </c>
      <c r="N10535" t="n">
        <v>0</v>
      </c>
      <c r="O10535" t="n">
        <v>0</v>
      </c>
      <c r="P10535" t="n">
        <v>0</v>
      </c>
      <c r="Q10535" t="n">
        <v>0</v>
      </c>
      <c r="R10535" t="n">
        <v>0</v>
      </c>
      <c r="S10535" t="n">
        <v>0</v>
      </c>
      <c r="T10535" t="n">
        <v>0</v>
      </c>
      <c r="U10535" t="n">
        <v>0</v>
      </c>
      <c r="V10535" s="2" t="inlineStr"/>
    </row>
    <row r="10536" ht="15" customHeight="1">
      <c r="A10536" t="inlineStr">
        <is>
          <t>A 41777-2026</t>
        </is>
      </c>
      <c r="B10536" t="inlineStr">
        <is>
          <t>avverkningsanmälan</t>
        </is>
      </c>
      <c r="C10536" t="inlineStr">
        <is>
          <t>Föryngringsavverkning</t>
        </is>
      </c>
      <c r="D10536" s="1" t="n">
        <v>46302</v>
      </c>
      <c r="E10536" s="1" t="n">
        <v>46307</v>
      </c>
      <c r="F10536" t="inlineStr">
        <is>
          <t>VÄRMLANDS LÄN</t>
        </is>
      </c>
      <c r="G10536" t="inlineStr">
        <is>
          <t>TORSBY</t>
        </is>
      </c>
      <c r="H10536" t="inlineStr">
        <is>
          <t>Bergvik skog väst AB</t>
        </is>
      </c>
      <c r="I10536" t="n">
        <v>6</v>
      </c>
      <c r="J10536" t="n">
        <v>0</v>
      </c>
      <c r="K10536" t="n">
        <v>0</v>
      </c>
      <c r="L10536" t="n">
        <v>0</v>
      </c>
      <c r="M10536" t="n">
        <v>0</v>
      </c>
      <c r="N10536" t="n">
        <v>0</v>
      </c>
      <c r="O10536" t="n">
        <v>0</v>
      </c>
      <c r="P10536" t="n">
        <v>0</v>
      </c>
      <c r="Q10536" t="n">
        <v>0</v>
      </c>
      <c r="R10536" t="n">
        <v>0</v>
      </c>
      <c r="S10536" t="n">
        <v>0</v>
      </c>
      <c r="T10536" t="n">
        <v>0</v>
      </c>
      <c r="U10536" t="n">
        <v>0</v>
      </c>
      <c r="V10536" s="2" t="inlineStr"/>
    </row>
    <row r="10537" ht="15" customHeight="1">
      <c r="A10537" t="inlineStr">
        <is>
          <t>A 41229-2026</t>
        </is>
      </c>
      <c r="B10537" t="inlineStr">
        <is>
          <t>avverkningsanmälan</t>
        </is>
      </c>
      <c r="C10537" t="inlineStr">
        <is>
          <t>Föryngringsavverkning</t>
        </is>
      </c>
      <c r="D10537" s="1" t="n">
        <v>46297</v>
      </c>
      <c r="E10537" s="1" t="n">
        <v>46307</v>
      </c>
      <c r="F10537" t="inlineStr">
        <is>
          <t>VÄRMLANDS LÄN</t>
        </is>
      </c>
      <c r="G10537" t="inlineStr">
        <is>
          <t>FILIPSTAD</t>
        </is>
      </c>
      <c r="I10537" t="n">
        <v>3.2</v>
      </c>
      <c r="J10537" t="n">
        <v>0</v>
      </c>
      <c r="K10537" t="n">
        <v>0</v>
      </c>
      <c r="L10537" t="n">
        <v>0</v>
      </c>
      <c r="M10537" t="n">
        <v>0</v>
      </c>
      <c r="N10537" t="n">
        <v>0</v>
      </c>
      <c r="O10537" t="n">
        <v>0</v>
      </c>
      <c r="P10537" t="n">
        <v>0</v>
      </c>
      <c r="Q10537" t="n">
        <v>0</v>
      </c>
      <c r="R10537" t="n">
        <v>0</v>
      </c>
      <c r="S10537" t="n">
        <v>0</v>
      </c>
      <c r="T10537" t="n">
        <v>0</v>
      </c>
      <c r="U10537" t="n">
        <v>0</v>
      </c>
      <c r="V10537" s="2" t="inlineStr"/>
    </row>
    <row r="10538" ht="15" customHeight="1">
      <c r="A10538" t="inlineStr">
        <is>
          <t>A 41325-2026</t>
        </is>
      </c>
      <c r="B10538" t="inlineStr">
        <is>
          <t>avverkningsanmälan</t>
        </is>
      </c>
      <c r="C10538" t="inlineStr">
        <is>
          <t>Föryngringsavverkning</t>
        </is>
      </c>
      <c r="D10538" s="1" t="n">
        <v>46301</v>
      </c>
      <c r="E10538" s="1" t="n">
        <v>46307</v>
      </c>
      <c r="F10538" t="inlineStr">
        <is>
          <t>VÄRMLANDS LÄN</t>
        </is>
      </c>
      <c r="G10538" t="inlineStr">
        <is>
          <t>TORSBY</t>
        </is>
      </c>
      <c r="H10538" t="inlineStr">
        <is>
          <t>Bergvik skog väst AB</t>
        </is>
      </c>
      <c r="I10538" t="n">
        <v>2.2</v>
      </c>
      <c r="J10538" t="n">
        <v>0</v>
      </c>
      <c r="K10538" t="n">
        <v>0</v>
      </c>
      <c r="L10538" t="n">
        <v>0</v>
      </c>
      <c r="M10538" t="n">
        <v>0</v>
      </c>
      <c r="N10538" t="n">
        <v>0</v>
      </c>
      <c r="O10538" t="n">
        <v>0</v>
      </c>
      <c r="P10538" t="n">
        <v>0</v>
      </c>
      <c r="Q10538" t="n">
        <v>0</v>
      </c>
      <c r="R10538" t="n">
        <v>0</v>
      </c>
      <c r="S10538" t="n">
        <v>0</v>
      </c>
      <c r="T10538" t="n">
        <v>0</v>
      </c>
      <c r="U10538" t="n">
        <v>0</v>
      </c>
      <c r="V10538" s="2" t="inlineStr"/>
    </row>
    <row r="10539" ht="15" customHeight="1">
      <c r="A10539" t="inlineStr">
        <is>
          <t>A 41653-2026</t>
        </is>
      </c>
      <c r="B10539" t="inlineStr">
        <is>
          <t>avverkningsanmälan</t>
        </is>
      </c>
      <c r="C10539" t="inlineStr">
        <is>
          <t>Föryngringsavverkning</t>
        </is>
      </c>
      <c r="D10539" s="1" t="n">
        <v>46302</v>
      </c>
      <c r="E10539" s="1" t="n">
        <v>46307</v>
      </c>
      <c r="F10539" t="inlineStr">
        <is>
          <t>VÄRMLANDS LÄN</t>
        </is>
      </c>
      <c r="G10539" t="inlineStr">
        <is>
          <t>TORSBY</t>
        </is>
      </c>
      <c r="I10539" t="n">
        <v>0.8</v>
      </c>
      <c r="J10539" t="n">
        <v>0</v>
      </c>
      <c r="K10539" t="n">
        <v>0</v>
      </c>
      <c r="L10539" t="n">
        <v>0</v>
      </c>
      <c r="M10539" t="n">
        <v>0</v>
      </c>
      <c r="N10539" t="n">
        <v>0</v>
      </c>
      <c r="O10539" t="n">
        <v>0</v>
      </c>
      <c r="P10539" t="n">
        <v>0</v>
      </c>
      <c r="Q10539" t="n">
        <v>0</v>
      </c>
      <c r="R10539" t="n">
        <v>0</v>
      </c>
      <c r="S10539" t="n">
        <v>0</v>
      </c>
      <c r="T10539" t="n">
        <v>0</v>
      </c>
      <c r="U10539" t="n">
        <v>0</v>
      </c>
      <c r="V10539" s="2" t="inlineStr"/>
    </row>
    <row r="10540" ht="15" customHeight="1">
      <c r="A10540" t="inlineStr">
        <is>
          <t>A 41579-2026</t>
        </is>
      </c>
      <c r="B10540" t="inlineStr">
        <is>
          <t>avverkningsanmälan</t>
        </is>
      </c>
      <c r="C10540" t="inlineStr">
        <is>
          <t>Föryngringsavverkning</t>
        </is>
      </c>
      <c r="D10540" s="1" t="n">
        <v>46301</v>
      </c>
      <c r="E10540" s="1" t="n">
        <v>46307</v>
      </c>
      <c r="F10540" t="inlineStr">
        <is>
          <t>VÄRMLANDS LÄN</t>
        </is>
      </c>
      <c r="G10540" t="inlineStr">
        <is>
          <t>MUNKFORS</t>
        </is>
      </c>
      <c r="I10540" t="n">
        <v>0.9</v>
      </c>
      <c r="J10540" t="n">
        <v>0</v>
      </c>
      <c r="K10540" t="n">
        <v>0</v>
      </c>
      <c r="L10540" t="n">
        <v>0</v>
      </c>
      <c r="M10540" t="n">
        <v>0</v>
      </c>
      <c r="N10540" t="n">
        <v>0</v>
      </c>
      <c r="O10540" t="n">
        <v>0</v>
      </c>
      <c r="P10540" t="n">
        <v>0</v>
      </c>
      <c r="Q10540" t="n">
        <v>0</v>
      </c>
      <c r="R10540" t="n">
        <v>0</v>
      </c>
      <c r="S10540" t="n">
        <v>0</v>
      </c>
      <c r="T10540" t="n">
        <v>0</v>
      </c>
      <c r="U10540" t="n">
        <v>0</v>
      </c>
      <c r="V10540" s="2" t="inlineStr"/>
    </row>
    <row r="10541" ht="15" customHeight="1">
      <c r="A10541" t="inlineStr">
        <is>
          <t>A 34982-2026</t>
        </is>
      </c>
      <c r="B10541" t="inlineStr">
        <is>
          <t>avverkningsanmälan</t>
        </is>
      </c>
      <c r="C10541" t="inlineStr">
        <is>
          <t>Föryngringsavverkning</t>
        </is>
      </c>
      <c r="D10541" s="1" t="n">
        <v>46259</v>
      </c>
      <c r="E10541" s="1" t="n">
        <v>46307</v>
      </c>
      <c r="F10541" t="inlineStr">
        <is>
          <t>VÄRMLANDS LÄN</t>
        </is>
      </c>
      <c r="G10541" t="inlineStr">
        <is>
          <t>FILIPSTAD</t>
        </is>
      </c>
      <c r="H10541" t="inlineStr">
        <is>
          <t>Bergvik skog väst AB</t>
        </is>
      </c>
      <c r="I10541" t="n">
        <v>16.1</v>
      </c>
      <c r="J10541" t="n">
        <v>0</v>
      </c>
      <c r="K10541" t="n">
        <v>0</v>
      </c>
      <c r="L10541" t="n">
        <v>0</v>
      </c>
      <c r="M10541" t="n">
        <v>0</v>
      </c>
      <c r="N10541" t="n">
        <v>0</v>
      </c>
      <c r="O10541" t="n">
        <v>0</v>
      </c>
      <c r="P10541" t="n">
        <v>0</v>
      </c>
      <c r="Q10541" t="n">
        <v>0</v>
      </c>
      <c r="R10541" t="n">
        <v>0</v>
      </c>
      <c r="S10541" t="n">
        <v>0</v>
      </c>
      <c r="T10541" t="n">
        <v>0</v>
      </c>
      <c r="U10541" t="n">
        <v>0</v>
      </c>
      <c r="V10541" s="2" t="inlineStr"/>
    </row>
    <row r="10542" ht="15" customHeight="1">
      <c r="A10542" t="inlineStr">
        <is>
          <t>A 34977-2026</t>
        </is>
      </c>
      <c r="B10542" t="inlineStr">
        <is>
          <t>avverkningsanmälan</t>
        </is>
      </c>
      <c r="C10542" t="inlineStr">
        <is>
          <t>Föryngringsavverkning</t>
        </is>
      </c>
      <c r="D10542" s="1" t="n">
        <v>46259</v>
      </c>
      <c r="E10542" s="1" t="n">
        <v>46307</v>
      </c>
      <c r="F10542" t="inlineStr">
        <is>
          <t>VÄRMLANDS LÄN</t>
        </is>
      </c>
      <c r="G10542" t="inlineStr">
        <is>
          <t>TORSBY</t>
        </is>
      </c>
      <c r="I10542" t="n">
        <v>1.7</v>
      </c>
      <c r="J10542" t="n">
        <v>0</v>
      </c>
      <c r="K10542" t="n">
        <v>0</v>
      </c>
      <c r="L10542" t="n">
        <v>0</v>
      </c>
      <c r="M10542" t="n">
        <v>0</v>
      </c>
      <c r="N10542" t="n">
        <v>0</v>
      </c>
      <c r="O10542" t="n">
        <v>0</v>
      </c>
      <c r="P10542" t="n">
        <v>0</v>
      </c>
      <c r="Q10542" t="n">
        <v>0</v>
      </c>
      <c r="R10542" t="n">
        <v>0</v>
      </c>
      <c r="S10542" t="n">
        <v>0</v>
      </c>
      <c r="T10542" t="n">
        <v>0</v>
      </c>
      <c r="U10542" t="n">
        <v>0</v>
      </c>
      <c r="V10542" s="2" t="inlineStr"/>
    </row>
    <row r="10543" ht="15" customHeight="1">
      <c r="A10543" t="inlineStr">
        <is>
          <t>A 34805-2026</t>
        </is>
      </c>
      <c r="B10543" t="inlineStr">
        <is>
          <t>avverkningsanmälan</t>
        </is>
      </c>
      <c r="C10543" t="inlineStr">
        <is>
          <t>Föryngringsavverkning</t>
        </is>
      </c>
      <c r="D10543" s="1" t="n">
        <v>46258</v>
      </c>
      <c r="E10543" s="1" t="n">
        <v>46307</v>
      </c>
      <c r="F10543" t="inlineStr">
        <is>
          <t>VÄRMLANDS LÄN</t>
        </is>
      </c>
      <c r="G10543" t="inlineStr">
        <is>
          <t>ARVIKA</t>
        </is>
      </c>
      <c r="H10543" t="inlineStr">
        <is>
          <t>Bergvik skog väst AB</t>
        </is>
      </c>
      <c r="I10543" t="n">
        <v>8.5</v>
      </c>
      <c r="J10543" t="n">
        <v>0</v>
      </c>
      <c r="K10543" t="n">
        <v>0</v>
      </c>
      <c r="L10543" t="n">
        <v>0</v>
      </c>
      <c r="M10543" t="n">
        <v>0</v>
      </c>
      <c r="N10543" t="n">
        <v>0</v>
      </c>
      <c r="O10543" t="n">
        <v>0</v>
      </c>
      <c r="P10543" t="n">
        <v>0</v>
      </c>
      <c r="Q10543" t="n">
        <v>0</v>
      </c>
      <c r="R10543" t="n">
        <v>0</v>
      </c>
      <c r="S10543" t="n">
        <v>0</v>
      </c>
      <c r="T10543" t="n">
        <v>0</v>
      </c>
      <c r="U10543" t="n">
        <v>0</v>
      </c>
      <c r="V10543" s="2" t="inlineStr"/>
    </row>
    <row r="10544" ht="15" customHeight="1">
      <c r="A10544" t="inlineStr">
        <is>
          <t>A 34722-2026</t>
        </is>
      </c>
      <c r="B10544" t="inlineStr">
        <is>
          <t>avverkningsanmälan</t>
        </is>
      </c>
      <c r="C10544" t="inlineStr">
        <is>
          <t>Avverkning för att bevara och utveckla /försöksver</t>
        </is>
      </c>
      <c r="D10544" s="1" t="n">
        <v>46258</v>
      </c>
      <c r="E10544" s="1" t="n">
        <v>46307</v>
      </c>
      <c r="F10544" t="inlineStr">
        <is>
          <t>VÄRMLANDS LÄN</t>
        </is>
      </c>
      <c r="G10544" t="inlineStr">
        <is>
          <t>KARLSTAD</t>
        </is>
      </c>
      <c r="I10544" t="n">
        <v>3.7</v>
      </c>
      <c r="J10544" t="n">
        <v>0</v>
      </c>
      <c r="K10544" t="n">
        <v>0</v>
      </c>
      <c r="L10544" t="n">
        <v>0</v>
      </c>
      <c r="M10544" t="n">
        <v>0</v>
      </c>
      <c r="N10544" t="n">
        <v>0</v>
      </c>
      <c r="O10544" t="n">
        <v>0</v>
      </c>
      <c r="P10544" t="n">
        <v>0</v>
      </c>
      <c r="Q10544" t="n">
        <v>0</v>
      </c>
      <c r="R10544" t="n">
        <v>0</v>
      </c>
      <c r="S10544" t="n">
        <v>0</v>
      </c>
      <c r="T10544" t="n">
        <v>0</v>
      </c>
      <c r="U10544" t="n">
        <v>0</v>
      </c>
      <c r="V10544" s="2" t="inlineStr"/>
    </row>
    <row r="10545" ht="15" customHeight="1">
      <c r="A10545" t="inlineStr">
        <is>
          <t>A 37177-2026</t>
        </is>
      </c>
      <c r="B10545" t="inlineStr">
        <is>
          <t>avverkningsanmälan</t>
        </is>
      </c>
      <c r="C10545" t="inlineStr">
        <is>
          <t>Föryngringsavverkning</t>
        </is>
      </c>
      <c r="D10545" s="1" t="n">
        <v>46274</v>
      </c>
      <c r="E10545" s="1" t="n">
        <v>46307</v>
      </c>
      <c r="F10545" t="inlineStr">
        <is>
          <t>VÄRMLANDS LÄN</t>
        </is>
      </c>
      <c r="G10545" t="inlineStr">
        <is>
          <t>SUNNE</t>
        </is>
      </c>
      <c r="I10545" t="n">
        <v>1.4</v>
      </c>
      <c r="J10545" t="n">
        <v>0</v>
      </c>
      <c r="K10545" t="n">
        <v>0</v>
      </c>
      <c r="L10545" t="n">
        <v>0</v>
      </c>
      <c r="M10545" t="n">
        <v>0</v>
      </c>
      <c r="N10545" t="n">
        <v>0</v>
      </c>
      <c r="O10545" t="n">
        <v>0</v>
      </c>
      <c r="P10545" t="n">
        <v>0</v>
      </c>
      <c r="Q10545" t="n">
        <v>0</v>
      </c>
      <c r="R10545" t="n">
        <v>0</v>
      </c>
      <c r="S10545" t="n">
        <v>0</v>
      </c>
      <c r="T10545" t="n">
        <v>0</v>
      </c>
      <c r="U10545" t="n">
        <v>0</v>
      </c>
      <c r="V10545" s="2" t="inlineStr"/>
    </row>
    <row r="10546" ht="15" customHeight="1">
      <c r="A10546" t="inlineStr">
        <is>
          <t>A 34811-2026</t>
        </is>
      </c>
      <c r="B10546" t="inlineStr">
        <is>
          <t>avverkningsanmälan</t>
        </is>
      </c>
      <c r="C10546" t="inlineStr">
        <is>
          <t>Föryngringsavverkning</t>
        </is>
      </c>
      <c r="D10546" s="1" t="n">
        <v>46258</v>
      </c>
      <c r="E10546" s="1" t="n">
        <v>46307</v>
      </c>
      <c r="F10546" t="inlineStr">
        <is>
          <t>VÄRMLANDS LÄN</t>
        </is>
      </c>
      <c r="G10546" t="inlineStr">
        <is>
          <t>ARVIKA</t>
        </is>
      </c>
      <c r="H10546" t="inlineStr">
        <is>
          <t>Bergvik skog väst AB</t>
        </is>
      </c>
      <c r="I10546" t="n">
        <v>3.8</v>
      </c>
      <c r="J10546" t="n">
        <v>0</v>
      </c>
      <c r="K10546" t="n">
        <v>0</v>
      </c>
      <c r="L10546" t="n">
        <v>0</v>
      </c>
      <c r="M10546" t="n">
        <v>0</v>
      </c>
      <c r="N10546" t="n">
        <v>0</v>
      </c>
      <c r="O10546" t="n">
        <v>0</v>
      </c>
      <c r="P10546" t="n">
        <v>0</v>
      </c>
      <c r="Q10546" t="n">
        <v>0</v>
      </c>
      <c r="R10546" t="n">
        <v>0</v>
      </c>
      <c r="S10546" t="n">
        <v>0</v>
      </c>
      <c r="T10546" t="n">
        <v>0</v>
      </c>
      <c r="U10546" t="n">
        <v>0</v>
      </c>
      <c r="V10546" s="2" t="inlineStr"/>
    </row>
    <row r="10547" ht="15" customHeight="1">
      <c r="A10547" t="inlineStr">
        <is>
          <t>A 34846-2026</t>
        </is>
      </c>
      <c r="B10547" t="inlineStr">
        <is>
          <t>avverkningsanmälan</t>
        </is>
      </c>
      <c r="C10547" t="inlineStr">
        <is>
          <t>Föryngringsavverkning</t>
        </is>
      </c>
      <c r="D10547" s="1" t="n">
        <v>46258</v>
      </c>
      <c r="E10547" s="1" t="n">
        <v>46307</v>
      </c>
      <c r="F10547" t="inlineStr">
        <is>
          <t>VÄRMLANDS LÄN</t>
        </is>
      </c>
      <c r="G10547" t="inlineStr">
        <is>
          <t>KIL</t>
        </is>
      </c>
      <c r="I10547" t="n">
        <v>1</v>
      </c>
      <c r="J10547" t="n">
        <v>0</v>
      </c>
      <c r="K10547" t="n">
        <v>0</v>
      </c>
      <c r="L10547" t="n">
        <v>0</v>
      </c>
      <c r="M10547" t="n">
        <v>0</v>
      </c>
      <c r="N10547" t="n">
        <v>0</v>
      </c>
      <c r="O10547" t="n">
        <v>0</v>
      </c>
      <c r="P10547" t="n">
        <v>0</v>
      </c>
      <c r="Q10547" t="n">
        <v>0</v>
      </c>
      <c r="R10547" t="n">
        <v>0</v>
      </c>
      <c r="S10547" t="n">
        <v>0</v>
      </c>
      <c r="T10547" t="n">
        <v>0</v>
      </c>
      <c r="U10547" t="n">
        <v>0</v>
      </c>
      <c r="V10547" s="2" t="inlineStr"/>
    </row>
    <row r="10548" ht="15" customHeight="1">
      <c r="A10548" t="inlineStr">
        <is>
          <t>A 41109-2026</t>
        </is>
      </c>
      <c r="B10548" t="inlineStr">
        <is>
          <t>avverkningsanmälan</t>
        </is>
      </c>
      <c r="C10548" t="inlineStr">
        <is>
          <t>Föryngringsavverkning</t>
        </is>
      </c>
      <c r="D10548" s="1" t="n">
        <v>46300</v>
      </c>
      <c r="E10548" s="1" t="n">
        <v>46307</v>
      </c>
      <c r="F10548" t="inlineStr">
        <is>
          <t>VÄRMLANDS LÄN</t>
        </is>
      </c>
      <c r="G10548" t="inlineStr">
        <is>
          <t>TORSBY</t>
        </is>
      </c>
      <c r="I10548" t="n">
        <v>3.5</v>
      </c>
      <c r="J10548" t="n">
        <v>0</v>
      </c>
      <c r="K10548" t="n">
        <v>0</v>
      </c>
      <c r="L10548" t="n">
        <v>0</v>
      </c>
      <c r="M10548" t="n">
        <v>0</v>
      </c>
      <c r="N10548" t="n">
        <v>0</v>
      </c>
      <c r="O10548" t="n">
        <v>0</v>
      </c>
      <c r="P10548" t="n">
        <v>0</v>
      </c>
      <c r="Q10548" t="n">
        <v>0</v>
      </c>
      <c r="R10548" t="n">
        <v>0</v>
      </c>
      <c r="S10548" t="n">
        <v>0</v>
      </c>
      <c r="T10548" t="n">
        <v>0</v>
      </c>
      <c r="U10548" t="n">
        <v>0</v>
      </c>
      <c r="V10548" s="2" t="inlineStr"/>
    </row>
    <row r="10549" ht="15" customHeight="1">
      <c r="A10549" t="inlineStr">
        <is>
          <t>A 36256-2026</t>
        </is>
      </c>
      <c r="B10549" t="inlineStr">
        <is>
          <t>avverkningsanmälan</t>
        </is>
      </c>
      <c r="C10549" t="inlineStr">
        <is>
          <t>Föryngringsavverkning</t>
        </is>
      </c>
      <c r="D10549" s="1" t="n">
        <v>46268</v>
      </c>
      <c r="E10549" s="1" t="n">
        <v>46307</v>
      </c>
      <c r="F10549" t="inlineStr">
        <is>
          <t>VÄRMLANDS LÄN</t>
        </is>
      </c>
      <c r="G10549" t="inlineStr">
        <is>
          <t>ARVIKA</t>
        </is>
      </c>
      <c r="I10549" t="n">
        <v>1.5</v>
      </c>
      <c r="J10549" t="n">
        <v>0</v>
      </c>
      <c r="K10549" t="n">
        <v>0</v>
      </c>
      <c r="L10549" t="n">
        <v>0</v>
      </c>
      <c r="M10549" t="n">
        <v>0</v>
      </c>
      <c r="N10549" t="n">
        <v>0</v>
      </c>
      <c r="O10549" t="n">
        <v>0</v>
      </c>
      <c r="P10549" t="n">
        <v>0</v>
      </c>
      <c r="Q10549" t="n">
        <v>0</v>
      </c>
      <c r="R10549" t="n">
        <v>0</v>
      </c>
      <c r="S10549" t="n">
        <v>0</v>
      </c>
      <c r="T10549" t="n">
        <v>0</v>
      </c>
      <c r="U10549" t="n">
        <v>0</v>
      </c>
      <c r="V10549" s="2" t="inlineStr"/>
    </row>
    <row r="10550" ht="15" customHeight="1">
      <c r="A10550" t="inlineStr">
        <is>
          <t>A 38710-2026</t>
        </is>
      </c>
      <c r="B10550" t="inlineStr">
        <is>
          <t>avverkningsanmälan</t>
        </is>
      </c>
      <c r="C10550" t="inlineStr">
        <is>
          <t>Avverkning för annat ändamål</t>
        </is>
      </c>
      <c r="D10550" s="1" t="n">
        <v>46283</v>
      </c>
      <c r="E10550" s="1" t="n">
        <v>46307</v>
      </c>
      <c r="F10550" t="inlineStr">
        <is>
          <t>VÄRMLANDS LÄN</t>
        </is>
      </c>
      <c r="G10550" t="inlineStr">
        <is>
          <t>ÅRJÄNG</t>
        </is>
      </c>
      <c r="I10550" t="n">
        <v>0.3</v>
      </c>
      <c r="J10550" t="n">
        <v>0</v>
      </c>
      <c r="K10550" t="n">
        <v>0</v>
      </c>
      <c r="L10550" t="n">
        <v>0</v>
      </c>
      <c r="M10550" t="n">
        <v>0</v>
      </c>
      <c r="N10550" t="n">
        <v>0</v>
      </c>
      <c r="O10550" t="n">
        <v>0</v>
      </c>
      <c r="P10550" t="n">
        <v>0</v>
      </c>
      <c r="Q10550" t="n">
        <v>0</v>
      </c>
      <c r="R10550" t="n">
        <v>0</v>
      </c>
      <c r="S10550" t="n">
        <v>0</v>
      </c>
      <c r="T10550" t="n">
        <v>0</v>
      </c>
      <c r="U10550" t="n">
        <v>0</v>
      </c>
      <c r="V10550" s="2" t="inlineStr"/>
    </row>
    <row r="10551" ht="15" customHeight="1">
      <c r="A10551" t="inlineStr">
        <is>
          <t>A 34814-2026</t>
        </is>
      </c>
      <c r="B10551" t="inlineStr">
        <is>
          <t>avverkningsanmälan</t>
        </is>
      </c>
      <c r="C10551" t="inlineStr">
        <is>
          <t>Föryngringsavverkning</t>
        </is>
      </c>
      <c r="D10551" s="1" t="n">
        <v>46258</v>
      </c>
      <c r="E10551" s="1" t="n">
        <v>46307</v>
      </c>
      <c r="F10551" t="inlineStr">
        <is>
          <t>VÄRMLANDS LÄN</t>
        </is>
      </c>
      <c r="G10551" t="inlineStr">
        <is>
          <t>ARVIKA</t>
        </is>
      </c>
      <c r="H10551" t="inlineStr">
        <is>
          <t>Bergvik skog väst AB</t>
        </is>
      </c>
      <c r="I10551" t="n">
        <v>9</v>
      </c>
      <c r="J10551" t="n">
        <v>0</v>
      </c>
      <c r="K10551" t="n">
        <v>0</v>
      </c>
      <c r="L10551" t="n">
        <v>0</v>
      </c>
      <c r="M10551" t="n">
        <v>0</v>
      </c>
      <c r="N10551" t="n">
        <v>0</v>
      </c>
      <c r="O10551" t="n">
        <v>0</v>
      </c>
      <c r="P10551" t="n">
        <v>0</v>
      </c>
      <c r="Q10551" t="n">
        <v>0</v>
      </c>
      <c r="R10551" t="n">
        <v>0</v>
      </c>
      <c r="S10551" t="n">
        <v>0</v>
      </c>
      <c r="T10551" t="n">
        <v>0</v>
      </c>
      <c r="U10551" t="n">
        <v>0</v>
      </c>
      <c r="V10551" s="2" t="inlineStr"/>
    </row>
    <row r="10552" ht="15" customHeight="1">
      <c r="A10552" t="inlineStr">
        <is>
          <t>A 34857-2026</t>
        </is>
      </c>
      <c r="B10552" t="inlineStr">
        <is>
          <t>avverkningsanmälan</t>
        </is>
      </c>
      <c r="C10552" t="inlineStr">
        <is>
          <t>Föryngringsavverkning</t>
        </is>
      </c>
      <c r="D10552" s="1" t="n">
        <v>46258</v>
      </c>
      <c r="E10552" s="1" t="n">
        <v>46307</v>
      </c>
      <c r="F10552" t="inlineStr">
        <is>
          <t>VÄRMLANDS LÄN</t>
        </is>
      </c>
      <c r="G10552" t="inlineStr">
        <is>
          <t>TORSBY</t>
        </is>
      </c>
      <c r="H10552" t="inlineStr">
        <is>
          <t>Bergvik skog väst AB</t>
        </is>
      </c>
      <c r="I10552" t="n">
        <v>1.5</v>
      </c>
      <c r="J10552" t="n">
        <v>0</v>
      </c>
      <c r="K10552" t="n">
        <v>0</v>
      </c>
      <c r="L10552" t="n">
        <v>0</v>
      </c>
      <c r="M10552" t="n">
        <v>0</v>
      </c>
      <c r="N10552" t="n">
        <v>0</v>
      </c>
      <c r="O10552" t="n">
        <v>0</v>
      </c>
      <c r="P10552" t="n">
        <v>0</v>
      </c>
      <c r="Q10552" t="n">
        <v>0</v>
      </c>
      <c r="R10552" t="n">
        <v>0</v>
      </c>
      <c r="S10552" t="n">
        <v>0</v>
      </c>
      <c r="T10552" t="n">
        <v>0</v>
      </c>
      <c r="U10552" t="n">
        <v>0</v>
      </c>
      <c r="V10552" s="2" t="inlineStr"/>
    </row>
    <row r="10553" ht="15" customHeight="1">
      <c r="A10553" t="inlineStr">
        <is>
          <t>A 34871-2026</t>
        </is>
      </c>
      <c r="B10553" t="inlineStr">
        <is>
          <t>avverkningsanmälan</t>
        </is>
      </c>
      <c r="C10553" t="inlineStr">
        <is>
          <t>Föryngringsavverkning</t>
        </is>
      </c>
      <c r="D10553" s="1" t="n">
        <v>46258</v>
      </c>
      <c r="E10553" s="1" t="n">
        <v>46307</v>
      </c>
      <c r="F10553" t="inlineStr">
        <is>
          <t>VÄRMLANDS LÄN</t>
        </is>
      </c>
      <c r="G10553" t="inlineStr">
        <is>
          <t>ARVIKA</t>
        </is>
      </c>
      <c r="I10553" t="n">
        <v>1.5</v>
      </c>
      <c r="J10553" t="n">
        <v>0</v>
      </c>
      <c r="K10553" t="n">
        <v>0</v>
      </c>
      <c r="L10553" t="n">
        <v>0</v>
      </c>
      <c r="M10553" t="n">
        <v>0</v>
      </c>
      <c r="N10553" t="n">
        <v>0</v>
      </c>
      <c r="O10553" t="n">
        <v>0</v>
      </c>
      <c r="P10553" t="n">
        <v>0</v>
      </c>
      <c r="Q10553" t="n">
        <v>0</v>
      </c>
      <c r="R10553" t="n">
        <v>0</v>
      </c>
      <c r="S10553" t="n">
        <v>0</v>
      </c>
      <c r="T10553" t="n">
        <v>0</v>
      </c>
      <c r="U10553" t="n">
        <v>0</v>
      </c>
      <c r="V10553" s="2" t="inlineStr"/>
    </row>
    <row r="10554" ht="15" customHeight="1">
      <c r="A10554" t="inlineStr">
        <is>
          <t>A 41884-2026</t>
        </is>
      </c>
      <c r="B10554" t="inlineStr">
        <is>
          <t>avverkningsanmälan</t>
        </is>
      </c>
      <c r="C10554" t="inlineStr">
        <is>
          <t>Föryngringsavverkning</t>
        </is>
      </c>
      <c r="D10554" s="1" t="n">
        <v>46303</v>
      </c>
      <c r="E10554" s="1" t="n">
        <v>46307</v>
      </c>
      <c r="F10554" t="inlineStr">
        <is>
          <t>VÄRMLANDS LÄN</t>
        </is>
      </c>
      <c r="G10554" t="inlineStr">
        <is>
          <t>TORSBY</t>
        </is>
      </c>
      <c r="I10554" t="n">
        <v>4.7</v>
      </c>
      <c r="J10554" t="n">
        <v>0</v>
      </c>
      <c r="K10554" t="n">
        <v>0</v>
      </c>
      <c r="L10554" t="n">
        <v>0</v>
      </c>
      <c r="M10554" t="n">
        <v>0</v>
      </c>
      <c r="N10554" t="n">
        <v>0</v>
      </c>
      <c r="O10554" t="n">
        <v>0</v>
      </c>
      <c r="P10554" t="n">
        <v>0</v>
      </c>
      <c r="Q10554" t="n">
        <v>0</v>
      </c>
      <c r="R10554" t="n">
        <v>0</v>
      </c>
      <c r="S10554" t="n">
        <v>0</v>
      </c>
      <c r="T10554" t="n">
        <v>0</v>
      </c>
      <c r="U10554" t="n">
        <v>0</v>
      </c>
      <c r="V10554" s="2" t="inlineStr"/>
    </row>
    <row r="10555" ht="15" customHeight="1">
      <c r="A10555" t="inlineStr">
        <is>
          <t>A 41989-2026</t>
        </is>
      </c>
      <c r="B10555" t="inlineStr">
        <is>
          <t>avverkningsanmälan</t>
        </is>
      </c>
      <c r="C10555" t="inlineStr">
        <is>
          <t>Föryngringsavverkning</t>
        </is>
      </c>
      <c r="D10555" s="1" t="n">
        <v>46303</v>
      </c>
      <c r="E10555" s="1" t="n">
        <v>46307</v>
      </c>
      <c r="F10555" t="inlineStr">
        <is>
          <t>VÄRMLANDS LÄN</t>
        </is>
      </c>
      <c r="G10555" t="inlineStr">
        <is>
          <t>TORSBY</t>
        </is>
      </c>
      <c r="I10555" t="n">
        <v>0.7</v>
      </c>
      <c r="J10555" t="n">
        <v>0</v>
      </c>
      <c r="K10555" t="n">
        <v>0</v>
      </c>
      <c r="L10555" t="n">
        <v>0</v>
      </c>
      <c r="M10555" t="n">
        <v>0</v>
      </c>
      <c r="N10555" t="n">
        <v>0</v>
      </c>
      <c r="O10555" t="n">
        <v>0</v>
      </c>
      <c r="P10555" t="n">
        <v>0</v>
      </c>
      <c r="Q10555" t="n">
        <v>0</v>
      </c>
      <c r="R10555" t="n">
        <v>0</v>
      </c>
      <c r="S10555" t="n">
        <v>0</v>
      </c>
      <c r="T10555" t="n">
        <v>0</v>
      </c>
      <c r="U10555" t="n">
        <v>0</v>
      </c>
      <c r="V10555" s="2" t="inlineStr"/>
    </row>
    <row r="10556" ht="15" customHeight="1">
      <c r="A10556" t="inlineStr">
        <is>
          <t>A 42020-2026</t>
        </is>
      </c>
      <c r="B10556" t="inlineStr">
        <is>
          <t>avverkningsanmälan</t>
        </is>
      </c>
      <c r="C10556" t="inlineStr">
        <is>
          <t>Föryngringsavverkning</t>
        </is>
      </c>
      <c r="D10556" s="1" t="n">
        <v>46304</v>
      </c>
      <c r="E10556" s="1" t="n">
        <v>46307</v>
      </c>
      <c r="F10556" t="inlineStr">
        <is>
          <t>VÄRMLANDS LÄN</t>
        </is>
      </c>
      <c r="G10556" t="inlineStr">
        <is>
          <t>TORSBY</t>
        </is>
      </c>
      <c r="H10556" t="inlineStr">
        <is>
          <t>Bergvik skog väst AB</t>
        </is>
      </c>
      <c r="I10556" t="n">
        <v>13.4</v>
      </c>
      <c r="J10556" t="n">
        <v>0</v>
      </c>
      <c r="K10556" t="n">
        <v>0</v>
      </c>
      <c r="L10556" t="n">
        <v>0</v>
      </c>
      <c r="M10556" t="n">
        <v>0</v>
      </c>
      <c r="N10556" t="n">
        <v>0</v>
      </c>
      <c r="O10556" t="n">
        <v>0</v>
      </c>
      <c r="P10556" t="n">
        <v>0</v>
      </c>
      <c r="Q10556" t="n">
        <v>0</v>
      </c>
      <c r="R10556" t="n">
        <v>0</v>
      </c>
      <c r="S10556" t="n">
        <v>0</v>
      </c>
      <c r="T10556" t="n">
        <v>0</v>
      </c>
      <c r="U10556" t="n">
        <v>0</v>
      </c>
      <c r="V10556" s="2" t="inlineStr"/>
    </row>
    <row r="10557" ht="15" customHeight="1">
      <c r="A10557" t="inlineStr">
        <is>
          <t>A 41971-2026</t>
        </is>
      </c>
      <c r="B10557" t="inlineStr">
        <is>
          <t>avverkningsanmälan</t>
        </is>
      </c>
      <c r="C10557" t="inlineStr">
        <is>
          <t>Föryngringsavverkning</t>
        </is>
      </c>
      <c r="D10557" s="1" t="n">
        <v>46303</v>
      </c>
      <c r="E10557" s="1" t="n">
        <v>46307</v>
      </c>
      <c r="F10557" t="inlineStr">
        <is>
          <t>VÄRMLANDS LÄN</t>
        </is>
      </c>
      <c r="G10557" t="inlineStr">
        <is>
          <t>ÅRJÄNG</t>
        </is>
      </c>
      <c r="I10557" t="n">
        <v>1.5</v>
      </c>
      <c r="J10557" t="n">
        <v>0</v>
      </c>
      <c r="K10557" t="n">
        <v>0</v>
      </c>
      <c r="L10557" t="n">
        <v>0</v>
      </c>
      <c r="M10557" t="n">
        <v>0</v>
      </c>
      <c r="N10557" t="n">
        <v>0</v>
      </c>
      <c r="O10557" t="n">
        <v>0</v>
      </c>
      <c r="P10557" t="n">
        <v>0</v>
      </c>
      <c r="Q10557" t="n">
        <v>0</v>
      </c>
      <c r="R10557" t="n">
        <v>0</v>
      </c>
      <c r="S10557" t="n">
        <v>0</v>
      </c>
      <c r="T10557" t="n">
        <v>0</v>
      </c>
      <c r="U10557" t="n">
        <v>0</v>
      </c>
      <c r="V10557" s="2" t="inlineStr"/>
    </row>
    <row r="10558" ht="15" customHeight="1">
      <c r="A10558" t="inlineStr">
        <is>
          <t>A 20982-2026</t>
        </is>
      </c>
      <c r="B10558" t="inlineStr">
        <is>
          <t>avverkningsanmälan</t>
        </is>
      </c>
      <c r="C10558" t="inlineStr">
        <is>
          <t>Föryngringsavverkning</t>
        </is>
      </c>
      <c r="D10558" s="1" t="n">
        <v>46142</v>
      </c>
      <c r="E10558" s="1" t="n">
        <v>46307</v>
      </c>
      <c r="F10558" t="inlineStr">
        <is>
          <t>VÄRMLANDS LÄN</t>
        </is>
      </c>
      <c r="G10558" t="inlineStr">
        <is>
          <t>KRISTINEHAMN</t>
        </is>
      </c>
      <c r="H10558" t="inlineStr">
        <is>
          <t>Sveaskog</t>
        </is>
      </c>
      <c r="I10558" t="n">
        <v>4.9</v>
      </c>
      <c r="J10558" t="n">
        <v>0</v>
      </c>
      <c r="K10558" t="n">
        <v>0</v>
      </c>
      <c r="L10558" t="n">
        <v>0</v>
      </c>
      <c r="M10558" t="n">
        <v>0</v>
      </c>
      <c r="N10558" t="n">
        <v>0</v>
      </c>
      <c r="O10558" t="n">
        <v>0</v>
      </c>
      <c r="P10558" t="n">
        <v>0</v>
      </c>
      <c r="Q10558" t="n">
        <v>0</v>
      </c>
      <c r="R10558" t="n">
        <v>0</v>
      </c>
      <c r="S10558" t="n">
        <v>0</v>
      </c>
      <c r="T10558" t="n">
        <v>0</v>
      </c>
      <c r="U10558" t="n">
        <v>0</v>
      </c>
      <c r="V10558" s="2" t="inlineStr"/>
    </row>
    <row r="10559" ht="15" customHeight="1">
      <c r="A10559" t="inlineStr">
        <is>
          <t>A 35368-2026</t>
        </is>
      </c>
      <c r="B10559" t="inlineStr">
        <is>
          <t>avverkningsanmälan</t>
        </is>
      </c>
      <c r="C10559" t="inlineStr">
        <is>
          <t>Föryngringsavverkning</t>
        </is>
      </c>
      <c r="D10559" s="1" t="n">
        <v>46261</v>
      </c>
      <c r="E10559" s="1" t="n">
        <v>46307</v>
      </c>
      <c r="F10559" t="inlineStr">
        <is>
          <t>VÄRMLANDS LÄN</t>
        </is>
      </c>
      <c r="G10559" t="inlineStr">
        <is>
          <t>FILIPSTAD</t>
        </is>
      </c>
      <c r="H10559" t="inlineStr">
        <is>
          <t>Bergvik skog väst AB</t>
        </is>
      </c>
      <c r="I10559" t="n">
        <v>10.3</v>
      </c>
      <c r="J10559" t="n">
        <v>0</v>
      </c>
      <c r="K10559" t="n">
        <v>0</v>
      </c>
      <c r="L10559" t="n">
        <v>0</v>
      </c>
      <c r="M10559" t="n">
        <v>0</v>
      </c>
      <c r="N10559" t="n">
        <v>0</v>
      </c>
      <c r="O10559" t="n">
        <v>0</v>
      </c>
      <c r="P10559" t="n">
        <v>0</v>
      </c>
      <c r="Q10559" t="n">
        <v>0</v>
      </c>
      <c r="R10559" t="n">
        <v>0</v>
      </c>
      <c r="S10559" t="n">
        <v>0</v>
      </c>
      <c r="T10559" t="n">
        <v>0</v>
      </c>
      <c r="U10559" t="n">
        <v>0</v>
      </c>
      <c r="V10559" s="2" t="inlineStr"/>
    </row>
    <row r="10560" ht="15" customHeight="1">
      <c r="A10560" t="inlineStr">
        <is>
          <t>A 42041-2026</t>
        </is>
      </c>
      <c r="B10560" t="inlineStr">
        <is>
          <t>avverkningsanmälan</t>
        </is>
      </c>
      <c r="C10560" t="inlineStr">
        <is>
          <t>Föryngringsavverkning</t>
        </is>
      </c>
      <c r="D10560" s="1" t="n">
        <v>46303</v>
      </c>
      <c r="E10560" s="1" t="n">
        <v>46307</v>
      </c>
      <c r="F10560" t="inlineStr">
        <is>
          <t>VÄRMLANDS LÄN</t>
        </is>
      </c>
      <c r="G10560" t="inlineStr">
        <is>
          <t>SUNNE</t>
        </is>
      </c>
      <c r="I10560" t="n">
        <v>1</v>
      </c>
      <c r="J10560" t="n">
        <v>0</v>
      </c>
      <c r="K10560" t="n">
        <v>0</v>
      </c>
      <c r="L10560" t="n">
        <v>0</v>
      </c>
      <c r="M10560" t="n">
        <v>0</v>
      </c>
      <c r="N10560" t="n">
        <v>0</v>
      </c>
      <c r="O10560" t="n">
        <v>0</v>
      </c>
      <c r="P10560" t="n">
        <v>0</v>
      </c>
      <c r="Q10560" t="n">
        <v>0</v>
      </c>
      <c r="R10560" t="n">
        <v>0</v>
      </c>
      <c r="S10560" t="n">
        <v>0</v>
      </c>
      <c r="T10560" t="n">
        <v>0</v>
      </c>
      <c r="U10560" t="n">
        <v>0</v>
      </c>
      <c r="V10560" s="2" t="inlineStr"/>
    </row>
    <row r="10561" ht="15" customHeight="1">
      <c r="A10561" t="inlineStr">
        <is>
          <t>A 42038-2026</t>
        </is>
      </c>
      <c r="B10561" t="inlineStr">
        <is>
          <t>avverkningsanmälan</t>
        </is>
      </c>
      <c r="C10561" t="inlineStr">
        <is>
          <t>Föryngringsavverkning</t>
        </is>
      </c>
      <c r="D10561" s="1" t="n">
        <v>46304</v>
      </c>
      <c r="E10561" s="1" t="n">
        <v>46307</v>
      </c>
      <c r="F10561" t="inlineStr">
        <is>
          <t>VÄRMLANDS LÄN</t>
        </is>
      </c>
      <c r="G10561" t="inlineStr">
        <is>
          <t>ARVIKA</t>
        </is>
      </c>
      <c r="H10561" t="inlineStr">
        <is>
          <t>Bergvik skog väst AB</t>
        </is>
      </c>
      <c r="I10561" t="n">
        <v>6.7</v>
      </c>
      <c r="J10561" t="n">
        <v>0</v>
      </c>
      <c r="K10561" t="n">
        <v>0</v>
      </c>
      <c r="L10561" t="n">
        <v>0</v>
      </c>
      <c r="M10561" t="n">
        <v>0</v>
      </c>
      <c r="N10561" t="n">
        <v>0</v>
      </c>
      <c r="O10561" t="n">
        <v>0</v>
      </c>
      <c r="P10561" t="n">
        <v>0</v>
      </c>
      <c r="Q10561" t="n">
        <v>0</v>
      </c>
      <c r="R10561" t="n">
        <v>0</v>
      </c>
      <c r="S10561" t="n">
        <v>0</v>
      </c>
      <c r="T10561" t="n">
        <v>0</v>
      </c>
      <c r="U10561" t="n">
        <v>0</v>
      </c>
      <c r="V10561" s="2" t="inlineStr"/>
    </row>
    <row r="10562" ht="15" customHeight="1">
      <c r="A10562" t="inlineStr">
        <is>
          <t>A 35123-2026</t>
        </is>
      </c>
      <c r="B10562" t="inlineStr">
        <is>
          <t>avverkningsanmälan</t>
        </is>
      </c>
      <c r="C10562" t="inlineStr">
        <is>
          <t>Föryngringsavverkning</t>
        </is>
      </c>
      <c r="D10562" s="1" t="n">
        <v>46260</v>
      </c>
      <c r="E10562" s="1" t="n">
        <v>46307</v>
      </c>
      <c r="F10562" t="inlineStr">
        <is>
          <t>VÄRMLANDS LÄN</t>
        </is>
      </c>
      <c r="G10562" t="inlineStr">
        <is>
          <t>TORSBY</t>
        </is>
      </c>
      <c r="H10562" t="inlineStr">
        <is>
          <t>Bergvik skog väst AB</t>
        </is>
      </c>
      <c r="I10562" t="n">
        <v>10.4</v>
      </c>
      <c r="J10562" t="n">
        <v>0</v>
      </c>
      <c r="K10562" t="n">
        <v>0</v>
      </c>
      <c r="L10562" t="n">
        <v>0</v>
      </c>
      <c r="M10562" t="n">
        <v>0</v>
      </c>
      <c r="N10562" t="n">
        <v>0</v>
      </c>
      <c r="O10562" t="n">
        <v>0</v>
      </c>
      <c r="P10562" t="n">
        <v>0</v>
      </c>
      <c r="Q10562" t="n">
        <v>0</v>
      </c>
      <c r="R10562" t="n">
        <v>0</v>
      </c>
      <c r="S10562" t="n">
        <v>0</v>
      </c>
      <c r="T10562" t="n">
        <v>0</v>
      </c>
      <c r="U10562" t="n">
        <v>0</v>
      </c>
      <c r="V10562" s="2" t="inlineStr"/>
    </row>
    <row r="10563" ht="15" customHeight="1">
      <c r="A10563" t="inlineStr">
        <is>
          <t>A 42090-2026</t>
        </is>
      </c>
      <c r="B10563" t="inlineStr">
        <is>
          <t>avverkningsanmälan</t>
        </is>
      </c>
      <c r="C10563" t="inlineStr">
        <is>
          <t>Föryngringsavverkning</t>
        </is>
      </c>
      <c r="D10563" s="1" t="n">
        <v>46304</v>
      </c>
      <c r="E10563" s="1" t="n">
        <v>46307</v>
      </c>
      <c r="F10563" t="inlineStr">
        <is>
          <t>VÄRMLANDS LÄN</t>
        </is>
      </c>
      <c r="G10563" t="inlineStr">
        <is>
          <t>ÅRJÄNG</t>
        </is>
      </c>
      <c r="I10563" t="n">
        <v>3</v>
      </c>
      <c r="J10563" t="n">
        <v>0</v>
      </c>
      <c r="K10563" t="n">
        <v>0</v>
      </c>
      <c r="L10563" t="n">
        <v>0</v>
      </c>
      <c r="M10563" t="n">
        <v>0</v>
      </c>
      <c r="N10563" t="n">
        <v>0</v>
      </c>
      <c r="O10563" t="n">
        <v>0</v>
      </c>
      <c r="P10563" t="n">
        <v>0</v>
      </c>
      <c r="Q10563" t="n">
        <v>0</v>
      </c>
      <c r="R10563" t="n">
        <v>0</v>
      </c>
      <c r="S10563" t="n">
        <v>0</v>
      </c>
      <c r="T10563" t="n">
        <v>0</v>
      </c>
      <c r="U10563" t="n">
        <v>0</v>
      </c>
      <c r="V10563" s="2" t="inlineStr"/>
    </row>
    <row r="10564" ht="15" customHeight="1">
      <c r="A10564" t="inlineStr">
        <is>
          <t>A 42094-2026</t>
        </is>
      </c>
      <c r="B10564" t="inlineStr">
        <is>
          <t>avverkningsanmälan</t>
        </is>
      </c>
      <c r="C10564" t="inlineStr">
        <is>
          <t>Föryngringsavverkning</t>
        </is>
      </c>
      <c r="D10564" s="1" t="n">
        <v>46304</v>
      </c>
      <c r="E10564" s="1" t="n">
        <v>46307</v>
      </c>
      <c r="F10564" t="inlineStr">
        <is>
          <t>VÄRMLANDS LÄN</t>
        </is>
      </c>
      <c r="G10564" t="inlineStr">
        <is>
          <t>SÄFFLE</t>
        </is>
      </c>
      <c r="I10564" t="n">
        <v>1.1</v>
      </c>
      <c r="J10564" t="n">
        <v>0</v>
      </c>
      <c r="K10564" t="n">
        <v>0</v>
      </c>
      <c r="L10564" t="n">
        <v>0</v>
      </c>
      <c r="M10564" t="n">
        <v>0</v>
      </c>
      <c r="N10564" t="n">
        <v>0</v>
      </c>
      <c r="O10564" t="n">
        <v>0</v>
      </c>
      <c r="P10564" t="n">
        <v>0</v>
      </c>
      <c r="Q10564" t="n">
        <v>0</v>
      </c>
      <c r="R10564" t="n">
        <v>0</v>
      </c>
      <c r="S10564" t="n">
        <v>0</v>
      </c>
      <c r="T10564" t="n">
        <v>0</v>
      </c>
      <c r="U10564" t="n">
        <v>0</v>
      </c>
      <c r="V10564" s="2" t="inlineStr"/>
    </row>
    <row r="10565" ht="15" customHeight="1">
      <c r="A10565" t="inlineStr">
        <is>
          <t>A 35386-2026</t>
        </is>
      </c>
      <c r="B10565" t="inlineStr">
        <is>
          <t>avverkningsanmälan</t>
        </is>
      </c>
      <c r="C10565" t="inlineStr">
        <is>
          <t>Föryngringsavverkning</t>
        </is>
      </c>
      <c r="D10565" s="1" t="n">
        <v>46261</v>
      </c>
      <c r="E10565" s="1" t="n">
        <v>46307</v>
      </c>
      <c r="F10565" t="inlineStr">
        <is>
          <t>VÄRMLANDS LÄN</t>
        </is>
      </c>
      <c r="G10565" t="inlineStr">
        <is>
          <t>HAGFORS</t>
        </is>
      </c>
      <c r="H10565" t="inlineStr">
        <is>
          <t>Bergvik skog väst AB</t>
        </is>
      </c>
      <c r="I10565" t="n">
        <v>13.3</v>
      </c>
      <c r="J10565" t="n">
        <v>0</v>
      </c>
      <c r="K10565" t="n">
        <v>0</v>
      </c>
      <c r="L10565" t="n">
        <v>0</v>
      </c>
      <c r="M10565" t="n">
        <v>0</v>
      </c>
      <c r="N10565" t="n">
        <v>0</v>
      </c>
      <c r="O10565" t="n">
        <v>0</v>
      </c>
      <c r="P10565" t="n">
        <v>0</v>
      </c>
      <c r="Q10565" t="n">
        <v>0</v>
      </c>
      <c r="R10565" t="n">
        <v>0</v>
      </c>
      <c r="S10565" t="n">
        <v>0</v>
      </c>
      <c r="T10565" t="n">
        <v>0</v>
      </c>
      <c r="U10565" t="n">
        <v>0</v>
      </c>
      <c r="V10565" s="2" t="inlineStr"/>
    </row>
    <row r="10566" ht="15" customHeight="1">
      <c r="A10566" t="inlineStr">
        <is>
          <t>A 41036-2026</t>
        </is>
      </c>
      <c r="B10566" t="inlineStr">
        <is>
          <t>avverkningsanmälan</t>
        </is>
      </c>
      <c r="C10566" t="inlineStr">
        <is>
          <t>Föryngringsavverkning</t>
        </is>
      </c>
      <c r="D10566" s="1" t="n">
        <v>46299</v>
      </c>
      <c r="E10566" s="1" t="n">
        <v>46307</v>
      </c>
      <c r="F10566" t="inlineStr">
        <is>
          <t>VÄRMLANDS LÄN</t>
        </is>
      </c>
      <c r="G10566" t="inlineStr">
        <is>
          <t>TORSBY</t>
        </is>
      </c>
      <c r="I10566" t="n">
        <v>27.1</v>
      </c>
      <c r="J10566" t="n">
        <v>0</v>
      </c>
      <c r="K10566" t="n">
        <v>0</v>
      </c>
      <c r="L10566" t="n">
        <v>0</v>
      </c>
      <c r="M10566" t="n">
        <v>0</v>
      </c>
      <c r="N10566" t="n">
        <v>0</v>
      </c>
      <c r="O10566" t="n">
        <v>0</v>
      </c>
      <c r="P10566" t="n">
        <v>0</v>
      </c>
      <c r="Q10566" t="n">
        <v>0</v>
      </c>
      <c r="R10566" t="n">
        <v>0</v>
      </c>
      <c r="S10566" t="n">
        <v>0</v>
      </c>
      <c r="T10566" t="n">
        <v>0</v>
      </c>
      <c r="U10566" t="n">
        <v>0</v>
      </c>
      <c r="V10566" s="2" t="inlineStr"/>
    </row>
    <row r="10567" ht="15" customHeight="1">
      <c r="A10567" t="inlineStr">
        <is>
          <t>A 41327-2026</t>
        </is>
      </c>
      <c r="B10567" t="inlineStr">
        <is>
          <t>avverkningsanmälan</t>
        </is>
      </c>
      <c r="C10567" t="inlineStr">
        <is>
          <t>Föryngringsavverkning</t>
        </is>
      </c>
      <c r="D10567" s="1" t="n">
        <v>46301</v>
      </c>
      <c r="E10567" s="1" t="n">
        <v>46307</v>
      </c>
      <c r="F10567" t="inlineStr">
        <is>
          <t>VÄRMLANDS LÄN</t>
        </is>
      </c>
      <c r="G10567" t="inlineStr">
        <is>
          <t>SUNNE</t>
        </is>
      </c>
      <c r="H10567" t="inlineStr">
        <is>
          <t>Kommuner</t>
        </is>
      </c>
      <c r="I10567" t="n">
        <v>2.7</v>
      </c>
      <c r="J10567" t="n">
        <v>0</v>
      </c>
      <c r="K10567" t="n">
        <v>0</v>
      </c>
      <c r="L10567" t="n">
        <v>0</v>
      </c>
      <c r="M10567" t="n">
        <v>0</v>
      </c>
      <c r="N10567" t="n">
        <v>0</v>
      </c>
      <c r="O10567" t="n">
        <v>0</v>
      </c>
      <c r="P10567" t="n">
        <v>0</v>
      </c>
      <c r="Q10567" t="n">
        <v>0</v>
      </c>
      <c r="R10567" t="n">
        <v>0</v>
      </c>
      <c r="S10567" t="n">
        <v>0</v>
      </c>
      <c r="T10567" t="n">
        <v>0</v>
      </c>
      <c r="U10567" t="n">
        <v>0</v>
      </c>
      <c r="V10567" s="2" t="inlineStr"/>
    </row>
    <row r="10568" ht="15" customHeight="1">
      <c r="A10568" t="inlineStr">
        <is>
          <t>A 41910-2026</t>
        </is>
      </c>
      <c r="B10568" t="inlineStr">
        <is>
          <t>avverkningsanmälan</t>
        </is>
      </c>
      <c r="C10568" t="inlineStr">
        <is>
          <t>Föryngringsavverkning</t>
        </is>
      </c>
      <c r="D10568" s="1" t="n">
        <v>46303</v>
      </c>
      <c r="E10568" s="1" t="n">
        <v>46307</v>
      </c>
      <c r="F10568" t="inlineStr">
        <is>
          <t>VÄRMLANDS LÄN</t>
        </is>
      </c>
      <c r="G10568" t="inlineStr">
        <is>
          <t>TORSBY</t>
        </is>
      </c>
      <c r="H10568" t="inlineStr">
        <is>
          <t>Bergvik skog väst AB</t>
        </is>
      </c>
      <c r="I10568" t="n">
        <v>17.6</v>
      </c>
      <c r="J10568" t="n">
        <v>0</v>
      </c>
      <c r="K10568" t="n">
        <v>0</v>
      </c>
      <c r="L10568" t="n">
        <v>0</v>
      </c>
      <c r="M10568" t="n">
        <v>0</v>
      </c>
      <c r="N10568" t="n">
        <v>0</v>
      </c>
      <c r="O10568" t="n">
        <v>0</v>
      </c>
      <c r="P10568" t="n">
        <v>0</v>
      </c>
      <c r="Q10568" t="n">
        <v>0</v>
      </c>
      <c r="R10568" t="n">
        <v>0</v>
      </c>
      <c r="S10568" t="n">
        <v>0</v>
      </c>
      <c r="T10568" t="n">
        <v>0</v>
      </c>
      <c r="U10568" t="n">
        <v>0</v>
      </c>
      <c r="V10568" s="2" t="inlineStr"/>
    </row>
    <row r="10569" ht="15" customHeight="1">
      <c r="A10569" t="inlineStr">
        <is>
          <t>A 37156-2026</t>
        </is>
      </c>
      <c r="B10569" t="inlineStr">
        <is>
          <t>avverkningsanmälan</t>
        </is>
      </c>
      <c r="C10569" t="inlineStr">
        <is>
          <t>Föryngringsavverkning</t>
        </is>
      </c>
      <c r="D10569" s="1" t="n">
        <v>46274</v>
      </c>
      <c r="E10569" s="1" t="n">
        <v>46307</v>
      </c>
      <c r="F10569" t="inlineStr">
        <is>
          <t>VÄRMLANDS LÄN</t>
        </is>
      </c>
      <c r="G10569" t="inlineStr">
        <is>
          <t>TORSBY</t>
        </is>
      </c>
      <c r="I10569" t="n">
        <v>15.1</v>
      </c>
      <c r="J10569" t="n">
        <v>0</v>
      </c>
      <c r="K10569" t="n">
        <v>0</v>
      </c>
      <c r="L10569" t="n">
        <v>0</v>
      </c>
      <c r="M10569" t="n">
        <v>0</v>
      </c>
      <c r="N10569" t="n">
        <v>0</v>
      </c>
      <c r="O10569" t="n">
        <v>0</v>
      </c>
      <c r="P10569" t="n">
        <v>0</v>
      </c>
      <c r="Q10569" t="n">
        <v>0</v>
      </c>
      <c r="R10569" t="n">
        <v>0</v>
      </c>
      <c r="S10569" t="n">
        <v>0</v>
      </c>
      <c r="T10569" t="n">
        <v>0</v>
      </c>
      <c r="U10569" t="n">
        <v>0</v>
      </c>
      <c r="V10569" s="2" t="inlineStr"/>
    </row>
    <row r="10570" ht="15" customHeight="1">
      <c r="A10570" t="inlineStr">
        <is>
          <t>A 41942-2026</t>
        </is>
      </c>
      <c r="B10570" t="inlineStr">
        <is>
          <t>avverkningsanmälan</t>
        </is>
      </c>
      <c r="C10570" t="inlineStr">
        <is>
          <t>Föryngringsavverkning</t>
        </is>
      </c>
      <c r="D10570" s="1" t="n">
        <v>46303</v>
      </c>
      <c r="E10570" s="1" t="n">
        <v>46307</v>
      </c>
      <c r="F10570" t="inlineStr">
        <is>
          <t>VÄRMLANDS LÄN</t>
        </is>
      </c>
      <c r="G10570" t="inlineStr">
        <is>
          <t>ÅRJÄNG</t>
        </is>
      </c>
      <c r="I10570" t="n">
        <v>0.9</v>
      </c>
      <c r="J10570" t="n">
        <v>0</v>
      </c>
      <c r="K10570" t="n">
        <v>0</v>
      </c>
      <c r="L10570" t="n">
        <v>0</v>
      </c>
      <c r="M10570" t="n">
        <v>0</v>
      </c>
      <c r="N10570" t="n">
        <v>0</v>
      </c>
      <c r="O10570" t="n">
        <v>0</v>
      </c>
      <c r="P10570" t="n">
        <v>0</v>
      </c>
      <c r="Q10570" t="n">
        <v>0</v>
      </c>
      <c r="R10570" t="n">
        <v>0</v>
      </c>
      <c r="S10570" t="n">
        <v>0</v>
      </c>
      <c r="T10570" t="n">
        <v>0</v>
      </c>
      <c r="U10570" t="n">
        <v>0</v>
      </c>
      <c r="V10570" s="2" t="inlineStr"/>
    </row>
    <row r="10571" ht="15" customHeight="1">
      <c r="A10571" t="inlineStr">
        <is>
          <t>A 41970-2026</t>
        </is>
      </c>
      <c r="B10571" t="inlineStr">
        <is>
          <t>avverkningsanmälan</t>
        </is>
      </c>
      <c r="C10571" t="inlineStr">
        <is>
          <t>Föryngringsavverkning</t>
        </is>
      </c>
      <c r="D10571" s="1" t="n">
        <v>46303</v>
      </c>
      <c r="E10571" s="1" t="n">
        <v>46307</v>
      </c>
      <c r="F10571" t="inlineStr">
        <is>
          <t>VÄRMLANDS LÄN</t>
        </is>
      </c>
      <c r="G10571" t="inlineStr">
        <is>
          <t>ARVIKA</t>
        </is>
      </c>
      <c r="H10571" t="inlineStr">
        <is>
          <t>Bergvik skog väst AB</t>
        </is>
      </c>
      <c r="I10571" t="n">
        <v>1.5</v>
      </c>
      <c r="J10571" t="n">
        <v>0</v>
      </c>
      <c r="K10571" t="n">
        <v>0</v>
      </c>
      <c r="L10571" t="n">
        <v>0</v>
      </c>
      <c r="M10571" t="n">
        <v>0</v>
      </c>
      <c r="N10571" t="n">
        <v>0</v>
      </c>
      <c r="O10571" t="n">
        <v>0</v>
      </c>
      <c r="P10571" t="n">
        <v>0</v>
      </c>
      <c r="Q10571" t="n">
        <v>0</v>
      </c>
      <c r="R10571" t="n">
        <v>0</v>
      </c>
      <c r="S10571" t="n">
        <v>0</v>
      </c>
      <c r="T10571" t="n">
        <v>0</v>
      </c>
      <c r="U10571" t="n">
        <v>0</v>
      </c>
      <c r="V10571" s="2" t="inlineStr"/>
    </row>
    <row r="10572" ht="15" customHeight="1">
      <c r="A10572" t="inlineStr">
        <is>
          <t>A 41245-2026</t>
        </is>
      </c>
      <c r="B10572" t="inlineStr">
        <is>
          <t>avverkningsanmälan</t>
        </is>
      </c>
      <c r="C10572" t="inlineStr">
        <is>
          <t>Föryngringsavverkning</t>
        </is>
      </c>
      <c r="D10572" s="1" t="n">
        <v>46300</v>
      </c>
      <c r="E10572" s="1" t="n">
        <v>46307</v>
      </c>
      <c r="F10572" t="inlineStr">
        <is>
          <t>VÄRMLANDS LÄN</t>
        </is>
      </c>
      <c r="G10572" t="inlineStr">
        <is>
          <t>EDA</t>
        </is>
      </c>
      <c r="I10572" t="n">
        <v>3.5</v>
      </c>
      <c r="J10572" t="n">
        <v>0</v>
      </c>
      <c r="K10572" t="n">
        <v>0</v>
      </c>
      <c r="L10572" t="n">
        <v>0</v>
      </c>
      <c r="M10572" t="n">
        <v>0</v>
      </c>
      <c r="N10572" t="n">
        <v>0</v>
      </c>
      <c r="O10572" t="n">
        <v>0</v>
      </c>
      <c r="P10572" t="n">
        <v>0</v>
      </c>
      <c r="Q10572" t="n">
        <v>0</v>
      </c>
      <c r="R10572" t="n">
        <v>0</v>
      </c>
      <c r="S10572" t="n">
        <v>0</v>
      </c>
      <c r="T10572" t="n">
        <v>0</v>
      </c>
      <c r="U10572" t="n">
        <v>0</v>
      </c>
      <c r="V10572" s="2" t="inlineStr"/>
    </row>
    <row r="10573" ht="15" customHeight="1">
      <c r="A10573" t="inlineStr">
        <is>
          <t>A 35375-2026</t>
        </is>
      </c>
      <c r="B10573" t="inlineStr">
        <is>
          <t>avverkningsanmälan</t>
        </is>
      </c>
      <c r="C10573" t="inlineStr">
        <is>
          <t>Föryngringsavverkning</t>
        </is>
      </c>
      <c r="D10573" s="1" t="n">
        <v>46261</v>
      </c>
      <c r="E10573" s="1" t="n">
        <v>46307</v>
      </c>
      <c r="F10573" t="inlineStr">
        <is>
          <t>VÄRMLANDS LÄN</t>
        </is>
      </c>
      <c r="G10573" t="inlineStr">
        <is>
          <t>ARVIKA</t>
        </is>
      </c>
      <c r="I10573" t="n">
        <v>3.1</v>
      </c>
      <c r="J10573" t="n">
        <v>0</v>
      </c>
      <c r="K10573" t="n">
        <v>0</v>
      </c>
      <c r="L10573" t="n">
        <v>0</v>
      </c>
      <c r="M10573" t="n">
        <v>0</v>
      </c>
      <c r="N10573" t="n">
        <v>0</v>
      </c>
      <c r="O10573" t="n">
        <v>0</v>
      </c>
      <c r="P10573" t="n">
        <v>0</v>
      </c>
      <c r="Q10573" t="n">
        <v>0</v>
      </c>
      <c r="R10573" t="n">
        <v>0</v>
      </c>
      <c r="S10573" t="n">
        <v>0</v>
      </c>
      <c r="T10573" t="n">
        <v>0</v>
      </c>
      <c r="U10573" t="n">
        <v>0</v>
      </c>
      <c r="V10573" s="2" t="inlineStr"/>
    </row>
    <row r="10574" ht="15" customHeight="1">
      <c r="A10574" t="inlineStr">
        <is>
          <t>A 35408-2026</t>
        </is>
      </c>
      <c r="B10574" t="inlineStr">
        <is>
          <t>avverkningsanmälan</t>
        </is>
      </c>
      <c r="C10574" t="inlineStr">
        <is>
          <t>Föryngringsavverkning</t>
        </is>
      </c>
      <c r="D10574" s="1" t="n">
        <v>46261</v>
      </c>
      <c r="E10574" s="1" t="n">
        <v>46307</v>
      </c>
      <c r="F10574" t="inlineStr">
        <is>
          <t>VÄRMLANDS LÄN</t>
        </is>
      </c>
      <c r="G10574" t="inlineStr">
        <is>
          <t>ARVIKA</t>
        </is>
      </c>
      <c r="I10574" t="n">
        <v>1</v>
      </c>
      <c r="J10574" t="n">
        <v>0</v>
      </c>
      <c r="K10574" t="n">
        <v>0</v>
      </c>
      <c r="L10574" t="n">
        <v>0</v>
      </c>
      <c r="M10574" t="n">
        <v>0</v>
      </c>
      <c r="N10574" t="n">
        <v>0</v>
      </c>
      <c r="O10574" t="n">
        <v>0</v>
      </c>
      <c r="P10574" t="n">
        <v>0</v>
      </c>
      <c r="Q10574" t="n">
        <v>0</v>
      </c>
      <c r="R10574" t="n">
        <v>0</v>
      </c>
      <c r="S10574" t="n">
        <v>0</v>
      </c>
      <c r="T10574" t="n">
        <v>0</v>
      </c>
      <c r="U10574" t="n">
        <v>0</v>
      </c>
      <c r="V10574" s="2" t="inlineStr"/>
    </row>
    <row r="10575" ht="15" customHeight="1">
      <c r="A10575" t="inlineStr">
        <is>
          <t>A 41856-2026</t>
        </is>
      </c>
      <c r="B10575" t="inlineStr">
        <is>
          <t>avverkningsanmälan</t>
        </is>
      </c>
      <c r="C10575" t="inlineStr">
        <is>
          <t>Föryngringsavverkning</t>
        </is>
      </c>
      <c r="D10575" s="1" t="n">
        <v>46303</v>
      </c>
      <c r="E10575" s="1" t="n">
        <v>46307</v>
      </c>
      <c r="F10575" t="inlineStr">
        <is>
          <t>VÄRMLANDS LÄN</t>
        </is>
      </c>
      <c r="G10575" t="inlineStr">
        <is>
          <t>TORSBY</t>
        </is>
      </c>
      <c r="H10575" t="inlineStr">
        <is>
          <t>Bergvik skog väst AB</t>
        </is>
      </c>
      <c r="I10575" t="n">
        <v>1.6</v>
      </c>
      <c r="J10575" t="n">
        <v>0</v>
      </c>
      <c r="K10575" t="n">
        <v>0</v>
      </c>
      <c r="L10575" t="n">
        <v>0</v>
      </c>
      <c r="M10575" t="n">
        <v>0</v>
      </c>
      <c r="N10575" t="n">
        <v>0</v>
      </c>
      <c r="O10575" t="n">
        <v>0</v>
      </c>
      <c r="P10575" t="n">
        <v>0</v>
      </c>
      <c r="Q10575" t="n">
        <v>0</v>
      </c>
      <c r="R10575" t="n">
        <v>0</v>
      </c>
      <c r="S10575" t="n">
        <v>0</v>
      </c>
      <c r="T10575" t="n">
        <v>0</v>
      </c>
      <c r="U10575" t="n">
        <v>0</v>
      </c>
      <c r="V10575" s="2" t="inlineStr"/>
    </row>
    <row r="10576" ht="15" customHeight="1">
      <c r="A10576" t="inlineStr">
        <is>
          <t>A 42143-2026</t>
        </is>
      </c>
      <c r="B10576" t="inlineStr">
        <is>
          <t>avverkningsanmälan</t>
        </is>
      </c>
      <c r="C10576" t="inlineStr">
        <is>
          <t>Föryngringsavverkning</t>
        </is>
      </c>
      <c r="D10576" s="1" t="n">
        <v>46304</v>
      </c>
      <c r="E10576" s="1" t="n">
        <v>46307</v>
      </c>
      <c r="F10576" t="inlineStr">
        <is>
          <t>VÄRMLANDS LÄN</t>
        </is>
      </c>
      <c r="G10576" t="inlineStr">
        <is>
          <t>SUNNE</t>
        </is>
      </c>
      <c r="I10576" t="n">
        <v>1.3</v>
      </c>
      <c r="J10576" t="n">
        <v>0</v>
      </c>
      <c r="K10576" t="n">
        <v>0</v>
      </c>
      <c r="L10576" t="n">
        <v>0</v>
      </c>
      <c r="M10576" t="n">
        <v>0</v>
      </c>
      <c r="N10576" t="n">
        <v>0</v>
      </c>
      <c r="O10576" t="n">
        <v>0</v>
      </c>
      <c r="P10576" t="n">
        <v>0</v>
      </c>
      <c r="Q10576" t="n">
        <v>0</v>
      </c>
      <c r="R10576" t="n">
        <v>0</v>
      </c>
      <c r="S10576" t="n">
        <v>0</v>
      </c>
      <c r="T10576" t="n">
        <v>0</v>
      </c>
      <c r="U10576" t="n">
        <v>0</v>
      </c>
      <c r="V10576" s="2" t="inlineStr"/>
    </row>
    <row r="10577" ht="15" customHeight="1">
      <c r="A10577" t="inlineStr">
        <is>
          <t>A 41928-2026</t>
        </is>
      </c>
      <c r="B10577" t="inlineStr">
        <is>
          <t>avverkningsanmälan</t>
        </is>
      </c>
      <c r="C10577" t="inlineStr">
        <is>
          <t>Föryngringsavverkning</t>
        </is>
      </c>
      <c r="D10577" s="1" t="n">
        <v>46303</v>
      </c>
      <c r="E10577" s="1" t="n">
        <v>46307</v>
      </c>
      <c r="F10577" t="inlineStr">
        <is>
          <t>VÄRMLANDS LÄN</t>
        </is>
      </c>
      <c r="G10577" t="inlineStr">
        <is>
          <t>TORSBY</t>
        </is>
      </c>
      <c r="H10577" t="inlineStr">
        <is>
          <t>Bergvik skog väst AB</t>
        </is>
      </c>
      <c r="I10577" t="n">
        <v>11.8</v>
      </c>
      <c r="J10577" t="n">
        <v>0</v>
      </c>
      <c r="K10577" t="n">
        <v>0</v>
      </c>
      <c r="L10577" t="n">
        <v>0</v>
      </c>
      <c r="M10577" t="n">
        <v>0</v>
      </c>
      <c r="N10577" t="n">
        <v>0</v>
      </c>
      <c r="O10577" t="n">
        <v>0</v>
      </c>
      <c r="P10577" t="n">
        <v>0</v>
      </c>
      <c r="Q10577" t="n">
        <v>0</v>
      </c>
      <c r="R10577" t="n">
        <v>0</v>
      </c>
      <c r="S10577" t="n">
        <v>0</v>
      </c>
      <c r="T10577" t="n">
        <v>0</v>
      </c>
      <c r="U10577" t="n">
        <v>0</v>
      </c>
      <c r="V10577" s="2" t="inlineStr"/>
    </row>
    <row r="10578" ht="15" customHeight="1">
      <c r="A10578" t="inlineStr">
        <is>
          <t>A 15360-2026</t>
        </is>
      </c>
      <c r="B10578" t="inlineStr">
        <is>
          <t>avverkningsanmälan</t>
        </is>
      </c>
      <c r="C10578" t="inlineStr">
        <is>
          <t>Föryngringsavverkning</t>
        </is>
      </c>
      <c r="D10578" s="1" t="n">
        <v>46105</v>
      </c>
      <c r="E10578" s="1" t="n">
        <v>46307</v>
      </c>
      <c r="F10578" t="inlineStr">
        <is>
          <t>VÄRMLANDS LÄN</t>
        </is>
      </c>
      <c r="G10578" t="inlineStr">
        <is>
          <t>TORSBY</t>
        </is>
      </c>
      <c r="H10578" t="inlineStr">
        <is>
          <t>Bergvik skog väst AB</t>
        </is>
      </c>
      <c r="I10578" t="n">
        <v>10.1</v>
      </c>
      <c r="J10578" t="n">
        <v>0</v>
      </c>
      <c r="K10578" t="n">
        <v>0</v>
      </c>
      <c r="L10578" t="n">
        <v>0</v>
      </c>
      <c r="M10578" t="n">
        <v>0</v>
      </c>
      <c r="N10578" t="n">
        <v>0</v>
      </c>
      <c r="O10578" t="n">
        <v>0</v>
      </c>
      <c r="P10578" t="n">
        <v>0</v>
      </c>
      <c r="Q10578" t="n">
        <v>0</v>
      </c>
      <c r="R10578" t="n">
        <v>0</v>
      </c>
      <c r="S10578" t="n">
        <v>0</v>
      </c>
      <c r="T10578" t="n">
        <v>0</v>
      </c>
      <c r="U10578" t="n">
        <v>0</v>
      </c>
      <c r="V10578" s="2" t="inlineStr"/>
    </row>
    <row r="10579" ht="15" customHeight="1">
      <c r="A10579" t="inlineStr">
        <is>
          <t>A 42044-2026</t>
        </is>
      </c>
      <c r="B10579" t="inlineStr">
        <is>
          <t>avverkningsanmälan</t>
        </is>
      </c>
      <c r="C10579" t="inlineStr">
        <is>
          <t>Föryngringsavverkning</t>
        </is>
      </c>
      <c r="D10579" s="1" t="n">
        <v>46304</v>
      </c>
      <c r="E10579" s="1" t="n">
        <v>46307</v>
      </c>
      <c r="F10579" t="inlineStr">
        <is>
          <t>VÄRMLANDS LÄN</t>
        </is>
      </c>
      <c r="G10579" t="inlineStr">
        <is>
          <t>ARVIKA</t>
        </is>
      </c>
      <c r="H10579" t="inlineStr">
        <is>
          <t>Bergvik skog väst AB</t>
        </is>
      </c>
      <c r="I10579" t="n">
        <v>5.2</v>
      </c>
      <c r="J10579" t="n">
        <v>0</v>
      </c>
      <c r="K10579" t="n">
        <v>0</v>
      </c>
      <c r="L10579" t="n">
        <v>0</v>
      </c>
      <c r="M10579" t="n">
        <v>0</v>
      </c>
      <c r="N10579" t="n">
        <v>0</v>
      </c>
      <c r="O10579" t="n">
        <v>0</v>
      </c>
      <c r="P10579" t="n">
        <v>0</v>
      </c>
      <c r="Q10579" t="n">
        <v>0</v>
      </c>
      <c r="R10579" t="n">
        <v>0</v>
      </c>
      <c r="S10579" t="n">
        <v>0</v>
      </c>
      <c r="T10579" t="n">
        <v>0</v>
      </c>
      <c r="U10579" t="n">
        <v>0</v>
      </c>
      <c r="V10579" s="2" t="inlineStr"/>
    </row>
    <row r="10580" ht="15" customHeight="1">
      <c r="A10580" t="inlineStr">
        <is>
          <t>A 35448-2026</t>
        </is>
      </c>
      <c r="B10580" t="inlineStr">
        <is>
          <t>avverkningsanmälan</t>
        </is>
      </c>
      <c r="C10580" t="inlineStr">
        <is>
          <t>Föryngringsavverkning</t>
        </is>
      </c>
      <c r="D10580" s="1" t="n">
        <v>46262</v>
      </c>
      <c r="E10580" s="1" t="n">
        <v>46307</v>
      </c>
      <c r="F10580" t="inlineStr">
        <is>
          <t>VÄRMLANDS LÄN</t>
        </is>
      </c>
      <c r="G10580" t="inlineStr">
        <is>
          <t>TORSBY</t>
        </is>
      </c>
      <c r="I10580" t="n">
        <v>4.4</v>
      </c>
      <c r="J10580" t="n">
        <v>0</v>
      </c>
      <c r="K10580" t="n">
        <v>0</v>
      </c>
      <c r="L10580" t="n">
        <v>0</v>
      </c>
      <c r="M10580" t="n">
        <v>0</v>
      </c>
      <c r="N10580" t="n">
        <v>0</v>
      </c>
      <c r="O10580" t="n">
        <v>0</v>
      </c>
      <c r="P10580" t="n">
        <v>0</v>
      </c>
      <c r="Q10580" t="n">
        <v>0</v>
      </c>
      <c r="R10580" t="n">
        <v>0</v>
      </c>
      <c r="S10580" t="n">
        <v>0</v>
      </c>
      <c r="T10580" t="n">
        <v>0</v>
      </c>
      <c r="U10580" t="n">
        <v>0</v>
      </c>
      <c r="V10580" s="2" t="inlineStr"/>
    </row>
    <row r="10581" ht="15" customHeight="1">
      <c r="A10581" t="inlineStr">
        <is>
          <t>A 35334-2026</t>
        </is>
      </c>
      <c r="B10581" t="inlineStr">
        <is>
          <t>avverkningsanmälan</t>
        </is>
      </c>
      <c r="C10581" t="inlineStr">
        <is>
          <t>Avverkning för att bevara och utveckla /försöksver</t>
        </is>
      </c>
      <c r="D10581" s="1" t="n">
        <v>46261</v>
      </c>
      <c r="E10581" s="1" t="n">
        <v>46307</v>
      </c>
      <c r="F10581" t="inlineStr">
        <is>
          <t>VÄRMLANDS LÄN</t>
        </is>
      </c>
      <c r="G10581" t="inlineStr">
        <is>
          <t>TORSBY</t>
        </is>
      </c>
      <c r="H10581" t="inlineStr">
        <is>
          <t>Bergvik skog väst AB</t>
        </is>
      </c>
      <c r="I10581" t="n">
        <v>3.8</v>
      </c>
      <c r="J10581" t="n">
        <v>0</v>
      </c>
      <c r="K10581" t="n">
        <v>0</v>
      </c>
      <c r="L10581" t="n">
        <v>0</v>
      </c>
      <c r="M10581" t="n">
        <v>0</v>
      </c>
      <c r="N10581" t="n">
        <v>0</v>
      </c>
      <c r="O10581" t="n">
        <v>0</v>
      </c>
      <c r="P10581" t="n">
        <v>0</v>
      </c>
      <c r="Q10581" t="n">
        <v>0</v>
      </c>
      <c r="R10581" t="n">
        <v>0</v>
      </c>
      <c r="S10581" t="n">
        <v>0</v>
      </c>
      <c r="T10581" t="n">
        <v>0</v>
      </c>
      <c r="U10581" t="n">
        <v>0</v>
      </c>
      <c r="V10581" s="2" t="inlineStr"/>
    </row>
    <row r="10582" ht="15" customHeight="1">
      <c r="A10582" t="inlineStr">
        <is>
          <t>A 35350-2026</t>
        </is>
      </c>
      <c r="B10582" t="inlineStr">
        <is>
          <t>avverkningsanmälan</t>
        </is>
      </c>
      <c r="C10582" t="inlineStr">
        <is>
          <t>Föryngringsavverkning</t>
        </is>
      </c>
      <c r="D10582" s="1" t="n">
        <v>46261</v>
      </c>
      <c r="E10582" s="1" t="n">
        <v>46307</v>
      </c>
      <c r="F10582" t="inlineStr">
        <is>
          <t>VÄRMLANDS LÄN</t>
        </is>
      </c>
      <c r="G10582" t="inlineStr">
        <is>
          <t>EDA</t>
        </is>
      </c>
      <c r="H10582" t="inlineStr">
        <is>
          <t>Bergvik skog väst AB</t>
        </is>
      </c>
      <c r="I10582" t="n">
        <v>0.3</v>
      </c>
      <c r="J10582" t="n">
        <v>0</v>
      </c>
      <c r="K10582" t="n">
        <v>0</v>
      </c>
      <c r="L10582" t="n">
        <v>0</v>
      </c>
      <c r="M10582" t="n">
        <v>0</v>
      </c>
      <c r="N10582" t="n">
        <v>0</v>
      </c>
      <c r="O10582" t="n">
        <v>0</v>
      </c>
      <c r="P10582" t="n">
        <v>0</v>
      </c>
      <c r="Q10582" t="n">
        <v>0</v>
      </c>
      <c r="R10582" t="n">
        <v>0</v>
      </c>
      <c r="S10582" t="n">
        <v>0</v>
      </c>
      <c r="T10582" t="n">
        <v>0</v>
      </c>
      <c r="U10582" t="n">
        <v>0</v>
      </c>
      <c r="V10582" s="2" t="inlineStr"/>
    </row>
    <row r="10583" ht="15" customHeight="1">
      <c r="A10583" t="inlineStr">
        <is>
          <t>A 35677-2025</t>
        </is>
      </c>
      <c r="B10583" t="inlineStr">
        <is>
          <t>avverkningsanmälan</t>
        </is>
      </c>
      <c r="C10583" t="inlineStr">
        <is>
          <t>Föryngringsavverkning</t>
        </is>
      </c>
      <c r="D10583" s="1" t="n">
        <v>45859</v>
      </c>
      <c r="E10583" s="1" t="n">
        <v>46307</v>
      </c>
      <c r="F10583" t="inlineStr">
        <is>
          <t>VÄRMLANDS LÄN</t>
        </is>
      </c>
      <c r="G10583" t="inlineStr">
        <is>
          <t>ARVIKA</t>
        </is>
      </c>
      <c r="I10583" t="n">
        <v>1.1</v>
      </c>
      <c r="J10583" t="n">
        <v>0</v>
      </c>
      <c r="K10583" t="n">
        <v>0</v>
      </c>
      <c r="L10583" t="n">
        <v>0</v>
      </c>
      <c r="M10583" t="n">
        <v>0</v>
      </c>
      <c r="N10583" t="n">
        <v>0</v>
      </c>
      <c r="O10583" t="n">
        <v>0</v>
      </c>
      <c r="P10583" t="n">
        <v>0</v>
      </c>
      <c r="Q10583" t="n">
        <v>0</v>
      </c>
      <c r="R10583" t="n">
        <v>0</v>
      </c>
      <c r="S10583" t="n">
        <v>0</v>
      </c>
      <c r="T10583" t="n">
        <v>0</v>
      </c>
      <c r="U10583" t="n">
        <v>0</v>
      </c>
      <c r="V10583" s="2" t="inlineStr"/>
    </row>
    <row r="10584" ht="15" customHeight="1">
      <c r="A10584" t="inlineStr">
        <is>
          <t>A 42113-2026</t>
        </is>
      </c>
      <c r="B10584" t="inlineStr">
        <is>
          <t>avverkningsanmälan</t>
        </is>
      </c>
      <c r="C10584" t="inlineStr">
        <is>
          <t>Föryngringsavverkning</t>
        </is>
      </c>
      <c r="D10584" s="1" t="n">
        <v>46304</v>
      </c>
      <c r="E10584" s="1" t="n">
        <v>46307</v>
      </c>
      <c r="F10584" t="inlineStr">
        <is>
          <t>VÄRMLANDS LÄN</t>
        </is>
      </c>
      <c r="G10584" t="inlineStr">
        <is>
          <t>TORSBY</t>
        </is>
      </c>
      <c r="H10584" t="inlineStr">
        <is>
          <t>Bergvik skog väst AB</t>
        </is>
      </c>
      <c r="I10584" t="n">
        <v>11.8</v>
      </c>
      <c r="J10584" t="n">
        <v>0</v>
      </c>
      <c r="K10584" t="n">
        <v>0</v>
      </c>
      <c r="L10584" t="n">
        <v>0</v>
      </c>
      <c r="M10584" t="n">
        <v>0</v>
      </c>
      <c r="N10584" t="n">
        <v>0</v>
      </c>
      <c r="O10584" t="n">
        <v>0</v>
      </c>
      <c r="P10584" t="n">
        <v>0</v>
      </c>
      <c r="Q10584" t="n">
        <v>0</v>
      </c>
      <c r="R10584" t="n">
        <v>0</v>
      </c>
      <c r="S10584" t="n">
        <v>0</v>
      </c>
      <c r="T10584" t="n">
        <v>0</v>
      </c>
      <c r="U10584" t="n">
        <v>0</v>
      </c>
      <c r="V10584" s="2" t="inlineStr"/>
    </row>
    <row r="10585" ht="15" customHeight="1">
      <c r="A10585" t="inlineStr">
        <is>
          <t>A 42117-2026</t>
        </is>
      </c>
      <c r="B10585" t="inlineStr">
        <is>
          <t>avverkningsanmälan</t>
        </is>
      </c>
      <c r="C10585" t="inlineStr">
        <is>
          <t>Föryngringsavverkning</t>
        </is>
      </c>
      <c r="D10585" s="1" t="n">
        <v>46304</v>
      </c>
      <c r="E10585" s="1" t="n">
        <v>46307</v>
      </c>
      <c r="F10585" t="inlineStr">
        <is>
          <t>VÄRMLANDS LÄN</t>
        </is>
      </c>
      <c r="G10585" t="inlineStr">
        <is>
          <t>FILIPSTAD</t>
        </is>
      </c>
      <c r="H10585" t="inlineStr">
        <is>
          <t>Bergvik skog väst AB</t>
        </is>
      </c>
      <c r="I10585" t="n">
        <v>2</v>
      </c>
      <c r="J10585" t="n">
        <v>0</v>
      </c>
      <c r="K10585" t="n">
        <v>0</v>
      </c>
      <c r="L10585" t="n">
        <v>0</v>
      </c>
      <c r="M10585" t="n">
        <v>0</v>
      </c>
      <c r="N10585" t="n">
        <v>0</v>
      </c>
      <c r="O10585" t="n">
        <v>0</v>
      </c>
      <c r="P10585" t="n">
        <v>0</v>
      </c>
      <c r="Q10585" t="n">
        <v>0</v>
      </c>
      <c r="R10585" t="n">
        <v>0</v>
      </c>
      <c r="S10585" t="n">
        <v>0</v>
      </c>
      <c r="T10585" t="n">
        <v>0</v>
      </c>
      <c r="U10585" t="n">
        <v>0</v>
      </c>
      <c r="V10585" s="2" t="inlineStr"/>
    </row>
    <row r="10586" ht="15" customHeight="1">
      <c r="A10586" t="inlineStr">
        <is>
          <t>A 35186-2026</t>
        </is>
      </c>
      <c r="B10586" t="inlineStr">
        <is>
          <t>avverkningsanmälan</t>
        </is>
      </c>
      <c r="C10586" t="inlineStr">
        <is>
          <t>Föryngringsavverkning</t>
        </is>
      </c>
      <c r="D10586" s="1" t="n">
        <v>46260</v>
      </c>
      <c r="E10586" s="1" t="n">
        <v>46307</v>
      </c>
      <c r="F10586" t="inlineStr">
        <is>
          <t>VÄRMLANDS LÄN</t>
        </is>
      </c>
      <c r="G10586" t="inlineStr">
        <is>
          <t>HAGFORS</t>
        </is>
      </c>
      <c r="H10586" t="inlineStr">
        <is>
          <t>Bergvik skog väst AB</t>
        </is>
      </c>
      <c r="I10586" t="n">
        <v>1.5</v>
      </c>
      <c r="J10586" t="n">
        <v>0</v>
      </c>
      <c r="K10586" t="n">
        <v>0</v>
      </c>
      <c r="L10586" t="n">
        <v>0</v>
      </c>
      <c r="M10586" t="n">
        <v>0</v>
      </c>
      <c r="N10586" t="n">
        <v>0</v>
      </c>
      <c r="O10586" t="n">
        <v>0</v>
      </c>
      <c r="P10586" t="n">
        <v>0</v>
      </c>
      <c r="Q10586" t="n">
        <v>0</v>
      </c>
      <c r="R10586" t="n">
        <v>0</v>
      </c>
      <c r="S10586" t="n">
        <v>0</v>
      </c>
      <c r="T10586" t="n">
        <v>0</v>
      </c>
      <c r="U10586" t="n">
        <v>0</v>
      </c>
      <c r="V10586" s="2" t="inlineStr"/>
    </row>
    <row r="10587" ht="15" customHeight="1">
      <c r="A10587" t="inlineStr">
        <is>
          <t>A 35203-2026</t>
        </is>
      </c>
      <c r="B10587" t="inlineStr">
        <is>
          <t>avverkningsanmälan</t>
        </is>
      </c>
      <c r="C10587" t="inlineStr">
        <is>
          <t>Föryngringsavverkning</t>
        </is>
      </c>
      <c r="D10587" s="1" t="n">
        <v>46260</v>
      </c>
      <c r="E10587" s="1" t="n">
        <v>46307</v>
      </c>
      <c r="F10587" t="inlineStr">
        <is>
          <t>VÄRMLANDS LÄN</t>
        </is>
      </c>
      <c r="G10587" t="inlineStr">
        <is>
          <t>ÅRJÄNG</t>
        </is>
      </c>
      <c r="I10587" t="n">
        <v>1</v>
      </c>
      <c r="J10587" t="n">
        <v>0</v>
      </c>
      <c r="K10587" t="n">
        <v>0</v>
      </c>
      <c r="L10587" t="n">
        <v>0</v>
      </c>
      <c r="M10587" t="n">
        <v>0</v>
      </c>
      <c r="N10587" t="n">
        <v>0</v>
      </c>
      <c r="O10587" t="n">
        <v>0</v>
      </c>
      <c r="P10587" t="n">
        <v>0</v>
      </c>
      <c r="Q10587" t="n">
        <v>0</v>
      </c>
      <c r="R10587" t="n">
        <v>0</v>
      </c>
      <c r="S10587" t="n">
        <v>0</v>
      </c>
      <c r="T10587" t="n">
        <v>0</v>
      </c>
      <c r="U10587" t="n">
        <v>0</v>
      </c>
      <c r="V10587" s="2" t="inlineStr"/>
    </row>
    <row r="10588" ht="15" customHeight="1">
      <c r="A10588" t="inlineStr">
        <is>
          <t>A 35310-2026</t>
        </is>
      </c>
      <c r="B10588" t="inlineStr">
        <is>
          <t>avverkningsanmälan</t>
        </is>
      </c>
      <c r="C10588" t="inlineStr">
        <is>
          <t>Föryngringsavverkning</t>
        </is>
      </c>
      <c r="D10588" s="1" t="n">
        <v>46261</v>
      </c>
      <c r="E10588" s="1" t="n">
        <v>46307</v>
      </c>
      <c r="F10588" t="inlineStr">
        <is>
          <t>VÄRMLANDS LÄN</t>
        </is>
      </c>
      <c r="G10588" t="inlineStr">
        <is>
          <t>HAGFORS</t>
        </is>
      </c>
      <c r="H10588" t="inlineStr">
        <is>
          <t>Bergvik skog väst AB</t>
        </is>
      </c>
      <c r="I10588" t="n">
        <v>14.9</v>
      </c>
      <c r="J10588" t="n">
        <v>0</v>
      </c>
      <c r="K10588" t="n">
        <v>0</v>
      </c>
      <c r="L10588" t="n">
        <v>0</v>
      </c>
      <c r="M10588" t="n">
        <v>0</v>
      </c>
      <c r="N10588" t="n">
        <v>0</v>
      </c>
      <c r="O10588" t="n">
        <v>0</v>
      </c>
      <c r="P10588" t="n">
        <v>0</v>
      </c>
      <c r="Q10588" t="n">
        <v>0</v>
      </c>
      <c r="R10588" t="n">
        <v>0</v>
      </c>
      <c r="S10588" t="n">
        <v>0</v>
      </c>
      <c r="T10588" t="n">
        <v>0</v>
      </c>
      <c r="U10588" t="n">
        <v>0</v>
      </c>
      <c r="V10588" s="2" t="inlineStr"/>
    </row>
    <row r="10589" ht="15" customHeight="1">
      <c r="A10589" t="inlineStr">
        <is>
          <t>A 35314-2026</t>
        </is>
      </c>
      <c r="B10589" t="inlineStr">
        <is>
          <t>avverkningsanmälan</t>
        </is>
      </c>
      <c r="C10589" t="inlineStr">
        <is>
          <t>Föryngringsavverkning</t>
        </is>
      </c>
      <c r="D10589" s="1" t="n">
        <v>46261</v>
      </c>
      <c r="E10589" s="1" t="n">
        <v>46307</v>
      </c>
      <c r="F10589" t="inlineStr">
        <is>
          <t>VÄRMLANDS LÄN</t>
        </is>
      </c>
      <c r="G10589" t="inlineStr">
        <is>
          <t>FILIPSTAD</t>
        </is>
      </c>
      <c r="H10589" t="inlineStr">
        <is>
          <t>Bergvik skog väst AB</t>
        </is>
      </c>
      <c r="I10589" t="n">
        <v>8.4</v>
      </c>
      <c r="J10589" t="n">
        <v>0</v>
      </c>
      <c r="K10589" t="n">
        <v>0</v>
      </c>
      <c r="L10589" t="n">
        <v>0</v>
      </c>
      <c r="M10589" t="n">
        <v>0</v>
      </c>
      <c r="N10589" t="n">
        <v>0</v>
      </c>
      <c r="O10589" t="n">
        <v>0</v>
      </c>
      <c r="P10589" t="n">
        <v>0</v>
      </c>
      <c r="Q10589" t="n">
        <v>0</v>
      </c>
      <c r="R10589" t="n">
        <v>0</v>
      </c>
      <c r="S10589" t="n">
        <v>0</v>
      </c>
      <c r="T10589" t="n">
        <v>0</v>
      </c>
      <c r="U10589" t="n">
        <v>0</v>
      </c>
      <c r="V10589" s="2" t="inlineStr"/>
    </row>
    <row r="10590" ht="15" customHeight="1">
      <c r="A10590" t="inlineStr">
        <is>
          <t>A 35351-2026</t>
        </is>
      </c>
      <c r="B10590" t="inlineStr">
        <is>
          <t>avverkningsanmälan</t>
        </is>
      </c>
      <c r="C10590" t="inlineStr">
        <is>
          <t>Föryngringsavverkning</t>
        </is>
      </c>
      <c r="D10590" s="1" t="n">
        <v>46261</v>
      </c>
      <c r="E10590" s="1" t="n">
        <v>46307</v>
      </c>
      <c r="F10590" t="inlineStr">
        <is>
          <t>VÄRMLANDS LÄN</t>
        </is>
      </c>
      <c r="G10590" t="inlineStr">
        <is>
          <t>ARVIKA</t>
        </is>
      </c>
      <c r="H10590" t="inlineStr">
        <is>
          <t>Bergvik skog väst AB</t>
        </is>
      </c>
      <c r="I10590" t="n">
        <v>1.3</v>
      </c>
      <c r="J10590" t="n">
        <v>0</v>
      </c>
      <c r="K10590" t="n">
        <v>0</v>
      </c>
      <c r="L10590" t="n">
        <v>0</v>
      </c>
      <c r="M10590" t="n">
        <v>0</v>
      </c>
      <c r="N10590" t="n">
        <v>0</v>
      </c>
      <c r="O10590" t="n">
        <v>0</v>
      </c>
      <c r="P10590" t="n">
        <v>0</v>
      </c>
      <c r="Q10590" t="n">
        <v>0</v>
      </c>
      <c r="R10590" t="n">
        <v>0</v>
      </c>
      <c r="S10590" t="n">
        <v>0</v>
      </c>
      <c r="T10590" t="n">
        <v>0</v>
      </c>
      <c r="U10590" t="n">
        <v>0</v>
      </c>
      <c r="V10590" s="2" t="inlineStr"/>
    </row>
    <row r="10591" ht="15" customHeight="1">
      <c r="A10591" t="inlineStr">
        <is>
          <t>A 35399-2026</t>
        </is>
      </c>
      <c r="B10591" t="inlineStr">
        <is>
          <t>avverkningsanmälan</t>
        </is>
      </c>
      <c r="C10591" t="inlineStr">
        <is>
          <t>Föryngringsavverkning</t>
        </is>
      </c>
      <c r="D10591" s="1" t="n">
        <v>46261</v>
      </c>
      <c r="E10591" s="1" t="n">
        <v>46307</v>
      </c>
      <c r="F10591" t="inlineStr">
        <is>
          <t>VÄRMLANDS LÄN</t>
        </is>
      </c>
      <c r="G10591" t="inlineStr">
        <is>
          <t>TORSBY</t>
        </is>
      </c>
      <c r="H10591" t="inlineStr">
        <is>
          <t>Bergvik skog väst AB</t>
        </is>
      </c>
      <c r="I10591" t="n">
        <v>5.4</v>
      </c>
      <c r="J10591" t="n">
        <v>0</v>
      </c>
      <c r="K10591" t="n">
        <v>0</v>
      </c>
      <c r="L10591" t="n">
        <v>0</v>
      </c>
      <c r="M10591" t="n">
        <v>0</v>
      </c>
      <c r="N10591" t="n">
        <v>0</v>
      </c>
      <c r="O10591" t="n">
        <v>0</v>
      </c>
      <c r="P10591" t="n">
        <v>0</v>
      </c>
      <c r="Q10591" t="n">
        <v>0</v>
      </c>
      <c r="R10591" t="n">
        <v>0</v>
      </c>
      <c r="S10591" t="n">
        <v>0</v>
      </c>
      <c r="T10591" t="n">
        <v>0</v>
      </c>
      <c r="U10591" t="n">
        <v>0</v>
      </c>
      <c r="V10591" s="2" t="inlineStr"/>
    </row>
    <row r="10592" ht="15" customHeight="1">
      <c r="A10592" t="inlineStr">
        <is>
          <t>A 35405-2026</t>
        </is>
      </c>
      <c r="B10592" t="inlineStr">
        <is>
          <t>avverkningsanmälan</t>
        </is>
      </c>
      <c r="C10592" t="inlineStr">
        <is>
          <t>Föryngringsavverkning</t>
        </is>
      </c>
      <c r="D10592" s="1" t="n">
        <v>46261</v>
      </c>
      <c r="E10592" s="1" t="n">
        <v>46307</v>
      </c>
      <c r="F10592" t="inlineStr">
        <is>
          <t>VÄRMLANDS LÄN</t>
        </is>
      </c>
      <c r="G10592" t="inlineStr">
        <is>
          <t>TORSBY</t>
        </is>
      </c>
      <c r="H10592" t="inlineStr">
        <is>
          <t>Bergvik skog väst AB</t>
        </is>
      </c>
      <c r="I10592" t="n">
        <v>1.7</v>
      </c>
      <c r="J10592" t="n">
        <v>0</v>
      </c>
      <c r="K10592" t="n">
        <v>0</v>
      </c>
      <c r="L10592" t="n">
        <v>0</v>
      </c>
      <c r="M10592" t="n">
        <v>0</v>
      </c>
      <c r="N10592" t="n">
        <v>0</v>
      </c>
      <c r="O10592" t="n">
        <v>0</v>
      </c>
      <c r="P10592" t="n">
        <v>0</v>
      </c>
      <c r="Q10592" t="n">
        <v>0</v>
      </c>
      <c r="R10592" t="n">
        <v>0</v>
      </c>
      <c r="S10592" t="n">
        <v>0</v>
      </c>
      <c r="T10592" t="n">
        <v>0</v>
      </c>
      <c r="U10592" t="n">
        <v>0</v>
      </c>
      <c r="V10592" s="2" t="inlineStr"/>
    </row>
    <row r="10593" ht="15" customHeight="1">
      <c r="A10593" t="inlineStr">
        <is>
          <t>A 36160-2026</t>
        </is>
      </c>
      <c r="B10593" t="inlineStr">
        <is>
          <t>avverkningsanmälan</t>
        </is>
      </c>
      <c r="C10593" t="inlineStr">
        <is>
          <t>Föryngringsavverkning</t>
        </is>
      </c>
      <c r="D10593" s="1" t="n">
        <v>46267</v>
      </c>
      <c r="E10593" s="1" t="n">
        <v>46307</v>
      </c>
      <c r="F10593" t="inlineStr">
        <is>
          <t>VÄRMLANDS LÄN</t>
        </is>
      </c>
      <c r="G10593" t="inlineStr">
        <is>
          <t>TORSBY</t>
        </is>
      </c>
      <c r="I10593" t="n">
        <v>2.6</v>
      </c>
      <c r="J10593" t="n">
        <v>0</v>
      </c>
      <c r="K10593" t="n">
        <v>0</v>
      </c>
      <c r="L10593" t="n">
        <v>0</v>
      </c>
      <c r="M10593" t="n">
        <v>0</v>
      </c>
      <c r="N10593" t="n">
        <v>0</v>
      </c>
      <c r="O10593" t="n">
        <v>0</v>
      </c>
      <c r="P10593" t="n">
        <v>0</v>
      </c>
      <c r="Q10593" t="n">
        <v>0</v>
      </c>
      <c r="R10593" t="n">
        <v>0</v>
      </c>
      <c r="S10593" t="n">
        <v>0</v>
      </c>
      <c r="T10593" t="n">
        <v>0</v>
      </c>
      <c r="U10593" t="n">
        <v>0</v>
      </c>
      <c r="V10593" s="2" t="inlineStr"/>
    </row>
    <row r="10594" ht="15" customHeight="1">
      <c r="A10594" t="inlineStr">
        <is>
          <t>A 42042-2026</t>
        </is>
      </c>
      <c r="B10594" t="inlineStr">
        <is>
          <t>avverkningsanmälan</t>
        </is>
      </c>
      <c r="C10594" t="inlineStr">
        <is>
          <t>Föryngringsavverkning</t>
        </is>
      </c>
      <c r="D10594" s="1" t="n">
        <v>46304</v>
      </c>
      <c r="E10594" s="1" t="n">
        <v>46307</v>
      </c>
      <c r="F10594" t="inlineStr">
        <is>
          <t>VÄRMLANDS LÄN</t>
        </is>
      </c>
      <c r="G10594" t="inlineStr">
        <is>
          <t>STORFORS</t>
        </is>
      </c>
      <c r="H10594" t="inlineStr">
        <is>
          <t>Bergvik skog väst AB</t>
        </is>
      </c>
      <c r="I10594" t="n">
        <v>30.2</v>
      </c>
      <c r="J10594" t="n">
        <v>0</v>
      </c>
      <c r="K10594" t="n">
        <v>0</v>
      </c>
      <c r="L10594" t="n">
        <v>0</v>
      </c>
      <c r="M10594" t="n">
        <v>0</v>
      </c>
      <c r="N10594" t="n">
        <v>0</v>
      </c>
      <c r="O10594" t="n">
        <v>0</v>
      </c>
      <c r="P10594" t="n">
        <v>0</v>
      </c>
      <c r="Q10594" t="n">
        <v>0</v>
      </c>
      <c r="R10594" t="n">
        <v>0</v>
      </c>
      <c r="S10594" t="n">
        <v>0</v>
      </c>
      <c r="T10594" t="n">
        <v>0</v>
      </c>
      <c r="U10594" t="n">
        <v>0</v>
      </c>
      <c r="V10594" s="2" t="inlineStr"/>
    </row>
    <row r="10595" ht="15" customHeight="1">
      <c r="A10595" t="inlineStr">
        <is>
          <t>A 66226-2021</t>
        </is>
      </c>
      <c r="B10595" t="inlineStr">
        <is>
          <t>avverkningsanmälan</t>
        </is>
      </c>
      <c r="C10595" t="inlineStr">
        <is>
          <t>Föryngringsavverkning</t>
        </is>
      </c>
      <c r="D10595" s="1" t="n">
        <v>44518</v>
      </c>
      <c r="E10595" s="1" t="n">
        <v>46307</v>
      </c>
      <c r="F10595" t="inlineStr">
        <is>
          <t>VÄRMLANDS LÄN</t>
        </is>
      </c>
      <c r="G10595" t="inlineStr">
        <is>
          <t>ARVIKA</t>
        </is>
      </c>
      <c r="I10595" t="n">
        <v>4.9</v>
      </c>
      <c r="J10595" t="n">
        <v>0</v>
      </c>
      <c r="K10595" t="n">
        <v>0</v>
      </c>
      <c r="L10595" t="n">
        <v>0</v>
      </c>
      <c r="M10595" t="n">
        <v>0</v>
      </c>
      <c r="N10595" t="n">
        <v>0</v>
      </c>
      <c r="O10595" t="n">
        <v>0</v>
      </c>
      <c r="P10595" t="n">
        <v>0</v>
      </c>
      <c r="Q10595" t="n">
        <v>0</v>
      </c>
      <c r="R10595" t="n">
        <v>0</v>
      </c>
      <c r="S10595" t="n">
        <v>0</v>
      </c>
      <c r="T10595" t="n">
        <v>0</v>
      </c>
      <c r="U10595" t="n">
        <v>0</v>
      </c>
      <c r="V10595" s="2" t="inlineStr"/>
    </row>
    <row r="10596" ht="15" customHeight="1">
      <c r="A10596" t="inlineStr">
        <is>
          <t>A 35364-2026</t>
        </is>
      </c>
      <c r="B10596" t="inlineStr">
        <is>
          <t>avverkningsanmälan</t>
        </is>
      </c>
      <c r="C10596" t="inlineStr">
        <is>
          <t>Föryngringsavverkning</t>
        </is>
      </c>
      <c r="D10596" s="1" t="n">
        <v>46261</v>
      </c>
      <c r="E10596" s="1" t="n">
        <v>46307</v>
      </c>
      <c r="F10596" t="inlineStr">
        <is>
          <t>VÄRMLANDS LÄN</t>
        </is>
      </c>
      <c r="G10596" t="inlineStr">
        <is>
          <t>TORSBY</t>
        </is>
      </c>
      <c r="I10596" t="n">
        <v>2.6</v>
      </c>
      <c r="J10596" t="n">
        <v>0</v>
      </c>
      <c r="K10596" t="n">
        <v>0</v>
      </c>
      <c r="L10596" t="n">
        <v>0</v>
      </c>
      <c r="M10596" t="n">
        <v>0</v>
      </c>
      <c r="N10596" t="n">
        <v>0</v>
      </c>
      <c r="O10596" t="n">
        <v>0</v>
      </c>
      <c r="P10596" t="n">
        <v>0</v>
      </c>
      <c r="Q10596" t="n">
        <v>0</v>
      </c>
      <c r="R10596" t="n">
        <v>0</v>
      </c>
      <c r="S10596" t="n">
        <v>0</v>
      </c>
      <c r="T10596" t="n">
        <v>0</v>
      </c>
      <c r="U10596" t="n">
        <v>0</v>
      </c>
      <c r="V10596" s="2" t="inlineStr"/>
    </row>
    <row r="10597" ht="15" customHeight="1">
      <c r="A10597" t="inlineStr">
        <is>
          <t>A 35422-2026</t>
        </is>
      </c>
      <c r="B10597" t="inlineStr">
        <is>
          <t>avverkningsanmälan</t>
        </is>
      </c>
      <c r="C10597" t="inlineStr">
        <is>
          <t>Föryngringsavverkning</t>
        </is>
      </c>
      <c r="D10597" s="1" t="n">
        <v>46261</v>
      </c>
      <c r="E10597" s="1" t="n">
        <v>46307</v>
      </c>
      <c r="F10597" t="inlineStr">
        <is>
          <t>VÄRMLANDS LÄN</t>
        </is>
      </c>
      <c r="G10597" t="inlineStr">
        <is>
          <t>TORSBY</t>
        </is>
      </c>
      <c r="I10597" t="n">
        <v>1</v>
      </c>
      <c r="J10597" t="n">
        <v>0</v>
      </c>
      <c r="K10597" t="n">
        <v>0</v>
      </c>
      <c r="L10597" t="n">
        <v>0</v>
      </c>
      <c r="M10597" t="n">
        <v>0</v>
      </c>
      <c r="N10597" t="n">
        <v>0</v>
      </c>
      <c r="O10597" t="n">
        <v>0</v>
      </c>
      <c r="P10597" t="n">
        <v>0</v>
      </c>
      <c r="Q10597" t="n">
        <v>0</v>
      </c>
      <c r="R10597" t="n">
        <v>0</v>
      </c>
      <c r="S10597" t="n">
        <v>0</v>
      </c>
      <c r="T10597" t="n">
        <v>0</v>
      </c>
      <c r="U10597" t="n">
        <v>0</v>
      </c>
      <c r="V10597" s="2" t="inlineStr"/>
    </row>
    <row r="10598" ht="15" customHeight="1">
      <c r="A10598" t="inlineStr">
        <is>
          <t>A 41818-2026</t>
        </is>
      </c>
      <c r="B10598" t="inlineStr">
        <is>
          <t>avverkningsanmälan</t>
        </is>
      </c>
      <c r="C10598" t="inlineStr">
        <is>
          <t>Föryngringsavverkning</t>
        </is>
      </c>
      <c r="D10598" s="1" t="n">
        <v>46303</v>
      </c>
      <c r="E10598" s="1" t="n">
        <v>46307</v>
      </c>
      <c r="F10598" t="inlineStr">
        <is>
          <t>VÄRMLANDS LÄN</t>
        </is>
      </c>
      <c r="G10598" t="inlineStr">
        <is>
          <t>SUNNE</t>
        </is>
      </c>
      <c r="I10598" t="n">
        <v>1.8</v>
      </c>
      <c r="J10598" t="n">
        <v>0</v>
      </c>
      <c r="K10598" t="n">
        <v>0</v>
      </c>
      <c r="L10598" t="n">
        <v>0</v>
      </c>
      <c r="M10598" t="n">
        <v>0</v>
      </c>
      <c r="N10598" t="n">
        <v>0</v>
      </c>
      <c r="O10598" t="n">
        <v>0</v>
      </c>
      <c r="P10598" t="n">
        <v>0</v>
      </c>
      <c r="Q10598" t="n">
        <v>0</v>
      </c>
      <c r="R10598" t="n">
        <v>0</v>
      </c>
      <c r="S10598" t="n">
        <v>0</v>
      </c>
      <c r="T10598" t="n">
        <v>0</v>
      </c>
      <c r="U10598" t="n">
        <v>0</v>
      </c>
      <c r="V10598" s="2" t="inlineStr"/>
    </row>
    <row r="10599" ht="15" customHeight="1">
      <c r="A10599" t="inlineStr">
        <is>
          <t>A 35425-2026</t>
        </is>
      </c>
      <c r="B10599" t="inlineStr">
        <is>
          <t>avverkningsanmälan</t>
        </is>
      </c>
      <c r="C10599" t="inlineStr">
        <is>
          <t>Föryngringsavverkning</t>
        </is>
      </c>
      <c r="D10599" s="1" t="n">
        <v>46261</v>
      </c>
      <c r="E10599" s="1" t="n">
        <v>46307</v>
      </c>
      <c r="F10599" t="inlineStr">
        <is>
          <t>VÄRMLANDS LÄN</t>
        </is>
      </c>
      <c r="G10599" t="inlineStr">
        <is>
          <t>TORSBY</t>
        </is>
      </c>
      <c r="I10599" t="n">
        <v>1.9</v>
      </c>
      <c r="J10599" t="n">
        <v>0</v>
      </c>
      <c r="K10599" t="n">
        <v>0</v>
      </c>
      <c r="L10599" t="n">
        <v>0</v>
      </c>
      <c r="M10599" t="n">
        <v>0</v>
      </c>
      <c r="N10599" t="n">
        <v>0</v>
      </c>
      <c r="O10599" t="n">
        <v>0</v>
      </c>
      <c r="P10599" t="n">
        <v>0</v>
      </c>
      <c r="Q10599" t="n">
        <v>0</v>
      </c>
      <c r="R10599" t="n">
        <v>0</v>
      </c>
      <c r="S10599" t="n">
        <v>0</v>
      </c>
      <c r="T10599" t="n">
        <v>0</v>
      </c>
      <c r="U10599" t="n">
        <v>0</v>
      </c>
      <c r="V10599" s="2" t="inlineStr"/>
    </row>
    <row r="10600" ht="15" customHeight="1">
      <c r="A10600" t="inlineStr">
        <is>
          <t>A 35384-2026</t>
        </is>
      </c>
      <c r="B10600" t="inlineStr">
        <is>
          <t>avverkningsanmälan</t>
        </is>
      </c>
      <c r="C10600" t="inlineStr">
        <is>
          <t>Föryngringsavverkning</t>
        </is>
      </c>
      <c r="D10600" s="1" t="n">
        <v>46261</v>
      </c>
      <c r="E10600" s="1" t="n">
        <v>46307</v>
      </c>
      <c r="F10600" t="inlineStr">
        <is>
          <t>VÄRMLANDS LÄN</t>
        </is>
      </c>
      <c r="G10600" t="inlineStr">
        <is>
          <t>EDA</t>
        </is>
      </c>
      <c r="H10600" t="inlineStr">
        <is>
          <t>Övriga Aktiebolag</t>
        </is>
      </c>
      <c r="I10600" t="n">
        <v>1.5</v>
      </c>
      <c r="J10600" t="n">
        <v>0</v>
      </c>
      <c r="K10600" t="n">
        <v>0</v>
      </c>
      <c r="L10600" t="n">
        <v>0</v>
      </c>
      <c r="M10600" t="n">
        <v>0</v>
      </c>
      <c r="N10600" t="n">
        <v>0</v>
      </c>
      <c r="O10600" t="n">
        <v>0</v>
      </c>
      <c r="P10600" t="n">
        <v>0</v>
      </c>
      <c r="Q10600" t="n">
        <v>0</v>
      </c>
      <c r="R10600" t="n">
        <v>0</v>
      </c>
      <c r="S10600" t="n">
        <v>0</v>
      </c>
      <c r="T10600" t="n">
        <v>0</v>
      </c>
      <c r="U10600" t="n">
        <v>0</v>
      </c>
      <c r="V10600" s="2" t="inlineStr"/>
    </row>
    <row r="10601" ht="15" customHeight="1">
      <c r="A10601" t="inlineStr">
        <is>
          <t>A 42153-2026</t>
        </is>
      </c>
      <c r="B10601" t="inlineStr">
        <is>
          <t>avverkningsanmälan</t>
        </is>
      </c>
      <c r="C10601" t="inlineStr">
        <is>
          <t>Föryngringsavverkning</t>
        </is>
      </c>
      <c r="D10601" s="1" t="n">
        <v>46304</v>
      </c>
      <c r="E10601" s="1" t="n">
        <v>46307</v>
      </c>
      <c r="F10601" t="inlineStr">
        <is>
          <t>VÄRMLANDS LÄN</t>
        </is>
      </c>
      <c r="G10601" t="inlineStr">
        <is>
          <t>TORSBY</t>
        </is>
      </c>
      <c r="I10601" t="n">
        <v>0.9</v>
      </c>
      <c r="J10601" t="n">
        <v>0</v>
      </c>
      <c r="K10601" t="n">
        <v>0</v>
      </c>
      <c r="L10601" t="n">
        <v>0</v>
      </c>
      <c r="M10601" t="n">
        <v>0</v>
      </c>
      <c r="N10601" t="n">
        <v>0</v>
      </c>
      <c r="O10601" t="n">
        <v>0</v>
      </c>
      <c r="P10601" t="n">
        <v>0</v>
      </c>
      <c r="Q10601" t="n">
        <v>0</v>
      </c>
      <c r="R10601" t="n">
        <v>0</v>
      </c>
      <c r="S10601" t="n">
        <v>0</v>
      </c>
      <c r="T10601" t="n">
        <v>0</v>
      </c>
      <c r="U10601" t="n">
        <v>0</v>
      </c>
      <c r="V10601" s="2" t="inlineStr"/>
    </row>
    <row r="10602" ht="15" customHeight="1">
      <c r="A10602" t="inlineStr">
        <is>
          <t>A 35206-2026</t>
        </is>
      </c>
      <c r="B10602" t="inlineStr">
        <is>
          <t>avverkningsanmälan</t>
        </is>
      </c>
      <c r="C10602" t="inlineStr">
        <is>
          <t>Föryngringsavverkning</t>
        </is>
      </c>
      <c r="D10602" s="1" t="n">
        <v>46260</v>
      </c>
      <c r="E10602" s="1" t="n">
        <v>46307</v>
      </c>
      <c r="F10602" t="inlineStr">
        <is>
          <t>VÄRMLANDS LÄN</t>
        </is>
      </c>
      <c r="G10602" t="inlineStr">
        <is>
          <t>ÅRJÄNG</t>
        </is>
      </c>
      <c r="H10602" t="inlineStr">
        <is>
          <t>Kyrkan</t>
        </is>
      </c>
      <c r="I10602" t="n">
        <v>0.8</v>
      </c>
      <c r="J10602" t="n">
        <v>0</v>
      </c>
      <c r="K10602" t="n">
        <v>0</v>
      </c>
      <c r="L10602" t="n">
        <v>0</v>
      </c>
      <c r="M10602" t="n">
        <v>0</v>
      </c>
      <c r="N10602" t="n">
        <v>0</v>
      </c>
      <c r="O10602" t="n">
        <v>0</v>
      </c>
      <c r="P10602" t="n">
        <v>0</v>
      </c>
      <c r="Q10602" t="n">
        <v>0</v>
      </c>
      <c r="R10602" t="n">
        <v>0</v>
      </c>
      <c r="S10602" t="n">
        <v>0</v>
      </c>
      <c r="T10602" t="n">
        <v>0</v>
      </c>
      <c r="U10602" t="n">
        <v>0</v>
      </c>
      <c r="V10602" s="2" t="inlineStr"/>
    </row>
    <row r="10603" ht="15" customHeight="1">
      <c r="A10603" t="inlineStr">
        <is>
          <t>A 35290-2026</t>
        </is>
      </c>
      <c r="B10603" t="inlineStr">
        <is>
          <t>avverkningsanmälan</t>
        </is>
      </c>
      <c r="C10603" t="inlineStr">
        <is>
          <t>Föryngringsavverkning</t>
        </is>
      </c>
      <c r="D10603" s="1" t="n">
        <v>46261</v>
      </c>
      <c r="E10603" s="1" t="n">
        <v>46307</v>
      </c>
      <c r="F10603" t="inlineStr">
        <is>
          <t>VÄRMLANDS LÄN</t>
        </is>
      </c>
      <c r="G10603" t="inlineStr">
        <is>
          <t>FILIPSTAD</t>
        </is>
      </c>
      <c r="H10603" t="inlineStr">
        <is>
          <t>Bergvik skog väst AB</t>
        </is>
      </c>
      <c r="I10603" t="n">
        <v>2</v>
      </c>
      <c r="J10603" t="n">
        <v>0</v>
      </c>
      <c r="K10603" t="n">
        <v>0</v>
      </c>
      <c r="L10603" t="n">
        <v>0</v>
      </c>
      <c r="M10603" t="n">
        <v>0</v>
      </c>
      <c r="N10603" t="n">
        <v>0</v>
      </c>
      <c r="O10603" t="n">
        <v>0</v>
      </c>
      <c r="P10603" t="n">
        <v>0</v>
      </c>
      <c r="Q10603" t="n">
        <v>0</v>
      </c>
      <c r="R10603" t="n">
        <v>0</v>
      </c>
      <c r="S10603" t="n">
        <v>0</v>
      </c>
      <c r="T10603" t="n">
        <v>0</v>
      </c>
      <c r="U10603" t="n">
        <v>0</v>
      </c>
      <c r="V10603" s="2" t="inlineStr"/>
    </row>
    <row r="10604" ht="15" customHeight="1">
      <c r="A10604" t="inlineStr">
        <is>
          <t>A 35321-2026</t>
        </is>
      </c>
      <c r="B10604" t="inlineStr">
        <is>
          <t>avverkningsanmälan</t>
        </is>
      </c>
      <c r="C10604" t="inlineStr">
        <is>
          <t>Föryngringsavverkning</t>
        </is>
      </c>
      <c r="D10604" s="1" t="n">
        <v>46261</v>
      </c>
      <c r="E10604" s="1" t="n">
        <v>46307</v>
      </c>
      <c r="F10604" t="inlineStr">
        <is>
          <t>VÄRMLANDS LÄN</t>
        </is>
      </c>
      <c r="G10604" t="inlineStr">
        <is>
          <t>STORFORS</t>
        </is>
      </c>
      <c r="H10604" t="inlineStr">
        <is>
          <t>Bergvik skog väst AB</t>
        </is>
      </c>
      <c r="I10604" t="n">
        <v>8.800000000000001</v>
      </c>
      <c r="J10604" t="n">
        <v>0</v>
      </c>
      <c r="K10604" t="n">
        <v>0</v>
      </c>
      <c r="L10604" t="n">
        <v>0</v>
      </c>
      <c r="M10604" t="n">
        <v>0</v>
      </c>
      <c r="N10604" t="n">
        <v>0</v>
      </c>
      <c r="O10604" t="n">
        <v>0</v>
      </c>
      <c r="P10604" t="n">
        <v>0</v>
      </c>
      <c r="Q10604" t="n">
        <v>0</v>
      </c>
      <c r="R10604" t="n">
        <v>0</v>
      </c>
      <c r="S10604" t="n">
        <v>0</v>
      </c>
      <c r="T10604" t="n">
        <v>0</v>
      </c>
      <c r="U10604" t="n">
        <v>0</v>
      </c>
      <c r="V10604" s="2" t="inlineStr"/>
    </row>
    <row r="10605" ht="15" customHeight="1">
      <c r="A10605" t="inlineStr">
        <is>
          <t>A 41966-2026</t>
        </is>
      </c>
      <c r="B10605" t="inlineStr">
        <is>
          <t>avverkningsanmälan</t>
        </is>
      </c>
      <c r="C10605" t="inlineStr">
        <is>
          <t>Föryngringsavverkning</t>
        </is>
      </c>
      <c r="D10605" s="1" t="n">
        <v>46303</v>
      </c>
      <c r="E10605" s="1" t="n">
        <v>46307</v>
      </c>
      <c r="F10605" t="inlineStr">
        <is>
          <t>VÄRMLANDS LÄN</t>
        </is>
      </c>
      <c r="G10605" t="inlineStr">
        <is>
          <t>ARVIKA</t>
        </is>
      </c>
      <c r="H10605" t="inlineStr">
        <is>
          <t>Bergvik skog väst AB</t>
        </is>
      </c>
      <c r="I10605" t="n">
        <v>14</v>
      </c>
      <c r="J10605" t="n">
        <v>0</v>
      </c>
      <c r="K10605" t="n">
        <v>0</v>
      </c>
      <c r="L10605" t="n">
        <v>0</v>
      </c>
      <c r="M10605" t="n">
        <v>0</v>
      </c>
      <c r="N10605" t="n">
        <v>0</v>
      </c>
      <c r="O10605" t="n">
        <v>0</v>
      </c>
      <c r="P10605" t="n">
        <v>0</v>
      </c>
      <c r="Q10605" t="n">
        <v>0</v>
      </c>
      <c r="R10605" t="n">
        <v>0</v>
      </c>
      <c r="S10605" t="n">
        <v>0</v>
      </c>
      <c r="T10605" t="n">
        <v>0</v>
      </c>
      <c r="U10605" t="n">
        <v>0</v>
      </c>
      <c r="V10605" s="2" t="inlineStr"/>
    </row>
    <row r="10606" ht="15" customHeight="1">
      <c r="A10606" t="inlineStr">
        <is>
          <t>A 35424-2026</t>
        </is>
      </c>
      <c r="B10606" t="inlineStr">
        <is>
          <t>avverkningsanmälan</t>
        </is>
      </c>
      <c r="C10606" t="inlineStr">
        <is>
          <t>Föryngringsavverkning</t>
        </is>
      </c>
      <c r="D10606" s="1" t="n">
        <v>46261</v>
      </c>
      <c r="E10606" s="1" t="n">
        <v>46307</v>
      </c>
      <c r="F10606" t="inlineStr">
        <is>
          <t>VÄRMLANDS LÄN</t>
        </is>
      </c>
      <c r="G10606" t="inlineStr">
        <is>
          <t>TORSBY</t>
        </is>
      </c>
      <c r="I10606" t="n">
        <v>1.1</v>
      </c>
      <c r="J10606" t="n">
        <v>0</v>
      </c>
      <c r="K10606" t="n">
        <v>0</v>
      </c>
      <c r="L10606" t="n">
        <v>0</v>
      </c>
      <c r="M10606" t="n">
        <v>0</v>
      </c>
      <c r="N10606" t="n">
        <v>0</v>
      </c>
      <c r="O10606" t="n">
        <v>0</v>
      </c>
      <c r="P10606" t="n">
        <v>0</v>
      </c>
      <c r="Q10606" t="n">
        <v>0</v>
      </c>
      <c r="R10606" t="n">
        <v>0</v>
      </c>
      <c r="S10606" t="n">
        <v>0</v>
      </c>
      <c r="T10606" t="n">
        <v>0</v>
      </c>
      <c r="U10606" t="n">
        <v>0</v>
      </c>
      <c r="V10606" s="2" t="inlineStr"/>
    </row>
    <row r="10607" ht="15" customHeight="1">
      <c r="A10607" t="inlineStr">
        <is>
          <t>A 35439-2026</t>
        </is>
      </c>
      <c r="B10607" t="inlineStr">
        <is>
          <t>avverkningsanmälan</t>
        </is>
      </c>
      <c r="C10607" t="inlineStr">
        <is>
          <t>Föryngringsavverkning</t>
        </is>
      </c>
      <c r="D10607" s="1" t="n">
        <v>46262</v>
      </c>
      <c r="E10607" s="1" t="n">
        <v>46307</v>
      </c>
      <c r="F10607" t="inlineStr">
        <is>
          <t>VÄRMLANDS LÄN</t>
        </is>
      </c>
      <c r="G10607" t="inlineStr">
        <is>
          <t>EDA</t>
        </is>
      </c>
      <c r="H10607" t="inlineStr">
        <is>
          <t>Bergvik skog väst AB</t>
        </is>
      </c>
      <c r="I10607" t="n">
        <v>1.1</v>
      </c>
      <c r="J10607" t="n">
        <v>0</v>
      </c>
      <c r="K10607" t="n">
        <v>0</v>
      </c>
      <c r="L10607" t="n">
        <v>0</v>
      </c>
      <c r="M10607" t="n">
        <v>0</v>
      </c>
      <c r="N10607" t="n">
        <v>0</v>
      </c>
      <c r="O10607" t="n">
        <v>0</v>
      </c>
      <c r="P10607" t="n">
        <v>0</v>
      </c>
      <c r="Q10607" t="n">
        <v>0</v>
      </c>
      <c r="R10607" t="n">
        <v>0</v>
      </c>
      <c r="S10607" t="n">
        <v>0</v>
      </c>
      <c r="T10607" t="n">
        <v>0</v>
      </c>
      <c r="U10607" t="n">
        <v>0</v>
      </c>
      <c r="V10607" s="2" t="inlineStr"/>
    </row>
    <row r="10608" ht="15" customHeight="1">
      <c r="A10608" t="inlineStr">
        <is>
          <t>A 35452-2026</t>
        </is>
      </c>
      <c r="B10608" t="inlineStr">
        <is>
          <t>avverkningsanmälan</t>
        </is>
      </c>
      <c r="C10608" t="inlineStr">
        <is>
          <t>Föryngringsavverkning</t>
        </is>
      </c>
      <c r="D10608" s="1" t="n">
        <v>46262</v>
      </c>
      <c r="E10608" s="1" t="n">
        <v>46307</v>
      </c>
      <c r="F10608" t="inlineStr">
        <is>
          <t>VÄRMLANDS LÄN</t>
        </is>
      </c>
      <c r="G10608" t="inlineStr">
        <is>
          <t>TORSBY</t>
        </is>
      </c>
      <c r="I10608" t="n">
        <v>5.4</v>
      </c>
      <c r="J10608" t="n">
        <v>0</v>
      </c>
      <c r="K10608" t="n">
        <v>0</v>
      </c>
      <c r="L10608" t="n">
        <v>0</v>
      </c>
      <c r="M10608" t="n">
        <v>0</v>
      </c>
      <c r="N10608" t="n">
        <v>0</v>
      </c>
      <c r="O10608" t="n">
        <v>0</v>
      </c>
      <c r="P10608" t="n">
        <v>0</v>
      </c>
      <c r="Q10608" t="n">
        <v>0</v>
      </c>
      <c r="R10608" t="n">
        <v>0</v>
      </c>
      <c r="S10608" t="n">
        <v>0</v>
      </c>
      <c r="T10608" t="n">
        <v>0</v>
      </c>
      <c r="U10608" t="n">
        <v>0</v>
      </c>
      <c r="V10608" s="2" t="inlineStr"/>
    </row>
    <row r="10609" ht="15" customHeight="1">
      <c r="A10609" t="inlineStr">
        <is>
          <t>A 35476-2026</t>
        </is>
      </c>
      <c r="B10609" t="inlineStr">
        <is>
          <t>avverkningsanmälan</t>
        </is>
      </c>
      <c r="C10609" t="inlineStr">
        <is>
          <t>Föryngringsavverkning</t>
        </is>
      </c>
      <c r="D10609" s="1" t="n">
        <v>46262</v>
      </c>
      <c r="E10609" s="1" t="n">
        <v>46307</v>
      </c>
      <c r="F10609" t="inlineStr">
        <is>
          <t>VÄRMLANDS LÄN</t>
        </is>
      </c>
      <c r="G10609" t="inlineStr">
        <is>
          <t>TORSBY</t>
        </is>
      </c>
      <c r="I10609" t="n">
        <v>2.8</v>
      </c>
      <c r="J10609" t="n">
        <v>0</v>
      </c>
      <c r="K10609" t="n">
        <v>0</v>
      </c>
      <c r="L10609" t="n">
        <v>0</v>
      </c>
      <c r="M10609" t="n">
        <v>0</v>
      </c>
      <c r="N10609" t="n">
        <v>0</v>
      </c>
      <c r="O10609" t="n">
        <v>0</v>
      </c>
      <c r="P10609" t="n">
        <v>0</v>
      </c>
      <c r="Q10609" t="n">
        <v>0</v>
      </c>
      <c r="R10609" t="n">
        <v>0</v>
      </c>
      <c r="S10609" t="n">
        <v>0</v>
      </c>
      <c r="T10609" t="n">
        <v>0</v>
      </c>
      <c r="U10609" t="n">
        <v>0</v>
      </c>
      <c r="V10609" s="2" t="inlineStr"/>
    </row>
    <row r="10610" ht="15" customHeight="1">
      <c r="A10610" t="inlineStr">
        <is>
          <t>A 35184-2026</t>
        </is>
      </c>
      <c r="B10610" t="inlineStr">
        <is>
          <t>avverkningsanmälan</t>
        </is>
      </c>
      <c r="C10610" t="inlineStr">
        <is>
          <t>Föryngringsavverkning</t>
        </is>
      </c>
      <c r="D10610" s="1" t="n">
        <v>46260</v>
      </c>
      <c r="E10610" s="1" t="n">
        <v>46307</v>
      </c>
      <c r="F10610" t="inlineStr">
        <is>
          <t>VÄRMLANDS LÄN</t>
        </is>
      </c>
      <c r="G10610" t="inlineStr">
        <is>
          <t>HAGFORS</t>
        </is>
      </c>
      <c r="H10610" t="inlineStr">
        <is>
          <t>Bergvik skog väst AB</t>
        </is>
      </c>
      <c r="I10610" t="n">
        <v>1.7</v>
      </c>
      <c r="J10610" t="n">
        <v>0</v>
      </c>
      <c r="K10610" t="n">
        <v>0</v>
      </c>
      <c r="L10610" t="n">
        <v>0</v>
      </c>
      <c r="M10610" t="n">
        <v>0</v>
      </c>
      <c r="N10610" t="n">
        <v>0</v>
      </c>
      <c r="O10610" t="n">
        <v>0</v>
      </c>
      <c r="P10610" t="n">
        <v>0</v>
      </c>
      <c r="Q10610" t="n">
        <v>0</v>
      </c>
      <c r="R10610" t="n">
        <v>0</v>
      </c>
      <c r="S10610" t="n">
        <v>0</v>
      </c>
      <c r="T10610" t="n">
        <v>0</v>
      </c>
      <c r="U10610" t="n">
        <v>0</v>
      </c>
      <c r="V10610" s="2" t="inlineStr"/>
    </row>
    <row r="10611" ht="15" customHeight="1">
      <c r="A10611" t="inlineStr">
        <is>
          <t>A 35427-2026</t>
        </is>
      </c>
      <c r="B10611" t="inlineStr">
        <is>
          <t>avverkningsanmälan</t>
        </is>
      </c>
      <c r="C10611" t="inlineStr">
        <is>
          <t>Föryngringsavverkning</t>
        </is>
      </c>
      <c r="D10611" s="1" t="n">
        <v>46261</v>
      </c>
      <c r="E10611" s="1" t="n">
        <v>46307</v>
      </c>
      <c r="F10611" t="inlineStr">
        <is>
          <t>VÄRMLANDS LÄN</t>
        </is>
      </c>
      <c r="G10611" t="inlineStr">
        <is>
          <t>TORSBY</t>
        </is>
      </c>
      <c r="I10611" t="n">
        <v>2.5</v>
      </c>
      <c r="J10611" t="n">
        <v>0</v>
      </c>
      <c r="K10611" t="n">
        <v>0</v>
      </c>
      <c r="L10611" t="n">
        <v>0</v>
      </c>
      <c r="M10611" t="n">
        <v>0</v>
      </c>
      <c r="N10611" t="n">
        <v>0</v>
      </c>
      <c r="O10611" t="n">
        <v>0</v>
      </c>
      <c r="P10611" t="n">
        <v>0</v>
      </c>
      <c r="Q10611" t="n">
        <v>0</v>
      </c>
      <c r="R10611" t="n">
        <v>0</v>
      </c>
      <c r="S10611" t="n">
        <v>0</v>
      </c>
      <c r="T10611" t="n">
        <v>0</v>
      </c>
      <c r="U10611" t="n">
        <v>0</v>
      </c>
      <c r="V10611" s="2" t="inlineStr"/>
    </row>
    <row r="10612" ht="15" customHeight="1">
      <c r="A10612" t="inlineStr">
        <is>
          <t>A 35429-2026</t>
        </is>
      </c>
      <c r="B10612" t="inlineStr">
        <is>
          <t>avverkningsanmälan</t>
        </is>
      </c>
      <c r="C10612" t="inlineStr">
        <is>
          <t>Föryngringsavverkning</t>
        </is>
      </c>
      <c r="D10612" s="1" t="n">
        <v>46261</v>
      </c>
      <c r="E10612" s="1" t="n">
        <v>46307</v>
      </c>
      <c r="F10612" t="inlineStr">
        <is>
          <t>VÄRMLANDS LÄN</t>
        </is>
      </c>
      <c r="G10612" t="inlineStr">
        <is>
          <t>TORSBY</t>
        </is>
      </c>
      <c r="I10612" t="n">
        <v>1.3</v>
      </c>
      <c r="J10612" t="n">
        <v>0</v>
      </c>
      <c r="K10612" t="n">
        <v>0</v>
      </c>
      <c r="L10612" t="n">
        <v>0</v>
      </c>
      <c r="M10612" t="n">
        <v>0</v>
      </c>
      <c r="N10612" t="n">
        <v>0</v>
      </c>
      <c r="O10612" t="n">
        <v>0</v>
      </c>
      <c r="P10612" t="n">
        <v>0</v>
      </c>
      <c r="Q10612" t="n">
        <v>0</v>
      </c>
      <c r="R10612" t="n">
        <v>0</v>
      </c>
      <c r="S10612" t="n">
        <v>0</v>
      </c>
      <c r="T10612" t="n">
        <v>0</v>
      </c>
      <c r="U10612" t="n">
        <v>0</v>
      </c>
      <c r="V10612" s="2" t="inlineStr"/>
    </row>
    <row r="10613" ht="15" customHeight="1">
      <c r="A10613" t="inlineStr">
        <is>
          <t>A 35508-2026</t>
        </is>
      </c>
      <c r="B10613" t="inlineStr">
        <is>
          <t>avverkningsanmälan</t>
        </is>
      </c>
      <c r="C10613" t="inlineStr">
        <is>
          <t>Föryngringsavverkning</t>
        </is>
      </c>
      <c r="D10613" s="1" t="n">
        <v>46262</v>
      </c>
      <c r="E10613" s="1" t="n">
        <v>46307</v>
      </c>
      <c r="F10613" t="inlineStr">
        <is>
          <t>VÄRMLANDS LÄN</t>
        </is>
      </c>
      <c r="G10613" t="inlineStr">
        <is>
          <t>SÄFFLE</t>
        </is>
      </c>
      <c r="I10613" t="n">
        <v>3.6</v>
      </c>
      <c r="J10613" t="n">
        <v>0</v>
      </c>
      <c r="K10613" t="n">
        <v>0</v>
      </c>
      <c r="L10613" t="n">
        <v>0</v>
      </c>
      <c r="M10613" t="n">
        <v>0</v>
      </c>
      <c r="N10613" t="n">
        <v>0</v>
      </c>
      <c r="O10613" t="n">
        <v>0</v>
      </c>
      <c r="P10613" t="n">
        <v>0</v>
      </c>
      <c r="Q10613" t="n">
        <v>0</v>
      </c>
      <c r="R10613" t="n">
        <v>0</v>
      </c>
      <c r="S10613" t="n">
        <v>0</v>
      </c>
      <c r="T10613" t="n">
        <v>0</v>
      </c>
      <c r="U10613" t="n">
        <v>0</v>
      </c>
      <c r="V10613" s="2" t="inlineStr"/>
    </row>
    <row r="10614" ht="15" customHeight="1">
      <c r="A10614" t="inlineStr">
        <is>
          <t>A 35515-2026</t>
        </is>
      </c>
      <c r="B10614" t="inlineStr">
        <is>
          <t>avverkningsanmälan</t>
        </is>
      </c>
      <c r="C10614" t="inlineStr">
        <is>
          <t>Föryngringsavverkning</t>
        </is>
      </c>
      <c r="D10614" s="1" t="n">
        <v>46262</v>
      </c>
      <c r="E10614" s="1" t="n">
        <v>46307</v>
      </c>
      <c r="F10614" t="inlineStr">
        <is>
          <t>VÄRMLANDS LÄN</t>
        </is>
      </c>
      <c r="G10614" t="inlineStr">
        <is>
          <t>TORSBY</t>
        </is>
      </c>
      <c r="H10614" t="inlineStr">
        <is>
          <t>Bergvik skog väst AB</t>
        </is>
      </c>
      <c r="I10614" t="n">
        <v>7.9</v>
      </c>
      <c r="J10614" t="n">
        <v>0</v>
      </c>
      <c r="K10614" t="n">
        <v>0</v>
      </c>
      <c r="L10614" t="n">
        <v>0</v>
      </c>
      <c r="M10614" t="n">
        <v>0</v>
      </c>
      <c r="N10614" t="n">
        <v>0</v>
      </c>
      <c r="O10614" t="n">
        <v>0</v>
      </c>
      <c r="P10614" t="n">
        <v>0</v>
      </c>
      <c r="Q10614" t="n">
        <v>0</v>
      </c>
      <c r="R10614" t="n">
        <v>0</v>
      </c>
      <c r="S10614" t="n">
        <v>0</v>
      </c>
      <c r="T10614" t="n">
        <v>0</v>
      </c>
      <c r="U10614" t="n">
        <v>0</v>
      </c>
      <c r="V10614" s="2" t="inlineStr"/>
    </row>
    <row r="10615" ht="15" customHeight="1">
      <c r="A10615" t="inlineStr">
        <is>
          <t>A 35421-2026</t>
        </is>
      </c>
      <c r="B10615" t="inlineStr">
        <is>
          <t>avverkningsanmälan</t>
        </is>
      </c>
      <c r="C10615" t="inlineStr">
        <is>
          <t>Föryngringsavverkning</t>
        </is>
      </c>
      <c r="D10615" s="1" t="n">
        <v>46261</v>
      </c>
      <c r="E10615" s="1" t="n">
        <v>46307</v>
      </c>
      <c r="F10615" t="inlineStr">
        <is>
          <t>VÄRMLANDS LÄN</t>
        </is>
      </c>
      <c r="G10615" t="inlineStr">
        <is>
          <t>TORSBY</t>
        </is>
      </c>
      <c r="H10615" t="inlineStr">
        <is>
          <t>Bergvik skog väst AB</t>
        </is>
      </c>
      <c r="I10615" t="n">
        <v>5.1</v>
      </c>
      <c r="J10615" t="n">
        <v>0</v>
      </c>
      <c r="K10615" t="n">
        <v>0</v>
      </c>
      <c r="L10615" t="n">
        <v>0</v>
      </c>
      <c r="M10615" t="n">
        <v>0</v>
      </c>
      <c r="N10615" t="n">
        <v>0</v>
      </c>
      <c r="O10615" t="n">
        <v>0</v>
      </c>
      <c r="P10615" t="n">
        <v>0</v>
      </c>
      <c r="Q10615" t="n">
        <v>0</v>
      </c>
      <c r="R10615" t="n">
        <v>0</v>
      </c>
      <c r="S10615" t="n">
        <v>0</v>
      </c>
      <c r="T10615" t="n">
        <v>0</v>
      </c>
      <c r="U10615" t="n">
        <v>0</v>
      </c>
      <c r="V10615" s="2" t="inlineStr"/>
    </row>
    <row r="10616" ht="15" customHeight="1">
      <c r="A10616" t="inlineStr">
        <is>
          <t>A 35423-2026</t>
        </is>
      </c>
      <c r="B10616" t="inlineStr">
        <is>
          <t>avverkningsanmälan</t>
        </is>
      </c>
      <c r="C10616" t="inlineStr">
        <is>
          <t>Föryngringsavverkning</t>
        </is>
      </c>
      <c r="D10616" s="1" t="n">
        <v>46261</v>
      </c>
      <c r="E10616" s="1" t="n">
        <v>46307</v>
      </c>
      <c r="F10616" t="inlineStr">
        <is>
          <t>VÄRMLANDS LÄN</t>
        </is>
      </c>
      <c r="G10616" t="inlineStr">
        <is>
          <t>FILIPSTAD</t>
        </is>
      </c>
      <c r="I10616" t="n">
        <v>2.1</v>
      </c>
      <c r="J10616" t="n">
        <v>0</v>
      </c>
      <c r="K10616" t="n">
        <v>0</v>
      </c>
      <c r="L10616" t="n">
        <v>0</v>
      </c>
      <c r="M10616" t="n">
        <v>0</v>
      </c>
      <c r="N10616" t="n">
        <v>0</v>
      </c>
      <c r="O10616" t="n">
        <v>0</v>
      </c>
      <c r="P10616" t="n">
        <v>0</v>
      </c>
      <c r="Q10616" t="n">
        <v>0</v>
      </c>
      <c r="R10616" t="n">
        <v>0</v>
      </c>
      <c r="S10616" t="n">
        <v>0</v>
      </c>
      <c r="T10616" t="n">
        <v>0</v>
      </c>
      <c r="U10616" t="n">
        <v>0</v>
      </c>
      <c r="V10616" s="2" t="inlineStr"/>
    </row>
    <row r="10617" ht="15" customHeight="1">
      <c r="A10617" t="inlineStr">
        <is>
          <t>A 42102-2026</t>
        </is>
      </c>
      <c r="B10617" t="inlineStr">
        <is>
          <t>avverkningsanmälan</t>
        </is>
      </c>
      <c r="C10617" t="inlineStr">
        <is>
          <t>Föryngringsavverkning</t>
        </is>
      </c>
      <c r="D10617" s="1" t="n">
        <v>46303</v>
      </c>
      <c r="E10617" s="1" t="n">
        <v>46307</v>
      </c>
      <c r="F10617" t="inlineStr">
        <is>
          <t>VÄRMLANDS LÄN</t>
        </is>
      </c>
      <c r="G10617" t="inlineStr">
        <is>
          <t>TORSBY</t>
        </is>
      </c>
      <c r="I10617" t="n">
        <v>0.9</v>
      </c>
      <c r="J10617" t="n">
        <v>0</v>
      </c>
      <c r="K10617" t="n">
        <v>0</v>
      </c>
      <c r="L10617" t="n">
        <v>0</v>
      </c>
      <c r="M10617" t="n">
        <v>0</v>
      </c>
      <c r="N10617" t="n">
        <v>0</v>
      </c>
      <c r="O10617" t="n">
        <v>0</v>
      </c>
      <c r="P10617" t="n">
        <v>0</v>
      </c>
      <c r="Q10617" t="n">
        <v>0</v>
      </c>
      <c r="R10617" t="n">
        <v>0</v>
      </c>
      <c r="S10617" t="n">
        <v>0</v>
      </c>
      <c r="T10617" t="n">
        <v>0</v>
      </c>
      <c r="U10617" t="n">
        <v>0</v>
      </c>
      <c r="V10617" s="2" t="inlineStr"/>
    </row>
    <row r="10618" ht="15" customHeight="1">
      <c r="A10618" t="inlineStr">
        <is>
          <t>A 42123-2026</t>
        </is>
      </c>
      <c r="B10618" t="inlineStr">
        <is>
          <t>avverkningsanmälan</t>
        </is>
      </c>
      <c r="C10618" t="inlineStr">
        <is>
          <t>Föryngringsavverkning</t>
        </is>
      </c>
      <c r="D10618" s="1" t="n">
        <v>46304</v>
      </c>
      <c r="E10618" s="1" t="n">
        <v>46307</v>
      </c>
      <c r="F10618" t="inlineStr">
        <is>
          <t>VÄRMLANDS LÄN</t>
        </is>
      </c>
      <c r="G10618" t="inlineStr">
        <is>
          <t>FILIPSTAD</t>
        </is>
      </c>
      <c r="H10618" t="inlineStr">
        <is>
          <t>Bergvik skog väst AB</t>
        </is>
      </c>
      <c r="I10618" t="n">
        <v>1.7</v>
      </c>
      <c r="J10618" t="n">
        <v>0</v>
      </c>
      <c r="K10618" t="n">
        <v>0</v>
      </c>
      <c r="L10618" t="n">
        <v>0</v>
      </c>
      <c r="M10618" t="n">
        <v>0</v>
      </c>
      <c r="N10618" t="n">
        <v>0</v>
      </c>
      <c r="O10618" t="n">
        <v>0</v>
      </c>
      <c r="P10618" t="n">
        <v>0</v>
      </c>
      <c r="Q10618" t="n">
        <v>0</v>
      </c>
      <c r="R10618" t="n">
        <v>0</v>
      </c>
      <c r="S10618" t="n">
        <v>0</v>
      </c>
      <c r="T10618" t="n">
        <v>0</v>
      </c>
      <c r="U10618" t="n">
        <v>0</v>
      </c>
      <c r="V10618" s="2" t="inlineStr"/>
    </row>
    <row r="10619" ht="15" customHeight="1">
      <c r="A10619" t="inlineStr">
        <is>
          <t>A 41557-2026</t>
        </is>
      </c>
      <c r="B10619" t="inlineStr">
        <is>
          <t>avverkningsanmälan</t>
        </is>
      </c>
      <c r="C10619" t="inlineStr">
        <is>
          <t>Föryngringsavverkning</t>
        </is>
      </c>
      <c r="D10619" s="1" t="n">
        <v>46301</v>
      </c>
      <c r="E10619" s="1" t="n">
        <v>46307</v>
      </c>
      <c r="F10619" t="inlineStr">
        <is>
          <t>VÄRMLANDS LÄN</t>
        </is>
      </c>
      <c r="G10619" t="inlineStr">
        <is>
          <t>ÅRJÄNG</t>
        </is>
      </c>
      <c r="I10619" t="n">
        <v>1.3</v>
      </c>
      <c r="J10619" t="n">
        <v>0</v>
      </c>
      <c r="K10619" t="n">
        <v>0</v>
      </c>
      <c r="L10619" t="n">
        <v>0</v>
      </c>
      <c r="M10619" t="n">
        <v>0</v>
      </c>
      <c r="N10619" t="n">
        <v>0</v>
      </c>
      <c r="O10619" t="n">
        <v>0</v>
      </c>
      <c r="P10619" t="n">
        <v>0</v>
      </c>
      <c r="Q10619" t="n">
        <v>0</v>
      </c>
      <c r="R10619" t="n">
        <v>0</v>
      </c>
      <c r="S10619" t="n">
        <v>0</v>
      </c>
      <c r="T10619" t="n">
        <v>0</v>
      </c>
      <c r="U10619" t="n">
        <v>0</v>
      </c>
      <c r="V10619" s="2" t="inlineStr"/>
    </row>
    <row r="10620" ht="15" customHeight="1">
      <c r="A10620" t="inlineStr">
        <is>
          <t>A 41680-2026</t>
        </is>
      </c>
      <c r="B10620" t="inlineStr">
        <is>
          <t>avverkningsanmälan</t>
        </is>
      </c>
      <c r="C10620" t="inlineStr">
        <is>
          <t>Föryngringsavverkning</t>
        </is>
      </c>
      <c r="D10620" s="1" t="n">
        <v>46302</v>
      </c>
      <c r="E10620" s="1" t="n">
        <v>46307</v>
      </c>
      <c r="F10620" t="inlineStr">
        <is>
          <t>VÄRMLANDS LÄN</t>
        </is>
      </c>
      <c r="G10620" t="inlineStr">
        <is>
          <t>SUNNE</t>
        </is>
      </c>
      <c r="I10620" t="n">
        <v>2.2</v>
      </c>
      <c r="J10620" t="n">
        <v>0</v>
      </c>
      <c r="K10620" t="n">
        <v>0</v>
      </c>
      <c r="L10620" t="n">
        <v>0</v>
      </c>
      <c r="M10620" t="n">
        <v>0</v>
      </c>
      <c r="N10620" t="n">
        <v>0</v>
      </c>
      <c r="O10620" t="n">
        <v>0</v>
      </c>
      <c r="P10620" t="n">
        <v>0</v>
      </c>
      <c r="Q10620" t="n">
        <v>0</v>
      </c>
      <c r="R10620" t="n">
        <v>0</v>
      </c>
      <c r="S10620" t="n">
        <v>0</v>
      </c>
      <c r="T10620" t="n">
        <v>0</v>
      </c>
      <c r="U10620" t="n">
        <v>0</v>
      </c>
      <c r="V10620" s="2" t="inlineStr"/>
    </row>
    <row r="10621" ht="15" customHeight="1">
      <c r="A10621" t="inlineStr">
        <is>
          <t>A 42045-2026</t>
        </is>
      </c>
      <c r="B10621" t="inlineStr">
        <is>
          <t>avverkningsanmälan</t>
        </is>
      </c>
      <c r="C10621" t="inlineStr">
        <is>
          <t>Föryngringsavverkning</t>
        </is>
      </c>
      <c r="D10621" s="1" t="n">
        <v>46304</v>
      </c>
      <c r="E10621" s="1" t="n">
        <v>46307</v>
      </c>
      <c r="F10621" t="inlineStr">
        <is>
          <t>VÄRMLANDS LÄN</t>
        </is>
      </c>
      <c r="G10621" t="inlineStr">
        <is>
          <t>ÅRJÄNG</t>
        </is>
      </c>
      <c r="I10621" t="n">
        <v>6.7</v>
      </c>
      <c r="J10621" t="n">
        <v>0</v>
      </c>
      <c r="K10621" t="n">
        <v>0</v>
      </c>
      <c r="L10621" t="n">
        <v>0</v>
      </c>
      <c r="M10621" t="n">
        <v>0</v>
      </c>
      <c r="N10621" t="n">
        <v>0</v>
      </c>
      <c r="O10621" t="n">
        <v>0</v>
      </c>
      <c r="P10621" t="n">
        <v>0</v>
      </c>
      <c r="Q10621" t="n">
        <v>0</v>
      </c>
      <c r="R10621" t="n">
        <v>0</v>
      </c>
      <c r="S10621" t="n">
        <v>0</v>
      </c>
      <c r="T10621" t="n">
        <v>0</v>
      </c>
      <c r="U10621" t="n">
        <v>0</v>
      </c>
      <c r="V10621" s="2" t="inlineStr"/>
    </row>
    <row r="10622" ht="15" customHeight="1">
      <c r="A10622" t="inlineStr">
        <is>
          <t>A 35574-2026</t>
        </is>
      </c>
      <c r="B10622" t="inlineStr">
        <is>
          <t>avverkningsanmälan</t>
        </is>
      </c>
      <c r="C10622" t="inlineStr">
        <is>
          <t>Föryngringsavverkning</t>
        </is>
      </c>
      <c r="D10622" s="1" t="n">
        <v>46262</v>
      </c>
      <c r="E10622" s="1" t="n">
        <v>46307</v>
      </c>
      <c r="F10622" t="inlineStr">
        <is>
          <t>VÄRMLANDS LÄN</t>
        </is>
      </c>
      <c r="G10622" t="inlineStr">
        <is>
          <t>HAGFORS</t>
        </is>
      </c>
      <c r="H10622" t="inlineStr">
        <is>
          <t>Bergvik skog väst AB</t>
        </is>
      </c>
      <c r="I10622" t="n">
        <v>6.3</v>
      </c>
      <c r="J10622" t="n">
        <v>0</v>
      </c>
      <c r="K10622" t="n">
        <v>0</v>
      </c>
      <c r="L10622" t="n">
        <v>0</v>
      </c>
      <c r="M10622" t="n">
        <v>0</v>
      </c>
      <c r="N10622" t="n">
        <v>0</v>
      </c>
      <c r="O10622" t="n">
        <v>0</v>
      </c>
      <c r="P10622" t="n">
        <v>0</v>
      </c>
      <c r="Q10622" t="n">
        <v>0</v>
      </c>
      <c r="R10622" t="n">
        <v>0</v>
      </c>
      <c r="S10622" t="n">
        <v>0</v>
      </c>
      <c r="T10622" t="n">
        <v>0</v>
      </c>
      <c r="U10622" t="n">
        <v>0</v>
      </c>
      <c r="V10622" s="2" t="inlineStr"/>
    </row>
    <row r="10623" ht="15" customHeight="1">
      <c r="A10623" t="inlineStr">
        <is>
          <t>A 35173-2026</t>
        </is>
      </c>
      <c r="B10623" t="inlineStr">
        <is>
          <t>avverkningsanmälan</t>
        </is>
      </c>
      <c r="C10623" t="inlineStr">
        <is>
          <t>Föryngringsavverkning</t>
        </is>
      </c>
      <c r="D10623" s="1" t="n">
        <v>46260</v>
      </c>
      <c r="E10623" s="1" t="n">
        <v>46307</v>
      </c>
      <c r="F10623" t="inlineStr">
        <is>
          <t>VÄRMLANDS LÄN</t>
        </is>
      </c>
      <c r="G10623" t="inlineStr">
        <is>
          <t>HAGFORS</t>
        </is>
      </c>
      <c r="H10623" t="inlineStr">
        <is>
          <t>Bergvik skog väst AB</t>
        </is>
      </c>
      <c r="I10623" t="n">
        <v>18.2</v>
      </c>
      <c r="J10623" t="n">
        <v>0</v>
      </c>
      <c r="K10623" t="n">
        <v>0</v>
      </c>
      <c r="L10623" t="n">
        <v>0</v>
      </c>
      <c r="M10623" t="n">
        <v>0</v>
      </c>
      <c r="N10623" t="n">
        <v>0</v>
      </c>
      <c r="O10623" t="n">
        <v>0</v>
      </c>
      <c r="P10623" t="n">
        <v>0</v>
      </c>
      <c r="Q10623" t="n">
        <v>0</v>
      </c>
      <c r="R10623" t="n">
        <v>0</v>
      </c>
      <c r="S10623" t="n">
        <v>0</v>
      </c>
      <c r="T10623" t="n">
        <v>0</v>
      </c>
      <c r="U10623" t="n">
        <v>0</v>
      </c>
      <c r="V10623" s="2" t="inlineStr"/>
    </row>
    <row r="10624" ht="15" customHeight="1">
      <c r="A10624" t="inlineStr">
        <is>
          <t>A 18336-2023</t>
        </is>
      </c>
      <c r="B10624" t="inlineStr">
        <is>
          <t>avverkningsanmälan</t>
        </is>
      </c>
      <c r="C10624" t="inlineStr">
        <is>
          <t>Föryngringsavverkning</t>
        </is>
      </c>
      <c r="D10624" s="1" t="n">
        <v>45041</v>
      </c>
      <c r="E10624" s="1" t="n">
        <v>46307</v>
      </c>
      <c r="F10624" t="inlineStr">
        <is>
          <t>VÄRMLANDS LÄN</t>
        </is>
      </c>
      <c r="G10624" t="inlineStr">
        <is>
          <t>KIL</t>
        </is>
      </c>
      <c r="H10624" t="inlineStr">
        <is>
          <t>Bergvik skog väst AB</t>
        </is>
      </c>
      <c r="I10624" t="n">
        <v>2.5</v>
      </c>
      <c r="J10624" t="n">
        <v>0</v>
      </c>
      <c r="K10624" t="n">
        <v>0</v>
      </c>
      <c r="L10624" t="n">
        <v>0</v>
      </c>
      <c r="M10624" t="n">
        <v>0</v>
      </c>
      <c r="N10624" t="n">
        <v>0</v>
      </c>
      <c r="O10624" t="n">
        <v>0</v>
      </c>
      <c r="P10624" t="n">
        <v>0</v>
      </c>
      <c r="Q10624" t="n">
        <v>0</v>
      </c>
      <c r="R10624" t="n">
        <v>0</v>
      </c>
      <c r="S10624" t="n">
        <v>0</v>
      </c>
      <c r="T10624" t="n">
        <v>0</v>
      </c>
      <c r="U10624" t="n">
        <v>0</v>
      </c>
      <c r="V10624" s="2" t="inlineStr"/>
    </row>
    <row r="10625" ht="15" customHeight="1">
      <c r="A10625" t="inlineStr">
        <is>
          <t>A 56037-2025</t>
        </is>
      </c>
      <c r="B10625" t="inlineStr">
        <is>
          <t>avverkningsanmälan</t>
        </is>
      </c>
      <c r="C10625" t="inlineStr">
        <is>
          <t>Föryngringsavverkning</t>
        </is>
      </c>
      <c r="D10625" s="1" t="n">
        <v>45973</v>
      </c>
      <c r="E10625" s="1" t="n">
        <v>46307</v>
      </c>
      <c r="F10625" t="inlineStr">
        <is>
          <t>VÄRMLANDS LÄN</t>
        </is>
      </c>
      <c r="G10625" t="inlineStr">
        <is>
          <t>FILIPSTAD</t>
        </is>
      </c>
      <c r="H10625" t="inlineStr">
        <is>
          <t>Bergvik skog väst AB</t>
        </is>
      </c>
      <c r="I10625" t="n">
        <v>5.7</v>
      </c>
      <c r="J10625" t="n">
        <v>0</v>
      </c>
      <c r="K10625" t="n">
        <v>0</v>
      </c>
      <c r="L10625" t="n">
        <v>0</v>
      </c>
      <c r="M10625" t="n">
        <v>0</v>
      </c>
      <c r="N10625" t="n">
        <v>0</v>
      </c>
      <c r="O10625" t="n">
        <v>0</v>
      </c>
      <c r="P10625" t="n">
        <v>0</v>
      </c>
      <c r="Q10625" t="n">
        <v>0</v>
      </c>
      <c r="R10625" t="n">
        <v>0</v>
      </c>
      <c r="S10625" t="n">
        <v>0</v>
      </c>
      <c r="T10625" t="n">
        <v>0</v>
      </c>
      <c r="U10625" t="n">
        <v>0</v>
      </c>
      <c r="V10625" s="2" t="inlineStr"/>
    </row>
    <row r="10626" ht="15" customHeight="1">
      <c r="A10626" t="inlineStr">
        <is>
          <t>S 387-2021</t>
        </is>
      </c>
      <c r="B10626" t="inlineStr">
        <is>
          <t>samrådsanmälan</t>
        </is>
      </c>
      <c r="C10626" t="inlineStr">
        <is>
          <t>Åtgärd i nyckelbiotop</t>
        </is>
      </c>
      <c r="D10626" s="1" t="n">
        <v>44256</v>
      </c>
      <c r="E10626" s="1" t="n">
        <v>46307</v>
      </c>
      <c r="F10626" t="inlineStr">
        <is>
          <t>VÄRMLANDS LÄN</t>
        </is>
      </c>
      <c r="G10626" t="inlineStr">
        <is>
          <t>ARVIKA</t>
        </is>
      </c>
      <c r="H10626" t="inlineStr">
        <is>
          <t>Bergvik skog väst AB</t>
        </is>
      </c>
      <c r="I10626" t="n">
        <v>0.1</v>
      </c>
      <c r="J10626" t="n">
        <v>0</v>
      </c>
      <c r="K10626" t="n">
        <v>0</v>
      </c>
      <c r="L10626" t="n">
        <v>0</v>
      </c>
      <c r="M10626" t="n">
        <v>0</v>
      </c>
      <c r="N10626" t="n">
        <v>0</v>
      </c>
      <c r="O10626" t="n">
        <v>0</v>
      </c>
      <c r="P10626" t="n">
        <v>0</v>
      </c>
      <c r="Q10626" t="n">
        <v>0</v>
      </c>
      <c r="R10626" t="n">
        <v>0</v>
      </c>
      <c r="S10626" t="n">
        <v>0</v>
      </c>
      <c r="T10626" t="n">
        <v>0</v>
      </c>
      <c r="U10626" t="n">
        <v>0</v>
      </c>
      <c r="V10626" s="2" t="inlineStr"/>
    </row>
    <row r="10627" ht="15" customHeight="1">
      <c r="A10627" t="inlineStr">
        <is>
          <t>S 5757-2021</t>
        </is>
      </c>
      <c r="B10627" t="inlineStr">
        <is>
          <t>samrådsanmälan</t>
        </is>
      </c>
      <c r="C10627" t="inlineStr">
        <is>
          <t>Basväg</t>
        </is>
      </c>
      <c r="D10627" s="1" t="n">
        <v>44438</v>
      </c>
      <c r="E10627" s="1" t="n">
        <v>46307</v>
      </c>
      <c r="F10627" t="inlineStr">
        <is>
          <t>VÄRMLANDS LÄN</t>
        </is>
      </c>
      <c r="G10627" t="inlineStr">
        <is>
          <t>FILIPSTAD</t>
        </is>
      </c>
      <c r="H10627" t="inlineStr">
        <is>
          <t>Bergvik skog väst AB</t>
        </is>
      </c>
      <c r="I10627" t="n">
        <v>0.2</v>
      </c>
      <c r="J10627" t="n">
        <v>0</v>
      </c>
      <c r="K10627" t="n">
        <v>0</v>
      </c>
      <c r="L10627" t="n">
        <v>0</v>
      </c>
      <c r="M10627" t="n">
        <v>0</v>
      </c>
      <c r="N10627" t="n">
        <v>0</v>
      </c>
      <c r="O10627" t="n">
        <v>0</v>
      </c>
      <c r="P10627" t="n">
        <v>0</v>
      </c>
      <c r="Q10627" t="n">
        <v>0</v>
      </c>
      <c r="R10627" t="n">
        <v>0</v>
      </c>
      <c r="S10627" t="n">
        <v>0</v>
      </c>
      <c r="T10627" t="n">
        <v>0</v>
      </c>
      <c r="U10627" t="n">
        <v>0</v>
      </c>
      <c r="V10627" s="2" t="inlineStr"/>
    </row>
    <row r="10628" ht="15" customHeight="1">
      <c r="A10628" t="inlineStr">
        <is>
          <t>S 665-2021</t>
        </is>
      </c>
      <c r="B10628" t="inlineStr">
        <is>
          <t>samrådsanmälan</t>
        </is>
      </c>
      <c r="C10628" t="inlineStr">
        <is>
          <t>Annan skogsbruksåtgärd</t>
        </is>
      </c>
      <c r="D10628" s="1" t="n">
        <v>44279</v>
      </c>
      <c r="E10628" s="1" t="n">
        <v>46307</v>
      </c>
      <c r="F10628" t="inlineStr">
        <is>
          <t>VÄRMLANDS LÄN</t>
        </is>
      </c>
      <c r="G10628" t="inlineStr">
        <is>
          <t>ARVIKA</t>
        </is>
      </c>
      <c r="I10628" t="n">
        <v>1.5</v>
      </c>
      <c r="J10628" t="n">
        <v>0</v>
      </c>
      <c r="K10628" t="n">
        <v>0</v>
      </c>
      <c r="L10628" t="n">
        <v>0</v>
      </c>
      <c r="M10628" t="n">
        <v>0</v>
      </c>
      <c r="N10628" t="n">
        <v>0</v>
      </c>
      <c r="O10628" t="n">
        <v>0</v>
      </c>
      <c r="P10628" t="n">
        <v>0</v>
      </c>
      <c r="Q10628" t="n">
        <v>0</v>
      </c>
      <c r="R10628" t="n">
        <v>0</v>
      </c>
      <c r="S10628" t="n">
        <v>0</v>
      </c>
      <c r="T10628" t="n">
        <v>0</v>
      </c>
      <c r="U10628" t="n">
        <v>0</v>
      </c>
      <c r="V10628" s="2" t="inlineStr"/>
    </row>
    <row r="10629" ht="15" customHeight="1">
      <c r="A10629" t="inlineStr">
        <is>
          <t>S 1191-2021</t>
        </is>
      </c>
      <c r="B10629" t="inlineStr">
        <is>
          <t>samrådsanmälan</t>
        </is>
      </c>
      <c r="C10629" t="inlineStr">
        <is>
          <t>Åtgärd i nyckelbiotop</t>
        </is>
      </c>
      <c r="D10629" s="1" t="n">
        <v>44328</v>
      </c>
      <c r="E10629" s="1" t="n">
        <v>46307</v>
      </c>
      <c r="F10629" t="inlineStr">
        <is>
          <t>VÄRMLANDS LÄN</t>
        </is>
      </c>
      <c r="G10629" t="inlineStr">
        <is>
          <t>FILIPSTAD</t>
        </is>
      </c>
      <c r="I10629" t="n">
        <v>2.4</v>
      </c>
      <c r="J10629" t="n">
        <v>0</v>
      </c>
      <c r="K10629" t="n">
        <v>0</v>
      </c>
      <c r="L10629" t="n">
        <v>0</v>
      </c>
      <c r="M10629" t="n">
        <v>0</v>
      </c>
      <c r="N10629" t="n">
        <v>0</v>
      </c>
      <c r="O10629" t="n">
        <v>0</v>
      </c>
      <c r="P10629" t="n">
        <v>0</v>
      </c>
      <c r="Q10629" t="n">
        <v>0</v>
      </c>
      <c r="R10629" t="n">
        <v>0</v>
      </c>
      <c r="S10629" t="n">
        <v>0</v>
      </c>
      <c r="T10629" t="n">
        <v>0</v>
      </c>
      <c r="U10629" t="n">
        <v>0</v>
      </c>
      <c r="V10629" s="2" t="inlineStr"/>
    </row>
    <row r="10630" ht="15" customHeight="1">
      <c r="A10630" t="inlineStr">
        <is>
          <t>S 2606-2021</t>
        </is>
      </c>
      <c r="B10630" t="inlineStr">
        <is>
          <t>samrådsanmälan</t>
        </is>
      </c>
      <c r="C10630" t="inlineStr">
        <is>
          <t>Åtgärd i nyckelbiotop</t>
        </is>
      </c>
      <c r="D10630" s="1" t="n">
        <v>44351</v>
      </c>
      <c r="E10630" s="1" t="n">
        <v>46307</v>
      </c>
      <c r="F10630" t="inlineStr">
        <is>
          <t>VÄRMLANDS LÄN</t>
        </is>
      </c>
      <c r="G10630" t="inlineStr">
        <is>
          <t>TORSBY</t>
        </is>
      </c>
      <c r="I10630" t="n">
        <v>6.2</v>
      </c>
      <c r="J10630" t="n">
        <v>0</v>
      </c>
      <c r="K10630" t="n">
        <v>0</v>
      </c>
      <c r="L10630" t="n">
        <v>0</v>
      </c>
      <c r="M10630" t="n">
        <v>0</v>
      </c>
      <c r="N10630" t="n">
        <v>0</v>
      </c>
      <c r="O10630" t="n">
        <v>0</v>
      </c>
      <c r="P10630" t="n">
        <v>0</v>
      </c>
      <c r="Q10630" t="n">
        <v>0</v>
      </c>
      <c r="R10630" t="n">
        <v>0</v>
      </c>
      <c r="S10630" t="n">
        <v>0</v>
      </c>
      <c r="T10630" t="n">
        <v>0</v>
      </c>
      <c r="U10630" t="n">
        <v>0</v>
      </c>
      <c r="V10630" s="2" t="inlineStr"/>
    </row>
    <row r="10631" ht="15" customHeight="1">
      <c r="A10631" t="inlineStr">
        <is>
          <t>S 2202-2020</t>
        </is>
      </c>
      <c r="B10631" t="inlineStr">
        <is>
          <t>samrådsanmälan</t>
        </is>
      </c>
      <c r="C10631" t="inlineStr">
        <is>
          <t>Skogsbilväg</t>
        </is>
      </c>
      <c r="D10631" s="1" t="n">
        <v>44104</v>
      </c>
      <c r="E10631" s="1" t="n">
        <v>46307</v>
      </c>
      <c r="F10631" t="inlineStr">
        <is>
          <t>VÄRMLANDS LÄN</t>
        </is>
      </c>
      <c r="G10631" t="inlineStr">
        <is>
          <t>ARVIKA</t>
        </is>
      </c>
      <c r="I10631" t="n">
        <v>0.3</v>
      </c>
      <c r="J10631" t="n">
        <v>0</v>
      </c>
      <c r="K10631" t="n">
        <v>0</v>
      </c>
      <c r="L10631" t="n">
        <v>0</v>
      </c>
      <c r="M10631" t="n">
        <v>0</v>
      </c>
      <c r="N10631" t="n">
        <v>0</v>
      </c>
      <c r="O10631" t="n">
        <v>0</v>
      </c>
      <c r="P10631" t="n">
        <v>0</v>
      </c>
      <c r="Q10631" t="n">
        <v>0</v>
      </c>
      <c r="R10631" t="n">
        <v>0</v>
      </c>
      <c r="S10631" t="n">
        <v>0</v>
      </c>
      <c r="T10631" t="n">
        <v>0</v>
      </c>
      <c r="U10631" t="n">
        <v>0</v>
      </c>
      <c r="V10631" s="2" t="inlineStr"/>
    </row>
    <row r="10632" ht="15" customHeight="1">
      <c r="A10632" t="inlineStr">
        <is>
          <t>S 2208-2020</t>
        </is>
      </c>
      <c r="B10632" t="inlineStr">
        <is>
          <t>samrådsanmälan</t>
        </is>
      </c>
      <c r="C10632" t="inlineStr">
        <is>
          <t>Dikesrensning</t>
        </is>
      </c>
      <c r="D10632" s="1" t="n">
        <v>44104</v>
      </c>
      <c r="E10632" s="1" t="n">
        <v>46307</v>
      </c>
      <c r="F10632" t="inlineStr">
        <is>
          <t>VÄRMLANDS LÄN</t>
        </is>
      </c>
      <c r="G10632" t="inlineStr">
        <is>
          <t>ARVIKA</t>
        </is>
      </c>
      <c r="I10632" t="n">
        <v>0.1</v>
      </c>
      <c r="J10632" t="n">
        <v>0</v>
      </c>
      <c r="K10632" t="n">
        <v>0</v>
      </c>
      <c r="L10632" t="n">
        <v>0</v>
      </c>
      <c r="M10632" t="n">
        <v>0</v>
      </c>
      <c r="N10632" t="n">
        <v>0</v>
      </c>
      <c r="O10632" t="n">
        <v>0</v>
      </c>
      <c r="P10632" t="n">
        <v>0</v>
      </c>
      <c r="Q10632" t="n">
        <v>0</v>
      </c>
      <c r="R10632" t="n">
        <v>0</v>
      </c>
      <c r="S10632" t="n">
        <v>0</v>
      </c>
      <c r="T10632" t="n">
        <v>0</v>
      </c>
      <c r="U10632" t="n">
        <v>0</v>
      </c>
      <c r="V10632" s="2" t="inlineStr"/>
    </row>
    <row r="10633" ht="15" customHeight="1">
      <c r="A10633" t="inlineStr">
        <is>
          <t>S 2225-2020</t>
        </is>
      </c>
      <c r="B10633" t="inlineStr">
        <is>
          <t>samrådsanmälan</t>
        </is>
      </c>
      <c r="C10633" t="inlineStr">
        <is>
          <t>Åtgärd i nyckelbiotop</t>
        </is>
      </c>
      <c r="D10633" s="1" t="n">
        <v>44127</v>
      </c>
      <c r="E10633" s="1" t="n">
        <v>46307</v>
      </c>
      <c r="F10633" t="inlineStr">
        <is>
          <t>VÄRMLANDS LÄN</t>
        </is>
      </c>
      <c r="G10633" t="inlineStr">
        <is>
          <t>HAGFORS</t>
        </is>
      </c>
      <c r="H10633" t="inlineStr">
        <is>
          <t>Bergvik skog väst AB</t>
        </is>
      </c>
      <c r="I10633" t="n">
        <v>0.2</v>
      </c>
      <c r="J10633" t="n">
        <v>0</v>
      </c>
      <c r="K10633" t="n">
        <v>0</v>
      </c>
      <c r="L10633" t="n">
        <v>0</v>
      </c>
      <c r="M10633" t="n">
        <v>0</v>
      </c>
      <c r="N10633" t="n">
        <v>0</v>
      </c>
      <c r="O10633" t="n">
        <v>0</v>
      </c>
      <c r="P10633" t="n">
        <v>0</v>
      </c>
      <c r="Q10633" t="n">
        <v>0</v>
      </c>
      <c r="R10633" t="n">
        <v>0</v>
      </c>
      <c r="S10633" t="n">
        <v>0</v>
      </c>
      <c r="T10633" t="n">
        <v>0</v>
      </c>
      <c r="U10633" t="n">
        <v>0</v>
      </c>
      <c r="V10633" s="2" t="inlineStr"/>
    </row>
    <row r="10634" ht="15" customHeight="1">
      <c r="A10634" t="inlineStr">
        <is>
          <t>S 2622-2020</t>
        </is>
      </c>
      <c r="B10634" t="inlineStr">
        <is>
          <t>samrådsanmälan</t>
        </is>
      </c>
      <c r="C10634" t="inlineStr">
        <is>
          <t>Skogsbilväg</t>
        </is>
      </c>
      <c r="D10634" s="1" t="n">
        <v>44147</v>
      </c>
      <c r="E10634" s="1" t="n">
        <v>46307</v>
      </c>
      <c r="F10634" t="inlineStr">
        <is>
          <t>VÄRMLANDS LÄN</t>
        </is>
      </c>
      <c r="G10634" t="inlineStr">
        <is>
          <t>ARVIKA</t>
        </is>
      </c>
      <c r="I10634" t="n">
        <v>0.1</v>
      </c>
      <c r="J10634" t="n">
        <v>0</v>
      </c>
      <c r="K10634" t="n">
        <v>0</v>
      </c>
      <c r="L10634" t="n">
        <v>0</v>
      </c>
      <c r="M10634" t="n">
        <v>0</v>
      </c>
      <c r="N10634" t="n">
        <v>0</v>
      </c>
      <c r="O10634" t="n">
        <v>0</v>
      </c>
      <c r="P10634" t="n">
        <v>0</v>
      </c>
      <c r="Q10634" t="n">
        <v>0</v>
      </c>
      <c r="R10634" t="n">
        <v>0</v>
      </c>
      <c r="S10634" t="n">
        <v>0</v>
      </c>
      <c r="T10634" t="n">
        <v>0</v>
      </c>
      <c r="U10634" t="n">
        <v>0</v>
      </c>
      <c r="V10634" s="2" t="inlineStr"/>
    </row>
    <row r="10635" ht="15" customHeight="1">
      <c r="A10635" t="inlineStr">
        <is>
          <t>S 2182-2021</t>
        </is>
      </c>
      <c r="B10635" t="inlineStr">
        <is>
          <t>samrådsanmälan</t>
        </is>
      </c>
      <c r="C10635" t="inlineStr">
        <is>
          <t>Annan skogsbruksåtgärd</t>
        </is>
      </c>
      <c r="D10635" s="1" t="n">
        <v>44350</v>
      </c>
      <c r="E10635" s="1" t="n">
        <v>46307</v>
      </c>
      <c r="F10635" t="inlineStr">
        <is>
          <t>VÄRMLANDS LÄN</t>
        </is>
      </c>
      <c r="G10635" t="inlineStr">
        <is>
          <t>ARVIKA</t>
        </is>
      </c>
      <c r="I10635" t="n">
        <v>3.6</v>
      </c>
      <c r="J10635" t="n">
        <v>0</v>
      </c>
      <c r="K10635" t="n">
        <v>0</v>
      </c>
      <c r="L10635" t="n">
        <v>0</v>
      </c>
      <c r="M10635" t="n">
        <v>0</v>
      </c>
      <c r="N10635" t="n">
        <v>0</v>
      </c>
      <c r="O10635" t="n">
        <v>0</v>
      </c>
      <c r="P10635" t="n">
        <v>0</v>
      </c>
      <c r="Q10635" t="n">
        <v>0</v>
      </c>
      <c r="R10635" t="n">
        <v>0</v>
      </c>
      <c r="S10635" t="n">
        <v>0</v>
      </c>
      <c r="T10635" t="n">
        <v>0</v>
      </c>
      <c r="U10635" t="n">
        <v>0</v>
      </c>
      <c r="V10635" s="2" t="inlineStr"/>
    </row>
    <row r="10636" ht="15" customHeight="1">
      <c r="A10636" t="inlineStr">
        <is>
          <t>S 1219-2020</t>
        </is>
      </c>
      <c r="B10636" t="inlineStr">
        <is>
          <t>samrådsanmälan</t>
        </is>
      </c>
      <c r="C10636" t="n">
        <v/>
      </c>
      <c r="D10636" s="1" t="n">
        <v>43980</v>
      </c>
      <c r="E10636" s="1" t="n">
        <v>46307</v>
      </c>
      <c r="F10636" t="inlineStr">
        <is>
          <t>VÄRMLANDS LÄN</t>
        </is>
      </c>
      <c r="G10636" t="inlineStr">
        <is>
          <t>KRISTINEHAMN</t>
        </is>
      </c>
      <c r="I10636" t="n">
        <v>0.9</v>
      </c>
      <c r="J10636" t="n">
        <v>0</v>
      </c>
      <c r="K10636" t="n">
        <v>0</v>
      </c>
      <c r="L10636" t="n">
        <v>0</v>
      </c>
      <c r="M10636" t="n">
        <v>0</v>
      </c>
      <c r="N10636" t="n">
        <v>0</v>
      </c>
      <c r="O10636" t="n">
        <v>0</v>
      </c>
      <c r="P10636" t="n">
        <v>0</v>
      </c>
      <c r="Q10636" t="n">
        <v>0</v>
      </c>
      <c r="R10636" t="n">
        <v>0</v>
      </c>
      <c r="S10636" t="n">
        <v>0</v>
      </c>
      <c r="T10636" t="n">
        <v>0</v>
      </c>
      <c r="U10636" t="n">
        <v>0</v>
      </c>
      <c r="V10636" s="2" t="inlineStr"/>
    </row>
    <row r="10637" ht="15" customHeight="1">
      <c r="A10637" t="inlineStr">
        <is>
          <t>S 2050-2022</t>
        </is>
      </c>
      <c r="B10637" t="inlineStr">
        <is>
          <t>samrådsanmälan</t>
        </is>
      </c>
      <c r="C10637" t="inlineStr">
        <is>
          <t>Annan skogsbruksåtgärd</t>
        </is>
      </c>
      <c r="D10637" s="1" t="n">
        <v>44671</v>
      </c>
      <c r="E10637" s="1" t="n">
        <v>46307</v>
      </c>
      <c r="F10637" t="inlineStr">
        <is>
          <t>VÄRMLANDS LÄN</t>
        </is>
      </c>
      <c r="G10637" t="inlineStr">
        <is>
          <t>HAGFORS</t>
        </is>
      </c>
      <c r="H10637" t="inlineStr">
        <is>
          <t>Bergvik skog väst AB</t>
        </is>
      </c>
      <c r="I10637" t="n">
        <v>12.3</v>
      </c>
      <c r="J10637" t="n">
        <v>0</v>
      </c>
      <c r="K10637" t="n">
        <v>0</v>
      </c>
      <c r="L10637" t="n">
        <v>0</v>
      </c>
      <c r="M10637" t="n">
        <v>0</v>
      </c>
      <c r="N10637" t="n">
        <v>0</v>
      </c>
      <c r="O10637" t="n">
        <v>0</v>
      </c>
      <c r="P10637" t="n">
        <v>0</v>
      </c>
      <c r="Q10637" t="n">
        <v>0</v>
      </c>
      <c r="R10637" t="n">
        <v>0</v>
      </c>
      <c r="S10637" t="n">
        <v>0</v>
      </c>
      <c r="T10637" t="n">
        <v>0</v>
      </c>
      <c r="U10637" t="n">
        <v>0</v>
      </c>
      <c r="V10637" s="2" t="inlineStr"/>
    </row>
    <row r="10638" ht="15" customHeight="1">
      <c r="A10638" t="inlineStr">
        <is>
          <t>S 299-2022</t>
        </is>
      </c>
      <c r="B10638" t="inlineStr">
        <is>
          <t>samrådsanmälan</t>
        </is>
      </c>
      <c r="C10638" t="inlineStr">
        <is>
          <t>Skogsgödsling</t>
        </is>
      </c>
      <c r="D10638" s="1" t="n">
        <v>44579</v>
      </c>
      <c r="E10638" s="1" t="n">
        <v>46307</v>
      </c>
      <c r="F10638" t="inlineStr">
        <is>
          <t>VÄRMLANDS LÄN</t>
        </is>
      </c>
      <c r="G10638" t="inlineStr">
        <is>
          <t>EDA</t>
        </is>
      </c>
      <c r="H10638" t="inlineStr">
        <is>
          <t>Bergvik skog väst AB</t>
        </is>
      </c>
      <c r="I10638" t="n">
        <v>21.5</v>
      </c>
      <c r="J10638" t="n">
        <v>0</v>
      </c>
      <c r="K10638" t="n">
        <v>0</v>
      </c>
      <c r="L10638" t="n">
        <v>0</v>
      </c>
      <c r="M10638" t="n">
        <v>0</v>
      </c>
      <c r="N10638" t="n">
        <v>0</v>
      </c>
      <c r="O10638" t="n">
        <v>0</v>
      </c>
      <c r="P10638" t="n">
        <v>0</v>
      </c>
      <c r="Q10638" t="n">
        <v>0</v>
      </c>
      <c r="R10638" t="n">
        <v>0</v>
      </c>
      <c r="S10638" t="n">
        <v>0</v>
      </c>
      <c r="T10638" t="n">
        <v>0</v>
      </c>
      <c r="U10638" t="n">
        <v>0</v>
      </c>
      <c r="V10638" s="2" t="inlineStr"/>
    </row>
    <row r="10639" ht="15" customHeight="1">
      <c r="A10639" t="inlineStr">
        <is>
          <t>S 285-2022</t>
        </is>
      </c>
      <c r="B10639" t="inlineStr">
        <is>
          <t>samrådsanmälan</t>
        </is>
      </c>
      <c r="C10639" t="inlineStr">
        <is>
          <t>Skogsgödsling</t>
        </is>
      </c>
      <c r="D10639" s="1" t="n">
        <v>44579</v>
      </c>
      <c r="E10639" s="1" t="n">
        <v>46307</v>
      </c>
      <c r="F10639" t="inlineStr">
        <is>
          <t>VÄRMLANDS LÄN</t>
        </is>
      </c>
      <c r="G10639" t="inlineStr">
        <is>
          <t>ARVIKA</t>
        </is>
      </c>
      <c r="H10639" t="inlineStr">
        <is>
          <t>Bergvik skog väst AB</t>
        </is>
      </c>
      <c r="I10639" t="n">
        <v>9.9</v>
      </c>
      <c r="J10639" t="n">
        <v>0</v>
      </c>
      <c r="K10639" t="n">
        <v>0</v>
      </c>
      <c r="L10639" t="n">
        <v>0</v>
      </c>
      <c r="M10639" t="n">
        <v>0</v>
      </c>
      <c r="N10639" t="n">
        <v>0</v>
      </c>
      <c r="O10639" t="n">
        <v>0</v>
      </c>
      <c r="P10639" t="n">
        <v>0</v>
      </c>
      <c r="Q10639" t="n">
        <v>0</v>
      </c>
      <c r="R10639" t="n">
        <v>0</v>
      </c>
      <c r="S10639" t="n">
        <v>0</v>
      </c>
      <c r="T10639" t="n">
        <v>0</v>
      </c>
      <c r="U10639" t="n">
        <v>0</v>
      </c>
      <c r="V10639" s="2" t="inlineStr"/>
    </row>
    <row r="10640" ht="15" customHeight="1">
      <c r="A10640" t="inlineStr">
        <is>
          <t>S 330-2022</t>
        </is>
      </c>
      <c r="B10640" t="inlineStr">
        <is>
          <t>samrådsanmälan</t>
        </is>
      </c>
      <c r="C10640" t="inlineStr">
        <is>
          <t>Skogsgödsling</t>
        </is>
      </c>
      <c r="D10640" s="1" t="n">
        <v>44579</v>
      </c>
      <c r="E10640" s="1" t="n">
        <v>46307</v>
      </c>
      <c r="F10640" t="inlineStr">
        <is>
          <t>VÄRMLANDS LÄN</t>
        </is>
      </c>
      <c r="G10640" t="inlineStr">
        <is>
          <t>ARVIKA</t>
        </is>
      </c>
      <c r="H10640" t="inlineStr">
        <is>
          <t>Bergvik skog väst AB</t>
        </is>
      </c>
      <c r="I10640" t="n">
        <v>50.8</v>
      </c>
      <c r="J10640" t="n">
        <v>0</v>
      </c>
      <c r="K10640" t="n">
        <v>0</v>
      </c>
      <c r="L10640" t="n">
        <v>0</v>
      </c>
      <c r="M10640" t="n">
        <v>0</v>
      </c>
      <c r="N10640" t="n">
        <v>0</v>
      </c>
      <c r="O10640" t="n">
        <v>0</v>
      </c>
      <c r="P10640" t="n">
        <v>0</v>
      </c>
      <c r="Q10640" t="n">
        <v>0</v>
      </c>
      <c r="R10640" t="n">
        <v>0</v>
      </c>
      <c r="S10640" t="n">
        <v>0</v>
      </c>
      <c r="T10640" t="n">
        <v>0</v>
      </c>
      <c r="U10640" t="n">
        <v>0</v>
      </c>
      <c r="V10640" s="2" t="inlineStr"/>
    </row>
    <row r="10641" ht="15" customHeight="1">
      <c r="A10641" t="inlineStr">
        <is>
          <t>S 937-2022</t>
        </is>
      </c>
      <c r="B10641" t="inlineStr">
        <is>
          <t>samrådsanmälan</t>
        </is>
      </c>
      <c r="C10641" t="inlineStr">
        <is>
          <t>Skogsgödsling</t>
        </is>
      </c>
      <c r="D10641" s="1" t="n">
        <v>44606</v>
      </c>
      <c r="E10641" s="1" t="n">
        <v>46307</v>
      </c>
      <c r="F10641" t="inlineStr">
        <is>
          <t>VÄRMLANDS LÄN</t>
        </is>
      </c>
      <c r="G10641" t="inlineStr">
        <is>
          <t>HAGFORS</t>
        </is>
      </c>
      <c r="H10641" t="inlineStr">
        <is>
          <t>Bergvik skog väst AB</t>
        </is>
      </c>
      <c r="I10641" t="n">
        <v>59.4</v>
      </c>
      <c r="J10641" t="n">
        <v>0</v>
      </c>
      <c r="K10641" t="n">
        <v>0</v>
      </c>
      <c r="L10641" t="n">
        <v>0</v>
      </c>
      <c r="M10641" t="n">
        <v>0</v>
      </c>
      <c r="N10641" t="n">
        <v>0</v>
      </c>
      <c r="O10641" t="n">
        <v>0</v>
      </c>
      <c r="P10641" t="n">
        <v>0</v>
      </c>
      <c r="Q10641" t="n">
        <v>0</v>
      </c>
      <c r="R10641" t="n">
        <v>0</v>
      </c>
      <c r="S10641" t="n">
        <v>0</v>
      </c>
      <c r="T10641" t="n">
        <v>0</v>
      </c>
      <c r="U10641" t="n">
        <v>0</v>
      </c>
      <c r="V10641" s="2" t="inlineStr"/>
    </row>
    <row r="10642" ht="15" customHeight="1">
      <c r="A10642" t="inlineStr">
        <is>
          <t>S 1815-2022</t>
        </is>
      </c>
      <c r="B10642" t="inlineStr">
        <is>
          <t>samrådsanmälan</t>
        </is>
      </c>
      <c r="C10642" t="inlineStr">
        <is>
          <t>Åtgärd i nyckelbiotop</t>
        </is>
      </c>
      <c r="D10642" s="1" t="n">
        <v>44657</v>
      </c>
      <c r="E10642" s="1" t="n">
        <v>46307</v>
      </c>
      <c r="F10642" t="inlineStr">
        <is>
          <t>VÄRMLANDS LÄN</t>
        </is>
      </c>
      <c r="G10642" t="inlineStr">
        <is>
          <t>KRISTINEHAMN</t>
        </is>
      </c>
      <c r="I10642" t="n">
        <v>1.3</v>
      </c>
      <c r="J10642" t="n">
        <v>0</v>
      </c>
      <c r="K10642" t="n">
        <v>0</v>
      </c>
      <c r="L10642" t="n">
        <v>0</v>
      </c>
      <c r="M10642" t="n">
        <v>0</v>
      </c>
      <c r="N10642" t="n">
        <v>0</v>
      </c>
      <c r="O10642" t="n">
        <v>0</v>
      </c>
      <c r="P10642" t="n">
        <v>0</v>
      </c>
      <c r="Q10642" t="n">
        <v>0</v>
      </c>
      <c r="R10642" t="n">
        <v>0</v>
      </c>
      <c r="S10642" t="n">
        <v>0</v>
      </c>
      <c r="T10642" t="n">
        <v>0</v>
      </c>
      <c r="U10642" t="n">
        <v>0</v>
      </c>
      <c r="V10642" s="2" t="inlineStr"/>
    </row>
    <row r="10643" ht="15" customHeight="1">
      <c r="A10643" t="inlineStr">
        <is>
          <t>S 931-2022</t>
        </is>
      </c>
      <c r="B10643" t="inlineStr">
        <is>
          <t>samrådsanmälan</t>
        </is>
      </c>
      <c r="C10643" t="inlineStr">
        <is>
          <t>Skogsgödsling</t>
        </is>
      </c>
      <c r="D10643" s="1" t="n">
        <v>44606</v>
      </c>
      <c r="E10643" s="1" t="n">
        <v>46307</v>
      </c>
      <c r="F10643" t="inlineStr">
        <is>
          <t>VÄRMLANDS LÄN</t>
        </is>
      </c>
      <c r="G10643" t="inlineStr">
        <is>
          <t>HAGFORS</t>
        </is>
      </c>
      <c r="H10643" t="inlineStr">
        <is>
          <t>Bergvik skog väst AB</t>
        </is>
      </c>
      <c r="I10643" t="n">
        <v>49.5</v>
      </c>
      <c r="J10643" t="n">
        <v>0</v>
      </c>
      <c r="K10643" t="n">
        <v>0</v>
      </c>
      <c r="L10643" t="n">
        <v>0</v>
      </c>
      <c r="M10643" t="n">
        <v>0</v>
      </c>
      <c r="N10643" t="n">
        <v>0</v>
      </c>
      <c r="O10643" t="n">
        <v>0</v>
      </c>
      <c r="P10643" t="n">
        <v>0</v>
      </c>
      <c r="Q10643" t="n">
        <v>0</v>
      </c>
      <c r="R10643" t="n">
        <v>0</v>
      </c>
      <c r="S10643" t="n">
        <v>0</v>
      </c>
      <c r="T10643" t="n">
        <v>0</v>
      </c>
      <c r="U10643" t="n">
        <v>0</v>
      </c>
      <c r="V10643" s="2" t="inlineStr"/>
    </row>
    <row r="10644" ht="15" customHeight="1">
      <c r="A10644" t="inlineStr">
        <is>
          <t>S 328-2022</t>
        </is>
      </c>
      <c r="B10644" t="inlineStr">
        <is>
          <t>samrådsanmälan</t>
        </is>
      </c>
      <c r="C10644" t="inlineStr">
        <is>
          <t>Skogsgödsling</t>
        </is>
      </c>
      <c r="D10644" s="1" t="n">
        <v>44579</v>
      </c>
      <c r="E10644" s="1" t="n">
        <v>46307</v>
      </c>
      <c r="F10644" t="inlineStr">
        <is>
          <t>VÄRMLANDS LÄN</t>
        </is>
      </c>
      <c r="G10644" t="inlineStr">
        <is>
          <t>ARVIKA</t>
        </is>
      </c>
      <c r="H10644" t="inlineStr">
        <is>
          <t>Bergvik skog väst AB</t>
        </is>
      </c>
      <c r="I10644" t="n">
        <v>14.4</v>
      </c>
      <c r="J10644" t="n">
        <v>0</v>
      </c>
      <c r="K10644" t="n">
        <v>0</v>
      </c>
      <c r="L10644" t="n">
        <v>0</v>
      </c>
      <c r="M10644" t="n">
        <v>0</v>
      </c>
      <c r="N10644" t="n">
        <v>0</v>
      </c>
      <c r="O10644" t="n">
        <v>0</v>
      </c>
      <c r="P10644" t="n">
        <v>0</v>
      </c>
      <c r="Q10644" t="n">
        <v>0</v>
      </c>
      <c r="R10644" t="n">
        <v>0</v>
      </c>
      <c r="S10644" t="n">
        <v>0</v>
      </c>
      <c r="T10644" t="n">
        <v>0</v>
      </c>
      <c r="U10644" t="n">
        <v>0</v>
      </c>
      <c r="V10644" s="2" t="inlineStr"/>
    </row>
    <row r="10645" ht="15" customHeight="1">
      <c r="A10645" t="inlineStr">
        <is>
          <t>S 297-2022</t>
        </is>
      </c>
      <c r="B10645" t="inlineStr">
        <is>
          <t>samrådsanmälan</t>
        </is>
      </c>
      <c r="C10645" t="inlineStr">
        <is>
          <t>Skogsgödsling</t>
        </is>
      </c>
      <c r="D10645" s="1" t="n">
        <v>44579</v>
      </c>
      <c r="E10645" s="1" t="n">
        <v>46307</v>
      </c>
      <c r="F10645" t="inlineStr">
        <is>
          <t>VÄRMLANDS LÄN</t>
        </is>
      </c>
      <c r="G10645" t="inlineStr">
        <is>
          <t>SÄFFLE</t>
        </is>
      </c>
      <c r="H10645" t="inlineStr">
        <is>
          <t>Bergvik skog väst AB</t>
        </is>
      </c>
      <c r="I10645" t="n">
        <v>12</v>
      </c>
      <c r="J10645" t="n">
        <v>0</v>
      </c>
      <c r="K10645" t="n">
        <v>0</v>
      </c>
      <c r="L10645" t="n">
        <v>0</v>
      </c>
      <c r="M10645" t="n">
        <v>0</v>
      </c>
      <c r="N10645" t="n">
        <v>0</v>
      </c>
      <c r="O10645" t="n">
        <v>0</v>
      </c>
      <c r="P10645" t="n">
        <v>0</v>
      </c>
      <c r="Q10645" t="n">
        <v>0</v>
      </c>
      <c r="R10645" t="n">
        <v>0</v>
      </c>
      <c r="S10645" t="n">
        <v>0</v>
      </c>
      <c r="T10645" t="n">
        <v>0</v>
      </c>
      <c r="U10645" t="n">
        <v>0</v>
      </c>
      <c r="V10645" s="2" t="inlineStr"/>
    </row>
    <row r="10646" ht="15" customHeight="1">
      <c r="A10646" t="inlineStr">
        <is>
          <t>S 2879-2022</t>
        </is>
      </c>
      <c r="B10646" t="inlineStr">
        <is>
          <t>samrådsanmälan</t>
        </is>
      </c>
      <c r="C10646" t="inlineStr">
        <is>
          <t>Askåterföring</t>
        </is>
      </c>
      <c r="D10646" s="1" t="n">
        <v>44711</v>
      </c>
      <c r="E10646" s="1" t="n">
        <v>46307</v>
      </c>
      <c r="F10646" t="inlineStr">
        <is>
          <t>VÄRMLANDS LÄN</t>
        </is>
      </c>
      <c r="G10646" t="inlineStr">
        <is>
          <t>KRISTINEHAMN</t>
        </is>
      </c>
      <c r="I10646" t="n">
        <v>25.9</v>
      </c>
      <c r="J10646" t="n">
        <v>0</v>
      </c>
      <c r="K10646" t="n">
        <v>0</v>
      </c>
      <c r="L10646" t="n">
        <v>0</v>
      </c>
      <c r="M10646" t="n">
        <v>0</v>
      </c>
      <c r="N10646" t="n">
        <v>0</v>
      </c>
      <c r="O10646" t="n">
        <v>0</v>
      </c>
      <c r="P10646" t="n">
        <v>0</v>
      </c>
      <c r="Q10646" t="n">
        <v>0</v>
      </c>
      <c r="R10646" t="n">
        <v>0</v>
      </c>
      <c r="S10646" t="n">
        <v>0</v>
      </c>
      <c r="T10646" t="n">
        <v>0</v>
      </c>
      <c r="U10646" t="n">
        <v>0</v>
      </c>
      <c r="V10646" s="2" t="inlineStr"/>
    </row>
    <row r="10647" ht="15" customHeight="1">
      <c r="A10647" t="inlineStr">
        <is>
          <t>S 262-2022</t>
        </is>
      </c>
      <c r="B10647" t="inlineStr">
        <is>
          <t>samrådsanmälan</t>
        </is>
      </c>
      <c r="C10647" t="inlineStr">
        <is>
          <t>Skogsgödsling</t>
        </is>
      </c>
      <c r="D10647" s="1" t="n">
        <v>44578</v>
      </c>
      <c r="E10647" s="1" t="n">
        <v>46307</v>
      </c>
      <c r="F10647" t="inlineStr">
        <is>
          <t>VÄRMLANDS LÄN</t>
        </is>
      </c>
      <c r="G10647" t="inlineStr">
        <is>
          <t>HAGFORS</t>
        </is>
      </c>
      <c r="H10647" t="inlineStr">
        <is>
          <t>Bergvik skog väst AB</t>
        </is>
      </c>
      <c r="I10647" t="n">
        <v>78.90000000000001</v>
      </c>
      <c r="J10647" t="n">
        <v>0</v>
      </c>
      <c r="K10647" t="n">
        <v>0</v>
      </c>
      <c r="L10647" t="n">
        <v>0</v>
      </c>
      <c r="M10647" t="n">
        <v>0</v>
      </c>
      <c r="N10647" t="n">
        <v>0</v>
      </c>
      <c r="O10647" t="n">
        <v>0</v>
      </c>
      <c r="P10647" t="n">
        <v>0</v>
      </c>
      <c r="Q10647" t="n">
        <v>0</v>
      </c>
      <c r="R10647" t="n">
        <v>0</v>
      </c>
      <c r="S10647" t="n">
        <v>0</v>
      </c>
      <c r="T10647" t="n">
        <v>0</v>
      </c>
      <c r="U10647" t="n">
        <v>0</v>
      </c>
      <c r="V10647" s="2" t="inlineStr"/>
    </row>
    <row r="10648" ht="15" customHeight="1">
      <c r="A10648" t="inlineStr">
        <is>
          <t>S 928-2022</t>
        </is>
      </c>
      <c r="B10648" t="inlineStr">
        <is>
          <t>samrådsanmälan</t>
        </is>
      </c>
      <c r="C10648" t="inlineStr">
        <is>
          <t>Skogsgödsling</t>
        </is>
      </c>
      <c r="D10648" s="1" t="n">
        <v>44606</v>
      </c>
      <c r="E10648" s="1" t="n">
        <v>46307</v>
      </c>
      <c r="F10648" t="inlineStr">
        <is>
          <t>VÄRMLANDS LÄN</t>
        </is>
      </c>
      <c r="G10648" t="inlineStr">
        <is>
          <t>KARLSTAD</t>
        </is>
      </c>
      <c r="H10648" t="inlineStr">
        <is>
          <t>Naturvårdsverket</t>
        </is>
      </c>
      <c r="I10648" t="n">
        <v>41.1</v>
      </c>
      <c r="J10648" t="n">
        <v>0</v>
      </c>
      <c r="K10648" t="n">
        <v>0</v>
      </c>
      <c r="L10648" t="n">
        <v>0</v>
      </c>
      <c r="M10648" t="n">
        <v>0</v>
      </c>
      <c r="N10648" t="n">
        <v>0</v>
      </c>
      <c r="O10648" t="n">
        <v>0</v>
      </c>
      <c r="P10648" t="n">
        <v>0</v>
      </c>
      <c r="Q10648" t="n">
        <v>0</v>
      </c>
      <c r="R10648" t="n">
        <v>0</v>
      </c>
      <c r="S10648" t="n">
        <v>0</v>
      </c>
      <c r="T10648" t="n">
        <v>0</v>
      </c>
      <c r="U10648" t="n">
        <v>0</v>
      </c>
      <c r="V10648" s="2" t="inlineStr"/>
    </row>
    <row r="10649" ht="15" customHeight="1">
      <c r="A10649" t="inlineStr">
        <is>
          <t>S 887-2022</t>
        </is>
      </c>
      <c r="B10649" t="inlineStr">
        <is>
          <t>samrådsanmälan</t>
        </is>
      </c>
      <c r="C10649" t="inlineStr">
        <is>
          <t>Skogsgödsling</t>
        </is>
      </c>
      <c r="D10649" s="1" t="n">
        <v>44606</v>
      </c>
      <c r="E10649" s="1" t="n">
        <v>46307</v>
      </c>
      <c r="F10649" t="inlineStr">
        <is>
          <t>VÄRMLANDS LÄN</t>
        </is>
      </c>
      <c r="G10649" t="inlineStr">
        <is>
          <t>SUNNE</t>
        </is>
      </c>
      <c r="H10649" t="inlineStr">
        <is>
          <t>Bergvik skog väst AB</t>
        </is>
      </c>
      <c r="I10649" t="n">
        <v>88.3</v>
      </c>
      <c r="J10649" t="n">
        <v>0</v>
      </c>
      <c r="K10649" t="n">
        <v>0</v>
      </c>
      <c r="L10649" t="n">
        <v>0</v>
      </c>
      <c r="M10649" t="n">
        <v>0</v>
      </c>
      <c r="N10649" t="n">
        <v>0</v>
      </c>
      <c r="O10649" t="n">
        <v>0</v>
      </c>
      <c r="P10649" t="n">
        <v>0</v>
      </c>
      <c r="Q10649" t="n">
        <v>0</v>
      </c>
      <c r="R10649" t="n">
        <v>0</v>
      </c>
      <c r="S10649" t="n">
        <v>0</v>
      </c>
      <c r="T10649" t="n">
        <v>0</v>
      </c>
      <c r="U10649" t="n">
        <v>0</v>
      </c>
      <c r="V10649" s="2" t="inlineStr"/>
    </row>
    <row r="10650" ht="15" customHeight="1">
      <c r="A10650" t="inlineStr">
        <is>
          <t>S 915-2022</t>
        </is>
      </c>
      <c r="B10650" t="inlineStr">
        <is>
          <t>samrådsanmälan</t>
        </is>
      </c>
      <c r="C10650" t="inlineStr">
        <is>
          <t>Skogsgödsling</t>
        </is>
      </c>
      <c r="D10650" s="1" t="n">
        <v>44606</v>
      </c>
      <c r="E10650" s="1" t="n">
        <v>46307</v>
      </c>
      <c r="F10650" t="inlineStr">
        <is>
          <t>VÄRMLANDS LÄN</t>
        </is>
      </c>
      <c r="G10650" t="inlineStr">
        <is>
          <t>FORSHAGA</t>
        </is>
      </c>
      <c r="H10650" t="inlineStr">
        <is>
          <t>Bergvik skog väst AB</t>
        </is>
      </c>
      <c r="I10650" t="n">
        <v>18.1</v>
      </c>
      <c r="J10650" t="n">
        <v>0</v>
      </c>
      <c r="K10650" t="n">
        <v>0</v>
      </c>
      <c r="L10650" t="n">
        <v>0</v>
      </c>
      <c r="M10650" t="n">
        <v>0</v>
      </c>
      <c r="N10650" t="n">
        <v>0</v>
      </c>
      <c r="O10650" t="n">
        <v>0</v>
      </c>
      <c r="P10650" t="n">
        <v>0</v>
      </c>
      <c r="Q10650" t="n">
        <v>0</v>
      </c>
      <c r="R10650" t="n">
        <v>0</v>
      </c>
      <c r="S10650" t="n">
        <v>0</v>
      </c>
      <c r="T10650" t="n">
        <v>0</v>
      </c>
      <c r="U10650" t="n">
        <v>0</v>
      </c>
      <c r="V10650" s="2" t="inlineStr"/>
    </row>
    <row r="10651" ht="15" customHeight="1">
      <c r="A10651" t="inlineStr">
        <is>
          <t>S 907-2022</t>
        </is>
      </c>
      <c r="B10651" t="inlineStr">
        <is>
          <t>samrådsanmälan</t>
        </is>
      </c>
      <c r="C10651" t="inlineStr">
        <is>
          <t>Skogsgödsling</t>
        </is>
      </c>
      <c r="D10651" s="1" t="n">
        <v>44606</v>
      </c>
      <c r="E10651" s="1" t="n">
        <v>46307</v>
      </c>
      <c r="F10651" t="inlineStr">
        <is>
          <t>VÄRMLANDS LÄN</t>
        </is>
      </c>
      <c r="G10651" t="inlineStr">
        <is>
          <t>HAGFORS</t>
        </is>
      </c>
      <c r="H10651" t="inlineStr">
        <is>
          <t>Bergvik skog väst AB</t>
        </is>
      </c>
      <c r="I10651" t="n">
        <v>43.5</v>
      </c>
      <c r="J10651" t="n">
        <v>0</v>
      </c>
      <c r="K10651" t="n">
        <v>0</v>
      </c>
      <c r="L10651" t="n">
        <v>0</v>
      </c>
      <c r="M10651" t="n">
        <v>0</v>
      </c>
      <c r="N10651" t="n">
        <v>0</v>
      </c>
      <c r="O10651" t="n">
        <v>0</v>
      </c>
      <c r="P10651" t="n">
        <v>0</v>
      </c>
      <c r="Q10651" t="n">
        <v>0</v>
      </c>
      <c r="R10651" t="n">
        <v>0</v>
      </c>
      <c r="S10651" t="n">
        <v>0</v>
      </c>
      <c r="T10651" t="n">
        <v>0</v>
      </c>
      <c r="U10651" t="n">
        <v>0</v>
      </c>
      <c r="V10651" s="2" t="inlineStr"/>
    </row>
    <row r="10652" ht="15" customHeight="1">
      <c r="A10652" t="inlineStr">
        <is>
          <t>S 318-2022</t>
        </is>
      </c>
      <c r="B10652" t="inlineStr">
        <is>
          <t>samrådsanmälan</t>
        </is>
      </c>
      <c r="C10652" t="inlineStr">
        <is>
          <t>Skogsbilväg</t>
        </is>
      </c>
      <c r="D10652" s="1" t="n">
        <v>44580</v>
      </c>
      <c r="E10652" s="1" t="n">
        <v>46307</v>
      </c>
      <c r="F10652" t="inlineStr">
        <is>
          <t>VÄRMLANDS LÄN</t>
        </is>
      </c>
      <c r="G10652" t="inlineStr">
        <is>
          <t>TORSBY</t>
        </is>
      </c>
      <c r="I10652" t="n">
        <v>1.5</v>
      </c>
      <c r="J10652" t="n">
        <v>0</v>
      </c>
      <c r="K10652" t="n">
        <v>0</v>
      </c>
      <c r="L10652" t="n">
        <v>0</v>
      </c>
      <c r="M10652" t="n">
        <v>0</v>
      </c>
      <c r="N10652" t="n">
        <v>0</v>
      </c>
      <c r="O10652" t="n">
        <v>0</v>
      </c>
      <c r="P10652" t="n">
        <v>0</v>
      </c>
      <c r="Q10652" t="n">
        <v>0</v>
      </c>
      <c r="R10652" t="n">
        <v>0</v>
      </c>
      <c r="S10652" t="n">
        <v>0</v>
      </c>
      <c r="T10652" t="n">
        <v>0</v>
      </c>
      <c r="U10652" t="n">
        <v>0</v>
      </c>
      <c r="V10652" s="2" t="inlineStr"/>
    </row>
    <row r="10653" ht="15" customHeight="1">
      <c r="A10653" t="inlineStr">
        <is>
          <t>S 913-2022</t>
        </is>
      </c>
      <c r="B10653" t="inlineStr">
        <is>
          <t>samrådsanmälan</t>
        </is>
      </c>
      <c r="C10653" t="inlineStr">
        <is>
          <t>Skogsgödsling</t>
        </is>
      </c>
      <c r="D10653" s="1" t="n">
        <v>44606</v>
      </c>
      <c r="E10653" s="1" t="n">
        <v>46307</v>
      </c>
      <c r="F10653" t="inlineStr">
        <is>
          <t>VÄRMLANDS LÄN</t>
        </is>
      </c>
      <c r="G10653" t="inlineStr">
        <is>
          <t>HAGFORS</t>
        </is>
      </c>
      <c r="H10653" t="inlineStr">
        <is>
          <t>Bergvik skog väst AB</t>
        </is>
      </c>
      <c r="I10653" t="n">
        <v>22.4</v>
      </c>
      <c r="J10653" t="n">
        <v>0</v>
      </c>
      <c r="K10653" t="n">
        <v>0</v>
      </c>
      <c r="L10653" t="n">
        <v>0</v>
      </c>
      <c r="M10653" t="n">
        <v>0</v>
      </c>
      <c r="N10653" t="n">
        <v>0</v>
      </c>
      <c r="O10653" t="n">
        <v>0</v>
      </c>
      <c r="P10653" t="n">
        <v>0</v>
      </c>
      <c r="Q10653" t="n">
        <v>0</v>
      </c>
      <c r="R10653" t="n">
        <v>0</v>
      </c>
      <c r="S10653" t="n">
        <v>0</v>
      </c>
      <c r="T10653" t="n">
        <v>0</v>
      </c>
      <c r="U10653" t="n">
        <v>0</v>
      </c>
      <c r="V10653" s="2" t="inlineStr"/>
    </row>
    <row r="10654" ht="15" customHeight="1">
      <c r="A10654" t="inlineStr">
        <is>
          <t>S 3510-2022</t>
        </is>
      </c>
      <c r="B10654" t="inlineStr">
        <is>
          <t>samrådsanmälan</t>
        </is>
      </c>
      <c r="C10654" t="inlineStr">
        <is>
          <t>Askåterföring</t>
        </is>
      </c>
      <c r="D10654" s="1" t="n">
        <v>44733</v>
      </c>
      <c r="E10654" s="1" t="n">
        <v>46307</v>
      </c>
      <c r="F10654" t="inlineStr">
        <is>
          <t>VÄRMLANDS LÄN</t>
        </is>
      </c>
      <c r="G10654" t="inlineStr">
        <is>
          <t>KARLSTAD</t>
        </is>
      </c>
      <c r="I10654" t="n">
        <v>27.7</v>
      </c>
      <c r="J10654" t="n">
        <v>0</v>
      </c>
      <c r="K10654" t="n">
        <v>0</v>
      </c>
      <c r="L10654" t="n">
        <v>0</v>
      </c>
      <c r="M10654" t="n">
        <v>0</v>
      </c>
      <c r="N10654" t="n">
        <v>0</v>
      </c>
      <c r="O10654" t="n">
        <v>0</v>
      </c>
      <c r="P10654" t="n">
        <v>0</v>
      </c>
      <c r="Q10654" t="n">
        <v>0</v>
      </c>
      <c r="R10654" t="n">
        <v>0</v>
      </c>
      <c r="S10654" t="n">
        <v>0</v>
      </c>
      <c r="T10654" t="n">
        <v>0</v>
      </c>
      <c r="U10654" t="n">
        <v>0</v>
      </c>
      <c r="V10654" s="2" t="inlineStr"/>
    </row>
    <row r="10655" ht="15" customHeight="1">
      <c r="A10655" t="inlineStr">
        <is>
          <t>S 2393-2022</t>
        </is>
      </c>
      <c r="B10655" t="inlineStr">
        <is>
          <t>samrådsanmälan</t>
        </is>
      </c>
      <c r="C10655" t="inlineStr">
        <is>
          <t>Askåterföring</t>
        </is>
      </c>
      <c r="D10655" s="1" t="n">
        <v>44690</v>
      </c>
      <c r="E10655" s="1" t="n">
        <v>46307</v>
      </c>
      <c r="F10655" t="inlineStr">
        <is>
          <t>VÄRMLANDS LÄN</t>
        </is>
      </c>
      <c r="G10655" t="inlineStr">
        <is>
          <t>KRISTINEHAMN</t>
        </is>
      </c>
      <c r="I10655" t="n">
        <v>51.7</v>
      </c>
      <c r="J10655" t="n">
        <v>0</v>
      </c>
      <c r="K10655" t="n">
        <v>0</v>
      </c>
      <c r="L10655" t="n">
        <v>0</v>
      </c>
      <c r="M10655" t="n">
        <v>0</v>
      </c>
      <c r="N10655" t="n">
        <v>0</v>
      </c>
      <c r="O10655" t="n">
        <v>0</v>
      </c>
      <c r="P10655" t="n">
        <v>0</v>
      </c>
      <c r="Q10655" t="n">
        <v>0</v>
      </c>
      <c r="R10655" t="n">
        <v>0</v>
      </c>
      <c r="S10655" t="n">
        <v>0</v>
      </c>
      <c r="T10655" t="n">
        <v>0</v>
      </c>
      <c r="U10655" t="n">
        <v>0</v>
      </c>
      <c r="V10655" s="2" t="inlineStr"/>
    </row>
    <row r="10656" ht="15" customHeight="1">
      <c r="A10656" t="inlineStr">
        <is>
          <t>S 932-2022</t>
        </is>
      </c>
      <c r="B10656" t="inlineStr">
        <is>
          <t>samrådsanmälan</t>
        </is>
      </c>
      <c r="C10656" t="inlineStr">
        <is>
          <t>Skogsgödsling</t>
        </is>
      </c>
      <c r="D10656" s="1" t="n">
        <v>44606</v>
      </c>
      <c r="E10656" s="1" t="n">
        <v>46307</v>
      </c>
      <c r="F10656" t="inlineStr">
        <is>
          <t>VÄRMLANDS LÄN</t>
        </is>
      </c>
      <c r="G10656" t="inlineStr">
        <is>
          <t>MUNKFORS</t>
        </is>
      </c>
      <c r="H10656" t="inlineStr">
        <is>
          <t>Bergvik skog väst AB</t>
        </is>
      </c>
      <c r="I10656" t="n">
        <v>52.1</v>
      </c>
      <c r="J10656" t="n">
        <v>0</v>
      </c>
      <c r="K10656" t="n">
        <v>0</v>
      </c>
      <c r="L10656" t="n">
        <v>0</v>
      </c>
      <c r="M10656" t="n">
        <v>0</v>
      </c>
      <c r="N10656" t="n">
        <v>0</v>
      </c>
      <c r="O10656" t="n">
        <v>0</v>
      </c>
      <c r="P10656" t="n">
        <v>0</v>
      </c>
      <c r="Q10656" t="n">
        <v>0</v>
      </c>
      <c r="R10656" t="n">
        <v>0</v>
      </c>
      <c r="S10656" t="n">
        <v>0</v>
      </c>
      <c r="T10656" t="n">
        <v>0</v>
      </c>
      <c r="U10656" t="n">
        <v>0</v>
      </c>
      <c r="V10656" s="2" t="inlineStr"/>
    </row>
    <row r="10657" ht="15" customHeight="1">
      <c r="A10657" t="inlineStr">
        <is>
          <t>S 291-2022</t>
        </is>
      </c>
      <c r="B10657" t="inlineStr">
        <is>
          <t>samrådsanmälan</t>
        </is>
      </c>
      <c r="C10657" t="inlineStr">
        <is>
          <t>Skogsgödsling</t>
        </is>
      </c>
      <c r="D10657" s="1" t="n">
        <v>44579</v>
      </c>
      <c r="E10657" s="1" t="n">
        <v>46307</v>
      </c>
      <c r="F10657" t="inlineStr">
        <is>
          <t>VÄRMLANDS LÄN</t>
        </is>
      </c>
      <c r="G10657" t="inlineStr">
        <is>
          <t>ARVIKA</t>
        </is>
      </c>
      <c r="H10657" t="inlineStr">
        <is>
          <t>Bergvik skog väst AB</t>
        </is>
      </c>
      <c r="I10657" t="n">
        <v>4.4</v>
      </c>
      <c r="J10657" t="n">
        <v>0</v>
      </c>
      <c r="K10657" t="n">
        <v>0</v>
      </c>
      <c r="L10657" t="n">
        <v>0</v>
      </c>
      <c r="M10657" t="n">
        <v>0</v>
      </c>
      <c r="N10657" t="n">
        <v>0</v>
      </c>
      <c r="O10657" t="n">
        <v>0</v>
      </c>
      <c r="P10657" t="n">
        <v>0</v>
      </c>
      <c r="Q10657" t="n">
        <v>0</v>
      </c>
      <c r="R10657" t="n">
        <v>0</v>
      </c>
      <c r="S10657" t="n">
        <v>0</v>
      </c>
      <c r="T10657" t="n">
        <v>0</v>
      </c>
      <c r="U10657" t="n">
        <v>0</v>
      </c>
      <c r="V10657" s="2" t="inlineStr"/>
    </row>
    <row r="10658" ht="15" customHeight="1">
      <c r="A10658" t="inlineStr">
        <is>
          <t>S 898-2022</t>
        </is>
      </c>
      <c r="B10658" t="inlineStr">
        <is>
          <t>samrådsanmälan</t>
        </is>
      </c>
      <c r="C10658" t="inlineStr">
        <is>
          <t>Skogsgödsling</t>
        </is>
      </c>
      <c r="D10658" s="1" t="n">
        <v>44606</v>
      </c>
      <c r="E10658" s="1" t="n">
        <v>46307</v>
      </c>
      <c r="F10658" t="inlineStr">
        <is>
          <t>VÄRMLANDS LÄN</t>
        </is>
      </c>
      <c r="G10658" t="inlineStr">
        <is>
          <t>HAGFORS</t>
        </is>
      </c>
      <c r="H10658" t="inlineStr">
        <is>
          <t>Bergvik skog väst AB</t>
        </is>
      </c>
      <c r="I10658" t="n">
        <v>24.9</v>
      </c>
      <c r="J10658" t="n">
        <v>0</v>
      </c>
      <c r="K10658" t="n">
        <v>0</v>
      </c>
      <c r="L10658" t="n">
        <v>0</v>
      </c>
      <c r="M10658" t="n">
        <v>0</v>
      </c>
      <c r="N10658" t="n">
        <v>0</v>
      </c>
      <c r="O10658" t="n">
        <v>0</v>
      </c>
      <c r="P10658" t="n">
        <v>0</v>
      </c>
      <c r="Q10658" t="n">
        <v>0</v>
      </c>
      <c r="R10658" t="n">
        <v>0</v>
      </c>
      <c r="S10658" t="n">
        <v>0</v>
      </c>
      <c r="T10658" t="n">
        <v>0</v>
      </c>
      <c r="U10658" t="n">
        <v>0</v>
      </c>
      <c r="V10658" s="2" t="inlineStr"/>
    </row>
    <row r="10659" ht="15" customHeight="1">
      <c r="A10659" t="inlineStr">
        <is>
          <t>S 298-2022</t>
        </is>
      </c>
      <c r="B10659" t="inlineStr">
        <is>
          <t>samrådsanmälan</t>
        </is>
      </c>
      <c r="C10659" t="inlineStr">
        <is>
          <t>Skogsgödsling</t>
        </is>
      </c>
      <c r="D10659" s="1" t="n">
        <v>44579</v>
      </c>
      <c r="E10659" s="1" t="n">
        <v>46307</v>
      </c>
      <c r="F10659" t="inlineStr">
        <is>
          <t>VÄRMLANDS LÄN</t>
        </is>
      </c>
      <c r="G10659" t="inlineStr">
        <is>
          <t>ARVIKA</t>
        </is>
      </c>
      <c r="H10659" t="inlineStr">
        <is>
          <t>Bergvik skog väst AB</t>
        </is>
      </c>
      <c r="I10659" t="n">
        <v>7</v>
      </c>
      <c r="J10659" t="n">
        <v>0</v>
      </c>
      <c r="K10659" t="n">
        <v>0</v>
      </c>
      <c r="L10659" t="n">
        <v>0</v>
      </c>
      <c r="M10659" t="n">
        <v>0</v>
      </c>
      <c r="N10659" t="n">
        <v>0</v>
      </c>
      <c r="O10659" t="n">
        <v>0</v>
      </c>
      <c r="P10659" t="n">
        <v>0</v>
      </c>
      <c r="Q10659" t="n">
        <v>0</v>
      </c>
      <c r="R10659" t="n">
        <v>0</v>
      </c>
      <c r="S10659" t="n">
        <v>0</v>
      </c>
      <c r="T10659" t="n">
        <v>0</v>
      </c>
      <c r="U10659" t="n">
        <v>0</v>
      </c>
      <c r="V10659" s="2" t="inlineStr"/>
    </row>
    <row r="10660" ht="15" customHeight="1">
      <c r="A10660" t="inlineStr">
        <is>
          <t>S 686-2022</t>
        </is>
      </c>
      <c r="B10660" t="inlineStr">
        <is>
          <t>samrådsanmälan</t>
        </is>
      </c>
      <c r="C10660" t="inlineStr">
        <is>
          <t>Skogsbilväg</t>
        </is>
      </c>
      <c r="D10660" s="1" t="n">
        <v>44596</v>
      </c>
      <c r="E10660" s="1" t="n">
        <v>46307</v>
      </c>
      <c r="F10660" t="inlineStr">
        <is>
          <t>VÄRMLANDS LÄN</t>
        </is>
      </c>
      <c r="G10660" t="inlineStr">
        <is>
          <t>KARLSTAD</t>
        </is>
      </c>
      <c r="I10660" t="n">
        <v>0.9</v>
      </c>
      <c r="J10660" t="n">
        <v>0</v>
      </c>
      <c r="K10660" t="n">
        <v>0</v>
      </c>
      <c r="L10660" t="n">
        <v>0</v>
      </c>
      <c r="M10660" t="n">
        <v>0</v>
      </c>
      <c r="N10660" t="n">
        <v>0</v>
      </c>
      <c r="O10660" t="n">
        <v>0</v>
      </c>
      <c r="P10660" t="n">
        <v>0</v>
      </c>
      <c r="Q10660" t="n">
        <v>0</v>
      </c>
      <c r="R10660" t="n">
        <v>0</v>
      </c>
      <c r="S10660" t="n">
        <v>0</v>
      </c>
      <c r="T10660" t="n">
        <v>0</v>
      </c>
      <c r="U10660" t="n">
        <v>0</v>
      </c>
      <c r="V10660" s="2" t="inlineStr"/>
    </row>
    <row r="10661" ht="15" customHeight="1">
      <c r="A10661" t="inlineStr">
        <is>
          <t>S 287-2022</t>
        </is>
      </c>
      <c r="B10661" t="inlineStr">
        <is>
          <t>samrådsanmälan</t>
        </is>
      </c>
      <c r="C10661" t="inlineStr">
        <is>
          <t>Skogsgödsling</t>
        </is>
      </c>
      <c r="D10661" s="1" t="n">
        <v>44579</v>
      </c>
      <c r="E10661" s="1" t="n">
        <v>46307</v>
      </c>
      <c r="F10661" t="inlineStr">
        <is>
          <t>VÄRMLANDS LÄN</t>
        </is>
      </c>
      <c r="G10661" t="inlineStr">
        <is>
          <t>SÄFFLE</t>
        </is>
      </c>
      <c r="H10661" t="inlineStr">
        <is>
          <t>Bergvik skog väst AB</t>
        </is>
      </c>
      <c r="I10661" t="n">
        <v>4.7</v>
      </c>
      <c r="J10661" t="n">
        <v>0</v>
      </c>
      <c r="K10661" t="n">
        <v>0</v>
      </c>
      <c r="L10661" t="n">
        <v>0</v>
      </c>
      <c r="M10661" t="n">
        <v>0</v>
      </c>
      <c r="N10661" t="n">
        <v>0</v>
      </c>
      <c r="O10661" t="n">
        <v>0</v>
      </c>
      <c r="P10661" t="n">
        <v>0</v>
      </c>
      <c r="Q10661" t="n">
        <v>0</v>
      </c>
      <c r="R10661" t="n">
        <v>0</v>
      </c>
      <c r="S10661" t="n">
        <v>0</v>
      </c>
      <c r="T10661" t="n">
        <v>0</v>
      </c>
      <c r="U10661" t="n">
        <v>0</v>
      </c>
      <c r="V10661" s="2" t="inlineStr"/>
    </row>
    <row r="10662" ht="15" customHeight="1">
      <c r="A10662" t="inlineStr">
        <is>
          <t>S 293-2022</t>
        </is>
      </c>
      <c r="B10662" t="inlineStr">
        <is>
          <t>samrådsanmälan</t>
        </is>
      </c>
      <c r="C10662" t="inlineStr">
        <is>
          <t>Skogsgödsling</t>
        </is>
      </c>
      <c r="D10662" s="1" t="n">
        <v>44579</v>
      </c>
      <c r="E10662" s="1" t="n">
        <v>46307</v>
      </c>
      <c r="F10662" t="inlineStr">
        <is>
          <t>VÄRMLANDS LÄN</t>
        </is>
      </c>
      <c r="G10662" t="inlineStr">
        <is>
          <t>ARVIKA</t>
        </is>
      </c>
      <c r="H10662" t="inlineStr">
        <is>
          <t>Bergvik skog väst AB</t>
        </is>
      </c>
      <c r="I10662" t="n">
        <v>6.1</v>
      </c>
      <c r="J10662" t="n">
        <v>0</v>
      </c>
      <c r="K10662" t="n">
        <v>0</v>
      </c>
      <c r="L10662" t="n">
        <v>0</v>
      </c>
      <c r="M10662" t="n">
        <v>0</v>
      </c>
      <c r="N10662" t="n">
        <v>0</v>
      </c>
      <c r="O10662" t="n">
        <v>0</v>
      </c>
      <c r="P10662" t="n">
        <v>0</v>
      </c>
      <c r="Q10662" t="n">
        <v>0</v>
      </c>
      <c r="R10662" t="n">
        <v>0</v>
      </c>
      <c r="S10662" t="n">
        <v>0</v>
      </c>
      <c r="T10662" t="n">
        <v>0</v>
      </c>
      <c r="U10662" t="n">
        <v>0</v>
      </c>
      <c r="V10662" s="2" t="inlineStr"/>
    </row>
    <row r="10663" ht="15" customHeight="1">
      <c r="A10663" t="inlineStr">
        <is>
          <t>S 900-2022</t>
        </is>
      </c>
      <c r="B10663" t="inlineStr">
        <is>
          <t>samrådsanmälan</t>
        </is>
      </c>
      <c r="C10663" t="inlineStr">
        <is>
          <t>Skogsgödsling</t>
        </is>
      </c>
      <c r="D10663" s="1" t="n">
        <v>44606</v>
      </c>
      <c r="E10663" s="1" t="n">
        <v>46307</v>
      </c>
      <c r="F10663" t="inlineStr">
        <is>
          <t>VÄRMLANDS LÄN</t>
        </is>
      </c>
      <c r="G10663" t="inlineStr">
        <is>
          <t>HAGFORS</t>
        </is>
      </c>
      <c r="H10663" t="inlineStr">
        <is>
          <t>Bergvik skog väst AB</t>
        </is>
      </c>
      <c r="I10663" t="n">
        <v>27.3</v>
      </c>
      <c r="J10663" t="n">
        <v>0</v>
      </c>
      <c r="K10663" t="n">
        <v>0</v>
      </c>
      <c r="L10663" t="n">
        <v>0</v>
      </c>
      <c r="M10663" t="n">
        <v>0</v>
      </c>
      <c r="N10663" t="n">
        <v>0</v>
      </c>
      <c r="O10663" t="n">
        <v>0</v>
      </c>
      <c r="P10663" t="n">
        <v>0</v>
      </c>
      <c r="Q10663" t="n">
        <v>0</v>
      </c>
      <c r="R10663" t="n">
        <v>0</v>
      </c>
      <c r="S10663" t="n">
        <v>0</v>
      </c>
      <c r="T10663" t="n">
        <v>0</v>
      </c>
      <c r="U10663" t="n">
        <v>0</v>
      </c>
      <c r="V10663" s="2" t="inlineStr"/>
    </row>
    <row r="10664" ht="15" customHeight="1">
      <c r="A10664" t="inlineStr">
        <is>
          <t>S 914-2022</t>
        </is>
      </c>
      <c r="B10664" t="inlineStr">
        <is>
          <t>samrådsanmälan</t>
        </is>
      </c>
      <c r="C10664" t="inlineStr">
        <is>
          <t>Skogsgödsling</t>
        </is>
      </c>
      <c r="D10664" s="1" t="n">
        <v>44606</v>
      </c>
      <c r="E10664" s="1" t="n">
        <v>46307</v>
      </c>
      <c r="F10664" t="inlineStr">
        <is>
          <t>VÄRMLANDS LÄN</t>
        </is>
      </c>
      <c r="G10664" t="inlineStr">
        <is>
          <t>HAGFORS</t>
        </is>
      </c>
      <c r="H10664" t="inlineStr">
        <is>
          <t>Bergvik skog väst AB</t>
        </is>
      </c>
      <c r="I10664" t="n">
        <v>19.3</v>
      </c>
      <c r="J10664" t="n">
        <v>0</v>
      </c>
      <c r="K10664" t="n">
        <v>0</v>
      </c>
      <c r="L10664" t="n">
        <v>0</v>
      </c>
      <c r="M10664" t="n">
        <v>0</v>
      </c>
      <c r="N10664" t="n">
        <v>0</v>
      </c>
      <c r="O10664" t="n">
        <v>0</v>
      </c>
      <c r="P10664" t="n">
        <v>0</v>
      </c>
      <c r="Q10664" t="n">
        <v>0</v>
      </c>
      <c r="R10664" t="n">
        <v>0</v>
      </c>
      <c r="S10664" t="n">
        <v>0</v>
      </c>
      <c r="T10664" t="n">
        <v>0</v>
      </c>
      <c r="U10664" t="n">
        <v>0</v>
      </c>
      <c r="V10664" s="2" t="inlineStr"/>
    </row>
    <row r="10665" ht="15" customHeight="1">
      <c r="A10665" t="inlineStr">
        <is>
          <t>S 288-2022</t>
        </is>
      </c>
      <c r="B10665" t="inlineStr">
        <is>
          <t>samrådsanmälan</t>
        </is>
      </c>
      <c r="C10665" t="inlineStr">
        <is>
          <t>Skogsgödsling</t>
        </is>
      </c>
      <c r="D10665" s="1" t="n">
        <v>44579</v>
      </c>
      <c r="E10665" s="1" t="n">
        <v>46307</v>
      </c>
      <c r="F10665" t="inlineStr">
        <is>
          <t>VÄRMLANDS LÄN</t>
        </is>
      </c>
      <c r="G10665" t="inlineStr">
        <is>
          <t>ÅRJÄNG</t>
        </is>
      </c>
      <c r="H10665" t="inlineStr">
        <is>
          <t>Bergvik skog väst AB</t>
        </is>
      </c>
      <c r="I10665" t="n">
        <v>52.8</v>
      </c>
      <c r="J10665" t="n">
        <v>0</v>
      </c>
      <c r="K10665" t="n">
        <v>0</v>
      </c>
      <c r="L10665" t="n">
        <v>0</v>
      </c>
      <c r="M10665" t="n">
        <v>0</v>
      </c>
      <c r="N10665" t="n">
        <v>0</v>
      </c>
      <c r="O10665" t="n">
        <v>0</v>
      </c>
      <c r="P10665" t="n">
        <v>0</v>
      </c>
      <c r="Q10665" t="n">
        <v>0</v>
      </c>
      <c r="R10665" t="n">
        <v>0</v>
      </c>
      <c r="S10665" t="n">
        <v>0</v>
      </c>
      <c r="T10665" t="n">
        <v>0</v>
      </c>
      <c r="U10665" t="n">
        <v>0</v>
      </c>
      <c r="V10665" s="2" t="inlineStr"/>
    </row>
    <row r="10666" ht="15" customHeight="1">
      <c r="A10666" t="inlineStr">
        <is>
          <t>S 870-2022</t>
        </is>
      </c>
      <c r="B10666" t="inlineStr">
        <is>
          <t>samrådsanmälan</t>
        </is>
      </c>
      <c r="C10666" t="inlineStr">
        <is>
          <t>Skogsgödsling</t>
        </is>
      </c>
      <c r="D10666" s="1" t="n">
        <v>44606</v>
      </c>
      <c r="E10666" s="1" t="n">
        <v>46307</v>
      </c>
      <c r="F10666" t="inlineStr">
        <is>
          <t>VÄRMLANDS LÄN</t>
        </is>
      </c>
      <c r="G10666" t="inlineStr">
        <is>
          <t>FORSHAGA</t>
        </is>
      </c>
      <c r="H10666" t="inlineStr">
        <is>
          <t>Bergvik skog väst AB</t>
        </is>
      </c>
      <c r="I10666" t="n">
        <v>15.1</v>
      </c>
      <c r="J10666" t="n">
        <v>0</v>
      </c>
      <c r="K10666" t="n">
        <v>0</v>
      </c>
      <c r="L10666" t="n">
        <v>0</v>
      </c>
      <c r="M10666" t="n">
        <v>0</v>
      </c>
      <c r="N10666" t="n">
        <v>0</v>
      </c>
      <c r="O10666" t="n">
        <v>0</v>
      </c>
      <c r="P10666" t="n">
        <v>0</v>
      </c>
      <c r="Q10666" t="n">
        <v>0</v>
      </c>
      <c r="R10666" t="n">
        <v>0</v>
      </c>
      <c r="S10666" t="n">
        <v>0</v>
      </c>
      <c r="T10666" t="n">
        <v>0</v>
      </c>
      <c r="U10666" t="n">
        <v>0</v>
      </c>
      <c r="V10666" s="2" t="inlineStr"/>
    </row>
    <row r="10667" ht="15" customHeight="1">
      <c r="A10667" t="inlineStr">
        <is>
          <t>S 933-2022</t>
        </is>
      </c>
      <c r="B10667" t="inlineStr">
        <is>
          <t>samrådsanmälan</t>
        </is>
      </c>
      <c r="C10667" t="inlineStr">
        <is>
          <t>Skogsgödsling</t>
        </is>
      </c>
      <c r="D10667" s="1" t="n">
        <v>44606</v>
      </c>
      <c r="E10667" s="1" t="n">
        <v>46307</v>
      </c>
      <c r="F10667" t="inlineStr">
        <is>
          <t>VÄRMLANDS LÄN</t>
        </is>
      </c>
      <c r="G10667" t="inlineStr">
        <is>
          <t>FORSHAGA</t>
        </is>
      </c>
      <c r="H10667" t="inlineStr">
        <is>
          <t>Bergvik skog väst AB</t>
        </is>
      </c>
      <c r="I10667" t="n">
        <v>40.7</v>
      </c>
      <c r="J10667" t="n">
        <v>0</v>
      </c>
      <c r="K10667" t="n">
        <v>0</v>
      </c>
      <c r="L10667" t="n">
        <v>0</v>
      </c>
      <c r="M10667" t="n">
        <v>0</v>
      </c>
      <c r="N10667" t="n">
        <v>0</v>
      </c>
      <c r="O10667" t="n">
        <v>0</v>
      </c>
      <c r="P10667" t="n">
        <v>0</v>
      </c>
      <c r="Q10667" t="n">
        <v>0</v>
      </c>
      <c r="R10667" t="n">
        <v>0</v>
      </c>
      <c r="S10667" t="n">
        <v>0</v>
      </c>
      <c r="T10667" t="n">
        <v>0</v>
      </c>
      <c r="U10667" t="n">
        <v>0</v>
      </c>
      <c r="V10667" s="2" t="inlineStr"/>
    </row>
    <row r="10668" ht="15" customHeight="1">
      <c r="A10668" t="inlineStr">
        <is>
          <t>S 317-2022</t>
        </is>
      </c>
      <c r="B10668" t="inlineStr">
        <is>
          <t>samrådsanmälan</t>
        </is>
      </c>
      <c r="C10668" t="inlineStr">
        <is>
          <t>Skogsgödsling</t>
        </is>
      </c>
      <c r="D10668" s="1" t="n">
        <v>44579</v>
      </c>
      <c r="E10668" s="1" t="n">
        <v>46307</v>
      </c>
      <c r="F10668" t="inlineStr">
        <is>
          <t>VÄRMLANDS LÄN</t>
        </is>
      </c>
      <c r="G10668" t="inlineStr">
        <is>
          <t>ARVIKA</t>
        </is>
      </c>
      <c r="H10668" t="inlineStr">
        <is>
          <t>Bergvik skog väst AB</t>
        </is>
      </c>
      <c r="I10668" t="n">
        <v>25.8</v>
      </c>
      <c r="J10668" t="n">
        <v>0</v>
      </c>
      <c r="K10668" t="n">
        <v>0</v>
      </c>
      <c r="L10668" t="n">
        <v>0</v>
      </c>
      <c r="M10668" t="n">
        <v>0</v>
      </c>
      <c r="N10668" t="n">
        <v>0</v>
      </c>
      <c r="O10668" t="n">
        <v>0</v>
      </c>
      <c r="P10668" t="n">
        <v>0</v>
      </c>
      <c r="Q10668" t="n">
        <v>0</v>
      </c>
      <c r="R10668" t="n">
        <v>0</v>
      </c>
      <c r="S10668" t="n">
        <v>0</v>
      </c>
      <c r="T10668" t="n">
        <v>0</v>
      </c>
      <c r="U10668" t="n">
        <v>0</v>
      </c>
      <c r="V10668" s="2" t="inlineStr"/>
    </row>
    <row r="10669" ht="15" customHeight="1">
      <c r="A10669" t="inlineStr">
        <is>
          <t>S 296-2022</t>
        </is>
      </c>
      <c r="B10669" t="inlineStr">
        <is>
          <t>samrådsanmälan</t>
        </is>
      </c>
      <c r="C10669" t="inlineStr">
        <is>
          <t>Skogsgödsling</t>
        </is>
      </c>
      <c r="D10669" s="1" t="n">
        <v>44579</v>
      </c>
      <c r="E10669" s="1" t="n">
        <v>46307</v>
      </c>
      <c r="F10669" t="inlineStr">
        <is>
          <t>VÄRMLANDS LÄN</t>
        </is>
      </c>
      <c r="G10669" t="inlineStr">
        <is>
          <t>SÄFFLE</t>
        </is>
      </c>
      <c r="H10669" t="inlineStr">
        <is>
          <t>Bergvik skog väst AB</t>
        </is>
      </c>
      <c r="I10669" t="n">
        <v>36.8</v>
      </c>
      <c r="J10669" t="n">
        <v>0</v>
      </c>
      <c r="K10669" t="n">
        <v>0</v>
      </c>
      <c r="L10669" t="n">
        <v>0</v>
      </c>
      <c r="M10669" t="n">
        <v>0</v>
      </c>
      <c r="N10669" t="n">
        <v>0</v>
      </c>
      <c r="O10669" t="n">
        <v>0</v>
      </c>
      <c r="P10669" t="n">
        <v>0</v>
      </c>
      <c r="Q10669" t="n">
        <v>0</v>
      </c>
      <c r="R10669" t="n">
        <v>0</v>
      </c>
      <c r="S10669" t="n">
        <v>0</v>
      </c>
      <c r="T10669" t="n">
        <v>0</v>
      </c>
      <c r="U10669" t="n">
        <v>0</v>
      </c>
      <c r="V10669" s="2" t="inlineStr"/>
    </row>
    <row r="10670" ht="15" customHeight="1">
      <c r="A10670" t="inlineStr">
        <is>
          <t>S 3546-2022</t>
        </is>
      </c>
      <c r="B10670" t="inlineStr">
        <is>
          <t>samrådsanmälan</t>
        </is>
      </c>
      <c r="C10670" t="inlineStr">
        <is>
          <t>Åtgärd i nyckelbiotop</t>
        </is>
      </c>
      <c r="D10670" s="1" t="n">
        <v>44735</v>
      </c>
      <c r="E10670" s="1" t="n">
        <v>46307</v>
      </c>
      <c r="F10670" t="inlineStr">
        <is>
          <t>VÄRMLANDS LÄN</t>
        </is>
      </c>
      <c r="G10670" t="inlineStr">
        <is>
          <t>KARLSTAD</t>
        </is>
      </c>
      <c r="I10670" t="n">
        <v>1</v>
      </c>
      <c r="J10670" t="n">
        <v>0</v>
      </c>
      <c r="K10670" t="n">
        <v>0</v>
      </c>
      <c r="L10670" t="n">
        <v>0</v>
      </c>
      <c r="M10670" t="n">
        <v>0</v>
      </c>
      <c r="N10670" t="n">
        <v>0</v>
      </c>
      <c r="O10670" t="n">
        <v>0</v>
      </c>
      <c r="P10670" t="n">
        <v>0</v>
      </c>
      <c r="Q10670" t="n">
        <v>0</v>
      </c>
      <c r="R10670" t="n">
        <v>0</v>
      </c>
      <c r="S10670" t="n">
        <v>0</v>
      </c>
      <c r="T10670" t="n">
        <v>0</v>
      </c>
      <c r="U10670" t="n">
        <v>0</v>
      </c>
      <c r="V10670" s="2" t="inlineStr"/>
    </row>
    <row r="10671" ht="15" customHeight="1">
      <c r="A10671" t="inlineStr">
        <is>
          <t>S 327-2022</t>
        </is>
      </c>
      <c r="B10671" t="inlineStr">
        <is>
          <t>samrådsanmälan</t>
        </is>
      </c>
      <c r="C10671" t="inlineStr">
        <is>
          <t>Skogsgödsling</t>
        </is>
      </c>
      <c r="D10671" s="1" t="n">
        <v>44579</v>
      </c>
      <c r="E10671" s="1" t="n">
        <v>46307</v>
      </c>
      <c r="F10671" t="inlineStr">
        <is>
          <t>VÄRMLANDS LÄN</t>
        </is>
      </c>
      <c r="G10671" t="inlineStr">
        <is>
          <t>ARVIKA</t>
        </is>
      </c>
      <c r="H10671" t="inlineStr">
        <is>
          <t>Bergvik skog väst AB</t>
        </is>
      </c>
      <c r="I10671" t="n">
        <v>28.7</v>
      </c>
      <c r="J10671" t="n">
        <v>0</v>
      </c>
      <c r="K10671" t="n">
        <v>0</v>
      </c>
      <c r="L10671" t="n">
        <v>0</v>
      </c>
      <c r="M10671" t="n">
        <v>0</v>
      </c>
      <c r="N10671" t="n">
        <v>0</v>
      </c>
      <c r="O10671" t="n">
        <v>0</v>
      </c>
      <c r="P10671" t="n">
        <v>0</v>
      </c>
      <c r="Q10671" t="n">
        <v>0</v>
      </c>
      <c r="R10671" t="n">
        <v>0</v>
      </c>
      <c r="S10671" t="n">
        <v>0</v>
      </c>
      <c r="T10671" t="n">
        <v>0</v>
      </c>
      <c r="U10671" t="n">
        <v>0</v>
      </c>
      <c r="V10671" s="2" t="inlineStr"/>
    </row>
    <row r="10672" ht="15" customHeight="1">
      <c r="A10672" t="inlineStr">
        <is>
          <t>S 923-2022</t>
        </is>
      </c>
      <c r="B10672" t="inlineStr">
        <is>
          <t>samrådsanmälan</t>
        </is>
      </c>
      <c r="C10672" t="inlineStr">
        <is>
          <t>Skogsgödsling</t>
        </is>
      </c>
      <c r="D10672" s="1" t="n">
        <v>44606</v>
      </c>
      <c r="E10672" s="1" t="n">
        <v>46307</v>
      </c>
      <c r="F10672" t="inlineStr">
        <is>
          <t>VÄRMLANDS LÄN</t>
        </is>
      </c>
      <c r="G10672" t="inlineStr">
        <is>
          <t>MUNKFORS</t>
        </is>
      </c>
      <c r="H10672" t="inlineStr">
        <is>
          <t>Bergvik skog väst AB</t>
        </is>
      </c>
      <c r="I10672" t="n">
        <v>17.4</v>
      </c>
      <c r="J10672" t="n">
        <v>0</v>
      </c>
      <c r="K10672" t="n">
        <v>0</v>
      </c>
      <c r="L10672" t="n">
        <v>0</v>
      </c>
      <c r="M10672" t="n">
        <v>0</v>
      </c>
      <c r="N10672" t="n">
        <v>0</v>
      </c>
      <c r="O10672" t="n">
        <v>0</v>
      </c>
      <c r="P10672" t="n">
        <v>0</v>
      </c>
      <c r="Q10672" t="n">
        <v>0</v>
      </c>
      <c r="R10672" t="n">
        <v>0</v>
      </c>
      <c r="S10672" t="n">
        <v>0</v>
      </c>
      <c r="T10672" t="n">
        <v>0</v>
      </c>
      <c r="U10672" t="n">
        <v>0</v>
      </c>
      <c r="V10672" s="2" t="inlineStr"/>
    </row>
    <row r="10673" ht="15" customHeight="1">
      <c r="A10673" t="inlineStr">
        <is>
          <t>S 4412-2023</t>
        </is>
      </c>
      <c r="B10673" t="inlineStr">
        <is>
          <t>samrådsanmälan</t>
        </is>
      </c>
      <c r="C10673" t="inlineStr">
        <is>
          <t>Skogsgödsling</t>
        </is>
      </c>
      <c r="D10673" s="1" t="n">
        <v>45266</v>
      </c>
      <c r="E10673" s="1" t="n">
        <v>46307</v>
      </c>
      <c r="F10673" t="inlineStr">
        <is>
          <t>VÄRMLANDS LÄN</t>
        </is>
      </c>
      <c r="G10673" t="inlineStr">
        <is>
          <t>MUNKFORS</t>
        </is>
      </c>
      <c r="H10673" t="inlineStr">
        <is>
          <t>Bergvik skog väst AB</t>
        </is>
      </c>
      <c r="I10673" t="n">
        <v>12.5</v>
      </c>
      <c r="J10673" t="n">
        <v>0</v>
      </c>
      <c r="K10673" t="n">
        <v>0</v>
      </c>
      <c r="L10673" t="n">
        <v>0</v>
      </c>
      <c r="M10673" t="n">
        <v>0</v>
      </c>
      <c r="N10673" t="n">
        <v>0</v>
      </c>
      <c r="O10673" t="n">
        <v>0</v>
      </c>
      <c r="P10673" t="n">
        <v>0</v>
      </c>
      <c r="Q10673" t="n">
        <v>0</v>
      </c>
      <c r="R10673" t="n">
        <v>0</v>
      </c>
      <c r="S10673" t="n">
        <v>0</v>
      </c>
      <c r="T10673" t="n">
        <v>0</v>
      </c>
      <c r="U10673" t="n">
        <v>0</v>
      </c>
      <c r="V10673" s="2" t="inlineStr"/>
    </row>
    <row r="10674" ht="15" customHeight="1">
      <c r="A10674" t="inlineStr">
        <is>
          <t>S 4419-2023</t>
        </is>
      </c>
      <c r="B10674" t="inlineStr">
        <is>
          <t>samrådsanmälan</t>
        </is>
      </c>
      <c r="C10674" t="inlineStr">
        <is>
          <t>Skogsgödsling</t>
        </is>
      </c>
      <c r="D10674" s="1" t="n">
        <v>45266</v>
      </c>
      <c r="E10674" s="1" t="n">
        <v>46307</v>
      </c>
      <c r="F10674" t="inlineStr">
        <is>
          <t>VÄRMLANDS LÄN</t>
        </is>
      </c>
      <c r="G10674" t="inlineStr">
        <is>
          <t>HAGFORS</t>
        </is>
      </c>
      <c r="H10674" t="inlineStr">
        <is>
          <t>Bergvik skog väst AB</t>
        </is>
      </c>
      <c r="I10674" t="n">
        <v>35.6</v>
      </c>
      <c r="J10674" t="n">
        <v>0</v>
      </c>
      <c r="K10674" t="n">
        <v>0</v>
      </c>
      <c r="L10674" t="n">
        <v>0</v>
      </c>
      <c r="M10674" t="n">
        <v>0</v>
      </c>
      <c r="N10674" t="n">
        <v>0</v>
      </c>
      <c r="O10674" t="n">
        <v>0</v>
      </c>
      <c r="P10674" t="n">
        <v>0</v>
      </c>
      <c r="Q10674" t="n">
        <v>0</v>
      </c>
      <c r="R10674" t="n">
        <v>0</v>
      </c>
      <c r="S10674" t="n">
        <v>0</v>
      </c>
      <c r="T10674" t="n">
        <v>0</v>
      </c>
      <c r="U10674" t="n">
        <v>0</v>
      </c>
      <c r="V10674" s="2" t="inlineStr"/>
    </row>
    <row r="10675" ht="15" customHeight="1">
      <c r="A10675" t="inlineStr">
        <is>
          <t>S 4021-2022</t>
        </is>
      </c>
      <c r="B10675" t="inlineStr">
        <is>
          <t>samrådsanmälan</t>
        </is>
      </c>
      <c r="C10675" t="inlineStr">
        <is>
          <t>Åtgärd i nyckelbiotop</t>
        </is>
      </c>
      <c r="D10675" s="1" t="n">
        <v>44755</v>
      </c>
      <c r="E10675" s="1" t="n">
        <v>46307</v>
      </c>
      <c r="F10675" t="inlineStr">
        <is>
          <t>VÄRMLANDS LÄN</t>
        </is>
      </c>
      <c r="G10675" t="inlineStr">
        <is>
          <t>KIL</t>
        </is>
      </c>
      <c r="I10675" t="n">
        <v>0.9</v>
      </c>
      <c r="J10675" t="n">
        <v>0</v>
      </c>
      <c r="K10675" t="n">
        <v>0</v>
      </c>
      <c r="L10675" t="n">
        <v>0</v>
      </c>
      <c r="M10675" t="n">
        <v>0</v>
      </c>
      <c r="N10675" t="n">
        <v>0</v>
      </c>
      <c r="O10675" t="n">
        <v>0</v>
      </c>
      <c r="P10675" t="n">
        <v>0</v>
      </c>
      <c r="Q10675" t="n">
        <v>0</v>
      </c>
      <c r="R10675" t="n">
        <v>0</v>
      </c>
      <c r="S10675" t="n">
        <v>0</v>
      </c>
      <c r="T10675" t="n">
        <v>0</v>
      </c>
      <c r="U10675" t="n">
        <v>0</v>
      </c>
      <c r="V10675" s="2" t="inlineStr"/>
    </row>
    <row r="10676" ht="15" customHeight="1">
      <c r="A10676" t="inlineStr">
        <is>
          <t>S 4471-2022</t>
        </is>
      </c>
      <c r="B10676" t="inlineStr">
        <is>
          <t>samrådsanmälan</t>
        </is>
      </c>
      <c r="C10676" t="inlineStr">
        <is>
          <t>Annan skogsbruksåtgärd</t>
        </is>
      </c>
      <c r="D10676" s="1" t="n">
        <v>44741</v>
      </c>
      <c r="E10676" s="1" t="n">
        <v>46307</v>
      </c>
      <c r="F10676" t="inlineStr">
        <is>
          <t>VÄRMLANDS LÄN</t>
        </is>
      </c>
      <c r="G10676" t="inlineStr">
        <is>
          <t>SUNNE</t>
        </is>
      </c>
      <c r="I10676" t="n">
        <v>5.2</v>
      </c>
      <c r="J10676" t="n">
        <v>0</v>
      </c>
      <c r="K10676" t="n">
        <v>0</v>
      </c>
      <c r="L10676" t="n">
        <v>0</v>
      </c>
      <c r="M10676" t="n">
        <v>0</v>
      </c>
      <c r="N10676" t="n">
        <v>0</v>
      </c>
      <c r="O10676" t="n">
        <v>0</v>
      </c>
      <c r="P10676" t="n">
        <v>0</v>
      </c>
      <c r="Q10676" t="n">
        <v>0</v>
      </c>
      <c r="R10676" t="n">
        <v>0</v>
      </c>
      <c r="S10676" t="n">
        <v>0</v>
      </c>
      <c r="T10676" t="n">
        <v>0</v>
      </c>
      <c r="U10676" t="n">
        <v>0</v>
      </c>
      <c r="V10676" s="2" t="inlineStr"/>
    </row>
    <row r="10677" ht="15" customHeight="1">
      <c r="A10677" t="inlineStr">
        <is>
          <t>S 4420-2023</t>
        </is>
      </c>
      <c r="B10677" t="inlineStr">
        <is>
          <t>samrådsanmälan</t>
        </is>
      </c>
      <c r="C10677" t="inlineStr">
        <is>
          <t>Skogsgödsling</t>
        </is>
      </c>
      <c r="D10677" s="1" t="n">
        <v>45266</v>
      </c>
      <c r="E10677" s="1" t="n">
        <v>46307</v>
      </c>
      <c r="F10677" t="inlineStr">
        <is>
          <t>VÄRMLANDS LÄN</t>
        </is>
      </c>
      <c r="G10677" t="inlineStr">
        <is>
          <t>HAGFORS</t>
        </is>
      </c>
      <c r="H10677" t="inlineStr">
        <is>
          <t>Bergvik skog väst AB</t>
        </is>
      </c>
      <c r="I10677" t="n">
        <v>44.2</v>
      </c>
      <c r="J10677" t="n">
        <v>0</v>
      </c>
      <c r="K10677" t="n">
        <v>0</v>
      </c>
      <c r="L10677" t="n">
        <v>0</v>
      </c>
      <c r="M10677" t="n">
        <v>0</v>
      </c>
      <c r="N10677" t="n">
        <v>0</v>
      </c>
      <c r="O10677" t="n">
        <v>0</v>
      </c>
      <c r="P10677" t="n">
        <v>0</v>
      </c>
      <c r="Q10677" t="n">
        <v>0</v>
      </c>
      <c r="R10677" t="n">
        <v>0</v>
      </c>
      <c r="S10677" t="n">
        <v>0</v>
      </c>
      <c r="T10677" t="n">
        <v>0</v>
      </c>
      <c r="U10677" t="n">
        <v>0</v>
      </c>
      <c r="V10677" s="2" t="inlineStr"/>
    </row>
    <row r="10678" ht="15" customHeight="1">
      <c r="A10678" t="inlineStr">
        <is>
          <t>S 4134-2023</t>
        </is>
      </c>
      <c r="B10678" t="inlineStr">
        <is>
          <t>samrådsanmälan</t>
        </is>
      </c>
      <c r="C10678" t="inlineStr">
        <is>
          <t>Skogsgödsling</t>
        </is>
      </c>
      <c r="D10678" s="1" t="n">
        <v>45247</v>
      </c>
      <c r="E10678" s="1" t="n">
        <v>46307</v>
      </c>
      <c r="F10678" t="inlineStr">
        <is>
          <t>VÄRMLANDS LÄN</t>
        </is>
      </c>
      <c r="G10678" t="inlineStr">
        <is>
          <t>FILIPSTAD</t>
        </is>
      </c>
      <c r="H10678" t="inlineStr">
        <is>
          <t>Bergvik skog väst AB</t>
        </is>
      </c>
      <c r="I10678" t="n">
        <v>5.7</v>
      </c>
      <c r="J10678" t="n">
        <v>0</v>
      </c>
      <c r="K10678" t="n">
        <v>0</v>
      </c>
      <c r="L10678" t="n">
        <v>0</v>
      </c>
      <c r="M10678" t="n">
        <v>0</v>
      </c>
      <c r="N10678" t="n">
        <v>0</v>
      </c>
      <c r="O10678" t="n">
        <v>0</v>
      </c>
      <c r="P10678" t="n">
        <v>0</v>
      </c>
      <c r="Q10678" t="n">
        <v>0</v>
      </c>
      <c r="R10678" t="n">
        <v>0</v>
      </c>
      <c r="S10678" t="n">
        <v>0</v>
      </c>
      <c r="T10678" t="n">
        <v>0</v>
      </c>
      <c r="U10678" t="n">
        <v>0</v>
      </c>
      <c r="V10678" s="2" t="inlineStr"/>
    </row>
    <row r="10679" ht="15" customHeight="1">
      <c r="A10679" t="inlineStr">
        <is>
          <t>S 4147-2023</t>
        </is>
      </c>
      <c r="B10679" t="inlineStr">
        <is>
          <t>samrådsanmälan</t>
        </is>
      </c>
      <c r="C10679" t="inlineStr">
        <is>
          <t>Skogsgödsling</t>
        </is>
      </c>
      <c r="D10679" s="1" t="n">
        <v>45247</v>
      </c>
      <c r="E10679" s="1" t="n">
        <v>46307</v>
      </c>
      <c r="F10679" t="inlineStr">
        <is>
          <t>VÄRMLANDS LÄN</t>
        </is>
      </c>
      <c r="G10679" t="inlineStr">
        <is>
          <t>KRISTINEHAMN</t>
        </is>
      </c>
      <c r="H10679" t="inlineStr">
        <is>
          <t>Naturvårdsverket</t>
        </is>
      </c>
      <c r="I10679" t="n">
        <v>13.5</v>
      </c>
      <c r="J10679" t="n">
        <v>0</v>
      </c>
      <c r="K10679" t="n">
        <v>0</v>
      </c>
      <c r="L10679" t="n">
        <v>0</v>
      </c>
      <c r="M10679" t="n">
        <v>0</v>
      </c>
      <c r="N10679" t="n">
        <v>0</v>
      </c>
      <c r="O10679" t="n">
        <v>0</v>
      </c>
      <c r="P10679" t="n">
        <v>0</v>
      </c>
      <c r="Q10679" t="n">
        <v>0</v>
      </c>
      <c r="R10679" t="n">
        <v>0</v>
      </c>
      <c r="S10679" t="n">
        <v>0</v>
      </c>
      <c r="T10679" t="n">
        <v>0</v>
      </c>
      <c r="U10679" t="n">
        <v>0</v>
      </c>
      <c r="V10679" s="2" t="inlineStr"/>
    </row>
    <row r="10680" ht="15" customHeight="1">
      <c r="A10680" t="inlineStr">
        <is>
          <t>S 4402-2023</t>
        </is>
      </c>
      <c r="B10680" t="inlineStr">
        <is>
          <t>samrådsanmälan</t>
        </is>
      </c>
      <c r="C10680" t="inlineStr">
        <is>
          <t>Skogsgödsling</t>
        </is>
      </c>
      <c r="D10680" s="1" t="n">
        <v>45266</v>
      </c>
      <c r="E10680" s="1" t="n">
        <v>46307</v>
      </c>
      <c r="F10680" t="inlineStr">
        <is>
          <t>VÄRMLANDS LÄN</t>
        </is>
      </c>
      <c r="G10680" t="inlineStr">
        <is>
          <t>KARLSTAD</t>
        </is>
      </c>
      <c r="H10680" t="inlineStr">
        <is>
          <t>Bergvik skog väst AB</t>
        </is>
      </c>
      <c r="I10680" t="n">
        <v>14.5</v>
      </c>
      <c r="J10680" t="n">
        <v>0</v>
      </c>
      <c r="K10680" t="n">
        <v>0</v>
      </c>
      <c r="L10680" t="n">
        <v>0</v>
      </c>
      <c r="M10680" t="n">
        <v>0</v>
      </c>
      <c r="N10680" t="n">
        <v>0</v>
      </c>
      <c r="O10680" t="n">
        <v>0</v>
      </c>
      <c r="P10680" t="n">
        <v>0</v>
      </c>
      <c r="Q10680" t="n">
        <v>0</v>
      </c>
      <c r="R10680" t="n">
        <v>0</v>
      </c>
      <c r="S10680" t="n">
        <v>0</v>
      </c>
      <c r="T10680" t="n">
        <v>0</v>
      </c>
      <c r="U10680" t="n">
        <v>0</v>
      </c>
      <c r="V10680" s="2" t="inlineStr"/>
    </row>
    <row r="10681" ht="15" customHeight="1">
      <c r="A10681" t="inlineStr">
        <is>
          <t>S 5497-2022</t>
        </is>
      </c>
      <c r="B10681" t="inlineStr">
        <is>
          <t>samrådsanmälan</t>
        </is>
      </c>
      <c r="C10681" t="inlineStr">
        <is>
          <t>Skogsgödsling</t>
        </is>
      </c>
      <c r="D10681" s="1" t="n">
        <v>44834</v>
      </c>
      <c r="E10681" s="1" t="n">
        <v>46307</v>
      </c>
      <c r="F10681" t="inlineStr">
        <is>
          <t>VÄRMLANDS LÄN</t>
        </is>
      </c>
      <c r="G10681" t="inlineStr">
        <is>
          <t>FORSHAGA</t>
        </is>
      </c>
      <c r="H10681" t="inlineStr">
        <is>
          <t>Bergvik skog väst AB</t>
        </is>
      </c>
      <c r="I10681" t="n">
        <v>31.1</v>
      </c>
      <c r="J10681" t="n">
        <v>0</v>
      </c>
      <c r="K10681" t="n">
        <v>0</v>
      </c>
      <c r="L10681" t="n">
        <v>0</v>
      </c>
      <c r="M10681" t="n">
        <v>0</v>
      </c>
      <c r="N10681" t="n">
        <v>0</v>
      </c>
      <c r="O10681" t="n">
        <v>0</v>
      </c>
      <c r="P10681" t="n">
        <v>0</v>
      </c>
      <c r="Q10681" t="n">
        <v>0</v>
      </c>
      <c r="R10681" t="n">
        <v>0</v>
      </c>
      <c r="S10681" t="n">
        <v>0</v>
      </c>
      <c r="T10681" t="n">
        <v>0</v>
      </c>
      <c r="U10681" t="n">
        <v>0</v>
      </c>
      <c r="V10681" s="2" t="inlineStr"/>
    </row>
    <row r="10682" ht="15" customHeight="1">
      <c r="A10682" t="inlineStr">
        <is>
          <t>S 4426-2023</t>
        </is>
      </c>
      <c r="B10682" t="inlineStr">
        <is>
          <t>samrådsanmälan</t>
        </is>
      </c>
      <c r="C10682" t="inlineStr">
        <is>
          <t>Skogsgödsling</t>
        </is>
      </c>
      <c r="D10682" s="1" t="n">
        <v>45266</v>
      </c>
      <c r="E10682" s="1" t="n">
        <v>46307</v>
      </c>
      <c r="F10682" t="inlineStr">
        <is>
          <t>VÄRMLANDS LÄN</t>
        </is>
      </c>
      <c r="G10682" t="inlineStr">
        <is>
          <t>HAGFORS</t>
        </is>
      </c>
      <c r="H10682" t="inlineStr">
        <is>
          <t>Bergvik skog väst AB</t>
        </is>
      </c>
      <c r="I10682" t="n">
        <v>9.699999999999999</v>
      </c>
      <c r="J10682" t="n">
        <v>0</v>
      </c>
      <c r="K10682" t="n">
        <v>0</v>
      </c>
      <c r="L10682" t="n">
        <v>0</v>
      </c>
      <c r="M10682" t="n">
        <v>0</v>
      </c>
      <c r="N10682" t="n">
        <v>0</v>
      </c>
      <c r="O10682" t="n">
        <v>0</v>
      </c>
      <c r="P10682" t="n">
        <v>0</v>
      </c>
      <c r="Q10682" t="n">
        <v>0</v>
      </c>
      <c r="R10682" t="n">
        <v>0</v>
      </c>
      <c r="S10682" t="n">
        <v>0</v>
      </c>
      <c r="T10682" t="n">
        <v>0</v>
      </c>
      <c r="U10682" t="n">
        <v>0</v>
      </c>
      <c r="V10682" s="2" t="inlineStr"/>
    </row>
    <row r="10683" ht="15" customHeight="1">
      <c r="A10683" t="inlineStr">
        <is>
          <t>S 4115-2023</t>
        </is>
      </c>
      <c r="B10683" t="inlineStr">
        <is>
          <t>samrådsanmälan</t>
        </is>
      </c>
      <c r="C10683" t="inlineStr">
        <is>
          <t>Skogsgödsling</t>
        </is>
      </c>
      <c r="D10683" s="1" t="n">
        <v>45246</v>
      </c>
      <c r="E10683" s="1" t="n">
        <v>46307</v>
      </c>
      <c r="F10683" t="inlineStr">
        <is>
          <t>VÄRMLANDS LÄN</t>
        </is>
      </c>
      <c r="G10683" t="inlineStr">
        <is>
          <t>FILIPSTAD</t>
        </is>
      </c>
      <c r="H10683" t="inlineStr">
        <is>
          <t>Bergvik skog väst AB</t>
        </is>
      </c>
      <c r="I10683" t="n">
        <v>14.6</v>
      </c>
      <c r="J10683" t="n">
        <v>0</v>
      </c>
      <c r="K10683" t="n">
        <v>0</v>
      </c>
      <c r="L10683" t="n">
        <v>0</v>
      </c>
      <c r="M10683" t="n">
        <v>0</v>
      </c>
      <c r="N10683" t="n">
        <v>0</v>
      </c>
      <c r="O10683" t="n">
        <v>0</v>
      </c>
      <c r="P10683" t="n">
        <v>0</v>
      </c>
      <c r="Q10683" t="n">
        <v>0</v>
      </c>
      <c r="R10683" t="n">
        <v>0</v>
      </c>
      <c r="S10683" t="n">
        <v>0</v>
      </c>
      <c r="T10683" t="n">
        <v>0</v>
      </c>
      <c r="U10683" t="n">
        <v>0</v>
      </c>
      <c r="V10683" s="2" t="inlineStr"/>
    </row>
    <row r="10684" ht="15" customHeight="1">
      <c r="A10684" t="inlineStr">
        <is>
          <t>S 4149-2023</t>
        </is>
      </c>
      <c r="B10684" t="inlineStr">
        <is>
          <t>samrådsanmälan</t>
        </is>
      </c>
      <c r="C10684" t="inlineStr">
        <is>
          <t>Skogsgödsling</t>
        </is>
      </c>
      <c r="D10684" s="1" t="n">
        <v>45247</v>
      </c>
      <c r="E10684" s="1" t="n">
        <v>46307</v>
      </c>
      <c r="F10684" t="inlineStr">
        <is>
          <t>VÄRMLANDS LÄN</t>
        </is>
      </c>
      <c r="G10684" t="inlineStr">
        <is>
          <t>KRISTINEHAMN</t>
        </is>
      </c>
      <c r="H10684" t="inlineStr">
        <is>
          <t>Naturvårdsverket</t>
        </is>
      </c>
      <c r="I10684" t="n">
        <v>9.5</v>
      </c>
      <c r="J10684" t="n">
        <v>0</v>
      </c>
      <c r="K10684" t="n">
        <v>0</v>
      </c>
      <c r="L10684" t="n">
        <v>0</v>
      </c>
      <c r="M10684" t="n">
        <v>0</v>
      </c>
      <c r="N10684" t="n">
        <v>0</v>
      </c>
      <c r="O10684" t="n">
        <v>0</v>
      </c>
      <c r="P10684" t="n">
        <v>0</v>
      </c>
      <c r="Q10684" t="n">
        <v>0</v>
      </c>
      <c r="R10684" t="n">
        <v>0</v>
      </c>
      <c r="S10684" t="n">
        <v>0</v>
      </c>
      <c r="T10684" t="n">
        <v>0</v>
      </c>
      <c r="U10684" t="n">
        <v>0</v>
      </c>
      <c r="V10684" s="2" t="inlineStr"/>
    </row>
    <row r="10685" ht="15" customHeight="1">
      <c r="A10685" t="inlineStr">
        <is>
          <t>S 10212-2021</t>
        </is>
      </c>
      <c r="B10685" t="inlineStr">
        <is>
          <t>samrådsanmälan</t>
        </is>
      </c>
      <c r="C10685" t="inlineStr">
        <is>
          <t>Skogsgödsling</t>
        </is>
      </c>
      <c r="D10685" s="1" t="n">
        <v>44540</v>
      </c>
      <c r="E10685" s="1" t="n">
        <v>46307</v>
      </c>
      <c r="F10685" t="inlineStr">
        <is>
          <t>VÄRMLANDS LÄN</t>
        </is>
      </c>
      <c r="G10685" t="inlineStr">
        <is>
          <t>ARVIKA</t>
        </is>
      </c>
      <c r="H10685" t="inlineStr">
        <is>
          <t>Bergvik skog väst AB</t>
        </is>
      </c>
      <c r="I10685" t="n">
        <v>15.7</v>
      </c>
      <c r="J10685" t="n">
        <v>0</v>
      </c>
      <c r="K10685" t="n">
        <v>0</v>
      </c>
      <c r="L10685" t="n">
        <v>0</v>
      </c>
      <c r="M10685" t="n">
        <v>0</v>
      </c>
      <c r="N10685" t="n">
        <v>0</v>
      </c>
      <c r="O10685" t="n">
        <v>0</v>
      </c>
      <c r="P10685" t="n">
        <v>0</v>
      </c>
      <c r="Q10685" t="n">
        <v>0</v>
      </c>
      <c r="R10685" t="n">
        <v>0</v>
      </c>
      <c r="S10685" t="n">
        <v>0</v>
      </c>
      <c r="T10685" t="n">
        <v>0</v>
      </c>
      <c r="U10685" t="n">
        <v>0</v>
      </c>
      <c r="V10685" s="2" t="inlineStr"/>
    </row>
    <row r="10686" ht="15" customHeight="1">
      <c r="A10686" t="inlineStr">
        <is>
          <t>S 786-2024</t>
        </is>
      </c>
      <c r="B10686" t="inlineStr">
        <is>
          <t>samrådsanmälan</t>
        </is>
      </c>
      <c r="C10686" t="inlineStr">
        <is>
          <t>Skogsgödsling</t>
        </is>
      </c>
      <c r="D10686" s="1" t="n">
        <v>45369</v>
      </c>
      <c r="E10686" s="1" t="n">
        <v>46307</v>
      </c>
      <c r="F10686" t="inlineStr">
        <is>
          <t>VÄRMLANDS LÄN</t>
        </is>
      </c>
      <c r="G10686" t="inlineStr">
        <is>
          <t>TORSBY</t>
        </is>
      </c>
      <c r="I10686" t="n">
        <v>19.3</v>
      </c>
      <c r="J10686" t="n">
        <v>0</v>
      </c>
      <c r="K10686" t="n">
        <v>0</v>
      </c>
      <c r="L10686" t="n">
        <v>0</v>
      </c>
      <c r="M10686" t="n">
        <v>0</v>
      </c>
      <c r="N10686" t="n">
        <v>0</v>
      </c>
      <c r="O10686" t="n">
        <v>0</v>
      </c>
      <c r="P10686" t="n">
        <v>0</v>
      </c>
      <c r="Q10686" t="n">
        <v>0</v>
      </c>
      <c r="R10686" t="n">
        <v>0</v>
      </c>
      <c r="S10686" t="n">
        <v>0</v>
      </c>
      <c r="T10686" t="n">
        <v>0</v>
      </c>
      <c r="U10686" t="n">
        <v>0</v>
      </c>
      <c r="V10686" s="2" t="inlineStr"/>
    </row>
    <row r="10687" ht="15" customHeight="1">
      <c r="A10687" t="inlineStr">
        <is>
          <t>S 5512-2022</t>
        </is>
      </c>
      <c r="B10687" t="inlineStr">
        <is>
          <t>samrådsanmälan</t>
        </is>
      </c>
      <c r="C10687" t="inlineStr">
        <is>
          <t>Skogsgödsling</t>
        </is>
      </c>
      <c r="D10687" s="1" t="n">
        <v>44834</v>
      </c>
      <c r="E10687" s="1" t="n">
        <v>46307</v>
      </c>
      <c r="F10687" t="inlineStr">
        <is>
          <t>VÄRMLANDS LÄN</t>
        </is>
      </c>
      <c r="G10687" t="inlineStr">
        <is>
          <t>HAGFORS</t>
        </is>
      </c>
      <c r="H10687" t="inlineStr">
        <is>
          <t>Bergvik skog väst AB</t>
        </is>
      </c>
      <c r="I10687" t="n">
        <v>29.9</v>
      </c>
      <c r="J10687" t="n">
        <v>0</v>
      </c>
      <c r="K10687" t="n">
        <v>0</v>
      </c>
      <c r="L10687" t="n">
        <v>0</v>
      </c>
      <c r="M10687" t="n">
        <v>0</v>
      </c>
      <c r="N10687" t="n">
        <v>0</v>
      </c>
      <c r="O10687" t="n">
        <v>0</v>
      </c>
      <c r="P10687" t="n">
        <v>0</v>
      </c>
      <c r="Q10687" t="n">
        <v>0</v>
      </c>
      <c r="R10687" t="n">
        <v>0</v>
      </c>
      <c r="S10687" t="n">
        <v>0</v>
      </c>
      <c r="T10687" t="n">
        <v>0</v>
      </c>
      <c r="U10687" t="n">
        <v>0</v>
      </c>
      <c r="V10687" s="2" t="inlineStr"/>
    </row>
    <row r="10688" ht="15" customHeight="1">
      <c r="A10688" t="inlineStr">
        <is>
          <t>S 435-2024</t>
        </is>
      </c>
      <c r="B10688" t="inlineStr">
        <is>
          <t>samrådsanmälan</t>
        </is>
      </c>
      <c r="C10688" t="inlineStr">
        <is>
          <t>Askåterföring</t>
        </is>
      </c>
      <c r="D10688" s="1" t="n">
        <v>45337</v>
      </c>
      <c r="E10688" s="1" t="n">
        <v>46307</v>
      </c>
      <c r="F10688" t="inlineStr">
        <is>
          <t>VÄRMLANDS LÄN</t>
        </is>
      </c>
      <c r="G10688" t="inlineStr">
        <is>
          <t>KARLSTAD</t>
        </is>
      </c>
      <c r="I10688" t="n">
        <v>101.6</v>
      </c>
      <c r="J10688" t="n">
        <v>0</v>
      </c>
      <c r="K10688" t="n">
        <v>0</v>
      </c>
      <c r="L10688" t="n">
        <v>0</v>
      </c>
      <c r="M10688" t="n">
        <v>0</v>
      </c>
      <c r="N10688" t="n">
        <v>0</v>
      </c>
      <c r="O10688" t="n">
        <v>0</v>
      </c>
      <c r="P10688" t="n">
        <v>0</v>
      </c>
      <c r="Q10688" t="n">
        <v>0</v>
      </c>
      <c r="R10688" t="n">
        <v>0</v>
      </c>
      <c r="S10688" t="n">
        <v>0</v>
      </c>
      <c r="T10688" t="n">
        <v>0</v>
      </c>
      <c r="U10688" t="n">
        <v>0</v>
      </c>
      <c r="V10688" s="2" t="inlineStr"/>
    </row>
    <row r="10689" ht="15" customHeight="1">
      <c r="A10689" t="inlineStr">
        <is>
          <t>S 2254-2023</t>
        </is>
      </c>
      <c r="B10689" t="inlineStr">
        <is>
          <t>samrådsanmälan</t>
        </is>
      </c>
      <c r="C10689" t="inlineStr">
        <is>
          <t>Askåterföring</t>
        </is>
      </c>
      <c r="D10689" s="1" t="n">
        <v>45103</v>
      </c>
      <c r="E10689" s="1" t="n">
        <v>46307</v>
      </c>
      <c r="F10689" t="inlineStr">
        <is>
          <t>VÄRMLANDS LÄN</t>
        </is>
      </c>
      <c r="G10689" t="inlineStr">
        <is>
          <t>KRISTINEHAMN</t>
        </is>
      </c>
      <c r="I10689" t="n">
        <v>51</v>
      </c>
      <c r="J10689" t="n">
        <v>0</v>
      </c>
      <c r="K10689" t="n">
        <v>0</v>
      </c>
      <c r="L10689" t="n">
        <v>0</v>
      </c>
      <c r="M10689" t="n">
        <v>0</v>
      </c>
      <c r="N10689" t="n">
        <v>0</v>
      </c>
      <c r="O10689" t="n">
        <v>0</v>
      </c>
      <c r="P10689" t="n">
        <v>0</v>
      </c>
      <c r="Q10689" t="n">
        <v>0</v>
      </c>
      <c r="R10689" t="n">
        <v>0</v>
      </c>
      <c r="S10689" t="n">
        <v>0</v>
      </c>
      <c r="T10689" t="n">
        <v>0</v>
      </c>
      <c r="U10689" t="n">
        <v>0</v>
      </c>
      <c r="V10689" s="2" t="inlineStr"/>
    </row>
    <row r="10690" ht="15" customHeight="1">
      <c r="A10690" t="inlineStr">
        <is>
          <t>S 4139-2023</t>
        </is>
      </c>
      <c r="B10690" t="inlineStr">
        <is>
          <t>samrådsanmälan</t>
        </is>
      </c>
      <c r="C10690" t="inlineStr">
        <is>
          <t>Skogsgödsling</t>
        </is>
      </c>
      <c r="D10690" s="1" t="n">
        <v>45247</v>
      </c>
      <c r="E10690" s="1" t="n">
        <v>46307</v>
      </c>
      <c r="F10690" t="inlineStr">
        <is>
          <t>VÄRMLANDS LÄN</t>
        </is>
      </c>
      <c r="G10690" t="inlineStr">
        <is>
          <t>STORFORS</t>
        </is>
      </c>
      <c r="H10690" t="inlineStr">
        <is>
          <t>Bergvik skog väst AB</t>
        </is>
      </c>
      <c r="I10690" t="n">
        <v>20</v>
      </c>
      <c r="J10690" t="n">
        <v>0</v>
      </c>
      <c r="K10690" t="n">
        <v>0</v>
      </c>
      <c r="L10690" t="n">
        <v>0</v>
      </c>
      <c r="M10690" t="n">
        <v>0</v>
      </c>
      <c r="N10690" t="n">
        <v>0</v>
      </c>
      <c r="O10690" t="n">
        <v>0</v>
      </c>
      <c r="P10690" t="n">
        <v>0</v>
      </c>
      <c r="Q10690" t="n">
        <v>0</v>
      </c>
      <c r="R10690" t="n">
        <v>0</v>
      </c>
      <c r="S10690" t="n">
        <v>0</v>
      </c>
      <c r="T10690" t="n">
        <v>0</v>
      </c>
      <c r="U10690" t="n">
        <v>0</v>
      </c>
      <c r="V10690" s="2" t="inlineStr"/>
    </row>
    <row r="10691" ht="15" customHeight="1">
      <c r="A10691" t="inlineStr">
        <is>
          <t>S 5511-2022</t>
        </is>
      </c>
      <c r="B10691" t="inlineStr">
        <is>
          <t>samrådsanmälan</t>
        </is>
      </c>
      <c r="C10691" t="inlineStr">
        <is>
          <t>Skogsgödsling</t>
        </is>
      </c>
      <c r="D10691" s="1" t="n">
        <v>44834</v>
      </c>
      <c r="E10691" s="1" t="n">
        <v>46307</v>
      </c>
      <c r="F10691" t="inlineStr">
        <is>
          <t>VÄRMLANDS LÄN</t>
        </is>
      </c>
      <c r="G10691" t="inlineStr">
        <is>
          <t>KARLSTAD</t>
        </is>
      </c>
      <c r="H10691" t="inlineStr">
        <is>
          <t>Naturvårdsverket</t>
        </is>
      </c>
      <c r="I10691" t="n">
        <v>44.5</v>
      </c>
      <c r="J10691" t="n">
        <v>0</v>
      </c>
      <c r="K10691" t="n">
        <v>0</v>
      </c>
      <c r="L10691" t="n">
        <v>0</v>
      </c>
      <c r="M10691" t="n">
        <v>0</v>
      </c>
      <c r="N10691" t="n">
        <v>0</v>
      </c>
      <c r="O10691" t="n">
        <v>0</v>
      </c>
      <c r="P10691" t="n">
        <v>0</v>
      </c>
      <c r="Q10691" t="n">
        <v>0</v>
      </c>
      <c r="R10691" t="n">
        <v>0</v>
      </c>
      <c r="S10691" t="n">
        <v>0</v>
      </c>
      <c r="T10691" t="n">
        <v>0</v>
      </c>
      <c r="U10691" t="n">
        <v>0</v>
      </c>
      <c r="V10691" s="2" t="inlineStr"/>
    </row>
    <row r="10692" ht="15" customHeight="1">
      <c r="A10692" t="inlineStr">
        <is>
          <t>S 10147-2021</t>
        </is>
      </c>
      <c r="B10692" t="inlineStr">
        <is>
          <t>samrådsanmälan</t>
        </is>
      </c>
      <c r="C10692" t="inlineStr">
        <is>
          <t>Skogsgödsling</t>
        </is>
      </c>
      <c r="D10692" s="1" t="n">
        <v>44540</v>
      </c>
      <c r="E10692" s="1" t="n">
        <v>46307</v>
      </c>
      <c r="F10692" t="inlineStr">
        <is>
          <t>VÄRMLANDS LÄN</t>
        </is>
      </c>
      <c r="G10692" t="inlineStr">
        <is>
          <t>SÄFFLE</t>
        </is>
      </c>
      <c r="H10692" t="inlineStr">
        <is>
          <t>Bergvik skog väst AB</t>
        </is>
      </c>
      <c r="I10692" t="n">
        <v>16</v>
      </c>
      <c r="J10692" t="n">
        <v>0</v>
      </c>
      <c r="K10692" t="n">
        <v>0</v>
      </c>
      <c r="L10692" t="n">
        <v>0</v>
      </c>
      <c r="M10692" t="n">
        <v>0</v>
      </c>
      <c r="N10692" t="n">
        <v>0</v>
      </c>
      <c r="O10692" t="n">
        <v>0</v>
      </c>
      <c r="P10692" t="n">
        <v>0</v>
      </c>
      <c r="Q10692" t="n">
        <v>0</v>
      </c>
      <c r="R10692" t="n">
        <v>0</v>
      </c>
      <c r="S10692" t="n">
        <v>0</v>
      </c>
      <c r="T10692" t="n">
        <v>0</v>
      </c>
      <c r="U10692" t="n">
        <v>0</v>
      </c>
      <c r="V10692" s="2" t="inlineStr"/>
    </row>
    <row r="10693" ht="15" customHeight="1">
      <c r="A10693" t="inlineStr">
        <is>
          <t>S 4417-2023</t>
        </is>
      </c>
      <c r="B10693" t="inlineStr">
        <is>
          <t>samrådsanmälan</t>
        </is>
      </c>
      <c r="C10693" t="inlineStr">
        <is>
          <t>Skogsgödsling</t>
        </is>
      </c>
      <c r="D10693" s="1" t="n">
        <v>45266</v>
      </c>
      <c r="E10693" s="1" t="n">
        <v>46307</v>
      </c>
      <c r="F10693" t="inlineStr">
        <is>
          <t>VÄRMLANDS LÄN</t>
        </is>
      </c>
      <c r="G10693" t="inlineStr">
        <is>
          <t>MUNKFORS</t>
        </is>
      </c>
      <c r="H10693" t="inlineStr">
        <is>
          <t>Bergvik skog väst AB</t>
        </is>
      </c>
      <c r="I10693" t="n">
        <v>9.5</v>
      </c>
      <c r="J10693" t="n">
        <v>0</v>
      </c>
      <c r="K10693" t="n">
        <v>0</v>
      </c>
      <c r="L10693" t="n">
        <v>0</v>
      </c>
      <c r="M10693" t="n">
        <v>0</v>
      </c>
      <c r="N10693" t="n">
        <v>0</v>
      </c>
      <c r="O10693" t="n">
        <v>0</v>
      </c>
      <c r="P10693" t="n">
        <v>0</v>
      </c>
      <c r="Q10693" t="n">
        <v>0</v>
      </c>
      <c r="R10693" t="n">
        <v>0</v>
      </c>
      <c r="S10693" t="n">
        <v>0</v>
      </c>
      <c r="T10693" t="n">
        <v>0</v>
      </c>
      <c r="U10693" t="n">
        <v>0</v>
      </c>
      <c r="V10693" s="2" t="inlineStr"/>
    </row>
    <row r="10694" ht="15" customHeight="1">
      <c r="A10694" t="inlineStr">
        <is>
          <t>S 2221-2023</t>
        </is>
      </c>
      <c r="B10694" t="inlineStr">
        <is>
          <t>samrådsanmälan</t>
        </is>
      </c>
      <c r="C10694" t="inlineStr">
        <is>
          <t>Askåterföring</t>
        </is>
      </c>
      <c r="D10694" s="1" t="n">
        <v>45099</v>
      </c>
      <c r="E10694" s="1" t="n">
        <v>46307</v>
      </c>
      <c r="F10694" t="inlineStr">
        <is>
          <t>VÄRMLANDS LÄN</t>
        </is>
      </c>
      <c r="G10694" t="inlineStr">
        <is>
          <t>GRUMS</t>
        </is>
      </c>
      <c r="H10694" t="inlineStr">
        <is>
          <t>Bergvik skog väst AB</t>
        </is>
      </c>
      <c r="I10694" t="n">
        <v>5.5</v>
      </c>
      <c r="J10694" t="n">
        <v>0</v>
      </c>
      <c r="K10694" t="n">
        <v>0</v>
      </c>
      <c r="L10694" t="n">
        <v>0</v>
      </c>
      <c r="M10694" t="n">
        <v>0</v>
      </c>
      <c r="N10694" t="n">
        <v>0</v>
      </c>
      <c r="O10694" t="n">
        <v>0</v>
      </c>
      <c r="P10694" t="n">
        <v>0</v>
      </c>
      <c r="Q10694" t="n">
        <v>0</v>
      </c>
      <c r="R10694" t="n">
        <v>0</v>
      </c>
      <c r="S10694" t="n">
        <v>0</v>
      </c>
      <c r="T10694" t="n">
        <v>0</v>
      </c>
      <c r="U10694" t="n">
        <v>0</v>
      </c>
      <c r="V10694" s="2" t="inlineStr"/>
    </row>
    <row r="10695" ht="15" customHeight="1">
      <c r="A10695" t="inlineStr">
        <is>
          <t>S 4414-2023</t>
        </is>
      </c>
      <c r="B10695" t="inlineStr">
        <is>
          <t>samrådsanmälan</t>
        </is>
      </c>
      <c r="C10695" t="inlineStr">
        <is>
          <t>Skogsgödsling</t>
        </is>
      </c>
      <c r="D10695" s="1" t="n">
        <v>45266</v>
      </c>
      <c r="E10695" s="1" t="n">
        <v>46307</v>
      </c>
      <c r="F10695" t="inlineStr">
        <is>
          <t>VÄRMLANDS LÄN</t>
        </is>
      </c>
      <c r="G10695" t="inlineStr">
        <is>
          <t>FORSHAGA</t>
        </is>
      </c>
      <c r="H10695" t="inlineStr">
        <is>
          <t>Bergvik skog väst AB</t>
        </is>
      </c>
      <c r="I10695" t="n">
        <v>21</v>
      </c>
      <c r="J10695" t="n">
        <v>0</v>
      </c>
      <c r="K10695" t="n">
        <v>0</v>
      </c>
      <c r="L10695" t="n">
        <v>0</v>
      </c>
      <c r="M10695" t="n">
        <v>0</v>
      </c>
      <c r="N10695" t="n">
        <v>0</v>
      </c>
      <c r="O10695" t="n">
        <v>0</v>
      </c>
      <c r="P10695" t="n">
        <v>0</v>
      </c>
      <c r="Q10695" t="n">
        <v>0</v>
      </c>
      <c r="R10695" t="n">
        <v>0</v>
      </c>
      <c r="S10695" t="n">
        <v>0</v>
      </c>
      <c r="T10695" t="n">
        <v>0</v>
      </c>
      <c r="U10695" t="n">
        <v>0</v>
      </c>
      <c r="V10695" s="2" t="inlineStr"/>
    </row>
    <row r="10696" ht="15" customHeight="1">
      <c r="A10696" t="inlineStr">
        <is>
          <t>S 10233-2021</t>
        </is>
      </c>
      <c r="B10696" t="inlineStr">
        <is>
          <t>samrådsanmälan</t>
        </is>
      </c>
      <c r="C10696" t="inlineStr">
        <is>
          <t>Skogsgödsling</t>
        </is>
      </c>
      <c r="D10696" s="1" t="n">
        <v>44542</v>
      </c>
      <c r="E10696" s="1" t="n">
        <v>46307</v>
      </c>
      <c r="F10696" t="inlineStr">
        <is>
          <t>VÄRMLANDS LÄN</t>
        </is>
      </c>
      <c r="G10696" t="inlineStr">
        <is>
          <t>ARVIKA</t>
        </is>
      </c>
      <c r="H10696" t="inlineStr">
        <is>
          <t>Bergvik skog väst AB</t>
        </is>
      </c>
      <c r="I10696" t="n">
        <v>32.3</v>
      </c>
      <c r="J10696" t="n">
        <v>0</v>
      </c>
      <c r="K10696" t="n">
        <v>0</v>
      </c>
      <c r="L10696" t="n">
        <v>0</v>
      </c>
      <c r="M10696" t="n">
        <v>0</v>
      </c>
      <c r="N10696" t="n">
        <v>0</v>
      </c>
      <c r="O10696" t="n">
        <v>0</v>
      </c>
      <c r="P10696" t="n">
        <v>0</v>
      </c>
      <c r="Q10696" t="n">
        <v>0</v>
      </c>
      <c r="R10696" t="n">
        <v>0</v>
      </c>
      <c r="S10696" t="n">
        <v>0</v>
      </c>
      <c r="T10696" t="n">
        <v>0</v>
      </c>
      <c r="U10696" t="n">
        <v>0</v>
      </c>
      <c r="V10696" s="2" t="inlineStr"/>
    </row>
    <row r="10697" ht="15" customHeight="1">
      <c r="A10697" t="inlineStr">
        <is>
          <t>S 6975-2022</t>
        </is>
      </c>
      <c r="B10697" t="inlineStr">
        <is>
          <t>samrådsanmälan</t>
        </is>
      </c>
      <c r="C10697" t="inlineStr">
        <is>
          <t>Skogsgödsling</t>
        </is>
      </c>
      <c r="D10697" s="1" t="n">
        <v>44901</v>
      </c>
      <c r="E10697" s="1" t="n">
        <v>46307</v>
      </c>
      <c r="F10697" t="inlineStr">
        <is>
          <t>VÄRMLANDS LÄN</t>
        </is>
      </c>
      <c r="G10697" t="inlineStr">
        <is>
          <t>SUNNE</t>
        </is>
      </c>
      <c r="H10697" t="inlineStr">
        <is>
          <t>Bergvik skog väst AB</t>
        </is>
      </c>
      <c r="I10697" t="n">
        <v>17.7</v>
      </c>
      <c r="J10697" t="n">
        <v>0</v>
      </c>
      <c r="K10697" t="n">
        <v>0</v>
      </c>
      <c r="L10697" t="n">
        <v>0</v>
      </c>
      <c r="M10697" t="n">
        <v>0</v>
      </c>
      <c r="N10697" t="n">
        <v>0</v>
      </c>
      <c r="O10697" t="n">
        <v>0</v>
      </c>
      <c r="P10697" t="n">
        <v>0</v>
      </c>
      <c r="Q10697" t="n">
        <v>0</v>
      </c>
      <c r="R10697" t="n">
        <v>0</v>
      </c>
      <c r="S10697" t="n">
        <v>0</v>
      </c>
      <c r="T10697" t="n">
        <v>0</v>
      </c>
      <c r="U10697" t="n">
        <v>0</v>
      </c>
      <c r="V10697" s="2" t="inlineStr"/>
    </row>
    <row r="10698" ht="15" customHeight="1">
      <c r="A10698" t="inlineStr">
        <is>
          <t>S 4415-2023</t>
        </is>
      </c>
      <c r="B10698" t="inlineStr">
        <is>
          <t>samrådsanmälan</t>
        </is>
      </c>
      <c r="C10698" t="inlineStr">
        <is>
          <t>Skogsgödsling</t>
        </is>
      </c>
      <c r="D10698" s="1" t="n">
        <v>45266</v>
      </c>
      <c r="E10698" s="1" t="n">
        <v>46307</v>
      </c>
      <c r="F10698" t="inlineStr">
        <is>
          <t>VÄRMLANDS LÄN</t>
        </is>
      </c>
      <c r="G10698" t="inlineStr">
        <is>
          <t>HAGFORS</t>
        </is>
      </c>
      <c r="H10698" t="inlineStr">
        <is>
          <t>Bergvik skog väst AB</t>
        </is>
      </c>
      <c r="I10698" t="n">
        <v>9.199999999999999</v>
      </c>
      <c r="J10698" t="n">
        <v>0</v>
      </c>
      <c r="K10698" t="n">
        <v>0</v>
      </c>
      <c r="L10698" t="n">
        <v>0</v>
      </c>
      <c r="M10698" t="n">
        <v>0</v>
      </c>
      <c r="N10698" t="n">
        <v>0</v>
      </c>
      <c r="O10698" t="n">
        <v>0</v>
      </c>
      <c r="P10698" t="n">
        <v>0</v>
      </c>
      <c r="Q10698" t="n">
        <v>0</v>
      </c>
      <c r="R10698" t="n">
        <v>0</v>
      </c>
      <c r="S10698" t="n">
        <v>0</v>
      </c>
      <c r="T10698" t="n">
        <v>0</v>
      </c>
      <c r="U10698" t="n">
        <v>0</v>
      </c>
      <c r="V10698" s="2" t="inlineStr"/>
    </row>
    <row r="10699" ht="15" customHeight="1">
      <c r="A10699" t="inlineStr">
        <is>
          <t>S 10210-2021</t>
        </is>
      </c>
      <c r="B10699" t="inlineStr">
        <is>
          <t>samrådsanmälan</t>
        </is>
      </c>
      <c r="C10699" t="inlineStr">
        <is>
          <t>Skogsgödsling</t>
        </is>
      </c>
      <c r="D10699" s="1" t="n">
        <v>44540</v>
      </c>
      <c r="E10699" s="1" t="n">
        <v>46307</v>
      </c>
      <c r="F10699" t="inlineStr">
        <is>
          <t>VÄRMLANDS LÄN</t>
        </is>
      </c>
      <c r="G10699" t="inlineStr">
        <is>
          <t>ARVIKA</t>
        </is>
      </c>
      <c r="H10699" t="inlineStr">
        <is>
          <t>Bergvik skog väst AB</t>
        </is>
      </c>
      <c r="I10699" t="n">
        <v>20.1</v>
      </c>
      <c r="J10699" t="n">
        <v>0</v>
      </c>
      <c r="K10699" t="n">
        <v>0</v>
      </c>
      <c r="L10699" t="n">
        <v>0</v>
      </c>
      <c r="M10699" t="n">
        <v>0</v>
      </c>
      <c r="N10699" t="n">
        <v>0</v>
      </c>
      <c r="O10699" t="n">
        <v>0</v>
      </c>
      <c r="P10699" t="n">
        <v>0</v>
      </c>
      <c r="Q10699" t="n">
        <v>0</v>
      </c>
      <c r="R10699" t="n">
        <v>0</v>
      </c>
      <c r="S10699" t="n">
        <v>0</v>
      </c>
      <c r="T10699" t="n">
        <v>0</v>
      </c>
      <c r="U10699" t="n">
        <v>0</v>
      </c>
      <c r="V10699" s="2" t="inlineStr"/>
    </row>
    <row r="10700" ht="15" customHeight="1">
      <c r="A10700" t="inlineStr">
        <is>
          <t>S 1899-2024</t>
        </is>
      </c>
      <c r="B10700" t="inlineStr">
        <is>
          <t>samrådsanmälan</t>
        </is>
      </c>
      <c r="C10700" t="inlineStr">
        <is>
          <t>Askåterföring</t>
        </is>
      </c>
      <c r="D10700" s="1" t="n">
        <v>45442</v>
      </c>
      <c r="E10700" s="1" t="n">
        <v>46307</v>
      </c>
      <c r="F10700" t="inlineStr">
        <is>
          <t>VÄRMLANDS LÄN</t>
        </is>
      </c>
      <c r="G10700" t="inlineStr">
        <is>
          <t>KRISTINEHAMN</t>
        </is>
      </c>
      <c r="I10700" t="n">
        <v>21.4</v>
      </c>
      <c r="J10700" t="n">
        <v>0</v>
      </c>
      <c r="K10700" t="n">
        <v>0</v>
      </c>
      <c r="L10700" t="n">
        <v>0</v>
      </c>
      <c r="M10700" t="n">
        <v>0</v>
      </c>
      <c r="N10700" t="n">
        <v>0</v>
      </c>
      <c r="O10700" t="n">
        <v>0</v>
      </c>
      <c r="P10700" t="n">
        <v>0</v>
      </c>
      <c r="Q10700" t="n">
        <v>0</v>
      </c>
      <c r="R10700" t="n">
        <v>0</v>
      </c>
      <c r="S10700" t="n">
        <v>0</v>
      </c>
      <c r="T10700" t="n">
        <v>0</v>
      </c>
      <c r="U10700" t="n">
        <v>0</v>
      </c>
      <c r="V10700" s="2" t="inlineStr"/>
    </row>
    <row r="10701" ht="15" customHeight="1">
      <c r="A10701" t="inlineStr">
        <is>
          <t>S 752-2024</t>
        </is>
      </c>
      <c r="B10701" t="inlineStr">
        <is>
          <t>samrådsanmälan</t>
        </is>
      </c>
      <c r="C10701" t="inlineStr">
        <is>
          <t>Annan skogsbruksåtgärd</t>
        </is>
      </c>
      <c r="D10701" s="1" t="n">
        <v>45365</v>
      </c>
      <c r="E10701" s="1" t="n">
        <v>46307</v>
      </c>
      <c r="F10701" t="inlineStr">
        <is>
          <t>VÄRMLANDS LÄN</t>
        </is>
      </c>
      <c r="G10701" t="inlineStr">
        <is>
          <t>TORSBY</t>
        </is>
      </c>
      <c r="I10701" t="n">
        <v>0.3</v>
      </c>
      <c r="J10701" t="n">
        <v>0</v>
      </c>
      <c r="K10701" t="n">
        <v>0</v>
      </c>
      <c r="L10701" t="n">
        <v>0</v>
      </c>
      <c r="M10701" t="n">
        <v>0</v>
      </c>
      <c r="N10701" t="n">
        <v>0</v>
      </c>
      <c r="O10701" t="n">
        <v>0</v>
      </c>
      <c r="P10701" t="n">
        <v>0</v>
      </c>
      <c r="Q10701" t="n">
        <v>0</v>
      </c>
      <c r="R10701" t="n">
        <v>0</v>
      </c>
      <c r="S10701" t="n">
        <v>0</v>
      </c>
      <c r="T10701" t="n">
        <v>0</v>
      </c>
      <c r="U10701" t="n">
        <v>0</v>
      </c>
      <c r="V10701" s="2" t="inlineStr"/>
    </row>
    <row r="10702" ht="15" customHeight="1">
      <c r="A10702" t="inlineStr">
        <is>
          <t>S 4141-2023</t>
        </is>
      </c>
      <c r="B10702" t="inlineStr">
        <is>
          <t>samrådsanmälan</t>
        </is>
      </c>
      <c r="C10702" t="inlineStr">
        <is>
          <t>Skogsgödsling</t>
        </is>
      </c>
      <c r="D10702" s="1" t="n">
        <v>45247</v>
      </c>
      <c r="E10702" s="1" t="n">
        <v>46307</v>
      </c>
      <c r="F10702" t="inlineStr">
        <is>
          <t>VÄRMLANDS LÄN</t>
        </is>
      </c>
      <c r="G10702" t="inlineStr">
        <is>
          <t>STORFORS</t>
        </is>
      </c>
      <c r="H10702" t="inlineStr">
        <is>
          <t>Naturvårdsverket</t>
        </is>
      </c>
      <c r="I10702" t="n">
        <v>20.6</v>
      </c>
      <c r="J10702" t="n">
        <v>0</v>
      </c>
      <c r="K10702" t="n">
        <v>0</v>
      </c>
      <c r="L10702" t="n">
        <v>0</v>
      </c>
      <c r="M10702" t="n">
        <v>0</v>
      </c>
      <c r="N10702" t="n">
        <v>0</v>
      </c>
      <c r="O10702" t="n">
        <v>0</v>
      </c>
      <c r="P10702" t="n">
        <v>0</v>
      </c>
      <c r="Q10702" t="n">
        <v>0</v>
      </c>
      <c r="R10702" t="n">
        <v>0</v>
      </c>
      <c r="S10702" t="n">
        <v>0</v>
      </c>
      <c r="T10702" t="n">
        <v>0</v>
      </c>
      <c r="U10702" t="n">
        <v>0</v>
      </c>
      <c r="V10702" s="2" t="inlineStr"/>
    </row>
    <row r="10703" ht="15" customHeight="1">
      <c r="A10703" t="inlineStr">
        <is>
          <t>S 6265-2022</t>
        </is>
      </c>
      <c r="B10703" t="inlineStr">
        <is>
          <t>samrådsanmälan</t>
        </is>
      </c>
      <c r="C10703" t="inlineStr">
        <is>
          <t>Skogsbilväg</t>
        </is>
      </c>
      <c r="D10703" s="1" t="n">
        <v>44869</v>
      </c>
      <c r="E10703" s="1" t="n">
        <v>46307</v>
      </c>
      <c r="F10703" t="inlineStr">
        <is>
          <t>VÄRMLANDS LÄN</t>
        </is>
      </c>
      <c r="G10703" t="inlineStr">
        <is>
          <t>TORSBY</t>
        </is>
      </c>
      <c r="I10703" t="n">
        <v>1.3</v>
      </c>
      <c r="J10703" t="n">
        <v>0</v>
      </c>
      <c r="K10703" t="n">
        <v>0</v>
      </c>
      <c r="L10703" t="n">
        <v>0</v>
      </c>
      <c r="M10703" t="n">
        <v>0</v>
      </c>
      <c r="N10703" t="n">
        <v>0</v>
      </c>
      <c r="O10703" t="n">
        <v>0</v>
      </c>
      <c r="P10703" t="n">
        <v>0</v>
      </c>
      <c r="Q10703" t="n">
        <v>0</v>
      </c>
      <c r="R10703" t="n">
        <v>0</v>
      </c>
      <c r="S10703" t="n">
        <v>0</v>
      </c>
      <c r="T10703" t="n">
        <v>0</v>
      </c>
      <c r="U10703" t="n">
        <v>0</v>
      </c>
      <c r="V10703" s="2" t="inlineStr"/>
    </row>
    <row r="10704" ht="15" customHeight="1">
      <c r="A10704" t="inlineStr">
        <is>
          <t>S 3995-2024</t>
        </is>
      </c>
      <c r="B10704" t="inlineStr">
        <is>
          <t>samrådsanmälan</t>
        </is>
      </c>
      <c r="C10704" t="inlineStr">
        <is>
          <t>Askåterföring</t>
        </is>
      </c>
      <c r="D10704" s="1" t="n">
        <v>45569</v>
      </c>
      <c r="E10704" s="1" t="n">
        <v>46307</v>
      </c>
      <c r="F10704" t="inlineStr">
        <is>
          <t>VÄRMLANDS LÄN</t>
        </is>
      </c>
      <c r="G10704" t="inlineStr">
        <is>
          <t>KIL</t>
        </is>
      </c>
      <c r="I10704" t="n">
        <v>25.3</v>
      </c>
      <c r="J10704" t="n">
        <v>0</v>
      </c>
      <c r="K10704" t="n">
        <v>0</v>
      </c>
      <c r="L10704" t="n">
        <v>0</v>
      </c>
      <c r="M10704" t="n">
        <v>0</v>
      </c>
      <c r="N10704" t="n">
        <v>0</v>
      </c>
      <c r="O10704" t="n">
        <v>0</v>
      </c>
      <c r="P10704" t="n">
        <v>0</v>
      </c>
      <c r="Q10704" t="n">
        <v>0</v>
      </c>
      <c r="R10704" t="n">
        <v>0</v>
      </c>
      <c r="S10704" t="n">
        <v>0</v>
      </c>
      <c r="T10704" t="n">
        <v>0</v>
      </c>
      <c r="U10704" t="n">
        <v>0</v>
      </c>
      <c r="V10704" s="2" t="inlineStr"/>
    </row>
    <row r="10705" ht="15" customHeight="1">
      <c r="A10705" t="inlineStr">
        <is>
          <t>S 6970-2022</t>
        </is>
      </c>
      <c r="B10705" t="inlineStr">
        <is>
          <t>samrådsanmälan</t>
        </is>
      </c>
      <c r="C10705" t="inlineStr">
        <is>
          <t>Skogsgödsling</t>
        </is>
      </c>
      <c r="D10705" s="1" t="n">
        <v>44901</v>
      </c>
      <c r="E10705" s="1" t="n">
        <v>46307</v>
      </c>
      <c r="F10705" t="inlineStr">
        <is>
          <t>VÄRMLANDS LÄN</t>
        </is>
      </c>
      <c r="G10705" t="inlineStr">
        <is>
          <t>HAGFORS</t>
        </is>
      </c>
      <c r="H10705" t="inlineStr">
        <is>
          <t>Bergvik skog väst AB</t>
        </is>
      </c>
      <c r="I10705" t="n">
        <v>29.3</v>
      </c>
      <c r="J10705" t="n">
        <v>0</v>
      </c>
      <c r="K10705" t="n">
        <v>0</v>
      </c>
      <c r="L10705" t="n">
        <v>0</v>
      </c>
      <c r="M10705" t="n">
        <v>0</v>
      </c>
      <c r="N10705" t="n">
        <v>0</v>
      </c>
      <c r="O10705" t="n">
        <v>0</v>
      </c>
      <c r="P10705" t="n">
        <v>0</v>
      </c>
      <c r="Q10705" t="n">
        <v>0</v>
      </c>
      <c r="R10705" t="n">
        <v>0</v>
      </c>
      <c r="S10705" t="n">
        <v>0</v>
      </c>
      <c r="T10705" t="n">
        <v>0</v>
      </c>
      <c r="U10705" t="n">
        <v>0</v>
      </c>
      <c r="V10705" s="2" t="inlineStr"/>
    </row>
    <row r="10706" ht="15" customHeight="1">
      <c r="A10706" t="inlineStr">
        <is>
          <t>S 4408-2023</t>
        </is>
      </c>
      <c r="B10706" t="inlineStr">
        <is>
          <t>samrådsanmälan</t>
        </is>
      </c>
      <c r="C10706" t="inlineStr">
        <is>
          <t>Skogsgödsling</t>
        </is>
      </c>
      <c r="D10706" s="1" t="n">
        <v>45266</v>
      </c>
      <c r="E10706" s="1" t="n">
        <v>46307</v>
      </c>
      <c r="F10706" t="inlineStr">
        <is>
          <t>VÄRMLANDS LÄN</t>
        </is>
      </c>
      <c r="G10706" t="inlineStr">
        <is>
          <t>HAGFORS</t>
        </is>
      </c>
      <c r="H10706" t="inlineStr">
        <is>
          <t>Bergvik skog väst AB</t>
        </is>
      </c>
      <c r="I10706" t="n">
        <v>13.7</v>
      </c>
      <c r="J10706" t="n">
        <v>0</v>
      </c>
      <c r="K10706" t="n">
        <v>0</v>
      </c>
      <c r="L10706" t="n">
        <v>0</v>
      </c>
      <c r="M10706" t="n">
        <v>0</v>
      </c>
      <c r="N10706" t="n">
        <v>0</v>
      </c>
      <c r="O10706" t="n">
        <v>0</v>
      </c>
      <c r="P10706" t="n">
        <v>0</v>
      </c>
      <c r="Q10706" t="n">
        <v>0</v>
      </c>
      <c r="R10706" t="n">
        <v>0</v>
      </c>
      <c r="S10706" t="n">
        <v>0</v>
      </c>
      <c r="T10706" t="n">
        <v>0</v>
      </c>
      <c r="U10706" t="n">
        <v>0</v>
      </c>
      <c r="V10706" s="2" t="inlineStr"/>
    </row>
    <row r="10707" ht="15" customHeight="1">
      <c r="A10707" t="inlineStr">
        <is>
          <t>S 4396-2023</t>
        </is>
      </c>
      <c r="B10707" t="inlineStr">
        <is>
          <t>samrådsanmälan</t>
        </is>
      </c>
      <c r="C10707" t="inlineStr">
        <is>
          <t>Skogsgödsling</t>
        </is>
      </c>
      <c r="D10707" s="1" t="n">
        <v>45266</v>
      </c>
      <c r="E10707" s="1" t="n">
        <v>46307</v>
      </c>
      <c r="F10707" t="inlineStr">
        <is>
          <t>VÄRMLANDS LÄN</t>
        </is>
      </c>
      <c r="G10707" t="inlineStr">
        <is>
          <t>KARLSTAD</t>
        </is>
      </c>
      <c r="H10707" t="inlineStr">
        <is>
          <t>Bergvik skog väst AB</t>
        </is>
      </c>
      <c r="I10707" t="n">
        <v>8.199999999999999</v>
      </c>
      <c r="J10707" t="n">
        <v>0</v>
      </c>
      <c r="K10707" t="n">
        <v>0</v>
      </c>
      <c r="L10707" t="n">
        <v>0</v>
      </c>
      <c r="M10707" t="n">
        <v>0</v>
      </c>
      <c r="N10707" t="n">
        <v>0</v>
      </c>
      <c r="O10707" t="n">
        <v>0</v>
      </c>
      <c r="P10707" t="n">
        <v>0</v>
      </c>
      <c r="Q10707" t="n">
        <v>0</v>
      </c>
      <c r="R10707" t="n">
        <v>0</v>
      </c>
      <c r="S10707" t="n">
        <v>0</v>
      </c>
      <c r="T10707" t="n">
        <v>0</v>
      </c>
      <c r="U10707" t="n">
        <v>0</v>
      </c>
      <c r="V10707" s="2" t="inlineStr"/>
    </row>
    <row r="10708" ht="15" customHeight="1">
      <c r="A10708" t="inlineStr">
        <is>
          <t>S 631-2024</t>
        </is>
      </c>
      <c r="B10708" t="inlineStr">
        <is>
          <t>samrådsanmälan</t>
        </is>
      </c>
      <c r="C10708" t="inlineStr">
        <is>
          <t>Skogsgödsling</t>
        </is>
      </c>
      <c r="D10708" s="1" t="n">
        <v>45355</v>
      </c>
      <c r="E10708" s="1" t="n">
        <v>46307</v>
      </c>
      <c r="F10708" t="inlineStr">
        <is>
          <t>VÄRMLANDS LÄN</t>
        </is>
      </c>
      <c r="G10708" t="inlineStr">
        <is>
          <t>ÅRJÄNG</t>
        </is>
      </c>
      <c r="I10708" t="n">
        <v>21.5</v>
      </c>
      <c r="J10708" t="n">
        <v>0</v>
      </c>
      <c r="K10708" t="n">
        <v>0</v>
      </c>
      <c r="L10708" t="n">
        <v>0</v>
      </c>
      <c r="M10708" t="n">
        <v>0</v>
      </c>
      <c r="N10708" t="n">
        <v>0</v>
      </c>
      <c r="O10708" t="n">
        <v>0</v>
      </c>
      <c r="P10708" t="n">
        <v>0</v>
      </c>
      <c r="Q10708" t="n">
        <v>0</v>
      </c>
      <c r="R10708" t="n">
        <v>0</v>
      </c>
      <c r="S10708" t="n">
        <v>0</v>
      </c>
      <c r="T10708" t="n">
        <v>0</v>
      </c>
      <c r="U10708" t="n">
        <v>0</v>
      </c>
      <c r="V10708" s="2" t="inlineStr"/>
    </row>
    <row r="10709" ht="15" customHeight="1">
      <c r="A10709" t="inlineStr">
        <is>
          <t>S 7132-2022</t>
        </is>
      </c>
      <c r="B10709" t="inlineStr">
        <is>
          <t>samrådsanmälan</t>
        </is>
      </c>
      <c r="C10709" t="inlineStr">
        <is>
          <t>Skogsgödsling</t>
        </is>
      </c>
      <c r="D10709" s="1" t="n">
        <v>44911</v>
      </c>
      <c r="E10709" s="1" t="n">
        <v>46307</v>
      </c>
      <c r="F10709" t="inlineStr">
        <is>
          <t>VÄRMLANDS LÄN</t>
        </is>
      </c>
      <c r="G10709" t="inlineStr">
        <is>
          <t>SÄFFLE</t>
        </is>
      </c>
      <c r="H10709" t="inlineStr">
        <is>
          <t>Bergvik skog väst AB</t>
        </is>
      </c>
      <c r="I10709" t="n">
        <v>13.9</v>
      </c>
      <c r="J10709" t="n">
        <v>0</v>
      </c>
      <c r="K10709" t="n">
        <v>0</v>
      </c>
      <c r="L10709" t="n">
        <v>0</v>
      </c>
      <c r="M10709" t="n">
        <v>0</v>
      </c>
      <c r="N10709" t="n">
        <v>0</v>
      </c>
      <c r="O10709" t="n">
        <v>0</v>
      </c>
      <c r="P10709" t="n">
        <v>0</v>
      </c>
      <c r="Q10709" t="n">
        <v>0</v>
      </c>
      <c r="R10709" t="n">
        <v>0</v>
      </c>
      <c r="S10709" t="n">
        <v>0</v>
      </c>
      <c r="T10709" t="n">
        <v>0</v>
      </c>
      <c r="U10709" t="n">
        <v>0</v>
      </c>
      <c r="V10709" s="2" t="inlineStr"/>
    </row>
    <row r="10710" ht="15" customHeight="1">
      <c r="A10710" t="inlineStr">
        <is>
          <t>S 7134-2022</t>
        </is>
      </c>
      <c r="B10710" t="inlineStr">
        <is>
          <t>samrådsanmälan</t>
        </is>
      </c>
      <c r="C10710" t="inlineStr">
        <is>
          <t>Skogsgödsling</t>
        </is>
      </c>
      <c r="D10710" s="1" t="n">
        <v>44911</v>
      </c>
      <c r="E10710" s="1" t="n">
        <v>46307</v>
      </c>
      <c r="F10710" t="inlineStr">
        <is>
          <t>VÄRMLANDS LÄN</t>
        </is>
      </c>
      <c r="G10710" t="inlineStr">
        <is>
          <t>SÄFFLE</t>
        </is>
      </c>
      <c r="H10710" t="inlineStr">
        <is>
          <t>Bergvik skog väst AB</t>
        </is>
      </c>
      <c r="I10710" t="n">
        <v>10.5</v>
      </c>
      <c r="J10710" t="n">
        <v>0</v>
      </c>
      <c r="K10710" t="n">
        <v>0</v>
      </c>
      <c r="L10710" t="n">
        <v>0</v>
      </c>
      <c r="M10710" t="n">
        <v>0</v>
      </c>
      <c r="N10710" t="n">
        <v>0</v>
      </c>
      <c r="O10710" t="n">
        <v>0</v>
      </c>
      <c r="P10710" t="n">
        <v>0</v>
      </c>
      <c r="Q10710" t="n">
        <v>0</v>
      </c>
      <c r="R10710" t="n">
        <v>0</v>
      </c>
      <c r="S10710" t="n">
        <v>0</v>
      </c>
      <c r="T10710" t="n">
        <v>0</v>
      </c>
      <c r="U10710" t="n">
        <v>0</v>
      </c>
      <c r="V10710" s="2" t="inlineStr"/>
    </row>
    <row r="10711" ht="15" customHeight="1">
      <c r="A10711" t="inlineStr">
        <is>
          <t>S 2688-2024</t>
        </is>
      </c>
      <c r="B10711" t="inlineStr">
        <is>
          <t>samrådsanmälan</t>
        </is>
      </c>
      <c r="C10711" t="inlineStr">
        <is>
          <t>Askåterföring</t>
        </is>
      </c>
      <c r="D10711" s="1" t="n">
        <v>45481</v>
      </c>
      <c r="E10711" s="1" t="n">
        <v>46307</v>
      </c>
      <c r="F10711" t="inlineStr">
        <is>
          <t>VÄRMLANDS LÄN</t>
        </is>
      </c>
      <c r="G10711" t="inlineStr">
        <is>
          <t>KARLSTAD</t>
        </is>
      </c>
      <c r="I10711" t="n">
        <v>31.6</v>
      </c>
      <c r="J10711" t="n">
        <v>0</v>
      </c>
      <c r="K10711" t="n">
        <v>0</v>
      </c>
      <c r="L10711" t="n">
        <v>0</v>
      </c>
      <c r="M10711" t="n">
        <v>0</v>
      </c>
      <c r="N10711" t="n">
        <v>0</v>
      </c>
      <c r="O10711" t="n">
        <v>0</v>
      </c>
      <c r="P10711" t="n">
        <v>0</v>
      </c>
      <c r="Q10711" t="n">
        <v>0</v>
      </c>
      <c r="R10711" t="n">
        <v>0</v>
      </c>
      <c r="S10711" t="n">
        <v>0</v>
      </c>
      <c r="T10711" t="n">
        <v>0</v>
      </c>
      <c r="U10711" t="n">
        <v>0</v>
      </c>
      <c r="V10711" s="2" t="inlineStr"/>
    </row>
    <row r="10712" ht="15" customHeight="1">
      <c r="A10712" t="inlineStr">
        <is>
          <t>S 4411-2023</t>
        </is>
      </c>
      <c r="B10712" t="inlineStr">
        <is>
          <t>samrådsanmälan</t>
        </is>
      </c>
      <c r="C10712" t="inlineStr">
        <is>
          <t>Skogsgödsling</t>
        </is>
      </c>
      <c r="D10712" s="1" t="n">
        <v>45266</v>
      </c>
      <c r="E10712" s="1" t="n">
        <v>46307</v>
      </c>
      <c r="F10712" t="inlineStr">
        <is>
          <t>VÄRMLANDS LÄN</t>
        </is>
      </c>
      <c r="G10712" t="inlineStr">
        <is>
          <t>FORSHAGA</t>
        </is>
      </c>
      <c r="H10712" t="inlineStr">
        <is>
          <t>Bergvik skog väst AB</t>
        </is>
      </c>
      <c r="I10712" t="n">
        <v>7.3</v>
      </c>
      <c r="J10712" t="n">
        <v>0</v>
      </c>
      <c r="K10712" t="n">
        <v>0</v>
      </c>
      <c r="L10712" t="n">
        <v>0</v>
      </c>
      <c r="M10712" t="n">
        <v>0</v>
      </c>
      <c r="N10712" t="n">
        <v>0</v>
      </c>
      <c r="O10712" t="n">
        <v>0</v>
      </c>
      <c r="P10712" t="n">
        <v>0</v>
      </c>
      <c r="Q10712" t="n">
        <v>0</v>
      </c>
      <c r="R10712" t="n">
        <v>0</v>
      </c>
      <c r="S10712" t="n">
        <v>0</v>
      </c>
      <c r="T10712" t="n">
        <v>0</v>
      </c>
      <c r="U10712" t="n">
        <v>0</v>
      </c>
      <c r="V10712" s="2" t="inlineStr"/>
    </row>
    <row r="10713" ht="15" customHeight="1">
      <c r="A10713" t="inlineStr">
        <is>
          <t>S 10226-2021</t>
        </is>
      </c>
      <c r="B10713" t="inlineStr">
        <is>
          <t>samrådsanmälan</t>
        </is>
      </c>
      <c r="C10713" t="inlineStr">
        <is>
          <t>Skogsgödsling</t>
        </is>
      </c>
      <c r="D10713" s="1" t="n">
        <v>44542</v>
      </c>
      <c r="E10713" s="1" t="n">
        <v>46307</v>
      </c>
      <c r="F10713" t="inlineStr">
        <is>
          <t>VÄRMLANDS LÄN</t>
        </is>
      </c>
      <c r="G10713" t="inlineStr">
        <is>
          <t>ARVIKA</t>
        </is>
      </c>
      <c r="H10713" t="inlineStr">
        <is>
          <t>Bergvik skog väst AB</t>
        </is>
      </c>
      <c r="I10713" t="n">
        <v>14</v>
      </c>
      <c r="J10713" t="n">
        <v>0</v>
      </c>
      <c r="K10713" t="n">
        <v>0</v>
      </c>
      <c r="L10713" t="n">
        <v>0</v>
      </c>
      <c r="M10713" t="n">
        <v>0</v>
      </c>
      <c r="N10713" t="n">
        <v>0</v>
      </c>
      <c r="O10713" t="n">
        <v>0</v>
      </c>
      <c r="P10713" t="n">
        <v>0</v>
      </c>
      <c r="Q10713" t="n">
        <v>0</v>
      </c>
      <c r="R10713" t="n">
        <v>0</v>
      </c>
      <c r="S10713" t="n">
        <v>0</v>
      </c>
      <c r="T10713" t="n">
        <v>0</v>
      </c>
      <c r="U10713" t="n">
        <v>0</v>
      </c>
      <c r="V10713" s="2" t="inlineStr"/>
    </row>
    <row r="10714" ht="15" customHeight="1">
      <c r="A10714" t="inlineStr">
        <is>
          <t>S 6968-2022</t>
        </is>
      </c>
      <c r="B10714" t="inlineStr">
        <is>
          <t>samrådsanmälan</t>
        </is>
      </c>
      <c r="C10714" t="inlineStr">
        <is>
          <t>Skogsgödsling</t>
        </is>
      </c>
      <c r="D10714" s="1" t="n">
        <v>44901</v>
      </c>
      <c r="E10714" s="1" t="n">
        <v>46307</v>
      </c>
      <c r="F10714" t="inlineStr">
        <is>
          <t>VÄRMLANDS LÄN</t>
        </is>
      </c>
      <c r="G10714" t="inlineStr">
        <is>
          <t>HAGFORS</t>
        </is>
      </c>
      <c r="H10714" t="inlineStr">
        <is>
          <t>Bergvik skog väst AB</t>
        </is>
      </c>
      <c r="I10714" t="n">
        <v>19.3</v>
      </c>
      <c r="J10714" t="n">
        <v>0</v>
      </c>
      <c r="K10714" t="n">
        <v>0</v>
      </c>
      <c r="L10714" t="n">
        <v>0</v>
      </c>
      <c r="M10714" t="n">
        <v>0</v>
      </c>
      <c r="N10714" t="n">
        <v>0</v>
      </c>
      <c r="O10714" t="n">
        <v>0</v>
      </c>
      <c r="P10714" t="n">
        <v>0</v>
      </c>
      <c r="Q10714" t="n">
        <v>0</v>
      </c>
      <c r="R10714" t="n">
        <v>0</v>
      </c>
      <c r="S10714" t="n">
        <v>0</v>
      </c>
      <c r="T10714" t="n">
        <v>0</v>
      </c>
      <c r="U10714" t="n">
        <v>0</v>
      </c>
      <c r="V10714" s="2" t="inlineStr"/>
    </row>
    <row r="10715" ht="15" customHeight="1">
      <c r="A10715" t="inlineStr">
        <is>
          <t>S 475-2024</t>
        </is>
      </c>
      <c r="B10715" t="inlineStr">
        <is>
          <t>samrådsanmälan</t>
        </is>
      </c>
      <c r="C10715" t="inlineStr">
        <is>
          <t>Skogsgödsling</t>
        </is>
      </c>
      <c r="D10715" s="1" t="n">
        <v>45343</v>
      </c>
      <c r="E10715" s="1" t="n">
        <v>46307</v>
      </c>
      <c r="F10715" t="inlineStr">
        <is>
          <t>VÄRMLANDS LÄN</t>
        </is>
      </c>
      <c r="G10715" t="inlineStr">
        <is>
          <t>TORSBY</t>
        </is>
      </c>
      <c r="I10715" t="n">
        <v>3.7</v>
      </c>
      <c r="J10715" t="n">
        <v>0</v>
      </c>
      <c r="K10715" t="n">
        <v>0</v>
      </c>
      <c r="L10715" t="n">
        <v>0</v>
      </c>
      <c r="M10715" t="n">
        <v>0</v>
      </c>
      <c r="N10715" t="n">
        <v>0</v>
      </c>
      <c r="O10715" t="n">
        <v>0</v>
      </c>
      <c r="P10715" t="n">
        <v>0</v>
      </c>
      <c r="Q10715" t="n">
        <v>0</v>
      </c>
      <c r="R10715" t="n">
        <v>0</v>
      </c>
      <c r="S10715" t="n">
        <v>0</v>
      </c>
      <c r="T10715" t="n">
        <v>0</v>
      </c>
      <c r="U10715" t="n">
        <v>0</v>
      </c>
      <c r="V10715" s="2" t="inlineStr"/>
    </row>
    <row r="10716" ht="15" customHeight="1">
      <c r="A10716" t="inlineStr">
        <is>
          <t>S 4423-2023</t>
        </is>
      </c>
      <c r="B10716" t="inlineStr">
        <is>
          <t>samrådsanmälan</t>
        </is>
      </c>
      <c r="C10716" t="inlineStr">
        <is>
          <t>Skogsgödsling</t>
        </is>
      </c>
      <c r="D10716" s="1" t="n">
        <v>45266</v>
      </c>
      <c r="E10716" s="1" t="n">
        <v>46307</v>
      </c>
      <c r="F10716" t="inlineStr">
        <is>
          <t>VÄRMLANDS LÄN</t>
        </is>
      </c>
      <c r="G10716" t="inlineStr">
        <is>
          <t>HAGFORS</t>
        </is>
      </c>
      <c r="H10716" t="inlineStr">
        <is>
          <t>Bergvik skog väst AB</t>
        </is>
      </c>
      <c r="I10716" t="n">
        <v>15.7</v>
      </c>
      <c r="J10716" t="n">
        <v>0</v>
      </c>
      <c r="K10716" t="n">
        <v>0</v>
      </c>
      <c r="L10716" t="n">
        <v>0</v>
      </c>
      <c r="M10716" t="n">
        <v>0</v>
      </c>
      <c r="N10716" t="n">
        <v>0</v>
      </c>
      <c r="O10716" t="n">
        <v>0</v>
      </c>
      <c r="P10716" t="n">
        <v>0</v>
      </c>
      <c r="Q10716" t="n">
        <v>0</v>
      </c>
      <c r="R10716" t="n">
        <v>0</v>
      </c>
      <c r="S10716" t="n">
        <v>0</v>
      </c>
      <c r="T10716" t="n">
        <v>0</v>
      </c>
      <c r="U10716" t="n">
        <v>0</v>
      </c>
      <c r="V10716" s="2" t="inlineStr"/>
    </row>
    <row r="10717" ht="15" customHeight="1">
      <c r="A10717" t="inlineStr">
        <is>
          <t>S 4137-2023</t>
        </is>
      </c>
      <c r="B10717" t="inlineStr">
        <is>
          <t>samrådsanmälan</t>
        </is>
      </c>
      <c r="C10717" t="inlineStr">
        <is>
          <t>Skogsgödsling</t>
        </is>
      </c>
      <c r="D10717" s="1" t="n">
        <v>45247</v>
      </c>
      <c r="E10717" s="1" t="n">
        <v>46307</v>
      </c>
      <c r="F10717" t="inlineStr">
        <is>
          <t>VÄRMLANDS LÄN</t>
        </is>
      </c>
      <c r="G10717" t="inlineStr">
        <is>
          <t>FILIPSTAD</t>
        </is>
      </c>
      <c r="H10717" t="inlineStr">
        <is>
          <t>Bergvik skog väst AB</t>
        </is>
      </c>
      <c r="I10717" t="n">
        <v>16.5</v>
      </c>
      <c r="J10717" t="n">
        <v>0</v>
      </c>
      <c r="K10717" t="n">
        <v>0</v>
      </c>
      <c r="L10717" t="n">
        <v>0</v>
      </c>
      <c r="M10717" t="n">
        <v>0</v>
      </c>
      <c r="N10717" t="n">
        <v>0</v>
      </c>
      <c r="O10717" t="n">
        <v>0</v>
      </c>
      <c r="P10717" t="n">
        <v>0</v>
      </c>
      <c r="Q10717" t="n">
        <v>0</v>
      </c>
      <c r="R10717" t="n">
        <v>0</v>
      </c>
      <c r="S10717" t="n">
        <v>0</v>
      </c>
      <c r="T10717" t="n">
        <v>0</v>
      </c>
      <c r="U10717" t="n">
        <v>0</v>
      </c>
      <c r="V10717" s="2" t="inlineStr"/>
    </row>
    <row r="10718" ht="15" customHeight="1">
      <c r="A10718" t="inlineStr">
        <is>
          <t>S 1429-2024</t>
        </is>
      </c>
      <c r="B10718" t="inlineStr">
        <is>
          <t>samrådsanmälan</t>
        </is>
      </c>
      <c r="C10718" t="inlineStr">
        <is>
          <t>Skogsgödsling</t>
        </is>
      </c>
      <c r="D10718" s="1" t="n">
        <v>45415</v>
      </c>
      <c r="E10718" s="1" t="n">
        <v>46307</v>
      </c>
      <c r="F10718" t="inlineStr">
        <is>
          <t>VÄRMLANDS LÄN</t>
        </is>
      </c>
      <c r="G10718" t="inlineStr">
        <is>
          <t>HAMMARÖ</t>
        </is>
      </c>
      <c r="I10718" t="n">
        <v>2</v>
      </c>
      <c r="J10718" t="n">
        <v>0</v>
      </c>
      <c r="K10718" t="n">
        <v>0</v>
      </c>
      <c r="L10718" t="n">
        <v>0</v>
      </c>
      <c r="M10718" t="n">
        <v>0</v>
      </c>
      <c r="N10718" t="n">
        <v>0</v>
      </c>
      <c r="O10718" t="n">
        <v>0</v>
      </c>
      <c r="P10718" t="n">
        <v>0</v>
      </c>
      <c r="Q10718" t="n">
        <v>0</v>
      </c>
      <c r="R10718" t="n">
        <v>0</v>
      </c>
      <c r="S10718" t="n">
        <v>0</v>
      </c>
      <c r="T10718" t="n">
        <v>0</v>
      </c>
      <c r="U10718" t="n">
        <v>0</v>
      </c>
      <c r="V10718" s="2" t="inlineStr"/>
    </row>
    <row r="10719" ht="15" customHeight="1">
      <c r="A10719" t="inlineStr">
        <is>
          <t>S 4418-2023</t>
        </is>
      </c>
      <c r="B10719" t="inlineStr">
        <is>
          <t>samrådsanmälan</t>
        </is>
      </c>
      <c r="C10719" t="inlineStr">
        <is>
          <t>Skogsgödsling</t>
        </is>
      </c>
      <c r="D10719" s="1" t="n">
        <v>45266</v>
      </c>
      <c r="E10719" s="1" t="n">
        <v>46307</v>
      </c>
      <c r="F10719" t="inlineStr">
        <is>
          <t>VÄRMLANDS LÄN</t>
        </is>
      </c>
      <c r="G10719" t="inlineStr">
        <is>
          <t>HAGFORS</t>
        </is>
      </c>
      <c r="H10719" t="inlineStr">
        <is>
          <t>Bergvik skog väst AB</t>
        </is>
      </c>
      <c r="I10719" t="n">
        <v>19.1</v>
      </c>
      <c r="J10719" t="n">
        <v>0</v>
      </c>
      <c r="K10719" t="n">
        <v>0</v>
      </c>
      <c r="L10719" t="n">
        <v>0</v>
      </c>
      <c r="M10719" t="n">
        <v>0</v>
      </c>
      <c r="N10719" t="n">
        <v>0</v>
      </c>
      <c r="O10719" t="n">
        <v>0</v>
      </c>
      <c r="P10719" t="n">
        <v>0</v>
      </c>
      <c r="Q10719" t="n">
        <v>0</v>
      </c>
      <c r="R10719" t="n">
        <v>0</v>
      </c>
      <c r="S10719" t="n">
        <v>0</v>
      </c>
      <c r="T10719" t="n">
        <v>0</v>
      </c>
      <c r="U10719" t="n">
        <v>0</v>
      </c>
      <c r="V10719" s="2" t="inlineStr"/>
    </row>
    <row r="10720" ht="15" customHeight="1">
      <c r="A10720" t="inlineStr">
        <is>
          <t>S 6974-2022</t>
        </is>
      </c>
      <c r="B10720" t="inlineStr">
        <is>
          <t>samrådsanmälan</t>
        </is>
      </c>
      <c r="C10720" t="inlineStr">
        <is>
          <t>Skogsgödsling</t>
        </is>
      </c>
      <c r="D10720" s="1" t="n">
        <v>44901</v>
      </c>
      <c r="E10720" s="1" t="n">
        <v>46307</v>
      </c>
      <c r="F10720" t="inlineStr">
        <is>
          <t>VÄRMLANDS LÄN</t>
        </is>
      </c>
      <c r="G10720" t="inlineStr">
        <is>
          <t>FORSHAGA</t>
        </is>
      </c>
      <c r="H10720" t="inlineStr">
        <is>
          <t>Bergvik skog väst AB</t>
        </is>
      </c>
      <c r="I10720" t="n">
        <v>28.8</v>
      </c>
      <c r="J10720" t="n">
        <v>0</v>
      </c>
      <c r="K10720" t="n">
        <v>0</v>
      </c>
      <c r="L10720" t="n">
        <v>0</v>
      </c>
      <c r="M10720" t="n">
        <v>0</v>
      </c>
      <c r="N10720" t="n">
        <v>0</v>
      </c>
      <c r="O10720" t="n">
        <v>0</v>
      </c>
      <c r="P10720" t="n">
        <v>0</v>
      </c>
      <c r="Q10720" t="n">
        <v>0</v>
      </c>
      <c r="R10720" t="n">
        <v>0</v>
      </c>
      <c r="S10720" t="n">
        <v>0</v>
      </c>
      <c r="T10720" t="n">
        <v>0</v>
      </c>
      <c r="U10720" t="n">
        <v>0</v>
      </c>
      <c r="V10720" s="2" t="inlineStr"/>
    </row>
    <row r="10721" ht="15" customHeight="1">
      <c r="A10721" t="inlineStr">
        <is>
          <t>S 5508-2022</t>
        </is>
      </c>
      <c r="B10721" t="inlineStr">
        <is>
          <t>samrådsanmälan</t>
        </is>
      </c>
      <c r="C10721" t="inlineStr">
        <is>
          <t>Skogsgödsling</t>
        </is>
      </c>
      <c r="D10721" s="1" t="n">
        <v>44834</v>
      </c>
      <c r="E10721" s="1" t="n">
        <v>46307</v>
      </c>
      <c r="F10721" t="inlineStr">
        <is>
          <t>VÄRMLANDS LÄN</t>
        </is>
      </c>
      <c r="G10721" t="inlineStr">
        <is>
          <t>SUNNE</t>
        </is>
      </c>
      <c r="H10721" t="inlineStr">
        <is>
          <t>Bergvik skog väst AB</t>
        </is>
      </c>
      <c r="I10721" t="n">
        <v>17.8</v>
      </c>
      <c r="J10721" t="n">
        <v>0</v>
      </c>
      <c r="K10721" t="n">
        <v>0</v>
      </c>
      <c r="L10721" t="n">
        <v>0</v>
      </c>
      <c r="M10721" t="n">
        <v>0</v>
      </c>
      <c r="N10721" t="n">
        <v>0</v>
      </c>
      <c r="O10721" t="n">
        <v>0</v>
      </c>
      <c r="P10721" t="n">
        <v>0</v>
      </c>
      <c r="Q10721" t="n">
        <v>0</v>
      </c>
      <c r="R10721" t="n">
        <v>0</v>
      </c>
      <c r="S10721" t="n">
        <v>0</v>
      </c>
      <c r="T10721" t="n">
        <v>0</v>
      </c>
      <c r="U10721" t="n">
        <v>0</v>
      </c>
      <c r="V10721" s="2" t="inlineStr"/>
    </row>
    <row r="10722" ht="15" customHeight="1">
      <c r="A10722" t="inlineStr">
        <is>
          <t>S 10208-2021</t>
        </is>
      </c>
      <c r="B10722" t="inlineStr">
        <is>
          <t>samrådsanmälan</t>
        </is>
      </c>
      <c r="C10722" t="inlineStr">
        <is>
          <t>Skogsgödsling</t>
        </is>
      </c>
      <c r="D10722" s="1" t="n">
        <v>44540</v>
      </c>
      <c r="E10722" s="1" t="n">
        <v>46307</v>
      </c>
      <c r="F10722" t="inlineStr">
        <is>
          <t>VÄRMLANDS LÄN</t>
        </is>
      </c>
      <c r="G10722" t="inlineStr">
        <is>
          <t>SÄFFLE</t>
        </is>
      </c>
      <c r="H10722" t="inlineStr">
        <is>
          <t>Bergvik skog väst AB</t>
        </is>
      </c>
      <c r="I10722" t="n">
        <v>16.4</v>
      </c>
      <c r="J10722" t="n">
        <v>0</v>
      </c>
      <c r="K10722" t="n">
        <v>0</v>
      </c>
      <c r="L10722" t="n">
        <v>0</v>
      </c>
      <c r="M10722" t="n">
        <v>0</v>
      </c>
      <c r="N10722" t="n">
        <v>0</v>
      </c>
      <c r="O10722" t="n">
        <v>0</v>
      </c>
      <c r="P10722" t="n">
        <v>0</v>
      </c>
      <c r="Q10722" t="n">
        <v>0</v>
      </c>
      <c r="R10722" t="n">
        <v>0</v>
      </c>
      <c r="S10722" t="n">
        <v>0</v>
      </c>
      <c r="T10722" t="n">
        <v>0</v>
      </c>
      <c r="U10722" t="n">
        <v>0</v>
      </c>
      <c r="V10722" s="2" t="inlineStr"/>
    </row>
    <row r="10723" ht="15" customHeight="1">
      <c r="A10723" t="inlineStr">
        <is>
          <t>S 7130-2022</t>
        </is>
      </c>
      <c r="B10723" t="inlineStr">
        <is>
          <t>samrådsanmälan</t>
        </is>
      </c>
      <c r="C10723" t="inlineStr">
        <is>
          <t>Skogsgödsling</t>
        </is>
      </c>
      <c r="D10723" s="1" t="n">
        <v>44911</v>
      </c>
      <c r="E10723" s="1" t="n">
        <v>46307</v>
      </c>
      <c r="F10723" t="inlineStr">
        <is>
          <t>VÄRMLANDS LÄN</t>
        </is>
      </c>
      <c r="G10723" t="inlineStr">
        <is>
          <t>SÄFFLE</t>
        </is>
      </c>
      <c r="H10723" t="inlineStr">
        <is>
          <t>Bergvik skog väst AB</t>
        </is>
      </c>
      <c r="I10723" t="n">
        <v>41</v>
      </c>
      <c r="J10723" t="n">
        <v>0</v>
      </c>
      <c r="K10723" t="n">
        <v>0</v>
      </c>
      <c r="L10723" t="n">
        <v>0</v>
      </c>
      <c r="M10723" t="n">
        <v>0</v>
      </c>
      <c r="N10723" t="n">
        <v>0</v>
      </c>
      <c r="O10723" t="n">
        <v>0</v>
      </c>
      <c r="P10723" t="n">
        <v>0</v>
      </c>
      <c r="Q10723" t="n">
        <v>0</v>
      </c>
      <c r="R10723" t="n">
        <v>0</v>
      </c>
      <c r="S10723" t="n">
        <v>0</v>
      </c>
      <c r="T10723" t="n">
        <v>0</v>
      </c>
      <c r="U10723" t="n">
        <v>0</v>
      </c>
      <c r="V10723" s="2" t="inlineStr"/>
    </row>
    <row r="10724" ht="15" customHeight="1">
      <c r="A10724" t="inlineStr">
        <is>
          <t>S 6812-2022</t>
        </is>
      </c>
      <c r="B10724" t="inlineStr">
        <is>
          <t>samrådsanmälan</t>
        </is>
      </c>
      <c r="C10724" t="inlineStr">
        <is>
          <t>Skogsgödsling</t>
        </is>
      </c>
      <c r="D10724" s="1" t="n">
        <v>44893</v>
      </c>
      <c r="E10724" s="1" t="n">
        <v>46307</v>
      </c>
      <c r="F10724" t="inlineStr">
        <is>
          <t>VÄRMLANDS LÄN</t>
        </is>
      </c>
      <c r="G10724" t="inlineStr">
        <is>
          <t>EDA</t>
        </is>
      </c>
      <c r="H10724" t="inlineStr">
        <is>
          <t>Bergvik skog väst AB</t>
        </is>
      </c>
      <c r="I10724" t="n">
        <v>50.5</v>
      </c>
      <c r="J10724" t="n">
        <v>0</v>
      </c>
      <c r="K10724" t="n">
        <v>0</v>
      </c>
      <c r="L10724" t="n">
        <v>0</v>
      </c>
      <c r="M10724" t="n">
        <v>0</v>
      </c>
      <c r="N10724" t="n">
        <v>0</v>
      </c>
      <c r="O10724" t="n">
        <v>0</v>
      </c>
      <c r="P10724" t="n">
        <v>0</v>
      </c>
      <c r="Q10724" t="n">
        <v>0</v>
      </c>
      <c r="R10724" t="n">
        <v>0</v>
      </c>
      <c r="S10724" t="n">
        <v>0</v>
      </c>
      <c r="T10724" t="n">
        <v>0</v>
      </c>
      <c r="U10724" t="n">
        <v>0</v>
      </c>
      <c r="V10724" s="2" t="inlineStr"/>
    </row>
    <row r="10725" ht="15" customHeight="1">
      <c r="A10725" t="inlineStr">
        <is>
          <t>S 416-2024</t>
        </is>
      </c>
      <c r="B10725" t="inlineStr">
        <is>
          <t>samrådsanmälan</t>
        </is>
      </c>
      <c r="C10725" t="inlineStr">
        <is>
          <t>Åtgärd i nyckelbiotop</t>
        </is>
      </c>
      <c r="D10725" s="1" t="n">
        <v>45335</v>
      </c>
      <c r="E10725" s="1" t="n">
        <v>46307</v>
      </c>
      <c r="F10725" t="inlineStr">
        <is>
          <t>VÄRMLANDS LÄN</t>
        </is>
      </c>
      <c r="G10725" t="inlineStr">
        <is>
          <t>KARLSTAD</t>
        </is>
      </c>
      <c r="I10725" t="n">
        <v>0.3</v>
      </c>
      <c r="J10725" t="n">
        <v>0</v>
      </c>
      <c r="K10725" t="n">
        <v>0</v>
      </c>
      <c r="L10725" t="n">
        <v>0</v>
      </c>
      <c r="M10725" t="n">
        <v>0</v>
      </c>
      <c r="N10725" t="n">
        <v>0</v>
      </c>
      <c r="O10725" t="n">
        <v>0</v>
      </c>
      <c r="P10725" t="n">
        <v>0</v>
      </c>
      <c r="Q10725" t="n">
        <v>0</v>
      </c>
      <c r="R10725" t="n">
        <v>0</v>
      </c>
      <c r="S10725" t="n">
        <v>0</v>
      </c>
      <c r="T10725" t="n">
        <v>0</v>
      </c>
      <c r="U10725" t="n">
        <v>0</v>
      </c>
      <c r="V10725" s="2" t="inlineStr"/>
    </row>
    <row r="10726" ht="15" customHeight="1">
      <c r="A10726" t="inlineStr">
        <is>
          <t>S 2301-2024</t>
        </is>
      </c>
      <c r="B10726" t="inlineStr">
        <is>
          <t>samrådsanmälan</t>
        </is>
      </c>
      <c r="C10726" t="inlineStr">
        <is>
          <t>Askåterföring</t>
        </is>
      </c>
      <c r="D10726" s="1" t="n">
        <v>45463</v>
      </c>
      <c r="E10726" s="1" t="n">
        <v>46307</v>
      </c>
      <c r="F10726" t="inlineStr">
        <is>
          <t>VÄRMLANDS LÄN</t>
        </is>
      </c>
      <c r="G10726" t="inlineStr">
        <is>
          <t>KRISTINEHAMN</t>
        </is>
      </c>
      <c r="H10726" t="inlineStr">
        <is>
          <t>Bergvik skog väst AB</t>
        </is>
      </c>
      <c r="I10726" t="n">
        <v>28.1</v>
      </c>
      <c r="J10726" t="n">
        <v>0</v>
      </c>
      <c r="K10726" t="n">
        <v>0</v>
      </c>
      <c r="L10726" t="n">
        <v>0</v>
      </c>
      <c r="M10726" t="n">
        <v>0</v>
      </c>
      <c r="N10726" t="n">
        <v>0</v>
      </c>
      <c r="O10726" t="n">
        <v>0</v>
      </c>
      <c r="P10726" t="n">
        <v>0</v>
      </c>
      <c r="Q10726" t="n">
        <v>0</v>
      </c>
      <c r="R10726" t="n">
        <v>0</v>
      </c>
      <c r="S10726" t="n">
        <v>0</v>
      </c>
      <c r="T10726" t="n">
        <v>0</v>
      </c>
      <c r="U10726" t="n">
        <v>0</v>
      </c>
      <c r="V10726" s="2" t="inlineStr"/>
    </row>
    <row r="10727" ht="15" customHeight="1">
      <c r="A10727" t="inlineStr">
        <is>
          <t>S 6972-2022</t>
        </is>
      </c>
      <c r="B10727" t="inlineStr">
        <is>
          <t>samrådsanmälan</t>
        </is>
      </c>
      <c r="C10727" t="inlineStr">
        <is>
          <t>Skogsgödsling</t>
        </is>
      </c>
      <c r="D10727" s="1" t="n">
        <v>44901</v>
      </c>
      <c r="E10727" s="1" t="n">
        <v>46307</v>
      </c>
      <c r="F10727" t="inlineStr">
        <is>
          <t>VÄRMLANDS LÄN</t>
        </is>
      </c>
      <c r="G10727" t="inlineStr">
        <is>
          <t>KARLSTAD</t>
        </is>
      </c>
      <c r="H10727" t="inlineStr">
        <is>
          <t>Naturvårdsverket</t>
        </is>
      </c>
      <c r="I10727" t="n">
        <v>43.4</v>
      </c>
      <c r="J10727" t="n">
        <v>0</v>
      </c>
      <c r="K10727" t="n">
        <v>0</v>
      </c>
      <c r="L10727" t="n">
        <v>0</v>
      </c>
      <c r="M10727" t="n">
        <v>0</v>
      </c>
      <c r="N10727" t="n">
        <v>0</v>
      </c>
      <c r="O10727" t="n">
        <v>0</v>
      </c>
      <c r="P10727" t="n">
        <v>0</v>
      </c>
      <c r="Q10727" t="n">
        <v>0</v>
      </c>
      <c r="R10727" t="n">
        <v>0</v>
      </c>
      <c r="S10727" t="n">
        <v>0</v>
      </c>
      <c r="T10727" t="n">
        <v>0</v>
      </c>
      <c r="U10727" t="n">
        <v>0</v>
      </c>
      <c r="V10727" s="2" t="inlineStr"/>
    </row>
    <row r="10728" ht="15" customHeight="1">
      <c r="A10728" t="inlineStr">
        <is>
          <t>S 10205-2021</t>
        </is>
      </c>
      <c r="B10728" t="inlineStr">
        <is>
          <t>samrådsanmälan</t>
        </is>
      </c>
      <c r="C10728" t="inlineStr">
        <is>
          <t>Skogsgödsling</t>
        </is>
      </c>
      <c r="D10728" s="1" t="n">
        <v>44540</v>
      </c>
      <c r="E10728" s="1" t="n">
        <v>46307</v>
      </c>
      <c r="F10728" t="inlineStr">
        <is>
          <t>VÄRMLANDS LÄN</t>
        </is>
      </c>
      <c r="G10728" t="inlineStr">
        <is>
          <t>SÄFFLE</t>
        </is>
      </c>
      <c r="H10728" t="inlineStr">
        <is>
          <t>Bergvik skog väst AB</t>
        </is>
      </c>
      <c r="I10728" t="n">
        <v>11.3</v>
      </c>
      <c r="J10728" t="n">
        <v>0</v>
      </c>
      <c r="K10728" t="n">
        <v>0</v>
      </c>
      <c r="L10728" t="n">
        <v>0</v>
      </c>
      <c r="M10728" t="n">
        <v>0</v>
      </c>
      <c r="N10728" t="n">
        <v>0</v>
      </c>
      <c r="O10728" t="n">
        <v>0</v>
      </c>
      <c r="P10728" t="n">
        <v>0</v>
      </c>
      <c r="Q10728" t="n">
        <v>0</v>
      </c>
      <c r="R10728" t="n">
        <v>0</v>
      </c>
      <c r="S10728" t="n">
        <v>0</v>
      </c>
      <c r="T10728" t="n">
        <v>0</v>
      </c>
      <c r="U10728" t="n">
        <v>0</v>
      </c>
      <c r="V10728" s="2" t="inlineStr"/>
    </row>
    <row r="10729" ht="15" customHeight="1">
      <c r="A10729" t="inlineStr">
        <is>
          <t>S 600-2024</t>
        </is>
      </c>
      <c r="B10729" t="inlineStr">
        <is>
          <t>samrådsanmälan</t>
        </is>
      </c>
      <c r="C10729" t="inlineStr">
        <is>
          <t>Askåterföring</t>
        </is>
      </c>
      <c r="D10729" s="1" t="n">
        <v>45351</v>
      </c>
      <c r="E10729" s="1" t="n">
        <v>46307</v>
      </c>
      <c r="F10729" t="inlineStr">
        <is>
          <t>VÄRMLANDS LÄN</t>
        </is>
      </c>
      <c r="G10729" t="inlineStr">
        <is>
          <t>SÄFFLE</t>
        </is>
      </c>
      <c r="H10729" t="inlineStr">
        <is>
          <t>Bergvik skog väst AB</t>
        </is>
      </c>
      <c r="I10729" t="n">
        <v>51.1</v>
      </c>
      <c r="J10729" t="n">
        <v>0</v>
      </c>
      <c r="K10729" t="n">
        <v>0</v>
      </c>
      <c r="L10729" t="n">
        <v>0</v>
      </c>
      <c r="M10729" t="n">
        <v>0</v>
      </c>
      <c r="N10729" t="n">
        <v>0</v>
      </c>
      <c r="O10729" t="n">
        <v>0</v>
      </c>
      <c r="P10729" t="n">
        <v>0</v>
      </c>
      <c r="Q10729" t="n">
        <v>0</v>
      </c>
      <c r="R10729" t="n">
        <v>0</v>
      </c>
      <c r="S10729" t="n">
        <v>0</v>
      </c>
      <c r="T10729" t="n">
        <v>0</v>
      </c>
      <c r="U10729" t="n">
        <v>0</v>
      </c>
      <c r="V10729" s="2" t="inlineStr"/>
    </row>
    <row r="10730" ht="15" customHeight="1">
      <c r="A10730" t="inlineStr">
        <is>
          <t>S 10215-2021</t>
        </is>
      </c>
      <c r="B10730" t="inlineStr">
        <is>
          <t>samrådsanmälan</t>
        </is>
      </c>
      <c r="C10730" t="inlineStr">
        <is>
          <t>Skogsgödsling</t>
        </is>
      </c>
      <c r="D10730" s="1" t="n">
        <v>44542</v>
      </c>
      <c r="E10730" s="1" t="n">
        <v>46307</v>
      </c>
      <c r="F10730" t="inlineStr">
        <is>
          <t>VÄRMLANDS LÄN</t>
        </is>
      </c>
      <c r="G10730" t="inlineStr">
        <is>
          <t>ARVIKA</t>
        </is>
      </c>
      <c r="H10730" t="inlineStr">
        <is>
          <t>Bergvik skog väst AB</t>
        </is>
      </c>
      <c r="I10730" t="n">
        <v>10</v>
      </c>
      <c r="J10730" t="n">
        <v>0</v>
      </c>
      <c r="K10730" t="n">
        <v>0</v>
      </c>
      <c r="L10730" t="n">
        <v>0</v>
      </c>
      <c r="M10730" t="n">
        <v>0</v>
      </c>
      <c r="N10730" t="n">
        <v>0</v>
      </c>
      <c r="O10730" t="n">
        <v>0</v>
      </c>
      <c r="P10730" t="n">
        <v>0</v>
      </c>
      <c r="Q10730" t="n">
        <v>0</v>
      </c>
      <c r="R10730" t="n">
        <v>0</v>
      </c>
      <c r="S10730" t="n">
        <v>0</v>
      </c>
      <c r="T10730" t="n">
        <v>0</v>
      </c>
      <c r="U10730" t="n">
        <v>0</v>
      </c>
      <c r="V10730" s="2" t="inlineStr"/>
    </row>
    <row r="10731" ht="15" customHeight="1">
      <c r="A10731" t="inlineStr">
        <is>
          <t>S 2560-2024</t>
        </is>
      </c>
      <c r="B10731" t="inlineStr">
        <is>
          <t>samrådsanmälan</t>
        </is>
      </c>
      <c r="C10731" t="inlineStr">
        <is>
          <t>Askåterföring</t>
        </is>
      </c>
      <c r="D10731" s="1" t="n">
        <v>45476</v>
      </c>
      <c r="E10731" s="1" t="n">
        <v>46307</v>
      </c>
      <c r="F10731" t="inlineStr">
        <is>
          <t>VÄRMLANDS LÄN</t>
        </is>
      </c>
      <c r="G10731" t="inlineStr">
        <is>
          <t>KARLSTAD</t>
        </is>
      </c>
      <c r="I10731" t="n">
        <v>19.1</v>
      </c>
      <c r="J10731" t="n">
        <v>0</v>
      </c>
      <c r="K10731" t="n">
        <v>0</v>
      </c>
      <c r="L10731" t="n">
        <v>0</v>
      </c>
      <c r="M10731" t="n">
        <v>0</v>
      </c>
      <c r="N10731" t="n">
        <v>0</v>
      </c>
      <c r="O10731" t="n">
        <v>0</v>
      </c>
      <c r="P10731" t="n">
        <v>0</v>
      </c>
      <c r="Q10731" t="n">
        <v>0</v>
      </c>
      <c r="R10731" t="n">
        <v>0</v>
      </c>
      <c r="S10731" t="n">
        <v>0</v>
      </c>
      <c r="T10731" t="n">
        <v>0</v>
      </c>
      <c r="U10731" t="n">
        <v>0</v>
      </c>
      <c r="V10731" s="2" t="inlineStr"/>
    </row>
    <row r="10732" ht="15" customHeight="1">
      <c r="A10732" t="inlineStr">
        <is>
          <t>S 651-2024</t>
        </is>
      </c>
      <c r="B10732" t="inlineStr">
        <is>
          <t>samrådsanmälan</t>
        </is>
      </c>
      <c r="C10732" t="inlineStr">
        <is>
          <t>Annan skogsbruksåtgärd</t>
        </is>
      </c>
      <c r="D10732" s="1" t="n">
        <v>45356</v>
      </c>
      <c r="E10732" s="1" t="n">
        <v>46307</v>
      </c>
      <c r="F10732" t="inlineStr">
        <is>
          <t>VÄRMLANDS LÄN</t>
        </is>
      </c>
      <c r="G10732" t="inlineStr">
        <is>
          <t>HAGFORS</t>
        </is>
      </c>
      <c r="I10732" t="n">
        <v>1.3</v>
      </c>
      <c r="J10732" t="n">
        <v>0</v>
      </c>
      <c r="K10732" t="n">
        <v>0</v>
      </c>
      <c r="L10732" t="n">
        <v>0</v>
      </c>
      <c r="M10732" t="n">
        <v>0</v>
      </c>
      <c r="N10732" t="n">
        <v>0</v>
      </c>
      <c r="O10732" t="n">
        <v>0</v>
      </c>
      <c r="P10732" t="n">
        <v>0</v>
      </c>
      <c r="Q10732" t="n">
        <v>0</v>
      </c>
      <c r="R10732" t="n">
        <v>0</v>
      </c>
      <c r="S10732" t="n">
        <v>0</v>
      </c>
      <c r="T10732" t="n">
        <v>0</v>
      </c>
      <c r="U10732" t="n">
        <v>0</v>
      </c>
      <c r="V10732" s="2" t="inlineStr"/>
    </row>
    <row r="10733" ht="15" customHeight="1">
      <c r="A10733" t="inlineStr">
        <is>
          <t>S 4132-2023</t>
        </is>
      </c>
      <c r="B10733" t="inlineStr">
        <is>
          <t>samrådsanmälan</t>
        </is>
      </c>
      <c r="C10733" t="inlineStr">
        <is>
          <t>Skogsgödsling</t>
        </is>
      </c>
      <c r="D10733" s="1" t="n">
        <v>45247</v>
      </c>
      <c r="E10733" s="1" t="n">
        <v>46307</v>
      </c>
      <c r="F10733" t="inlineStr">
        <is>
          <t>VÄRMLANDS LÄN</t>
        </is>
      </c>
      <c r="G10733" t="inlineStr">
        <is>
          <t>FILIPSTAD</t>
        </is>
      </c>
      <c r="H10733" t="inlineStr">
        <is>
          <t>Bergvik skog väst AB</t>
        </is>
      </c>
      <c r="I10733" t="n">
        <v>8.300000000000001</v>
      </c>
      <c r="J10733" t="n">
        <v>0</v>
      </c>
      <c r="K10733" t="n">
        <v>0</v>
      </c>
      <c r="L10733" t="n">
        <v>0</v>
      </c>
      <c r="M10733" t="n">
        <v>0</v>
      </c>
      <c r="N10733" t="n">
        <v>0</v>
      </c>
      <c r="O10733" t="n">
        <v>0</v>
      </c>
      <c r="P10733" t="n">
        <v>0</v>
      </c>
      <c r="Q10733" t="n">
        <v>0</v>
      </c>
      <c r="R10733" t="n">
        <v>0</v>
      </c>
      <c r="S10733" t="n">
        <v>0</v>
      </c>
      <c r="T10733" t="n">
        <v>0</v>
      </c>
      <c r="U10733" t="n">
        <v>0</v>
      </c>
      <c r="V10733" s="2" t="inlineStr"/>
    </row>
    <row r="10734" ht="15" customHeight="1">
      <c r="A10734" t="inlineStr">
        <is>
          <t>S 2553-2024</t>
        </is>
      </c>
      <c r="B10734" t="inlineStr">
        <is>
          <t>samrådsanmälan</t>
        </is>
      </c>
      <c r="C10734" t="inlineStr">
        <is>
          <t>Annan skogsbruksåtgärd</t>
        </is>
      </c>
      <c r="D10734" s="1" t="n">
        <v>45475</v>
      </c>
      <c r="E10734" s="1" t="n">
        <v>46307</v>
      </c>
      <c r="F10734" t="inlineStr">
        <is>
          <t>VÄRMLANDS LÄN</t>
        </is>
      </c>
      <c r="G10734" t="inlineStr">
        <is>
          <t>KRISTINEHAMN</t>
        </is>
      </c>
      <c r="I10734" t="n">
        <v>1.1</v>
      </c>
      <c r="J10734" t="n">
        <v>0</v>
      </c>
      <c r="K10734" t="n">
        <v>0</v>
      </c>
      <c r="L10734" t="n">
        <v>0</v>
      </c>
      <c r="M10734" t="n">
        <v>0</v>
      </c>
      <c r="N10734" t="n">
        <v>0</v>
      </c>
      <c r="O10734" t="n">
        <v>0</v>
      </c>
      <c r="P10734" t="n">
        <v>0</v>
      </c>
      <c r="Q10734" t="n">
        <v>0</v>
      </c>
      <c r="R10734" t="n">
        <v>0</v>
      </c>
      <c r="S10734" t="n">
        <v>0</v>
      </c>
      <c r="T10734" t="n">
        <v>0</v>
      </c>
      <c r="U10734" t="n">
        <v>0</v>
      </c>
      <c r="V10734" s="2" t="inlineStr"/>
    </row>
    <row r="10735" ht="15" customHeight="1">
      <c r="A10735" t="inlineStr">
        <is>
          <t>S 4130-2023</t>
        </is>
      </c>
      <c r="B10735" t="inlineStr">
        <is>
          <t>samrådsanmälan</t>
        </is>
      </c>
      <c r="C10735" t="inlineStr">
        <is>
          <t>Skogsgödsling</t>
        </is>
      </c>
      <c r="D10735" s="1" t="n">
        <v>45247</v>
      </c>
      <c r="E10735" s="1" t="n">
        <v>46307</v>
      </c>
      <c r="F10735" t="inlineStr">
        <is>
          <t>VÄRMLANDS LÄN</t>
        </is>
      </c>
      <c r="G10735" t="inlineStr">
        <is>
          <t>FILIPSTAD</t>
        </is>
      </c>
      <c r="H10735" t="inlineStr">
        <is>
          <t>Bergvik skog väst AB</t>
        </is>
      </c>
      <c r="I10735" t="n">
        <v>14.6</v>
      </c>
      <c r="J10735" t="n">
        <v>0</v>
      </c>
      <c r="K10735" t="n">
        <v>0</v>
      </c>
      <c r="L10735" t="n">
        <v>0</v>
      </c>
      <c r="M10735" t="n">
        <v>0</v>
      </c>
      <c r="N10735" t="n">
        <v>0</v>
      </c>
      <c r="O10735" t="n">
        <v>0</v>
      </c>
      <c r="P10735" t="n">
        <v>0</v>
      </c>
      <c r="Q10735" t="n">
        <v>0</v>
      </c>
      <c r="R10735" t="n">
        <v>0</v>
      </c>
      <c r="S10735" t="n">
        <v>0</v>
      </c>
      <c r="T10735" t="n">
        <v>0</v>
      </c>
      <c r="U10735" t="n">
        <v>0</v>
      </c>
      <c r="V10735" s="2" t="inlineStr"/>
    </row>
    <row r="10736" ht="15" customHeight="1">
      <c r="A10736" t="inlineStr">
        <is>
          <t>S 7135-2022</t>
        </is>
      </c>
      <c r="B10736" t="inlineStr">
        <is>
          <t>samrådsanmälan</t>
        </is>
      </c>
      <c r="C10736" t="inlineStr">
        <is>
          <t>Skogsgödsling</t>
        </is>
      </c>
      <c r="D10736" s="1" t="n">
        <v>44911</v>
      </c>
      <c r="E10736" s="1" t="n">
        <v>46307</v>
      </c>
      <c r="F10736" t="inlineStr">
        <is>
          <t>VÄRMLANDS LÄN</t>
        </is>
      </c>
      <c r="G10736" t="inlineStr">
        <is>
          <t>ARVIKA</t>
        </is>
      </c>
      <c r="H10736" t="inlineStr">
        <is>
          <t>Bergvik skog väst AB</t>
        </is>
      </c>
      <c r="I10736" t="n">
        <v>31.2</v>
      </c>
      <c r="J10736" t="n">
        <v>0</v>
      </c>
      <c r="K10736" t="n">
        <v>0</v>
      </c>
      <c r="L10736" t="n">
        <v>0</v>
      </c>
      <c r="M10736" t="n">
        <v>0</v>
      </c>
      <c r="N10736" t="n">
        <v>0</v>
      </c>
      <c r="O10736" t="n">
        <v>0</v>
      </c>
      <c r="P10736" t="n">
        <v>0</v>
      </c>
      <c r="Q10736" t="n">
        <v>0</v>
      </c>
      <c r="R10736" t="n">
        <v>0</v>
      </c>
      <c r="S10736" t="n">
        <v>0</v>
      </c>
      <c r="T10736" t="n">
        <v>0</v>
      </c>
      <c r="U10736" t="n">
        <v>0</v>
      </c>
      <c r="V10736" s="2" t="inlineStr"/>
    </row>
    <row r="10737" ht="15" customHeight="1">
      <c r="A10737" t="inlineStr">
        <is>
          <t>S 4404-2023</t>
        </is>
      </c>
      <c r="B10737" t="inlineStr">
        <is>
          <t>samrådsanmälan</t>
        </is>
      </c>
      <c r="C10737" t="inlineStr">
        <is>
          <t>Skogsgödsling</t>
        </is>
      </c>
      <c r="D10737" s="1" t="n">
        <v>45266</v>
      </c>
      <c r="E10737" s="1" t="n">
        <v>46307</v>
      </c>
      <c r="F10737" t="inlineStr">
        <is>
          <t>VÄRMLANDS LÄN</t>
        </is>
      </c>
      <c r="G10737" t="inlineStr">
        <is>
          <t>KIL</t>
        </is>
      </c>
      <c r="H10737" t="inlineStr">
        <is>
          <t>Bergvik skog väst AB</t>
        </is>
      </c>
      <c r="I10737" t="n">
        <v>16.6</v>
      </c>
      <c r="J10737" t="n">
        <v>0</v>
      </c>
      <c r="K10737" t="n">
        <v>0</v>
      </c>
      <c r="L10737" t="n">
        <v>0</v>
      </c>
      <c r="M10737" t="n">
        <v>0</v>
      </c>
      <c r="N10737" t="n">
        <v>0</v>
      </c>
      <c r="O10737" t="n">
        <v>0</v>
      </c>
      <c r="P10737" t="n">
        <v>0</v>
      </c>
      <c r="Q10737" t="n">
        <v>0</v>
      </c>
      <c r="R10737" t="n">
        <v>0</v>
      </c>
      <c r="S10737" t="n">
        <v>0</v>
      </c>
      <c r="T10737" t="n">
        <v>0</v>
      </c>
      <c r="U10737" t="n">
        <v>0</v>
      </c>
      <c r="V10737" s="2" t="inlineStr"/>
    </row>
    <row r="10738" ht="15" customHeight="1">
      <c r="A10738" t="inlineStr">
        <is>
          <t>S 7133-2022</t>
        </is>
      </c>
      <c r="B10738" t="inlineStr">
        <is>
          <t>samrådsanmälan</t>
        </is>
      </c>
      <c r="C10738" t="inlineStr">
        <is>
          <t>Skogsgödsling</t>
        </is>
      </c>
      <c r="D10738" s="1" t="n">
        <v>44911</v>
      </c>
      <c r="E10738" s="1" t="n">
        <v>46307</v>
      </c>
      <c r="F10738" t="inlineStr">
        <is>
          <t>VÄRMLANDS LÄN</t>
        </is>
      </c>
      <c r="G10738" t="inlineStr">
        <is>
          <t>SÄFFLE</t>
        </is>
      </c>
      <c r="H10738" t="inlineStr">
        <is>
          <t>Bergvik skog väst AB</t>
        </is>
      </c>
      <c r="I10738" t="n">
        <v>25.3</v>
      </c>
      <c r="J10738" t="n">
        <v>0</v>
      </c>
      <c r="K10738" t="n">
        <v>0</v>
      </c>
      <c r="L10738" t="n">
        <v>0</v>
      </c>
      <c r="M10738" t="n">
        <v>0</v>
      </c>
      <c r="N10738" t="n">
        <v>0</v>
      </c>
      <c r="O10738" t="n">
        <v>0</v>
      </c>
      <c r="P10738" t="n">
        <v>0</v>
      </c>
      <c r="Q10738" t="n">
        <v>0</v>
      </c>
      <c r="R10738" t="n">
        <v>0</v>
      </c>
      <c r="S10738" t="n">
        <v>0</v>
      </c>
      <c r="T10738" t="n">
        <v>0</v>
      </c>
      <c r="U10738" t="n">
        <v>0</v>
      </c>
      <c r="V10738" s="2" t="inlineStr"/>
    </row>
    <row r="10739" ht="15" customHeight="1">
      <c r="A10739" t="inlineStr">
        <is>
          <t>S 4127-2023</t>
        </is>
      </c>
      <c r="B10739" t="inlineStr">
        <is>
          <t>samrådsanmälan</t>
        </is>
      </c>
      <c r="C10739" t="inlineStr">
        <is>
          <t>Skogsgödsling</t>
        </is>
      </c>
      <c r="D10739" s="1" t="n">
        <v>45247</v>
      </c>
      <c r="E10739" s="1" t="n">
        <v>46307</v>
      </c>
      <c r="F10739" t="inlineStr">
        <is>
          <t>VÄRMLANDS LÄN</t>
        </is>
      </c>
      <c r="G10739" t="inlineStr">
        <is>
          <t>FILIPSTAD</t>
        </is>
      </c>
      <c r="H10739" t="inlineStr">
        <is>
          <t>Bergvik skog väst AB</t>
        </is>
      </c>
      <c r="I10739" t="n">
        <v>56.4</v>
      </c>
      <c r="J10739" t="n">
        <v>0</v>
      </c>
      <c r="K10739" t="n">
        <v>0</v>
      </c>
      <c r="L10739" t="n">
        <v>0</v>
      </c>
      <c r="M10739" t="n">
        <v>0</v>
      </c>
      <c r="N10739" t="n">
        <v>0</v>
      </c>
      <c r="O10739" t="n">
        <v>0</v>
      </c>
      <c r="P10739" t="n">
        <v>0</v>
      </c>
      <c r="Q10739" t="n">
        <v>0</v>
      </c>
      <c r="R10739" t="n">
        <v>0</v>
      </c>
      <c r="S10739" t="n">
        <v>0</v>
      </c>
      <c r="T10739" t="n">
        <v>0</v>
      </c>
      <c r="U10739" t="n">
        <v>0</v>
      </c>
      <c r="V10739" s="2" t="inlineStr"/>
    </row>
    <row r="10740" ht="15" customHeight="1">
      <c r="A10740" t="inlineStr">
        <is>
          <t>S 6964-2022</t>
        </is>
      </c>
      <c r="B10740" t="inlineStr">
        <is>
          <t>samrådsanmälan</t>
        </is>
      </c>
      <c r="C10740" t="inlineStr">
        <is>
          <t>Skogsgödsling</t>
        </is>
      </c>
      <c r="D10740" s="1" t="n">
        <v>44901</v>
      </c>
      <c r="E10740" s="1" t="n">
        <v>46307</v>
      </c>
      <c r="F10740" t="inlineStr">
        <is>
          <t>VÄRMLANDS LÄN</t>
        </is>
      </c>
      <c r="G10740" t="inlineStr">
        <is>
          <t>FORSHAGA</t>
        </is>
      </c>
      <c r="H10740" t="inlineStr">
        <is>
          <t>Bergvik skog väst AB</t>
        </is>
      </c>
      <c r="I10740" t="n">
        <v>18.8</v>
      </c>
      <c r="J10740" t="n">
        <v>0</v>
      </c>
      <c r="K10740" t="n">
        <v>0</v>
      </c>
      <c r="L10740" t="n">
        <v>0</v>
      </c>
      <c r="M10740" t="n">
        <v>0</v>
      </c>
      <c r="N10740" t="n">
        <v>0</v>
      </c>
      <c r="O10740" t="n">
        <v>0</v>
      </c>
      <c r="P10740" t="n">
        <v>0</v>
      </c>
      <c r="Q10740" t="n">
        <v>0</v>
      </c>
      <c r="R10740" t="n">
        <v>0</v>
      </c>
      <c r="S10740" t="n">
        <v>0</v>
      </c>
      <c r="T10740" t="n">
        <v>0</v>
      </c>
      <c r="U10740" t="n">
        <v>0</v>
      </c>
      <c r="V10740" s="2" t="inlineStr"/>
    </row>
    <row r="10741" ht="15" customHeight="1">
      <c r="A10741" t="inlineStr">
        <is>
          <t>S 837-2023</t>
        </is>
      </c>
      <c r="B10741" t="inlineStr">
        <is>
          <t>samrådsanmälan</t>
        </is>
      </c>
      <c r="C10741" t="inlineStr">
        <is>
          <t>Annan skogsbruksåtgärd</t>
        </is>
      </c>
      <c r="D10741" s="1" t="n">
        <v>44991</v>
      </c>
      <c r="E10741" s="1" t="n">
        <v>46307</v>
      </c>
      <c r="F10741" t="inlineStr">
        <is>
          <t>VÄRMLANDS LÄN</t>
        </is>
      </c>
      <c r="G10741" t="inlineStr">
        <is>
          <t>FILIPSTAD</t>
        </is>
      </c>
      <c r="I10741" t="n">
        <v>19.3</v>
      </c>
      <c r="J10741" t="n">
        <v>0</v>
      </c>
      <c r="K10741" t="n">
        <v>0</v>
      </c>
      <c r="L10741" t="n">
        <v>0</v>
      </c>
      <c r="M10741" t="n">
        <v>0</v>
      </c>
      <c r="N10741" t="n">
        <v>0</v>
      </c>
      <c r="O10741" t="n">
        <v>0</v>
      </c>
      <c r="P10741" t="n">
        <v>0</v>
      </c>
      <c r="Q10741" t="n">
        <v>0</v>
      </c>
      <c r="R10741" t="n">
        <v>0</v>
      </c>
      <c r="S10741" t="n">
        <v>0</v>
      </c>
      <c r="T10741" t="n">
        <v>0</v>
      </c>
      <c r="U10741" t="n">
        <v>0</v>
      </c>
      <c r="V10741" s="2" t="inlineStr"/>
    </row>
    <row r="10742" ht="15" customHeight="1">
      <c r="A10742" t="inlineStr">
        <is>
          <t>S 3378-2024</t>
        </is>
      </c>
      <c r="B10742" t="inlineStr">
        <is>
          <t>samrådsanmälan</t>
        </is>
      </c>
      <c r="C10742" t="inlineStr">
        <is>
          <t>Askåterföring</t>
        </is>
      </c>
      <c r="D10742" s="1" t="n">
        <v>45533</v>
      </c>
      <c r="E10742" s="1" t="n">
        <v>46307</v>
      </c>
      <c r="F10742" t="inlineStr">
        <is>
          <t>VÄRMLANDS LÄN</t>
        </is>
      </c>
      <c r="G10742" t="inlineStr">
        <is>
          <t>KRISTINEHAMN</t>
        </is>
      </c>
      <c r="I10742" t="n">
        <v>53.7</v>
      </c>
      <c r="J10742" t="n">
        <v>0</v>
      </c>
      <c r="K10742" t="n">
        <v>0</v>
      </c>
      <c r="L10742" t="n">
        <v>0</v>
      </c>
      <c r="M10742" t="n">
        <v>0</v>
      </c>
      <c r="N10742" t="n">
        <v>0</v>
      </c>
      <c r="O10742" t="n">
        <v>0</v>
      </c>
      <c r="P10742" t="n">
        <v>0</v>
      </c>
      <c r="Q10742" t="n">
        <v>0</v>
      </c>
      <c r="R10742" t="n">
        <v>0</v>
      </c>
      <c r="S10742" t="n">
        <v>0</v>
      </c>
      <c r="T10742" t="n">
        <v>0</v>
      </c>
      <c r="U10742" t="n">
        <v>0</v>
      </c>
      <c r="V10742" s="2" t="inlineStr"/>
    </row>
    <row r="10743" ht="15" customHeight="1">
      <c r="A10743" t="inlineStr">
        <is>
          <t>S 4145-2023</t>
        </is>
      </c>
      <c r="B10743" t="inlineStr">
        <is>
          <t>samrådsanmälan</t>
        </is>
      </c>
      <c r="C10743" t="inlineStr">
        <is>
          <t>Skogsgödsling</t>
        </is>
      </c>
      <c r="D10743" s="1" t="n">
        <v>45247</v>
      </c>
      <c r="E10743" s="1" t="n">
        <v>46307</v>
      </c>
      <c r="F10743" t="inlineStr">
        <is>
          <t>VÄRMLANDS LÄN</t>
        </is>
      </c>
      <c r="G10743" t="inlineStr">
        <is>
          <t>HAGFORS</t>
        </is>
      </c>
      <c r="H10743" t="inlineStr">
        <is>
          <t>Bergvik skog väst AB</t>
        </is>
      </c>
      <c r="I10743" t="n">
        <v>26.1</v>
      </c>
      <c r="J10743" t="n">
        <v>0</v>
      </c>
      <c r="K10743" t="n">
        <v>0</v>
      </c>
      <c r="L10743" t="n">
        <v>0</v>
      </c>
      <c r="M10743" t="n">
        <v>0</v>
      </c>
      <c r="N10743" t="n">
        <v>0</v>
      </c>
      <c r="O10743" t="n">
        <v>0</v>
      </c>
      <c r="P10743" t="n">
        <v>0</v>
      </c>
      <c r="Q10743" t="n">
        <v>0</v>
      </c>
      <c r="R10743" t="n">
        <v>0</v>
      </c>
      <c r="S10743" t="n">
        <v>0</v>
      </c>
      <c r="T10743" t="n">
        <v>0</v>
      </c>
      <c r="U10743" t="n">
        <v>0</v>
      </c>
      <c r="V10743" s="2" t="inlineStr"/>
    </row>
    <row r="10744" ht="15" customHeight="1">
      <c r="A10744" t="inlineStr">
        <is>
          <t>S 10232-2021</t>
        </is>
      </c>
      <c r="B10744" t="inlineStr">
        <is>
          <t>samrådsanmälan</t>
        </is>
      </c>
      <c r="C10744" t="inlineStr">
        <is>
          <t>Skogsgödsling</t>
        </is>
      </c>
      <c r="D10744" s="1" t="n">
        <v>44542</v>
      </c>
      <c r="E10744" s="1" t="n">
        <v>46307</v>
      </c>
      <c r="F10744" t="inlineStr">
        <is>
          <t>VÄRMLANDS LÄN</t>
        </is>
      </c>
      <c r="G10744" t="inlineStr">
        <is>
          <t>ARVIKA</t>
        </is>
      </c>
      <c r="H10744" t="inlineStr">
        <is>
          <t>Bergvik skog väst AB</t>
        </is>
      </c>
      <c r="I10744" t="n">
        <v>6.7</v>
      </c>
      <c r="J10744" t="n">
        <v>0</v>
      </c>
      <c r="K10744" t="n">
        <v>0</v>
      </c>
      <c r="L10744" t="n">
        <v>0</v>
      </c>
      <c r="M10744" t="n">
        <v>0</v>
      </c>
      <c r="N10744" t="n">
        <v>0</v>
      </c>
      <c r="O10744" t="n">
        <v>0</v>
      </c>
      <c r="P10744" t="n">
        <v>0</v>
      </c>
      <c r="Q10744" t="n">
        <v>0</v>
      </c>
      <c r="R10744" t="n">
        <v>0</v>
      </c>
      <c r="S10744" t="n">
        <v>0</v>
      </c>
      <c r="T10744" t="n">
        <v>0</v>
      </c>
      <c r="U10744" t="n">
        <v>0</v>
      </c>
      <c r="V10744" s="2" t="inlineStr"/>
    </row>
    <row r="10745" ht="15" customHeight="1">
      <c r="A10745" t="inlineStr">
        <is>
          <t>S 6978-2022</t>
        </is>
      </c>
      <c r="B10745" t="inlineStr">
        <is>
          <t>samrådsanmälan</t>
        </is>
      </c>
      <c r="C10745" t="inlineStr">
        <is>
          <t>Skogsgödsling</t>
        </is>
      </c>
      <c r="D10745" s="1" t="n">
        <v>44901</v>
      </c>
      <c r="E10745" s="1" t="n">
        <v>46307</v>
      </c>
      <c r="F10745" t="inlineStr">
        <is>
          <t>VÄRMLANDS LÄN</t>
        </is>
      </c>
      <c r="G10745" t="inlineStr">
        <is>
          <t>SUNNE</t>
        </is>
      </c>
      <c r="H10745" t="inlineStr">
        <is>
          <t>Bergvik skog väst AB</t>
        </is>
      </c>
      <c r="I10745" t="n">
        <v>20.5</v>
      </c>
      <c r="J10745" t="n">
        <v>0</v>
      </c>
      <c r="K10745" t="n">
        <v>0</v>
      </c>
      <c r="L10745" t="n">
        <v>0</v>
      </c>
      <c r="M10745" t="n">
        <v>0</v>
      </c>
      <c r="N10745" t="n">
        <v>0</v>
      </c>
      <c r="O10745" t="n">
        <v>0</v>
      </c>
      <c r="P10745" t="n">
        <v>0</v>
      </c>
      <c r="Q10745" t="n">
        <v>0</v>
      </c>
      <c r="R10745" t="n">
        <v>0</v>
      </c>
      <c r="S10745" t="n">
        <v>0</v>
      </c>
      <c r="T10745" t="n">
        <v>0</v>
      </c>
      <c r="U10745" t="n">
        <v>0</v>
      </c>
      <c r="V10745" s="2" t="inlineStr"/>
    </row>
    <row r="10746" ht="15" customHeight="1">
      <c r="A10746" t="inlineStr">
        <is>
          <t>S 6967-2022</t>
        </is>
      </c>
      <c r="B10746" t="inlineStr">
        <is>
          <t>samrådsanmälan</t>
        </is>
      </c>
      <c r="C10746" t="inlineStr">
        <is>
          <t>Skogsgödsling</t>
        </is>
      </c>
      <c r="D10746" s="1" t="n">
        <v>44901</v>
      </c>
      <c r="E10746" s="1" t="n">
        <v>46307</v>
      </c>
      <c r="F10746" t="inlineStr">
        <is>
          <t>VÄRMLANDS LÄN</t>
        </is>
      </c>
      <c r="G10746" t="inlineStr">
        <is>
          <t>HAGFORS</t>
        </is>
      </c>
      <c r="H10746" t="inlineStr">
        <is>
          <t>Bergvik skog väst AB</t>
        </is>
      </c>
      <c r="I10746" t="n">
        <v>27.1</v>
      </c>
      <c r="J10746" t="n">
        <v>0</v>
      </c>
      <c r="K10746" t="n">
        <v>0</v>
      </c>
      <c r="L10746" t="n">
        <v>0</v>
      </c>
      <c r="M10746" t="n">
        <v>0</v>
      </c>
      <c r="N10746" t="n">
        <v>0</v>
      </c>
      <c r="O10746" t="n">
        <v>0</v>
      </c>
      <c r="P10746" t="n">
        <v>0</v>
      </c>
      <c r="Q10746" t="n">
        <v>0</v>
      </c>
      <c r="R10746" t="n">
        <v>0</v>
      </c>
      <c r="S10746" t="n">
        <v>0</v>
      </c>
      <c r="T10746" t="n">
        <v>0</v>
      </c>
      <c r="U10746" t="n">
        <v>0</v>
      </c>
      <c r="V10746" s="2" t="inlineStr"/>
    </row>
    <row r="10747" ht="15" customHeight="1">
      <c r="A10747" t="inlineStr">
        <is>
          <t>S 89-2025</t>
        </is>
      </c>
      <c r="B10747" t="inlineStr">
        <is>
          <t>samrådsanmälan</t>
        </is>
      </c>
      <c r="C10747" t="inlineStr">
        <is>
          <t>Åtgärd i nyckelbiotop</t>
        </is>
      </c>
      <c r="D10747" s="1" t="n">
        <v>45316</v>
      </c>
      <c r="E10747" s="1" t="n">
        <v>46307</v>
      </c>
      <c r="F10747" t="inlineStr">
        <is>
          <t>VÄRMLANDS LÄN</t>
        </is>
      </c>
      <c r="G10747" t="inlineStr">
        <is>
          <t>HAGFORS</t>
        </is>
      </c>
      <c r="I10747" t="n">
        <v>6.3</v>
      </c>
      <c r="J10747" t="n">
        <v>0</v>
      </c>
      <c r="K10747" t="n">
        <v>0</v>
      </c>
      <c r="L10747" t="n">
        <v>0</v>
      </c>
      <c r="M10747" t="n">
        <v>0</v>
      </c>
      <c r="N10747" t="n">
        <v>0</v>
      </c>
      <c r="O10747" t="n">
        <v>0</v>
      </c>
      <c r="P10747" t="n">
        <v>0</v>
      </c>
      <c r="Q10747" t="n">
        <v>0</v>
      </c>
      <c r="R10747" t="n">
        <v>0</v>
      </c>
      <c r="S10747" t="n">
        <v>0</v>
      </c>
      <c r="T10747" t="n">
        <v>0</v>
      </c>
      <c r="U10747" t="n">
        <v>0</v>
      </c>
      <c r="V10747" s="2" t="inlineStr"/>
    </row>
    <row r="10748" ht="15" customHeight="1">
      <c r="A10748" t="inlineStr">
        <is>
          <t>S 4129-2023</t>
        </is>
      </c>
      <c r="B10748" t="inlineStr">
        <is>
          <t>samrådsanmälan</t>
        </is>
      </c>
      <c r="C10748" t="inlineStr">
        <is>
          <t>Skogsgödsling</t>
        </is>
      </c>
      <c r="D10748" s="1" t="n">
        <v>45247</v>
      </c>
      <c r="E10748" s="1" t="n">
        <v>46307</v>
      </c>
      <c r="F10748" t="inlineStr">
        <is>
          <t>VÄRMLANDS LÄN</t>
        </is>
      </c>
      <c r="G10748" t="inlineStr">
        <is>
          <t>FILIPSTAD</t>
        </is>
      </c>
      <c r="H10748" t="inlineStr">
        <is>
          <t>Bergvik skog väst AB</t>
        </is>
      </c>
      <c r="I10748" t="n">
        <v>13.9</v>
      </c>
      <c r="J10748" t="n">
        <v>0</v>
      </c>
      <c r="K10748" t="n">
        <v>0</v>
      </c>
      <c r="L10748" t="n">
        <v>0</v>
      </c>
      <c r="M10748" t="n">
        <v>0</v>
      </c>
      <c r="N10748" t="n">
        <v>0</v>
      </c>
      <c r="O10748" t="n">
        <v>0</v>
      </c>
      <c r="P10748" t="n">
        <v>0</v>
      </c>
      <c r="Q10748" t="n">
        <v>0</v>
      </c>
      <c r="R10748" t="n">
        <v>0</v>
      </c>
      <c r="S10748" t="n">
        <v>0</v>
      </c>
      <c r="T10748" t="n">
        <v>0</v>
      </c>
      <c r="U10748" t="n">
        <v>0</v>
      </c>
      <c r="V10748" s="2" t="inlineStr"/>
    </row>
    <row r="10749" ht="15" customHeight="1">
      <c r="A10749" t="inlineStr">
        <is>
          <t>S 6969-2022</t>
        </is>
      </c>
      <c r="B10749" t="inlineStr">
        <is>
          <t>samrådsanmälan</t>
        </is>
      </c>
      <c r="C10749" t="inlineStr">
        <is>
          <t>Skogsgödsling</t>
        </is>
      </c>
      <c r="D10749" s="1" t="n">
        <v>44901</v>
      </c>
      <c r="E10749" s="1" t="n">
        <v>46307</v>
      </c>
      <c r="F10749" t="inlineStr">
        <is>
          <t>VÄRMLANDS LÄN</t>
        </is>
      </c>
      <c r="G10749" t="inlineStr">
        <is>
          <t>HAGFORS</t>
        </is>
      </c>
      <c r="H10749" t="inlineStr">
        <is>
          <t>Bergvik skog väst AB</t>
        </is>
      </c>
      <c r="I10749" t="n">
        <v>24.3</v>
      </c>
      <c r="J10749" t="n">
        <v>0</v>
      </c>
      <c r="K10749" t="n">
        <v>0</v>
      </c>
      <c r="L10749" t="n">
        <v>0</v>
      </c>
      <c r="M10749" t="n">
        <v>0</v>
      </c>
      <c r="N10749" t="n">
        <v>0</v>
      </c>
      <c r="O10749" t="n">
        <v>0</v>
      </c>
      <c r="P10749" t="n">
        <v>0</v>
      </c>
      <c r="Q10749" t="n">
        <v>0</v>
      </c>
      <c r="R10749" t="n">
        <v>0</v>
      </c>
      <c r="S10749" t="n">
        <v>0</v>
      </c>
      <c r="T10749" t="n">
        <v>0</v>
      </c>
      <c r="U10749" t="n">
        <v>0</v>
      </c>
      <c r="V10749" s="2" t="inlineStr"/>
    </row>
    <row r="10750" ht="15" customHeight="1">
      <c r="A10750" t="inlineStr">
        <is>
          <t>S 4422-2023</t>
        </is>
      </c>
      <c r="B10750" t="inlineStr">
        <is>
          <t>samrådsanmälan</t>
        </is>
      </c>
      <c r="C10750" t="inlineStr">
        <is>
          <t>Skogsgödsling</t>
        </is>
      </c>
      <c r="D10750" s="1" t="n">
        <v>45266</v>
      </c>
      <c r="E10750" s="1" t="n">
        <v>46307</v>
      </c>
      <c r="F10750" t="inlineStr">
        <is>
          <t>VÄRMLANDS LÄN</t>
        </is>
      </c>
      <c r="G10750" t="inlineStr">
        <is>
          <t>SUNNE</t>
        </is>
      </c>
      <c r="H10750" t="inlineStr">
        <is>
          <t>Bergvik skog väst AB</t>
        </is>
      </c>
      <c r="I10750" t="n">
        <v>23.1</v>
      </c>
      <c r="J10750" t="n">
        <v>0</v>
      </c>
      <c r="K10750" t="n">
        <v>0</v>
      </c>
      <c r="L10750" t="n">
        <v>0</v>
      </c>
      <c r="M10750" t="n">
        <v>0</v>
      </c>
      <c r="N10750" t="n">
        <v>0</v>
      </c>
      <c r="O10750" t="n">
        <v>0</v>
      </c>
      <c r="P10750" t="n">
        <v>0</v>
      </c>
      <c r="Q10750" t="n">
        <v>0</v>
      </c>
      <c r="R10750" t="n">
        <v>0</v>
      </c>
      <c r="S10750" t="n">
        <v>0</v>
      </c>
      <c r="T10750" t="n">
        <v>0</v>
      </c>
      <c r="U10750" t="n">
        <v>0</v>
      </c>
      <c r="V10750" s="2" t="inlineStr"/>
    </row>
    <row r="10751" ht="15" customHeight="1">
      <c r="A10751" t="inlineStr">
        <is>
          <t>S 3919-2023</t>
        </is>
      </c>
      <c r="B10751" t="inlineStr">
        <is>
          <t>samrådsanmälan</t>
        </is>
      </c>
      <c r="C10751" t="inlineStr">
        <is>
          <t>Skogsgödsling</t>
        </is>
      </c>
      <c r="D10751" s="1" t="n">
        <v>45233</v>
      </c>
      <c r="E10751" s="1" t="n">
        <v>46307</v>
      </c>
      <c r="F10751" t="inlineStr">
        <is>
          <t>VÄRMLANDS LÄN</t>
        </is>
      </c>
      <c r="G10751" t="inlineStr">
        <is>
          <t>FILIPSTAD</t>
        </is>
      </c>
      <c r="H10751" t="inlineStr">
        <is>
          <t>Bergvik skog väst AB</t>
        </is>
      </c>
      <c r="I10751" t="n">
        <v>17.4</v>
      </c>
      <c r="J10751" t="n">
        <v>0</v>
      </c>
      <c r="K10751" t="n">
        <v>0</v>
      </c>
      <c r="L10751" t="n">
        <v>0</v>
      </c>
      <c r="M10751" t="n">
        <v>0</v>
      </c>
      <c r="N10751" t="n">
        <v>0</v>
      </c>
      <c r="O10751" t="n">
        <v>0</v>
      </c>
      <c r="P10751" t="n">
        <v>0</v>
      </c>
      <c r="Q10751" t="n">
        <v>0</v>
      </c>
      <c r="R10751" t="n">
        <v>0</v>
      </c>
      <c r="S10751" t="n">
        <v>0</v>
      </c>
      <c r="T10751" t="n">
        <v>0</v>
      </c>
      <c r="U10751" t="n">
        <v>0</v>
      </c>
      <c r="V10751" s="2" t="inlineStr"/>
    </row>
    <row r="10752" ht="15" customHeight="1">
      <c r="A10752" t="inlineStr">
        <is>
          <t>S 6961-2022</t>
        </is>
      </c>
      <c r="B10752" t="inlineStr">
        <is>
          <t>samrådsanmälan</t>
        </is>
      </c>
      <c r="C10752" t="inlineStr">
        <is>
          <t>Skogsgödsling</t>
        </is>
      </c>
      <c r="D10752" s="1" t="n">
        <v>44900</v>
      </c>
      <c r="E10752" s="1" t="n">
        <v>46307</v>
      </c>
      <c r="F10752" t="inlineStr">
        <is>
          <t>VÄRMLANDS LÄN</t>
        </is>
      </c>
      <c r="G10752" t="inlineStr">
        <is>
          <t>SUNNE</t>
        </is>
      </c>
      <c r="H10752" t="inlineStr">
        <is>
          <t>Bergvik skog väst AB</t>
        </is>
      </c>
      <c r="I10752" t="n">
        <v>88.7</v>
      </c>
      <c r="J10752" t="n">
        <v>0</v>
      </c>
      <c r="K10752" t="n">
        <v>0</v>
      </c>
      <c r="L10752" t="n">
        <v>0</v>
      </c>
      <c r="M10752" t="n">
        <v>0</v>
      </c>
      <c r="N10752" t="n">
        <v>0</v>
      </c>
      <c r="O10752" t="n">
        <v>0</v>
      </c>
      <c r="P10752" t="n">
        <v>0</v>
      </c>
      <c r="Q10752" t="n">
        <v>0</v>
      </c>
      <c r="R10752" t="n">
        <v>0</v>
      </c>
      <c r="S10752" t="n">
        <v>0</v>
      </c>
      <c r="T10752" t="n">
        <v>0</v>
      </c>
      <c r="U10752" t="n">
        <v>0</v>
      </c>
      <c r="V10752" s="2" t="inlineStr"/>
    </row>
    <row r="10753" ht="15" customHeight="1">
      <c r="A10753" t="inlineStr">
        <is>
          <t>S 66-2024</t>
        </is>
      </c>
      <c r="B10753" t="inlineStr">
        <is>
          <t>samrådsanmälan</t>
        </is>
      </c>
      <c r="C10753" t="inlineStr">
        <is>
          <t>Askåterföring</t>
        </is>
      </c>
      <c r="D10753" s="1" t="n">
        <v>45299</v>
      </c>
      <c r="E10753" s="1" t="n">
        <v>46307</v>
      </c>
      <c r="F10753" t="inlineStr">
        <is>
          <t>VÄRMLANDS LÄN</t>
        </is>
      </c>
      <c r="G10753" t="inlineStr">
        <is>
          <t>SÄFFLE</t>
        </is>
      </c>
      <c r="I10753" t="n">
        <v>101.3</v>
      </c>
      <c r="J10753" t="n">
        <v>0</v>
      </c>
      <c r="K10753" t="n">
        <v>0</v>
      </c>
      <c r="L10753" t="n">
        <v>0</v>
      </c>
      <c r="M10753" t="n">
        <v>0</v>
      </c>
      <c r="N10753" t="n">
        <v>0</v>
      </c>
      <c r="O10753" t="n">
        <v>0</v>
      </c>
      <c r="P10753" t="n">
        <v>0</v>
      </c>
      <c r="Q10753" t="n">
        <v>0</v>
      </c>
      <c r="R10753" t="n">
        <v>0</v>
      </c>
      <c r="S10753" t="n">
        <v>0</v>
      </c>
      <c r="T10753" t="n">
        <v>0</v>
      </c>
      <c r="U10753" t="n">
        <v>0</v>
      </c>
      <c r="V10753" s="2" t="inlineStr"/>
    </row>
    <row r="10754" ht="15" customHeight="1">
      <c r="A10754" t="inlineStr">
        <is>
          <t>S 220-2025</t>
        </is>
      </c>
      <c r="B10754" t="inlineStr">
        <is>
          <t>samrådsanmälan</t>
        </is>
      </c>
      <c r="C10754" t="inlineStr">
        <is>
          <t>Annan skogsbruksåtgärd</t>
        </is>
      </c>
      <c r="D10754" s="1" t="n">
        <v>45680</v>
      </c>
      <c r="E10754" s="1" t="n">
        <v>46307</v>
      </c>
      <c r="F10754" t="inlineStr">
        <is>
          <t>VÄRMLANDS LÄN</t>
        </is>
      </c>
      <c r="G10754" t="inlineStr">
        <is>
          <t>HAGFORS</t>
        </is>
      </c>
      <c r="H10754" t="inlineStr">
        <is>
          <t>Bergvik skog väst AB</t>
        </is>
      </c>
      <c r="I10754" t="n">
        <v>23</v>
      </c>
      <c r="J10754" t="n">
        <v>0</v>
      </c>
      <c r="K10754" t="n">
        <v>0</v>
      </c>
      <c r="L10754" t="n">
        <v>0</v>
      </c>
      <c r="M10754" t="n">
        <v>0</v>
      </c>
      <c r="N10754" t="n">
        <v>0</v>
      </c>
      <c r="O10754" t="n">
        <v>0</v>
      </c>
      <c r="P10754" t="n">
        <v>0</v>
      </c>
      <c r="Q10754" t="n">
        <v>0</v>
      </c>
      <c r="R10754" t="n">
        <v>0</v>
      </c>
      <c r="S10754" t="n">
        <v>0</v>
      </c>
      <c r="T10754" t="n">
        <v>0</v>
      </c>
      <c r="U10754" t="n">
        <v>0</v>
      </c>
      <c r="V10754" s="2" t="inlineStr"/>
    </row>
    <row r="10755" ht="15" customHeight="1">
      <c r="A10755" t="inlineStr">
        <is>
          <t>S 4126-2022</t>
        </is>
      </c>
      <c r="B10755" t="inlineStr">
        <is>
          <t>samrådsanmälan</t>
        </is>
      </c>
      <c r="C10755" t="inlineStr">
        <is>
          <t>Askåterföring</t>
        </is>
      </c>
      <c r="D10755" s="1" t="n">
        <v>44763</v>
      </c>
      <c r="E10755" s="1" t="n">
        <v>46307</v>
      </c>
      <c r="F10755" t="inlineStr">
        <is>
          <t>VÄRMLANDS LÄN</t>
        </is>
      </c>
      <c r="G10755" t="inlineStr">
        <is>
          <t>KARLSTAD</t>
        </is>
      </c>
      <c r="I10755" t="n">
        <v>10.2</v>
      </c>
      <c r="J10755" t="n">
        <v>0</v>
      </c>
      <c r="K10755" t="n">
        <v>0</v>
      </c>
      <c r="L10755" t="n">
        <v>0</v>
      </c>
      <c r="M10755" t="n">
        <v>0</v>
      </c>
      <c r="N10755" t="n">
        <v>0</v>
      </c>
      <c r="O10755" t="n">
        <v>0</v>
      </c>
      <c r="P10755" t="n">
        <v>0</v>
      </c>
      <c r="Q10755" t="n">
        <v>0</v>
      </c>
      <c r="R10755" t="n">
        <v>0</v>
      </c>
      <c r="S10755" t="n">
        <v>0</v>
      </c>
      <c r="T10755" t="n">
        <v>0</v>
      </c>
      <c r="U10755" t="n">
        <v>0</v>
      </c>
      <c r="V10755" s="2" t="inlineStr"/>
    </row>
    <row r="10756" ht="15" customHeight="1">
      <c r="A10756" t="inlineStr">
        <is>
          <t>S 6966-2022</t>
        </is>
      </c>
      <c r="B10756" t="inlineStr">
        <is>
          <t>samrådsanmälan</t>
        </is>
      </c>
      <c r="C10756" t="inlineStr">
        <is>
          <t>Skogsgödsling</t>
        </is>
      </c>
      <c r="D10756" s="1" t="n">
        <v>44901</v>
      </c>
      <c r="E10756" s="1" t="n">
        <v>46307</v>
      </c>
      <c r="F10756" t="inlineStr">
        <is>
          <t>VÄRMLANDS LÄN</t>
        </is>
      </c>
      <c r="G10756" t="inlineStr">
        <is>
          <t>KIL</t>
        </is>
      </c>
      <c r="H10756" t="inlineStr">
        <is>
          <t>Bergvik skog väst AB</t>
        </is>
      </c>
      <c r="I10756" t="n">
        <v>37.7</v>
      </c>
      <c r="J10756" t="n">
        <v>0</v>
      </c>
      <c r="K10756" t="n">
        <v>0</v>
      </c>
      <c r="L10756" t="n">
        <v>0</v>
      </c>
      <c r="M10756" t="n">
        <v>0</v>
      </c>
      <c r="N10756" t="n">
        <v>0</v>
      </c>
      <c r="O10756" t="n">
        <v>0</v>
      </c>
      <c r="P10756" t="n">
        <v>0</v>
      </c>
      <c r="Q10756" t="n">
        <v>0</v>
      </c>
      <c r="R10756" t="n">
        <v>0</v>
      </c>
      <c r="S10756" t="n">
        <v>0</v>
      </c>
      <c r="T10756" t="n">
        <v>0</v>
      </c>
      <c r="U10756" t="n">
        <v>0</v>
      </c>
      <c r="V10756" s="2" t="inlineStr"/>
    </row>
    <row r="10757" ht="15" customHeight="1">
      <c r="A10757" t="inlineStr">
        <is>
          <t>S 4473-2023</t>
        </is>
      </c>
      <c r="B10757" t="inlineStr">
        <is>
          <t>samrådsanmälan</t>
        </is>
      </c>
      <c r="C10757" t="inlineStr">
        <is>
          <t>Askåterföring</t>
        </is>
      </c>
      <c r="D10757" s="1" t="n">
        <v>45272</v>
      </c>
      <c r="E10757" s="1" t="n">
        <v>46307</v>
      </c>
      <c r="F10757" t="inlineStr">
        <is>
          <t>VÄRMLANDS LÄN</t>
        </is>
      </c>
      <c r="G10757" t="inlineStr">
        <is>
          <t>GRUMS</t>
        </is>
      </c>
      <c r="I10757" t="n">
        <v>43.7</v>
      </c>
      <c r="J10757" t="n">
        <v>0</v>
      </c>
      <c r="K10757" t="n">
        <v>0</v>
      </c>
      <c r="L10757" t="n">
        <v>0</v>
      </c>
      <c r="M10757" t="n">
        <v>0</v>
      </c>
      <c r="N10757" t="n">
        <v>0</v>
      </c>
      <c r="O10757" t="n">
        <v>0</v>
      </c>
      <c r="P10757" t="n">
        <v>0</v>
      </c>
      <c r="Q10757" t="n">
        <v>0</v>
      </c>
      <c r="R10757" t="n">
        <v>0</v>
      </c>
      <c r="S10757" t="n">
        <v>0</v>
      </c>
      <c r="T10757" t="n">
        <v>0</v>
      </c>
      <c r="U10757" t="n">
        <v>0</v>
      </c>
      <c r="V10757" s="2" t="inlineStr"/>
    </row>
    <row r="10758" ht="15" customHeight="1">
      <c r="A10758" t="inlineStr">
        <is>
          <t>S 1875-2023</t>
        </is>
      </c>
      <c r="B10758" t="inlineStr">
        <is>
          <t>samrådsanmälan</t>
        </is>
      </c>
      <c r="C10758" t="inlineStr">
        <is>
          <t>Askåterföring</t>
        </is>
      </c>
      <c r="D10758" s="1" t="n">
        <v>45076</v>
      </c>
      <c r="E10758" s="1" t="n">
        <v>46307</v>
      </c>
      <c r="F10758" t="inlineStr">
        <is>
          <t>VÄRMLANDS LÄN</t>
        </is>
      </c>
      <c r="G10758" t="inlineStr">
        <is>
          <t>KARLSTAD</t>
        </is>
      </c>
      <c r="H10758" t="inlineStr">
        <is>
          <t>Kommuner</t>
        </is>
      </c>
      <c r="I10758" t="n">
        <v>163.7</v>
      </c>
      <c r="J10758" t="n">
        <v>0</v>
      </c>
      <c r="K10758" t="n">
        <v>0</v>
      </c>
      <c r="L10758" t="n">
        <v>0</v>
      </c>
      <c r="M10758" t="n">
        <v>0</v>
      </c>
      <c r="N10758" t="n">
        <v>0</v>
      </c>
      <c r="O10758" t="n">
        <v>0</v>
      </c>
      <c r="P10758" t="n">
        <v>0</v>
      </c>
      <c r="Q10758" t="n">
        <v>0</v>
      </c>
      <c r="R10758" t="n">
        <v>0</v>
      </c>
      <c r="S10758" t="n">
        <v>0</v>
      </c>
      <c r="T10758" t="n">
        <v>0</v>
      </c>
      <c r="U10758" t="n">
        <v>0</v>
      </c>
      <c r="V10758" s="2" t="inlineStr"/>
    </row>
    <row r="10759" ht="15" customHeight="1">
      <c r="A10759" t="inlineStr">
        <is>
          <t>S 1903-2024</t>
        </is>
      </c>
      <c r="B10759" t="inlineStr">
        <is>
          <t>samrådsanmälan</t>
        </is>
      </c>
      <c r="C10759" t="inlineStr">
        <is>
          <t>Askåterföring</t>
        </is>
      </c>
      <c r="D10759" s="1" t="n">
        <v>45442</v>
      </c>
      <c r="E10759" s="1" t="n">
        <v>46307</v>
      </c>
      <c r="F10759" t="inlineStr">
        <is>
          <t>VÄRMLANDS LÄN</t>
        </is>
      </c>
      <c r="G10759" t="inlineStr">
        <is>
          <t>KRISTINEHAMN</t>
        </is>
      </c>
      <c r="I10759" t="n">
        <v>104.3</v>
      </c>
      <c r="J10759" t="n">
        <v>0</v>
      </c>
      <c r="K10759" t="n">
        <v>0</v>
      </c>
      <c r="L10759" t="n">
        <v>0</v>
      </c>
      <c r="M10759" t="n">
        <v>0</v>
      </c>
      <c r="N10759" t="n">
        <v>0</v>
      </c>
      <c r="O10759" t="n">
        <v>0</v>
      </c>
      <c r="P10759" t="n">
        <v>0</v>
      </c>
      <c r="Q10759" t="n">
        <v>0</v>
      </c>
      <c r="R10759" t="n">
        <v>0</v>
      </c>
      <c r="S10759" t="n">
        <v>0</v>
      </c>
      <c r="T10759" t="n">
        <v>0</v>
      </c>
      <c r="U10759" t="n">
        <v>0</v>
      </c>
      <c r="V10759" s="2" t="inlineStr"/>
    </row>
    <row r="10760" ht="15" customHeight="1">
      <c r="A10760" t="inlineStr">
        <is>
          <t>S 7131-2022</t>
        </is>
      </c>
      <c r="B10760" t="inlineStr">
        <is>
          <t>samrådsanmälan</t>
        </is>
      </c>
      <c r="C10760" t="inlineStr">
        <is>
          <t>Skogsgödsling</t>
        </is>
      </c>
      <c r="D10760" s="1" t="n">
        <v>44911</v>
      </c>
      <c r="E10760" s="1" t="n">
        <v>46307</v>
      </c>
      <c r="F10760" t="inlineStr">
        <is>
          <t>VÄRMLANDS LÄN</t>
        </is>
      </c>
      <c r="G10760" t="inlineStr">
        <is>
          <t>ARVIKA</t>
        </is>
      </c>
      <c r="H10760" t="inlineStr">
        <is>
          <t>Bergvik skog väst AB</t>
        </is>
      </c>
      <c r="I10760" t="n">
        <v>26.4</v>
      </c>
      <c r="J10760" t="n">
        <v>0</v>
      </c>
      <c r="K10760" t="n">
        <v>0</v>
      </c>
      <c r="L10760" t="n">
        <v>0</v>
      </c>
      <c r="M10760" t="n">
        <v>0</v>
      </c>
      <c r="N10760" t="n">
        <v>0</v>
      </c>
      <c r="O10760" t="n">
        <v>0</v>
      </c>
      <c r="P10760" t="n">
        <v>0</v>
      </c>
      <c r="Q10760" t="n">
        <v>0</v>
      </c>
      <c r="R10760" t="n">
        <v>0</v>
      </c>
      <c r="S10760" t="n">
        <v>0</v>
      </c>
      <c r="T10760" t="n">
        <v>0</v>
      </c>
      <c r="U10760" t="n">
        <v>0</v>
      </c>
      <c r="V10760" s="2" t="inlineStr"/>
    </row>
    <row r="10761" ht="15" customHeight="1">
      <c r="A10761" t="inlineStr">
        <is>
          <t>S 10152-2021</t>
        </is>
      </c>
      <c r="B10761" t="inlineStr">
        <is>
          <t>samrådsanmälan</t>
        </is>
      </c>
      <c r="C10761" t="inlineStr">
        <is>
          <t>Skogsgödsling</t>
        </is>
      </c>
      <c r="D10761" s="1" t="n">
        <v>44540</v>
      </c>
      <c r="E10761" s="1" t="n">
        <v>46307</v>
      </c>
      <c r="F10761" t="inlineStr">
        <is>
          <t>VÄRMLANDS LÄN</t>
        </is>
      </c>
      <c r="G10761" t="inlineStr">
        <is>
          <t>ARVIKA</t>
        </is>
      </c>
      <c r="H10761" t="inlineStr">
        <is>
          <t>Bergvik skog väst AB</t>
        </is>
      </c>
      <c r="I10761" t="n">
        <v>21</v>
      </c>
      <c r="J10761" t="n">
        <v>0</v>
      </c>
      <c r="K10761" t="n">
        <v>0</v>
      </c>
      <c r="L10761" t="n">
        <v>0</v>
      </c>
      <c r="M10761" t="n">
        <v>0</v>
      </c>
      <c r="N10761" t="n">
        <v>0</v>
      </c>
      <c r="O10761" t="n">
        <v>0</v>
      </c>
      <c r="P10761" t="n">
        <v>0</v>
      </c>
      <c r="Q10761" t="n">
        <v>0</v>
      </c>
      <c r="R10761" t="n">
        <v>0</v>
      </c>
      <c r="S10761" t="n">
        <v>0</v>
      </c>
      <c r="T10761" t="n">
        <v>0</v>
      </c>
      <c r="U10761" t="n">
        <v>0</v>
      </c>
      <c r="V10761" s="2" t="inlineStr"/>
    </row>
    <row r="10762" ht="15" customHeight="1">
      <c r="A10762" t="inlineStr">
        <is>
          <t>S 474-2024</t>
        </is>
      </c>
      <c r="B10762" t="inlineStr">
        <is>
          <t>samrådsanmälan</t>
        </is>
      </c>
      <c r="C10762" t="inlineStr">
        <is>
          <t>Skogsgödsling</t>
        </is>
      </c>
      <c r="D10762" s="1" t="n">
        <v>45343</v>
      </c>
      <c r="E10762" s="1" t="n">
        <v>46307</v>
      </c>
      <c r="F10762" t="inlineStr">
        <is>
          <t>VÄRMLANDS LÄN</t>
        </is>
      </c>
      <c r="G10762" t="inlineStr">
        <is>
          <t>TORSBY</t>
        </is>
      </c>
      <c r="I10762" t="n">
        <v>14.6</v>
      </c>
      <c r="J10762" t="n">
        <v>0</v>
      </c>
      <c r="K10762" t="n">
        <v>0</v>
      </c>
      <c r="L10762" t="n">
        <v>0</v>
      </c>
      <c r="M10762" t="n">
        <v>0</v>
      </c>
      <c r="N10762" t="n">
        <v>0</v>
      </c>
      <c r="O10762" t="n">
        <v>0</v>
      </c>
      <c r="P10762" t="n">
        <v>0</v>
      </c>
      <c r="Q10762" t="n">
        <v>0</v>
      </c>
      <c r="R10762" t="n">
        <v>0</v>
      </c>
      <c r="S10762" t="n">
        <v>0</v>
      </c>
      <c r="T10762" t="n">
        <v>0</v>
      </c>
      <c r="U10762" t="n">
        <v>0</v>
      </c>
      <c r="V10762" s="2" t="inlineStr"/>
    </row>
    <row r="10763" ht="15" customHeight="1">
      <c r="A10763" t="inlineStr">
        <is>
          <t>S 6811-2022</t>
        </is>
      </c>
      <c r="B10763" t="inlineStr">
        <is>
          <t>samrådsanmälan</t>
        </is>
      </c>
      <c r="C10763" t="inlineStr">
        <is>
          <t>Skogsgödsling</t>
        </is>
      </c>
      <c r="D10763" s="1" t="n">
        <v>44893</v>
      </c>
      <c r="E10763" s="1" t="n">
        <v>46307</v>
      </c>
      <c r="F10763" t="inlineStr">
        <is>
          <t>VÄRMLANDS LÄN</t>
        </is>
      </c>
      <c r="G10763" t="inlineStr">
        <is>
          <t>ARVIKA</t>
        </is>
      </c>
      <c r="H10763" t="inlineStr">
        <is>
          <t>Bergvik skog väst AB</t>
        </is>
      </c>
      <c r="I10763" t="n">
        <v>14.2</v>
      </c>
      <c r="J10763" t="n">
        <v>0</v>
      </c>
      <c r="K10763" t="n">
        <v>0</v>
      </c>
      <c r="L10763" t="n">
        <v>0</v>
      </c>
      <c r="M10763" t="n">
        <v>0</v>
      </c>
      <c r="N10763" t="n">
        <v>0</v>
      </c>
      <c r="O10763" t="n">
        <v>0</v>
      </c>
      <c r="P10763" t="n">
        <v>0</v>
      </c>
      <c r="Q10763" t="n">
        <v>0</v>
      </c>
      <c r="R10763" t="n">
        <v>0</v>
      </c>
      <c r="S10763" t="n">
        <v>0</v>
      </c>
      <c r="T10763" t="n">
        <v>0</v>
      </c>
      <c r="U10763" t="n">
        <v>0</v>
      </c>
      <c r="V10763" s="2" t="inlineStr"/>
    </row>
    <row r="10764" ht="15" customHeight="1">
      <c r="A10764" t="inlineStr">
        <is>
          <t>S 10216-2021</t>
        </is>
      </c>
      <c r="B10764" t="inlineStr">
        <is>
          <t>samrådsanmälan</t>
        </is>
      </c>
      <c r="C10764" t="inlineStr">
        <is>
          <t>Skogsgödsling</t>
        </is>
      </c>
      <c r="D10764" s="1" t="n">
        <v>44542</v>
      </c>
      <c r="E10764" s="1" t="n">
        <v>46307</v>
      </c>
      <c r="F10764" t="inlineStr">
        <is>
          <t>VÄRMLANDS LÄN</t>
        </is>
      </c>
      <c r="G10764" t="inlineStr">
        <is>
          <t>ARVIKA</t>
        </is>
      </c>
      <c r="H10764" t="inlineStr">
        <is>
          <t>Bergvik skog väst AB</t>
        </is>
      </c>
      <c r="I10764" t="n">
        <v>35.1</v>
      </c>
      <c r="J10764" t="n">
        <v>0</v>
      </c>
      <c r="K10764" t="n">
        <v>0</v>
      </c>
      <c r="L10764" t="n">
        <v>0</v>
      </c>
      <c r="M10764" t="n">
        <v>0</v>
      </c>
      <c r="N10764" t="n">
        <v>0</v>
      </c>
      <c r="O10764" t="n">
        <v>0</v>
      </c>
      <c r="P10764" t="n">
        <v>0</v>
      </c>
      <c r="Q10764" t="n">
        <v>0</v>
      </c>
      <c r="R10764" t="n">
        <v>0</v>
      </c>
      <c r="S10764" t="n">
        <v>0</v>
      </c>
      <c r="T10764" t="n">
        <v>0</v>
      </c>
      <c r="U10764" t="n">
        <v>0</v>
      </c>
      <c r="V10764" s="2" t="inlineStr"/>
    </row>
    <row r="10765" ht="15" customHeight="1">
      <c r="A10765" t="inlineStr">
        <is>
          <t>S 4403-2023</t>
        </is>
      </c>
      <c r="B10765" t="inlineStr">
        <is>
          <t>samrådsanmälan</t>
        </is>
      </c>
      <c r="C10765" t="inlineStr">
        <is>
          <t>Skogsgödsling</t>
        </is>
      </c>
      <c r="D10765" s="1" t="n">
        <v>45266</v>
      </c>
      <c r="E10765" s="1" t="n">
        <v>46307</v>
      </c>
      <c r="F10765" t="inlineStr">
        <is>
          <t>VÄRMLANDS LÄN</t>
        </is>
      </c>
      <c r="G10765" t="inlineStr">
        <is>
          <t>FORSHAGA</t>
        </is>
      </c>
      <c r="H10765" t="inlineStr">
        <is>
          <t>Bergvik skog väst AB</t>
        </is>
      </c>
      <c r="I10765" t="n">
        <v>67.7</v>
      </c>
      <c r="J10765" t="n">
        <v>0</v>
      </c>
      <c r="K10765" t="n">
        <v>0</v>
      </c>
      <c r="L10765" t="n">
        <v>0</v>
      </c>
      <c r="M10765" t="n">
        <v>0</v>
      </c>
      <c r="N10765" t="n">
        <v>0</v>
      </c>
      <c r="O10765" t="n">
        <v>0</v>
      </c>
      <c r="P10765" t="n">
        <v>0</v>
      </c>
      <c r="Q10765" t="n">
        <v>0</v>
      </c>
      <c r="R10765" t="n">
        <v>0</v>
      </c>
      <c r="S10765" t="n">
        <v>0</v>
      </c>
      <c r="T10765" t="n">
        <v>0</v>
      </c>
      <c r="U10765" t="n">
        <v>0</v>
      </c>
      <c r="V10765" s="2" t="inlineStr"/>
    </row>
    <row r="10766" ht="15" customHeight="1">
      <c r="A10766" t="inlineStr">
        <is>
          <t>S 6810-2022</t>
        </is>
      </c>
      <c r="B10766" t="inlineStr">
        <is>
          <t>samrådsanmälan</t>
        </is>
      </c>
      <c r="C10766" t="inlineStr">
        <is>
          <t>Skogsgödsling</t>
        </is>
      </c>
      <c r="D10766" s="1" t="n">
        <v>44893</v>
      </c>
      <c r="E10766" s="1" t="n">
        <v>46307</v>
      </c>
      <c r="F10766" t="inlineStr">
        <is>
          <t>VÄRMLANDS LÄN</t>
        </is>
      </c>
      <c r="G10766" t="inlineStr">
        <is>
          <t>EDA</t>
        </is>
      </c>
      <c r="H10766" t="inlineStr">
        <is>
          <t>Bergvik skog väst AB</t>
        </is>
      </c>
      <c r="I10766" t="n">
        <v>44</v>
      </c>
      <c r="J10766" t="n">
        <v>0</v>
      </c>
      <c r="K10766" t="n">
        <v>0</v>
      </c>
      <c r="L10766" t="n">
        <v>0</v>
      </c>
      <c r="M10766" t="n">
        <v>0</v>
      </c>
      <c r="N10766" t="n">
        <v>0</v>
      </c>
      <c r="O10766" t="n">
        <v>0</v>
      </c>
      <c r="P10766" t="n">
        <v>0</v>
      </c>
      <c r="Q10766" t="n">
        <v>0</v>
      </c>
      <c r="R10766" t="n">
        <v>0</v>
      </c>
      <c r="S10766" t="n">
        <v>0</v>
      </c>
      <c r="T10766" t="n">
        <v>0</v>
      </c>
      <c r="U10766" t="n">
        <v>0</v>
      </c>
      <c r="V10766" s="2" t="inlineStr"/>
    </row>
    <row r="10767" ht="15" customHeight="1">
      <c r="A10767" t="inlineStr">
        <is>
          <t>S 4398-2023</t>
        </is>
      </c>
      <c r="B10767" t="inlineStr">
        <is>
          <t>samrådsanmälan</t>
        </is>
      </c>
      <c r="C10767" t="inlineStr">
        <is>
          <t>Skogsgödsling</t>
        </is>
      </c>
      <c r="D10767" s="1" t="n">
        <v>45266</v>
      </c>
      <c r="E10767" s="1" t="n">
        <v>46307</v>
      </c>
      <c r="F10767" t="inlineStr">
        <is>
          <t>VÄRMLANDS LÄN</t>
        </is>
      </c>
      <c r="G10767" t="inlineStr">
        <is>
          <t>KIL</t>
        </is>
      </c>
      <c r="H10767" t="inlineStr">
        <is>
          <t>Bergvik skog väst AB</t>
        </is>
      </c>
      <c r="I10767" t="n">
        <v>22.4</v>
      </c>
      <c r="J10767" t="n">
        <v>0</v>
      </c>
      <c r="K10767" t="n">
        <v>0</v>
      </c>
      <c r="L10767" t="n">
        <v>0</v>
      </c>
      <c r="M10767" t="n">
        <v>0</v>
      </c>
      <c r="N10767" t="n">
        <v>0</v>
      </c>
      <c r="O10767" t="n">
        <v>0</v>
      </c>
      <c r="P10767" t="n">
        <v>0</v>
      </c>
      <c r="Q10767" t="n">
        <v>0</v>
      </c>
      <c r="R10767" t="n">
        <v>0</v>
      </c>
      <c r="S10767" t="n">
        <v>0</v>
      </c>
      <c r="T10767" t="n">
        <v>0</v>
      </c>
      <c r="U10767" t="n">
        <v>0</v>
      </c>
      <c r="V10767" s="2" t="inlineStr"/>
    </row>
    <row r="10768" ht="15" customHeight="1">
      <c r="A10768" t="inlineStr">
        <is>
          <t>S 717-2023</t>
        </is>
      </c>
      <c r="B10768" t="inlineStr">
        <is>
          <t>samrådsanmälan</t>
        </is>
      </c>
      <c r="C10768" t="inlineStr">
        <is>
          <t>Annan skogsbruksåtgärd</t>
        </is>
      </c>
      <c r="D10768" s="1" t="n">
        <v>44985</v>
      </c>
      <c r="E10768" s="1" t="n">
        <v>46307</v>
      </c>
      <c r="F10768" t="inlineStr">
        <is>
          <t>VÄRMLANDS LÄN</t>
        </is>
      </c>
      <c r="G10768" t="inlineStr">
        <is>
          <t>KRISTINEHAMN</t>
        </is>
      </c>
      <c r="I10768" t="n">
        <v>0.8</v>
      </c>
      <c r="J10768" t="n">
        <v>0</v>
      </c>
      <c r="K10768" t="n">
        <v>0</v>
      </c>
      <c r="L10768" t="n">
        <v>0</v>
      </c>
      <c r="M10768" t="n">
        <v>0</v>
      </c>
      <c r="N10768" t="n">
        <v>0</v>
      </c>
      <c r="O10768" t="n">
        <v>0</v>
      </c>
      <c r="P10768" t="n">
        <v>0</v>
      </c>
      <c r="Q10768" t="n">
        <v>0</v>
      </c>
      <c r="R10768" t="n">
        <v>0</v>
      </c>
      <c r="S10768" t="n">
        <v>0</v>
      </c>
      <c r="T10768" t="n">
        <v>0</v>
      </c>
      <c r="U10768" t="n">
        <v>0</v>
      </c>
      <c r="V10768" s="2" t="inlineStr"/>
    </row>
    <row r="10769" ht="15" customHeight="1">
      <c r="A10769" t="inlineStr">
        <is>
          <t>S 4150-2023</t>
        </is>
      </c>
      <c r="B10769" t="inlineStr">
        <is>
          <t>samrådsanmälan</t>
        </is>
      </c>
      <c r="C10769" t="inlineStr">
        <is>
          <t>Skogsgödsling</t>
        </is>
      </c>
      <c r="D10769" s="1" t="n">
        <v>45247</v>
      </c>
      <c r="E10769" s="1" t="n">
        <v>46307</v>
      </c>
      <c r="F10769" t="inlineStr">
        <is>
          <t>VÄRMLANDS LÄN</t>
        </is>
      </c>
      <c r="G10769" t="inlineStr">
        <is>
          <t>HAGFORS</t>
        </is>
      </c>
      <c r="H10769" t="inlineStr">
        <is>
          <t>Bergvik skog väst AB</t>
        </is>
      </c>
      <c r="I10769" t="n">
        <v>34.4</v>
      </c>
      <c r="J10769" t="n">
        <v>0</v>
      </c>
      <c r="K10769" t="n">
        <v>0</v>
      </c>
      <c r="L10769" t="n">
        <v>0</v>
      </c>
      <c r="M10769" t="n">
        <v>0</v>
      </c>
      <c r="N10769" t="n">
        <v>0</v>
      </c>
      <c r="O10769" t="n">
        <v>0</v>
      </c>
      <c r="P10769" t="n">
        <v>0</v>
      </c>
      <c r="Q10769" t="n">
        <v>0</v>
      </c>
      <c r="R10769" t="n">
        <v>0</v>
      </c>
      <c r="S10769" t="n">
        <v>0</v>
      </c>
      <c r="T10769" t="n">
        <v>0</v>
      </c>
      <c r="U10769" t="n">
        <v>0</v>
      </c>
      <c r="V10769" s="2" t="inlineStr"/>
    </row>
    <row r="10770" ht="15" customHeight="1">
      <c r="A10770" t="inlineStr">
        <is>
          <t>S 8483-2021</t>
        </is>
      </c>
      <c r="B10770" t="inlineStr">
        <is>
          <t>samrådsanmälan</t>
        </is>
      </c>
      <c r="C10770" t="inlineStr">
        <is>
          <t>Skogsbilväg</t>
        </is>
      </c>
      <c r="D10770" s="1" t="n">
        <v>44497</v>
      </c>
      <c r="E10770" s="1" t="n">
        <v>46307</v>
      </c>
      <c r="F10770" t="inlineStr">
        <is>
          <t>VÄRMLANDS LÄN</t>
        </is>
      </c>
      <c r="G10770" t="inlineStr">
        <is>
          <t>TORSBY</t>
        </is>
      </c>
      <c r="I10770" t="n">
        <v>1.8</v>
      </c>
      <c r="J10770" t="n">
        <v>0</v>
      </c>
      <c r="K10770" t="n">
        <v>0</v>
      </c>
      <c r="L10770" t="n">
        <v>0</v>
      </c>
      <c r="M10770" t="n">
        <v>0</v>
      </c>
      <c r="N10770" t="n">
        <v>0</v>
      </c>
      <c r="O10770" t="n">
        <v>0</v>
      </c>
      <c r="P10770" t="n">
        <v>0</v>
      </c>
      <c r="Q10770" t="n">
        <v>0</v>
      </c>
      <c r="R10770" t="n">
        <v>0</v>
      </c>
      <c r="S10770" t="n">
        <v>0</v>
      </c>
      <c r="T10770" t="n">
        <v>0</v>
      </c>
      <c r="U10770" t="n">
        <v>0</v>
      </c>
      <c r="V10770" s="2" t="inlineStr"/>
    </row>
    <row r="10771" ht="15" customHeight="1">
      <c r="A10771" t="inlineStr">
        <is>
          <t>S 4135-2023</t>
        </is>
      </c>
      <c r="B10771" t="inlineStr">
        <is>
          <t>samrådsanmälan</t>
        </is>
      </c>
      <c r="C10771" t="inlineStr">
        <is>
          <t>Skogsgödsling</t>
        </is>
      </c>
      <c r="D10771" s="1" t="n">
        <v>45247</v>
      </c>
      <c r="E10771" s="1" t="n">
        <v>46307</v>
      </c>
      <c r="F10771" t="inlineStr">
        <is>
          <t>VÄRMLANDS LÄN</t>
        </is>
      </c>
      <c r="G10771" t="inlineStr">
        <is>
          <t>FILIPSTAD</t>
        </is>
      </c>
      <c r="H10771" t="inlineStr">
        <is>
          <t>Bergvik skog väst AB</t>
        </is>
      </c>
      <c r="I10771" t="n">
        <v>18.9</v>
      </c>
      <c r="J10771" t="n">
        <v>0</v>
      </c>
      <c r="K10771" t="n">
        <v>0</v>
      </c>
      <c r="L10771" t="n">
        <v>0</v>
      </c>
      <c r="M10771" t="n">
        <v>0</v>
      </c>
      <c r="N10771" t="n">
        <v>0</v>
      </c>
      <c r="O10771" t="n">
        <v>0</v>
      </c>
      <c r="P10771" t="n">
        <v>0</v>
      </c>
      <c r="Q10771" t="n">
        <v>0</v>
      </c>
      <c r="R10771" t="n">
        <v>0</v>
      </c>
      <c r="S10771" t="n">
        <v>0</v>
      </c>
      <c r="T10771" t="n">
        <v>0</v>
      </c>
      <c r="U10771" t="n">
        <v>0</v>
      </c>
      <c r="V10771" s="2" t="inlineStr"/>
    </row>
    <row r="10772" ht="15" customHeight="1">
      <c r="A10772" t="inlineStr">
        <is>
          <t>S 4456-2022</t>
        </is>
      </c>
      <c r="B10772" t="inlineStr">
        <is>
          <t>samrådsanmälan</t>
        </is>
      </c>
      <c r="C10772" t="inlineStr">
        <is>
          <t>Skogsbilväg</t>
        </is>
      </c>
      <c r="D10772" s="1" t="n">
        <v>44787</v>
      </c>
      <c r="E10772" s="1" t="n">
        <v>46307</v>
      </c>
      <c r="F10772" t="inlineStr">
        <is>
          <t>VÄRMLANDS LÄN</t>
        </is>
      </c>
      <c r="G10772" t="inlineStr">
        <is>
          <t>ÅRJÄNG</t>
        </is>
      </c>
      <c r="H10772" t="inlineStr">
        <is>
          <t>Övriga Aktiebolag</t>
        </is>
      </c>
      <c r="I10772" t="n">
        <v>0.9</v>
      </c>
      <c r="J10772" t="n">
        <v>0</v>
      </c>
      <c r="K10772" t="n">
        <v>0</v>
      </c>
      <c r="L10772" t="n">
        <v>0</v>
      </c>
      <c r="M10772" t="n">
        <v>0</v>
      </c>
      <c r="N10772" t="n">
        <v>0</v>
      </c>
      <c r="O10772" t="n">
        <v>0</v>
      </c>
      <c r="P10772" t="n">
        <v>0</v>
      </c>
      <c r="Q10772" t="n">
        <v>0</v>
      </c>
      <c r="R10772" t="n">
        <v>0</v>
      </c>
      <c r="S10772" t="n">
        <v>0</v>
      </c>
      <c r="T10772" t="n">
        <v>0</v>
      </c>
      <c r="U10772" t="n">
        <v>0</v>
      </c>
      <c r="V10772" s="2" t="inlineStr"/>
    </row>
    <row r="10773" ht="15" customHeight="1">
      <c r="A10773" t="inlineStr">
        <is>
          <t>S 10207-2021</t>
        </is>
      </c>
      <c r="B10773" t="inlineStr">
        <is>
          <t>samrådsanmälan</t>
        </is>
      </c>
      <c r="C10773" t="inlineStr">
        <is>
          <t>Skogsgödsling</t>
        </is>
      </c>
      <c r="D10773" s="1" t="n">
        <v>44540</v>
      </c>
      <c r="E10773" s="1" t="n">
        <v>46307</v>
      </c>
      <c r="F10773" t="inlineStr">
        <is>
          <t>VÄRMLANDS LÄN</t>
        </is>
      </c>
      <c r="G10773" t="inlineStr">
        <is>
          <t>ARVIKA</t>
        </is>
      </c>
      <c r="H10773" t="inlineStr">
        <is>
          <t>Bergvik skog väst AB</t>
        </is>
      </c>
      <c r="I10773" t="n">
        <v>18.2</v>
      </c>
      <c r="J10773" t="n">
        <v>0</v>
      </c>
      <c r="K10773" t="n">
        <v>0</v>
      </c>
      <c r="L10773" t="n">
        <v>0</v>
      </c>
      <c r="M10773" t="n">
        <v>0</v>
      </c>
      <c r="N10773" t="n">
        <v>0</v>
      </c>
      <c r="O10773" t="n">
        <v>0</v>
      </c>
      <c r="P10773" t="n">
        <v>0</v>
      </c>
      <c r="Q10773" t="n">
        <v>0</v>
      </c>
      <c r="R10773" t="n">
        <v>0</v>
      </c>
      <c r="S10773" t="n">
        <v>0</v>
      </c>
      <c r="T10773" t="n">
        <v>0</v>
      </c>
      <c r="U10773" t="n">
        <v>0</v>
      </c>
      <c r="V10773" s="2" t="inlineStr"/>
    </row>
    <row r="10774" ht="15" customHeight="1">
      <c r="A10774" t="inlineStr">
        <is>
          <t>S 1412-2024</t>
        </is>
      </c>
      <c r="B10774" t="inlineStr">
        <is>
          <t>samrådsanmälan</t>
        </is>
      </c>
      <c r="C10774" t="inlineStr">
        <is>
          <t>Askåterföring</t>
        </is>
      </c>
      <c r="D10774" s="1" t="n">
        <v>45414</v>
      </c>
      <c r="E10774" s="1" t="n">
        <v>46307</v>
      </c>
      <c r="F10774" t="inlineStr">
        <is>
          <t>VÄRMLANDS LÄN</t>
        </is>
      </c>
      <c r="G10774" t="inlineStr">
        <is>
          <t>KRISTINEHAMN</t>
        </is>
      </c>
      <c r="I10774" t="n">
        <v>42.9</v>
      </c>
      <c r="J10774" t="n">
        <v>0</v>
      </c>
      <c r="K10774" t="n">
        <v>0</v>
      </c>
      <c r="L10774" t="n">
        <v>0</v>
      </c>
      <c r="M10774" t="n">
        <v>0</v>
      </c>
      <c r="N10774" t="n">
        <v>0</v>
      </c>
      <c r="O10774" t="n">
        <v>0</v>
      </c>
      <c r="P10774" t="n">
        <v>0</v>
      </c>
      <c r="Q10774" t="n">
        <v>0</v>
      </c>
      <c r="R10774" t="n">
        <v>0</v>
      </c>
      <c r="S10774" t="n">
        <v>0</v>
      </c>
      <c r="T10774" t="n">
        <v>0</v>
      </c>
      <c r="U10774" t="n">
        <v>0</v>
      </c>
      <c r="V10774" s="2" t="inlineStr"/>
    </row>
    <row r="10775" ht="15" customHeight="1">
      <c r="A10775" t="inlineStr">
        <is>
          <t>S 4429-2023</t>
        </is>
      </c>
      <c r="B10775" t="inlineStr">
        <is>
          <t>samrådsanmälan</t>
        </is>
      </c>
      <c r="C10775" t="inlineStr">
        <is>
          <t>Skogsgödsling</t>
        </is>
      </c>
      <c r="D10775" s="1" t="n">
        <v>45266</v>
      </c>
      <c r="E10775" s="1" t="n">
        <v>46307</v>
      </c>
      <c r="F10775" t="inlineStr">
        <is>
          <t>VÄRMLANDS LÄN</t>
        </is>
      </c>
      <c r="G10775" t="inlineStr">
        <is>
          <t>FORSHAGA</t>
        </is>
      </c>
      <c r="H10775" t="inlineStr">
        <is>
          <t>Bergvik skog väst AB</t>
        </is>
      </c>
      <c r="I10775" t="n">
        <v>80.3</v>
      </c>
      <c r="J10775" t="n">
        <v>0</v>
      </c>
      <c r="K10775" t="n">
        <v>0</v>
      </c>
      <c r="L10775" t="n">
        <v>0</v>
      </c>
      <c r="M10775" t="n">
        <v>0</v>
      </c>
      <c r="N10775" t="n">
        <v>0</v>
      </c>
      <c r="O10775" t="n">
        <v>0</v>
      </c>
      <c r="P10775" t="n">
        <v>0</v>
      </c>
      <c r="Q10775" t="n">
        <v>0</v>
      </c>
      <c r="R10775" t="n">
        <v>0</v>
      </c>
      <c r="S10775" t="n">
        <v>0</v>
      </c>
      <c r="T10775" t="n">
        <v>0</v>
      </c>
      <c r="U10775" t="n">
        <v>0</v>
      </c>
      <c r="V10775" s="2" t="inlineStr"/>
    </row>
    <row r="10776" ht="15" customHeight="1">
      <c r="A10776" t="inlineStr">
        <is>
          <t>S 6971-2022</t>
        </is>
      </c>
      <c r="B10776" t="inlineStr">
        <is>
          <t>samrådsanmälan</t>
        </is>
      </c>
      <c r="C10776" t="inlineStr">
        <is>
          <t>Skogsgödsling</t>
        </is>
      </c>
      <c r="D10776" s="1" t="n">
        <v>44901</v>
      </c>
      <c r="E10776" s="1" t="n">
        <v>46307</v>
      </c>
      <c r="F10776" t="inlineStr">
        <is>
          <t>VÄRMLANDS LÄN</t>
        </is>
      </c>
      <c r="G10776" t="inlineStr">
        <is>
          <t>MUNKFORS</t>
        </is>
      </c>
      <c r="H10776" t="inlineStr">
        <is>
          <t>Bergvik skog väst AB</t>
        </is>
      </c>
      <c r="I10776" t="n">
        <v>17</v>
      </c>
      <c r="J10776" t="n">
        <v>0</v>
      </c>
      <c r="K10776" t="n">
        <v>0</v>
      </c>
      <c r="L10776" t="n">
        <v>0</v>
      </c>
      <c r="M10776" t="n">
        <v>0</v>
      </c>
      <c r="N10776" t="n">
        <v>0</v>
      </c>
      <c r="O10776" t="n">
        <v>0</v>
      </c>
      <c r="P10776" t="n">
        <v>0</v>
      </c>
      <c r="Q10776" t="n">
        <v>0</v>
      </c>
      <c r="R10776" t="n">
        <v>0</v>
      </c>
      <c r="S10776" t="n">
        <v>0</v>
      </c>
      <c r="T10776" t="n">
        <v>0</v>
      </c>
      <c r="U10776" t="n">
        <v>0</v>
      </c>
      <c r="V10776" s="2" t="inlineStr"/>
    </row>
    <row r="10777" ht="15" customHeight="1">
      <c r="A10777" t="inlineStr">
        <is>
          <t>S 10155-2021</t>
        </is>
      </c>
      <c r="B10777" t="inlineStr">
        <is>
          <t>samrådsanmälan</t>
        </is>
      </c>
      <c r="C10777" t="inlineStr">
        <is>
          <t>Skogsgödsling</t>
        </is>
      </c>
      <c r="D10777" s="1" t="n">
        <v>44540</v>
      </c>
      <c r="E10777" s="1" t="n">
        <v>46307</v>
      </c>
      <c r="F10777" t="inlineStr">
        <is>
          <t>VÄRMLANDS LÄN</t>
        </is>
      </c>
      <c r="G10777" t="inlineStr">
        <is>
          <t>SÄFFLE</t>
        </is>
      </c>
      <c r="H10777" t="inlineStr">
        <is>
          <t>Bergvik skog väst AB</t>
        </is>
      </c>
      <c r="I10777" t="n">
        <v>30.8</v>
      </c>
      <c r="J10777" t="n">
        <v>0</v>
      </c>
      <c r="K10777" t="n">
        <v>0</v>
      </c>
      <c r="L10777" t="n">
        <v>0</v>
      </c>
      <c r="M10777" t="n">
        <v>0</v>
      </c>
      <c r="N10777" t="n">
        <v>0</v>
      </c>
      <c r="O10777" t="n">
        <v>0</v>
      </c>
      <c r="P10777" t="n">
        <v>0</v>
      </c>
      <c r="Q10777" t="n">
        <v>0</v>
      </c>
      <c r="R10777" t="n">
        <v>0</v>
      </c>
      <c r="S10777" t="n">
        <v>0</v>
      </c>
      <c r="T10777" t="n">
        <v>0</v>
      </c>
      <c r="U10777" t="n">
        <v>0</v>
      </c>
      <c r="V10777" s="2" t="inlineStr"/>
    </row>
    <row r="10778" ht="15" customHeight="1">
      <c r="A10778" t="inlineStr">
        <is>
          <t>S 10156-2021</t>
        </is>
      </c>
      <c r="B10778" t="inlineStr">
        <is>
          <t>samrådsanmälan</t>
        </is>
      </c>
      <c r="C10778" t="inlineStr">
        <is>
          <t>Skogsgödsling</t>
        </is>
      </c>
      <c r="D10778" s="1" t="n">
        <v>44540</v>
      </c>
      <c r="E10778" s="1" t="n">
        <v>46307</v>
      </c>
      <c r="F10778" t="inlineStr">
        <is>
          <t>VÄRMLANDS LÄN</t>
        </is>
      </c>
      <c r="G10778" t="inlineStr">
        <is>
          <t>ARVIKA</t>
        </is>
      </c>
      <c r="H10778" t="inlineStr">
        <is>
          <t>Bergvik skog väst AB</t>
        </is>
      </c>
      <c r="I10778" t="n">
        <v>30.4</v>
      </c>
      <c r="J10778" t="n">
        <v>0</v>
      </c>
      <c r="K10778" t="n">
        <v>0</v>
      </c>
      <c r="L10778" t="n">
        <v>0</v>
      </c>
      <c r="M10778" t="n">
        <v>0</v>
      </c>
      <c r="N10778" t="n">
        <v>0</v>
      </c>
      <c r="O10778" t="n">
        <v>0</v>
      </c>
      <c r="P10778" t="n">
        <v>0</v>
      </c>
      <c r="Q10778" t="n">
        <v>0</v>
      </c>
      <c r="R10778" t="n">
        <v>0</v>
      </c>
      <c r="S10778" t="n">
        <v>0</v>
      </c>
      <c r="T10778" t="n">
        <v>0</v>
      </c>
      <c r="U10778" t="n">
        <v>0</v>
      </c>
      <c r="V10778" s="2" t="inlineStr"/>
    </row>
    <row r="10779" ht="15" customHeight="1">
      <c r="A10779" t="inlineStr">
        <is>
          <t>S 1900-2024</t>
        </is>
      </c>
      <c r="B10779" t="inlineStr">
        <is>
          <t>samrådsanmälan</t>
        </is>
      </c>
      <c r="C10779" t="inlineStr">
        <is>
          <t>Askåterföring</t>
        </is>
      </c>
      <c r="D10779" s="1" t="n">
        <v>45442</v>
      </c>
      <c r="E10779" s="1" t="n">
        <v>46307</v>
      </c>
      <c r="F10779" t="inlineStr">
        <is>
          <t>VÄRMLANDS LÄN</t>
        </is>
      </c>
      <c r="G10779" t="inlineStr">
        <is>
          <t>KRISTINEHAMN</t>
        </is>
      </c>
      <c r="I10779" t="n">
        <v>63.5</v>
      </c>
      <c r="J10779" t="n">
        <v>0</v>
      </c>
      <c r="K10779" t="n">
        <v>0</v>
      </c>
      <c r="L10779" t="n">
        <v>0</v>
      </c>
      <c r="M10779" t="n">
        <v>0</v>
      </c>
      <c r="N10779" t="n">
        <v>0</v>
      </c>
      <c r="O10779" t="n">
        <v>0</v>
      </c>
      <c r="P10779" t="n">
        <v>0</v>
      </c>
      <c r="Q10779" t="n">
        <v>0</v>
      </c>
      <c r="R10779" t="n">
        <v>0</v>
      </c>
      <c r="S10779" t="n">
        <v>0</v>
      </c>
      <c r="T10779" t="n">
        <v>0</v>
      </c>
      <c r="U10779" t="n">
        <v>0</v>
      </c>
      <c r="V10779" s="2" t="inlineStr"/>
    </row>
    <row r="10780" ht="15" customHeight="1">
      <c r="A10780" t="inlineStr">
        <is>
          <t>S 4410-2023</t>
        </is>
      </c>
      <c r="B10780" t="inlineStr">
        <is>
          <t>samrådsanmälan</t>
        </is>
      </c>
      <c r="C10780" t="inlineStr">
        <is>
          <t>Skogsgödsling</t>
        </is>
      </c>
      <c r="D10780" s="1" t="n">
        <v>45266</v>
      </c>
      <c r="E10780" s="1" t="n">
        <v>46307</v>
      </c>
      <c r="F10780" t="inlineStr">
        <is>
          <t>VÄRMLANDS LÄN</t>
        </is>
      </c>
      <c r="G10780" t="inlineStr">
        <is>
          <t>HAGFORS</t>
        </is>
      </c>
      <c r="H10780" t="inlineStr">
        <is>
          <t>Bergvik skog väst AB</t>
        </is>
      </c>
      <c r="I10780" t="n">
        <v>39.3</v>
      </c>
      <c r="J10780" t="n">
        <v>0</v>
      </c>
      <c r="K10780" t="n">
        <v>0</v>
      </c>
      <c r="L10780" t="n">
        <v>0</v>
      </c>
      <c r="M10780" t="n">
        <v>0</v>
      </c>
      <c r="N10780" t="n">
        <v>0</v>
      </c>
      <c r="O10780" t="n">
        <v>0</v>
      </c>
      <c r="P10780" t="n">
        <v>0</v>
      </c>
      <c r="Q10780" t="n">
        <v>0</v>
      </c>
      <c r="R10780" t="n">
        <v>0</v>
      </c>
      <c r="S10780" t="n">
        <v>0</v>
      </c>
      <c r="T10780" t="n">
        <v>0</v>
      </c>
      <c r="U10780" t="n">
        <v>0</v>
      </c>
      <c r="V10780" s="2" t="inlineStr"/>
    </row>
    <row r="10781" ht="15" customHeight="1">
      <c r="A10781" t="inlineStr">
        <is>
          <t>S 1893-2024</t>
        </is>
      </c>
      <c r="B10781" t="inlineStr">
        <is>
          <t>samrådsanmälan</t>
        </is>
      </c>
      <c r="C10781" t="inlineStr">
        <is>
          <t>Skogsgödsling</t>
        </is>
      </c>
      <c r="D10781" s="1" t="n">
        <v>45441</v>
      </c>
      <c r="E10781" s="1" t="n">
        <v>46307</v>
      </c>
      <c r="F10781" t="inlineStr">
        <is>
          <t>VÄRMLANDS LÄN</t>
        </is>
      </c>
      <c r="G10781" t="inlineStr">
        <is>
          <t>TORSBY</t>
        </is>
      </c>
      <c r="I10781" t="n">
        <v>11.4</v>
      </c>
      <c r="J10781" t="n">
        <v>0</v>
      </c>
      <c r="K10781" t="n">
        <v>0</v>
      </c>
      <c r="L10781" t="n">
        <v>0</v>
      </c>
      <c r="M10781" t="n">
        <v>0</v>
      </c>
      <c r="N10781" t="n">
        <v>0</v>
      </c>
      <c r="O10781" t="n">
        <v>0</v>
      </c>
      <c r="P10781" t="n">
        <v>0</v>
      </c>
      <c r="Q10781" t="n">
        <v>0</v>
      </c>
      <c r="R10781" t="n">
        <v>0</v>
      </c>
      <c r="S10781" t="n">
        <v>0</v>
      </c>
      <c r="T10781" t="n">
        <v>0</v>
      </c>
      <c r="U10781" t="n">
        <v>0</v>
      </c>
      <c r="V10781" s="2" t="inlineStr"/>
    </row>
    <row r="10782" ht="15" customHeight="1">
      <c r="A10782" t="inlineStr">
        <is>
          <t>S 4409-2023</t>
        </is>
      </c>
      <c r="B10782" t="inlineStr">
        <is>
          <t>samrådsanmälan</t>
        </is>
      </c>
      <c r="C10782" t="inlineStr">
        <is>
          <t>Skogsgödsling</t>
        </is>
      </c>
      <c r="D10782" s="1" t="n">
        <v>45266</v>
      </c>
      <c r="E10782" s="1" t="n">
        <v>46307</v>
      </c>
      <c r="F10782" t="inlineStr">
        <is>
          <t>VÄRMLANDS LÄN</t>
        </is>
      </c>
      <c r="G10782" t="inlineStr">
        <is>
          <t>HAGFORS</t>
        </is>
      </c>
      <c r="H10782" t="inlineStr">
        <is>
          <t>Bergvik skog väst AB</t>
        </is>
      </c>
      <c r="I10782" t="n">
        <v>24.9</v>
      </c>
      <c r="J10782" t="n">
        <v>0</v>
      </c>
      <c r="K10782" t="n">
        <v>0</v>
      </c>
      <c r="L10782" t="n">
        <v>0</v>
      </c>
      <c r="M10782" t="n">
        <v>0</v>
      </c>
      <c r="N10782" t="n">
        <v>0</v>
      </c>
      <c r="O10782" t="n">
        <v>0</v>
      </c>
      <c r="P10782" t="n">
        <v>0</v>
      </c>
      <c r="Q10782" t="n">
        <v>0</v>
      </c>
      <c r="R10782" t="n">
        <v>0</v>
      </c>
      <c r="S10782" t="n">
        <v>0</v>
      </c>
      <c r="T10782" t="n">
        <v>0</v>
      </c>
      <c r="U10782" t="n">
        <v>0</v>
      </c>
      <c r="V10782" s="2" t="inlineStr"/>
    </row>
    <row r="10783" ht="15" customHeight="1">
      <c r="A10783" t="inlineStr">
        <is>
          <t>S 4155-2023</t>
        </is>
      </c>
      <c r="B10783" t="inlineStr">
        <is>
          <t>samrådsanmälan</t>
        </is>
      </c>
      <c r="C10783" t="inlineStr">
        <is>
          <t>Skogsgödsling</t>
        </is>
      </c>
      <c r="D10783" s="1" t="n">
        <v>45247</v>
      </c>
      <c r="E10783" s="1" t="n">
        <v>46307</v>
      </c>
      <c r="F10783" t="inlineStr">
        <is>
          <t>VÄRMLANDS LÄN</t>
        </is>
      </c>
      <c r="G10783" t="inlineStr">
        <is>
          <t>HAGFORS</t>
        </is>
      </c>
      <c r="H10783" t="inlineStr">
        <is>
          <t>Bergvik skog väst AB</t>
        </is>
      </c>
      <c r="I10783" t="n">
        <v>40.9</v>
      </c>
      <c r="J10783" t="n">
        <v>0</v>
      </c>
      <c r="K10783" t="n">
        <v>0</v>
      </c>
      <c r="L10783" t="n">
        <v>0</v>
      </c>
      <c r="M10783" t="n">
        <v>0</v>
      </c>
      <c r="N10783" t="n">
        <v>0</v>
      </c>
      <c r="O10783" t="n">
        <v>0</v>
      </c>
      <c r="P10783" t="n">
        <v>0</v>
      </c>
      <c r="Q10783" t="n">
        <v>0</v>
      </c>
      <c r="R10783" t="n">
        <v>0</v>
      </c>
      <c r="S10783" t="n">
        <v>0</v>
      </c>
      <c r="T10783" t="n">
        <v>0</v>
      </c>
      <c r="U10783" t="n">
        <v>0</v>
      </c>
      <c r="V10783" s="2" t="inlineStr"/>
    </row>
    <row r="10784" ht="15" customHeight="1">
      <c r="A10784" t="inlineStr">
        <is>
          <t>S 2561-2024</t>
        </is>
      </c>
      <c r="B10784" t="inlineStr">
        <is>
          <t>samrådsanmälan</t>
        </is>
      </c>
      <c r="C10784" t="inlineStr">
        <is>
          <t>Askåterföring</t>
        </is>
      </c>
      <c r="D10784" s="1" t="n">
        <v>45476</v>
      </c>
      <c r="E10784" s="1" t="n">
        <v>46307</v>
      </c>
      <c r="F10784" t="inlineStr">
        <is>
          <t>VÄRMLANDS LÄN</t>
        </is>
      </c>
      <c r="G10784" t="inlineStr">
        <is>
          <t>KIL</t>
        </is>
      </c>
      <c r="I10784" t="n">
        <v>13.6</v>
      </c>
      <c r="J10784" t="n">
        <v>0</v>
      </c>
      <c r="K10784" t="n">
        <v>0</v>
      </c>
      <c r="L10784" t="n">
        <v>0</v>
      </c>
      <c r="M10784" t="n">
        <v>0</v>
      </c>
      <c r="N10784" t="n">
        <v>0</v>
      </c>
      <c r="O10784" t="n">
        <v>0</v>
      </c>
      <c r="P10784" t="n">
        <v>0</v>
      </c>
      <c r="Q10784" t="n">
        <v>0</v>
      </c>
      <c r="R10784" t="n">
        <v>0</v>
      </c>
      <c r="S10784" t="n">
        <v>0</v>
      </c>
      <c r="T10784" t="n">
        <v>0</v>
      </c>
      <c r="U10784" t="n">
        <v>0</v>
      </c>
      <c r="V10784" s="2" t="inlineStr"/>
    </row>
    <row r="10785" ht="15" customHeight="1">
      <c r="A10785" t="inlineStr">
        <is>
          <t>S 3374-2024</t>
        </is>
      </c>
      <c r="B10785" t="inlineStr">
        <is>
          <t>samrådsanmälan</t>
        </is>
      </c>
      <c r="C10785" t="inlineStr">
        <is>
          <t>Askåterföring</t>
        </is>
      </c>
      <c r="D10785" s="1" t="n">
        <v>45533</v>
      </c>
      <c r="E10785" s="1" t="n">
        <v>46307</v>
      </c>
      <c r="F10785" t="inlineStr">
        <is>
          <t>VÄRMLANDS LÄN</t>
        </is>
      </c>
      <c r="G10785" t="inlineStr">
        <is>
          <t>KRISTINEHAMN</t>
        </is>
      </c>
      <c r="I10785" t="n">
        <v>18.3</v>
      </c>
      <c r="J10785" t="n">
        <v>0</v>
      </c>
      <c r="K10785" t="n">
        <v>0</v>
      </c>
      <c r="L10785" t="n">
        <v>0</v>
      </c>
      <c r="M10785" t="n">
        <v>0</v>
      </c>
      <c r="N10785" t="n">
        <v>0</v>
      </c>
      <c r="O10785" t="n">
        <v>0</v>
      </c>
      <c r="P10785" t="n">
        <v>0</v>
      </c>
      <c r="Q10785" t="n">
        <v>0</v>
      </c>
      <c r="R10785" t="n">
        <v>0</v>
      </c>
      <c r="S10785" t="n">
        <v>0</v>
      </c>
      <c r="T10785" t="n">
        <v>0</v>
      </c>
      <c r="U10785" t="n">
        <v>0</v>
      </c>
      <c r="V10785" s="2" t="inlineStr"/>
    </row>
    <row r="10786" ht="15" customHeight="1">
      <c r="A10786" t="inlineStr">
        <is>
          <t>S 4140-2023</t>
        </is>
      </c>
      <c r="B10786" t="inlineStr">
        <is>
          <t>samrådsanmälan</t>
        </is>
      </c>
      <c r="C10786" t="inlineStr">
        <is>
          <t>Skogsgödsling</t>
        </is>
      </c>
      <c r="D10786" s="1" t="n">
        <v>45247</v>
      </c>
      <c r="E10786" s="1" t="n">
        <v>46307</v>
      </c>
      <c r="F10786" t="inlineStr">
        <is>
          <t>VÄRMLANDS LÄN</t>
        </is>
      </c>
      <c r="G10786" t="inlineStr">
        <is>
          <t>HAGFORS</t>
        </is>
      </c>
      <c r="H10786" t="inlineStr">
        <is>
          <t>Bergvik skog väst AB</t>
        </is>
      </c>
      <c r="I10786" t="n">
        <v>36.5</v>
      </c>
      <c r="J10786" t="n">
        <v>0</v>
      </c>
      <c r="K10786" t="n">
        <v>0</v>
      </c>
      <c r="L10786" t="n">
        <v>0</v>
      </c>
      <c r="M10786" t="n">
        <v>0</v>
      </c>
      <c r="N10786" t="n">
        <v>0</v>
      </c>
      <c r="O10786" t="n">
        <v>0</v>
      </c>
      <c r="P10786" t="n">
        <v>0</v>
      </c>
      <c r="Q10786" t="n">
        <v>0</v>
      </c>
      <c r="R10786" t="n">
        <v>0</v>
      </c>
      <c r="S10786" t="n">
        <v>0</v>
      </c>
      <c r="T10786" t="n">
        <v>0</v>
      </c>
      <c r="U10786" t="n">
        <v>0</v>
      </c>
      <c r="V10786" s="2" t="inlineStr"/>
    </row>
    <row r="10787" ht="15" customHeight="1">
      <c r="A10787" t="inlineStr">
        <is>
          <t>S 937-2024</t>
        </is>
      </c>
      <c r="B10787" t="inlineStr">
        <is>
          <t>samrådsanmälan</t>
        </is>
      </c>
      <c r="C10787" t="inlineStr">
        <is>
          <t>Skogsgödsling</t>
        </is>
      </c>
      <c r="D10787" s="1" t="n">
        <v>45378</v>
      </c>
      <c r="E10787" s="1" t="n">
        <v>46307</v>
      </c>
      <c r="F10787" t="inlineStr">
        <is>
          <t>VÄRMLANDS LÄN</t>
        </is>
      </c>
      <c r="G10787" t="inlineStr">
        <is>
          <t>TORSBY</t>
        </is>
      </c>
      <c r="I10787" t="n">
        <v>3.4</v>
      </c>
      <c r="J10787" t="n">
        <v>0</v>
      </c>
      <c r="K10787" t="n">
        <v>0</v>
      </c>
      <c r="L10787" t="n">
        <v>0</v>
      </c>
      <c r="M10787" t="n">
        <v>0</v>
      </c>
      <c r="N10787" t="n">
        <v>0</v>
      </c>
      <c r="O10787" t="n">
        <v>0</v>
      </c>
      <c r="P10787" t="n">
        <v>0</v>
      </c>
      <c r="Q10787" t="n">
        <v>0</v>
      </c>
      <c r="R10787" t="n">
        <v>0</v>
      </c>
      <c r="S10787" t="n">
        <v>0</v>
      </c>
      <c r="T10787" t="n">
        <v>0</v>
      </c>
      <c r="U10787" t="n">
        <v>0</v>
      </c>
      <c r="V10787" s="2" t="inlineStr"/>
    </row>
    <row r="10788" ht="15" customHeight="1">
      <c r="A10788" t="inlineStr">
        <is>
          <t>S 6977-2022</t>
        </is>
      </c>
      <c r="B10788" t="inlineStr">
        <is>
          <t>samrådsanmälan</t>
        </is>
      </c>
      <c r="C10788" t="inlineStr">
        <is>
          <t>Skogsgödsling</t>
        </is>
      </c>
      <c r="D10788" s="1" t="n">
        <v>44901</v>
      </c>
      <c r="E10788" s="1" t="n">
        <v>46307</v>
      </c>
      <c r="F10788" t="inlineStr">
        <is>
          <t>VÄRMLANDS LÄN</t>
        </is>
      </c>
      <c r="G10788" t="inlineStr">
        <is>
          <t>HAGFORS</t>
        </is>
      </c>
      <c r="H10788" t="inlineStr">
        <is>
          <t>Bergvik skog väst AB</t>
        </is>
      </c>
      <c r="I10788" t="n">
        <v>25.2</v>
      </c>
      <c r="J10788" t="n">
        <v>0</v>
      </c>
      <c r="K10788" t="n">
        <v>0</v>
      </c>
      <c r="L10788" t="n">
        <v>0</v>
      </c>
      <c r="M10788" t="n">
        <v>0</v>
      </c>
      <c r="N10788" t="n">
        <v>0</v>
      </c>
      <c r="O10788" t="n">
        <v>0</v>
      </c>
      <c r="P10788" t="n">
        <v>0</v>
      </c>
      <c r="Q10788" t="n">
        <v>0</v>
      </c>
      <c r="R10788" t="n">
        <v>0</v>
      </c>
      <c r="S10788" t="n">
        <v>0</v>
      </c>
      <c r="T10788" t="n">
        <v>0</v>
      </c>
      <c r="U10788" t="n">
        <v>0</v>
      </c>
      <c r="V10788" s="2" t="inlineStr"/>
    </row>
    <row r="10789" ht="15" customHeight="1">
      <c r="A10789" t="inlineStr">
        <is>
          <t>S 5501-2022</t>
        </is>
      </c>
      <c r="B10789" t="inlineStr">
        <is>
          <t>samrådsanmälan</t>
        </is>
      </c>
      <c r="C10789" t="inlineStr">
        <is>
          <t>Skogsgödsling</t>
        </is>
      </c>
      <c r="D10789" s="1" t="n">
        <v>44834</v>
      </c>
      <c r="E10789" s="1" t="n">
        <v>46307</v>
      </c>
      <c r="F10789" t="inlineStr">
        <is>
          <t>VÄRMLANDS LÄN</t>
        </is>
      </c>
      <c r="G10789" t="inlineStr">
        <is>
          <t>SUNNE</t>
        </is>
      </c>
      <c r="H10789" t="inlineStr">
        <is>
          <t>Bergvik skog väst AB</t>
        </is>
      </c>
      <c r="I10789" t="n">
        <v>21.2</v>
      </c>
      <c r="J10789" t="n">
        <v>0</v>
      </c>
      <c r="K10789" t="n">
        <v>0</v>
      </c>
      <c r="L10789" t="n">
        <v>0</v>
      </c>
      <c r="M10789" t="n">
        <v>0</v>
      </c>
      <c r="N10789" t="n">
        <v>0</v>
      </c>
      <c r="O10789" t="n">
        <v>0</v>
      </c>
      <c r="P10789" t="n">
        <v>0</v>
      </c>
      <c r="Q10789" t="n">
        <v>0</v>
      </c>
      <c r="R10789" t="n">
        <v>0</v>
      </c>
      <c r="S10789" t="n">
        <v>0</v>
      </c>
      <c r="T10789" t="n">
        <v>0</v>
      </c>
      <c r="U10789" t="n">
        <v>0</v>
      </c>
      <c r="V10789" s="2" t="inlineStr"/>
    </row>
    <row r="10790" ht="15" customHeight="1">
      <c r="A10790" t="inlineStr">
        <is>
          <t>S 6973-2022</t>
        </is>
      </c>
      <c r="B10790" t="inlineStr">
        <is>
          <t>samrådsanmälan</t>
        </is>
      </c>
      <c r="C10790" t="inlineStr">
        <is>
          <t>Skogsgödsling</t>
        </is>
      </c>
      <c r="D10790" s="1" t="n">
        <v>44901</v>
      </c>
      <c r="E10790" s="1" t="n">
        <v>46307</v>
      </c>
      <c r="F10790" t="inlineStr">
        <is>
          <t>VÄRMLANDS LÄN</t>
        </is>
      </c>
      <c r="G10790" t="inlineStr">
        <is>
          <t>HAGFORS</t>
        </is>
      </c>
      <c r="H10790" t="inlineStr">
        <is>
          <t>Bergvik skog väst AB</t>
        </is>
      </c>
      <c r="I10790" t="n">
        <v>30.1</v>
      </c>
      <c r="J10790" t="n">
        <v>0</v>
      </c>
      <c r="K10790" t="n">
        <v>0</v>
      </c>
      <c r="L10790" t="n">
        <v>0</v>
      </c>
      <c r="M10790" t="n">
        <v>0</v>
      </c>
      <c r="N10790" t="n">
        <v>0</v>
      </c>
      <c r="O10790" t="n">
        <v>0</v>
      </c>
      <c r="P10790" t="n">
        <v>0</v>
      </c>
      <c r="Q10790" t="n">
        <v>0</v>
      </c>
      <c r="R10790" t="n">
        <v>0</v>
      </c>
      <c r="S10790" t="n">
        <v>0</v>
      </c>
      <c r="T10790" t="n">
        <v>0</v>
      </c>
      <c r="U10790" t="n">
        <v>0</v>
      </c>
      <c r="V10790" s="2" t="inlineStr"/>
    </row>
    <row r="10791" ht="15" customHeight="1">
      <c r="A10791" t="inlineStr">
        <is>
          <t>S 5027-2024</t>
        </is>
      </c>
      <c r="B10791" t="inlineStr">
        <is>
          <t>samrådsanmälan</t>
        </is>
      </c>
      <c r="C10791" t="inlineStr">
        <is>
          <t>Annan skogsbruksåtgärd</t>
        </is>
      </c>
      <c r="D10791" s="1" t="n">
        <v>45635</v>
      </c>
      <c r="E10791" s="1" t="n">
        <v>46307</v>
      </c>
      <c r="F10791" t="inlineStr">
        <is>
          <t>VÄRMLANDS LÄN</t>
        </is>
      </c>
      <c r="G10791" t="inlineStr">
        <is>
          <t>ARVIKA</t>
        </is>
      </c>
      <c r="I10791" t="n">
        <v>1.3</v>
      </c>
      <c r="J10791" t="n">
        <v>0</v>
      </c>
      <c r="K10791" t="n">
        <v>0</v>
      </c>
      <c r="L10791" t="n">
        <v>0</v>
      </c>
      <c r="M10791" t="n">
        <v>0</v>
      </c>
      <c r="N10791" t="n">
        <v>0</v>
      </c>
      <c r="O10791" t="n">
        <v>0</v>
      </c>
      <c r="P10791" t="n">
        <v>0</v>
      </c>
      <c r="Q10791" t="n">
        <v>0</v>
      </c>
      <c r="R10791" t="n">
        <v>0</v>
      </c>
      <c r="S10791" t="n">
        <v>0</v>
      </c>
      <c r="T10791" t="n">
        <v>0</v>
      </c>
      <c r="U10791" t="n">
        <v>0</v>
      </c>
      <c r="V10791" s="2" t="inlineStr"/>
    </row>
    <row r="10792" ht="15" customHeight="1">
      <c r="A10792" t="inlineStr">
        <is>
          <t>S 6813-2022</t>
        </is>
      </c>
      <c r="B10792" t="inlineStr">
        <is>
          <t>samrådsanmälan</t>
        </is>
      </c>
      <c r="C10792" t="inlineStr">
        <is>
          <t>Skogsgödsling</t>
        </is>
      </c>
      <c r="D10792" s="1" t="n">
        <v>44893</v>
      </c>
      <c r="E10792" s="1" t="n">
        <v>46307</v>
      </c>
      <c r="F10792" t="inlineStr">
        <is>
          <t>VÄRMLANDS LÄN</t>
        </is>
      </c>
      <c r="G10792" t="inlineStr">
        <is>
          <t>EDA</t>
        </is>
      </c>
      <c r="H10792" t="inlineStr">
        <is>
          <t>Bergvik skog väst AB</t>
        </is>
      </c>
      <c r="I10792" t="n">
        <v>37.9</v>
      </c>
      <c r="J10792" t="n">
        <v>0</v>
      </c>
      <c r="K10792" t="n">
        <v>0</v>
      </c>
      <c r="L10792" t="n">
        <v>0</v>
      </c>
      <c r="M10792" t="n">
        <v>0</v>
      </c>
      <c r="N10792" t="n">
        <v>0</v>
      </c>
      <c r="O10792" t="n">
        <v>0</v>
      </c>
      <c r="P10792" t="n">
        <v>0</v>
      </c>
      <c r="Q10792" t="n">
        <v>0</v>
      </c>
      <c r="R10792" t="n">
        <v>0</v>
      </c>
      <c r="S10792" t="n">
        <v>0</v>
      </c>
      <c r="T10792" t="n">
        <v>0</v>
      </c>
      <c r="U10792" t="n">
        <v>0</v>
      </c>
      <c r="V10792" s="2" t="inlineStr"/>
    </row>
    <row r="10793" ht="15" customHeight="1">
      <c r="A10793" t="inlineStr">
        <is>
          <t>S 601-2024</t>
        </is>
      </c>
      <c r="B10793" t="inlineStr">
        <is>
          <t>samrådsanmälan</t>
        </is>
      </c>
      <c r="C10793" t="inlineStr">
        <is>
          <t>Askåterföring</t>
        </is>
      </c>
      <c r="D10793" s="1" t="n">
        <v>45351</v>
      </c>
      <c r="E10793" s="1" t="n">
        <v>46307</v>
      </c>
      <c r="F10793" t="inlineStr">
        <is>
          <t>VÄRMLANDS LÄN</t>
        </is>
      </c>
      <c r="G10793" t="inlineStr">
        <is>
          <t>SÄFFLE</t>
        </is>
      </c>
      <c r="H10793" t="inlineStr">
        <is>
          <t>Bergvik skog väst AB</t>
        </is>
      </c>
      <c r="I10793" t="n">
        <v>16.1</v>
      </c>
      <c r="J10793" t="n">
        <v>0</v>
      </c>
      <c r="K10793" t="n">
        <v>0</v>
      </c>
      <c r="L10793" t="n">
        <v>0</v>
      </c>
      <c r="M10793" t="n">
        <v>0</v>
      </c>
      <c r="N10793" t="n">
        <v>0</v>
      </c>
      <c r="O10793" t="n">
        <v>0</v>
      </c>
      <c r="P10793" t="n">
        <v>0</v>
      </c>
      <c r="Q10793" t="n">
        <v>0</v>
      </c>
      <c r="R10793" t="n">
        <v>0</v>
      </c>
      <c r="S10793" t="n">
        <v>0</v>
      </c>
      <c r="T10793" t="n">
        <v>0</v>
      </c>
      <c r="U10793" t="n">
        <v>0</v>
      </c>
      <c r="V10793" s="2" t="inlineStr"/>
    </row>
    <row r="10794" ht="15" customHeight="1">
      <c r="A10794" t="inlineStr">
        <is>
          <t>S 4413-2023</t>
        </is>
      </c>
      <c r="B10794" t="inlineStr">
        <is>
          <t>samrådsanmälan</t>
        </is>
      </c>
      <c r="C10794" t="inlineStr">
        <is>
          <t>Skogsgödsling</t>
        </is>
      </c>
      <c r="D10794" s="1" t="n">
        <v>45266</v>
      </c>
      <c r="E10794" s="1" t="n">
        <v>46307</v>
      </c>
      <c r="F10794" t="inlineStr">
        <is>
          <t>VÄRMLANDS LÄN</t>
        </is>
      </c>
      <c r="G10794" t="inlineStr">
        <is>
          <t>MUNKFORS</t>
        </is>
      </c>
      <c r="H10794" t="inlineStr">
        <is>
          <t>Bergvik skog väst AB</t>
        </is>
      </c>
      <c r="I10794" t="n">
        <v>54.4</v>
      </c>
      <c r="J10794" t="n">
        <v>0</v>
      </c>
      <c r="K10794" t="n">
        <v>0</v>
      </c>
      <c r="L10794" t="n">
        <v>0</v>
      </c>
      <c r="M10794" t="n">
        <v>0</v>
      </c>
      <c r="N10794" t="n">
        <v>0</v>
      </c>
      <c r="O10794" t="n">
        <v>0</v>
      </c>
      <c r="P10794" t="n">
        <v>0</v>
      </c>
      <c r="Q10794" t="n">
        <v>0</v>
      </c>
      <c r="R10794" t="n">
        <v>0</v>
      </c>
      <c r="S10794" t="n">
        <v>0</v>
      </c>
      <c r="T10794" t="n">
        <v>0</v>
      </c>
      <c r="U10794" t="n">
        <v>0</v>
      </c>
      <c r="V10794" s="2" t="inlineStr"/>
    </row>
    <row r="10795" ht="15" customHeight="1">
      <c r="A10795" t="inlineStr">
        <is>
          <t>S 10202-2021</t>
        </is>
      </c>
      <c r="B10795" t="inlineStr">
        <is>
          <t>samrådsanmälan</t>
        </is>
      </c>
      <c r="C10795" t="inlineStr">
        <is>
          <t>Skogsgödsling</t>
        </is>
      </c>
      <c r="D10795" s="1" t="n">
        <v>44540</v>
      </c>
      <c r="E10795" s="1" t="n">
        <v>46307</v>
      </c>
      <c r="F10795" t="inlineStr">
        <is>
          <t>VÄRMLANDS LÄN</t>
        </is>
      </c>
      <c r="G10795" t="inlineStr">
        <is>
          <t>SÄFFLE</t>
        </is>
      </c>
      <c r="H10795" t="inlineStr">
        <is>
          <t>Bergvik skog väst AB</t>
        </is>
      </c>
      <c r="I10795" t="n">
        <v>14.7</v>
      </c>
      <c r="J10795" t="n">
        <v>0</v>
      </c>
      <c r="K10795" t="n">
        <v>0</v>
      </c>
      <c r="L10795" t="n">
        <v>0</v>
      </c>
      <c r="M10795" t="n">
        <v>0</v>
      </c>
      <c r="N10795" t="n">
        <v>0</v>
      </c>
      <c r="O10795" t="n">
        <v>0</v>
      </c>
      <c r="P10795" t="n">
        <v>0</v>
      </c>
      <c r="Q10795" t="n">
        <v>0</v>
      </c>
      <c r="R10795" t="n">
        <v>0</v>
      </c>
      <c r="S10795" t="n">
        <v>0</v>
      </c>
      <c r="T10795" t="n">
        <v>0</v>
      </c>
      <c r="U10795" t="n">
        <v>0</v>
      </c>
      <c r="V10795" s="2" t="inlineStr"/>
    </row>
    <row r="10796" ht="15" customHeight="1">
      <c r="A10796" t="inlineStr">
        <is>
          <t>S 4126-2023</t>
        </is>
      </c>
      <c r="B10796" t="inlineStr">
        <is>
          <t>samrådsanmälan</t>
        </is>
      </c>
      <c r="C10796" t="inlineStr">
        <is>
          <t>Skogsgödsling</t>
        </is>
      </c>
      <c r="D10796" s="1" t="n">
        <v>45247</v>
      </c>
      <c r="E10796" s="1" t="n">
        <v>46307</v>
      </c>
      <c r="F10796" t="inlineStr">
        <is>
          <t>VÄRMLANDS LÄN</t>
        </is>
      </c>
      <c r="G10796" t="inlineStr">
        <is>
          <t>FILIPSTAD</t>
        </is>
      </c>
      <c r="H10796" t="inlineStr">
        <is>
          <t>Bergvik skog väst AB</t>
        </is>
      </c>
      <c r="I10796" t="n">
        <v>20.4</v>
      </c>
      <c r="J10796" t="n">
        <v>0</v>
      </c>
      <c r="K10796" t="n">
        <v>0</v>
      </c>
      <c r="L10796" t="n">
        <v>0</v>
      </c>
      <c r="M10796" t="n">
        <v>0</v>
      </c>
      <c r="N10796" t="n">
        <v>0</v>
      </c>
      <c r="O10796" t="n">
        <v>0</v>
      </c>
      <c r="P10796" t="n">
        <v>0</v>
      </c>
      <c r="Q10796" t="n">
        <v>0</v>
      </c>
      <c r="R10796" t="n">
        <v>0</v>
      </c>
      <c r="S10796" t="n">
        <v>0</v>
      </c>
      <c r="T10796" t="n">
        <v>0</v>
      </c>
      <c r="U10796" t="n">
        <v>0</v>
      </c>
      <c r="V10796" s="2" t="inlineStr"/>
    </row>
    <row r="10797" ht="15" customHeight="1">
      <c r="A10797" t="inlineStr">
        <is>
          <t>S 2464-2023</t>
        </is>
      </c>
      <c r="B10797" t="inlineStr">
        <is>
          <t>samrådsanmälan</t>
        </is>
      </c>
      <c r="C10797" t="inlineStr">
        <is>
          <t>Askåterföring</t>
        </is>
      </c>
      <c r="D10797" s="1" t="n">
        <v>45118</v>
      </c>
      <c r="E10797" s="1" t="n">
        <v>46307</v>
      </c>
      <c r="F10797" t="inlineStr">
        <is>
          <t>VÄRMLANDS LÄN</t>
        </is>
      </c>
      <c r="G10797" t="inlineStr">
        <is>
          <t>KRISTINEHAMN</t>
        </is>
      </c>
      <c r="I10797" t="n">
        <v>42.3</v>
      </c>
      <c r="J10797" t="n">
        <v>0</v>
      </c>
      <c r="K10797" t="n">
        <v>0</v>
      </c>
      <c r="L10797" t="n">
        <v>0</v>
      </c>
      <c r="M10797" t="n">
        <v>0</v>
      </c>
      <c r="N10797" t="n">
        <v>0</v>
      </c>
      <c r="O10797" t="n">
        <v>0</v>
      </c>
      <c r="P10797" t="n">
        <v>0</v>
      </c>
      <c r="Q10797" t="n">
        <v>0</v>
      </c>
      <c r="R10797" t="n">
        <v>0</v>
      </c>
      <c r="S10797" t="n">
        <v>0</v>
      </c>
      <c r="T10797" t="n">
        <v>0</v>
      </c>
      <c r="U10797" t="n">
        <v>0</v>
      </c>
      <c r="V10797" s="2" t="inlineStr"/>
    </row>
    <row r="10798" ht="15" customHeight="1">
      <c r="A10798" t="inlineStr">
        <is>
          <t>S 4146-2023</t>
        </is>
      </c>
      <c r="B10798" t="inlineStr">
        <is>
          <t>samrådsanmälan</t>
        </is>
      </c>
      <c r="C10798" t="inlineStr">
        <is>
          <t>Skogsgödsling</t>
        </is>
      </c>
      <c r="D10798" s="1" t="n">
        <v>45247</v>
      </c>
      <c r="E10798" s="1" t="n">
        <v>46307</v>
      </c>
      <c r="F10798" t="inlineStr">
        <is>
          <t>VÄRMLANDS LÄN</t>
        </is>
      </c>
      <c r="G10798" t="inlineStr">
        <is>
          <t>KRISTINEHAMN</t>
        </is>
      </c>
      <c r="H10798" t="inlineStr">
        <is>
          <t>Bergvik skog väst AB</t>
        </is>
      </c>
      <c r="I10798" t="n">
        <v>11.6</v>
      </c>
      <c r="J10798" t="n">
        <v>0</v>
      </c>
      <c r="K10798" t="n">
        <v>0</v>
      </c>
      <c r="L10798" t="n">
        <v>0</v>
      </c>
      <c r="M10798" t="n">
        <v>0</v>
      </c>
      <c r="N10798" t="n">
        <v>0</v>
      </c>
      <c r="O10798" t="n">
        <v>0</v>
      </c>
      <c r="P10798" t="n">
        <v>0</v>
      </c>
      <c r="Q10798" t="n">
        <v>0</v>
      </c>
      <c r="R10798" t="n">
        <v>0</v>
      </c>
      <c r="S10798" t="n">
        <v>0</v>
      </c>
      <c r="T10798" t="n">
        <v>0</v>
      </c>
      <c r="U10798" t="n">
        <v>0</v>
      </c>
      <c r="V10798" s="2" t="inlineStr"/>
    </row>
    <row r="10799" ht="15" customHeight="1">
      <c r="A10799" t="inlineStr">
        <is>
          <t>S 4143-2023</t>
        </is>
      </c>
      <c r="B10799" t="inlineStr">
        <is>
          <t>samrådsanmälan</t>
        </is>
      </c>
      <c r="C10799" t="inlineStr">
        <is>
          <t>Skogsgödsling</t>
        </is>
      </c>
      <c r="D10799" s="1" t="n">
        <v>45247</v>
      </c>
      <c r="E10799" s="1" t="n">
        <v>46307</v>
      </c>
      <c r="F10799" t="inlineStr">
        <is>
          <t>VÄRMLANDS LÄN</t>
        </is>
      </c>
      <c r="G10799" t="inlineStr">
        <is>
          <t>HAGFORS</t>
        </is>
      </c>
      <c r="H10799" t="inlineStr">
        <is>
          <t>Bergvik skog väst AB</t>
        </is>
      </c>
      <c r="I10799" t="n">
        <v>13.2</v>
      </c>
      <c r="J10799" t="n">
        <v>0</v>
      </c>
      <c r="K10799" t="n">
        <v>0</v>
      </c>
      <c r="L10799" t="n">
        <v>0</v>
      </c>
      <c r="M10799" t="n">
        <v>0</v>
      </c>
      <c r="N10799" t="n">
        <v>0</v>
      </c>
      <c r="O10799" t="n">
        <v>0</v>
      </c>
      <c r="P10799" t="n">
        <v>0</v>
      </c>
      <c r="Q10799" t="n">
        <v>0</v>
      </c>
      <c r="R10799" t="n">
        <v>0</v>
      </c>
      <c r="S10799" t="n">
        <v>0</v>
      </c>
      <c r="T10799" t="n">
        <v>0</v>
      </c>
      <c r="U10799" t="n">
        <v>0</v>
      </c>
      <c r="V10799" s="2" t="inlineStr"/>
    </row>
    <row r="10800" ht="15" customHeight="1">
      <c r="A10800" t="inlineStr">
        <is>
          <t>S 4779-2024</t>
        </is>
      </c>
      <c r="B10800" t="inlineStr">
        <is>
          <t>samrådsanmälan</t>
        </is>
      </c>
      <c r="C10800" t="inlineStr">
        <is>
          <t>Annan skogsbruksåtgärd</t>
        </is>
      </c>
      <c r="D10800" s="1" t="n">
        <v>45611</v>
      </c>
      <c r="E10800" s="1" t="n">
        <v>46307</v>
      </c>
      <c r="F10800" t="inlineStr">
        <is>
          <t>VÄRMLANDS LÄN</t>
        </is>
      </c>
      <c r="G10800" t="inlineStr">
        <is>
          <t>TORSBY</t>
        </is>
      </c>
      <c r="I10800" t="n">
        <v>1.7</v>
      </c>
      <c r="J10800" t="n">
        <v>0</v>
      </c>
      <c r="K10800" t="n">
        <v>0</v>
      </c>
      <c r="L10800" t="n">
        <v>0</v>
      </c>
      <c r="M10800" t="n">
        <v>0</v>
      </c>
      <c r="N10800" t="n">
        <v>0</v>
      </c>
      <c r="O10800" t="n">
        <v>0</v>
      </c>
      <c r="P10800" t="n">
        <v>0</v>
      </c>
      <c r="Q10800" t="n">
        <v>0</v>
      </c>
      <c r="R10800" t="n">
        <v>0</v>
      </c>
      <c r="S10800" t="n">
        <v>0</v>
      </c>
      <c r="T10800" t="n">
        <v>0</v>
      </c>
      <c r="U10800" t="n">
        <v>0</v>
      </c>
      <c r="V10800" s="2" t="inlineStr"/>
    </row>
    <row r="10801" ht="15" customHeight="1">
      <c r="A10801" t="inlineStr">
        <is>
          <t>S 1764-2024</t>
        </is>
      </c>
      <c r="B10801" t="inlineStr">
        <is>
          <t>samrådsanmälan</t>
        </is>
      </c>
      <c r="C10801" t="inlineStr">
        <is>
          <t>Skogsgödsling</t>
        </is>
      </c>
      <c r="D10801" s="1" t="n">
        <v>45435</v>
      </c>
      <c r="E10801" s="1" t="n">
        <v>46307</v>
      </c>
      <c r="F10801" t="inlineStr">
        <is>
          <t>VÄRMLANDS LÄN</t>
        </is>
      </c>
      <c r="G10801" t="inlineStr">
        <is>
          <t>TORSBY</t>
        </is>
      </c>
      <c r="I10801" t="n">
        <v>12.8</v>
      </c>
      <c r="J10801" t="n">
        <v>0</v>
      </c>
      <c r="K10801" t="n">
        <v>0</v>
      </c>
      <c r="L10801" t="n">
        <v>0</v>
      </c>
      <c r="M10801" t="n">
        <v>0</v>
      </c>
      <c r="N10801" t="n">
        <v>0</v>
      </c>
      <c r="O10801" t="n">
        <v>0</v>
      </c>
      <c r="P10801" t="n">
        <v>0</v>
      </c>
      <c r="Q10801" t="n">
        <v>0</v>
      </c>
      <c r="R10801" t="n">
        <v>0</v>
      </c>
      <c r="S10801" t="n">
        <v>0</v>
      </c>
      <c r="T10801" t="n">
        <v>0</v>
      </c>
      <c r="U10801" t="n">
        <v>0</v>
      </c>
      <c r="V10801" s="2" t="inlineStr"/>
    </row>
    <row r="10802" ht="15" customHeight="1">
      <c r="A10802" t="inlineStr">
        <is>
          <t>S 5221-2022</t>
        </is>
      </c>
      <c r="B10802" t="inlineStr">
        <is>
          <t>samrådsanmälan</t>
        </is>
      </c>
      <c r="C10802" t="inlineStr">
        <is>
          <t>Skogsbilväg</t>
        </is>
      </c>
      <c r="D10802" s="1" t="n">
        <v>44823</v>
      </c>
      <c r="E10802" s="1" t="n">
        <v>46307</v>
      </c>
      <c r="F10802" t="inlineStr">
        <is>
          <t>VÄRMLANDS LÄN</t>
        </is>
      </c>
      <c r="G10802" t="inlineStr">
        <is>
          <t>SUNNE</t>
        </is>
      </c>
      <c r="I10802" t="n">
        <v>1.5</v>
      </c>
      <c r="J10802" t="n">
        <v>0</v>
      </c>
      <c r="K10802" t="n">
        <v>0</v>
      </c>
      <c r="L10802" t="n">
        <v>0</v>
      </c>
      <c r="M10802" t="n">
        <v>0</v>
      </c>
      <c r="N10802" t="n">
        <v>0</v>
      </c>
      <c r="O10802" t="n">
        <v>0</v>
      </c>
      <c r="P10802" t="n">
        <v>0</v>
      </c>
      <c r="Q10802" t="n">
        <v>0</v>
      </c>
      <c r="R10802" t="n">
        <v>0</v>
      </c>
      <c r="S10802" t="n">
        <v>0</v>
      </c>
      <c r="T10802" t="n">
        <v>0</v>
      </c>
      <c r="U10802" t="n">
        <v>0</v>
      </c>
      <c r="V10802" s="2" t="inlineStr"/>
    </row>
    <row r="10803" ht="15" customHeight="1">
      <c r="A10803" t="inlineStr">
        <is>
          <t>S 2562-2024</t>
        </is>
      </c>
      <c r="B10803" t="inlineStr">
        <is>
          <t>samrådsanmälan</t>
        </is>
      </c>
      <c r="C10803" t="inlineStr">
        <is>
          <t>Askåterföring</t>
        </is>
      </c>
      <c r="D10803" s="1" t="n">
        <v>45476</v>
      </c>
      <c r="E10803" s="1" t="n">
        <v>46307</v>
      </c>
      <c r="F10803" t="inlineStr">
        <is>
          <t>VÄRMLANDS LÄN</t>
        </is>
      </c>
      <c r="G10803" t="inlineStr">
        <is>
          <t>KIL</t>
        </is>
      </c>
      <c r="H10803" t="inlineStr">
        <is>
          <t>Kommuner</t>
        </is>
      </c>
      <c r="I10803" t="n">
        <v>56.9</v>
      </c>
      <c r="J10803" t="n">
        <v>0</v>
      </c>
      <c r="K10803" t="n">
        <v>0</v>
      </c>
      <c r="L10803" t="n">
        <v>0</v>
      </c>
      <c r="M10803" t="n">
        <v>0</v>
      </c>
      <c r="N10803" t="n">
        <v>0</v>
      </c>
      <c r="O10803" t="n">
        <v>0</v>
      </c>
      <c r="P10803" t="n">
        <v>0</v>
      </c>
      <c r="Q10803" t="n">
        <v>0</v>
      </c>
      <c r="R10803" t="n">
        <v>0</v>
      </c>
      <c r="S10803" t="n">
        <v>0</v>
      </c>
      <c r="T10803" t="n">
        <v>0</v>
      </c>
      <c r="U10803" t="n">
        <v>0</v>
      </c>
      <c r="V10803" s="2" t="inlineStr"/>
    </row>
    <row r="10804" ht="15" customHeight="1">
      <c r="A10804" t="inlineStr">
        <is>
          <t>S 3007-2024</t>
        </is>
      </c>
      <c r="B10804" t="inlineStr">
        <is>
          <t>samrådsanmälan</t>
        </is>
      </c>
      <c r="C10804" t="inlineStr">
        <is>
          <t>Askåterföring</t>
        </is>
      </c>
      <c r="D10804" s="1" t="n">
        <v>45512</v>
      </c>
      <c r="E10804" s="1" t="n">
        <v>46307</v>
      </c>
      <c r="F10804" t="inlineStr">
        <is>
          <t>VÄRMLANDS LÄN</t>
        </is>
      </c>
      <c r="G10804" t="inlineStr">
        <is>
          <t>KRISTINEHAMN</t>
        </is>
      </c>
      <c r="I10804" t="n">
        <v>56.9</v>
      </c>
      <c r="J10804" t="n">
        <v>0</v>
      </c>
      <c r="K10804" t="n">
        <v>0</v>
      </c>
      <c r="L10804" t="n">
        <v>0</v>
      </c>
      <c r="M10804" t="n">
        <v>0</v>
      </c>
      <c r="N10804" t="n">
        <v>0</v>
      </c>
      <c r="O10804" t="n">
        <v>0</v>
      </c>
      <c r="P10804" t="n">
        <v>0</v>
      </c>
      <c r="Q10804" t="n">
        <v>0</v>
      </c>
      <c r="R10804" t="n">
        <v>0</v>
      </c>
      <c r="S10804" t="n">
        <v>0</v>
      </c>
      <c r="T10804" t="n">
        <v>0</v>
      </c>
      <c r="U10804" t="n">
        <v>0</v>
      </c>
      <c r="V10804" s="2" t="inlineStr"/>
    </row>
    <row r="10805" ht="15" customHeight="1">
      <c r="A10805" t="inlineStr">
        <is>
          <t>S 294-2025</t>
        </is>
      </c>
      <c r="B10805" t="inlineStr">
        <is>
          <t>samrådsanmälan</t>
        </is>
      </c>
      <c r="C10805" t="inlineStr">
        <is>
          <t>Skogsgödsling</t>
        </is>
      </c>
      <c r="D10805" s="1" t="n">
        <v>45687</v>
      </c>
      <c r="E10805" s="1" t="n">
        <v>46307</v>
      </c>
      <c r="F10805" t="inlineStr">
        <is>
          <t>VÄRMLANDS LÄN</t>
        </is>
      </c>
      <c r="G10805" t="inlineStr">
        <is>
          <t>FILIPSTAD</t>
        </is>
      </c>
      <c r="H10805" t="inlineStr">
        <is>
          <t>Bergvik skog väst AB</t>
        </is>
      </c>
      <c r="I10805" t="n">
        <v>186.4</v>
      </c>
      <c r="J10805" t="n">
        <v>0</v>
      </c>
      <c r="K10805" t="n">
        <v>0</v>
      </c>
      <c r="L10805" t="n">
        <v>0</v>
      </c>
      <c r="M10805" t="n">
        <v>0</v>
      </c>
      <c r="N10805" t="n">
        <v>0</v>
      </c>
      <c r="O10805" t="n">
        <v>0</v>
      </c>
      <c r="P10805" t="n">
        <v>0</v>
      </c>
      <c r="Q10805" t="n">
        <v>0</v>
      </c>
      <c r="R10805" t="n">
        <v>0</v>
      </c>
      <c r="S10805" t="n">
        <v>0</v>
      </c>
      <c r="T10805" t="n">
        <v>0</v>
      </c>
      <c r="U10805" t="n">
        <v>0</v>
      </c>
      <c r="V10805" s="2" t="inlineStr"/>
    </row>
    <row r="10806" ht="15" customHeight="1">
      <c r="A10806" t="inlineStr">
        <is>
          <t>S 10203-2021</t>
        </is>
      </c>
      <c r="B10806" t="inlineStr">
        <is>
          <t>samrådsanmälan</t>
        </is>
      </c>
      <c r="C10806" t="inlineStr">
        <is>
          <t>Skogsgödsling</t>
        </is>
      </c>
      <c r="D10806" s="1" t="n">
        <v>44540</v>
      </c>
      <c r="E10806" s="1" t="n">
        <v>46307</v>
      </c>
      <c r="F10806" t="inlineStr">
        <is>
          <t>VÄRMLANDS LÄN</t>
        </is>
      </c>
      <c r="G10806" t="inlineStr">
        <is>
          <t>SÄFFLE</t>
        </is>
      </c>
      <c r="H10806" t="inlineStr">
        <is>
          <t>Bergvik skog väst AB</t>
        </is>
      </c>
      <c r="I10806" t="n">
        <v>16.2</v>
      </c>
      <c r="J10806" t="n">
        <v>0</v>
      </c>
      <c r="K10806" t="n">
        <v>0</v>
      </c>
      <c r="L10806" t="n">
        <v>0</v>
      </c>
      <c r="M10806" t="n">
        <v>0</v>
      </c>
      <c r="N10806" t="n">
        <v>0</v>
      </c>
      <c r="O10806" t="n">
        <v>0</v>
      </c>
      <c r="P10806" t="n">
        <v>0</v>
      </c>
      <c r="Q10806" t="n">
        <v>0</v>
      </c>
      <c r="R10806" t="n">
        <v>0</v>
      </c>
      <c r="S10806" t="n">
        <v>0</v>
      </c>
      <c r="T10806" t="n">
        <v>0</v>
      </c>
      <c r="U10806" t="n">
        <v>0</v>
      </c>
      <c r="V10806" s="2" t="inlineStr"/>
    </row>
    <row r="10807" ht="15" customHeight="1">
      <c r="A10807" t="inlineStr">
        <is>
          <t>S 2877-2024</t>
        </is>
      </c>
      <c r="B10807" t="inlineStr">
        <is>
          <t>samrådsanmälan</t>
        </is>
      </c>
      <c r="C10807" t="inlineStr">
        <is>
          <t>Askåterföring</t>
        </is>
      </c>
      <c r="D10807" s="1" t="n">
        <v>45499</v>
      </c>
      <c r="E10807" s="1" t="n">
        <v>46307</v>
      </c>
      <c r="F10807" t="inlineStr">
        <is>
          <t>VÄRMLANDS LÄN</t>
        </is>
      </c>
      <c r="G10807" t="inlineStr">
        <is>
          <t>KIL</t>
        </is>
      </c>
      <c r="I10807" t="n">
        <v>15.1</v>
      </c>
      <c r="J10807" t="n">
        <v>0</v>
      </c>
      <c r="K10807" t="n">
        <v>0</v>
      </c>
      <c r="L10807" t="n">
        <v>0</v>
      </c>
      <c r="M10807" t="n">
        <v>0</v>
      </c>
      <c r="N10807" t="n">
        <v>0</v>
      </c>
      <c r="O10807" t="n">
        <v>0</v>
      </c>
      <c r="P10807" t="n">
        <v>0</v>
      </c>
      <c r="Q10807" t="n">
        <v>0</v>
      </c>
      <c r="R10807" t="n">
        <v>0</v>
      </c>
      <c r="S10807" t="n">
        <v>0</v>
      </c>
      <c r="T10807" t="n">
        <v>0</v>
      </c>
      <c r="U10807" t="n">
        <v>0</v>
      </c>
      <c r="V10807" s="2" t="inlineStr"/>
    </row>
    <row r="10808" ht="15" customHeight="1">
      <c r="A10808" t="inlineStr">
        <is>
          <t>S 4407-2023</t>
        </is>
      </c>
      <c r="B10808" t="inlineStr">
        <is>
          <t>samrådsanmälan</t>
        </is>
      </c>
      <c r="C10808" t="inlineStr">
        <is>
          <t>Skogsgödsling</t>
        </is>
      </c>
      <c r="D10808" s="1" t="n">
        <v>45266</v>
      </c>
      <c r="E10808" s="1" t="n">
        <v>46307</v>
      </c>
      <c r="F10808" t="inlineStr">
        <is>
          <t>VÄRMLANDS LÄN</t>
        </is>
      </c>
      <c r="G10808" t="inlineStr">
        <is>
          <t>HAGFORS</t>
        </is>
      </c>
      <c r="H10808" t="inlineStr">
        <is>
          <t>Bergvik skog väst AB</t>
        </is>
      </c>
      <c r="I10808" t="n">
        <v>12.1</v>
      </c>
      <c r="J10808" t="n">
        <v>0</v>
      </c>
      <c r="K10808" t="n">
        <v>0</v>
      </c>
      <c r="L10808" t="n">
        <v>0</v>
      </c>
      <c r="M10808" t="n">
        <v>0</v>
      </c>
      <c r="N10808" t="n">
        <v>0</v>
      </c>
      <c r="O10808" t="n">
        <v>0</v>
      </c>
      <c r="P10808" t="n">
        <v>0</v>
      </c>
      <c r="Q10808" t="n">
        <v>0</v>
      </c>
      <c r="R10808" t="n">
        <v>0</v>
      </c>
      <c r="S10808" t="n">
        <v>0</v>
      </c>
      <c r="T10808" t="n">
        <v>0</v>
      </c>
      <c r="U10808" t="n">
        <v>0</v>
      </c>
      <c r="V10808" s="2" t="inlineStr"/>
    </row>
    <row r="10809" ht="15" customHeight="1">
      <c r="A10809" t="inlineStr">
        <is>
          <t>S 8638-2021</t>
        </is>
      </c>
      <c r="B10809" t="inlineStr">
        <is>
          <t>samrådsanmälan</t>
        </is>
      </c>
      <c r="C10809" t="inlineStr">
        <is>
          <t>Skogsbilväg</t>
        </is>
      </c>
      <c r="D10809" s="1" t="n">
        <v>44501</v>
      </c>
      <c r="E10809" s="1" t="n">
        <v>46307</v>
      </c>
      <c r="F10809" t="inlineStr">
        <is>
          <t>VÄRMLANDS LÄN</t>
        </is>
      </c>
      <c r="G10809" t="inlineStr">
        <is>
          <t>SÄFFLE</t>
        </is>
      </c>
      <c r="I10809" t="n">
        <v>0.8</v>
      </c>
      <c r="J10809" t="n">
        <v>0</v>
      </c>
      <c r="K10809" t="n">
        <v>0</v>
      </c>
      <c r="L10809" t="n">
        <v>0</v>
      </c>
      <c r="M10809" t="n">
        <v>0</v>
      </c>
      <c r="N10809" t="n">
        <v>0</v>
      </c>
      <c r="O10809" t="n">
        <v>0</v>
      </c>
      <c r="P10809" t="n">
        <v>0</v>
      </c>
      <c r="Q10809" t="n">
        <v>0</v>
      </c>
      <c r="R10809" t="n">
        <v>0</v>
      </c>
      <c r="S10809" t="n">
        <v>0</v>
      </c>
      <c r="T10809" t="n">
        <v>0</v>
      </c>
      <c r="U10809" t="n">
        <v>0</v>
      </c>
      <c r="V10809" s="2" t="inlineStr"/>
    </row>
    <row r="10810" ht="15" customHeight="1">
      <c r="A10810" t="inlineStr">
        <is>
          <t>S 4416-2023</t>
        </is>
      </c>
      <c r="B10810" t="inlineStr">
        <is>
          <t>samrådsanmälan</t>
        </is>
      </c>
      <c r="C10810" t="inlineStr">
        <is>
          <t>Skogsgödsling</t>
        </is>
      </c>
      <c r="D10810" s="1" t="n">
        <v>45266</v>
      </c>
      <c r="E10810" s="1" t="n">
        <v>46307</v>
      </c>
      <c r="F10810" t="inlineStr">
        <is>
          <t>VÄRMLANDS LÄN</t>
        </is>
      </c>
      <c r="G10810" t="inlineStr">
        <is>
          <t>MUNKFORS</t>
        </is>
      </c>
      <c r="H10810" t="inlineStr">
        <is>
          <t>Bergvik skog väst AB</t>
        </is>
      </c>
      <c r="I10810" t="n">
        <v>40</v>
      </c>
      <c r="J10810" t="n">
        <v>0</v>
      </c>
      <c r="K10810" t="n">
        <v>0</v>
      </c>
      <c r="L10810" t="n">
        <v>0</v>
      </c>
      <c r="M10810" t="n">
        <v>0</v>
      </c>
      <c r="N10810" t="n">
        <v>0</v>
      </c>
      <c r="O10810" t="n">
        <v>0</v>
      </c>
      <c r="P10810" t="n">
        <v>0</v>
      </c>
      <c r="Q10810" t="n">
        <v>0</v>
      </c>
      <c r="R10810" t="n">
        <v>0</v>
      </c>
      <c r="S10810" t="n">
        <v>0</v>
      </c>
      <c r="T10810" t="n">
        <v>0</v>
      </c>
      <c r="U10810" t="n">
        <v>0</v>
      </c>
      <c r="V10810" s="2" t="inlineStr"/>
    </row>
    <row r="10811" ht="15" customHeight="1">
      <c r="A10811" t="inlineStr">
        <is>
          <t>S 6965-2022</t>
        </is>
      </c>
      <c r="B10811" t="inlineStr">
        <is>
          <t>samrådsanmälan</t>
        </is>
      </c>
      <c r="C10811" t="inlineStr">
        <is>
          <t>Skogsgödsling</t>
        </is>
      </c>
      <c r="D10811" s="1" t="n">
        <v>44901</v>
      </c>
      <c r="E10811" s="1" t="n">
        <v>46307</v>
      </c>
      <c r="F10811" t="inlineStr">
        <is>
          <t>VÄRMLANDS LÄN</t>
        </is>
      </c>
      <c r="G10811" t="inlineStr">
        <is>
          <t>HAGFORS</t>
        </is>
      </c>
      <c r="H10811" t="inlineStr">
        <is>
          <t>Bergvik skog väst AB</t>
        </is>
      </c>
      <c r="I10811" t="n">
        <v>21.4</v>
      </c>
      <c r="J10811" t="n">
        <v>0</v>
      </c>
      <c r="K10811" t="n">
        <v>0</v>
      </c>
      <c r="L10811" t="n">
        <v>0</v>
      </c>
      <c r="M10811" t="n">
        <v>0</v>
      </c>
      <c r="N10811" t="n">
        <v>0</v>
      </c>
      <c r="O10811" t="n">
        <v>0</v>
      </c>
      <c r="P10811" t="n">
        <v>0</v>
      </c>
      <c r="Q10811" t="n">
        <v>0</v>
      </c>
      <c r="R10811" t="n">
        <v>0</v>
      </c>
      <c r="S10811" t="n">
        <v>0</v>
      </c>
      <c r="T10811" t="n">
        <v>0</v>
      </c>
      <c r="U10811" t="n">
        <v>0</v>
      </c>
      <c r="V10811" s="2" t="inlineStr"/>
    </row>
    <row r="10812" ht="15" customHeight="1">
      <c r="A10812" t="inlineStr">
        <is>
          <t>S 3450-2024</t>
        </is>
      </c>
      <c r="B10812" t="inlineStr">
        <is>
          <t>samrådsanmälan</t>
        </is>
      </c>
      <c r="C10812" t="inlineStr">
        <is>
          <t>Annan skogsbruksåtgärd</t>
        </is>
      </c>
      <c r="D10812" s="1" t="n">
        <v>45537</v>
      </c>
      <c r="E10812" s="1" t="n">
        <v>46307</v>
      </c>
      <c r="F10812" t="inlineStr">
        <is>
          <t>VÄRMLANDS LÄN</t>
        </is>
      </c>
      <c r="G10812" t="inlineStr">
        <is>
          <t>SUNNE</t>
        </is>
      </c>
      <c r="I10812" t="n">
        <v>1</v>
      </c>
      <c r="J10812" t="n">
        <v>0</v>
      </c>
      <c r="K10812" t="n">
        <v>0</v>
      </c>
      <c r="L10812" t="n">
        <v>0</v>
      </c>
      <c r="M10812" t="n">
        <v>0</v>
      </c>
      <c r="N10812" t="n">
        <v>0</v>
      </c>
      <c r="O10812" t="n">
        <v>0</v>
      </c>
      <c r="P10812" t="n">
        <v>0</v>
      </c>
      <c r="Q10812" t="n">
        <v>0</v>
      </c>
      <c r="R10812" t="n">
        <v>0</v>
      </c>
      <c r="S10812" t="n">
        <v>0</v>
      </c>
      <c r="T10812" t="n">
        <v>0</v>
      </c>
      <c r="U10812" t="n">
        <v>0</v>
      </c>
      <c r="V10812" s="2" t="inlineStr"/>
    </row>
    <row r="10813" ht="15" customHeight="1">
      <c r="A10813" t="inlineStr">
        <is>
          <t>S 4116-2023</t>
        </is>
      </c>
      <c r="B10813" t="inlineStr">
        <is>
          <t>samrådsanmälan</t>
        </is>
      </c>
      <c r="C10813" t="inlineStr">
        <is>
          <t>Skogsgödsling</t>
        </is>
      </c>
      <c r="D10813" s="1" t="n">
        <v>45246</v>
      </c>
      <c r="E10813" s="1" t="n">
        <v>46307</v>
      </c>
      <c r="F10813" t="inlineStr">
        <is>
          <t>VÄRMLANDS LÄN</t>
        </is>
      </c>
      <c r="G10813" t="inlineStr">
        <is>
          <t>FILIPSTAD</t>
        </is>
      </c>
      <c r="H10813" t="inlineStr">
        <is>
          <t>Bergvik skog väst AB</t>
        </is>
      </c>
      <c r="I10813" t="n">
        <v>6.4</v>
      </c>
      <c r="J10813" t="n">
        <v>0</v>
      </c>
      <c r="K10813" t="n">
        <v>0</v>
      </c>
      <c r="L10813" t="n">
        <v>0</v>
      </c>
      <c r="M10813" t="n">
        <v>0</v>
      </c>
      <c r="N10813" t="n">
        <v>0</v>
      </c>
      <c r="O10813" t="n">
        <v>0</v>
      </c>
      <c r="P10813" t="n">
        <v>0</v>
      </c>
      <c r="Q10813" t="n">
        <v>0</v>
      </c>
      <c r="R10813" t="n">
        <v>0</v>
      </c>
      <c r="S10813" t="n">
        <v>0</v>
      </c>
      <c r="T10813" t="n">
        <v>0</v>
      </c>
      <c r="U10813" t="n">
        <v>0</v>
      </c>
      <c r="V10813" s="2" t="inlineStr"/>
    </row>
    <row r="10814" ht="15" customHeight="1">
      <c r="A10814" t="inlineStr">
        <is>
          <t>S 611-2025</t>
        </is>
      </c>
      <c r="B10814" t="inlineStr">
        <is>
          <t>samrådsanmälan</t>
        </is>
      </c>
      <c r="C10814" t="inlineStr">
        <is>
          <t>Annan skogsbruksåtgärd</t>
        </is>
      </c>
      <c r="D10814" s="1" t="n">
        <v>45713</v>
      </c>
      <c r="E10814" s="1" t="n">
        <v>46307</v>
      </c>
      <c r="F10814" t="inlineStr">
        <is>
          <t>VÄRMLANDS LÄN</t>
        </is>
      </c>
      <c r="G10814" t="inlineStr">
        <is>
          <t>TORSBY</t>
        </is>
      </c>
      <c r="H10814" t="inlineStr">
        <is>
          <t>Bergvik skog väst AB</t>
        </is>
      </c>
      <c r="I10814" t="n">
        <v>3.8</v>
      </c>
      <c r="J10814" t="n">
        <v>0</v>
      </c>
      <c r="K10814" t="n">
        <v>0</v>
      </c>
      <c r="L10814" t="n">
        <v>0</v>
      </c>
      <c r="M10814" t="n">
        <v>0</v>
      </c>
      <c r="N10814" t="n">
        <v>0</v>
      </c>
      <c r="O10814" t="n">
        <v>0</v>
      </c>
      <c r="P10814" t="n">
        <v>0</v>
      </c>
      <c r="Q10814" t="n">
        <v>0</v>
      </c>
      <c r="R10814" t="n">
        <v>0</v>
      </c>
      <c r="S10814" t="n">
        <v>0</v>
      </c>
      <c r="T10814" t="n">
        <v>0</v>
      </c>
      <c r="U10814" t="n">
        <v>0</v>
      </c>
      <c r="V10814" s="2" t="inlineStr"/>
    </row>
    <row r="10815" ht="15" customHeight="1">
      <c r="A10815" t="inlineStr">
        <is>
          <t>S 662-2025</t>
        </is>
      </c>
      <c r="B10815" t="inlineStr">
        <is>
          <t>samrådsanmälan</t>
        </is>
      </c>
      <c r="C10815" t="inlineStr">
        <is>
          <t>Skogsgödsling</t>
        </is>
      </c>
      <c r="D10815" s="1" t="n">
        <v>45716</v>
      </c>
      <c r="E10815" s="1" t="n">
        <v>46307</v>
      </c>
      <c r="F10815" t="inlineStr">
        <is>
          <t>VÄRMLANDS LÄN</t>
        </is>
      </c>
      <c r="G10815" t="inlineStr">
        <is>
          <t>HAGFORS</t>
        </is>
      </c>
      <c r="H10815" t="inlineStr">
        <is>
          <t>Bergvik skog väst AB</t>
        </is>
      </c>
      <c r="I10815" t="n">
        <v>52.4</v>
      </c>
      <c r="J10815" t="n">
        <v>0</v>
      </c>
      <c r="K10815" t="n">
        <v>0</v>
      </c>
      <c r="L10815" t="n">
        <v>0</v>
      </c>
      <c r="M10815" t="n">
        <v>0</v>
      </c>
      <c r="N10815" t="n">
        <v>0</v>
      </c>
      <c r="O10815" t="n">
        <v>0</v>
      </c>
      <c r="P10815" t="n">
        <v>0</v>
      </c>
      <c r="Q10815" t="n">
        <v>0</v>
      </c>
      <c r="R10815" t="n">
        <v>0</v>
      </c>
      <c r="S10815" t="n">
        <v>0</v>
      </c>
      <c r="T10815" t="n">
        <v>0</v>
      </c>
      <c r="U10815" t="n">
        <v>0</v>
      </c>
      <c r="V10815" s="2" t="inlineStr"/>
    </row>
    <row r="10816" ht="15" customHeight="1">
      <c r="A10816" t="inlineStr">
        <is>
          <t>S 661-2025</t>
        </is>
      </c>
      <c r="B10816" t="inlineStr">
        <is>
          <t>samrådsanmälan</t>
        </is>
      </c>
      <c r="C10816" t="inlineStr">
        <is>
          <t>Skogsgödsling</t>
        </is>
      </c>
      <c r="D10816" s="1" t="n">
        <v>45716</v>
      </c>
      <c r="E10816" s="1" t="n">
        <v>46307</v>
      </c>
      <c r="F10816" t="inlineStr">
        <is>
          <t>VÄRMLANDS LÄN</t>
        </is>
      </c>
      <c r="G10816" t="inlineStr">
        <is>
          <t>FILIPSTAD</t>
        </is>
      </c>
      <c r="H10816" t="inlineStr">
        <is>
          <t>Bergvik skog väst AB</t>
        </is>
      </c>
      <c r="I10816" t="n">
        <v>161.7</v>
      </c>
      <c r="J10816" t="n">
        <v>0</v>
      </c>
      <c r="K10816" t="n">
        <v>0</v>
      </c>
      <c r="L10816" t="n">
        <v>0</v>
      </c>
      <c r="M10816" t="n">
        <v>0</v>
      </c>
      <c r="N10816" t="n">
        <v>0</v>
      </c>
      <c r="O10816" t="n">
        <v>0</v>
      </c>
      <c r="P10816" t="n">
        <v>0</v>
      </c>
      <c r="Q10816" t="n">
        <v>0</v>
      </c>
      <c r="R10816" t="n">
        <v>0</v>
      </c>
      <c r="S10816" t="n">
        <v>0</v>
      </c>
      <c r="T10816" t="n">
        <v>0</v>
      </c>
      <c r="U10816" t="n">
        <v>0</v>
      </c>
      <c r="V10816" s="2" t="inlineStr"/>
    </row>
    <row r="10817" ht="15" customHeight="1">
      <c r="A10817" t="inlineStr">
        <is>
          <t>S 664-2025</t>
        </is>
      </c>
      <c r="B10817" t="inlineStr">
        <is>
          <t>samrådsanmälan</t>
        </is>
      </c>
      <c r="C10817" t="inlineStr">
        <is>
          <t>Skogsgödsling</t>
        </is>
      </c>
      <c r="D10817" s="1" t="n">
        <v>45716</v>
      </c>
      <c r="E10817" s="1" t="n">
        <v>46307</v>
      </c>
      <c r="F10817" t="inlineStr">
        <is>
          <t>VÄRMLANDS LÄN</t>
        </is>
      </c>
      <c r="G10817" t="inlineStr">
        <is>
          <t>KARLSTAD</t>
        </is>
      </c>
      <c r="H10817" t="inlineStr">
        <is>
          <t>Naturvårdsverket</t>
        </is>
      </c>
      <c r="I10817" t="n">
        <v>18.2</v>
      </c>
      <c r="J10817" t="n">
        <v>0</v>
      </c>
      <c r="K10817" t="n">
        <v>0</v>
      </c>
      <c r="L10817" t="n">
        <v>0</v>
      </c>
      <c r="M10817" t="n">
        <v>0</v>
      </c>
      <c r="N10817" t="n">
        <v>0</v>
      </c>
      <c r="O10817" t="n">
        <v>0</v>
      </c>
      <c r="P10817" t="n">
        <v>0</v>
      </c>
      <c r="Q10817" t="n">
        <v>0</v>
      </c>
      <c r="R10817" t="n">
        <v>0</v>
      </c>
      <c r="S10817" t="n">
        <v>0</v>
      </c>
      <c r="T10817" t="n">
        <v>0</v>
      </c>
      <c r="U10817" t="n">
        <v>0</v>
      </c>
      <c r="V10817" s="2" t="inlineStr"/>
    </row>
    <row r="10818" ht="15" customHeight="1">
      <c r="A10818" t="inlineStr">
        <is>
          <t>S 733-2025</t>
        </is>
      </c>
      <c r="B10818" t="inlineStr">
        <is>
          <t>samrådsanmälan</t>
        </is>
      </c>
      <c r="C10818" t="inlineStr">
        <is>
          <t>Skogsgödsling</t>
        </is>
      </c>
      <c r="D10818" s="1" t="n">
        <v>45716</v>
      </c>
      <c r="E10818" s="1" t="n">
        <v>46307</v>
      </c>
      <c r="F10818" t="inlineStr">
        <is>
          <t>VÄRMLANDS LÄN</t>
        </is>
      </c>
      <c r="G10818" t="inlineStr">
        <is>
          <t>STORFORS</t>
        </is>
      </c>
      <c r="H10818" t="inlineStr">
        <is>
          <t>Bergvik skog väst AB</t>
        </is>
      </c>
      <c r="I10818" t="n">
        <v>33.7</v>
      </c>
      <c r="J10818" t="n">
        <v>0</v>
      </c>
      <c r="K10818" t="n">
        <v>0</v>
      </c>
      <c r="L10818" t="n">
        <v>0</v>
      </c>
      <c r="M10818" t="n">
        <v>0</v>
      </c>
      <c r="N10818" t="n">
        <v>0</v>
      </c>
      <c r="O10818" t="n">
        <v>0</v>
      </c>
      <c r="P10818" t="n">
        <v>0</v>
      </c>
      <c r="Q10818" t="n">
        <v>0</v>
      </c>
      <c r="R10818" t="n">
        <v>0</v>
      </c>
      <c r="S10818" t="n">
        <v>0</v>
      </c>
      <c r="T10818" t="n">
        <v>0</v>
      </c>
      <c r="U10818" t="n">
        <v>0</v>
      </c>
      <c r="V10818" s="2" t="inlineStr"/>
    </row>
    <row r="10819" ht="15" customHeight="1">
      <c r="A10819" t="inlineStr">
        <is>
          <t>S 820-2025</t>
        </is>
      </c>
      <c r="B10819" t="inlineStr">
        <is>
          <t>samrådsanmälan</t>
        </is>
      </c>
      <c r="C10819" t="inlineStr">
        <is>
          <t>Skogsgödsling</t>
        </is>
      </c>
      <c r="D10819" s="1" t="n">
        <v>45731</v>
      </c>
      <c r="E10819" s="1" t="n">
        <v>46307</v>
      </c>
      <c r="F10819" t="inlineStr">
        <is>
          <t>VÄRMLANDS LÄN</t>
        </is>
      </c>
      <c r="G10819" t="inlineStr">
        <is>
          <t>EDA</t>
        </is>
      </c>
      <c r="I10819" t="n">
        <v>9.800000000000001</v>
      </c>
      <c r="J10819" t="n">
        <v>0</v>
      </c>
      <c r="K10819" t="n">
        <v>0</v>
      </c>
      <c r="L10819" t="n">
        <v>0</v>
      </c>
      <c r="M10819" t="n">
        <v>0</v>
      </c>
      <c r="N10819" t="n">
        <v>0</v>
      </c>
      <c r="O10819" t="n">
        <v>0</v>
      </c>
      <c r="P10819" t="n">
        <v>0</v>
      </c>
      <c r="Q10819" t="n">
        <v>0</v>
      </c>
      <c r="R10819" t="n">
        <v>0</v>
      </c>
      <c r="S10819" t="n">
        <v>0</v>
      </c>
      <c r="T10819" t="n">
        <v>0</v>
      </c>
      <c r="U10819" t="n">
        <v>0</v>
      </c>
      <c r="V10819" s="2" t="inlineStr"/>
    </row>
    <row r="10820" ht="15" customHeight="1">
      <c r="A10820" t="inlineStr">
        <is>
          <t>S 893-2025</t>
        </is>
      </c>
      <c r="B10820" t="inlineStr">
        <is>
          <t>samrådsanmälan</t>
        </is>
      </c>
      <c r="C10820" t="inlineStr">
        <is>
          <t>Skogsgödsling</t>
        </is>
      </c>
      <c r="D10820" s="1" t="n">
        <v>45736</v>
      </c>
      <c r="E10820" s="1" t="n">
        <v>46307</v>
      </c>
      <c r="F10820" t="inlineStr">
        <is>
          <t>VÄRMLANDS LÄN</t>
        </is>
      </c>
      <c r="G10820" t="inlineStr">
        <is>
          <t>EDA</t>
        </is>
      </c>
      <c r="I10820" t="n">
        <v>4</v>
      </c>
      <c r="J10820" t="n">
        <v>0</v>
      </c>
      <c r="K10820" t="n">
        <v>0</v>
      </c>
      <c r="L10820" t="n">
        <v>0</v>
      </c>
      <c r="M10820" t="n">
        <v>0</v>
      </c>
      <c r="N10820" t="n">
        <v>0</v>
      </c>
      <c r="O10820" t="n">
        <v>0</v>
      </c>
      <c r="P10820" t="n">
        <v>0</v>
      </c>
      <c r="Q10820" t="n">
        <v>0</v>
      </c>
      <c r="R10820" t="n">
        <v>0</v>
      </c>
      <c r="S10820" t="n">
        <v>0</v>
      </c>
      <c r="T10820" t="n">
        <v>0</v>
      </c>
      <c r="U10820" t="n">
        <v>0</v>
      </c>
      <c r="V10820" s="2" t="inlineStr"/>
    </row>
    <row r="10821" ht="15" customHeight="1">
      <c r="A10821" t="inlineStr">
        <is>
          <t>S 974-2025</t>
        </is>
      </c>
      <c r="B10821" t="inlineStr">
        <is>
          <t>samrådsanmälan</t>
        </is>
      </c>
      <c r="C10821" t="inlineStr">
        <is>
          <t>Skogsgödsling</t>
        </is>
      </c>
      <c r="D10821" s="1" t="n">
        <v>45743</v>
      </c>
      <c r="E10821" s="1" t="n">
        <v>46307</v>
      </c>
      <c r="F10821" t="inlineStr">
        <is>
          <t>VÄRMLANDS LÄN</t>
        </is>
      </c>
      <c r="G10821" t="inlineStr">
        <is>
          <t>ARVIKA</t>
        </is>
      </c>
      <c r="I10821" t="n">
        <v>9.9</v>
      </c>
      <c r="J10821" t="n">
        <v>0</v>
      </c>
      <c r="K10821" t="n">
        <v>0</v>
      </c>
      <c r="L10821" t="n">
        <v>0</v>
      </c>
      <c r="M10821" t="n">
        <v>0</v>
      </c>
      <c r="N10821" t="n">
        <v>0</v>
      </c>
      <c r="O10821" t="n">
        <v>0</v>
      </c>
      <c r="P10821" t="n">
        <v>0</v>
      </c>
      <c r="Q10821" t="n">
        <v>0</v>
      </c>
      <c r="R10821" t="n">
        <v>0</v>
      </c>
      <c r="S10821" t="n">
        <v>0</v>
      </c>
      <c r="T10821" t="n">
        <v>0</v>
      </c>
      <c r="U10821" t="n">
        <v>0</v>
      </c>
      <c r="V10821" s="2" t="inlineStr"/>
    </row>
    <row r="10822" ht="15" customHeight="1">
      <c r="A10822" t="inlineStr">
        <is>
          <t>S 994-2025</t>
        </is>
      </c>
      <c r="B10822" t="inlineStr">
        <is>
          <t>samrådsanmälan</t>
        </is>
      </c>
      <c r="C10822" t="inlineStr">
        <is>
          <t>Skogsgödsling</t>
        </is>
      </c>
      <c r="D10822" s="1" t="n">
        <v>45744</v>
      </c>
      <c r="E10822" s="1" t="n">
        <v>46307</v>
      </c>
      <c r="F10822" t="inlineStr">
        <is>
          <t>VÄRMLANDS LÄN</t>
        </is>
      </c>
      <c r="G10822" t="inlineStr">
        <is>
          <t>ARVIKA</t>
        </is>
      </c>
      <c r="I10822" t="n">
        <v>13</v>
      </c>
      <c r="J10822" t="n">
        <v>0</v>
      </c>
      <c r="K10822" t="n">
        <v>0</v>
      </c>
      <c r="L10822" t="n">
        <v>0</v>
      </c>
      <c r="M10822" t="n">
        <v>0</v>
      </c>
      <c r="N10822" t="n">
        <v>0</v>
      </c>
      <c r="O10822" t="n">
        <v>0</v>
      </c>
      <c r="P10822" t="n">
        <v>0</v>
      </c>
      <c r="Q10822" t="n">
        <v>0</v>
      </c>
      <c r="R10822" t="n">
        <v>0</v>
      </c>
      <c r="S10822" t="n">
        <v>0</v>
      </c>
      <c r="T10822" t="n">
        <v>0</v>
      </c>
      <c r="U10822" t="n">
        <v>0</v>
      </c>
      <c r="V10822" s="2" t="inlineStr"/>
    </row>
    <row r="10823" ht="15" customHeight="1">
      <c r="A10823" t="inlineStr">
        <is>
          <t>S 992-2025</t>
        </is>
      </c>
      <c r="B10823" t="inlineStr">
        <is>
          <t>samrådsanmälan</t>
        </is>
      </c>
      <c r="C10823" t="inlineStr">
        <is>
          <t>Skogsgödsling</t>
        </is>
      </c>
      <c r="D10823" s="1" t="n">
        <v>45744</v>
      </c>
      <c r="E10823" s="1" t="n">
        <v>46307</v>
      </c>
      <c r="F10823" t="inlineStr">
        <is>
          <t>VÄRMLANDS LÄN</t>
        </is>
      </c>
      <c r="G10823" t="inlineStr">
        <is>
          <t>ARVIKA</t>
        </is>
      </c>
      <c r="I10823" t="n">
        <v>10.7</v>
      </c>
      <c r="J10823" t="n">
        <v>0</v>
      </c>
      <c r="K10823" t="n">
        <v>0</v>
      </c>
      <c r="L10823" t="n">
        <v>0</v>
      </c>
      <c r="M10823" t="n">
        <v>0</v>
      </c>
      <c r="N10823" t="n">
        <v>0</v>
      </c>
      <c r="O10823" t="n">
        <v>0</v>
      </c>
      <c r="P10823" t="n">
        <v>0</v>
      </c>
      <c r="Q10823" t="n">
        <v>0</v>
      </c>
      <c r="R10823" t="n">
        <v>0</v>
      </c>
      <c r="S10823" t="n">
        <v>0</v>
      </c>
      <c r="T10823" t="n">
        <v>0</v>
      </c>
      <c r="U10823" t="n">
        <v>0</v>
      </c>
      <c r="V10823" s="2" t="inlineStr"/>
    </row>
    <row r="10824" ht="15" customHeight="1">
      <c r="A10824" t="inlineStr">
        <is>
          <t>S 1020-2025</t>
        </is>
      </c>
      <c r="B10824" t="inlineStr">
        <is>
          <t>samrådsanmälan</t>
        </is>
      </c>
      <c r="C10824" t="inlineStr">
        <is>
          <t>Annan skogsbruksåtgärd</t>
        </is>
      </c>
      <c r="D10824" s="1" t="n">
        <v>45747</v>
      </c>
      <c r="E10824" s="1" t="n">
        <v>46307</v>
      </c>
      <c r="F10824" t="inlineStr">
        <is>
          <t>VÄRMLANDS LÄN</t>
        </is>
      </c>
      <c r="G10824" t="inlineStr">
        <is>
          <t>TORSBY</t>
        </is>
      </c>
      <c r="I10824" t="n">
        <v>10.3</v>
      </c>
      <c r="J10824" t="n">
        <v>0</v>
      </c>
      <c r="K10824" t="n">
        <v>0</v>
      </c>
      <c r="L10824" t="n">
        <v>0</v>
      </c>
      <c r="M10824" t="n">
        <v>0</v>
      </c>
      <c r="N10824" t="n">
        <v>0</v>
      </c>
      <c r="O10824" t="n">
        <v>0</v>
      </c>
      <c r="P10824" t="n">
        <v>0</v>
      </c>
      <c r="Q10824" t="n">
        <v>0</v>
      </c>
      <c r="R10824" t="n">
        <v>0</v>
      </c>
      <c r="S10824" t="n">
        <v>0</v>
      </c>
      <c r="T10824" t="n">
        <v>0</v>
      </c>
      <c r="U10824" t="n">
        <v>0</v>
      </c>
      <c r="V10824" s="2" t="inlineStr"/>
    </row>
    <row r="10825" ht="15" customHeight="1">
      <c r="A10825" t="inlineStr">
        <is>
          <t>S 1145-2025</t>
        </is>
      </c>
      <c r="B10825" t="inlineStr">
        <is>
          <t>samrådsanmälan</t>
        </is>
      </c>
      <c r="C10825" t="inlineStr">
        <is>
          <t>Skogsgödsling</t>
        </is>
      </c>
      <c r="D10825" s="1" t="n">
        <v>45755</v>
      </c>
      <c r="E10825" s="1" t="n">
        <v>46307</v>
      </c>
      <c r="F10825" t="inlineStr">
        <is>
          <t>VÄRMLANDS LÄN</t>
        </is>
      </c>
      <c r="G10825" t="inlineStr">
        <is>
          <t>TORSBY</t>
        </is>
      </c>
      <c r="I10825" t="n">
        <v>3.9</v>
      </c>
      <c r="J10825" t="n">
        <v>0</v>
      </c>
      <c r="K10825" t="n">
        <v>0</v>
      </c>
      <c r="L10825" t="n">
        <v>0</v>
      </c>
      <c r="M10825" t="n">
        <v>0</v>
      </c>
      <c r="N10825" t="n">
        <v>0</v>
      </c>
      <c r="O10825" t="n">
        <v>0</v>
      </c>
      <c r="P10825" t="n">
        <v>0</v>
      </c>
      <c r="Q10825" t="n">
        <v>0</v>
      </c>
      <c r="R10825" t="n">
        <v>0</v>
      </c>
      <c r="S10825" t="n">
        <v>0</v>
      </c>
      <c r="T10825" t="n">
        <v>0</v>
      </c>
      <c r="U10825" t="n">
        <v>0</v>
      </c>
      <c r="V10825" s="2" t="inlineStr"/>
    </row>
    <row r="10826" ht="15" customHeight="1">
      <c r="A10826" t="inlineStr">
        <is>
          <t>S 1147-2025</t>
        </is>
      </c>
      <c r="B10826" t="inlineStr">
        <is>
          <t>samrådsanmälan</t>
        </is>
      </c>
      <c r="C10826" t="inlineStr">
        <is>
          <t>Skogsgödsling</t>
        </is>
      </c>
      <c r="D10826" s="1" t="n">
        <v>45755</v>
      </c>
      <c r="E10826" s="1" t="n">
        <v>46307</v>
      </c>
      <c r="F10826" t="inlineStr">
        <is>
          <t>VÄRMLANDS LÄN</t>
        </is>
      </c>
      <c r="G10826" t="inlineStr">
        <is>
          <t>TORSBY</t>
        </is>
      </c>
      <c r="I10826" t="n">
        <v>6.6</v>
      </c>
      <c r="J10826" t="n">
        <v>0</v>
      </c>
      <c r="K10826" t="n">
        <v>0</v>
      </c>
      <c r="L10826" t="n">
        <v>0</v>
      </c>
      <c r="M10826" t="n">
        <v>0</v>
      </c>
      <c r="N10826" t="n">
        <v>0</v>
      </c>
      <c r="O10826" t="n">
        <v>0</v>
      </c>
      <c r="P10826" t="n">
        <v>0</v>
      </c>
      <c r="Q10826" t="n">
        <v>0</v>
      </c>
      <c r="R10826" t="n">
        <v>0</v>
      </c>
      <c r="S10826" t="n">
        <v>0</v>
      </c>
      <c r="T10826" t="n">
        <v>0</v>
      </c>
      <c r="U10826" t="n">
        <v>0</v>
      </c>
      <c r="V10826" s="2" t="inlineStr"/>
    </row>
    <row r="10827" ht="15" customHeight="1">
      <c r="A10827" t="inlineStr">
        <is>
          <t>S 1238-2025</t>
        </is>
      </c>
      <c r="B10827" t="inlineStr">
        <is>
          <t>samrådsanmälan</t>
        </is>
      </c>
      <c r="C10827" t="inlineStr">
        <is>
          <t>Annan skogsbruksåtgärd</t>
        </is>
      </c>
      <c r="D10827" s="1" t="n">
        <v>45760</v>
      </c>
      <c r="E10827" s="1" t="n">
        <v>46307</v>
      </c>
      <c r="F10827" t="inlineStr">
        <is>
          <t>VÄRMLANDS LÄN</t>
        </is>
      </c>
      <c r="G10827" t="inlineStr">
        <is>
          <t>SUNNE</t>
        </is>
      </c>
      <c r="I10827" t="n">
        <v>2</v>
      </c>
      <c r="J10827" t="n">
        <v>0</v>
      </c>
      <c r="K10827" t="n">
        <v>0</v>
      </c>
      <c r="L10827" t="n">
        <v>0</v>
      </c>
      <c r="M10827" t="n">
        <v>0</v>
      </c>
      <c r="N10827" t="n">
        <v>0</v>
      </c>
      <c r="O10827" t="n">
        <v>0</v>
      </c>
      <c r="P10827" t="n">
        <v>0</v>
      </c>
      <c r="Q10827" t="n">
        <v>0</v>
      </c>
      <c r="R10827" t="n">
        <v>0</v>
      </c>
      <c r="S10827" t="n">
        <v>0</v>
      </c>
      <c r="T10827" t="n">
        <v>0</v>
      </c>
      <c r="U10827" t="n">
        <v>0</v>
      </c>
      <c r="V10827" s="2" t="inlineStr"/>
    </row>
    <row r="10828" ht="15" customHeight="1">
      <c r="A10828" t="inlineStr">
        <is>
          <t>S 1400-2025</t>
        </is>
      </c>
      <c r="B10828" t="inlineStr">
        <is>
          <t>samrådsanmälan</t>
        </is>
      </c>
      <c r="C10828" t="inlineStr">
        <is>
          <t>Dikesrensning</t>
        </is>
      </c>
      <c r="D10828" s="1" t="n">
        <v>45779</v>
      </c>
      <c r="E10828" s="1" t="n">
        <v>46307</v>
      </c>
      <c r="F10828" t="inlineStr">
        <is>
          <t>VÄRMLANDS LÄN</t>
        </is>
      </c>
      <c r="G10828" t="inlineStr">
        <is>
          <t>SUNNE</t>
        </is>
      </c>
      <c r="I10828" t="n">
        <v>0.5</v>
      </c>
      <c r="J10828" t="n">
        <v>0</v>
      </c>
      <c r="K10828" t="n">
        <v>0</v>
      </c>
      <c r="L10828" t="n">
        <v>0</v>
      </c>
      <c r="M10828" t="n">
        <v>0</v>
      </c>
      <c r="N10828" t="n">
        <v>0</v>
      </c>
      <c r="O10828" t="n">
        <v>0</v>
      </c>
      <c r="P10828" t="n">
        <v>0</v>
      </c>
      <c r="Q10828" t="n">
        <v>0</v>
      </c>
      <c r="R10828" t="n">
        <v>0</v>
      </c>
      <c r="S10828" t="n">
        <v>0</v>
      </c>
      <c r="T10828" t="n">
        <v>0</v>
      </c>
      <c r="U10828" t="n">
        <v>0</v>
      </c>
      <c r="V10828" s="2" t="inlineStr"/>
    </row>
    <row r="10829" ht="15" customHeight="1">
      <c r="A10829" t="inlineStr">
        <is>
          <t>S 1402-2025</t>
        </is>
      </c>
      <c r="B10829" t="inlineStr">
        <is>
          <t>samrådsanmälan</t>
        </is>
      </c>
      <c r="C10829" t="inlineStr">
        <is>
          <t>Skogsgödsling</t>
        </is>
      </c>
      <c r="D10829" s="1" t="n">
        <v>45779</v>
      </c>
      <c r="E10829" s="1" t="n">
        <v>46307</v>
      </c>
      <c r="F10829" t="inlineStr">
        <is>
          <t>VÄRMLANDS LÄN</t>
        </is>
      </c>
      <c r="G10829" t="inlineStr">
        <is>
          <t>SÄFFLE</t>
        </is>
      </c>
      <c r="I10829" t="n">
        <v>24.2</v>
      </c>
      <c r="J10829" t="n">
        <v>0</v>
      </c>
      <c r="K10829" t="n">
        <v>0</v>
      </c>
      <c r="L10829" t="n">
        <v>0</v>
      </c>
      <c r="M10829" t="n">
        <v>0</v>
      </c>
      <c r="N10829" t="n">
        <v>0</v>
      </c>
      <c r="O10829" t="n">
        <v>0</v>
      </c>
      <c r="P10829" t="n">
        <v>0</v>
      </c>
      <c r="Q10829" t="n">
        <v>0</v>
      </c>
      <c r="R10829" t="n">
        <v>0</v>
      </c>
      <c r="S10829" t="n">
        <v>0</v>
      </c>
      <c r="T10829" t="n">
        <v>0</v>
      </c>
      <c r="U10829" t="n">
        <v>0</v>
      </c>
      <c r="V10829" s="2" t="inlineStr"/>
    </row>
    <row r="10830" ht="15" customHeight="1">
      <c r="A10830" t="inlineStr">
        <is>
          <t>S 1418-2025</t>
        </is>
      </c>
      <c r="B10830" t="inlineStr">
        <is>
          <t>samrådsanmälan</t>
        </is>
      </c>
      <c r="C10830" t="inlineStr">
        <is>
          <t>Annan skogsbruksåtgärd</t>
        </is>
      </c>
      <c r="D10830" s="1" t="n">
        <v>45783</v>
      </c>
      <c r="E10830" s="1" t="n">
        <v>46307</v>
      </c>
      <c r="F10830" t="inlineStr">
        <is>
          <t>VÄRMLANDS LÄN</t>
        </is>
      </c>
      <c r="G10830" t="inlineStr">
        <is>
          <t>KRISTINEHAMN</t>
        </is>
      </c>
      <c r="H10830" t="inlineStr">
        <is>
          <t>Sveaskog</t>
        </is>
      </c>
      <c r="I10830" t="n">
        <v>1</v>
      </c>
      <c r="J10830" t="n">
        <v>0</v>
      </c>
      <c r="K10830" t="n">
        <v>0</v>
      </c>
      <c r="L10830" t="n">
        <v>0</v>
      </c>
      <c r="M10830" t="n">
        <v>0</v>
      </c>
      <c r="N10830" t="n">
        <v>0</v>
      </c>
      <c r="O10830" t="n">
        <v>0</v>
      </c>
      <c r="P10830" t="n">
        <v>0</v>
      </c>
      <c r="Q10830" t="n">
        <v>0</v>
      </c>
      <c r="R10830" t="n">
        <v>0</v>
      </c>
      <c r="S10830" t="n">
        <v>0</v>
      </c>
      <c r="T10830" t="n">
        <v>0</v>
      </c>
      <c r="U10830" t="n">
        <v>0</v>
      </c>
      <c r="V10830" s="2" t="inlineStr"/>
    </row>
    <row r="10831" ht="15" customHeight="1">
      <c r="A10831" t="inlineStr">
        <is>
          <t>S 1546-2025</t>
        </is>
      </c>
      <c r="B10831" t="inlineStr">
        <is>
          <t>samrådsanmälan</t>
        </is>
      </c>
      <c r="C10831" t="inlineStr">
        <is>
          <t>Annan skogsbruksåtgärd</t>
        </is>
      </c>
      <c r="D10831" s="1" t="n">
        <v>45792</v>
      </c>
      <c r="E10831" s="1" t="n">
        <v>46307</v>
      </c>
      <c r="F10831" t="inlineStr">
        <is>
          <t>VÄRMLANDS LÄN</t>
        </is>
      </c>
      <c r="G10831" t="inlineStr">
        <is>
          <t>KRISTINEHAMN</t>
        </is>
      </c>
      <c r="H10831" t="inlineStr">
        <is>
          <t>Sveaskog</t>
        </is>
      </c>
      <c r="I10831" t="n">
        <v>1.9</v>
      </c>
      <c r="J10831" t="n">
        <v>0</v>
      </c>
      <c r="K10831" t="n">
        <v>0</v>
      </c>
      <c r="L10831" t="n">
        <v>0</v>
      </c>
      <c r="M10831" t="n">
        <v>0</v>
      </c>
      <c r="N10831" t="n">
        <v>0</v>
      </c>
      <c r="O10831" t="n">
        <v>0</v>
      </c>
      <c r="P10831" t="n">
        <v>0</v>
      </c>
      <c r="Q10831" t="n">
        <v>0</v>
      </c>
      <c r="R10831" t="n">
        <v>0</v>
      </c>
      <c r="S10831" t="n">
        <v>0</v>
      </c>
      <c r="T10831" t="n">
        <v>0</v>
      </c>
      <c r="U10831" t="n">
        <v>0</v>
      </c>
      <c r="V10831" s="2" t="inlineStr"/>
    </row>
    <row r="10832" ht="15" customHeight="1">
      <c r="A10832" t="inlineStr">
        <is>
          <t>S 1698-2025</t>
        </is>
      </c>
      <c r="B10832" t="inlineStr">
        <is>
          <t>samrådsanmälan</t>
        </is>
      </c>
      <c r="C10832" t="inlineStr">
        <is>
          <t>Annan skogsbruksåtgärd</t>
        </is>
      </c>
      <c r="D10832" s="1" t="n">
        <v>45805</v>
      </c>
      <c r="E10832" s="1" t="n">
        <v>46307</v>
      </c>
      <c r="F10832" t="inlineStr">
        <is>
          <t>VÄRMLANDS LÄN</t>
        </is>
      </c>
      <c r="G10832" t="inlineStr">
        <is>
          <t>KRISTINEHAMN</t>
        </is>
      </c>
      <c r="H10832" t="inlineStr">
        <is>
          <t>Sveaskog</t>
        </is>
      </c>
      <c r="I10832" t="n">
        <v>12.6</v>
      </c>
      <c r="J10832" t="n">
        <v>0</v>
      </c>
      <c r="K10832" t="n">
        <v>0</v>
      </c>
      <c r="L10832" t="n">
        <v>0</v>
      </c>
      <c r="M10832" t="n">
        <v>0</v>
      </c>
      <c r="N10832" t="n">
        <v>0</v>
      </c>
      <c r="O10832" t="n">
        <v>0</v>
      </c>
      <c r="P10832" t="n">
        <v>0</v>
      </c>
      <c r="Q10832" t="n">
        <v>0</v>
      </c>
      <c r="R10832" t="n">
        <v>0</v>
      </c>
      <c r="S10832" t="n">
        <v>0</v>
      </c>
      <c r="T10832" t="n">
        <v>0</v>
      </c>
      <c r="U10832" t="n">
        <v>0</v>
      </c>
      <c r="V10832" s="2" t="inlineStr"/>
    </row>
    <row r="10833" ht="15" customHeight="1">
      <c r="A10833" t="inlineStr">
        <is>
          <t>S 1910-2025</t>
        </is>
      </c>
      <c r="B10833" t="inlineStr">
        <is>
          <t>samrådsanmälan</t>
        </is>
      </c>
      <c r="C10833" t="inlineStr">
        <is>
          <t>Annan skogsbruksåtgärd</t>
        </is>
      </c>
      <c r="D10833" s="1" t="n">
        <v>45826</v>
      </c>
      <c r="E10833" s="1" t="n">
        <v>46307</v>
      </c>
      <c r="F10833" t="inlineStr">
        <is>
          <t>VÄRMLANDS LÄN</t>
        </is>
      </c>
      <c r="G10833" t="inlineStr">
        <is>
          <t>TORSBY</t>
        </is>
      </c>
      <c r="I10833" t="n">
        <v>1.9</v>
      </c>
      <c r="J10833" t="n">
        <v>0</v>
      </c>
      <c r="K10833" t="n">
        <v>0</v>
      </c>
      <c r="L10833" t="n">
        <v>0</v>
      </c>
      <c r="M10833" t="n">
        <v>0</v>
      </c>
      <c r="N10833" t="n">
        <v>0</v>
      </c>
      <c r="O10833" t="n">
        <v>0</v>
      </c>
      <c r="P10833" t="n">
        <v>0</v>
      </c>
      <c r="Q10833" t="n">
        <v>0</v>
      </c>
      <c r="R10833" t="n">
        <v>0</v>
      </c>
      <c r="S10833" t="n">
        <v>0</v>
      </c>
      <c r="T10833" t="n">
        <v>0</v>
      </c>
      <c r="U10833" t="n">
        <v>0</v>
      </c>
      <c r="V10833" s="2" t="inlineStr"/>
    </row>
    <row r="10834" ht="15" customHeight="1">
      <c r="A10834" t="inlineStr">
        <is>
          <t>S 1908-2025</t>
        </is>
      </c>
      <c r="B10834" t="inlineStr">
        <is>
          <t>samrådsanmälan</t>
        </is>
      </c>
      <c r="C10834" t="inlineStr">
        <is>
          <t>Annan skogsbruksåtgärd</t>
        </is>
      </c>
      <c r="D10834" s="1" t="n">
        <v>45826</v>
      </c>
      <c r="E10834" s="1" t="n">
        <v>46307</v>
      </c>
      <c r="F10834" t="inlineStr">
        <is>
          <t>VÄRMLANDS LÄN</t>
        </is>
      </c>
      <c r="G10834" t="inlineStr">
        <is>
          <t>TORSBY</t>
        </is>
      </c>
      <c r="I10834" t="n">
        <v>1.2</v>
      </c>
      <c r="J10834" t="n">
        <v>0</v>
      </c>
      <c r="K10834" t="n">
        <v>0</v>
      </c>
      <c r="L10834" t="n">
        <v>0</v>
      </c>
      <c r="M10834" t="n">
        <v>0</v>
      </c>
      <c r="N10834" t="n">
        <v>0</v>
      </c>
      <c r="O10834" t="n">
        <v>0</v>
      </c>
      <c r="P10834" t="n">
        <v>0</v>
      </c>
      <c r="Q10834" t="n">
        <v>0</v>
      </c>
      <c r="R10834" t="n">
        <v>0</v>
      </c>
      <c r="S10834" t="n">
        <v>0</v>
      </c>
      <c r="T10834" t="n">
        <v>0</v>
      </c>
      <c r="U10834" t="n">
        <v>0</v>
      </c>
      <c r="V10834" s="2" t="inlineStr"/>
    </row>
    <row r="10835" ht="15" customHeight="1">
      <c r="A10835" t="inlineStr">
        <is>
          <t>S 2011-2025</t>
        </is>
      </c>
      <c r="B10835" t="inlineStr">
        <is>
          <t>samrådsanmälan</t>
        </is>
      </c>
      <c r="C10835" t="inlineStr">
        <is>
          <t>Annan skogsbruksåtgärd</t>
        </is>
      </c>
      <c r="D10835" s="1" t="n">
        <v>45834</v>
      </c>
      <c r="E10835" s="1" t="n">
        <v>46307</v>
      </c>
      <c r="F10835" t="inlineStr">
        <is>
          <t>VÄRMLANDS LÄN</t>
        </is>
      </c>
      <c r="G10835" t="inlineStr">
        <is>
          <t>FORSHAGA</t>
        </is>
      </c>
      <c r="I10835" t="n">
        <v>0.5</v>
      </c>
      <c r="J10835" t="n">
        <v>0</v>
      </c>
      <c r="K10835" t="n">
        <v>0</v>
      </c>
      <c r="L10835" t="n">
        <v>0</v>
      </c>
      <c r="M10835" t="n">
        <v>0</v>
      </c>
      <c r="N10835" t="n">
        <v>0</v>
      </c>
      <c r="O10835" t="n">
        <v>0</v>
      </c>
      <c r="P10835" t="n">
        <v>0</v>
      </c>
      <c r="Q10835" t="n">
        <v>0</v>
      </c>
      <c r="R10835" t="n">
        <v>0</v>
      </c>
      <c r="S10835" t="n">
        <v>0</v>
      </c>
      <c r="T10835" t="n">
        <v>0</v>
      </c>
      <c r="U10835" t="n">
        <v>0</v>
      </c>
      <c r="V10835" s="2" t="inlineStr"/>
    </row>
    <row r="10836" ht="15" customHeight="1">
      <c r="A10836" t="inlineStr">
        <is>
          <t>S 2137-2025</t>
        </is>
      </c>
      <c r="B10836" t="inlineStr">
        <is>
          <t>samrådsanmälan</t>
        </is>
      </c>
      <c r="C10836" t="inlineStr">
        <is>
          <t>Skogsgödsling</t>
        </is>
      </c>
      <c r="D10836" s="1" t="n">
        <v>45846</v>
      </c>
      <c r="E10836" s="1" t="n">
        <v>46307</v>
      </c>
      <c r="F10836" t="inlineStr">
        <is>
          <t>VÄRMLANDS LÄN</t>
        </is>
      </c>
      <c r="G10836" t="inlineStr">
        <is>
          <t>GRUMS</t>
        </is>
      </c>
      <c r="I10836" t="n">
        <v>20.2</v>
      </c>
      <c r="J10836" t="n">
        <v>0</v>
      </c>
      <c r="K10836" t="n">
        <v>0</v>
      </c>
      <c r="L10836" t="n">
        <v>0</v>
      </c>
      <c r="M10836" t="n">
        <v>0</v>
      </c>
      <c r="N10836" t="n">
        <v>0</v>
      </c>
      <c r="O10836" t="n">
        <v>0</v>
      </c>
      <c r="P10836" t="n">
        <v>0</v>
      </c>
      <c r="Q10836" t="n">
        <v>0</v>
      </c>
      <c r="R10836" t="n">
        <v>0</v>
      </c>
      <c r="S10836" t="n">
        <v>0</v>
      </c>
      <c r="T10836" t="n">
        <v>0</v>
      </c>
      <c r="U10836" t="n">
        <v>0</v>
      </c>
      <c r="V10836" s="2" t="inlineStr"/>
    </row>
    <row r="10837" ht="15" customHeight="1">
      <c r="A10837" t="inlineStr">
        <is>
          <t>S 2222-2025</t>
        </is>
      </c>
      <c r="B10837" t="inlineStr">
        <is>
          <t>samrådsanmälan</t>
        </is>
      </c>
      <c r="C10837" t="inlineStr">
        <is>
          <t>Annan skogsbruksåtgärd</t>
        </is>
      </c>
      <c r="D10837" s="1" t="n">
        <v>45866</v>
      </c>
      <c r="E10837" s="1" t="n">
        <v>46307</v>
      </c>
      <c r="F10837" t="inlineStr">
        <is>
          <t>VÄRMLANDS LÄN</t>
        </is>
      </c>
      <c r="G10837" t="inlineStr">
        <is>
          <t>TORSBY</t>
        </is>
      </c>
      <c r="I10837" t="n">
        <v>3.5</v>
      </c>
      <c r="J10837" t="n">
        <v>0</v>
      </c>
      <c r="K10837" t="n">
        <v>0</v>
      </c>
      <c r="L10837" t="n">
        <v>0</v>
      </c>
      <c r="M10837" t="n">
        <v>0</v>
      </c>
      <c r="N10837" t="n">
        <v>0</v>
      </c>
      <c r="O10837" t="n">
        <v>0</v>
      </c>
      <c r="P10837" t="n">
        <v>0</v>
      </c>
      <c r="Q10837" t="n">
        <v>0</v>
      </c>
      <c r="R10837" t="n">
        <v>0</v>
      </c>
      <c r="S10837" t="n">
        <v>0</v>
      </c>
      <c r="T10837" t="n">
        <v>0</v>
      </c>
      <c r="U10837" t="n">
        <v>0</v>
      </c>
      <c r="V10837" s="2" t="inlineStr"/>
    </row>
    <row r="10838" ht="15" customHeight="1">
      <c r="A10838" t="inlineStr">
        <is>
          <t>S 3060-2025</t>
        </is>
      </c>
      <c r="B10838" t="inlineStr">
        <is>
          <t>samrådsanmälan</t>
        </is>
      </c>
      <c r="C10838" t="inlineStr">
        <is>
          <t>Annan skogsbruksåtgärd</t>
        </is>
      </c>
      <c r="D10838" s="1" t="n">
        <v>45964</v>
      </c>
      <c r="E10838" s="1" t="n">
        <v>46307</v>
      </c>
      <c r="F10838" t="inlineStr">
        <is>
          <t>VÄRMLANDS LÄN</t>
        </is>
      </c>
      <c r="G10838" t="inlineStr">
        <is>
          <t>KARLSTAD</t>
        </is>
      </c>
      <c r="I10838" t="n">
        <v>4.6</v>
      </c>
      <c r="J10838" t="n">
        <v>0</v>
      </c>
      <c r="K10838" t="n">
        <v>0</v>
      </c>
      <c r="L10838" t="n">
        <v>0</v>
      </c>
      <c r="M10838" t="n">
        <v>0</v>
      </c>
      <c r="N10838" t="n">
        <v>0</v>
      </c>
      <c r="O10838" t="n">
        <v>0</v>
      </c>
      <c r="P10838" t="n">
        <v>0</v>
      </c>
      <c r="Q10838" t="n">
        <v>0</v>
      </c>
      <c r="R10838" t="n">
        <v>0</v>
      </c>
      <c r="S10838" t="n">
        <v>0</v>
      </c>
      <c r="T10838" t="n">
        <v>0</v>
      </c>
      <c r="U10838" t="n">
        <v>0</v>
      </c>
      <c r="V10838" s="2" t="inlineStr"/>
    </row>
    <row r="10839" ht="15" customHeight="1">
      <c r="A10839" t="inlineStr">
        <is>
          <t>S 3158-2025</t>
        </is>
      </c>
      <c r="B10839" t="inlineStr">
        <is>
          <t>samrådsanmälan</t>
        </is>
      </c>
      <c r="C10839" t="inlineStr">
        <is>
          <t>Annan skogsbruksåtgärd</t>
        </is>
      </c>
      <c r="D10839" s="1" t="n">
        <v>45973</v>
      </c>
      <c r="E10839" s="1" t="n">
        <v>46307</v>
      </c>
      <c r="F10839" t="inlineStr">
        <is>
          <t>VÄRMLANDS LÄN</t>
        </is>
      </c>
      <c r="G10839" t="inlineStr">
        <is>
          <t>GRUMS</t>
        </is>
      </c>
      <c r="I10839" t="n">
        <v>8.1</v>
      </c>
      <c r="J10839" t="n">
        <v>0</v>
      </c>
      <c r="K10839" t="n">
        <v>0</v>
      </c>
      <c r="L10839" t="n">
        <v>0</v>
      </c>
      <c r="M10839" t="n">
        <v>0</v>
      </c>
      <c r="N10839" t="n">
        <v>0</v>
      </c>
      <c r="O10839" t="n">
        <v>0</v>
      </c>
      <c r="P10839" t="n">
        <v>0</v>
      </c>
      <c r="Q10839" t="n">
        <v>0</v>
      </c>
      <c r="R10839" t="n">
        <v>0</v>
      </c>
      <c r="S10839" t="n">
        <v>0</v>
      </c>
      <c r="T10839" t="n">
        <v>0</v>
      </c>
      <c r="U10839" t="n">
        <v>0</v>
      </c>
      <c r="V10839" s="2" t="inlineStr"/>
    </row>
    <row r="10840" ht="15" customHeight="1">
      <c r="A10840" t="inlineStr">
        <is>
          <t>S 3429-2025</t>
        </is>
      </c>
      <c r="B10840" t="inlineStr">
        <is>
          <t>samrådsanmälan</t>
        </is>
      </c>
      <c r="C10840" t="inlineStr">
        <is>
          <t>Annan skogsbruksåtgärd</t>
        </is>
      </c>
      <c r="D10840" s="1" t="n">
        <v>45995</v>
      </c>
      <c r="E10840" s="1" t="n">
        <v>46307</v>
      </c>
      <c r="F10840" t="inlineStr">
        <is>
          <t>VÄRMLANDS LÄN</t>
        </is>
      </c>
      <c r="G10840" t="inlineStr">
        <is>
          <t>FILIPSTAD</t>
        </is>
      </c>
      <c r="H10840" t="inlineStr">
        <is>
          <t>Bergvik skog väst AB</t>
        </is>
      </c>
      <c r="I10840" t="n">
        <v>12.1</v>
      </c>
      <c r="J10840" t="n">
        <v>0</v>
      </c>
      <c r="K10840" t="n">
        <v>0</v>
      </c>
      <c r="L10840" t="n">
        <v>0</v>
      </c>
      <c r="M10840" t="n">
        <v>0</v>
      </c>
      <c r="N10840" t="n">
        <v>0</v>
      </c>
      <c r="O10840" t="n">
        <v>0</v>
      </c>
      <c r="P10840" t="n">
        <v>0</v>
      </c>
      <c r="Q10840" t="n">
        <v>0</v>
      </c>
      <c r="R10840" t="n">
        <v>0</v>
      </c>
      <c r="S10840" t="n">
        <v>0</v>
      </c>
      <c r="T10840" t="n">
        <v>0</v>
      </c>
      <c r="U10840" t="n">
        <v>0</v>
      </c>
      <c r="V10840" s="2" t="inlineStr"/>
    </row>
    <row r="10841" ht="15" customHeight="1">
      <c r="A10841" t="inlineStr">
        <is>
          <t>S 90-2026</t>
        </is>
      </c>
      <c r="B10841" t="inlineStr">
        <is>
          <t>samrådsanmälan</t>
        </is>
      </c>
      <c r="C10841" t="inlineStr">
        <is>
          <t>Skogsgödsling</t>
        </is>
      </c>
      <c r="D10841" s="1" t="n">
        <v>46035</v>
      </c>
      <c r="E10841" s="1" t="n">
        <v>46307</v>
      </c>
      <c r="F10841" t="inlineStr">
        <is>
          <t>VÄRMLANDS LÄN</t>
        </is>
      </c>
      <c r="G10841" t="inlineStr">
        <is>
          <t>ÅRJÄNG</t>
        </is>
      </c>
      <c r="H10841" t="inlineStr">
        <is>
          <t>Bergvik skog väst AB</t>
        </is>
      </c>
      <c r="I10841" t="n">
        <v>9.1</v>
      </c>
      <c r="J10841" t="n">
        <v>0</v>
      </c>
      <c r="K10841" t="n">
        <v>0</v>
      </c>
      <c r="L10841" t="n">
        <v>0</v>
      </c>
      <c r="M10841" t="n">
        <v>0</v>
      </c>
      <c r="N10841" t="n">
        <v>0</v>
      </c>
      <c r="O10841" t="n">
        <v>0</v>
      </c>
      <c r="P10841" t="n">
        <v>0</v>
      </c>
      <c r="Q10841" t="n">
        <v>0</v>
      </c>
      <c r="R10841" t="n">
        <v>0</v>
      </c>
      <c r="S10841" t="n">
        <v>0</v>
      </c>
      <c r="T10841" t="n">
        <v>0</v>
      </c>
      <c r="U10841" t="n">
        <v>0</v>
      </c>
      <c r="V10841" s="2" t="inlineStr"/>
    </row>
    <row r="10842" ht="15" customHeight="1">
      <c r="A10842" t="inlineStr">
        <is>
          <t>S 114-2026</t>
        </is>
      </c>
      <c r="B10842" t="inlineStr">
        <is>
          <t>samrådsanmälan</t>
        </is>
      </c>
      <c r="C10842" t="inlineStr">
        <is>
          <t>Skogsgödsling</t>
        </is>
      </c>
      <c r="D10842" s="1" t="n">
        <v>46037</v>
      </c>
      <c r="E10842" s="1" t="n">
        <v>46307</v>
      </c>
      <c r="F10842" t="inlineStr">
        <is>
          <t>VÄRMLANDS LÄN</t>
        </is>
      </c>
      <c r="G10842" t="inlineStr">
        <is>
          <t>KIL</t>
        </is>
      </c>
      <c r="H10842" t="inlineStr">
        <is>
          <t>Bergvik skog väst AB</t>
        </is>
      </c>
      <c r="I10842" t="n">
        <v>20.8</v>
      </c>
      <c r="J10842" t="n">
        <v>0</v>
      </c>
      <c r="K10842" t="n">
        <v>0</v>
      </c>
      <c r="L10842" t="n">
        <v>0</v>
      </c>
      <c r="M10842" t="n">
        <v>0</v>
      </c>
      <c r="N10842" t="n">
        <v>0</v>
      </c>
      <c r="O10842" t="n">
        <v>0</v>
      </c>
      <c r="P10842" t="n">
        <v>0</v>
      </c>
      <c r="Q10842" t="n">
        <v>0</v>
      </c>
      <c r="R10842" t="n">
        <v>0</v>
      </c>
      <c r="S10842" t="n">
        <v>0</v>
      </c>
      <c r="T10842" t="n">
        <v>0</v>
      </c>
      <c r="U10842" t="n">
        <v>0</v>
      </c>
      <c r="V10842" s="2" t="inlineStr"/>
    </row>
    <row r="10843" ht="15" customHeight="1">
      <c r="A10843" t="inlineStr">
        <is>
          <t>S 62-2026</t>
        </is>
      </c>
      <c r="B10843" t="inlineStr">
        <is>
          <t>samrådsanmälan</t>
        </is>
      </c>
      <c r="C10843" t="inlineStr">
        <is>
          <t>Skogsgödsling</t>
        </is>
      </c>
      <c r="D10843" s="1" t="n">
        <v>46013</v>
      </c>
      <c r="E10843" s="1" t="n">
        <v>46307</v>
      </c>
      <c r="F10843" t="inlineStr">
        <is>
          <t>VÄRMLANDS LÄN</t>
        </is>
      </c>
      <c r="G10843" t="inlineStr">
        <is>
          <t>TORSBY</t>
        </is>
      </c>
      <c r="H10843" t="inlineStr">
        <is>
          <t>Bergvik skog väst AB</t>
        </is>
      </c>
      <c r="I10843" t="n">
        <v>224.4</v>
      </c>
      <c r="J10843" t="n">
        <v>0</v>
      </c>
      <c r="K10843" t="n">
        <v>0</v>
      </c>
      <c r="L10843" t="n">
        <v>0</v>
      </c>
      <c r="M10843" t="n">
        <v>0</v>
      </c>
      <c r="N10843" t="n">
        <v>0</v>
      </c>
      <c r="O10843" t="n">
        <v>0</v>
      </c>
      <c r="P10843" t="n">
        <v>0</v>
      </c>
      <c r="Q10843" t="n">
        <v>0</v>
      </c>
      <c r="R10843" t="n">
        <v>0</v>
      </c>
      <c r="S10843" t="n">
        <v>0</v>
      </c>
      <c r="T10843" t="n">
        <v>0</v>
      </c>
      <c r="U10843" t="n">
        <v>0</v>
      </c>
      <c r="V10843" s="2" t="inlineStr"/>
    </row>
    <row r="10844" ht="15" customHeight="1">
      <c r="A10844" t="inlineStr">
        <is>
          <t>S 108-2026</t>
        </is>
      </c>
      <c r="B10844" t="inlineStr">
        <is>
          <t>samrådsanmälan</t>
        </is>
      </c>
      <c r="C10844" t="inlineStr">
        <is>
          <t>Skogsgödsling</t>
        </is>
      </c>
      <c r="D10844" s="1" t="n">
        <v>46037</v>
      </c>
      <c r="E10844" s="1" t="n">
        <v>46307</v>
      </c>
      <c r="F10844" t="inlineStr">
        <is>
          <t>VÄRMLANDS LÄN</t>
        </is>
      </c>
      <c r="G10844" t="inlineStr">
        <is>
          <t>HAGFORS</t>
        </is>
      </c>
      <c r="H10844" t="inlineStr">
        <is>
          <t>Bergvik skog väst AB</t>
        </is>
      </c>
      <c r="I10844" t="n">
        <v>204.4</v>
      </c>
      <c r="J10844" t="n">
        <v>0</v>
      </c>
      <c r="K10844" t="n">
        <v>0</v>
      </c>
      <c r="L10844" t="n">
        <v>0</v>
      </c>
      <c r="M10844" t="n">
        <v>0</v>
      </c>
      <c r="N10844" t="n">
        <v>0</v>
      </c>
      <c r="O10844" t="n">
        <v>0</v>
      </c>
      <c r="P10844" t="n">
        <v>0</v>
      </c>
      <c r="Q10844" t="n">
        <v>0</v>
      </c>
      <c r="R10844" t="n">
        <v>0</v>
      </c>
      <c r="S10844" t="n">
        <v>0</v>
      </c>
      <c r="T10844" t="n">
        <v>0</v>
      </c>
      <c r="U10844" t="n">
        <v>0</v>
      </c>
      <c r="V10844" s="2" t="inlineStr"/>
    </row>
    <row r="10845" ht="15" customHeight="1">
      <c r="A10845" t="inlineStr">
        <is>
          <t>S 87-2026</t>
        </is>
      </c>
      <c r="B10845" t="inlineStr">
        <is>
          <t>samrådsanmälan</t>
        </is>
      </c>
      <c r="C10845" t="inlineStr">
        <is>
          <t>Skogsgödsling</t>
        </is>
      </c>
      <c r="D10845" s="1" t="n">
        <v>46035</v>
      </c>
      <c r="E10845" s="1" t="n">
        <v>46307</v>
      </c>
      <c r="F10845" t="inlineStr">
        <is>
          <t>VÄRMLANDS LÄN</t>
        </is>
      </c>
      <c r="G10845" t="inlineStr">
        <is>
          <t>EDA</t>
        </is>
      </c>
      <c r="H10845" t="inlineStr">
        <is>
          <t>Bergvik skog väst AB</t>
        </is>
      </c>
      <c r="I10845" t="n">
        <v>32.7</v>
      </c>
      <c r="J10845" t="n">
        <v>0</v>
      </c>
      <c r="K10845" t="n">
        <v>0</v>
      </c>
      <c r="L10845" t="n">
        <v>0</v>
      </c>
      <c r="M10845" t="n">
        <v>0</v>
      </c>
      <c r="N10845" t="n">
        <v>0</v>
      </c>
      <c r="O10845" t="n">
        <v>0</v>
      </c>
      <c r="P10845" t="n">
        <v>0</v>
      </c>
      <c r="Q10845" t="n">
        <v>0</v>
      </c>
      <c r="R10845" t="n">
        <v>0</v>
      </c>
      <c r="S10845" t="n">
        <v>0</v>
      </c>
      <c r="T10845" t="n">
        <v>0</v>
      </c>
      <c r="U10845" t="n">
        <v>0</v>
      </c>
      <c r="V10845" s="2" t="inlineStr"/>
    </row>
    <row r="10846" ht="15" customHeight="1">
      <c r="A10846" t="inlineStr">
        <is>
          <t>S 89-2026</t>
        </is>
      </c>
      <c r="B10846" t="inlineStr">
        <is>
          <t>samrådsanmälan</t>
        </is>
      </c>
      <c r="C10846" t="inlineStr">
        <is>
          <t>Skogsgödsling</t>
        </is>
      </c>
      <c r="D10846" s="1" t="n">
        <v>46035</v>
      </c>
      <c r="E10846" s="1" t="n">
        <v>46307</v>
      </c>
      <c r="F10846" t="inlineStr">
        <is>
          <t>VÄRMLANDS LÄN</t>
        </is>
      </c>
      <c r="G10846" t="inlineStr">
        <is>
          <t>SÄFFLE</t>
        </is>
      </c>
      <c r="H10846" t="inlineStr">
        <is>
          <t>Bergvik skog väst AB</t>
        </is>
      </c>
      <c r="I10846" t="n">
        <v>40.8</v>
      </c>
      <c r="J10846" t="n">
        <v>0</v>
      </c>
      <c r="K10846" t="n">
        <v>0</v>
      </c>
      <c r="L10846" t="n">
        <v>0</v>
      </c>
      <c r="M10846" t="n">
        <v>0</v>
      </c>
      <c r="N10846" t="n">
        <v>0</v>
      </c>
      <c r="O10846" t="n">
        <v>0</v>
      </c>
      <c r="P10846" t="n">
        <v>0</v>
      </c>
      <c r="Q10846" t="n">
        <v>0</v>
      </c>
      <c r="R10846" t="n">
        <v>0</v>
      </c>
      <c r="S10846" t="n">
        <v>0</v>
      </c>
      <c r="T10846" t="n">
        <v>0</v>
      </c>
      <c r="U10846" t="n">
        <v>0</v>
      </c>
      <c r="V10846" s="2" t="inlineStr"/>
    </row>
    <row r="10847" ht="15" customHeight="1">
      <c r="A10847" t="inlineStr">
        <is>
          <t>S 116-2026</t>
        </is>
      </c>
      <c r="B10847" t="inlineStr">
        <is>
          <t>samrådsanmälan</t>
        </is>
      </c>
      <c r="C10847" t="inlineStr">
        <is>
          <t>Skogsgödsling</t>
        </is>
      </c>
      <c r="D10847" s="1" t="n">
        <v>46037</v>
      </c>
      <c r="E10847" s="1" t="n">
        <v>46307</v>
      </c>
      <c r="F10847" t="inlineStr">
        <is>
          <t>VÄRMLANDS LÄN</t>
        </is>
      </c>
      <c r="G10847" t="inlineStr">
        <is>
          <t>TORSBY</t>
        </is>
      </c>
      <c r="H10847" t="inlineStr">
        <is>
          <t>Bergvik skog väst AB</t>
        </is>
      </c>
      <c r="I10847" t="n">
        <v>13.6</v>
      </c>
      <c r="J10847" t="n">
        <v>0</v>
      </c>
      <c r="K10847" t="n">
        <v>0</v>
      </c>
      <c r="L10847" t="n">
        <v>0</v>
      </c>
      <c r="M10847" t="n">
        <v>0</v>
      </c>
      <c r="N10847" t="n">
        <v>0</v>
      </c>
      <c r="O10847" t="n">
        <v>0</v>
      </c>
      <c r="P10847" t="n">
        <v>0</v>
      </c>
      <c r="Q10847" t="n">
        <v>0</v>
      </c>
      <c r="R10847" t="n">
        <v>0</v>
      </c>
      <c r="S10847" t="n">
        <v>0</v>
      </c>
      <c r="T10847" t="n">
        <v>0</v>
      </c>
      <c r="U10847" t="n">
        <v>0</v>
      </c>
      <c r="V10847" s="2" t="inlineStr"/>
    </row>
    <row r="10848" ht="15" customHeight="1">
      <c r="A10848" t="inlineStr">
        <is>
          <t>S 88-2026</t>
        </is>
      </c>
      <c r="B10848" t="inlineStr">
        <is>
          <t>samrådsanmälan</t>
        </is>
      </c>
      <c r="C10848" t="inlineStr">
        <is>
          <t>Skogsgödsling</t>
        </is>
      </c>
      <c r="D10848" s="1" t="n">
        <v>46035</v>
      </c>
      <c r="E10848" s="1" t="n">
        <v>46307</v>
      </c>
      <c r="F10848" t="inlineStr">
        <is>
          <t>VÄRMLANDS LÄN</t>
        </is>
      </c>
      <c r="G10848" t="inlineStr">
        <is>
          <t>GRUMS</t>
        </is>
      </c>
      <c r="H10848" t="inlineStr">
        <is>
          <t>Bergvik skog väst AB</t>
        </is>
      </c>
      <c r="I10848" t="n">
        <v>1.8</v>
      </c>
      <c r="J10848" t="n">
        <v>0</v>
      </c>
      <c r="K10848" t="n">
        <v>0</v>
      </c>
      <c r="L10848" t="n">
        <v>0</v>
      </c>
      <c r="M10848" t="n">
        <v>0</v>
      </c>
      <c r="N10848" t="n">
        <v>0</v>
      </c>
      <c r="O10848" t="n">
        <v>0</v>
      </c>
      <c r="P10848" t="n">
        <v>0</v>
      </c>
      <c r="Q10848" t="n">
        <v>0</v>
      </c>
      <c r="R10848" t="n">
        <v>0</v>
      </c>
      <c r="S10848" t="n">
        <v>0</v>
      </c>
      <c r="T10848" t="n">
        <v>0</v>
      </c>
      <c r="U10848" t="n">
        <v>0</v>
      </c>
      <c r="V10848" s="2" t="inlineStr"/>
    </row>
    <row r="10849" ht="15" customHeight="1">
      <c r="A10849" t="inlineStr">
        <is>
          <t>S 121-2026</t>
        </is>
      </c>
      <c r="B10849" t="inlineStr">
        <is>
          <t>samrådsanmälan</t>
        </is>
      </c>
      <c r="C10849" t="inlineStr">
        <is>
          <t>Annan skogsbruksåtgärd</t>
        </is>
      </c>
      <c r="D10849" s="1" t="n">
        <v>46040</v>
      </c>
      <c r="E10849" s="1" t="n">
        <v>46307</v>
      </c>
      <c r="F10849" t="inlineStr">
        <is>
          <t>VÄRMLANDS LÄN</t>
        </is>
      </c>
      <c r="G10849" t="inlineStr">
        <is>
          <t>KRISTINEHAMN</t>
        </is>
      </c>
      <c r="I10849" t="n">
        <v>0</v>
      </c>
      <c r="J10849" t="n">
        <v>0</v>
      </c>
      <c r="K10849" t="n">
        <v>0</v>
      </c>
      <c r="L10849" t="n">
        <v>0</v>
      </c>
      <c r="M10849" t="n">
        <v>0</v>
      </c>
      <c r="N10849" t="n">
        <v>0</v>
      </c>
      <c r="O10849" t="n">
        <v>0</v>
      </c>
      <c r="P10849" t="n">
        <v>0</v>
      </c>
      <c r="Q10849" t="n">
        <v>0</v>
      </c>
      <c r="R10849" t="n">
        <v>0</v>
      </c>
      <c r="S10849" t="n">
        <v>0</v>
      </c>
      <c r="T10849" t="n">
        <v>0</v>
      </c>
      <c r="U10849" t="n">
        <v>0</v>
      </c>
      <c r="V10849" s="2" t="inlineStr"/>
    </row>
    <row r="10850" ht="15" customHeight="1">
      <c r="A10850" t="inlineStr">
        <is>
          <t>S 102-2026</t>
        </is>
      </c>
      <c r="B10850" t="inlineStr">
        <is>
          <t>samrådsanmälan</t>
        </is>
      </c>
      <c r="C10850" t="inlineStr">
        <is>
          <t>Skogsgödsling</t>
        </is>
      </c>
      <c r="D10850" s="1" t="n">
        <v>46036</v>
      </c>
      <c r="E10850" s="1" t="n">
        <v>46307</v>
      </c>
      <c r="F10850" t="inlineStr">
        <is>
          <t>VÄRMLANDS LÄN</t>
        </is>
      </c>
      <c r="G10850" t="inlineStr">
        <is>
          <t>HAGFORS</t>
        </is>
      </c>
      <c r="H10850" t="inlineStr">
        <is>
          <t>Bergvik skog väst AB</t>
        </is>
      </c>
      <c r="I10850" t="n">
        <v>57.9</v>
      </c>
      <c r="J10850" t="n">
        <v>0</v>
      </c>
      <c r="K10850" t="n">
        <v>0</v>
      </c>
      <c r="L10850" t="n">
        <v>0</v>
      </c>
      <c r="M10850" t="n">
        <v>0</v>
      </c>
      <c r="N10850" t="n">
        <v>0</v>
      </c>
      <c r="O10850" t="n">
        <v>0</v>
      </c>
      <c r="P10850" t="n">
        <v>0</v>
      </c>
      <c r="Q10850" t="n">
        <v>0</v>
      </c>
      <c r="R10850" t="n">
        <v>0</v>
      </c>
      <c r="S10850" t="n">
        <v>0</v>
      </c>
      <c r="T10850" t="n">
        <v>0</v>
      </c>
      <c r="U10850" t="n">
        <v>0</v>
      </c>
      <c r="V10850" s="2" t="inlineStr"/>
    </row>
    <row r="10851" ht="15" customHeight="1">
      <c r="A10851" t="inlineStr">
        <is>
          <t>S 60-2026</t>
        </is>
      </c>
      <c r="B10851" t="inlineStr">
        <is>
          <t>samrådsanmälan</t>
        </is>
      </c>
      <c r="C10851" t="inlineStr">
        <is>
          <t>Skogsgödsling</t>
        </is>
      </c>
      <c r="D10851" s="1" t="n">
        <v>46013</v>
      </c>
      <c r="E10851" s="1" t="n">
        <v>46307</v>
      </c>
      <c r="F10851" t="inlineStr">
        <is>
          <t>VÄRMLANDS LÄN</t>
        </is>
      </c>
      <c r="G10851" t="inlineStr">
        <is>
          <t>HAGFORS</t>
        </is>
      </c>
      <c r="H10851" t="inlineStr">
        <is>
          <t>Bergvik skog väst AB</t>
        </is>
      </c>
      <c r="I10851" t="n">
        <v>10.6</v>
      </c>
      <c r="J10851" t="n">
        <v>0</v>
      </c>
      <c r="K10851" t="n">
        <v>0</v>
      </c>
      <c r="L10851" t="n">
        <v>0</v>
      </c>
      <c r="M10851" t="n">
        <v>0</v>
      </c>
      <c r="N10851" t="n">
        <v>0</v>
      </c>
      <c r="O10851" t="n">
        <v>0</v>
      </c>
      <c r="P10851" t="n">
        <v>0</v>
      </c>
      <c r="Q10851" t="n">
        <v>0</v>
      </c>
      <c r="R10851" t="n">
        <v>0</v>
      </c>
      <c r="S10851" t="n">
        <v>0</v>
      </c>
      <c r="T10851" t="n">
        <v>0</v>
      </c>
      <c r="U10851" t="n">
        <v>0</v>
      </c>
      <c r="V10851" s="2" t="inlineStr"/>
    </row>
    <row r="10852" ht="15" customHeight="1">
      <c r="A10852" t="inlineStr">
        <is>
          <t>S 98-2026</t>
        </is>
      </c>
      <c r="B10852" t="inlineStr">
        <is>
          <t>samrådsanmälan</t>
        </is>
      </c>
      <c r="C10852" t="inlineStr">
        <is>
          <t>Skogsgödsling</t>
        </is>
      </c>
      <c r="D10852" s="1" t="n">
        <v>46036</v>
      </c>
      <c r="E10852" s="1" t="n">
        <v>46307</v>
      </c>
      <c r="F10852" t="inlineStr">
        <is>
          <t>VÄRMLANDS LÄN</t>
        </is>
      </c>
      <c r="G10852" t="inlineStr">
        <is>
          <t>STORFORS</t>
        </is>
      </c>
      <c r="H10852" t="inlineStr">
        <is>
          <t>Bergvik skog väst AB</t>
        </is>
      </c>
      <c r="I10852" t="n">
        <v>72.5</v>
      </c>
      <c r="J10852" t="n">
        <v>0</v>
      </c>
      <c r="K10852" t="n">
        <v>0</v>
      </c>
      <c r="L10852" t="n">
        <v>0</v>
      </c>
      <c r="M10852" t="n">
        <v>0</v>
      </c>
      <c r="N10852" t="n">
        <v>0</v>
      </c>
      <c r="O10852" t="n">
        <v>0</v>
      </c>
      <c r="P10852" t="n">
        <v>0</v>
      </c>
      <c r="Q10852" t="n">
        <v>0</v>
      </c>
      <c r="R10852" t="n">
        <v>0</v>
      </c>
      <c r="S10852" t="n">
        <v>0</v>
      </c>
      <c r="T10852" t="n">
        <v>0</v>
      </c>
      <c r="U10852" t="n">
        <v>0</v>
      </c>
      <c r="V10852" s="2" t="inlineStr"/>
    </row>
    <row r="10853" ht="15" customHeight="1">
      <c r="A10853" t="inlineStr">
        <is>
          <t>S 496-2026</t>
        </is>
      </c>
      <c r="B10853" t="inlineStr">
        <is>
          <t>samrådsanmälan</t>
        </is>
      </c>
      <c r="C10853" t="inlineStr">
        <is>
          <t>Skogsgödsling</t>
        </is>
      </c>
      <c r="D10853" s="1" t="n">
        <v>46073</v>
      </c>
      <c r="E10853" s="1" t="n">
        <v>46307</v>
      </c>
      <c r="F10853" t="inlineStr">
        <is>
          <t>VÄRMLANDS LÄN</t>
        </is>
      </c>
      <c r="G10853" t="inlineStr">
        <is>
          <t>TORSBY</t>
        </is>
      </c>
      <c r="H10853" t="inlineStr">
        <is>
          <t>Övriga Aktiebolag</t>
        </is>
      </c>
      <c r="I10853" t="n">
        <v>131.1</v>
      </c>
      <c r="J10853" t="n">
        <v>0</v>
      </c>
      <c r="K10853" t="n">
        <v>0</v>
      </c>
      <c r="L10853" t="n">
        <v>0</v>
      </c>
      <c r="M10853" t="n">
        <v>0</v>
      </c>
      <c r="N10853" t="n">
        <v>0</v>
      </c>
      <c r="O10853" t="n">
        <v>0</v>
      </c>
      <c r="P10853" t="n">
        <v>0</v>
      </c>
      <c r="Q10853" t="n">
        <v>0</v>
      </c>
      <c r="R10853" t="n">
        <v>0</v>
      </c>
      <c r="S10853" t="n">
        <v>0</v>
      </c>
      <c r="T10853" t="n">
        <v>0</v>
      </c>
      <c r="U10853" t="n">
        <v>0</v>
      </c>
      <c r="V10853" s="2" t="inlineStr"/>
    </row>
    <row r="10854" ht="15" customHeight="1">
      <c r="A10854" t="inlineStr">
        <is>
          <t>S 4895-2024</t>
        </is>
      </c>
      <c r="B10854" t="inlineStr">
        <is>
          <t>samrådsanmälan</t>
        </is>
      </c>
      <c r="C10854" t="inlineStr">
        <is>
          <t>Åtgärd i nyckelbiotop</t>
        </is>
      </c>
      <c r="D10854" s="1" t="n">
        <v>45622</v>
      </c>
      <c r="E10854" s="1" t="n">
        <v>46307</v>
      </c>
      <c r="F10854" t="inlineStr">
        <is>
          <t>VÄRMLANDS LÄN</t>
        </is>
      </c>
      <c r="G10854" t="inlineStr">
        <is>
          <t>ARVIKA</t>
        </is>
      </c>
      <c r="I10854" t="n">
        <v>1.8</v>
      </c>
      <c r="J10854" t="n">
        <v>0</v>
      </c>
      <c r="K10854" t="n">
        <v>0</v>
      </c>
      <c r="L10854" t="n">
        <v>0</v>
      </c>
      <c r="M10854" t="n">
        <v>0</v>
      </c>
      <c r="N10854" t="n">
        <v>0</v>
      </c>
      <c r="O10854" t="n">
        <v>0</v>
      </c>
      <c r="P10854" t="n">
        <v>0</v>
      </c>
      <c r="Q10854" t="n">
        <v>0</v>
      </c>
      <c r="R10854" t="n">
        <v>0</v>
      </c>
      <c r="S10854" t="n">
        <v>0</v>
      </c>
      <c r="T10854" t="n">
        <v>0</v>
      </c>
      <c r="U10854" t="n">
        <v>0</v>
      </c>
      <c r="V10854" s="2" t="inlineStr"/>
    </row>
    <row r="10855" ht="15" customHeight="1">
      <c r="A10855" t="inlineStr">
        <is>
          <t>S 786-2026</t>
        </is>
      </c>
      <c r="B10855" t="inlineStr">
        <is>
          <t>samrådsanmälan</t>
        </is>
      </c>
      <c r="C10855" t="inlineStr">
        <is>
          <t>Skogsgödsling</t>
        </is>
      </c>
      <c r="D10855" s="1" t="n">
        <v>46099</v>
      </c>
      <c r="E10855" s="1" t="n">
        <v>46307</v>
      </c>
      <c r="F10855" t="inlineStr">
        <is>
          <t>VÄRMLANDS LÄN</t>
        </is>
      </c>
      <c r="G10855" t="inlineStr">
        <is>
          <t>TORSBY</t>
        </is>
      </c>
      <c r="I10855" t="n">
        <v>23.1</v>
      </c>
      <c r="J10855" t="n">
        <v>0</v>
      </c>
      <c r="K10855" t="n">
        <v>0</v>
      </c>
      <c r="L10855" t="n">
        <v>0</v>
      </c>
      <c r="M10855" t="n">
        <v>0</v>
      </c>
      <c r="N10855" t="n">
        <v>0</v>
      </c>
      <c r="O10855" t="n">
        <v>0</v>
      </c>
      <c r="P10855" t="n">
        <v>0</v>
      </c>
      <c r="Q10855" t="n">
        <v>0</v>
      </c>
      <c r="R10855" t="n">
        <v>0</v>
      </c>
      <c r="S10855" t="n">
        <v>0</v>
      </c>
      <c r="T10855" t="n">
        <v>0</v>
      </c>
      <c r="U10855" t="n">
        <v>0</v>
      </c>
      <c r="V10855" s="2" t="inlineStr"/>
    </row>
    <row r="10856" ht="15" customHeight="1">
      <c r="A10856" t="inlineStr">
        <is>
          <t>S 788-2026</t>
        </is>
      </c>
      <c r="B10856" t="inlineStr">
        <is>
          <t>samrådsanmälan</t>
        </is>
      </c>
      <c r="C10856" t="inlineStr">
        <is>
          <t>Skogsgödsling</t>
        </is>
      </c>
      <c r="D10856" s="1" t="n">
        <v>46099</v>
      </c>
      <c r="E10856" s="1" t="n">
        <v>46307</v>
      </c>
      <c r="F10856" t="inlineStr">
        <is>
          <t>VÄRMLANDS LÄN</t>
        </is>
      </c>
      <c r="G10856" t="inlineStr">
        <is>
          <t>TORSBY</t>
        </is>
      </c>
      <c r="I10856" t="n">
        <v>33.6</v>
      </c>
      <c r="J10856" t="n">
        <v>0</v>
      </c>
      <c r="K10856" t="n">
        <v>0</v>
      </c>
      <c r="L10856" t="n">
        <v>0</v>
      </c>
      <c r="M10856" t="n">
        <v>0</v>
      </c>
      <c r="N10856" t="n">
        <v>0</v>
      </c>
      <c r="O10856" t="n">
        <v>0</v>
      </c>
      <c r="P10856" t="n">
        <v>0</v>
      </c>
      <c r="Q10856" t="n">
        <v>0</v>
      </c>
      <c r="R10856" t="n">
        <v>0</v>
      </c>
      <c r="S10856" t="n">
        <v>0</v>
      </c>
      <c r="T10856" t="n">
        <v>0</v>
      </c>
      <c r="U10856" t="n">
        <v>0</v>
      </c>
      <c r="V10856" s="2" t="inlineStr"/>
    </row>
    <row r="10857" ht="15" customHeight="1">
      <c r="A10857" t="inlineStr">
        <is>
          <t>S 787-2026</t>
        </is>
      </c>
      <c r="B10857" t="inlineStr">
        <is>
          <t>samrådsanmälan</t>
        </is>
      </c>
      <c r="C10857" t="inlineStr">
        <is>
          <t>Skogsgödsling</t>
        </is>
      </c>
      <c r="D10857" s="1" t="n">
        <v>46099</v>
      </c>
      <c r="E10857" s="1" t="n">
        <v>46307</v>
      </c>
      <c r="F10857" t="inlineStr">
        <is>
          <t>VÄRMLANDS LÄN</t>
        </is>
      </c>
      <c r="G10857" t="inlineStr">
        <is>
          <t>TORSBY</t>
        </is>
      </c>
      <c r="I10857" t="n">
        <v>32.7</v>
      </c>
      <c r="J10857" t="n">
        <v>0</v>
      </c>
      <c r="K10857" t="n">
        <v>0</v>
      </c>
      <c r="L10857" t="n">
        <v>0</v>
      </c>
      <c r="M10857" t="n">
        <v>0</v>
      </c>
      <c r="N10857" t="n">
        <v>0</v>
      </c>
      <c r="O10857" t="n">
        <v>0</v>
      </c>
      <c r="P10857" t="n">
        <v>0</v>
      </c>
      <c r="Q10857" t="n">
        <v>0</v>
      </c>
      <c r="R10857" t="n">
        <v>0</v>
      </c>
      <c r="S10857" t="n">
        <v>0</v>
      </c>
      <c r="T10857" t="n">
        <v>0</v>
      </c>
      <c r="U10857" t="n">
        <v>0</v>
      </c>
      <c r="V10857" s="2" t="inlineStr"/>
    </row>
    <row r="10858" ht="15" customHeight="1">
      <c r="A10858" t="inlineStr">
        <is>
          <t>S 832-2026</t>
        </is>
      </c>
      <c r="B10858" t="inlineStr">
        <is>
          <t>samrådsanmälan</t>
        </is>
      </c>
      <c r="C10858" t="inlineStr">
        <is>
          <t>Skogsgödsling</t>
        </is>
      </c>
      <c r="D10858" s="1" t="n">
        <v>46104</v>
      </c>
      <c r="E10858" s="1" t="n">
        <v>46307</v>
      </c>
      <c r="F10858" t="inlineStr">
        <is>
          <t>VÄRMLANDS LÄN</t>
        </is>
      </c>
      <c r="G10858" t="inlineStr">
        <is>
          <t>TORSBY</t>
        </is>
      </c>
      <c r="I10858" t="n">
        <v>100</v>
      </c>
      <c r="J10858" t="n">
        <v>0</v>
      </c>
      <c r="K10858" t="n">
        <v>0</v>
      </c>
      <c r="L10858" t="n">
        <v>0</v>
      </c>
      <c r="M10858" t="n">
        <v>0</v>
      </c>
      <c r="N10858" t="n">
        <v>0</v>
      </c>
      <c r="O10858" t="n">
        <v>0</v>
      </c>
      <c r="P10858" t="n">
        <v>0</v>
      </c>
      <c r="Q10858" t="n">
        <v>0</v>
      </c>
      <c r="R10858" t="n">
        <v>0</v>
      </c>
      <c r="S10858" t="n">
        <v>0</v>
      </c>
      <c r="T10858" t="n">
        <v>0</v>
      </c>
      <c r="U10858" t="n">
        <v>0</v>
      </c>
      <c r="V10858" s="2" t="inlineStr"/>
    </row>
    <row r="10859" ht="15" customHeight="1">
      <c r="A10859" t="inlineStr">
        <is>
          <t>S 865-2026</t>
        </is>
      </c>
      <c r="B10859" t="inlineStr">
        <is>
          <t>samrådsanmälan</t>
        </is>
      </c>
      <c r="C10859" t="inlineStr">
        <is>
          <t>Annan skogsbruksåtgärd</t>
        </is>
      </c>
      <c r="D10859" s="1" t="n">
        <v>46106</v>
      </c>
      <c r="E10859" s="1" t="n">
        <v>46307</v>
      </c>
      <c r="F10859" t="inlineStr">
        <is>
          <t>VÄRMLANDS LÄN</t>
        </is>
      </c>
      <c r="G10859" t="inlineStr">
        <is>
          <t>KRISTINEHAMN</t>
        </is>
      </c>
      <c r="H10859" t="inlineStr">
        <is>
          <t>Sveaskog</t>
        </is>
      </c>
      <c r="I10859" t="n">
        <v>4.6</v>
      </c>
      <c r="J10859" t="n">
        <v>0</v>
      </c>
      <c r="K10859" t="n">
        <v>0</v>
      </c>
      <c r="L10859" t="n">
        <v>0</v>
      </c>
      <c r="M10859" t="n">
        <v>0</v>
      </c>
      <c r="N10859" t="n">
        <v>0</v>
      </c>
      <c r="O10859" t="n">
        <v>0</v>
      </c>
      <c r="P10859" t="n">
        <v>0</v>
      </c>
      <c r="Q10859" t="n">
        <v>0</v>
      </c>
      <c r="R10859" t="n">
        <v>0</v>
      </c>
      <c r="S10859" t="n">
        <v>0</v>
      </c>
      <c r="T10859" t="n">
        <v>0</v>
      </c>
      <c r="U10859" t="n">
        <v>0</v>
      </c>
      <c r="V10859" s="2" t="inlineStr"/>
    </row>
    <row r="10860" ht="15" customHeight="1">
      <c r="A10860" t="inlineStr">
        <is>
          <t>S 1205-2026</t>
        </is>
      </c>
      <c r="B10860" t="inlineStr">
        <is>
          <t>samrådsanmälan</t>
        </is>
      </c>
      <c r="C10860" t="inlineStr">
        <is>
          <t>Annan skogsbruksåtgärd</t>
        </is>
      </c>
      <c r="D10860" s="1" t="n">
        <v>46140</v>
      </c>
      <c r="E10860" s="1" t="n">
        <v>46307</v>
      </c>
      <c r="F10860" t="inlineStr">
        <is>
          <t>VÄRMLANDS LÄN</t>
        </is>
      </c>
      <c r="G10860" t="inlineStr">
        <is>
          <t>ARVIKA</t>
        </is>
      </c>
      <c r="I10860" t="n">
        <v>0</v>
      </c>
      <c r="J10860" t="n">
        <v>0</v>
      </c>
      <c r="K10860" t="n">
        <v>0</v>
      </c>
      <c r="L10860" t="n">
        <v>0</v>
      </c>
      <c r="M10860" t="n">
        <v>0</v>
      </c>
      <c r="N10860" t="n">
        <v>0</v>
      </c>
      <c r="O10860" t="n">
        <v>0</v>
      </c>
      <c r="P10860" t="n">
        <v>0</v>
      </c>
      <c r="Q10860" t="n">
        <v>0</v>
      </c>
      <c r="R10860" t="n">
        <v>0</v>
      </c>
      <c r="S10860" t="n">
        <v>0</v>
      </c>
      <c r="T10860" t="n">
        <v>0</v>
      </c>
      <c r="U10860" t="n">
        <v>0</v>
      </c>
      <c r="V10860" s="2" t="inlineStr"/>
    </row>
    <row r="10861" ht="15" customHeight="1">
      <c r="A10861" t="inlineStr">
        <is>
          <t>S 99-2026</t>
        </is>
      </c>
      <c r="B10861" t="inlineStr">
        <is>
          <t>samrådsanmälan</t>
        </is>
      </c>
      <c r="C10861" t="inlineStr">
        <is>
          <t>Skogsgödsling</t>
        </is>
      </c>
      <c r="D10861" s="1" t="n">
        <v>46036</v>
      </c>
      <c r="E10861" s="1" t="n">
        <v>46307</v>
      </c>
      <c r="F10861" t="inlineStr">
        <is>
          <t>VÄRMLANDS LÄN</t>
        </is>
      </c>
      <c r="G10861" t="inlineStr">
        <is>
          <t>KRISTINEHAMN</t>
        </is>
      </c>
      <c r="H10861" t="inlineStr">
        <is>
          <t>Naturvårdsverket</t>
        </is>
      </c>
      <c r="I10861" t="n">
        <v>80.8</v>
      </c>
      <c r="J10861" t="n">
        <v>0</v>
      </c>
      <c r="K10861" t="n">
        <v>0</v>
      </c>
      <c r="L10861" t="n">
        <v>0</v>
      </c>
      <c r="M10861" t="n">
        <v>0</v>
      </c>
      <c r="N10861" t="n">
        <v>0</v>
      </c>
      <c r="O10861" t="n">
        <v>0</v>
      </c>
      <c r="P10861" t="n">
        <v>0</v>
      </c>
      <c r="Q10861" t="n">
        <v>0</v>
      </c>
      <c r="R10861" t="n">
        <v>0</v>
      </c>
      <c r="S10861" t="n">
        <v>0</v>
      </c>
      <c r="T10861" t="n">
        <v>0</v>
      </c>
      <c r="U10861" t="n">
        <v>0</v>
      </c>
      <c r="V10861" s="2" t="inlineStr"/>
    </row>
    <row r="10862" ht="15" customHeight="1">
      <c r="A10862" t="inlineStr">
        <is>
          <t>S 499-2026</t>
        </is>
      </c>
      <c r="B10862" t="inlineStr">
        <is>
          <t>samrådsanmälan</t>
        </is>
      </c>
      <c r="C10862" t="inlineStr">
        <is>
          <t>Skogsgödsling</t>
        </is>
      </c>
      <c r="D10862" s="1" t="n">
        <v>46073</v>
      </c>
      <c r="E10862" s="1" t="n">
        <v>46307</v>
      </c>
      <c r="F10862" t="inlineStr">
        <is>
          <t>VÄRMLANDS LÄN</t>
        </is>
      </c>
      <c r="G10862" t="inlineStr">
        <is>
          <t>TORSBY</t>
        </is>
      </c>
      <c r="I10862" t="n">
        <v>86.8</v>
      </c>
      <c r="J10862" t="n">
        <v>0</v>
      </c>
      <c r="K10862" t="n">
        <v>0</v>
      </c>
      <c r="L10862" t="n">
        <v>0</v>
      </c>
      <c r="M10862" t="n">
        <v>0</v>
      </c>
      <c r="N10862" t="n">
        <v>0</v>
      </c>
      <c r="O10862" t="n">
        <v>0</v>
      </c>
      <c r="P10862" t="n">
        <v>0</v>
      </c>
      <c r="Q10862" t="n">
        <v>0</v>
      </c>
      <c r="R10862" t="n">
        <v>0</v>
      </c>
      <c r="S10862" t="n">
        <v>0</v>
      </c>
      <c r="T10862" t="n">
        <v>0</v>
      </c>
      <c r="U10862" t="n">
        <v>0</v>
      </c>
      <c r="V10862" s="2" t="inlineStr"/>
    </row>
    <row r="10863" ht="15" customHeight="1">
      <c r="A10863" t="inlineStr">
        <is>
          <t>S 63-2026</t>
        </is>
      </c>
      <c r="B10863" t="inlineStr">
        <is>
          <t>samrådsanmälan</t>
        </is>
      </c>
      <c r="C10863" t="inlineStr">
        <is>
          <t>Skogsgödsling</t>
        </is>
      </c>
      <c r="D10863" s="1" t="n">
        <v>46013</v>
      </c>
      <c r="E10863" s="1" t="n">
        <v>46307</v>
      </c>
      <c r="F10863" t="inlineStr">
        <is>
          <t>VÄRMLANDS LÄN</t>
        </is>
      </c>
      <c r="G10863" t="inlineStr">
        <is>
          <t>TORSBY</t>
        </is>
      </c>
      <c r="H10863" t="inlineStr">
        <is>
          <t>Bergvik skog väst AB</t>
        </is>
      </c>
      <c r="I10863" t="n">
        <v>75</v>
      </c>
      <c r="J10863" t="n">
        <v>0</v>
      </c>
      <c r="K10863" t="n">
        <v>0</v>
      </c>
      <c r="L10863" t="n">
        <v>0</v>
      </c>
      <c r="M10863" t="n">
        <v>0</v>
      </c>
      <c r="N10863" t="n">
        <v>0</v>
      </c>
      <c r="O10863" t="n">
        <v>0</v>
      </c>
      <c r="P10863" t="n">
        <v>0</v>
      </c>
      <c r="Q10863" t="n">
        <v>0</v>
      </c>
      <c r="R10863" t="n">
        <v>0</v>
      </c>
      <c r="S10863" t="n">
        <v>0</v>
      </c>
      <c r="T10863" t="n">
        <v>0</v>
      </c>
      <c r="U10863" t="n">
        <v>0</v>
      </c>
      <c r="V10863" s="2" t="inlineStr"/>
    </row>
    <row r="10864" ht="15" customHeight="1">
      <c r="A10864" t="inlineStr">
        <is>
          <t>S 3576-2025</t>
        </is>
      </c>
      <c r="B10864" t="inlineStr">
        <is>
          <t>samrådsanmälan</t>
        </is>
      </c>
      <c r="C10864" t="inlineStr">
        <is>
          <t>Skogsgödsling</t>
        </is>
      </c>
      <c r="D10864" s="1" t="n">
        <v>46010</v>
      </c>
      <c r="E10864" s="1" t="n">
        <v>46307</v>
      </c>
      <c r="F10864" t="inlineStr">
        <is>
          <t>VÄRMLANDS LÄN</t>
        </is>
      </c>
      <c r="G10864" t="inlineStr">
        <is>
          <t>FILIPSTAD</t>
        </is>
      </c>
      <c r="H10864" t="inlineStr">
        <is>
          <t>Bergvik skog väst AB</t>
        </is>
      </c>
      <c r="I10864" t="n">
        <v>27.1</v>
      </c>
      <c r="J10864" t="n">
        <v>0</v>
      </c>
      <c r="K10864" t="n">
        <v>0</v>
      </c>
      <c r="L10864" t="n">
        <v>0</v>
      </c>
      <c r="M10864" t="n">
        <v>0</v>
      </c>
      <c r="N10864" t="n">
        <v>0</v>
      </c>
      <c r="O10864" t="n">
        <v>0</v>
      </c>
      <c r="P10864" t="n">
        <v>0</v>
      </c>
      <c r="Q10864" t="n">
        <v>0</v>
      </c>
      <c r="R10864" t="n">
        <v>0</v>
      </c>
      <c r="S10864" t="n">
        <v>0</v>
      </c>
      <c r="T10864" t="n">
        <v>0</v>
      </c>
      <c r="U10864" t="n">
        <v>0</v>
      </c>
      <c r="V10864" s="2" t="inlineStr"/>
    </row>
    <row r="10865" ht="15" customHeight="1">
      <c r="A10865" t="inlineStr">
        <is>
          <t>S 105-2026</t>
        </is>
      </c>
      <c r="B10865" t="inlineStr">
        <is>
          <t>samrådsanmälan</t>
        </is>
      </c>
      <c r="C10865" t="inlineStr">
        <is>
          <t>Skogsgödsling</t>
        </is>
      </c>
      <c r="D10865" s="1" t="n">
        <v>46036</v>
      </c>
      <c r="E10865" s="1" t="n">
        <v>46307</v>
      </c>
      <c r="F10865" t="inlineStr">
        <is>
          <t>VÄRMLANDS LÄN</t>
        </is>
      </c>
      <c r="G10865" t="inlineStr">
        <is>
          <t>FILIPSTAD</t>
        </is>
      </c>
      <c r="H10865" t="inlineStr">
        <is>
          <t>Bergvik skog väst AB</t>
        </is>
      </c>
      <c r="I10865" t="n">
        <v>238</v>
      </c>
      <c r="J10865" t="n">
        <v>0</v>
      </c>
      <c r="K10865" t="n">
        <v>0</v>
      </c>
      <c r="L10865" t="n">
        <v>0</v>
      </c>
      <c r="M10865" t="n">
        <v>0</v>
      </c>
      <c r="N10865" t="n">
        <v>0</v>
      </c>
      <c r="O10865" t="n">
        <v>0</v>
      </c>
      <c r="P10865" t="n">
        <v>0</v>
      </c>
      <c r="Q10865" t="n">
        <v>0</v>
      </c>
      <c r="R10865" t="n">
        <v>0</v>
      </c>
      <c r="S10865" t="n">
        <v>0</v>
      </c>
      <c r="T10865" t="n">
        <v>0</v>
      </c>
      <c r="U10865" t="n">
        <v>0</v>
      </c>
      <c r="V10865" s="2" t="inlineStr"/>
    </row>
    <row r="10866" ht="15" customHeight="1">
      <c r="A10866" t="inlineStr">
        <is>
          <t>S 382-2025</t>
        </is>
      </c>
      <c r="B10866" t="inlineStr">
        <is>
          <t>samrådsanmälan</t>
        </is>
      </c>
      <c r="C10866" t="inlineStr">
        <is>
          <t>Annan skogsbruksåtgärd</t>
        </is>
      </c>
      <c r="D10866" s="1" t="n">
        <v>45691</v>
      </c>
      <c r="E10866" s="1" t="n">
        <v>46307</v>
      </c>
      <c r="F10866" t="inlineStr">
        <is>
          <t>VÄRMLANDS LÄN</t>
        </is>
      </c>
      <c r="G10866" t="inlineStr">
        <is>
          <t>HAGFORS</t>
        </is>
      </c>
      <c r="I10866" t="n">
        <v>5.8</v>
      </c>
      <c r="J10866" t="n">
        <v>0</v>
      </c>
      <c r="K10866" t="n">
        <v>0</v>
      </c>
      <c r="L10866" t="n">
        <v>0</v>
      </c>
      <c r="M10866" t="n">
        <v>0</v>
      </c>
      <c r="N10866" t="n">
        <v>0</v>
      </c>
      <c r="O10866" t="n">
        <v>0</v>
      </c>
      <c r="P10866" t="n">
        <v>0</v>
      </c>
      <c r="Q10866" t="n">
        <v>0</v>
      </c>
      <c r="R10866" t="n">
        <v>0</v>
      </c>
      <c r="S10866" t="n">
        <v>0</v>
      </c>
      <c r="T10866" t="n">
        <v>0</v>
      </c>
      <c r="U10866" t="n">
        <v>0</v>
      </c>
      <c r="V10866" s="2" t="inlineStr"/>
    </row>
    <row r="10867" ht="15" customHeight="1">
      <c r="A10867" t="inlineStr">
        <is>
          <t>S 1499-2026</t>
        </is>
      </c>
      <c r="B10867" t="inlineStr">
        <is>
          <t>samrådsanmälan</t>
        </is>
      </c>
      <c r="C10867" t="inlineStr">
        <is>
          <t>Skogsbilväg</t>
        </is>
      </c>
      <c r="D10867" s="1" t="n">
        <v>46163</v>
      </c>
      <c r="E10867" s="1" t="n">
        <v>46307</v>
      </c>
      <c r="F10867" t="inlineStr">
        <is>
          <t>VÄRMLANDS LÄN</t>
        </is>
      </c>
      <c r="G10867" t="inlineStr">
        <is>
          <t>EDA</t>
        </is>
      </c>
      <c r="I10867" t="n">
        <v>3.5</v>
      </c>
      <c r="J10867" t="n">
        <v>0</v>
      </c>
      <c r="K10867" t="n">
        <v>0</v>
      </c>
      <c r="L10867" t="n">
        <v>0</v>
      </c>
      <c r="M10867" t="n">
        <v>0</v>
      </c>
      <c r="N10867" t="n">
        <v>0</v>
      </c>
      <c r="O10867" t="n">
        <v>0</v>
      </c>
      <c r="P10867" t="n">
        <v>0</v>
      </c>
      <c r="Q10867" t="n">
        <v>0</v>
      </c>
      <c r="R10867" t="n">
        <v>0</v>
      </c>
      <c r="S10867" t="n">
        <v>0</v>
      </c>
      <c r="T10867" t="n">
        <v>0</v>
      </c>
      <c r="U10867" t="n">
        <v>0</v>
      </c>
      <c r="V10867" s="2" t="inlineStr"/>
    </row>
    <row r="10868" ht="15" customHeight="1">
      <c r="A10868" t="inlineStr">
        <is>
          <t>S 1635-2026</t>
        </is>
      </c>
      <c r="B10868" t="inlineStr">
        <is>
          <t>samrådsanmälan</t>
        </is>
      </c>
      <c r="C10868" t="inlineStr">
        <is>
          <t>Askåterföring</t>
        </is>
      </c>
      <c r="D10868" s="1" t="n">
        <v>46177</v>
      </c>
      <c r="E10868" s="1" t="n">
        <v>46307</v>
      </c>
      <c r="F10868" t="inlineStr">
        <is>
          <t>VÄRMLANDS LÄN</t>
        </is>
      </c>
      <c r="G10868" t="inlineStr">
        <is>
          <t>SÄFFLE</t>
        </is>
      </c>
      <c r="H10868" t="inlineStr">
        <is>
          <t>Bergvik skog väst AB</t>
        </is>
      </c>
      <c r="I10868" t="n">
        <v>49.3</v>
      </c>
      <c r="J10868" t="n">
        <v>0</v>
      </c>
      <c r="K10868" t="n">
        <v>0</v>
      </c>
      <c r="L10868" t="n">
        <v>0</v>
      </c>
      <c r="M10868" t="n">
        <v>0</v>
      </c>
      <c r="N10868" t="n">
        <v>0</v>
      </c>
      <c r="O10868" t="n">
        <v>0</v>
      </c>
      <c r="P10868" t="n">
        <v>0</v>
      </c>
      <c r="Q10868" t="n">
        <v>0</v>
      </c>
      <c r="R10868" t="n">
        <v>0</v>
      </c>
      <c r="S10868" t="n">
        <v>0</v>
      </c>
      <c r="T10868" t="n">
        <v>0</v>
      </c>
      <c r="U10868" t="n">
        <v>0</v>
      </c>
      <c r="V10868" s="2" t="inlineStr"/>
    </row>
    <row r="10869" ht="15" customHeight="1">
      <c r="A10869" t="inlineStr">
        <is>
          <t>S 1677-2026</t>
        </is>
      </c>
      <c r="B10869" t="inlineStr">
        <is>
          <t>samrådsanmälan</t>
        </is>
      </c>
      <c r="C10869" t="inlineStr">
        <is>
          <t>Annan skogsbruksåtgärd</t>
        </is>
      </c>
      <c r="D10869" s="1" t="n">
        <v>46182</v>
      </c>
      <c r="E10869" s="1" t="n">
        <v>46307</v>
      </c>
      <c r="F10869" t="inlineStr">
        <is>
          <t>VÄRMLANDS LÄN</t>
        </is>
      </c>
      <c r="G10869" t="inlineStr">
        <is>
          <t>ARVIKA</t>
        </is>
      </c>
      <c r="I10869" t="n">
        <v>0</v>
      </c>
      <c r="J10869" t="n">
        <v>0</v>
      </c>
      <c r="K10869" t="n">
        <v>0</v>
      </c>
      <c r="L10869" t="n">
        <v>0</v>
      </c>
      <c r="M10869" t="n">
        <v>0</v>
      </c>
      <c r="N10869" t="n">
        <v>0</v>
      </c>
      <c r="O10869" t="n">
        <v>0</v>
      </c>
      <c r="P10869" t="n">
        <v>0</v>
      </c>
      <c r="Q10869" t="n">
        <v>0</v>
      </c>
      <c r="R10869" t="n">
        <v>0</v>
      </c>
      <c r="S10869" t="n">
        <v>0</v>
      </c>
      <c r="T10869" t="n">
        <v>0</v>
      </c>
      <c r="U10869" t="n">
        <v>0</v>
      </c>
      <c r="V10869" s="2" t="inlineStr"/>
    </row>
    <row r="10870" ht="15" customHeight="1">
      <c r="A10870" t="inlineStr">
        <is>
          <t>S 1683-2026</t>
        </is>
      </c>
      <c r="B10870" t="inlineStr">
        <is>
          <t>samrådsanmälan</t>
        </is>
      </c>
      <c r="C10870" t="inlineStr">
        <is>
          <t>Annan skogsbruksåtgärd</t>
        </is>
      </c>
      <c r="D10870" s="1" t="n">
        <v>46182</v>
      </c>
      <c r="E10870" s="1" t="n">
        <v>46307</v>
      </c>
      <c r="F10870" t="inlineStr">
        <is>
          <t>VÄRMLANDS LÄN</t>
        </is>
      </c>
      <c r="G10870" t="inlineStr">
        <is>
          <t>STORFORS</t>
        </is>
      </c>
      <c r="I10870" t="n">
        <v>37.1</v>
      </c>
      <c r="J10870" t="n">
        <v>0</v>
      </c>
      <c r="K10870" t="n">
        <v>0</v>
      </c>
      <c r="L10870" t="n">
        <v>0</v>
      </c>
      <c r="M10870" t="n">
        <v>0</v>
      </c>
      <c r="N10870" t="n">
        <v>0</v>
      </c>
      <c r="O10870" t="n">
        <v>0</v>
      </c>
      <c r="P10870" t="n">
        <v>0</v>
      </c>
      <c r="Q10870" t="n">
        <v>0</v>
      </c>
      <c r="R10870" t="n">
        <v>0</v>
      </c>
      <c r="S10870" t="n">
        <v>0</v>
      </c>
      <c r="T10870" t="n">
        <v>0</v>
      </c>
      <c r="U10870" t="n">
        <v>0</v>
      </c>
      <c r="V10870" s="2" t="inlineStr"/>
    </row>
    <row r="10871" ht="15" customHeight="1">
      <c r="A10871" t="inlineStr">
        <is>
          <t>S 1817-2026</t>
        </is>
      </c>
      <c r="B10871" t="inlineStr">
        <is>
          <t>samrådsanmälan</t>
        </is>
      </c>
      <c r="C10871" t="inlineStr">
        <is>
          <t>Stubbskörd</t>
        </is>
      </c>
      <c r="D10871" s="1" t="n">
        <v>46190</v>
      </c>
      <c r="E10871" s="1" t="n">
        <v>46307</v>
      </c>
      <c r="F10871" t="inlineStr">
        <is>
          <t>VÄRMLANDS LÄN</t>
        </is>
      </c>
      <c r="G10871" t="inlineStr">
        <is>
          <t>TORSBY</t>
        </is>
      </c>
      <c r="H10871" t="inlineStr">
        <is>
          <t>Kyrkan</t>
        </is>
      </c>
      <c r="I10871" t="n">
        <v>3.2</v>
      </c>
      <c r="J10871" t="n">
        <v>0</v>
      </c>
      <c r="K10871" t="n">
        <v>0</v>
      </c>
      <c r="L10871" t="n">
        <v>0</v>
      </c>
      <c r="M10871" t="n">
        <v>0</v>
      </c>
      <c r="N10871" t="n">
        <v>0</v>
      </c>
      <c r="O10871" t="n">
        <v>0</v>
      </c>
      <c r="P10871" t="n">
        <v>0</v>
      </c>
      <c r="Q10871" t="n">
        <v>0</v>
      </c>
      <c r="R10871" t="n">
        <v>0</v>
      </c>
      <c r="S10871" t="n">
        <v>0</v>
      </c>
      <c r="T10871" t="n">
        <v>0</v>
      </c>
      <c r="U10871" t="n">
        <v>0</v>
      </c>
      <c r="V10871" s="2" t="inlineStr"/>
    </row>
    <row r="10872" ht="15" customHeight="1">
      <c r="A10872" t="inlineStr">
        <is>
          <t>S 1933-2026</t>
        </is>
      </c>
      <c r="B10872" t="inlineStr">
        <is>
          <t>samrådsanmälan</t>
        </is>
      </c>
      <c r="C10872" t="inlineStr">
        <is>
          <t>Annan skogsbruksåtgärd</t>
        </is>
      </c>
      <c r="D10872" s="1" t="n">
        <v>46203</v>
      </c>
      <c r="E10872" s="1" t="n">
        <v>46307</v>
      </c>
      <c r="F10872" t="inlineStr">
        <is>
          <t>VÄRMLANDS LÄN</t>
        </is>
      </c>
      <c r="G10872" t="inlineStr">
        <is>
          <t>SÄFFLE</t>
        </is>
      </c>
      <c r="I10872" t="n">
        <v>4.8</v>
      </c>
      <c r="J10872" t="n">
        <v>0</v>
      </c>
      <c r="K10872" t="n">
        <v>0</v>
      </c>
      <c r="L10872" t="n">
        <v>0</v>
      </c>
      <c r="M10872" t="n">
        <v>0</v>
      </c>
      <c r="N10872" t="n">
        <v>0</v>
      </c>
      <c r="O10872" t="n">
        <v>0</v>
      </c>
      <c r="P10872" t="n">
        <v>0</v>
      </c>
      <c r="Q10872" t="n">
        <v>0</v>
      </c>
      <c r="R10872" t="n">
        <v>0</v>
      </c>
      <c r="S10872" t="n">
        <v>0</v>
      </c>
      <c r="T10872" t="n">
        <v>0</v>
      </c>
      <c r="U10872" t="n">
        <v>0</v>
      </c>
      <c r="V10872" s="2" t="inlineStr"/>
    </row>
    <row r="10873" ht="15" customHeight="1">
      <c r="A10873" t="inlineStr">
        <is>
          <t>S 100-2026</t>
        </is>
      </c>
      <c r="B10873" t="inlineStr">
        <is>
          <t>samrådsanmälan</t>
        </is>
      </c>
      <c r="C10873" t="inlineStr">
        <is>
          <t>Skogsgödsling</t>
        </is>
      </c>
      <c r="D10873" s="1" t="n">
        <v>46036</v>
      </c>
      <c r="E10873" s="1" t="n">
        <v>46307</v>
      </c>
      <c r="F10873" t="inlineStr">
        <is>
          <t>VÄRMLANDS LÄN</t>
        </is>
      </c>
      <c r="G10873" t="inlineStr">
        <is>
          <t>KARLSTAD</t>
        </is>
      </c>
      <c r="H10873" t="inlineStr">
        <is>
          <t>Naturvårdsverket</t>
        </is>
      </c>
      <c r="I10873" t="n">
        <v>26.6</v>
      </c>
      <c r="J10873" t="n">
        <v>0</v>
      </c>
      <c r="K10873" t="n">
        <v>0</v>
      </c>
      <c r="L10873" t="n">
        <v>0</v>
      </c>
      <c r="M10873" t="n">
        <v>0</v>
      </c>
      <c r="N10873" t="n">
        <v>0</v>
      </c>
      <c r="O10873" t="n">
        <v>0</v>
      </c>
      <c r="P10873" t="n">
        <v>0</v>
      </c>
      <c r="Q10873" t="n">
        <v>0</v>
      </c>
      <c r="R10873" t="n">
        <v>0</v>
      </c>
      <c r="S10873" t="n">
        <v>0</v>
      </c>
      <c r="T10873" t="n">
        <v>0</v>
      </c>
      <c r="U10873" t="n">
        <v>0</v>
      </c>
      <c r="V10873" s="2" t="inlineStr"/>
    </row>
    <row r="10874">
      <c r="A10874" t="inlineStr">
        <is>
          <t>S 2502-2026</t>
        </is>
      </c>
      <c r="B10874" t="inlineStr">
        <is>
          <t>samrådsanmälan</t>
        </is>
      </c>
      <c r="C10874" t="inlineStr">
        <is>
          <t>Skogsgödsling</t>
        </is>
      </c>
      <c r="D10874" s="1" t="n">
        <v>46289</v>
      </c>
      <c r="E10874" s="1" t="n">
        <v>46307</v>
      </c>
      <c r="F10874" t="inlineStr">
        <is>
          <t>VÄRMLANDS LÄN</t>
        </is>
      </c>
      <c r="G10874" t="inlineStr">
        <is>
          <t>TORSBY</t>
        </is>
      </c>
      <c r="I10874" t="n">
        <v>100</v>
      </c>
      <c r="J10874" t="n">
        <v>0</v>
      </c>
      <c r="K10874" t="n">
        <v>0</v>
      </c>
      <c r="L10874" t="n">
        <v>0</v>
      </c>
      <c r="M10874" t="n">
        <v>0</v>
      </c>
      <c r="N10874" t="n">
        <v>0</v>
      </c>
      <c r="O10874" t="n">
        <v>0</v>
      </c>
      <c r="P10874" t="n">
        <v>0</v>
      </c>
      <c r="Q10874" t="n">
        <v>0</v>
      </c>
      <c r="R10874" t="n">
        <v>0</v>
      </c>
      <c r="S10874" t="n">
        <v>0</v>
      </c>
      <c r="T10874" t="n">
        <v>0</v>
      </c>
      <c r="U10874" t="n">
        <v>0</v>
      </c>
      <c r="V108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2026-10-12T01:58:13Z</dcterms:created>
  <dcterms:modified xmlns:dcterms="http://purl.org/dc/terms/" xmlns:xsi="http://www.w3.org/2001/XMLSchema-instance" xsi:type="dcterms:W3CDTF">2026-10-12T01:58:25Z</dcterms:modified>
</cp:coreProperties>
</file>